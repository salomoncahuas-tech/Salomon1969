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Distrito" sheetId="1" state="visible" r:id="rId1"/>
    <sheet name="Resumen_Provincia" sheetId="2" state="visible" r:id="rId2"/>
    <sheet name="Bloques_AI" sheetId="3" state="visible" r:id="rId3"/>
    <sheet name="AI_Poligonos" sheetId="4" state="visible" r:id="rId4"/>
    <sheet name="Notas" sheetId="5" state="visible" r:id="rId5"/>
  </sheets>
  <definedNames>
    <definedName name="_xlnm._FilterDatabase" localSheetId="0" hidden="1">'Resumen_Distrito'!$A$8:$K$23</definedName>
    <definedName name="_xlnm._FilterDatabase" localSheetId="1" hidden="1">'Resumen_Provincia'!$A$8:$J$11</definedName>
    <definedName name="_xlnm._FilterDatabase" localSheetId="2" hidden="1">'Bloques_AI'!$A$8:$L$125</definedName>
    <definedName name="_xlnm._FilterDatabase" localSheetId="3" hidden="1">'AI_Poligonos'!$A$8:$I$138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#,##0.0"/>
    <numFmt numFmtId="166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B4D2E"/>
      <sz val="10"/>
    </font>
    <font>
      <name val="Arial"/>
      <color rgb="001B4D2E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8"/>
    </font>
    <font>
      <name val="Arial"/>
      <b val="1"/>
      <color rgb="001B4D2E"/>
      <sz val="9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B4D2E"/>
      </patternFill>
    </fill>
    <fill>
      <patternFill patternType="solid">
        <fgColor rgb="00E8F0EA"/>
      </patternFill>
    </fill>
    <fill>
      <patternFill patternType="solid">
        <fgColor rgb="00D9E6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2" fontId="5" fillId="0" borderId="1" pivotButton="0" quotePrefix="0" xfId="0"/>
    <xf numFmtId="166" fontId="5" fillId="0" borderId="1" pivotButton="0" quotePrefix="0" xfId="0"/>
    <xf numFmtId="0" fontId="5" fillId="3" borderId="1" pivotButton="0" quotePrefix="0" xfId="0"/>
    <xf numFmtId="164" fontId="5" fillId="3" borderId="1" pivotButton="0" quotePrefix="0" xfId="0"/>
    <xf numFmtId="2" fontId="5" fillId="3" borderId="1" pivotButton="0" quotePrefix="0" xfId="0"/>
    <xf numFmtId="166" fontId="5" fillId="3" borderId="1" pivotButton="0" quotePrefix="0" xfId="0"/>
    <xf numFmtId="0" fontId="6" fillId="4" borderId="1" pivotButton="0" quotePrefix="0" xfId="0"/>
    <xf numFmtId="164" fontId="6" fillId="4" borderId="1" pivotButton="0" quotePrefix="0" xfId="0"/>
    <xf numFmtId="2" fontId="6" fillId="4" borderId="1" pivotButton="0" quotePrefix="0" xfId="0"/>
    <xf numFmtId="166" fontId="6" fillId="4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165" fontId="5" fillId="0" borderId="1" pivotButton="0" quotePrefix="0" xfId="0"/>
    <xf numFmtId="165" fontId="5" fillId="3" borderId="1" pivotButton="0" quotePrefix="0" xfId="0"/>
    <xf numFmtId="0" fontId="2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6" customWidth="1" min="3" max="3"/>
    <col width="11" customWidth="1" min="4" max="4"/>
    <col width="16" customWidth="1" min="5" max="5"/>
    <col width="11" customWidth="1" min="6" max="6"/>
    <col width="15" customWidth="1" min="7" max="7"/>
    <col width="16" customWidth="1" min="8" max="8"/>
    <col width="11" customWidth="1" min="9" max="9"/>
    <col width="13" customWidth="1" min="10" max="10"/>
    <col width="12" customWidth="1" min="11" max="11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BLOQUES V6 Y ÁREA DE INFLUENCIA POR DISTRITO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Bloques V6 (Bloques V6.kml) y área de influencia aprobada (AI_aprobado_2.shp), ANIN-DIME-SESDI 2026; sin los bloques retirados 74 y 75 ni sus AI</t>
        </is>
      </c>
    </row>
    <row r="8" ht="30" customHeight="1">
      <c r="A8" s="4" t="inlineStr">
        <is>
          <t>N.°</t>
        </is>
      </c>
      <c r="B8" s="4" t="inlineStr">
        <is>
          <t>Provincia</t>
        </is>
      </c>
      <c r="C8" s="4" t="inlineStr">
        <is>
          <t>Distrito</t>
        </is>
      </c>
      <c r="D8" s="4" t="inlineStr">
        <is>
          <t>N.° bloques</t>
        </is>
      </c>
      <c r="E8" s="4" t="inlineStr">
        <is>
          <t>Área bloques (ha)</t>
        </is>
      </c>
      <c r="F8" s="4" t="inlineStr">
        <is>
          <t>Polígonos AI</t>
        </is>
      </c>
      <c r="G8" s="4" t="inlineStr">
        <is>
          <t>Área AI (ha)</t>
        </is>
      </c>
      <c r="H8" s="4" t="inlineStr">
        <is>
          <t>Bloques + AI (ha)</t>
        </is>
      </c>
      <c r="I8" s="4" t="inlineStr">
        <is>
          <t>AI / bloques</t>
        </is>
      </c>
      <c r="J8" s="4" t="inlineStr">
        <is>
          <t>% del área de bloques</t>
        </is>
      </c>
      <c r="K8" s="4" t="inlineStr">
        <is>
          <t>% del área AI</t>
        </is>
      </c>
    </row>
    <row r="9">
      <c r="A9" s="5" t="n">
        <v>1</v>
      </c>
      <c r="B9" s="5" t="inlineStr">
        <is>
          <t>Ayabaca</t>
        </is>
      </c>
      <c r="C9" s="5" t="inlineStr">
        <is>
          <t>Frías</t>
        </is>
      </c>
      <c r="D9" s="5">
        <f>COUNTIFS(Bloques_AI!$D$9:$D$125,B9,Bloques_AI!$E$9:$E$125,C9)</f>
        <v/>
      </c>
      <c r="E9" s="6">
        <f>SUMIFS(Bloques_AI!$F$9:$F$125,Bloques_AI!$D$9:$D$125,B9,Bloques_AI!$E$9:$E$125,C9)</f>
        <v/>
      </c>
      <c r="F9" s="5">
        <f>COUNTIFS(AI_Poligonos!$E$9:$E$138,B9,AI_Poligonos!$F$9:$F$138,C9)</f>
        <v/>
      </c>
      <c r="G9" s="6">
        <f>SUMIFS(AI_Poligonos!$G$9:$G$138,AI_Poligonos!$E$9:$E$138,B9,AI_Poligonos!$F$9:$F$138,C9)</f>
        <v/>
      </c>
      <c r="H9" s="6">
        <f>E9+G9</f>
        <v/>
      </c>
      <c r="I9" s="7">
        <f>IF(E9=0,0,G9/E9)</f>
        <v/>
      </c>
      <c r="J9" s="8">
        <f>E9/E$24</f>
        <v/>
      </c>
      <c r="K9" s="8">
        <f>G9/G$24</f>
        <v/>
      </c>
    </row>
    <row r="10">
      <c r="A10" s="9" t="n">
        <v>2</v>
      </c>
      <c r="B10" s="9" t="inlineStr">
        <is>
          <t>Huancabamba</t>
        </is>
      </c>
      <c r="C10" s="9" t="inlineStr">
        <is>
          <t>Canchaque</t>
        </is>
      </c>
      <c r="D10" s="9">
        <f>COUNTIFS(Bloques_AI!$D$9:$D$125,B10,Bloques_AI!$E$9:$E$125,C10)</f>
        <v/>
      </c>
      <c r="E10" s="10">
        <f>SUMIFS(Bloques_AI!$F$9:$F$125,Bloques_AI!$D$9:$D$125,B10,Bloques_AI!$E$9:$E$125,C10)</f>
        <v/>
      </c>
      <c r="F10" s="9">
        <f>COUNTIFS(AI_Poligonos!$E$9:$E$138,B10,AI_Poligonos!$F$9:$F$138,C10)</f>
        <v/>
      </c>
      <c r="G10" s="10">
        <f>SUMIFS(AI_Poligonos!$G$9:$G$138,AI_Poligonos!$E$9:$E$138,B10,AI_Poligonos!$F$9:$F$138,C10)</f>
        <v/>
      </c>
      <c r="H10" s="10">
        <f>E10+G10</f>
        <v/>
      </c>
      <c r="I10" s="11">
        <f>IF(E10=0,0,G10/E10)</f>
        <v/>
      </c>
      <c r="J10" s="12">
        <f>E10/E$24</f>
        <v/>
      </c>
      <c r="K10" s="12">
        <f>G10/G$24</f>
        <v/>
      </c>
    </row>
    <row r="11">
      <c r="A11" s="5" t="n">
        <v>3</v>
      </c>
      <c r="B11" s="5" t="inlineStr">
        <is>
          <t>Huancabamba</t>
        </is>
      </c>
      <c r="C11" s="5" t="inlineStr">
        <is>
          <t>Huancabamba</t>
        </is>
      </c>
      <c r="D11" s="5">
        <f>COUNTIFS(Bloques_AI!$D$9:$D$125,B11,Bloques_AI!$E$9:$E$125,C11)</f>
        <v/>
      </c>
      <c r="E11" s="6">
        <f>SUMIFS(Bloques_AI!$F$9:$F$125,Bloques_AI!$D$9:$D$125,B11,Bloques_AI!$E$9:$E$125,C11)</f>
        <v/>
      </c>
      <c r="F11" s="5">
        <f>COUNTIFS(AI_Poligonos!$E$9:$E$138,B11,AI_Poligonos!$F$9:$F$138,C11)</f>
        <v/>
      </c>
      <c r="G11" s="6">
        <f>SUMIFS(AI_Poligonos!$G$9:$G$138,AI_Poligonos!$E$9:$E$138,B11,AI_Poligonos!$F$9:$F$138,C11)</f>
        <v/>
      </c>
      <c r="H11" s="6">
        <f>E11+G11</f>
        <v/>
      </c>
      <c r="I11" s="7">
        <f>IF(E11=0,0,G11/E11)</f>
        <v/>
      </c>
      <c r="J11" s="8">
        <f>E11/E$24</f>
        <v/>
      </c>
      <c r="K11" s="8">
        <f>G11/G$24</f>
        <v/>
      </c>
    </row>
    <row r="12">
      <c r="A12" s="9" t="n">
        <v>4</v>
      </c>
      <c r="B12" s="9" t="inlineStr">
        <is>
          <t>Huancabamba</t>
        </is>
      </c>
      <c r="C12" s="9" t="inlineStr">
        <is>
          <t>Huarmaca</t>
        </is>
      </c>
      <c r="D12" s="9">
        <f>COUNTIFS(Bloques_AI!$D$9:$D$125,B12,Bloques_AI!$E$9:$E$125,C12)</f>
        <v/>
      </c>
      <c r="E12" s="10">
        <f>SUMIFS(Bloques_AI!$F$9:$F$125,Bloques_AI!$D$9:$D$125,B12,Bloques_AI!$E$9:$E$125,C12)</f>
        <v/>
      </c>
      <c r="F12" s="9">
        <f>COUNTIFS(AI_Poligonos!$E$9:$E$138,B12,AI_Poligonos!$F$9:$F$138,C12)</f>
        <v/>
      </c>
      <c r="G12" s="10">
        <f>SUMIFS(AI_Poligonos!$G$9:$G$138,AI_Poligonos!$E$9:$E$138,B12,AI_Poligonos!$F$9:$F$138,C12)</f>
        <v/>
      </c>
      <c r="H12" s="10">
        <f>E12+G12</f>
        <v/>
      </c>
      <c r="I12" s="11">
        <f>IF(E12=0,0,G12/E12)</f>
        <v/>
      </c>
      <c r="J12" s="12">
        <f>E12/E$24</f>
        <v/>
      </c>
      <c r="K12" s="12">
        <f>G12/G$24</f>
        <v/>
      </c>
    </row>
    <row r="13">
      <c r="A13" s="5" t="n">
        <v>5</v>
      </c>
      <c r="B13" s="5" t="inlineStr">
        <is>
          <t>Huancabamba</t>
        </is>
      </c>
      <c r="C13" s="5" t="inlineStr">
        <is>
          <t>Lalaquiz</t>
        </is>
      </c>
      <c r="D13" s="5">
        <f>COUNTIFS(Bloques_AI!$D$9:$D$125,B13,Bloques_AI!$E$9:$E$125,C13)</f>
        <v/>
      </c>
      <c r="E13" s="6">
        <f>SUMIFS(Bloques_AI!$F$9:$F$125,Bloques_AI!$D$9:$D$125,B13,Bloques_AI!$E$9:$E$125,C13)</f>
        <v/>
      </c>
      <c r="F13" s="5">
        <f>COUNTIFS(AI_Poligonos!$E$9:$E$138,B13,AI_Poligonos!$F$9:$F$138,C13)</f>
        <v/>
      </c>
      <c r="G13" s="6">
        <f>SUMIFS(AI_Poligonos!$G$9:$G$138,AI_Poligonos!$E$9:$E$138,B13,AI_Poligonos!$F$9:$F$138,C13)</f>
        <v/>
      </c>
      <c r="H13" s="6">
        <f>E13+G13</f>
        <v/>
      </c>
      <c r="I13" s="7">
        <f>IF(E13=0,0,G13/E13)</f>
        <v/>
      </c>
      <c r="J13" s="8">
        <f>E13/E$24</f>
        <v/>
      </c>
      <c r="K13" s="8">
        <f>G13/G$24</f>
        <v/>
      </c>
    </row>
    <row r="14">
      <c r="A14" s="9" t="n">
        <v>6</v>
      </c>
      <c r="B14" s="9" t="inlineStr">
        <is>
          <t>Huancabamba</t>
        </is>
      </c>
      <c r="C14" s="9" t="inlineStr">
        <is>
          <t>San Miguel de El Faique</t>
        </is>
      </c>
      <c r="D14" s="9">
        <f>COUNTIFS(Bloques_AI!$D$9:$D$125,B14,Bloques_AI!$E$9:$E$125,C14)</f>
        <v/>
      </c>
      <c r="E14" s="10">
        <f>SUMIFS(Bloques_AI!$F$9:$F$125,Bloques_AI!$D$9:$D$125,B14,Bloques_AI!$E$9:$E$125,C14)</f>
        <v/>
      </c>
      <c r="F14" s="9">
        <f>COUNTIFS(AI_Poligonos!$E$9:$E$138,B14,AI_Poligonos!$F$9:$F$138,C14)</f>
        <v/>
      </c>
      <c r="G14" s="10">
        <f>SUMIFS(AI_Poligonos!$G$9:$G$138,AI_Poligonos!$E$9:$E$138,B14,AI_Poligonos!$F$9:$F$138,C14)</f>
        <v/>
      </c>
      <c r="H14" s="10">
        <f>E14+G14</f>
        <v/>
      </c>
      <c r="I14" s="11">
        <f>IF(E14=0,0,G14/E14)</f>
        <v/>
      </c>
      <c r="J14" s="12">
        <f>E14/E$24</f>
        <v/>
      </c>
      <c r="K14" s="12">
        <f>G14/G$24</f>
        <v/>
      </c>
    </row>
    <row r="15">
      <c r="A15" s="5" t="n">
        <v>7</v>
      </c>
      <c r="B15" s="5" t="inlineStr">
        <is>
          <t>Morropón</t>
        </is>
      </c>
      <c r="C15" s="5" t="inlineStr">
        <is>
          <t>Buenos Aires</t>
        </is>
      </c>
      <c r="D15" s="5">
        <f>COUNTIFS(Bloques_AI!$D$9:$D$125,B15,Bloques_AI!$E$9:$E$125,C15)</f>
        <v/>
      </c>
      <c r="E15" s="6">
        <f>SUMIFS(Bloques_AI!$F$9:$F$125,Bloques_AI!$D$9:$D$125,B15,Bloques_AI!$E$9:$E$125,C15)</f>
        <v/>
      </c>
      <c r="F15" s="5">
        <f>COUNTIFS(AI_Poligonos!$E$9:$E$138,B15,AI_Poligonos!$F$9:$F$138,C15)</f>
        <v/>
      </c>
      <c r="G15" s="6">
        <f>SUMIFS(AI_Poligonos!$G$9:$G$138,AI_Poligonos!$E$9:$E$138,B15,AI_Poligonos!$F$9:$F$138,C15)</f>
        <v/>
      </c>
      <c r="H15" s="6">
        <f>E15+G15</f>
        <v/>
      </c>
      <c r="I15" s="7">
        <f>IF(E15=0,0,G15/E15)</f>
        <v/>
      </c>
      <c r="J15" s="8">
        <f>E15/E$24</f>
        <v/>
      </c>
      <c r="K15" s="8">
        <f>G15/G$24</f>
        <v/>
      </c>
    </row>
    <row r="16">
      <c r="A16" s="9" t="n">
        <v>8</v>
      </c>
      <c r="B16" s="9" t="inlineStr">
        <is>
          <t>Morropón</t>
        </is>
      </c>
      <c r="C16" s="9" t="inlineStr">
        <is>
          <t>Chalaco</t>
        </is>
      </c>
      <c r="D16" s="9">
        <f>COUNTIFS(Bloques_AI!$D$9:$D$125,B16,Bloques_AI!$E$9:$E$125,C16)</f>
        <v/>
      </c>
      <c r="E16" s="10">
        <f>SUMIFS(Bloques_AI!$F$9:$F$125,Bloques_AI!$D$9:$D$125,B16,Bloques_AI!$E$9:$E$125,C16)</f>
        <v/>
      </c>
      <c r="F16" s="9">
        <f>COUNTIFS(AI_Poligonos!$E$9:$E$138,B16,AI_Poligonos!$F$9:$F$138,C16)</f>
        <v/>
      </c>
      <c r="G16" s="10">
        <f>SUMIFS(AI_Poligonos!$G$9:$G$138,AI_Poligonos!$E$9:$E$138,B16,AI_Poligonos!$F$9:$F$138,C16)</f>
        <v/>
      </c>
      <c r="H16" s="10">
        <f>E16+G16</f>
        <v/>
      </c>
      <c r="I16" s="11">
        <f>IF(E16=0,0,G16/E16)</f>
        <v/>
      </c>
      <c r="J16" s="12">
        <f>E16/E$24</f>
        <v/>
      </c>
      <c r="K16" s="12">
        <f>G16/G$24</f>
        <v/>
      </c>
    </row>
    <row r="17">
      <c r="A17" s="5" t="n">
        <v>9</v>
      </c>
      <c r="B17" s="5" t="inlineStr">
        <is>
          <t>Morropón</t>
        </is>
      </c>
      <c r="C17" s="5" t="inlineStr">
        <is>
          <t>Chulucanas</t>
        </is>
      </c>
      <c r="D17" s="5">
        <f>COUNTIFS(Bloques_AI!$D$9:$D$125,B17,Bloques_AI!$E$9:$E$125,C17)</f>
        <v/>
      </c>
      <c r="E17" s="6">
        <f>SUMIFS(Bloques_AI!$F$9:$F$125,Bloques_AI!$D$9:$D$125,B17,Bloques_AI!$E$9:$E$125,C17)</f>
        <v/>
      </c>
      <c r="F17" s="5">
        <f>COUNTIFS(AI_Poligonos!$E$9:$E$138,B17,AI_Poligonos!$F$9:$F$138,C17)</f>
        <v/>
      </c>
      <c r="G17" s="6">
        <f>SUMIFS(AI_Poligonos!$G$9:$G$138,AI_Poligonos!$E$9:$E$138,B17,AI_Poligonos!$F$9:$F$138,C17)</f>
        <v/>
      </c>
      <c r="H17" s="6">
        <f>E17+G17</f>
        <v/>
      </c>
      <c r="I17" s="7">
        <f>IF(E17=0,0,G17/E17)</f>
        <v/>
      </c>
      <c r="J17" s="8">
        <f>E17/E$24</f>
        <v/>
      </c>
      <c r="K17" s="8">
        <f>G17/G$24</f>
        <v/>
      </c>
    </row>
    <row r="18">
      <c r="A18" s="9" t="n">
        <v>10</v>
      </c>
      <c r="B18" s="9" t="inlineStr">
        <is>
          <t>Morropón</t>
        </is>
      </c>
      <c r="C18" s="9" t="inlineStr">
        <is>
          <t>Morropón</t>
        </is>
      </c>
      <c r="D18" s="9">
        <f>COUNTIFS(Bloques_AI!$D$9:$D$125,B18,Bloques_AI!$E$9:$E$125,C18)</f>
        <v/>
      </c>
      <c r="E18" s="10">
        <f>SUMIFS(Bloques_AI!$F$9:$F$125,Bloques_AI!$D$9:$D$125,B18,Bloques_AI!$E$9:$E$125,C18)</f>
        <v/>
      </c>
      <c r="F18" s="9">
        <f>COUNTIFS(AI_Poligonos!$E$9:$E$138,B18,AI_Poligonos!$F$9:$F$138,C18)</f>
        <v/>
      </c>
      <c r="G18" s="10">
        <f>SUMIFS(AI_Poligonos!$G$9:$G$138,AI_Poligonos!$E$9:$E$138,B18,AI_Poligonos!$F$9:$F$138,C18)</f>
        <v/>
      </c>
      <c r="H18" s="10">
        <f>E18+G18</f>
        <v/>
      </c>
      <c r="I18" s="11">
        <f>IF(E18=0,0,G18/E18)</f>
        <v/>
      </c>
      <c r="J18" s="12">
        <f>E18/E$24</f>
        <v/>
      </c>
      <c r="K18" s="12">
        <f>G18/G$24</f>
        <v/>
      </c>
    </row>
    <row r="19">
      <c r="A19" s="5" t="n">
        <v>11</v>
      </c>
      <c r="B19" s="5" t="inlineStr">
        <is>
          <t>Morropón</t>
        </is>
      </c>
      <c r="C19" s="5" t="inlineStr">
        <is>
          <t>Salitral</t>
        </is>
      </c>
      <c r="D19" s="5">
        <f>COUNTIFS(Bloques_AI!$D$9:$D$125,B19,Bloques_AI!$E$9:$E$125,C19)</f>
        <v/>
      </c>
      <c r="E19" s="6">
        <f>SUMIFS(Bloques_AI!$F$9:$F$125,Bloques_AI!$D$9:$D$125,B19,Bloques_AI!$E$9:$E$125,C19)</f>
        <v/>
      </c>
      <c r="F19" s="5">
        <f>COUNTIFS(AI_Poligonos!$E$9:$E$138,B19,AI_Poligonos!$F$9:$F$138,C19)</f>
        <v/>
      </c>
      <c r="G19" s="6">
        <f>SUMIFS(AI_Poligonos!$G$9:$G$138,AI_Poligonos!$E$9:$E$138,B19,AI_Poligonos!$F$9:$F$138,C19)</f>
        <v/>
      </c>
      <c r="H19" s="6">
        <f>E19+G19</f>
        <v/>
      </c>
      <c r="I19" s="7">
        <f>IF(E19=0,0,G19/E19)</f>
        <v/>
      </c>
      <c r="J19" s="8">
        <f>E19/E$24</f>
        <v/>
      </c>
      <c r="K19" s="8">
        <f>G19/G$24</f>
        <v/>
      </c>
    </row>
    <row r="20">
      <c r="A20" s="9" t="n">
        <v>12</v>
      </c>
      <c r="B20" s="9" t="inlineStr">
        <is>
          <t>Morropón</t>
        </is>
      </c>
      <c r="C20" s="9" t="inlineStr">
        <is>
          <t>San Juan de Bigote</t>
        </is>
      </c>
      <c r="D20" s="9">
        <f>COUNTIFS(Bloques_AI!$D$9:$D$125,B20,Bloques_AI!$E$9:$E$125,C20)</f>
        <v/>
      </c>
      <c r="E20" s="10">
        <f>SUMIFS(Bloques_AI!$F$9:$F$125,Bloques_AI!$D$9:$D$125,B20,Bloques_AI!$E$9:$E$125,C20)</f>
        <v/>
      </c>
      <c r="F20" s="9">
        <f>COUNTIFS(AI_Poligonos!$E$9:$E$138,B20,AI_Poligonos!$F$9:$F$138,C20)</f>
        <v/>
      </c>
      <c r="G20" s="10">
        <f>SUMIFS(AI_Poligonos!$G$9:$G$138,AI_Poligonos!$E$9:$E$138,B20,AI_Poligonos!$F$9:$F$138,C20)</f>
        <v/>
      </c>
      <c r="H20" s="10">
        <f>E20+G20</f>
        <v/>
      </c>
      <c r="I20" s="11">
        <f>IF(E20=0,0,G20/E20)</f>
        <v/>
      </c>
      <c r="J20" s="12">
        <f>E20/E$24</f>
        <v/>
      </c>
      <c r="K20" s="12">
        <f>G20/G$24</f>
        <v/>
      </c>
    </row>
    <row r="21">
      <c r="A21" s="5" t="n">
        <v>13</v>
      </c>
      <c r="B21" s="5" t="inlineStr">
        <is>
          <t>Morropón</t>
        </is>
      </c>
      <c r="C21" s="5" t="inlineStr">
        <is>
          <t>Santa Catalina de Mossa</t>
        </is>
      </c>
      <c r="D21" s="5">
        <f>COUNTIFS(Bloques_AI!$D$9:$D$125,B21,Bloques_AI!$E$9:$E$125,C21)</f>
        <v/>
      </c>
      <c r="E21" s="6">
        <f>SUMIFS(Bloques_AI!$F$9:$F$125,Bloques_AI!$D$9:$D$125,B21,Bloques_AI!$E$9:$E$125,C21)</f>
        <v/>
      </c>
      <c r="F21" s="5">
        <f>COUNTIFS(AI_Poligonos!$E$9:$E$138,B21,AI_Poligonos!$F$9:$F$138,C21)</f>
        <v/>
      </c>
      <c r="G21" s="6">
        <f>SUMIFS(AI_Poligonos!$G$9:$G$138,AI_Poligonos!$E$9:$E$138,B21,AI_Poligonos!$F$9:$F$138,C21)</f>
        <v/>
      </c>
      <c r="H21" s="6">
        <f>E21+G21</f>
        <v/>
      </c>
      <c r="I21" s="7">
        <f>IF(E21=0,0,G21/E21)</f>
        <v/>
      </c>
      <c r="J21" s="8">
        <f>E21/E$24</f>
        <v/>
      </c>
      <c r="K21" s="8">
        <f>G21/G$24</f>
        <v/>
      </c>
    </row>
    <row r="22">
      <c r="A22" s="9" t="n">
        <v>14</v>
      </c>
      <c r="B22" s="9" t="inlineStr">
        <is>
          <t>Morropón</t>
        </is>
      </c>
      <c r="C22" s="9" t="inlineStr">
        <is>
          <t>Santo Domingo</t>
        </is>
      </c>
      <c r="D22" s="9">
        <f>COUNTIFS(Bloques_AI!$D$9:$D$125,B22,Bloques_AI!$E$9:$E$125,C22)</f>
        <v/>
      </c>
      <c r="E22" s="10">
        <f>SUMIFS(Bloques_AI!$F$9:$F$125,Bloques_AI!$D$9:$D$125,B22,Bloques_AI!$E$9:$E$125,C22)</f>
        <v/>
      </c>
      <c r="F22" s="9">
        <f>COUNTIFS(AI_Poligonos!$E$9:$E$138,B22,AI_Poligonos!$F$9:$F$138,C22)</f>
        <v/>
      </c>
      <c r="G22" s="10">
        <f>SUMIFS(AI_Poligonos!$G$9:$G$138,AI_Poligonos!$E$9:$E$138,B22,AI_Poligonos!$F$9:$F$138,C22)</f>
        <v/>
      </c>
      <c r="H22" s="10">
        <f>E22+G22</f>
        <v/>
      </c>
      <c r="I22" s="11">
        <f>IF(E22=0,0,G22/E22)</f>
        <v/>
      </c>
      <c r="J22" s="12">
        <f>E22/E$24</f>
        <v/>
      </c>
      <c r="K22" s="12">
        <f>G22/G$24</f>
        <v/>
      </c>
    </row>
    <row r="23">
      <c r="A23" s="5" t="n">
        <v>15</v>
      </c>
      <c r="B23" s="5" t="inlineStr">
        <is>
          <t>Morropón</t>
        </is>
      </c>
      <c r="C23" s="5" t="inlineStr">
        <is>
          <t>Yamango</t>
        </is>
      </c>
      <c r="D23" s="5">
        <f>COUNTIFS(Bloques_AI!$D$9:$D$125,B23,Bloques_AI!$E$9:$E$125,C23)</f>
        <v/>
      </c>
      <c r="E23" s="6">
        <f>SUMIFS(Bloques_AI!$F$9:$F$125,Bloques_AI!$D$9:$D$125,B23,Bloques_AI!$E$9:$E$125,C23)</f>
        <v/>
      </c>
      <c r="F23" s="5">
        <f>COUNTIFS(AI_Poligonos!$E$9:$E$138,B23,AI_Poligonos!$F$9:$F$138,C23)</f>
        <v/>
      </c>
      <c r="G23" s="6">
        <f>SUMIFS(AI_Poligonos!$G$9:$G$138,AI_Poligonos!$E$9:$E$138,B23,AI_Poligonos!$F$9:$F$138,C23)</f>
        <v/>
      </c>
      <c r="H23" s="6">
        <f>E23+G23</f>
        <v/>
      </c>
      <c r="I23" s="7">
        <f>IF(E23=0,0,G23/E23)</f>
        <v/>
      </c>
      <c r="J23" s="8">
        <f>E23/E$24</f>
        <v/>
      </c>
      <c r="K23" s="8">
        <f>G23/G$24</f>
        <v/>
      </c>
    </row>
    <row r="24">
      <c r="A24" s="13" t="inlineStr">
        <is>
          <t>TOTAL</t>
        </is>
      </c>
      <c r="B24" s="13" t="inlineStr">
        <is>
          <t>15 distritos</t>
        </is>
      </c>
      <c r="C24" s="13" t="n"/>
      <c r="D24" s="13">
        <f>SUM(D9:D23)</f>
        <v/>
      </c>
      <c r="E24" s="14">
        <f>SUM(E9:E23)</f>
        <v/>
      </c>
      <c r="F24" s="13">
        <f>SUM(F9:F23)</f>
        <v/>
      </c>
      <c r="G24" s="14">
        <f>SUM(G9:G23)</f>
        <v/>
      </c>
      <c r="H24" s="14">
        <f>SUM(H9:H23)</f>
        <v/>
      </c>
      <c r="I24" s="15">
        <f>IF(E24=0,0,G24/E24)</f>
        <v/>
      </c>
      <c r="J24" s="16">
        <f>SUM(J9:J23)</f>
        <v/>
      </c>
      <c r="K24" s="16">
        <f>SUM(K9:K23)</f>
        <v/>
      </c>
    </row>
    <row r="26">
      <c r="B26" s="17" t="inlineStr">
        <is>
          <t>Control</t>
        </is>
      </c>
    </row>
    <row r="27">
      <c r="B27" s="18" t="inlineStr">
        <is>
          <t>Total bloques = 117</t>
        </is>
      </c>
      <c r="D27" s="19">
        <f>IF(D24=117,"OK","REVISAR")</f>
        <v/>
      </c>
    </row>
    <row r="28">
      <c r="B28" s="18" t="inlineStr">
        <is>
          <t>Área bloques = Bloques_AI</t>
        </is>
      </c>
      <c r="D28" s="19">
        <f>IF(ABS(E24-SUM(Bloques_AI!$F$9:$F$125))&lt;0.001,"OK","REVISAR")</f>
        <v/>
      </c>
    </row>
    <row r="29">
      <c r="B29" s="18" t="inlineStr">
        <is>
          <t>Área AI = AI_Poligonos</t>
        </is>
      </c>
      <c r="D29" s="19">
        <f>IF(ABS(G24-SUM(AI_Poligonos!$G$9:$G$138))&lt;0.001,"OK","REVISAR")</f>
        <v/>
      </c>
    </row>
    <row r="31">
      <c r="B31" s="20" t="inlineStr">
        <is>
          <t>AI / bloques: hectáreas de área de influencia por hectárea de bloque. El AI se asigna al distrito de su bloque.</t>
        </is>
      </c>
    </row>
  </sheetData>
  <autoFilter ref="A8:K23"/>
  <mergeCells count="6">
    <mergeCell ref="A6:K6"/>
    <mergeCell ref="A4:K4"/>
    <mergeCell ref="A3:K3"/>
    <mergeCell ref="A2:K2"/>
    <mergeCell ref="A5:K5"/>
    <mergeCell ref="A1:K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1" customWidth="1" min="3" max="3"/>
    <col width="16" customWidth="1" min="4" max="4"/>
    <col width="11" customWidth="1" min="5" max="5"/>
    <col width="15" customWidth="1" min="6" max="6"/>
    <col width="16" customWidth="1" min="7" max="7"/>
    <col width="11" customWidth="1" min="8" max="8"/>
    <col width="13" customWidth="1" min="9" max="9"/>
    <col width="12" customWidth="1" min="10" max="10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BLOQUES V6 Y ÁREA DE INFLUENCIA POR PROVINCIA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Bloques V6 (Bloques V6.kml) y área de influencia aprobada (AI_aprobado_2.shp), ANIN-DIME-SESDI 2026; sin los bloques retirados 74 y 75 ni sus AI</t>
        </is>
      </c>
    </row>
    <row r="8" ht="30" customHeight="1">
      <c r="A8" s="4" t="inlineStr">
        <is>
          <t>N.°</t>
        </is>
      </c>
      <c r="B8" s="4" t="inlineStr">
        <is>
          <t>Provincia</t>
        </is>
      </c>
      <c r="C8" s="4" t="inlineStr">
        <is>
          <t>N.° bloques</t>
        </is>
      </c>
      <c r="D8" s="4" t="inlineStr">
        <is>
          <t>Área bloques (ha)</t>
        </is>
      </c>
      <c r="E8" s="4" t="inlineStr">
        <is>
          <t>Polígonos AI</t>
        </is>
      </c>
      <c r="F8" s="4" t="inlineStr">
        <is>
          <t>Área AI (ha)</t>
        </is>
      </c>
      <c r="G8" s="4" t="inlineStr">
        <is>
          <t>Bloques + AI (ha)</t>
        </is>
      </c>
      <c r="H8" s="4" t="inlineStr">
        <is>
          <t>AI / bloques</t>
        </is>
      </c>
      <c r="I8" s="4" t="inlineStr">
        <is>
          <t>% del área de bloques</t>
        </is>
      </c>
      <c r="J8" s="4" t="inlineStr">
        <is>
          <t>% del área AI</t>
        </is>
      </c>
    </row>
    <row r="9">
      <c r="A9" s="5" t="n">
        <v>1</v>
      </c>
      <c r="B9" s="5" t="inlineStr">
        <is>
          <t>Ayabaca</t>
        </is>
      </c>
      <c r="C9" s="5">
        <f>COUNTIFS(Bloques_AI!$D$9:$D$125,B9)</f>
        <v/>
      </c>
      <c r="D9" s="6">
        <f>SUMIFS(Bloques_AI!$F$9:$F$125,Bloques_AI!$D$9:$D$125,B9)</f>
        <v/>
      </c>
      <c r="E9" s="5">
        <f>COUNTIFS(AI_Poligonos!$E$9:$E$138,B9)</f>
        <v/>
      </c>
      <c r="F9" s="6">
        <f>SUMIFS(AI_Poligonos!$G$9:$G$138,AI_Poligonos!$E$9:$E$138,B9)</f>
        <v/>
      </c>
      <c r="G9" s="6">
        <f>D9+F9</f>
        <v/>
      </c>
      <c r="H9" s="7">
        <f>IF(D9=0,0,F9/D9)</f>
        <v/>
      </c>
      <c r="I9" s="8">
        <f>D9/D$12</f>
        <v/>
      </c>
      <c r="J9" s="8">
        <f>F9/F$12</f>
        <v/>
      </c>
    </row>
    <row r="10">
      <c r="A10" s="9" t="n">
        <v>2</v>
      </c>
      <c r="B10" s="9" t="inlineStr">
        <is>
          <t>Huancabamba</t>
        </is>
      </c>
      <c r="C10" s="9">
        <f>COUNTIFS(Bloques_AI!$D$9:$D$125,B10)</f>
        <v/>
      </c>
      <c r="D10" s="10">
        <f>SUMIFS(Bloques_AI!$F$9:$F$125,Bloques_AI!$D$9:$D$125,B10)</f>
        <v/>
      </c>
      <c r="E10" s="9">
        <f>COUNTIFS(AI_Poligonos!$E$9:$E$138,B10)</f>
        <v/>
      </c>
      <c r="F10" s="10">
        <f>SUMIFS(AI_Poligonos!$G$9:$G$138,AI_Poligonos!$E$9:$E$138,B10)</f>
        <v/>
      </c>
      <c r="G10" s="10">
        <f>D10+F10</f>
        <v/>
      </c>
      <c r="H10" s="11">
        <f>IF(D10=0,0,F10/D10)</f>
        <v/>
      </c>
      <c r="I10" s="12">
        <f>D10/D$12</f>
        <v/>
      </c>
      <c r="J10" s="12">
        <f>F10/F$12</f>
        <v/>
      </c>
    </row>
    <row r="11">
      <c r="A11" s="5" t="n">
        <v>3</v>
      </c>
      <c r="B11" s="5" t="inlineStr">
        <is>
          <t>Morropón</t>
        </is>
      </c>
      <c r="C11" s="5">
        <f>COUNTIFS(Bloques_AI!$D$9:$D$125,B11)</f>
        <v/>
      </c>
      <c r="D11" s="6">
        <f>SUMIFS(Bloques_AI!$F$9:$F$125,Bloques_AI!$D$9:$D$125,B11)</f>
        <v/>
      </c>
      <c r="E11" s="5">
        <f>COUNTIFS(AI_Poligonos!$E$9:$E$138,B11)</f>
        <v/>
      </c>
      <c r="F11" s="6">
        <f>SUMIFS(AI_Poligonos!$G$9:$G$138,AI_Poligonos!$E$9:$E$138,B11)</f>
        <v/>
      </c>
      <c r="G11" s="6">
        <f>D11+F11</f>
        <v/>
      </c>
      <c r="H11" s="7">
        <f>IF(D11=0,0,F11/D11)</f>
        <v/>
      </c>
      <c r="I11" s="8">
        <f>D11/D$12</f>
        <v/>
      </c>
      <c r="J11" s="8">
        <f>F11/F$12</f>
        <v/>
      </c>
    </row>
    <row r="12">
      <c r="A12" s="13" t="inlineStr">
        <is>
          <t>TOTAL</t>
        </is>
      </c>
      <c r="B12" s="13" t="inlineStr">
        <is>
          <t>3 provincias</t>
        </is>
      </c>
      <c r="C12" s="13">
        <f>SUM(C9:C11)</f>
        <v/>
      </c>
      <c r="D12" s="14">
        <f>SUM(D9:D11)</f>
        <v/>
      </c>
      <c r="E12" s="13">
        <f>SUM(E9:E11)</f>
        <v/>
      </c>
      <c r="F12" s="14">
        <f>SUM(F9:F11)</f>
        <v/>
      </c>
      <c r="G12" s="14">
        <f>SUM(G9:G11)</f>
        <v/>
      </c>
      <c r="H12" s="15">
        <f>IF(D12=0,0,F12/D12)</f>
        <v/>
      </c>
      <c r="I12" s="16">
        <f>SUM(I9:I11)</f>
        <v/>
      </c>
      <c r="J12" s="16">
        <f>SUM(J9:J11)</f>
        <v/>
      </c>
    </row>
    <row r="14">
      <c r="B14" s="17" t="inlineStr">
        <is>
          <t>Control</t>
        </is>
      </c>
    </row>
    <row r="15">
      <c r="B15" s="18" t="inlineStr">
        <is>
          <t>Total bloques = 117</t>
        </is>
      </c>
      <c r="C15" s="19">
        <f>IF(C12=117,"OK","REVISAR")</f>
        <v/>
      </c>
    </row>
    <row r="16">
      <c r="B16" s="18" t="inlineStr">
        <is>
          <t>Área bloques = Bloques_AI</t>
        </is>
      </c>
      <c r="C16" s="19">
        <f>IF(ABS(D12-SUM(Bloques_AI!$F$9:$F$125))&lt;0.001,"OK","REVISAR")</f>
        <v/>
      </c>
    </row>
    <row r="17">
      <c r="B17" s="18" t="inlineStr">
        <is>
          <t>Área AI = AI_Poligonos</t>
        </is>
      </c>
      <c r="C17" s="19">
        <f>IF(ABS(F12-SUM(AI_Poligonos!$G$9:$G$138))&lt;0.001,"OK","REVISAR")</f>
        <v/>
      </c>
    </row>
    <row r="19">
      <c r="B19" s="20" t="inlineStr">
        <is>
          <t>AI / bloques: hectáreas de área de influencia por hectárea de bloque. El AI se asigna al distrito de su bloque.</t>
        </is>
      </c>
    </row>
  </sheetData>
  <autoFilter ref="A8:J11"/>
  <mergeCells count="6">
    <mergeCell ref="A1:J1"/>
    <mergeCell ref="A5:J5"/>
    <mergeCell ref="A6:J6"/>
    <mergeCell ref="A3:J3"/>
    <mergeCell ref="A4:J4"/>
    <mergeCell ref="A2:J2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26" customWidth="1" min="5" max="5"/>
    <col width="15" customWidth="1" min="6" max="6"/>
    <col width="11" customWidth="1" min="7" max="7"/>
    <col width="14" customWidth="1" min="8" max="8"/>
    <col width="15" customWidth="1" min="9" max="9"/>
    <col width="11" customWidth="1" min="10" max="10"/>
    <col width="13" customWidth="1" min="11" max="11"/>
    <col width="14" customWidth="1" min="12" max="12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BLOQUES V6 Y SU ÁREA DE INFLUENCIA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Bloques V6 (Bloques V6.kml) y área de influencia aprobada (AI_aprobado_2.shp), ANIN-DIME-SESDI 2026; sin los bloques retirados 74 y 75 ni sus AI</t>
        </is>
      </c>
    </row>
    <row r="8" ht="30" customHeight="1">
      <c r="A8" s="4" t="inlineStr">
        <is>
          <t>N.°</t>
        </is>
      </c>
      <c r="B8" s="4" t="inlineStr">
        <is>
          <t>Bloque</t>
        </is>
      </c>
      <c r="C8" s="4" t="inlineStr">
        <is>
          <t>Microcuenca</t>
        </is>
      </c>
      <c r="D8" s="4" t="inlineStr">
        <is>
          <t>Provincia</t>
        </is>
      </c>
      <c r="E8" s="4" t="inlineStr">
        <is>
          <t>Distrito</t>
        </is>
      </c>
      <c r="F8" s="4" t="inlineStr">
        <is>
          <t>Área bloque (ha)</t>
        </is>
      </c>
      <c r="G8" s="4" t="inlineStr">
        <is>
          <t>Polígonos AI</t>
        </is>
      </c>
      <c r="H8" s="4" t="inlineStr">
        <is>
          <t>Área AI (ha)</t>
        </is>
      </c>
      <c r="I8" s="4" t="inlineStr">
        <is>
          <t>Bloque + AI (ha)</t>
        </is>
      </c>
      <c r="J8" s="4" t="inlineStr">
        <is>
          <t>AI / bloque</t>
        </is>
      </c>
      <c r="K8" s="4" t="inlineStr">
        <is>
          <t>ESTE (m)</t>
        </is>
      </c>
      <c r="L8" s="4" t="inlineStr">
        <is>
          <t>NORTE (m)</t>
        </is>
      </c>
    </row>
    <row r="9">
      <c r="A9" s="5" t="n">
        <v>1</v>
      </c>
      <c r="B9" s="5" t="inlineStr">
        <is>
          <t>27</t>
        </is>
      </c>
      <c r="C9" s="5" t="inlineStr">
        <is>
          <t>C1096-Q9556</t>
        </is>
      </c>
      <c r="D9" s="5" t="inlineStr">
        <is>
          <t>Ayabaca</t>
        </is>
      </c>
      <c r="E9" s="5" t="inlineStr">
        <is>
          <t>Frías</t>
        </is>
      </c>
      <c r="F9" s="6" t="n">
        <v>78.154</v>
      </c>
      <c r="G9" s="5">
        <f>COUNTIF(AI_Poligonos!$C$9:$C$138,B9)</f>
        <v/>
      </c>
      <c r="H9" s="6">
        <f>SUMIF(AI_Poligonos!$C$9:$C$138,B9,AI_Poligonos!$G$9:$G$138)</f>
        <v/>
      </c>
      <c r="I9" s="6">
        <f>F9+H9</f>
        <v/>
      </c>
      <c r="J9" s="7">
        <f>IF(F9=0,0,H9/F9)</f>
        <v/>
      </c>
      <c r="K9" s="21" t="n">
        <v>613421.6</v>
      </c>
      <c r="L9" s="21" t="n">
        <v>9450244.699999999</v>
      </c>
    </row>
    <row r="10">
      <c r="A10" s="9" t="n">
        <v>2</v>
      </c>
      <c r="B10" s="9" t="inlineStr">
        <is>
          <t>3</t>
        </is>
      </c>
      <c r="C10" s="9" t="inlineStr">
        <is>
          <t>C1096-Q9545</t>
        </is>
      </c>
      <c r="D10" s="9" t="inlineStr">
        <is>
          <t>Ayabaca</t>
        </is>
      </c>
      <c r="E10" s="9" t="inlineStr">
        <is>
          <t>Frías</t>
        </is>
      </c>
      <c r="F10" s="10" t="n">
        <v>459.295</v>
      </c>
      <c r="G10" s="9">
        <f>COUNTIF(AI_Poligonos!$C$9:$C$138,B10)</f>
        <v/>
      </c>
      <c r="H10" s="10">
        <f>SUMIF(AI_Poligonos!$C$9:$C$138,B10,AI_Poligonos!$G$9:$G$138)</f>
        <v/>
      </c>
      <c r="I10" s="10">
        <f>F10+H10</f>
        <v/>
      </c>
      <c r="J10" s="11">
        <f>IF(F10=0,0,H10/F10)</f>
        <v/>
      </c>
      <c r="K10" s="22" t="n">
        <v>606765.1</v>
      </c>
      <c r="L10" s="22" t="n">
        <v>9458475.9</v>
      </c>
    </row>
    <row r="11">
      <c r="A11" s="5" t="n">
        <v>3</v>
      </c>
      <c r="B11" s="5" t="inlineStr">
        <is>
          <t>36</t>
        </is>
      </c>
      <c r="C11" s="5" t="inlineStr">
        <is>
          <t>C1096-Q9547</t>
        </is>
      </c>
      <c r="D11" s="5" t="inlineStr">
        <is>
          <t>Ayabaca</t>
        </is>
      </c>
      <c r="E11" s="5" t="inlineStr">
        <is>
          <t>Frías</t>
        </is>
      </c>
      <c r="F11" s="6" t="n">
        <v>24.843</v>
      </c>
      <c r="G11" s="5">
        <f>COUNTIF(AI_Poligonos!$C$9:$C$138,B11)</f>
        <v/>
      </c>
      <c r="H11" s="6">
        <f>SUMIF(AI_Poligonos!$C$9:$C$138,B11,AI_Poligonos!$G$9:$G$138)</f>
        <v/>
      </c>
      <c r="I11" s="6">
        <f>F11+H11</f>
        <v/>
      </c>
      <c r="J11" s="7">
        <f>IF(F11=0,0,H11/F11)</f>
        <v/>
      </c>
      <c r="K11" s="21" t="n">
        <v>606332.5</v>
      </c>
      <c r="L11" s="21" t="n">
        <v>9454727</v>
      </c>
    </row>
    <row r="12">
      <c r="A12" s="9" t="n">
        <v>4</v>
      </c>
      <c r="B12" s="9" t="inlineStr">
        <is>
          <t>39</t>
        </is>
      </c>
      <c r="C12" s="9" t="inlineStr">
        <is>
          <t>C1096-Q9564</t>
        </is>
      </c>
      <c r="D12" s="9" t="inlineStr">
        <is>
          <t>Ayabaca</t>
        </is>
      </c>
      <c r="E12" s="9" t="inlineStr">
        <is>
          <t>Frías</t>
        </is>
      </c>
      <c r="F12" s="10" t="n">
        <v>68.569</v>
      </c>
      <c r="G12" s="9">
        <f>COUNTIF(AI_Poligonos!$C$9:$C$138,B12)</f>
        <v/>
      </c>
      <c r="H12" s="10">
        <f>SUMIF(AI_Poligonos!$C$9:$C$138,B12,AI_Poligonos!$G$9:$G$138)</f>
        <v/>
      </c>
      <c r="I12" s="10">
        <f>F12+H12</f>
        <v/>
      </c>
      <c r="J12" s="11">
        <f>IF(F12=0,0,H12/F12)</f>
        <v/>
      </c>
      <c r="K12" s="22" t="n">
        <v>618400.5</v>
      </c>
      <c r="L12" s="22" t="n">
        <v>9448932.4</v>
      </c>
    </row>
    <row r="13">
      <c r="A13" s="5" t="n">
        <v>5</v>
      </c>
      <c r="B13" s="5" t="inlineStr">
        <is>
          <t>56</t>
        </is>
      </c>
      <c r="C13" s="5" t="inlineStr">
        <is>
          <t>C1096-Q9564</t>
        </is>
      </c>
      <c r="D13" s="5" t="inlineStr">
        <is>
          <t>Ayabaca</t>
        </is>
      </c>
      <c r="E13" s="5" t="inlineStr">
        <is>
          <t>Frías</t>
        </is>
      </c>
      <c r="F13" s="6" t="n">
        <v>77.666</v>
      </c>
      <c r="G13" s="5">
        <f>COUNTIF(AI_Poligonos!$C$9:$C$138,B13)</f>
        <v/>
      </c>
      <c r="H13" s="6">
        <f>SUMIF(AI_Poligonos!$C$9:$C$138,B13,AI_Poligonos!$G$9:$G$138)</f>
        <v/>
      </c>
      <c r="I13" s="6">
        <f>F13+H13</f>
        <v/>
      </c>
      <c r="J13" s="7">
        <f>IF(F13=0,0,H13/F13)</f>
        <v/>
      </c>
      <c r="K13" s="21" t="n">
        <v>621631</v>
      </c>
      <c r="L13" s="21" t="n">
        <v>9452849.300000001</v>
      </c>
    </row>
    <row r="14">
      <c r="A14" s="9" t="n">
        <v>6</v>
      </c>
      <c r="B14" s="9" t="inlineStr">
        <is>
          <t>6</t>
        </is>
      </c>
      <c r="C14" s="9" t="inlineStr">
        <is>
          <t>C1096-Q9547</t>
        </is>
      </c>
      <c r="D14" s="9" t="inlineStr">
        <is>
          <t>Ayabaca</t>
        </is>
      </c>
      <c r="E14" s="9" t="inlineStr">
        <is>
          <t>Frías</t>
        </is>
      </c>
      <c r="F14" s="10" t="n">
        <v>168.411</v>
      </c>
      <c r="G14" s="9">
        <f>COUNTIF(AI_Poligonos!$C$9:$C$138,B14)</f>
        <v/>
      </c>
      <c r="H14" s="10">
        <f>SUMIF(AI_Poligonos!$C$9:$C$138,B14,AI_Poligonos!$G$9:$G$138)</f>
        <v/>
      </c>
      <c r="I14" s="10">
        <f>F14+H14</f>
        <v/>
      </c>
      <c r="J14" s="11">
        <f>IF(F14=0,0,H14/F14)</f>
        <v/>
      </c>
      <c r="K14" s="22" t="n">
        <v>605211.2</v>
      </c>
      <c r="L14" s="22" t="n">
        <v>9455229.199999999</v>
      </c>
    </row>
    <row r="15">
      <c r="A15" s="5" t="n">
        <v>7</v>
      </c>
      <c r="B15" s="5" t="inlineStr">
        <is>
          <t>M17B10</t>
        </is>
      </c>
      <c r="C15" s="5" t="inlineStr">
        <is>
          <t>C1096-Q9556</t>
        </is>
      </c>
      <c r="D15" s="5" t="inlineStr">
        <is>
          <t>Ayabaca</t>
        </is>
      </c>
      <c r="E15" s="5" t="inlineStr">
        <is>
          <t>Frías</t>
        </is>
      </c>
      <c r="F15" s="6" t="n">
        <v>75.363</v>
      </c>
      <c r="G15" s="5">
        <f>COUNTIF(AI_Poligonos!$C$9:$C$138,B15)</f>
        <v/>
      </c>
      <c r="H15" s="6">
        <f>SUMIF(AI_Poligonos!$C$9:$C$138,B15,AI_Poligonos!$G$9:$G$138)</f>
        <v/>
      </c>
      <c r="I15" s="6">
        <f>F15+H15</f>
        <v/>
      </c>
      <c r="J15" s="7">
        <f>IF(F15=0,0,H15/F15)</f>
        <v/>
      </c>
      <c r="K15" s="21" t="n">
        <v>606090.3</v>
      </c>
      <c r="L15" s="21" t="n">
        <v>9447318.800000001</v>
      </c>
    </row>
    <row r="16">
      <c r="A16" s="9" t="n">
        <v>8</v>
      </c>
      <c r="B16" s="9" t="inlineStr">
        <is>
          <t>M17B5</t>
        </is>
      </c>
      <c r="C16" s="9" t="inlineStr">
        <is>
          <t>C1096-Q9556</t>
        </is>
      </c>
      <c r="D16" s="9" t="inlineStr">
        <is>
          <t>Ayabaca</t>
        </is>
      </c>
      <c r="E16" s="9" t="inlineStr">
        <is>
          <t>Frías</t>
        </is>
      </c>
      <c r="F16" s="10" t="n">
        <v>74.02800000000001</v>
      </c>
      <c r="G16" s="9">
        <f>COUNTIF(AI_Poligonos!$C$9:$C$138,B16)</f>
        <v/>
      </c>
      <c r="H16" s="10">
        <f>SUMIF(AI_Poligonos!$C$9:$C$138,B16,AI_Poligonos!$G$9:$G$138)</f>
        <v/>
      </c>
      <c r="I16" s="10">
        <f>F16+H16</f>
        <v/>
      </c>
      <c r="J16" s="11">
        <f>IF(F16=0,0,H16/F16)</f>
        <v/>
      </c>
      <c r="K16" s="22" t="n">
        <v>608933</v>
      </c>
      <c r="L16" s="22" t="n">
        <v>9445588.300000001</v>
      </c>
    </row>
    <row r="17">
      <c r="A17" s="5" t="n">
        <v>9</v>
      </c>
      <c r="B17" s="5" t="inlineStr">
        <is>
          <t>M17B6</t>
        </is>
      </c>
      <c r="C17" s="5" t="inlineStr">
        <is>
          <t>C1096-Q9556</t>
        </is>
      </c>
      <c r="D17" s="5" t="inlineStr">
        <is>
          <t>Ayabaca</t>
        </is>
      </c>
      <c r="E17" s="5" t="inlineStr">
        <is>
          <t>Frías</t>
        </is>
      </c>
      <c r="F17" s="6" t="n">
        <v>106.538</v>
      </c>
      <c r="G17" s="5">
        <f>COUNTIF(AI_Poligonos!$C$9:$C$138,B17)</f>
        <v/>
      </c>
      <c r="H17" s="6">
        <f>SUMIF(AI_Poligonos!$C$9:$C$138,B17,AI_Poligonos!$G$9:$G$138)</f>
        <v/>
      </c>
      <c r="I17" s="6">
        <f>F17+H17</f>
        <v/>
      </c>
      <c r="J17" s="7">
        <f>IF(F17=0,0,H17/F17)</f>
        <v/>
      </c>
      <c r="K17" s="21" t="n">
        <v>607245.2</v>
      </c>
      <c r="L17" s="21" t="n">
        <v>9446176.6</v>
      </c>
    </row>
    <row r="18">
      <c r="A18" s="9" t="n">
        <v>10</v>
      </c>
      <c r="B18" s="9" t="inlineStr">
        <is>
          <t>M17B7</t>
        </is>
      </c>
      <c r="C18" s="9" t="inlineStr">
        <is>
          <t>C1096-Q9556</t>
        </is>
      </c>
      <c r="D18" s="9" t="inlineStr">
        <is>
          <t>Ayabaca</t>
        </is>
      </c>
      <c r="E18" s="9" t="inlineStr">
        <is>
          <t>Frías</t>
        </is>
      </c>
      <c r="F18" s="10" t="n">
        <v>258.837</v>
      </c>
      <c r="G18" s="9">
        <f>COUNTIF(AI_Poligonos!$C$9:$C$138,B18)</f>
        <v/>
      </c>
      <c r="H18" s="10">
        <f>SUMIF(AI_Poligonos!$C$9:$C$138,B18,AI_Poligonos!$G$9:$G$138)</f>
        <v/>
      </c>
      <c r="I18" s="10">
        <f>F18+H18</f>
        <v/>
      </c>
      <c r="J18" s="11">
        <f>IF(F18=0,0,H18/F18)</f>
        <v/>
      </c>
      <c r="K18" s="22" t="n">
        <v>608879.8</v>
      </c>
      <c r="L18" s="22" t="n">
        <v>9448019.199999999</v>
      </c>
    </row>
    <row r="19">
      <c r="A19" s="5" t="n">
        <v>11</v>
      </c>
      <c r="B19" s="5" t="inlineStr">
        <is>
          <t>21</t>
        </is>
      </c>
      <c r="C19" s="5" t="inlineStr">
        <is>
          <t>C1081-Q9591</t>
        </is>
      </c>
      <c r="D19" s="5" t="inlineStr">
        <is>
          <t>Huancabamba</t>
        </is>
      </c>
      <c r="E19" s="5" t="inlineStr">
        <is>
          <t>Canchaque</t>
        </is>
      </c>
      <c r="F19" s="6" t="n">
        <v>84.227</v>
      </c>
      <c r="G19" s="5">
        <f>COUNTIF(AI_Poligonos!$C$9:$C$138,B19)</f>
        <v/>
      </c>
      <c r="H19" s="6">
        <f>SUMIF(AI_Poligonos!$C$9:$C$138,B19,AI_Poligonos!$G$9:$G$138)</f>
        <v/>
      </c>
      <c r="I19" s="6">
        <f>F19+H19</f>
        <v/>
      </c>
      <c r="J19" s="7">
        <f>IF(F19=0,0,H19/F19)</f>
        <v/>
      </c>
      <c r="K19" s="21" t="n">
        <v>654592.1</v>
      </c>
      <c r="L19" s="21" t="n">
        <v>9417738.6</v>
      </c>
    </row>
    <row r="20">
      <c r="A20" s="9" t="n">
        <v>12</v>
      </c>
      <c r="B20" s="9" t="inlineStr">
        <is>
          <t>24</t>
        </is>
      </c>
      <c r="C20" s="9" t="inlineStr">
        <is>
          <t>C1081-Q9583</t>
        </is>
      </c>
      <c r="D20" s="9" t="inlineStr">
        <is>
          <t>Huancabamba</t>
        </is>
      </c>
      <c r="E20" s="9" t="inlineStr">
        <is>
          <t>Canchaque</t>
        </is>
      </c>
      <c r="F20" s="10" t="n">
        <v>90.15900000000001</v>
      </c>
      <c r="G20" s="9">
        <f>COUNTIF(AI_Poligonos!$C$9:$C$138,B20)</f>
        <v/>
      </c>
      <c r="H20" s="10">
        <f>SUMIF(AI_Poligonos!$C$9:$C$138,B20,AI_Poligonos!$G$9:$G$138)</f>
        <v/>
      </c>
      <c r="I20" s="10">
        <f>F20+H20</f>
        <v/>
      </c>
      <c r="J20" s="11">
        <f>IF(F20=0,0,H20/F20)</f>
        <v/>
      </c>
      <c r="K20" s="22" t="n">
        <v>652157.3</v>
      </c>
      <c r="L20" s="22" t="n">
        <v>9414359.199999999</v>
      </c>
    </row>
    <row r="21">
      <c r="A21" s="5" t="n">
        <v>13</v>
      </c>
      <c r="B21" s="5" t="inlineStr">
        <is>
          <t>28</t>
        </is>
      </c>
      <c r="C21" s="5" t="inlineStr">
        <is>
          <t>C1081-Q9591</t>
        </is>
      </c>
      <c r="D21" s="5" t="inlineStr">
        <is>
          <t>Huancabamba</t>
        </is>
      </c>
      <c r="E21" s="5" t="inlineStr">
        <is>
          <t>Canchaque</t>
        </is>
      </c>
      <c r="F21" s="6" t="n">
        <v>52.966</v>
      </c>
      <c r="G21" s="5">
        <f>COUNTIF(AI_Poligonos!$C$9:$C$138,B21)</f>
        <v/>
      </c>
      <c r="H21" s="6">
        <f>SUMIF(AI_Poligonos!$C$9:$C$138,B21,AI_Poligonos!$G$9:$G$138)</f>
        <v/>
      </c>
      <c r="I21" s="6">
        <f>F21+H21</f>
        <v/>
      </c>
      <c r="J21" s="7">
        <f>IF(F21=0,0,H21/F21)</f>
        <v/>
      </c>
      <c r="K21" s="21" t="n">
        <v>654200.9</v>
      </c>
      <c r="L21" s="21" t="n">
        <v>9422864.800000001</v>
      </c>
    </row>
    <row r="22">
      <c r="A22" s="9" t="n">
        <v>14</v>
      </c>
      <c r="B22" s="9" t="inlineStr">
        <is>
          <t>30</t>
        </is>
      </c>
      <c r="C22" s="9" t="inlineStr">
        <is>
          <t>C1081-Q9591</t>
        </is>
      </c>
      <c r="D22" s="9" t="inlineStr">
        <is>
          <t>Huancabamba</t>
        </is>
      </c>
      <c r="E22" s="9" t="inlineStr">
        <is>
          <t>Canchaque</t>
        </is>
      </c>
      <c r="F22" s="10" t="n">
        <v>34.874</v>
      </c>
      <c r="G22" s="9">
        <f>COUNTIF(AI_Poligonos!$C$9:$C$138,B22)</f>
        <v/>
      </c>
      <c r="H22" s="10">
        <f>SUMIF(AI_Poligonos!$C$9:$C$138,B22,AI_Poligonos!$G$9:$G$138)</f>
        <v/>
      </c>
      <c r="I22" s="10">
        <f>F22+H22</f>
        <v/>
      </c>
      <c r="J22" s="11">
        <f>IF(F22=0,0,H22/F22)</f>
        <v/>
      </c>
      <c r="K22" s="22" t="n">
        <v>652805.8</v>
      </c>
      <c r="L22" s="22" t="n">
        <v>9424369.1</v>
      </c>
    </row>
    <row r="23">
      <c r="A23" s="5" t="n">
        <v>15</v>
      </c>
      <c r="B23" s="5" t="inlineStr">
        <is>
          <t>40</t>
        </is>
      </c>
      <c r="C23" s="5" t="inlineStr">
        <is>
          <t>C1081-Q9591</t>
        </is>
      </c>
      <c r="D23" s="5" t="inlineStr">
        <is>
          <t>Huancabamba</t>
        </is>
      </c>
      <c r="E23" s="5" t="inlineStr">
        <is>
          <t>Canchaque</t>
        </is>
      </c>
      <c r="F23" s="6" t="n">
        <v>28.523</v>
      </c>
      <c r="G23" s="5">
        <f>COUNTIF(AI_Poligonos!$C$9:$C$138,B23)</f>
        <v/>
      </c>
      <c r="H23" s="6">
        <f>SUMIF(AI_Poligonos!$C$9:$C$138,B23,AI_Poligonos!$G$9:$G$138)</f>
        <v/>
      </c>
      <c r="I23" s="6">
        <f>F23+H23</f>
        <v/>
      </c>
      <c r="J23" s="7">
        <f>IF(F23=0,0,H23/F23)</f>
        <v/>
      </c>
      <c r="K23" s="21" t="n">
        <v>654139.1</v>
      </c>
      <c r="L23" s="21" t="n">
        <v>9424423.199999999</v>
      </c>
    </row>
    <row r="24">
      <c r="A24" s="9" t="n">
        <v>16</v>
      </c>
      <c r="B24" s="9" t="inlineStr">
        <is>
          <t>60</t>
        </is>
      </c>
      <c r="C24" s="9" t="inlineStr">
        <is>
          <t>C1081-Q9591</t>
        </is>
      </c>
      <c r="D24" s="9" t="inlineStr">
        <is>
          <t>Huancabamba</t>
        </is>
      </c>
      <c r="E24" s="9" t="inlineStr">
        <is>
          <t>Canchaque</t>
        </is>
      </c>
      <c r="F24" s="10" t="n">
        <v>40.132</v>
      </c>
      <c r="G24" s="9">
        <f>COUNTIF(AI_Poligonos!$C$9:$C$138,B24)</f>
        <v/>
      </c>
      <c r="H24" s="10">
        <f>SUMIF(AI_Poligonos!$C$9:$C$138,B24,AI_Poligonos!$G$9:$G$138)</f>
        <v/>
      </c>
      <c r="I24" s="10">
        <f>F24+H24</f>
        <v/>
      </c>
      <c r="J24" s="11">
        <f>IF(F24=0,0,H24/F24)</f>
        <v/>
      </c>
      <c r="K24" s="22" t="n">
        <v>653839.5</v>
      </c>
      <c r="L24" s="22" t="n">
        <v>9426208.800000001</v>
      </c>
    </row>
    <row r="25">
      <c r="A25" s="5" t="n">
        <v>17</v>
      </c>
      <c r="B25" s="5" t="inlineStr">
        <is>
          <t>63</t>
        </is>
      </c>
      <c r="C25" s="5" t="inlineStr">
        <is>
          <t>C1081-Q9583</t>
        </is>
      </c>
      <c r="D25" s="5" t="inlineStr">
        <is>
          <t>Huancabamba</t>
        </is>
      </c>
      <c r="E25" s="5" t="inlineStr">
        <is>
          <t>Canchaque</t>
        </is>
      </c>
      <c r="F25" s="6" t="n">
        <v>50.459</v>
      </c>
      <c r="G25" s="5">
        <f>COUNTIF(AI_Poligonos!$C$9:$C$138,B25)</f>
        <v/>
      </c>
      <c r="H25" s="6">
        <f>SUMIF(AI_Poligonos!$C$9:$C$138,B25,AI_Poligonos!$G$9:$G$138)</f>
        <v/>
      </c>
      <c r="I25" s="6">
        <f>F25+H25</f>
        <v/>
      </c>
      <c r="J25" s="7">
        <f>IF(F25=0,0,H25/F25)</f>
        <v/>
      </c>
      <c r="K25" s="21" t="n">
        <v>655103.2</v>
      </c>
      <c r="L25" s="21" t="n">
        <v>9413845.1</v>
      </c>
    </row>
    <row r="26">
      <c r="A26" s="9" t="n">
        <v>18</v>
      </c>
      <c r="B26" s="9" t="inlineStr">
        <is>
          <t>66</t>
        </is>
      </c>
      <c r="C26" s="9" t="inlineStr">
        <is>
          <t>C1081-Q9591</t>
        </is>
      </c>
      <c r="D26" s="9" t="inlineStr">
        <is>
          <t>Huancabamba</t>
        </is>
      </c>
      <c r="E26" s="9" t="inlineStr">
        <is>
          <t>Canchaque</t>
        </is>
      </c>
      <c r="F26" s="10" t="n">
        <v>102.335</v>
      </c>
      <c r="G26" s="9">
        <f>COUNTIF(AI_Poligonos!$C$9:$C$138,B26)</f>
        <v/>
      </c>
      <c r="H26" s="10">
        <f>SUMIF(AI_Poligonos!$C$9:$C$138,B26,AI_Poligonos!$G$9:$G$138)</f>
        <v/>
      </c>
      <c r="I26" s="10">
        <f>F26+H26</f>
        <v/>
      </c>
      <c r="J26" s="11">
        <f>IF(F26=0,0,H26/F26)</f>
        <v/>
      </c>
      <c r="K26" s="22" t="n">
        <v>652505.8</v>
      </c>
      <c r="L26" s="22" t="n">
        <v>9417286.199999999</v>
      </c>
    </row>
    <row r="27">
      <c r="A27" s="5" t="n">
        <v>19</v>
      </c>
      <c r="B27" s="5" t="inlineStr">
        <is>
          <t>79</t>
        </is>
      </c>
      <c r="C27" s="5" t="inlineStr">
        <is>
          <t>C1076-Q9587</t>
        </is>
      </c>
      <c r="D27" s="5" t="inlineStr">
        <is>
          <t>Huancabamba</t>
        </is>
      </c>
      <c r="E27" s="5" t="inlineStr">
        <is>
          <t>Canchaque</t>
        </is>
      </c>
      <c r="F27" s="6" t="n">
        <v>94.812</v>
      </c>
      <c r="G27" s="5">
        <f>COUNTIF(AI_Poligonos!$C$9:$C$138,B27)</f>
        <v/>
      </c>
      <c r="H27" s="6">
        <f>SUMIF(AI_Poligonos!$C$9:$C$138,B27,AI_Poligonos!$G$9:$G$138)</f>
        <v/>
      </c>
      <c r="I27" s="6">
        <f>F27+H27</f>
        <v/>
      </c>
      <c r="J27" s="7">
        <f>IF(F27=0,0,H27/F27)</f>
        <v/>
      </c>
      <c r="K27" s="21" t="n">
        <v>650315.4</v>
      </c>
      <c r="L27" s="21" t="n">
        <v>9402803.6</v>
      </c>
    </row>
    <row r="28">
      <c r="A28" s="9" t="n">
        <v>20</v>
      </c>
      <c r="B28" s="9" t="inlineStr">
        <is>
          <t>81</t>
        </is>
      </c>
      <c r="C28" s="9" t="inlineStr">
        <is>
          <t>C1076-Q9585</t>
        </is>
      </c>
      <c r="D28" s="9" t="inlineStr">
        <is>
          <t>Huancabamba</t>
        </is>
      </c>
      <c r="E28" s="9" t="inlineStr">
        <is>
          <t>Canchaque</t>
        </is>
      </c>
      <c r="F28" s="10" t="n">
        <v>8.929</v>
      </c>
      <c r="G28" s="9">
        <f>COUNTIF(AI_Poligonos!$C$9:$C$138,B28)</f>
        <v/>
      </c>
      <c r="H28" s="10">
        <f>SUMIF(AI_Poligonos!$C$9:$C$138,B28,AI_Poligonos!$G$9:$G$138)</f>
        <v/>
      </c>
      <c r="I28" s="10">
        <f>F28+H28</f>
        <v/>
      </c>
      <c r="J28" s="11">
        <f>IF(F28=0,0,H28/F28)</f>
        <v/>
      </c>
      <c r="K28" s="22" t="n">
        <v>641547.1</v>
      </c>
      <c r="L28" s="22" t="n">
        <v>9401376.1</v>
      </c>
    </row>
    <row r="29">
      <c r="A29" s="5" t="n">
        <v>21</v>
      </c>
      <c r="B29" s="5" t="inlineStr">
        <is>
          <t>64</t>
        </is>
      </c>
      <c r="C29" s="5" t="inlineStr">
        <is>
          <t>C1081-Q9591</t>
        </is>
      </c>
      <c r="D29" s="5" t="inlineStr">
        <is>
          <t>Huancabamba</t>
        </is>
      </c>
      <c r="E29" s="5" t="inlineStr">
        <is>
          <t>Huancabamba</t>
        </is>
      </c>
      <c r="F29" s="6" t="n">
        <v>35.774</v>
      </c>
      <c r="G29" s="5">
        <f>COUNTIF(AI_Poligonos!$C$9:$C$138,B29)</f>
        <v/>
      </c>
      <c r="H29" s="6">
        <f>SUMIF(AI_Poligonos!$C$9:$C$138,B29,AI_Poligonos!$G$9:$G$138)</f>
        <v/>
      </c>
      <c r="I29" s="6">
        <f>F29+H29</f>
        <v/>
      </c>
      <c r="J29" s="7">
        <f>IF(F29=0,0,H29/F29)</f>
        <v/>
      </c>
      <c r="K29" s="21" t="n">
        <v>657855.7</v>
      </c>
      <c r="L29" s="21" t="n">
        <v>9428527.6</v>
      </c>
    </row>
    <row r="30">
      <c r="A30" s="9" t="n">
        <v>22</v>
      </c>
      <c r="B30" s="9" t="inlineStr">
        <is>
          <t>M30B5</t>
        </is>
      </c>
      <c r="C30" s="9" t="inlineStr">
        <is>
          <t>C1081-Q9591</t>
        </is>
      </c>
      <c r="D30" s="9" t="inlineStr">
        <is>
          <t>Huancabamba</t>
        </is>
      </c>
      <c r="E30" s="9" t="inlineStr">
        <is>
          <t>Huancabamba</t>
        </is>
      </c>
      <c r="F30" s="10" t="n">
        <v>90.90300000000001</v>
      </c>
      <c r="G30" s="9">
        <f>COUNTIF(AI_Poligonos!$C$9:$C$138,B30)</f>
        <v/>
      </c>
      <c r="H30" s="10">
        <f>SUMIF(AI_Poligonos!$C$9:$C$138,B30,AI_Poligonos!$G$9:$G$138)</f>
        <v/>
      </c>
      <c r="I30" s="10">
        <f>F30+H30</f>
        <v/>
      </c>
      <c r="J30" s="11">
        <f>IF(F30=0,0,H30/F30)</f>
        <v/>
      </c>
      <c r="K30" s="22" t="n">
        <v>655561.3</v>
      </c>
      <c r="L30" s="22" t="n">
        <v>9427283.800000001</v>
      </c>
    </row>
    <row r="31">
      <c r="A31" s="5" t="n">
        <v>23</v>
      </c>
      <c r="B31" s="5" t="inlineStr">
        <is>
          <t>10</t>
        </is>
      </c>
      <c r="C31" s="5" t="inlineStr">
        <is>
          <t>C1076-Q9593</t>
        </is>
      </c>
      <c r="D31" s="5" t="inlineStr">
        <is>
          <t>Huancabamba</t>
        </is>
      </c>
      <c r="E31" s="5" t="inlineStr">
        <is>
          <t>Huarmaca</t>
        </is>
      </c>
      <c r="F31" s="6" t="n">
        <v>150.214</v>
      </c>
      <c r="G31" s="5">
        <f>COUNTIF(AI_Poligonos!$C$9:$C$138,B31)</f>
        <v/>
      </c>
      <c r="H31" s="6">
        <f>SUMIF(AI_Poligonos!$C$9:$C$138,B31,AI_Poligonos!$G$9:$G$138)</f>
        <v/>
      </c>
      <c r="I31" s="6">
        <f>F31+H31</f>
        <v/>
      </c>
      <c r="J31" s="7">
        <f>IF(F31=0,0,H31/F31)</f>
        <v/>
      </c>
      <c r="K31" s="21" t="n">
        <v>650843.9</v>
      </c>
      <c r="L31" s="21" t="n">
        <v>9382271.5</v>
      </c>
    </row>
    <row r="32">
      <c r="A32" s="9" t="n">
        <v>24</v>
      </c>
      <c r="B32" s="9" t="inlineStr">
        <is>
          <t>16</t>
        </is>
      </c>
      <c r="C32" s="9" t="inlineStr">
        <is>
          <t>C1076-Q9593</t>
        </is>
      </c>
      <c r="D32" s="9" t="inlineStr">
        <is>
          <t>Huancabamba</t>
        </is>
      </c>
      <c r="E32" s="9" t="inlineStr">
        <is>
          <t>Huarmaca</t>
        </is>
      </c>
      <c r="F32" s="10" t="n">
        <v>83.327</v>
      </c>
      <c r="G32" s="9">
        <f>COUNTIF(AI_Poligonos!$C$9:$C$138,B32)</f>
        <v/>
      </c>
      <c r="H32" s="10">
        <f>SUMIF(AI_Poligonos!$C$9:$C$138,B32,AI_Poligonos!$G$9:$G$138)</f>
        <v/>
      </c>
      <c r="I32" s="10">
        <f>F32+H32</f>
        <v/>
      </c>
      <c r="J32" s="11">
        <f>IF(F32=0,0,H32/F32)</f>
        <v/>
      </c>
      <c r="K32" s="22" t="n">
        <v>652998.5</v>
      </c>
      <c r="L32" s="22" t="n">
        <v>9382089.1</v>
      </c>
    </row>
    <row r="33">
      <c r="A33" s="5" t="n">
        <v>25</v>
      </c>
      <c r="B33" s="5" t="inlineStr">
        <is>
          <t>18</t>
        </is>
      </c>
      <c r="C33" s="5" t="inlineStr">
        <is>
          <t>C1076-Q9592</t>
        </is>
      </c>
      <c r="D33" s="5" t="inlineStr">
        <is>
          <t>Huancabamba</t>
        </is>
      </c>
      <c r="E33" s="5" t="inlineStr">
        <is>
          <t>Huarmaca</t>
        </is>
      </c>
      <c r="F33" s="6" t="n">
        <v>103.617</v>
      </c>
      <c r="G33" s="5">
        <f>COUNTIF(AI_Poligonos!$C$9:$C$138,B33)</f>
        <v/>
      </c>
      <c r="H33" s="6">
        <f>SUMIF(AI_Poligonos!$C$9:$C$138,B33,AI_Poligonos!$G$9:$G$138)</f>
        <v/>
      </c>
      <c r="I33" s="6">
        <f>F33+H33</f>
        <v/>
      </c>
      <c r="J33" s="7">
        <f>IF(F33=0,0,H33/F33)</f>
        <v/>
      </c>
      <c r="K33" s="21" t="n">
        <v>656496.7</v>
      </c>
      <c r="L33" s="21" t="n">
        <v>9393227.4</v>
      </c>
    </row>
    <row r="34">
      <c r="A34" s="9" t="n">
        <v>26</v>
      </c>
      <c r="B34" s="9" t="inlineStr">
        <is>
          <t>19</t>
        </is>
      </c>
      <c r="C34" s="9" t="inlineStr">
        <is>
          <t>C1076-Q9592</t>
        </is>
      </c>
      <c r="D34" s="9" t="inlineStr">
        <is>
          <t>Huancabamba</t>
        </is>
      </c>
      <c r="E34" s="9" t="inlineStr">
        <is>
          <t>Huarmaca</t>
        </is>
      </c>
      <c r="F34" s="10" t="n">
        <v>82.08799999999999</v>
      </c>
      <c r="G34" s="9">
        <f>COUNTIF(AI_Poligonos!$C$9:$C$138,B34)</f>
        <v/>
      </c>
      <c r="H34" s="10">
        <f>SUMIF(AI_Poligonos!$C$9:$C$138,B34,AI_Poligonos!$G$9:$G$138)</f>
        <v/>
      </c>
      <c r="I34" s="10">
        <f>F34+H34</f>
        <v/>
      </c>
      <c r="J34" s="11">
        <f>IF(F34=0,0,H34/F34)</f>
        <v/>
      </c>
      <c r="K34" s="22" t="n">
        <v>666074</v>
      </c>
      <c r="L34" s="22" t="n">
        <v>9391156.4</v>
      </c>
    </row>
    <row r="35">
      <c r="A35" s="5" t="n">
        <v>27</v>
      </c>
      <c r="B35" s="5" t="inlineStr">
        <is>
          <t>20</t>
        </is>
      </c>
      <c r="C35" s="5" t="inlineStr">
        <is>
          <t>C1076-Q9593</t>
        </is>
      </c>
      <c r="D35" s="5" t="inlineStr">
        <is>
          <t>Huancabamba</t>
        </is>
      </c>
      <c r="E35" s="5" t="inlineStr">
        <is>
          <t>Huarmaca</t>
        </is>
      </c>
      <c r="F35" s="6" t="n">
        <v>81.334</v>
      </c>
      <c r="G35" s="5">
        <f>COUNTIF(AI_Poligonos!$C$9:$C$138,B35)</f>
        <v/>
      </c>
      <c r="H35" s="6">
        <f>SUMIF(AI_Poligonos!$C$9:$C$138,B35,AI_Poligonos!$G$9:$G$138)</f>
        <v/>
      </c>
      <c r="I35" s="6">
        <f>F35+H35</f>
        <v/>
      </c>
      <c r="J35" s="7">
        <f>IF(F35=0,0,H35/F35)</f>
        <v/>
      </c>
      <c r="K35" s="21" t="n">
        <v>649854.6</v>
      </c>
      <c r="L35" s="21" t="n">
        <v>9376252.5</v>
      </c>
    </row>
    <row r="36">
      <c r="A36" s="9" t="n">
        <v>28</v>
      </c>
      <c r="B36" s="9" t="inlineStr">
        <is>
          <t>31</t>
        </is>
      </c>
      <c r="C36" s="9" t="inlineStr">
        <is>
          <t>C1076-Q9592</t>
        </is>
      </c>
      <c r="D36" s="9" t="inlineStr">
        <is>
          <t>Huancabamba</t>
        </is>
      </c>
      <c r="E36" s="9" t="inlineStr">
        <is>
          <t>Huarmaca</t>
        </is>
      </c>
      <c r="F36" s="10" t="n">
        <v>47.581</v>
      </c>
      <c r="G36" s="9">
        <f>COUNTIF(AI_Poligonos!$C$9:$C$138,B36)</f>
        <v/>
      </c>
      <c r="H36" s="10">
        <f>SUMIF(AI_Poligonos!$C$9:$C$138,B36,AI_Poligonos!$G$9:$G$138)</f>
        <v/>
      </c>
      <c r="I36" s="10">
        <f>F36+H36</f>
        <v/>
      </c>
      <c r="J36" s="11">
        <f>IF(F36=0,0,H36/F36)</f>
        <v/>
      </c>
      <c r="K36" s="22" t="n">
        <v>663455.2</v>
      </c>
      <c r="L36" s="22" t="n">
        <v>9392828.699999999</v>
      </c>
    </row>
    <row r="37">
      <c r="A37" s="5" t="n">
        <v>29</v>
      </c>
      <c r="B37" s="5" t="inlineStr">
        <is>
          <t>4</t>
        </is>
      </c>
      <c r="C37" s="5" t="inlineStr">
        <is>
          <t>C1076-Q9588</t>
        </is>
      </c>
      <c r="D37" s="5" t="inlineStr">
        <is>
          <t>Huancabamba</t>
        </is>
      </c>
      <c r="E37" s="5" t="inlineStr">
        <is>
          <t>Huarmaca</t>
        </is>
      </c>
      <c r="F37" s="6" t="n">
        <v>230.098</v>
      </c>
      <c r="G37" s="5">
        <f>COUNTIF(AI_Poligonos!$C$9:$C$138,B37)</f>
        <v/>
      </c>
      <c r="H37" s="6">
        <f>SUMIF(AI_Poligonos!$C$9:$C$138,B37,AI_Poligonos!$G$9:$G$138)</f>
        <v/>
      </c>
      <c r="I37" s="6">
        <f>F37+H37</f>
        <v/>
      </c>
      <c r="J37" s="7">
        <f>IF(F37=0,0,H37/F37)</f>
        <v/>
      </c>
      <c r="K37" s="21" t="n">
        <v>656396.8</v>
      </c>
      <c r="L37" s="21" t="n">
        <v>9382027.300000001</v>
      </c>
    </row>
    <row r="38">
      <c r="A38" s="9" t="n">
        <v>30</v>
      </c>
      <c r="B38" s="9" t="inlineStr">
        <is>
          <t>41</t>
        </is>
      </c>
      <c r="C38" s="9" t="inlineStr">
        <is>
          <t>C1076-Q9592</t>
        </is>
      </c>
      <c r="D38" s="9" t="inlineStr">
        <is>
          <t>Huancabamba</t>
        </is>
      </c>
      <c r="E38" s="9" t="inlineStr">
        <is>
          <t>Huarmaca</t>
        </is>
      </c>
      <c r="F38" s="10" t="n">
        <v>64.923</v>
      </c>
      <c r="G38" s="9">
        <f>COUNTIF(AI_Poligonos!$C$9:$C$138,B38)</f>
        <v/>
      </c>
      <c r="H38" s="10">
        <f>SUMIF(AI_Poligonos!$C$9:$C$138,B38,AI_Poligonos!$G$9:$G$138)</f>
        <v/>
      </c>
      <c r="I38" s="10">
        <f>F38+H38</f>
        <v/>
      </c>
      <c r="J38" s="11">
        <f>IF(F38=0,0,H38/F38)</f>
        <v/>
      </c>
      <c r="K38" s="22" t="n">
        <v>660617.8</v>
      </c>
      <c r="L38" s="22" t="n">
        <v>9394342.699999999</v>
      </c>
    </row>
    <row r="39">
      <c r="A39" s="5" t="n">
        <v>31</v>
      </c>
      <c r="B39" s="5" t="inlineStr">
        <is>
          <t>51</t>
        </is>
      </c>
      <c r="C39" s="5" t="inlineStr">
        <is>
          <t>C1076-Q9593</t>
        </is>
      </c>
      <c r="D39" s="5" t="inlineStr">
        <is>
          <t>Huancabamba</t>
        </is>
      </c>
      <c r="E39" s="5" t="inlineStr">
        <is>
          <t>Huarmaca</t>
        </is>
      </c>
      <c r="F39" s="6" t="n">
        <v>22.927</v>
      </c>
      <c r="G39" s="5">
        <f>COUNTIF(AI_Poligonos!$C$9:$C$138,B39)</f>
        <v/>
      </c>
      <c r="H39" s="6">
        <f>SUMIF(AI_Poligonos!$C$9:$C$138,B39,AI_Poligonos!$G$9:$G$138)</f>
        <v/>
      </c>
      <c r="I39" s="6">
        <f>F39+H39</f>
        <v/>
      </c>
      <c r="J39" s="7">
        <f>IF(F39=0,0,H39/F39)</f>
        <v/>
      </c>
      <c r="K39" s="21" t="n">
        <v>656378.1</v>
      </c>
      <c r="L39" s="21" t="n">
        <v>9379113.1</v>
      </c>
    </row>
    <row r="40">
      <c r="A40" s="9" t="n">
        <v>32</v>
      </c>
      <c r="B40" s="9" t="inlineStr">
        <is>
          <t>53</t>
        </is>
      </c>
      <c r="C40" s="9" t="inlineStr">
        <is>
          <t>C1076-Q9592</t>
        </is>
      </c>
      <c r="D40" s="9" t="inlineStr">
        <is>
          <t>Huancabamba</t>
        </is>
      </c>
      <c r="E40" s="9" t="inlineStr">
        <is>
          <t>Huarmaca</t>
        </is>
      </c>
      <c r="F40" s="10" t="n">
        <v>13.065</v>
      </c>
      <c r="G40" s="9">
        <f>COUNTIF(AI_Poligonos!$C$9:$C$138,B40)</f>
        <v/>
      </c>
      <c r="H40" s="10">
        <f>SUMIF(AI_Poligonos!$C$9:$C$138,B40,AI_Poligonos!$G$9:$G$138)</f>
        <v/>
      </c>
      <c r="I40" s="10">
        <f>F40+H40</f>
        <v/>
      </c>
      <c r="J40" s="11">
        <f>IF(F40=0,0,H40/F40)</f>
        <v/>
      </c>
      <c r="K40" s="22" t="n">
        <v>666574</v>
      </c>
      <c r="L40" s="22" t="n">
        <v>9395911.300000001</v>
      </c>
    </row>
    <row r="41">
      <c r="A41" s="5" t="n">
        <v>33</v>
      </c>
      <c r="B41" s="5" t="inlineStr">
        <is>
          <t>69</t>
        </is>
      </c>
      <c r="C41" s="5" t="inlineStr">
        <is>
          <t>C1076-Q9592</t>
        </is>
      </c>
      <c r="D41" s="5" t="inlineStr">
        <is>
          <t>Huancabamba</t>
        </is>
      </c>
      <c r="E41" s="5" t="inlineStr">
        <is>
          <t>Huarmaca</t>
        </is>
      </c>
      <c r="F41" s="6" t="n">
        <v>19.425</v>
      </c>
      <c r="G41" s="5">
        <f>COUNTIF(AI_Poligonos!$C$9:$C$138,B41)</f>
        <v/>
      </c>
      <c r="H41" s="6">
        <f>SUMIF(AI_Poligonos!$C$9:$C$138,B41,AI_Poligonos!$G$9:$G$138)</f>
        <v/>
      </c>
      <c r="I41" s="6">
        <f>F41+H41</f>
        <v/>
      </c>
      <c r="J41" s="7">
        <f>IF(F41=0,0,H41/F41)</f>
        <v/>
      </c>
      <c r="K41" s="21" t="n">
        <v>663099.3</v>
      </c>
      <c r="L41" s="21" t="n">
        <v>9392299.9</v>
      </c>
    </row>
    <row r="42">
      <c r="A42" s="9" t="n">
        <v>34</v>
      </c>
      <c r="B42" s="9" t="inlineStr">
        <is>
          <t>70</t>
        </is>
      </c>
      <c r="C42" s="9" t="inlineStr">
        <is>
          <t>C1076-Q9592</t>
        </is>
      </c>
      <c r="D42" s="9" t="inlineStr">
        <is>
          <t>Huancabamba</t>
        </is>
      </c>
      <c r="E42" s="9" t="inlineStr">
        <is>
          <t>Huarmaca</t>
        </is>
      </c>
      <c r="F42" s="10" t="n">
        <v>22.388</v>
      </c>
      <c r="G42" s="9">
        <f>COUNTIF(AI_Poligonos!$C$9:$C$138,B42)</f>
        <v/>
      </c>
      <c r="H42" s="10">
        <f>SUMIF(AI_Poligonos!$C$9:$C$138,B42,AI_Poligonos!$G$9:$G$138)</f>
        <v/>
      </c>
      <c r="I42" s="10">
        <f>F42+H42</f>
        <v/>
      </c>
      <c r="J42" s="11">
        <f>IF(F42=0,0,H42/F42)</f>
        <v/>
      </c>
      <c r="K42" s="22" t="n">
        <v>666811.6</v>
      </c>
      <c r="L42" s="22" t="n">
        <v>9395574</v>
      </c>
    </row>
    <row r="43">
      <c r="A43" s="5" t="n">
        <v>35</v>
      </c>
      <c r="B43" s="5" t="inlineStr">
        <is>
          <t>71</t>
        </is>
      </c>
      <c r="C43" s="5" t="inlineStr">
        <is>
          <t>C1076-Q9593</t>
        </is>
      </c>
      <c r="D43" s="5" t="inlineStr">
        <is>
          <t>Huancabamba</t>
        </is>
      </c>
      <c r="E43" s="5" t="inlineStr">
        <is>
          <t>Huarmaca</t>
        </is>
      </c>
      <c r="F43" s="6" t="n">
        <v>10.673</v>
      </c>
      <c r="G43" s="5">
        <f>COUNTIF(AI_Poligonos!$C$9:$C$138,B43)</f>
        <v/>
      </c>
      <c r="H43" s="6">
        <f>SUMIF(AI_Poligonos!$C$9:$C$138,B43,AI_Poligonos!$G$9:$G$138)</f>
        <v/>
      </c>
      <c r="I43" s="6">
        <f>F43+H43</f>
        <v/>
      </c>
      <c r="J43" s="7">
        <f>IF(F43=0,0,H43/F43)</f>
        <v/>
      </c>
      <c r="K43" s="21" t="n">
        <v>651960.3</v>
      </c>
      <c r="L43" s="21" t="n">
        <v>9373017.1</v>
      </c>
    </row>
    <row r="44">
      <c r="A44" s="9" t="n">
        <v>36</v>
      </c>
      <c r="B44" s="9" t="inlineStr">
        <is>
          <t>72</t>
        </is>
      </c>
      <c r="C44" s="9" t="inlineStr">
        <is>
          <t>C1076-Q9592</t>
        </is>
      </c>
      <c r="D44" s="9" t="inlineStr">
        <is>
          <t>Huancabamba</t>
        </is>
      </c>
      <c r="E44" s="9" t="inlineStr">
        <is>
          <t>Huarmaca</t>
        </is>
      </c>
      <c r="F44" s="10" t="n">
        <v>12.398</v>
      </c>
      <c r="G44" s="9">
        <f>COUNTIF(AI_Poligonos!$C$9:$C$138,B44)</f>
        <v/>
      </c>
      <c r="H44" s="10">
        <f>SUMIF(AI_Poligonos!$C$9:$C$138,B44,AI_Poligonos!$G$9:$G$138)</f>
        <v/>
      </c>
      <c r="I44" s="10">
        <f>F44+H44</f>
        <v/>
      </c>
      <c r="J44" s="11">
        <f>IF(F44=0,0,H44/F44)</f>
        <v/>
      </c>
      <c r="K44" s="22" t="n">
        <v>662223.5</v>
      </c>
      <c r="L44" s="22" t="n">
        <v>9391201.300000001</v>
      </c>
    </row>
    <row r="45">
      <c r="A45" s="5" t="n">
        <v>37</v>
      </c>
      <c r="B45" s="5" t="inlineStr">
        <is>
          <t>73</t>
        </is>
      </c>
      <c r="C45" s="5" t="inlineStr">
        <is>
          <t>C1076-Q9592</t>
        </is>
      </c>
      <c r="D45" s="5" t="inlineStr">
        <is>
          <t>Huancabamba</t>
        </is>
      </c>
      <c r="E45" s="5" t="inlineStr">
        <is>
          <t>Huarmaca</t>
        </is>
      </c>
      <c r="F45" s="6" t="n">
        <v>54.29</v>
      </c>
      <c r="G45" s="5">
        <f>COUNTIF(AI_Poligonos!$C$9:$C$138,B45)</f>
        <v/>
      </c>
      <c r="H45" s="6">
        <f>SUMIF(AI_Poligonos!$C$9:$C$138,B45,AI_Poligonos!$G$9:$G$138)</f>
        <v/>
      </c>
      <c r="I45" s="6">
        <f>F45+H45</f>
        <v/>
      </c>
      <c r="J45" s="7">
        <f>IF(F45=0,0,H45/F45)</f>
        <v/>
      </c>
      <c r="K45" s="21" t="n">
        <v>658536.9</v>
      </c>
      <c r="L45" s="21" t="n">
        <v>9395600.800000001</v>
      </c>
    </row>
    <row r="46">
      <c r="A46" s="9" t="n">
        <v>38</v>
      </c>
      <c r="B46" s="9" t="inlineStr">
        <is>
          <t>76</t>
        </is>
      </c>
      <c r="C46" s="9" t="inlineStr">
        <is>
          <t>C1076-Q9593</t>
        </is>
      </c>
      <c r="D46" s="9" t="inlineStr">
        <is>
          <t>Huancabamba</t>
        </is>
      </c>
      <c r="E46" s="9" t="inlineStr">
        <is>
          <t>Huarmaca</t>
        </is>
      </c>
      <c r="F46" s="10" t="n">
        <v>19.615</v>
      </c>
      <c r="G46" s="9">
        <f>COUNTIF(AI_Poligonos!$C$9:$C$138,B46)</f>
        <v/>
      </c>
      <c r="H46" s="10">
        <f>SUMIF(AI_Poligonos!$C$9:$C$138,B46,AI_Poligonos!$G$9:$G$138)</f>
        <v/>
      </c>
      <c r="I46" s="10">
        <f>F46+H46</f>
        <v/>
      </c>
      <c r="J46" s="11">
        <f>IF(F46=0,0,H46/F46)</f>
        <v/>
      </c>
      <c r="K46" s="22" t="n">
        <v>657990.1</v>
      </c>
      <c r="L46" s="22" t="n">
        <v>9377499.199999999</v>
      </c>
    </row>
    <row r="47">
      <c r="A47" s="5" t="n">
        <v>39</v>
      </c>
      <c r="B47" s="5" t="inlineStr">
        <is>
          <t>8</t>
        </is>
      </c>
      <c r="C47" s="5" t="inlineStr">
        <is>
          <t>C1076-Q9593</t>
        </is>
      </c>
      <c r="D47" s="5" t="inlineStr">
        <is>
          <t>Huancabamba</t>
        </is>
      </c>
      <c r="E47" s="5" t="inlineStr">
        <is>
          <t>Huarmaca</t>
        </is>
      </c>
      <c r="F47" s="6" t="n">
        <v>126.952</v>
      </c>
      <c r="G47" s="5">
        <f>COUNTIF(AI_Poligonos!$C$9:$C$138,B47)</f>
        <v/>
      </c>
      <c r="H47" s="6">
        <f>SUMIF(AI_Poligonos!$C$9:$C$138,B47,AI_Poligonos!$G$9:$G$138)</f>
        <v/>
      </c>
      <c r="I47" s="6">
        <f>F47+H47</f>
        <v/>
      </c>
      <c r="J47" s="7">
        <f>IF(F47=0,0,H47/F47)</f>
        <v/>
      </c>
      <c r="K47" s="21" t="n">
        <v>651540.8</v>
      </c>
      <c r="L47" s="21" t="n">
        <v>9373258.300000001</v>
      </c>
    </row>
    <row r="48">
      <c r="A48" s="9" t="n">
        <v>40</v>
      </c>
      <c r="B48" s="9" t="inlineStr">
        <is>
          <t>80</t>
        </is>
      </c>
      <c r="C48" s="9" t="inlineStr">
        <is>
          <t>C1076-Q9593</t>
        </is>
      </c>
      <c r="D48" s="9" t="inlineStr">
        <is>
          <t>Huancabamba</t>
        </is>
      </c>
      <c r="E48" s="9" t="inlineStr">
        <is>
          <t>Huarmaca</t>
        </is>
      </c>
      <c r="F48" s="10" t="n">
        <v>28.83</v>
      </c>
      <c r="G48" s="9">
        <f>COUNTIF(AI_Poligonos!$C$9:$C$138,B48)</f>
        <v/>
      </c>
      <c r="H48" s="10">
        <f>SUMIF(AI_Poligonos!$C$9:$C$138,B48,AI_Poligonos!$G$9:$G$138)</f>
        <v/>
      </c>
      <c r="I48" s="10">
        <f>F48+H48</f>
        <v/>
      </c>
      <c r="J48" s="11">
        <f>IF(F48=0,0,H48/F48)</f>
        <v/>
      </c>
      <c r="K48" s="22" t="n">
        <v>657165.5</v>
      </c>
      <c r="L48" s="22" t="n">
        <v>9373064.800000001</v>
      </c>
    </row>
    <row r="49">
      <c r="A49" s="5" t="n">
        <v>41</v>
      </c>
      <c r="B49" s="5" t="inlineStr">
        <is>
          <t>M12B1</t>
        </is>
      </c>
      <c r="C49" s="5" t="inlineStr">
        <is>
          <t>C1076-Q9588</t>
        </is>
      </c>
      <c r="D49" s="5" t="inlineStr">
        <is>
          <t>Huancabamba</t>
        </is>
      </c>
      <c r="E49" s="5" t="inlineStr">
        <is>
          <t>Huarmaca</t>
        </is>
      </c>
      <c r="F49" s="6" t="n">
        <v>268.393</v>
      </c>
      <c r="G49" s="5">
        <f>COUNTIF(AI_Poligonos!$C$9:$C$138,B49)</f>
        <v/>
      </c>
      <c r="H49" s="6">
        <f>SUMIF(AI_Poligonos!$C$9:$C$138,B49,AI_Poligonos!$G$9:$G$138)</f>
        <v/>
      </c>
      <c r="I49" s="6">
        <f>F49+H49</f>
        <v/>
      </c>
      <c r="J49" s="7">
        <f>IF(F49=0,0,H49/F49)</f>
        <v/>
      </c>
      <c r="K49" s="21" t="n">
        <v>644414.9</v>
      </c>
      <c r="L49" s="21" t="n">
        <v>9389060</v>
      </c>
    </row>
    <row r="50">
      <c r="A50" s="9" t="n">
        <v>42</v>
      </c>
      <c r="B50" s="9" t="inlineStr">
        <is>
          <t>M4B3</t>
        </is>
      </c>
      <c r="C50" s="9" t="inlineStr">
        <is>
          <t>C1076-Q9589</t>
        </is>
      </c>
      <c r="D50" s="9" t="inlineStr">
        <is>
          <t>Huancabamba</t>
        </is>
      </c>
      <c r="E50" s="9" t="inlineStr">
        <is>
          <t>Huarmaca</t>
        </is>
      </c>
      <c r="F50" s="10" t="n">
        <v>234.069</v>
      </c>
      <c r="G50" s="9">
        <f>COUNTIF(AI_Poligonos!$C$9:$C$138,B50)</f>
        <v/>
      </c>
      <c r="H50" s="10">
        <f>SUMIF(AI_Poligonos!$C$9:$C$138,B50,AI_Poligonos!$G$9:$G$138)</f>
        <v/>
      </c>
      <c r="I50" s="10">
        <f>F50+H50</f>
        <v/>
      </c>
      <c r="J50" s="11">
        <f>IF(F50=0,0,H50/F50)</f>
        <v/>
      </c>
      <c r="K50" s="22" t="n">
        <v>643550.6</v>
      </c>
      <c r="L50" s="22" t="n">
        <v>9385676.6</v>
      </c>
    </row>
    <row r="51">
      <c r="A51" s="5" t="n">
        <v>43</v>
      </c>
      <c r="B51" s="5" t="inlineStr">
        <is>
          <t>M4B4</t>
        </is>
      </c>
      <c r="C51" s="5" t="inlineStr">
        <is>
          <t>C1076-Q9589</t>
        </is>
      </c>
      <c r="D51" s="5" t="inlineStr">
        <is>
          <t>Huancabamba</t>
        </is>
      </c>
      <c r="E51" s="5" t="inlineStr">
        <is>
          <t>Huarmaca</t>
        </is>
      </c>
      <c r="F51" s="6" t="n">
        <v>289.914</v>
      </c>
      <c r="G51" s="5">
        <f>COUNTIF(AI_Poligonos!$C$9:$C$138,B51)</f>
        <v/>
      </c>
      <c r="H51" s="6">
        <f>SUMIF(AI_Poligonos!$C$9:$C$138,B51,AI_Poligonos!$G$9:$G$138)</f>
        <v/>
      </c>
      <c r="I51" s="6">
        <f>F51+H51</f>
        <v/>
      </c>
      <c r="J51" s="7">
        <f>IF(F51=0,0,H51/F51)</f>
        <v/>
      </c>
      <c r="K51" s="21" t="n">
        <v>642857.4</v>
      </c>
      <c r="L51" s="21" t="n">
        <v>9388563.9</v>
      </c>
    </row>
    <row r="52">
      <c r="A52" s="9" t="n">
        <v>44</v>
      </c>
      <c r="B52" s="9" t="inlineStr">
        <is>
          <t>26</t>
        </is>
      </c>
      <c r="C52" s="9" t="inlineStr">
        <is>
          <t>C1081-Q9591</t>
        </is>
      </c>
      <c r="D52" s="9" t="inlineStr">
        <is>
          <t>Huancabamba</t>
        </is>
      </c>
      <c r="E52" s="9" t="inlineStr">
        <is>
          <t>Lalaquiz</t>
        </is>
      </c>
      <c r="F52" s="10" t="n">
        <v>46.962</v>
      </c>
      <c r="G52" s="9">
        <f>COUNTIF(AI_Poligonos!$C$9:$C$138,B52)</f>
        <v/>
      </c>
      <c r="H52" s="10">
        <f>SUMIF(AI_Poligonos!$C$9:$C$138,B52,AI_Poligonos!$G$9:$G$138)</f>
        <v/>
      </c>
      <c r="I52" s="10">
        <f>F52+H52</f>
        <v/>
      </c>
      <c r="J52" s="11">
        <f>IF(F52=0,0,H52/F52)</f>
        <v/>
      </c>
      <c r="K52" s="22" t="n">
        <v>649569.3</v>
      </c>
      <c r="L52" s="22" t="n">
        <v>9425681.6</v>
      </c>
    </row>
    <row r="53">
      <c r="A53" s="5" t="n">
        <v>45</v>
      </c>
      <c r="B53" s="5" t="inlineStr">
        <is>
          <t>34</t>
        </is>
      </c>
      <c r="C53" s="5" t="inlineStr">
        <is>
          <t>C1081-Q9590</t>
        </is>
      </c>
      <c r="D53" s="5" t="inlineStr">
        <is>
          <t>Huancabamba</t>
        </is>
      </c>
      <c r="E53" s="5" t="inlineStr">
        <is>
          <t>Lalaquiz</t>
        </is>
      </c>
      <c r="F53" s="6" t="n">
        <v>28.45</v>
      </c>
      <c r="G53" s="5">
        <f>COUNTIF(AI_Poligonos!$C$9:$C$138,B53)</f>
        <v/>
      </c>
      <c r="H53" s="6">
        <f>SUMIF(AI_Poligonos!$C$9:$C$138,B53,AI_Poligonos!$G$9:$G$138)</f>
        <v/>
      </c>
      <c r="I53" s="6">
        <f>F53+H53</f>
        <v/>
      </c>
      <c r="J53" s="7">
        <f>IF(F53=0,0,H53/F53)</f>
        <v/>
      </c>
      <c r="K53" s="21" t="n">
        <v>646450.1</v>
      </c>
      <c r="L53" s="21" t="n">
        <v>9426319.5</v>
      </c>
    </row>
    <row r="54">
      <c r="A54" s="9" t="n">
        <v>46</v>
      </c>
      <c r="B54" s="9" t="inlineStr">
        <is>
          <t>37</t>
        </is>
      </c>
      <c r="C54" s="9" t="inlineStr">
        <is>
          <t>C1081-Q9591</t>
        </is>
      </c>
      <c r="D54" s="9" t="inlineStr">
        <is>
          <t>Huancabamba</t>
        </is>
      </c>
      <c r="E54" s="9" t="inlineStr">
        <is>
          <t>Lalaquiz</t>
        </is>
      </c>
      <c r="F54" s="10" t="n">
        <v>35.491</v>
      </c>
      <c r="G54" s="9">
        <f>COUNTIF(AI_Poligonos!$C$9:$C$138,B54)</f>
        <v/>
      </c>
      <c r="H54" s="10">
        <f>SUMIF(AI_Poligonos!$C$9:$C$138,B54,AI_Poligonos!$G$9:$G$138)</f>
        <v/>
      </c>
      <c r="I54" s="10">
        <f>F54+H54</f>
        <v/>
      </c>
      <c r="J54" s="11">
        <f>IF(F54=0,0,H54/F54)</f>
        <v/>
      </c>
      <c r="K54" s="22" t="n">
        <v>649069.5</v>
      </c>
      <c r="L54" s="22" t="n">
        <v>9424500.4</v>
      </c>
    </row>
    <row r="55">
      <c r="A55" s="5" t="n">
        <v>47</v>
      </c>
      <c r="B55" s="5" t="inlineStr">
        <is>
          <t>38</t>
        </is>
      </c>
      <c r="C55" s="5" t="inlineStr">
        <is>
          <t>C1081-Q9590</t>
        </is>
      </c>
      <c r="D55" s="5" t="inlineStr">
        <is>
          <t>Huancabamba</t>
        </is>
      </c>
      <c r="E55" s="5" t="inlineStr">
        <is>
          <t>Lalaquiz</t>
        </is>
      </c>
      <c r="F55" s="6" t="n">
        <v>44.201</v>
      </c>
      <c r="G55" s="5">
        <f>COUNTIF(AI_Poligonos!$C$9:$C$138,B55)</f>
        <v/>
      </c>
      <c r="H55" s="6">
        <f>SUMIF(AI_Poligonos!$C$9:$C$138,B55,AI_Poligonos!$G$9:$G$138)</f>
        <v/>
      </c>
      <c r="I55" s="6">
        <f>F55+H55</f>
        <v/>
      </c>
      <c r="J55" s="7">
        <f>IF(F55=0,0,H55/F55)</f>
        <v/>
      </c>
      <c r="K55" s="21" t="n">
        <v>647241.1</v>
      </c>
      <c r="L55" s="21" t="n">
        <v>9427602.199999999</v>
      </c>
    </row>
    <row r="56">
      <c r="A56" s="9" t="n">
        <v>48</v>
      </c>
      <c r="B56" s="9" t="inlineStr">
        <is>
          <t>50</t>
        </is>
      </c>
      <c r="C56" s="9" t="inlineStr">
        <is>
          <t>C1081-Q9590</t>
        </is>
      </c>
      <c r="D56" s="9" t="inlineStr">
        <is>
          <t>Huancabamba</t>
        </is>
      </c>
      <c r="E56" s="9" t="inlineStr">
        <is>
          <t>Lalaquiz</t>
        </is>
      </c>
      <c r="F56" s="10" t="n">
        <v>19.266</v>
      </c>
      <c r="G56" s="9">
        <f>COUNTIF(AI_Poligonos!$C$9:$C$138,B56)</f>
        <v/>
      </c>
      <c r="H56" s="10">
        <f>SUMIF(AI_Poligonos!$C$9:$C$138,B56,AI_Poligonos!$G$9:$G$138)</f>
        <v/>
      </c>
      <c r="I56" s="10">
        <f>F56+H56</f>
        <v/>
      </c>
      <c r="J56" s="11">
        <f>IF(F56=0,0,H56/F56)</f>
        <v/>
      </c>
      <c r="K56" s="22" t="n">
        <v>647441.6</v>
      </c>
      <c r="L56" s="22" t="n">
        <v>9427268.5</v>
      </c>
    </row>
    <row r="57">
      <c r="A57" s="5" t="n">
        <v>49</v>
      </c>
      <c r="B57" s="5" t="inlineStr">
        <is>
          <t>61</t>
        </is>
      </c>
      <c r="C57" s="5" t="inlineStr">
        <is>
          <t>C1081-Q9590</t>
        </is>
      </c>
      <c r="D57" s="5" t="inlineStr">
        <is>
          <t>Huancabamba</t>
        </is>
      </c>
      <c r="E57" s="5" t="inlineStr">
        <is>
          <t>Lalaquiz</t>
        </is>
      </c>
      <c r="F57" s="6" t="n">
        <v>26.826</v>
      </c>
      <c r="G57" s="5">
        <f>COUNTIF(AI_Poligonos!$C$9:$C$138,B57)</f>
        <v/>
      </c>
      <c r="H57" s="6">
        <f>SUMIF(AI_Poligonos!$C$9:$C$138,B57,AI_Poligonos!$G$9:$G$138)</f>
        <v/>
      </c>
      <c r="I57" s="6">
        <f>F57+H57</f>
        <v/>
      </c>
      <c r="J57" s="7">
        <f>IF(F57=0,0,H57/F57)</f>
        <v/>
      </c>
      <c r="K57" s="21" t="n">
        <v>646236.9</v>
      </c>
      <c r="L57" s="21" t="n">
        <v>9425050.699999999</v>
      </c>
    </row>
    <row r="58">
      <c r="A58" s="9" t="n">
        <v>50</v>
      </c>
      <c r="B58" s="9" t="inlineStr">
        <is>
          <t>35</t>
        </is>
      </c>
      <c r="C58" s="9" t="inlineStr">
        <is>
          <t>C1076-Q9586</t>
        </is>
      </c>
      <c r="D58" s="9" t="inlineStr">
        <is>
          <t>Huancabamba</t>
        </is>
      </c>
      <c r="E58" s="9" t="inlineStr">
        <is>
          <t>San Miguel de El Faique</t>
        </is>
      </c>
      <c r="F58" s="10" t="n">
        <v>30.804</v>
      </c>
      <c r="G58" s="9">
        <f>COUNTIF(AI_Poligonos!$C$9:$C$138,B58)</f>
        <v/>
      </c>
      <c r="H58" s="10">
        <f>SUMIF(AI_Poligonos!$C$9:$C$138,B58,AI_Poligonos!$G$9:$G$138)</f>
        <v/>
      </c>
      <c r="I58" s="10">
        <f>F58+H58</f>
        <v/>
      </c>
      <c r="J58" s="11">
        <f>IF(F58=0,0,H58/F58)</f>
        <v/>
      </c>
      <c r="K58" s="22" t="n">
        <v>654633.3</v>
      </c>
      <c r="L58" s="22" t="n">
        <v>9395069.4</v>
      </c>
    </row>
    <row r="59">
      <c r="A59" s="5" t="n">
        <v>51</v>
      </c>
      <c r="B59" s="5" t="inlineStr">
        <is>
          <t>43</t>
        </is>
      </c>
      <c r="C59" s="5" t="inlineStr">
        <is>
          <t>C1076-Q9586</t>
        </is>
      </c>
      <c r="D59" s="5" t="inlineStr">
        <is>
          <t>Huancabamba</t>
        </is>
      </c>
      <c r="E59" s="5" t="inlineStr">
        <is>
          <t>San Miguel de El Faique</t>
        </is>
      </c>
      <c r="F59" s="6" t="n">
        <v>23.171</v>
      </c>
      <c r="G59" s="5">
        <f>COUNTIF(AI_Poligonos!$C$9:$C$138,B59)</f>
        <v/>
      </c>
      <c r="H59" s="6">
        <f>SUMIF(AI_Poligonos!$C$9:$C$138,B59,AI_Poligonos!$G$9:$G$138)</f>
        <v/>
      </c>
      <c r="I59" s="6">
        <f>F59+H59</f>
        <v/>
      </c>
      <c r="J59" s="7">
        <f>IF(F59=0,0,H59/F59)</f>
        <v/>
      </c>
      <c r="K59" s="21" t="n">
        <v>656491.7</v>
      </c>
      <c r="L59" s="21" t="n">
        <v>9395400.5</v>
      </c>
    </row>
    <row r="60">
      <c r="A60" s="9" t="n">
        <v>52</v>
      </c>
      <c r="B60" s="9" t="inlineStr">
        <is>
          <t>44</t>
        </is>
      </c>
      <c r="C60" s="9" t="inlineStr">
        <is>
          <t>C1076-Q9586</t>
        </is>
      </c>
      <c r="D60" s="9" t="inlineStr">
        <is>
          <t>Huancabamba</t>
        </is>
      </c>
      <c r="E60" s="9" t="inlineStr">
        <is>
          <t>San Miguel de El Faique</t>
        </is>
      </c>
      <c r="F60" s="10" t="n">
        <v>28.234</v>
      </c>
      <c r="G60" s="9">
        <f>COUNTIF(AI_Poligonos!$C$9:$C$138,B60)</f>
        <v/>
      </c>
      <c r="H60" s="10">
        <f>SUMIF(AI_Poligonos!$C$9:$C$138,B60,AI_Poligonos!$G$9:$G$138)</f>
        <v/>
      </c>
      <c r="I60" s="10">
        <f>F60+H60</f>
        <v/>
      </c>
      <c r="J60" s="11">
        <f>IF(F60=0,0,H60/F60)</f>
        <v/>
      </c>
      <c r="K60" s="22" t="n">
        <v>663702.7</v>
      </c>
      <c r="L60" s="22" t="n">
        <v>9400645.4</v>
      </c>
    </row>
    <row r="61">
      <c r="A61" s="5" t="n">
        <v>53</v>
      </c>
      <c r="B61" s="5" t="inlineStr">
        <is>
          <t>47</t>
        </is>
      </c>
      <c r="C61" s="5" t="inlineStr">
        <is>
          <t>C1076-Q9586</t>
        </is>
      </c>
      <c r="D61" s="5" t="inlineStr">
        <is>
          <t>Huancabamba</t>
        </is>
      </c>
      <c r="E61" s="5" t="inlineStr">
        <is>
          <t>San Miguel de El Faique</t>
        </is>
      </c>
      <c r="F61" s="6" t="n">
        <v>13.551</v>
      </c>
      <c r="G61" s="5">
        <f>COUNTIF(AI_Poligonos!$C$9:$C$138,B61)</f>
        <v/>
      </c>
      <c r="H61" s="6">
        <f>SUMIF(AI_Poligonos!$C$9:$C$138,B61,AI_Poligonos!$G$9:$G$138)</f>
        <v/>
      </c>
      <c r="I61" s="6">
        <f>F61+H61</f>
        <v/>
      </c>
      <c r="J61" s="7">
        <f>IF(F61=0,0,H61/F61)</f>
        <v/>
      </c>
      <c r="K61" s="21" t="n">
        <v>659608.5</v>
      </c>
      <c r="L61" s="21" t="n">
        <v>9401440.800000001</v>
      </c>
    </row>
    <row r="62">
      <c r="A62" s="9" t="n">
        <v>54</v>
      </c>
      <c r="B62" s="9" t="inlineStr">
        <is>
          <t>67</t>
        </is>
      </c>
      <c r="C62" s="9" t="inlineStr">
        <is>
          <t>C1076-Q9586</t>
        </is>
      </c>
      <c r="D62" s="9" t="inlineStr">
        <is>
          <t>Huancabamba</t>
        </is>
      </c>
      <c r="E62" s="9" t="inlineStr">
        <is>
          <t>San Miguel de El Faique</t>
        </is>
      </c>
      <c r="F62" s="10" t="n">
        <v>13.184</v>
      </c>
      <c r="G62" s="9">
        <f>COUNTIF(AI_Poligonos!$C$9:$C$138,B62)</f>
        <v/>
      </c>
      <c r="H62" s="10">
        <f>SUMIF(AI_Poligonos!$C$9:$C$138,B62,AI_Poligonos!$G$9:$G$138)</f>
        <v/>
      </c>
      <c r="I62" s="10">
        <f>F62+H62</f>
        <v/>
      </c>
      <c r="J62" s="11">
        <f>IF(F62=0,0,H62/F62)</f>
        <v/>
      </c>
      <c r="K62" s="22" t="n">
        <v>654232.8</v>
      </c>
      <c r="L62" s="22" t="n">
        <v>9394209.6</v>
      </c>
    </row>
    <row r="63">
      <c r="A63" s="5" t="n">
        <v>55</v>
      </c>
      <c r="B63" s="5" t="inlineStr">
        <is>
          <t>9</t>
        </is>
      </c>
      <c r="C63" s="5" t="inlineStr">
        <is>
          <t>C1076-Q9586</t>
        </is>
      </c>
      <c r="D63" s="5" t="inlineStr">
        <is>
          <t>Huancabamba</t>
        </is>
      </c>
      <c r="E63" s="5" t="inlineStr">
        <is>
          <t>San Miguel de El Faique</t>
        </is>
      </c>
      <c r="F63" s="6" t="n">
        <v>109.861</v>
      </c>
      <c r="G63" s="5">
        <f>COUNTIF(AI_Poligonos!$C$9:$C$138,B63)</f>
        <v/>
      </c>
      <c r="H63" s="6">
        <f>SUMIF(AI_Poligonos!$C$9:$C$138,B63,AI_Poligonos!$G$9:$G$138)</f>
        <v/>
      </c>
      <c r="I63" s="6">
        <f>F63+H63</f>
        <v/>
      </c>
      <c r="J63" s="7">
        <f>IF(F63=0,0,H63/F63)</f>
        <v/>
      </c>
      <c r="K63" s="21" t="n">
        <v>656722.2</v>
      </c>
      <c r="L63" s="21" t="n">
        <v>9397738.4</v>
      </c>
    </row>
    <row r="64">
      <c r="A64" s="9" t="n">
        <v>56</v>
      </c>
      <c r="B64" s="9" t="inlineStr">
        <is>
          <t>M20B1</t>
        </is>
      </c>
      <c r="C64" s="9" t="inlineStr">
        <is>
          <t>C1076-Q9585</t>
        </is>
      </c>
      <c r="D64" s="9" t="inlineStr">
        <is>
          <t>Huancabamba</t>
        </is>
      </c>
      <c r="E64" s="9" t="inlineStr">
        <is>
          <t>San Miguel de El Faique</t>
        </is>
      </c>
      <c r="F64" s="10" t="n">
        <v>279.68</v>
      </c>
      <c r="G64" s="9">
        <f>COUNTIF(AI_Poligonos!$C$9:$C$138,B64)</f>
        <v/>
      </c>
      <c r="H64" s="10">
        <f>SUMIF(AI_Poligonos!$C$9:$C$138,B64,AI_Poligonos!$G$9:$G$138)</f>
        <v/>
      </c>
      <c r="I64" s="10">
        <f>F64+H64</f>
        <v/>
      </c>
      <c r="J64" s="11">
        <f>IF(F64=0,0,H64/F64)</f>
        <v/>
      </c>
      <c r="K64" s="22" t="n">
        <v>641941.2</v>
      </c>
      <c r="L64" s="22" t="n">
        <v>9398637</v>
      </c>
    </row>
    <row r="65">
      <c r="A65" s="5" t="n">
        <v>57</v>
      </c>
      <c r="B65" s="5" t="inlineStr">
        <is>
          <t>M22B1</t>
        </is>
      </c>
      <c r="C65" s="5" t="inlineStr">
        <is>
          <t>C1076-Q9586</t>
        </is>
      </c>
      <c r="D65" s="5" t="inlineStr">
        <is>
          <t>Huancabamba</t>
        </is>
      </c>
      <c r="E65" s="5" t="inlineStr">
        <is>
          <t>San Miguel de El Faique</t>
        </is>
      </c>
      <c r="F65" s="6" t="n">
        <v>55.17</v>
      </c>
      <c r="G65" s="5">
        <f>COUNTIF(AI_Poligonos!$C$9:$C$138,B65)</f>
        <v/>
      </c>
      <c r="H65" s="6">
        <f>SUMIF(AI_Poligonos!$C$9:$C$138,B65,AI_Poligonos!$G$9:$G$138)</f>
        <v/>
      </c>
      <c r="I65" s="6">
        <f>F65+H65</f>
        <v/>
      </c>
      <c r="J65" s="7">
        <f>IF(F65=0,0,H65/F65)</f>
        <v/>
      </c>
      <c r="K65" s="21" t="n">
        <v>664142.7</v>
      </c>
      <c r="L65" s="21" t="n">
        <v>9404163.300000001</v>
      </c>
    </row>
    <row r="66">
      <c r="A66" s="9" t="n">
        <v>58</v>
      </c>
      <c r="B66" s="9" t="inlineStr">
        <is>
          <t>M2B8</t>
        </is>
      </c>
      <c r="C66" s="9" t="inlineStr">
        <is>
          <t>C1076-Q9584</t>
        </is>
      </c>
      <c r="D66" s="9" t="inlineStr">
        <is>
          <t>Huancabamba</t>
        </is>
      </c>
      <c r="E66" s="9" t="inlineStr">
        <is>
          <t>San Miguel de El Faique</t>
        </is>
      </c>
      <c r="F66" s="10" t="n">
        <v>116.099</v>
      </c>
      <c r="G66" s="9">
        <f>COUNTIF(AI_Poligonos!$C$9:$C$138,B66)</f>
        <v/>
      </c>
      <c r="H66" s="10">
        <f>SUMIF(AI_Poligonos!$C$9:$C$138,B66,AI_Poligonos!$G$9:$G$138)</f>
        <v/>
      </c>
      <c r="I66" s="10">
        <f>F66+H66</f>
        <v/>
      </c>
      <c r="J66" s="11">
        <f>IF(F66=0,0,H66/F66)</f>
        <v/>
      </c>
      <c r="K66" s="22" t="n">
        <v>638994.2</v>
      </c>
      <c r="L66" s="22" t="n">
        <v>9398334.800000001</v>
      </c>
    </row>
    <row r="67">
      <c r="A67" s="5" t="n">
        <v>59</v>
      </c>
      <c r="B67" s="5" t="inlineStr">
        <is>
          <t>5</t>
        </is>
      </c>
      <c r="C67" s="5" t="inlineStr">
        <is>
          <t>C1077-Q9566</t>
        </is>
      </c>
      <c r="D67" s="5" t="inlineStr">
        <is>
          <t>Morropón</t>
        </is>
      </c>
      <c r="E67" s="5" t="inlineStr">
        <is>
          <t>Buenos Aires</t>
        </is>
      </c>
      <c r="F67" s="6" t="n">
        <v>295.726</v>
      </c>
      <c r="G67" s="5">
        <f>COUNTIF(AI_Poligonos!$C$9:$C$138,B67)</f>
        <v/>
      </c>
      <c r="H67" s="6">
        <f>SUMIF(AI_Poligonos!$C$9:$C$138,B67,AI_Poligonos!$G$9:$G$138)</f>
        <v/>
      </c>
      <c r="I67" s="6">
        <f>F67+H67</f>
        <v/>
      </c>
      <c r="J67" s="7">
        <f>IF(F67=0,0,H67/F67)</f>
        <v/>
      </c>
      <c r="K67" s="21" t="n">
        <v>618062.3</v>
      </c>
      <c r="L67" s="21" t="n">
        <v>9413183.800000001</v>
      </c>
    </row>
    <row r="68">
      <c r="A68" s="9" t="n">
        <v>60</v>
      </c>
      <c r="B68" s="9" t="inlineStr">
        <is>
          <t>M18B1</t>
        </is>
      </c>
      <c r="C68" s="9" t="inlineStr">
        <is>
          <t>C1077-Q9579</t>
        </is>
      </c>
      <c r="D68" s="9" t="inlineStr">
        <is>
          <t>Morropón</t>
        </is>
      </c>
      <c r="E68" s="9" t="inlineStr">
        <is>
          <t>Buenos Aires</t>
        </is>
      </c>
      <c r="F68" s="10" t="n">
        <v>160.36</v>
      </c>
      <c r="G68" s="9">
        <f>COUNTIF(AI_Poligonos!$C$9:$C$138,B68)</f>
        <v/>
      </c>
      <c r="H68" s="10">
        <f>SUMIF(AI_Poligonos!$C$9:$C$138,B68,AI_Poligonos!$G$9:$G$138)</f>
        <v/>
      </c>
      <c r="I68" s="10">
        <f>F68+H68</f>
        <v/>
      </c>
      <c r="J68" s="11">
        <f>IF(F68=0,0,H68/F68)</f>
        <v/>
      </c>
      <c r="K68" s="22" t="n">
        <v>621187.6</v>
      </c>
      <c r="L68" s="22" t="n">
        <v>9410409.800000001</v>
      </c>
    </row>
    <row r="69">
      <c r="A69" s="5" t="n">
        <v>61</v>
      </c>
      <c r="B69" s="5" t="inlineStr">
        <is>
          <t>M1B1</t>
        </is>
      </c>
      <c r="C69" s="5" t="inlineStr">
        <is>
          <t>C1077-Q9580</t>
        </is>
      </c>
      <c r="D69" s="5" t="inlineStr">
        <is>
          <t>Morropón</t>
        </is>
      </c>
      <c r="E69" s="5" t="inlineStr">
        <is>
          <t>Buenos Aires</t>
        </is>
      </c>
      <c r="F69" s="6" t="n">
        <v>188.797</v>
      </c>
      <c r="G69" s="5">
        <f>COUNTIF(AI_Poligonos!$C$9:$C$138,B69)</f>
        <v/>
      </c>
      <c r="H69" s="6">
        <f>SUMIF(AI_Poligonos!$C$9:$C$138,B69,AI_Poligonos!$G$9:$G$138)</f>
        <v/>
      </c>
      <c r="I69" s="6">
        <f>F69+H69</f>
        <v/>
      </c>
      <c r="J69" s="7">
        <f>IF(F69=0,0,H69/F69)</f>
        <v/>
      </c>
      <c r="K69" s="21" t="n">
        <v>617876.6</v>
      </c>
      <c r="L69" s="21" t="n">
        <v>9409175.300000001</v>
      </c>
    </row>
    <row r="70">
      <c r="A70" s="9" t="n">
        <v>62</v>
      </c>
      <c r="B70" s="9" t="inlineStr">
        <is>
          <t>M6B10</t>
        </is>
      </c>
      <c r="C70" s="9" t="inlineStr">
        <is>
          <t>C1077-Q9566</t>
        </is>
      </c>
      <c r="D70" s="9" t="inlineStr">
        <is>
          <t>Morropón</t>
        </is>
      </c>
      <c r="E70" s="9" t="inlineStr">
        <is>
          <t>Buenos Aires</t>
        </is>
      </c>
      <c r="F70" s="10" t="n">
        <v>249.89</v>
      </c>
      <c r="G70" s="9">
        <f>COUNTIF(AI_Poligonos!$C$9:$C$138,B70)</f>
        <v/>
      </c>
      <c r="H70" s="10">
        <f>SUMIF(AI_Poligonos!$C$9:$C$138,B70,AI_Poligonos!$G$9:$G$138)</f>
        <v/>
      </c>
      <c r="I70" s="10">
        <f>F70+H70</f>
        <v/>
      </c>
      <c r="J70" s="11">
        <f>IF(F70=0,0,H70/F70)</f>
        <v/>
      </c>
      <c r="K70" s="22" t="n">
        <v>618390.1</v>
      </c>
      <c r="L70" s="22" t="n">
        <v>9423126.9</v>
      </c>
    </row>
    <row r="71">
      <c r="A71" s="5" t="n">
        <v>63</v>
      </c>
      <c r="B71" s="5" t="inlineStr">
        <is>
          <t>M6B2-1</t>
        </is>
      </c>
      <c r="C71" s="5" t="inlineStr">
        <is>
          <t>C1077-Q9566</t>
        </is>
      </c>
      <c r="D71" s="5" t="inlineStr">
        <is>
          <t>Morropón</t>
        </is>
      </c>
      <c r="E71" s="5" t="inlineStr">
        <is>
          <t>Buenos Aires</t>
        </is>
      </c>
      <c r="F71" s="6" t="n">
        <v>514.359</v>
      </c>
      <c r="G71" s="5">
        <f>COUNTIF(AI_Poligonos!$C$9:$C$138,B71)</f>
        <v/>
      </c>
      <c r="H71" s="6">
        <f>SUMIF(AI_Poligonos!$C$9:$C$138,B71,AI_Poligonos!$G$9:$G$138)</f>
        <v/>
      </c>
      <c r="I71" s="6">
        <f>F71+H71</f>
        <v/>
      </c>
      <c r="J71" s="7">
        <f>IF(F71=0,0,H71/F71)</f>
        <v/>
      </c>
      <c r="K71" s="21" t="n">
        <v>613284</v>
      </c>
      <c r="L71" s="21" t="n">
        <v>9413294.9</v>
      </c>
    </row>
    <row r="72">
      <c r="A72" s="9" t="n">
        <v>64</v>
      </c>
      <c r="B72" s="9" t="inlineStr">
        <is>
          <t>M6B2-2</t>
        </is>
      </c>
      <c r="C72" s="9" t="inlineStr">
        <is>
          <t>C1077-Q9566</t>
        </is>
      </c>
      <c r="D72" s="9" t="inlineStr">
        <is>
          <t>Morropón</t>
        </is>
      </c>
      <c r="E72" s="9" t="inlineStr">
        <is>
          <t>Buenos Aires</t>
        </is>
      </c>
      <c r="F72" s="10" t="n">
        <v>333.011</v>
      </c>
      <c r="G72" s="9">
        <f>COUNTIF(AI_Poligonos!$C$9:$C$138,B72)</f>
        <v/>
      </c>
      <c r="H72" s="10">
        <f>SUMIF(AI_Poligonos!$C$9:$C$138,B72,AI_Poligonos!$G$9:$G$138)</f>
        <v/>
      </c>
      <c r="I72" s="10">
        <f>F72+H72</f>
        <v/>
      </c>
      <c r="J72" s="11">
        <f>IF(F72=0,0,H72/F72)</f>
        <v/>
      </c>
      <c r="K72" s="22" t="n">
        <v>611606.2</v>
      </c>
      <c r="L72" s="22" t="n">
        <v>9416615</v>
      </c>
    </row>
    <row r="73">
      <c r="A73" s="5" t="n">
        <v>65</v>
      </c>
      <c r="B73" s="5" t="inlineStr">
        <is>
          <t>M6B2-3</t>
        </is>
      </c>
      <c r="C73" s="5" t="inlineStr">
        <is>
          <t>C1077-Q9566</t>
        </is>
      </c>
      <c r="D73" s="5" t="inlineStr">
        <is>
          <t>Morropón</t>
        </is>
      </c>
      <c r="E73" s="5" t="inlineStr">
        <is>
          <t>Buenos Aires</t>
        </is>
      </c>
      <c r="F73" s="6" t="n">
        <v>160.978</v>
      </c>
      <c r="G73" s="5">
        <f>COUNTIF(AI_Poligonos!$C$9:$C$138,B73)</f>
        <v/>
      </c>
      <c r="H73" s="6">
        <f>SUMIF(AI_Poligonos!$C$9:$C$138,B73,AI_Poligonos!$G$9:$G$138)</f>
        <v/>
      </c>
      <c r="I73" s="6">
        <f>F73+H73</f>
        <v/>
      </c>
      <c r="J73" s="7">
        <f>IF(F73=0,0,H73/F73)</f>
        <v/>
      </c>
      <c r="K73" s="21" t="n">
        <v>611272</v>
      </c>
      <c r="L73" s="21" t="n">
        <v>9419221</v>
      </c>
    </row>
    <row r="74">
      <c r="A74" s="9" t="n">
        <v>66</v>
      </c>
      <c r="B74" s="9" t="inlineStr">
        <is>
          <t>57</t>
        </is>
      </c>
      <c r="C74" s="9" t="inlineStr">
        <is>
          <t>C1086-Q9576</t>
        </is>
      </c>
      <c r="D74" s="9" t="inlineStr">
        <is>
          <t>Morropón</t>
        </is>
      </c>
      <c r="E74" s="9" t="inlineStr">
        <is>
          <t>Chalaco</t>
        </is>
      </c>
      <c r="F74" s="10" t="n">
        <v>25.668</v>
      </c>
      <c r="G74" s="9">
        <f>COUNTIF(AI_Poligonos!$C$9:$C$138,B74)</f>
        <v/>
      </c>
      <c r="H74" s="10">
        <f>SUMIF(AI_Poligonos!$C$9:$C$138,B74,AI_Poligonos!$G$9:$G$138)</f>
        <v/>
      </c>
      <c r="I74" s="10">
        <f>F74+H74</f>
        <v/>
      </c>
      <c r="J74" s="11">
        <f>IF(F74=0,0,H74/F74)</f>
        <v/>
      </c>
      <c r="K74" s="22" t="n">
        <v>631653</v>
      </c>
      <c r="L74" s="22" t="n">
        <v>9439712.800000001</v>
      </c>
    </row>
    <row r="75">
      <c r="A75" s="5" t="n">
        <v>67</v>
      </c>
      <c r="B75" s="5" t="inlineStr">
        <is>
          <t>59</t>
        </is>
      </c>
      <c r="C75" s="5" t="inlineStr">
        <is>
          <t>C1086-Q9570</t>
        </is>
      </c>
      <c r="D75" s="5" t="inlineStr">
        <is>
          <t>Morropón</t>
        </is>
      </c>
      <c r="E75" s="5" t="inlineStr">
        <is>
          <t>Chalaco</t>
        </is>
      </c>
      <c r="F75" s="6" t="n">
        <v>13.554</v>
      </c>
      <c r="G75" s="5">
        <f>COUNTIF(AI_Poligonos!$C$9:$C$138,B75)</f>
        <v/>
      </c>
      <c r="H75" s="6">
        <f>SUMIF(AI_Poligonos!$C$9:$C$138,B75,AI_Poligonos!$G$9:$G$138)</f>
        <v/>
      </c>
      <c r="I75" s="6">
        <f>F75+H75</f>
        <v/>
      </c>
      <c r="J75" s="7">
        <f>IF(F75=0,0,H75/F75)</f>
        <v/>
      </c>
      <c r="K75" s="21" t="n">
        <v>631245.6</v>
      </c>
      <c r="L75" s="21" t="n">
        <v>9441775.9</v>
      </c>
    </row>
    <row r="76">
      <c r="A76" s="9" t="n">
        <v>68</v>
      </c>
      <c r="B76" s="9" t="inlineStr">
        <is>
          <t>2</t>
        </is>
      </c>
      <c r="C76" s="9" t="inlineStr">
        <is>
          <t>C1096-Q9558</t>
        </is>
      </c>
      <c r="D76" s="9" t="inlineStr">
        <is>
          <t>Morropón</t>
        </is>
      </c>
      <c r="E76" s="9" t="inlineStr">
        <is>
          <t>Chulucanas</t>
        </is>
      </c>
      <c r="F76" s="10" t="n">
        <v>330.599</v>
      </c>
      <c r="G76" s="9">
        <f>COUNTIF(AI_Poligonos!$C$9:$C$138,B76)</f>
        <v/>
      </c>
      <c r="H76" s="10">
        <f>SUMIF(AI_Poligonos!$C$9:$C$138,B76,AI_Poligonos!$G$9:$G$138)</f>
        <v/>
      </c>
      <c r="I76" s="10">
        <f>F76+H76</f>
        <v/>
      </c>
      <c r="J76" s="11">
        <f>IF(F76=0,0,H76/F76)</f>
        <v/>
      </c>
      <c r="K76" s="22" t="n">
        <v>603531.4</v>
      </c>
      <c r="L76" s="22" t="n">
        <v>9439341</v>
      </c>
    </row>
    <row r="77">
      <c r="A77" s="5" t="n">
        <v>69</v>
      </c>
      <c r="B77" s="5" t="inlineStr">
        <is>
          <t>22</t>
        </is>
      </c>
      <c r="C77" s="5" t="inlineStr">
        <is>
          <t>C1096-Q9556</t>
        </is>
      </c>
      <c r="D77" s="5" t="inlineStr">
        <is>
          <t>Morropón</t>
        </is>
      </c>
      <c r="E77" s="5" t="inlineStr">
        <is>
          <t>Chulucanas</t>
        </is>
      </c>
      <c r="F77" s="6" t="n">
        <v>79.33</v>
      </c>
      <c r="G77" s="5">
        <f>COUNTIF(AI_Poligonos!$C$9:$C$138,B77)</f>
        <v/>
      </c>
      <c r="H77" s="6">
        <f>SUMIF(AI_Poligonos!$C$9:$C$138,B77,AI_Poligonos!$G$9:$G$138)</f>
        <v/>
      </c>
      <c r="I77" s="6">
        <f>F77+H77</f>
        <v/>
      </c>
      <c r="J77" s="7">
        <f>IF(F77=0,0,H77/F77)</f>
        <v/>
      </c>
      <c r="K77" s="21" t="n">
        <v>601139.1</v>
      </c>
      <c r="L77" s="21" t="n">
        <v>9443629.6</v>
      </c>
    </row>
    <row r="78">
      <c r="A78" s="9" t="n">
        <v>70</v>
      </c>
      <c r="B78" s="9" t="inlineStr">
        <is>
          <t>M10B4</t>
        </is>
      </c>
      <c r="C78" s="9" t="inlineStr">
        <is>
          <t>C1096-Q9547</t>
        </is>
      </c>
      <c r="D78" s="9" t="inlineStr">
        <is>
          <t>Morropón</t>
        </is>
      </c>
      <c r="E78" s="9" t="inlineStr">
        <is>
          <t>Chulucanas</t>
        </is>
      </c>
      <c r="F78" s="10" t="n">
        <v>68.887</v>
      </c>
      <c r="G78" s="9">
        <f>COUNTIF(AI_Poligonos!$C$9:$C$138,B78)</f>
        <v/>
      </c>
      <c r="H78" s="10">
        <f>SUMIF(AI_Poligonos!$C$9:$C$138,B78,AI_Poligonos!$G$9:$G$138)</f>
        <v/>
      </c>
      <c r="I78" s="10">
        <f>F78+H78</f>
        <v/>
      </c>
      <c r="J78" s="11">
        <f>IF(F78=0,0,H78/F78)</f>
        <v/>
      </c>
      <c r="K78" s="22" t="n">
        <v>596780.2</v>
      </c>
      <c r="L78" s="22" t="n">
        <v>9448257.800000001</v>
      </c>
    </row>
    <row r="79">
      <c r="A79" s="5" t="n">
        <v>71</v>
      </c>
      <c r="B79" s="5" t="inlineStr">
        <is>
          <t>M17B1</t>
        </is>
      </c>
      <c r="C79" s="5" t="inlineStr">
        <is>
          <t>C1096-Q9556</t>
        </is>
      </c>
      <c r="D79" s="5" t="inlineStr">
        <is>
          <t>Morropón</t>
        </is>
      </c>
      <c r="E79" s="5" t="inlineStr">
        <is>
          <t>Chulucanas</t>
        </is>
      </c>
      <c r="F79" s="6" t="n">
        <v>42.449</v>
      </c>
      <c r="G79" s="5">
        <f>COUNTIF(AI_Poligonos!$C$9:$C$138,B79)</f>
        <v/>
      </c>
      <c r="H79" s="6">
        <f>SUMIF(AI_Poligonos!$C$9:$C$138,B79,AI_Poligonos!$G$9:$G$138)</f>
        <v/>
      </c>
      <c r="I79" s="6">
        <f>F79+H79</f>
        <v/>
      </c>
      <c r="J79" s="7">
        <f>IF(F79=0,0,H79/F79)</f>
        <v/>
      </c>
      <c r="K79" s="21" t="n">
        <v>600648.5</v>
      </c>
      <c r="L79" s="21" t="n">
        <v>9440413</v>
      </c>
    </row>
    <row r="80">
      <c r="A80" s="9" t="n">
        <v>72</v>
      </c>
      <c r="B80" s="9" t="inlineStr">
        <is>
          <t>M17B4</t>
        </is>
      </c>
      <c r="C80" s="9" t="inlineStr">
        <is>
          <t>C1096-Q9556</t>
        </is>
      </c>
      <c r="D80" s="9" t="inlineStr">
        <is>
          <t>Morropón</t>
        </is>
      </c>
      <c r="E80" s="9" t="inlineStr">
        <is>
          <t>Chulucanas</t>
        </is>
      </c>
      <c r="F80" s="10" t="n">
        <v>124.709</v>
      </c>
      <c r="G80" s="9">
        <f>COUNTIF(AI_Poligonos!$C$9:$C$138,B80)</f>
        <v/>
      </c>
      <c r="H80" s="10">
        <f>SUMIF(AI_Poligonos!$C$9:$C$138,B80,AI_Poligonos!$G$9:$G$138)</f>
        <v/>
      </c>
      <c r="I80" s="10">
        <f>F80+H80</f>
        <v/>
      </c>
      <c r="J80" s="11">
        <f>IF(F80=0,0,H80/F80)</f>
        <v/>
      </c>
      <c r="K80" s="22" t="n">
        <v>604677.9</v>
      </c>
      <c r="L80" s="22" t="n">
        <v>9444375.6</v>
      </c>
    </row>
    <row r="81">
      <c r="A81" s="5" t="n">
        <v>73</v>
      </c>
      <c r="B81" s="5" t="inlineStr">
        <is>
          <t>M27B1</t>
        </is>
      </c>
      <c r="C81" s="5" t="inlineStr">
        <is>
          <t>C1096-Q9557</t>
        </is>
      </c>
      <c r="D81" s="5" t="inlineStr">
        <is>
          <t>Morropón</t>
        </is>
      </c>
      <c r="E81" s="5" t="inlineStr">
        <is>
          <t>Chulucanas</t>
        </is>
      </c>
      <c r="F81" s="6" t="n">
        <v>448.804</v>
      </c>
      <c r="G81" s="5">
        <f>COUNTIF(AI_Poligonos!$C$9:$C$138,B81)</f>
        <v/>
      </c>
      <c r="H81" s="6">
        <f>SUMIF(AI_Poligonos!$C$9:$C$138,B81,AI_Poligonos!$G$9:$G$138)</f>
        <v/>
      </c>
      <c r="I81" s="6">
        <f>F81+H81</f>
        <v/>
      </c>
      <c r="J81" s="7">
        <f>IF(F81=0,0,H81/F81)</f>
        <v/>
      </c>
      <c r="K81" s="21" t="n">
        <v>593286.5</v>
      </c>
      <c r="L81" s="21" t="n">
        <v>9430038.699999999</v>
      </c>
    </row>
    <row r="82">
      <c r="A82" s="9" t="n">
        <v>74</v>
      </c>
      <c r="B82" s="9" t="inlineStr">
        <is>
          <t>M9B1</t>
        </is>
      </c>
      <c r="C82" s="9" t="inlineStr">
        <is>
          <t>C1096-Q9545</t>
        </is>
      </c>
      <c r="D82" s="9" t="inlineStr">
        <is>
          <t>Morropón</t>
        </is>
      </c>
      <c r="E82" s="9" t="inlineStr">
        <is>
          <t>Chulucanas</t>
        </is>
      </c>
      <c r="F82" s="10" t="n">
        <v>355.364</v>
      </c>
      <c r="G82" s="9">
        <f>COUNTIF(AI_Poligonos!$C$9:$C$138,B82)</f>
        <v/>
      </c>
      <c r="H82" s="10">
        <f>SUMIF(AI_Poligonos!$C$9:$C$138,B82,AI_Poligonos!$G$9:$G$138)</f>
        <v/>
      </c>
      <c r="I82" s="10">
        <f>F82+H82</f>
        <v/>
      </c>
      <c r="J82" s="11">
        <f>IF(F82=0,0,H82/F82)</f>
        <v/>
      </c>
      <c r="K82" s="22" t="n">
        <v>595630.9</v>
      </c>
      <c r="L82" s="22" t="n">
        <v>9451176</v>
      </c>
    </row>
    <row r="83">
      <c r="A83" s="5" t="n">
        <v>75</v>
      </c>
      <c r="B83" s="5" t="inlineStr">
        <is>
          <t>M19B2</t>
        </is>
      </c>
      <c r="C83" s="5" t="inlineStr">
        <is>
          <t>C1086-Q9570</t>
        </is>
      </c>
      <c r="D83" s="5" t="inlineStr">
        <is>
          <t>Morropón</t>
        </is>
      </c>
      <c r="E83" s="5" t="inlineStr">
        <is>
          <t>Morropón</t>
        </is>
      </c>
      <c r="F83" s="6" t="n">
        <v>74.372</v>
      </c>
      <c r="G83" s="5">
        <f>COUNTIF(AI_Poligonos!$C$9:$C$138,B83)</f>
        <v/>
      </c>
      <c r="H83" s="6">
        <f>SUMIF(AI_Poligonos!$C$9:$C$138,B83,AI_Poligonos!$G$9:$G$138)</f>
        <v/>
      </c>
      <c r="I83" s="6">
        <f>F83+H83</f>
        <v/>
      </c>
      <c r="J83" s="7">
        <f>IF(F83=0,0,H83/F83)</f>
        <v/>
      </c>
      <c r="K83" s="21" t="n">
        <v>617759.5</v>
      </c>
      <c r="L83" s="21" t="n">
        <v>9427284.5</v>
      </c>
    </row>
    <row r="84">
      <c r="A84" s="9" t="n">
        <v>76</v>
      </c>
      <c r="B84" s="9" t="inlineStr">
        <is>
          <t>M32B3</t>
        </is>
      </c>
      <c r="C84" s="9" t="inlineStr">
        <is>
          <t>C1086-Q9569</t>
        </is>
      </c>
      <c r="D84" s="9" t="inlineStr">
        <is>
          <t>Morropón</t>
        </is>
      </c>
      <c r="E84" s="9" t="inlineStr">
        <is>
          <t>Morropón</t>
        </is>
      </c>
      <c r="F84" s="10" t="n">
        <v>50.972</v>
      </c>
      <c r="G84" s="9">
        <f>COUNTIF(AI_Poligonos!$C$9:$C$138,B84)</f>
        <v/>
      </c>
      <c r="H84" s="10">
        <f>SUMIF(AI_Poligonos!$C$9:$C$138,B84,AI_Poligonos!$G$9:$G$138)</f>
        <v/>
      </c>
      <c r="I84" s="10">
        <f>F84+H84</f>
        <v/>
      </c>
      <c r="J84" s="11">
        <f>IF(F84=0,0,H84/F84)</f>
        <v/>
      </c>
      <c r="K84" s="22" t="n">
        <v>618183.6</v>
      </c>
      <c r="L84" s="22" t="n">
        <v>9426502.800000001</v>
      </c>
    </row>
    <row r="85">
      <c r="A85" s="5" t="n">
        <v>77</v>
      </c>
      <c r="B85" s="5" t="inlineStr">
        <is>
          <t>M18B3</t>
        </is>
      </c>
      <c r="C85" s="5" t="inlineStr">
        <is>
          <t>C1077-Q9579</t>
        </is>
      </c>
      <c r="D85" s="5" t="inlineStr">
        <is>
          <t>Morropón</t>
        </is>
      </c>
      <c r="E85" s="5" t="inlineStr">
        <is>
          <t>Salitral</t>
        </is>
      </c>
      <c r="F85" s="6" t="n">
        <v>373.807</v>
      </c>
      <c r="G85" s="5">
        <f>COUNTIF(AI_Poligonos!$C$9:$C$138,B85)</f>
        <v/>
      </c>
      <c r="H85" s="6">
        <f>SUMIF(AI_Poligonos!$C$9:$C$138,B85,AI_Poligonos!$G$9:$G$138)</f>
        <v/>
      </c>
      <c r="I85" s="6">
        <f>F85+H85</f>
        <v/>
      </c>
      <c r="J85" s="7">
        <f>IF(F85=0,0,H85/F85)</f>
        <v/>
      </c>
      <c r="K85" s="21" t="n">
        <v>623415.2</v>
      </c>
      <c r="L85" s="21" t="n">
        <v>9412241.1</v>
      </c>
    </row>
    <row r="86">
      <c r="A86" s="9" t="n">
        <v>78</v>
      </c>
      <c r="B86" s="9" t="inlineStr">
        <is>
          <t>M2B1</t>
        </is>
      </c>
      <c r="C86" s="9" t="inlineStr">
        <is>
          <t>C1076-Q9584</t>
        </is>
      </c>
      <c r="D86" s="9" t="inlineStr">
        <is>
          <t>Morropón</t>
        </is>
      </c>
      <c r="E86" s="9" t="inlineStr">
        <is>
          <t>Salitral</t>
        </is>
      </c>
      <c r="F86" s="10" t="n">
        <v>81.795</v>
      </c>
      <c r="G86" s="9">
        <f>COUNTIF(AI_Poligonos!$C$9:$C$138,B86)</f>
        <v/>
      </c>
      <c r="H86" s="10">
        <f>SUMIF(AI_Poligonos!$C$9:$C$138,B86,AI_Poligonos!$G$9:$G$138)</f>
        <v/>
      </c>
      <c r="I86" s="10">
        <f>F86+H86</f>
        <v/>
      </c>
      <c r="J86" s="11">
        <f>IF(F86=0,0,H86/F86)</f>
        <v/>
      </c>
      <c r="K86" s="22" t="n">
        <v>635836.8</v>
      </c>
      <c r="L86" s="22" t="n">
        <v>9397890.6</v>
      </c>
    </row>
    <row r="87">
      <c r="A87" s="5" t="n">
        <v>79</v>
      </c>
      <c r="B87" s="5" t="inlineStr">
        <is>
          <t>M2B5</t>
        </is>
      </c>
      <c r="C87" s="5" t="inlineStr">
        <is>
          <t>C1076-Q9584</t>
        </is>
      </c>
      <c r="D87" s="5" t="inlineStr">
        <is>
          <t>Morropón</t>
        </is>
      </c>
      <c r="E87" s="5" t="inlineStr">
        <is>
          <t>Salitral</t>
        </is>
      </c>
      <c r="F87" s="6" t="n">
        <v>30.909</v>
      </c>
      <c r="G87" s="5">
        <f>COUNTIF(AI_Poligonos!$C$9:$C$138,B87)</f>
        <v/>
      </c>
      <c r="H87" s="6">
        <f>SUMIF(AI_Poligonos!$C$9:$C$138,B87,AI_Poligonos!$G$9:$G$138)</f>
        <v/>
      </c>
      <c r="I87" s="6">
        <f>F87+H87</f>
        <v/>
      </c>
      <c r="J87" s="7">
        <f>IF(F87=0,0,H87/F87)</f>
        <v/>
      </c>
      <c r="K87" s="21" t="n">
        <v>640271.4</v>
      </c>
      <c r="L87" s="21" t="n">
        <v>9394384.699999999</v>
      </c>
    </row>
    <row r="88">
      <c r="A88" s="9" t="n">
        <v>80</v>
      </c>
      <c r="B88" s="9" t="inlineStr">
        <is>
          <t>M3B1</t>
        </is>
      </c>
      <c r="C88" s="9" t="inlineStr">
        <is>
          <t>C1081-Q9582</t>
        </is>
      </c>
      <c r="D88" s="9" t="inlineStr">
        <is>
          <t>Morropón</t>
        </is>
      </c>
      <c r="E88" s="9" t="inlineStr">
        <is>
          <t>Salitral</t>
        </is>
      </c>
      <c r="F88" s="10" t="n">
        <v>80.983</v>
      </c>
      <c r="G88" s="9">
        <f>COUNTIF(AI_Poligonos!$C$9:$C$138,B88)</f>
        <v/>
      </c>
      <c r="H88" s="10">
        <f>SUMIF(AI_Poligonos!$C$9:$C$138,B88,AI_Poligonos!$G$9:$G$138)</f>
        <v/>
      </c>
      <c r="I88" s="10">
        <f>F88+H88</f>
        <v/>
      </c>
      <c r="J88" s="11">
        <f>IF(F88=0,0,H88/F88)</f>
        <v/>
      </c>
      <c r="K88" s="22" t="n">
        <v>630357.5</v>
      </c>
      <c r="L88" s="22" t="n">
        <v>9410781.699999999</v>
      </c>
    </row>
    <row r="89">
      <c r="A89" s="5" t="n">
        <v>81</v>
      </c>
      <c r="B89" s="5" t="inlineStr">
        <is>
          <t>M3B9</t>
        </is>
      </c>
      <c r="C89" s="5" t="inlineStr">
        <is>
          <t>C1081-Q9582</t>
        </is>
      </c>
      <c r="D89" s="5" t="inlineStr">
        <is>
          <t>Morropón</t>
        </is>
      </c>
      <c r="E89" s="5" t="inlineStr">
        <is>
          <t>Salitral</t>
        </is>
      </c>
      <c r="F89" s="6" t="n">
        <v>294.204</v>
      </c>
      <c r="G89" s="5">
        <f>COUNTIF(AI_Poligonos!$C$9:$C$138,B89)</f>
        <v/>
      </c>
      <c r="H89" s="6">
        <f>SUMIF(AI_Poligonos!$C$9:$C$138,B89,AI_Poligonos!$G$9:$G$138)</f>
        <v/>
      </c>
      <c r="I89" s="6">
        <f>F89+H89</f>
        <v/>
      </c>
      <c r="J89" s="7">
        <f>IF(F89=0,0,H89/F89)</f>
        <v/>
      </c>
      <c r="K89" s="21" t="n">
        <v>629567.6</v>
      </c>
      <c r="L89" s="21" t="n">
        <v>9413365.4</v>
      </c>
    </row>
    <row r="90">
      <c r="A90" s="9" t="n">
        <v>82</v>
      </c>
      <c r="B90" s="9" t="inlineStr">
        <is>
          <t>M7B1</t>
        </is>
      </c>
      <c r="C90" s="9" t="inlineStr">
        <is>
          <t>C1076-Q9581</t>
        </is>
      </c>
      <c r="D90" s="9" t="inlineStr">
        <is>
          <t>Morropón</t>
        </is>
      </c>
      <c r="E90" s="9" t="inlineStr">
        <is>
          <t>Salitral</t>
        </is>
      </c>
      <c r="F90" s="10" t="n">
        <v>130.425</v>
      </c>
      <c r="G90" s="9">
        <f>COUNTIF(AI_Poligonos!$C$9:$C$138,B90)</f>
        <v/>
      </c>
      <c r="H90" s="10">
        <f>SUMIF(AI_Poligonos!$C$9:$C$138,B90,AI_Poligonos!$G$9:$G$138)</f>
        <v/>
      </c>
      <c r="I90" s="10">
        <f>F90+H90</f>
        <v/>
      </c>
      <c r="J90" s="11">
        <f>IF(F90=0,0,H90/F90)</f>
        <v/>
      </c>
      <c r="K90" s="22" t="n">
        <v>629311.4</v>
      </c>
      <c r="L90" s="22" t="n">
        <v>9407423.5</v>
      </c>
    </row>
    <row r="91">
      <c r="A91" s="5" t="n">
        <v>83</v>
      </c>
      <c r="B91" s="5" t="inlineStr">
        <is>
          <t>M7B2</t>
        </is>
      </c>
      <c r="C91" s="5" t="inlineStr">
        <is>
          <t>C1076-Q9581</t>
        </is>
      </c>
      <c r="D91" s="5" t="inlineStr">
        <is>
          <t>Morropón</t>
        </is>
      </c>
      <c r="E91" s="5" t="inlineStr">
        <is>
          <t>Salitral</t>
        </is>
      </c>
      <c r="F91" s="6" t="n">
        <v>115.379</v>
      </c>
      <c r="G91" s="5">
        <f>COUNTIF(AI_Poligonos!$C$9:$C$138,B91)</f>
        <v/>
      </c>
      <c r="H91" s="6">
        <f>SUMIF(AI_Poligonos!$C$9:$C$138,B91,AI_Poligonos!$G$9:$G$138)</f>
        <v/>
      </c>
      <c r="I91" s="6">
        <f>F91+H91</f>
        <v/>
      </c>
      <c r="J91" s="7">
        <f>IF(F91=0,0,H91/F91)</f>
        <v/>
      </c>
      <c r="K91" s="21" t="n">
        <v>631454.3</v>
      </c>
      <c r="L91" s="21" t="n">
        <v>9403545.199999999</v>
      </c>
    </row>
    <row r="92">
      <c r="A92" s="9" t="n">
        <v>84</v>
      </c>
      <c r="B92" s="9" t="inlineStr">
        <is>
          <t>M7B3</t>
        </is>
      </c>
      <c r="C92" s="9" t="inlineStr">
        <is>
          <t>C1076-Q9581</t>
        </is>
      </c>
      <c r="D92" s="9" t="inlineStr">
        <is>
          <t>Morropón</t>
        </is>
      </c>
      <c r="E92" s="9" t="inlineStr">
        <is>
          <t>Salitral</t>
        </is>
      </c>
      <c r="F92" s="10" t="n">
        <v>65.745</v>
      </c>
      <c r="G92" s="9">
        <f>COUNTIF(AI_Poligonos!$C$9:$C$138,B92)</f>
        <v/>
      </c>
      <c r="H92" s="10">
        <f>SUMIF(AI_Poligonos!$C$9:$C$138,B92,AI_Poligonos!$G$9:$G$138)</f>
        <v/>
      </c>
      <c r="I92" s="10">
        <f>F92+H92</f>
        <v/>
      </c>
      <c r="J92" s="11">
        <f>IF(F92=0,0,H92/F92)</f>
        <v/>
      </c>
      <c r="K92" s="22" t="n">
        <v>633426.8</v>
      </c>
      <c r="L92" s="22" t="n">
        <v>9401205.9</v>
      </c>
    </row>
    <row r="93">
      <c r="A93" s="5" t="n">
        <v>85</v>
      </c>
      <c r="B93" s="5" t="inlineStr">
        <is>
          <t>M7B6</t>
        </is>
      </c>
      <c r="C93" s="5" t="inlineStr">
        <is>
          <t>C1076-Q9581</t>
        </is>
      </c>
      <c r="D93" s="5" t="inlineStr">
        <is>
          <t>Morropón</t>
        </is>
      </c>
      <c r="E93" s="5" t="inlineStr">
        <is>
          <t>Salitral</t>
        </is>
      </c>
      <c r="F93" s="6" t="n">
        <v>91.285</v>
      </c>
      <c r="G93" s="5">
        <f>COUNTIF(AI_Poligonos!$C$9:$C$138,B93)</f>
        <v/>
      </c>
      <c r="H93" s="6">
        <f>SUMIF(AI_Poligonos!$C$9:$C$138,B93,AI_Poligonos!$G$9:$G$138)</f>
        <v/>
      </c>
      <c r="I93" s="6">
        <f>F93+H93</f>
        <v/>
      </c>
      <c r="J93" s="7">
        <f>IF(F93=0,0,H93/F93)</f>
        <v/>
      </c>
      <c r="K93" s="21" t="n">
        <v>634916.2</v>
      </c>
      <c r="L93" s="21" t="n">
        <v>9399129.199999999</v>
      </c>
    </row>
    <row r="94">
      <c r="A94" s="9" t="n">
        <v>86</v>
      </c>
      <c r="B94" s="9" t="inlineStr">
        <is>
          <t>77</t>
        </is>
      </c>
      <c r="C94" s="9" t="inlineStr">
        <is>
          <t>C1081-Q9583</t>
        </is>
      </c>
      <c r="D94" s="9" t="inlineStr">
        <is>
          <t>Morropón</t>
        </is>
      </c>
      <c r="E94" s="9" t="inlineStr">
        <is>
          <t>San Juan de Bigote</t>
        </is>
      </c>
      <c r="F94" s="10" t="n">
        <v>17.821</v>
      </c>
      <c r="G94" s="9">
        <f>COUNTIF(AI_Poligonos!$C$9:$C$138,B94)</f>
        <v/>
      </c>
      <c r="H94" s="10">
        <f>SUMIF(AI_Poligonos!$C$9:$C$138,B94,AI_Poligonos!$G$9:$G$138)</f>
        <v/>
      </c>
      <c r="I94" s="10">
        <f>F94+H94</f>
        <v/>
      </c>
      <c r="J94" s="11">
        <f>IF(F94=0,0,H94/F94)</f>
        <v/>
      </c>
      <c r="K94" s="22" t="n">
        <v>638647.3</v>
      </c>
      <c r="L94" s="22" t="n">
        <v>9411345</v>
      </c>
    </row>
    <row r="95">
      <c r="A95" s="5" t="n">
        <v>87</v>
      </c>
      <c r="B95" s="5" t="inlineStr">
        <is>
          <t>83</t>
        </is>
      </c>
      <c r="C95" s="5" t="inlineStr">
        <is>
          <t>C1081-Q9583</t>
        </is>
      </c>
      <c r="D95" s="5" t="inlineStr">
        <is>
          <t>Morropón</t>
        </is>
      </c>
      <c r="E95" s="5" t="inlineStr">
        <is>
          <t>San Juan de Bigote</t>
        </is>
      </c>
      <c r="F95" s="6" t="n">
        <v>24.344</v>
      </c>
      <c r="G95" s="5">
        <f>COUNTIF(AI_Poligonos!$C$9:$C$138,B95)</f>
        <v/>
      </c>
      <c r="H95" s="6">
        <f>SUMIF(AI_Poligonos!$C$9:$C$138,B95,AI_Poligonos!$G$9:$G$138)</f>
        <v/>
      </c>
      <c r="I95" s="6">
        <f>F95+H95</f>
        <v/>
      </c>
      <c r="J95" s="7">
        <f>IF(F95=0,0,H95/F95)</f>
        <v/>
      </c>
      <c r="K95" s="21" t="n">
        <v>639736.6</v>
      </c>
      <c r="L95" s="21" t="n">
        <v>9410628.6</v>
      </c>
    </row>
    <row r="96">
      <c r="A96" s="9" t="n">
        <v>88</v>
      </c>
      <c r="B96" s="9" t="inlineStr">
        <is>
          <t>84</t>
        </is>
      </c>
      <c r="C96" s="9" t="inlineStr">
        <is>
          <t>C1081-Q9583</t>
        </is>
      </c>
      <c r="D96" s="9" t="inlineStr">
        <is>
          <t>Morropón</t>
        </is>
      </c>
      <c r="E96" s="9" t="inlineStr">
        <is>
          <t>San Juan de Bigote</t>
        </is>
      </c>
      <c r="F96" s="10" t="n">
        <v>5.097</v>
      </c>
      <c r="G96" s="9">
        <f>COUNTIF(AI_Poligonos!$C$9:$C$138,B96)</f>
        <v/>
      </c>
      <c r="H96" s="10">
        <f>SUMIF(AI_Poligonos!$C$9:$C$138,B96,AI_Poligonos!$G$9:$G$138)</f>
        <v/>
      </c>
      <c r="I96" s="10">
        <f>F96+H96</f>
        <v/>
      </c>
      <c r="J96" s="11">
        <f>IF(F96=0,0,H96/F96)</f>
        <v/>
      </c>
      <c r="K96" s="22" t="n">
        <v>640275.2</v>
      </c>
      <c r="L96" s="22" t="n">
        <v>9410722.9</v>
      </c>
    </row>
    <row r="97">
      <c r="A97" s="5" t="n">
        <v>89</v>
      </c>
      <c r="B97" s="5" t="inlineStr">
        <is>
          <t>85</t>
        </is>
      </c>
      <c r="C97" s="5" t="inlineStr">
        <is>
          <t>C1081-Q9583</t>
        </is>
      </c>
      <c r="D97" s="5" t="inlineStr">
        <is>
          <t>Morropón</t>
        </is>
      </c>
      <c r="E97" s="5" t="inlineStr">
        <is>
          <t>San Juan de Bigote</t>
        </is>
      </c>
      <c r="F97" s="6" t="n">
        <v>11.906</v>
      </c>
      <c r="G97" s="5">
        <f>COUNTIF(AI_Poligonos!$C$9:$C$138,B97)</f>
        <v/>
      </c>
      <c r="H97" s="6">
        <f>SUMIF(AI_Poligonos!$C$9:$C$138,B97,AI_Poligonos!$G$9:$G$138)</f>
        <v/>
      </c>
      <c r="I97" s="6">
        <f>F97+H97</f>
        <v/>
      </c>
      <c r="J97" s="7">
        <f>IF(F97=0,0,H97/F97)</f>
        <v/>
      </c>
      <c r="K97" s="21" t="n">
        <v>642292.3</v>
      </c>
      <c r="L97" s="21" t="n">
        <v>9411067.4</v>
      </c>
    </row>
    <row r="98">
      <c r="A98" s="9" t="n">
        <v>90</v>
      </c>
      <c r="B98" s="9" t="inlineStr">
        <is>
          <t>86</t>
        </is>
      </c>
      <c r="C98" s="9" t="inlineStr">
        <is>
          <t>C1081-Q9583</t>
        </is>
      </c>
      <c r="D98" s="9" t="inlineStr">
        <is>
          <t>Morropón</t>
        </is>
      </c>
      <c r="E98" s="9" t="inlineStr">
        <is>
          <t>San Juan de Bigote</t>
        </is>
      </c>
      <c r="F98" s="10" t="n">
        <v>30.001</v>
      </c>
      <c r="G98" s="9">
        <f>COUNTIF(AI_Poligonos!$C$9:$C$138,B98)</f>
        <v/>
      </c>
      <c r="H98" s="10">
        <f>SUMIF(AI_Poligonos!$C$9:$C$138,B98,AI_Poligonos!$G$9:$G$138)</f>
        <v/>
      </c>
      <c r="I98" s="10">
        <f>F98+H98</f>
        <v/>
      </c>
      <c r="J98" s="11">
        <f>IF(F98=0,0,H98/F98)</f>
        <v/>
      </c>
      <c r="K98" s="22" t="n">
        <v>642457.1</v>
      </c>
      <c r="L98" s="22" t="n">
        <v>9410175.300000001</v>
      </c>
    </row>
    <row r="99">
      <c r="A99" s="5" t="n">
        <v>91</v>
      </c>
      <c r="B99" s="5" t="inlineStr">
        <is>
          <t>87</t>
        </is>
      </c>
      <c r="C99" s="5" t="inlineStr">
        <is>
          <t>C1081-Q9583</t>
        </is>
      </c>
      <c r="D99" s="5" t="inlineStr">
        <is>
          <t>Morropón</t>
        </is>
      </c>
      <c r="E99" s="5" t="inlineStr">
        <is>
          <t>San Juan de Bigote</t>
        </is>
      </c>
      <c r="F99" s="6" t="n">
        <v>62.219</v>
      </c>
      <c r="G99" s="5">
        <f>COUNTIF(AI_Poligonos!$C$9:$C$138,B99)</f>
        <v/>
      </c>
      <c r="H99" s="6">
        <f>SUMIF(AI_Poligonos!$C$9:$C$138,B99,AI_Poligonos!$G$9:$G$138)</f>
        <v/>
      </c>
      <c r="I99" s="6">
        <f>F99+H99</f>
        <v/>
      </c>
      <c r="J99" s="7">
        <f>IF(F99=0,0,H99/F99)</f>
        <v/>
      </c>
      <c r="K99" s="21" t="n">
        <v>642752.1</v>
      </c>
      <c r="L99" s="21" t="n">
        <v>9411070</v>
      </c>
    </row>
    <row r="100">
      <c r="A100" s="9" t="n">
        <v>92</v>
      </c>
      <c r="B100" s="9" t="inlineStr">
        <is>
          <t>M11B3</t>
        </is>
      </c>
      <c r="C100" s="9" t="inlineStr">
        <is>
          <t>C1081-Q9583</t>
        </is>
      </c>
      <c r="D100" s="9" t="inlineStr">
        <is>
          <t>Morropón</t>
        </is>
      </c>
      <c r="E100" s="9" t="inlineStr">
        <is>
          <t>San Juan de Bigote</t>
        </is>
      </c>
      <c r="F100" s="10" t="n">
        <v>106.027</v>
      </c>
      <c r="G100" s="9">
        <f>COUNTIF(AI_Poligonos!$C$9:$C$138,B100)</f>
        <v/>
      </c>
      <c r="H100" s="10">
        <f>SUMIF(AI_Poligonos!$C$9:$C$138,B100,AI_Poligonos!$G$9:$G$138)</f>
        <v/>
      </c>
      <c r="I100" s="10">
        <f>F100+H100</f>
        <v/>
      </c>
      <c r="J100" s="11">
        <f>IF(F100=0,0,H100/F100)</f>
        <v/>
      </c>
      <c r="K100" s="22" t="n">
        <v>642195.6</v>
      </c>
      <c r="L100" s="22" t="n">
        <v>9413882.6</v>
      </c>
    </row>
    <row r="101">
      <c r="A101" s="5" t="n">
        <v>93</v>
      </c>
      <c r="B101" s="5" t="inlineStr">
        <is>
          <t>M3B3</t>
        </is>
      </c>
      <c r="C101" s="5" t="inlineStr">
        <is>
          <t>C1081-Q9582</t>
        </is>
      </c>
      <c r="D101" s="5" t="inlineStr">
        <is>
          <t>Morropón</t>
        </is>
      </c>
      <c r="E101" s="5" t="inlineStr">
        <is>
          <t>San Juan de Bigote</t>
        </is>
      </c>
      <c r="F101" s="6" t="n">
        <v>84.825</v>
      </c>
      <c r="G101" s="5">
        <f>COUNTIF(AI_Poligonos!$C$9:$C$138,B101)</f>
        <v/>
      </c>
      <c r="H101" s="6">
        <f>SUMIF(AI_Poligonos!$C$9:$C$138,B101,AI_Poligonos!$G$9:$G$138)</f>
        <v/>
      </c>
      <c r="I101" s="6">
        <f>F101+H101</f>
        <v/>
      </c>
      <c r="J101" s="7">
        <f>IF(F101=0,0,H101/F101)</f>
        <v/>
      </c>
      <c r="K101" s="21" t="n">
        <v>632574</v>
      </c>
      <c r="L101" s="21" t="n">
        <v>9411471</v>
      </c>
    </row>
    <row r="102">
      <c r="A102" s="9" t="n">
        <v>94</v>
      </c>
      <c r="B102" s="9" t="inlineStr">
        <is>
          <t>M3B5</t>
        </is>
      </c>
      <c r="C102" s="9" t="inlineStr">
        <is>
          <t>C1081-Q9582</t>
        </is>
      </c>
      <c r="D102" s="9" t="inlineStr">
        <is>
          <t>Morropón</t>
        </is>
      </c>
      <c r="E102" s="9" t="inlineStr">
        <is>
          <t>San Juan de Bigote</t>
        </is>
      </c>
      <c r="F102" s="10" t="n">
        <v>52.743</v>
      </c>
      <c r="G102" s="9">
        <f>COUNTIF(AI_Poligonos!$C$9:$C$138,B102)</f>
        <v/>
      </c>
      <c r="H102" s="10">
        <f>SUMIF(AI_Poligonos!$C$9:$C$138,B102,AI_Poligonos!$G$9:$G$138)</f>
        <v/>
      </c>
      <c r="I102" s="10">
        <f>F102+H102</f>
        <v/>
      </c>
      <c r="J102" s="11">
        <f>IF(F102=0,0,H102/F102)</f>
        <v/>
      </c>
      <c r="K102" s="22" t="n">
        <v>635920.2</v>
      </c>
      <c r="L102" s="22" t="n">
        <v>9411736.300000001</v>
      </c>
    </row>
    <row r="103">
      <c r="A103" s="5" t="n">
        <v>95</v>
      </c>
      <c r="B103" s="5" t="inlineStr">
        <is>
          <t>M3B6</t>
        </is>
      </c>
      <c r="C103" s="5" t="inlineStr">
        <is>
          <t>C1081-Q9582</t>
        </is>
      </c>
      <c r="D103" s="5" t="inlineStr">
        <is>
          <t>Morropón</t>
        </is>
      </c>
      <c r="E103" s="5" t="inlineStr">
        <is>
          <t>San Juan de Bigote</t>
        </is>
      </c>
      <c r="F103" s="6" t="n">
        <v>60.352</v>
      </c>
      <c r="G103" s="5">
        <f>COUNTIF(AI_Poligonos!$C$9:$C$138,B103)</f>
        <v/>
      </c>
      <c r="H103" s="6">
        <f>SUMIF(AI_Poligonos!$C$9:$C$138,B103,AI_Poligonos!$G$9:$G$138)</f>
        <v/>
      </c>
      <c r="I103" s="6">
        <f>F103+H103</f>
        <v/>
      </c>
      <c r="J103" s="7">
        <f>IF(F103=0,0,H103/F103)</f>
        <v/>
      </c>
      <c r="K103" s="21" t="n">
        <v>638267</v>
      </c>
      <c r="L103" s="21" t="n">
        <v>9412113.800000001</v>
      </c>
    </row>
    <row r="104">
      <c r="A104" s="9" t="n">
        <v>96</v>
      </c>
      <c r="B104" s="9" t="inlineStr">
        <is>
          <t>M3B7</t>
        </is>
      </c>
      <c r="C104" s="9" t="inlineStr">
        <is>
          <t>C1081-Q9582</t>
        </is>
      </c>
      <c r="D104" s="9" t="inlineStr">
        <is>
          <t>Morropón</t>
        </is>
      </c>
      <c r="E104" s="9" t="inlineStr">
        <is>
          <t>San Juan de Bigote</t>
        </is>
      </c>
      <c r="F104" s="10" t="n">
        <v>122.946</v>
      </c>
      <c r="G104" s="9">
        <f>COUNTIF(AI_Poligonos!$C$9:$C$138,B104)</f>
        <v/>
      </c>
      <c r="H104" s="10">
        <f>SUMIF(AI_Poligonos!$C$9:$C$138,B104,AI_Poligonos!$G$9:$G$138)</f>
        <v/>
      </c>
      <c r="I104" s="10">
        <f>F104+H104</f>
        <v/>
      </c>
      <c r="J104" s="11">
        <f>IF(F104=0,0,H104/F104)</f>
        <v/>
      </c>
      <c r="K104" s="22" t="n">
        <v>638410.4</v>
      </c>
      <c r="L104" s="22" t="n">
        <v>9415174</v>
      </c>
    </row>
    <row r="105">
      <c r="A105" s="5" t="n">
        <v>97</v>
      </c>
      <c r="B105" s="5" t="inlineStr">
        <is>
          <t>M3B8</t>
        </is>
      </c>
      <c r="C105" s="5" t="inlineStr">
        <is>
          <t>C1081-Q9582</t>
        </is>
      </c>
      <c r="D105" s="5" t="inlineStr">
        <is>
          <t>Morropón</t>
        </is>
      </c>
      <c r="E105" s="5" t="inlineStr">
        <is>
          <t>San Juan de Bigote</t>
        </is>
      </c>
      <c r="F105" s="6" t="n">
        <v>565.5839999999999</v>
      </c>
      <c r="G105" s="5">
        <f>COUNTIF(AI_Poligonos!$C$9:$C$138,B105)</f>
        <v/>
      </c>
      <c r="H105" s="6">
        <f>SUMIF(AI_Poligonos!$C$9:$C$138,B105,AI_Poligonos!$G$9:$G$138)</f>
        <v/>
      </c>
      <c r="I105" s="6">
        <f>F105+H105</f>
        <v/>
      </c>
      <c r="J105" s="7">
        <f>IF(F105=0,0,H105/F105)</f>
        <v/>
      </c>
      <c r="K105" s="21" t="n">
        <v>631601.2</v>
      </c>
      <c r="L105" s="21" t="n">
        <v>9415107.699999999</v>
      </c>
    </row>
    <row r="106">
      <c r="A106" s="9" t="n">
        <v>98</v>
      </c>
      <c r="B106" s="9" t="inlineStr">
        <is>
          <t>14</t>
        </is>
      </c>
      <c r="C106" s="9" t="inlineStr">
        <is>
          <t>C1086-Q9570</t>
        </is>
      </c>
      <c r="D106" s="9" t="inlineStr">
        <is>
          <t>Morropón</t>
        </is>
      </c>
      <c r="E106" s="9" t="inlineStr">
        <is>
          <t>Santa Catalina de Mossa</t>
        </is>
      </c>
      <c r="F106" s="10" t="n">
        <v>92.905</v>
      </c>
      <c r="G106" s="9">
        <f>COUNTIF(AI_Poligonos!$C$9:$C$138,B106)</f>
        <v/>
      </c>
      <c r="H106" s="10">
        <f>SUMIF(AI_Poligonos!$C$9:$C$138,B106,AI_Poligonos!$G$9:$G$138)</f>
        <v/>
      </c>
      <c r="I106" s="10">
        <f>F106+H106</f>
        <v/>
      </c>
      <c r="J106" s="11">
        <f>IF(F106=0,0,H106/F106)</f>
        <v/>
      </c>
      <c r="K106" s="22" t="n">
        <v>624404.9</v>
      </c>
      <c r="L106" s="22" t="n">
        <v>9437093.1</v>
      </c>
    </row>
    <row r="107">
      <c r="A107" s="5" t="n">
        <v>99</v>
      </c>
      <c r="B107" s="5" t="inlineStr">
        <is>
          <t>42</t>
        </is>
      </c>
      <c r="C107" s="5" t="inlineStr">
        <is>
          <t>C1086-Q9570</t>
        </is>
      </c>
      <c r="D107" s="5" t="inlineStr">
        <is>
          <t>Morropón</t>
        </is>
      </c>
      <c r="E107" s="5" t="inlineStr">
        <is>
          <t>Santa Catalina de Mossa</t>
        </is>
      </c>
      <c r="F107" s="6" t="n">
        <v>80.616</v>
      </c>
      <c r="G107" s="5">
        <f>COUNTIF(AI_Poligonos!$C$9:$C$138,B107)</f>
        <v/>
      </c>
      <c r="H107" s="6">
        <f>SUMIF(AI_Poligonos!$C$9:$C$138,B107,AI_Poligonos!$G$9:$G$138)</f>
        <v/>
      </c>
      <c r="I107" s="6">
        <f>F107+H107</f>
        <v/>
      </c>
      <c r="J107" s="7">
        <f>IF(F107=0,0,H107/F107)</f>
        <v/>
      </c>
      <c r="K107" s="21" t="n">
        <v>625114</v>
      </c>
      <c r="L107" s="21" t="n">
        <v>9434984.5</v>
      </c>
    </row>
    <row r="108">
      <c r="A108" s="9" t="n">
        <v>100</v>
      </c>
      <c r="B108" s="9" t="inlineStr">
        <is>
          <t>58</t>
        </is>
      </c>
      <c r="C108" s="9" t="inlineStr">
        <is>
          <t>C1086-Q9569</t>
        </is>
      </c>
      <c r="D108" s="9" t="inlineStr">
        <is>
          <t>Morropón</t>
        </is>
      </c>
      <c r="E108" s="9" t="inlineStr">
        <is>
          <t>Santa Catalina de Mossa</t>
        </is>
      </c>
      <c r="F108" s="10" t="n">
        <v>11.475</v>
      </c>
      <c r="G108" s="9">
        <f>COUNTIF(AI_Poligonos!$C$9:$C$138,B108)</f>
        <v/>
      </c>
      <c r="H108" s="10">
        <f>SUMIF(AI_Poligonos!$C$9:$C$138,B108,AI_Poligonos!$G$9:$G$138)</f>
        <v/>
      </c>
      <c r="I108" s="10">
        <f>F108+H108</f>
        <v/>
      </c>
      <c r="J108" s="11">
        <f>IF(F108=0,0,H108/F108)</f>
        <v/>
      </c>
      <c r="K108" s="22" t="n">
        <v>619094.5</v>
      </c>
      <c r="L108" s="22" t="n">
        <v>9426425.6</v>
      </c>
    </row>
    <row r="109">
      <c r="A109" s="5" t="n">
        <v>101</v>
      </c>
      <c r="B109" s="5" t="inlineStr">
        <is>
          <t>M36B2</t>
        </is>
      </c>
      <c r="C109" s="5" t="inlineStr">
        <is>
          <t>C1086-Q9576</t>
        </is>
      </c>
      <c r="D109" s="5" t="inlineStr">
        <is>
          <t>Morropón</t>
        </is>
      </c>
      <c r="E109" s="5" t="inlineStr">
        <is>
          <t>Santa Catalina de Mossa</t>
        </is>
      </c>
      <c r="F109" s="6" t="n">
        <v>28.19</v>
      </c>
      <c r="G109" s="5">
        <f>COUNTIF(AI_Poligonos!$C$9:$C$138,B109)</f>
        <v/>
      </c>
      <c r="H109" s="6">
        <f>SUMIF(AI_Poligonos!$C$9:$C$138,B109,AI_Poligonos!$G$9:$G$138)</f>
        <v/>
      </c>
      <c r="I109" s="6">
        <f>F109+H109</f>
        <v/>
      </c>
      <c r="J109" s="7">
        <f>IF(F109=0,0,H109/F109)</f>
        <v/>
      </c>
      <c r="K109" s="21" t="n">
        <v>626533.3</v>
      </c>
      <c r="L109" s="21" t="n">
        <v>9435073.9</v>
      </c>
    </row>
    <row r="110">
      <c r="A110" s="9" t="n">
        <v>102</v>
      </c>
      <c r="B110" s="9" t="inlineStr">
        <is>
          <t>11</t>
        </is>
      </c>
      <c r="C110" s="9" t="inlineStr">
        <is>
          <t>C1086-Q9570</t>
        </is>
      </c>
      <c r="D110" s="9" t="inlineStr">
        <is>
          <t>Morropón</t>
        </is>
      </c>
      <c r="E110" s="9" t="inlineStr">
        <is>
          <t>Santo Domingo</t>
        </is>
      </c>
      <c r="F110" s="10" t="n">
        <v>103.948</v>
      </c>
      <c r="G110" s="9">
        <f>COUNTIF(AI_Poligonos!$C$9:$C$138,B110)</f>
        <v/>
      </c>
      <c r="H110" s="10">
        <f>SUMIF(AI_Poligonos!$C$9:$C$138,B110,AI_Poligonos!$G$9:$G$138)</f>
        <v/>
      </c>
      <c r="I110" s="10">
        <f>F110+H110</f>
        <v/>
      </c>
      <c r="J110" s="11">
        <f>IF(F110=0,0,H110/F110)</f>
        <v/>
      </c>
      <c r="K110" s="22" t="n">
        <v>620700.4</v>
      </c>
      <c r="L110" s="22" t="n">
        <v>9440010.1</v>
      </c>
    </row>
    <row r="111">
      <c r="A111" s="5" t="n">
        <v>103</v>
      </c>
      <c r="B111" s="5" t="inlineStr">
        <is>
          <t>12</t>
        </is>
      </c>
      <c r="C111" s="5" t="inlineStr">
        <is>
          <t>C1086-Q9570</t>
        </is>
      </c>
      <c r="D111" s="5" t="inlineStr">
        <is>
          <t>Morropón</t>
        </is>
      </c>
      <c r="E111" s="5" t="inlineStr">
        <is>
          <t>Santo Domingo</t>
        </is>
      </c>
      <c r="F111" s="6" t="n">
        <v>119.538</v>
      </c>
      <c r="G111" s="5">
        <f>COUNTIF(AI_Poligonos!$C$9:$C$138,B111)</f>
        <v/>
      </c>
      <c r="H111" s="6">
        <f>SUMIF(AI_Poligonos!$C$9:$C$138,B111,AI_Poligonos!$G$9:$G$138)</f>
        <v/>
      </c>
      <c r="I111" s="6">
        <f>F111+H111</f>
        <v/>
      </c>
      <c r="J111" s="7">
        <f>IF(F111=0,0,H111/F111)</f>
        <v/>
      </c>
      <c r="K111" s="21" t="n">
        <v>625379.4</v>
      </c>
      <c r="L111" s="21" t="n">
        <v>9444938</v>
      </c>
    </row>
    <row r="112">
      <c r="A112" s="9" t="n">
        <v>104</v>
      </c>
      <c r="B112" s="9" t="inlineStr">
        <is>
          <t>13</t>
        </is>
      </c>
      <c r="C112" s="9" t="inlineStr">
        <is>
          <t>C1096-Q9564</t>
        </is>
      </c>
      <c r="D112" s="9" t="inlineStr">
        <is>
          <t>Morropón</t>
        </is>
      </c>
      <c r="E112" s="9" t="inlineStr">
        <is>
          <t>Santo Domingo</t>
        </is>
      </c>
      <c r="F112" s="10" t="n">
        <v>100.514</v>
      </c>
      <c r="G112" s="9">
        <f>COUNTIF(AI_Poligonos!$C$9:$C$138,B112)</f>
        <v/>
      </c>
      <c r="H112" s="10">
        <f>SUMIF(AI_Poligonos!$C$9:$C$138,B112,AI_Poligonos!$G$9:$G$138)</f>
        <v/>
      </c>
      <c r="I112" s="10">
        <f>F112+H112</f>
        <v/>
      </c>
      <c r="J112" s="11">
        <f>IF(F112=0,0,H112/F112)</f>
        <v/>
      </c>
      <c r="K112" s="22" t="n">
        <v>620267.3</v>
      </c>
      <c r="L112" s="22" t="n">
        <v>9442300.1</v>
      </c>
    </row>
    <row r="113">
      <c r="A113" s="5" t="n">
        <v>105</v>
      </c>
      <c r="B113" s="5" t="inlineStr">
        <is>
          <t>15</t>
        </is>
      </c>
      <c r="C113" s="5" t="inlineStr">
        <is>
          <t>C1086-Q9570</t>
        </is>
      </c>
      <c r="D113" s="5" t="inlineStr">
        <is>
          <t>Morropón</t>
        </is>
      </c>
      <c r="E113" s="5" t="inlineStr">
        <is>
          <t>Santo Domingo</t>
        </is>
      </c>
      <c r="F113" s="6" t="n">
        <v>86.14700000000001</v>
      </c>
      <c r="G113" s="5">
        <f>COUNTIF(AI_Poligonos!$C$9:$C$138,B113)</f>
        <v/>
      </c>
      <c r="H113" s="6">
        <f>SUMIF(AI_Poligonos!$C$9:$C$138,B113,AI_Poligonos!$G$9:$G$138)</f>
        <v/>
      </c>
      <c r="I113" s="6">
        <f>F113+H113</f>
        <v/>
      </c>
      <c r="J113" s="7">
        <f>IF(F113=0,0,H113/F113)</f>
        <v/>
      </c>
      <c r="K113" s="21" t="n">
        <v>620183</v>
      </c>
      <c r="L113" s="21" t="n">
        <v>9437872.6</v>
      </c>
    </row>
    <row r="114">
      <c r="A114" s="9" t="n">
        <v>106</v>
      </c>
      <c r="B114" s="9" t="inlineStr">
        <is>
          <t>17</t>
        </is>
      </c>
      <c r="C114" s="9" t="inlineStr">
        <is>
          <t>C1086-Q9570</t>
        </is>
      </c>
      <c r="D114" s="9" t="inlineStr">
        <is>
          <t>Morropón</t>
        </is>
      </c>
      <c r="E114" s="9" t="inlineStr">
        <is>
          <t>Santo Domingo</t>
        </is>
      </c>
      <c r="F114" s="10" t="n">
        <v>96.07899999999999</v>
      </c>
      <c r="G114" s="9">
        <f>COUNTIF(AI_Poligonos!$C$9:$C$138,B114)</f>
        <v/>
      </c>
      <c r="H114" s="10">
        <f>SUMIF(AI_Poligonos!$C$9:$C$138,B114,AI_Poligonos!$G$9:$G$138)</f>
        <v/>
      </c>
      <c r="I114" s="10">
        <f>F114+H114</f>
        <v/>
      </c>
      <c r="J114" s="11">
        <f>IF(F114=0,0,H114/F114)</f>
        <v/>
      </c>
      <c r="K114" s="22" t="n">
        <v>618469.1</v>
      </c>
      <c r="L114" s="22" t="n">
        <v>9438191.9</v>
      </c>
    </row>
    <row r="115">
      <c r="A115" s="5" t="n">
        <v>107</v>
      </c>
      <c r="B115" s="5" t="inlineStr">
        <is>
          <t>23</t>
        </is>
      </c>
      <c r="C115" s="5" t="inlineStr">
        <is>
          <t>C1086-Q9570</t>
        </is>
      </c>
      <c r="D115" s="5" t="inlineStr">
        <is>
          <t>Morropón</t>
        </is>
      </c>
      <c r="E115" s="5" t="inlineStr">
        <is>
          <t>Santo Domingo</t>
        </is>
      </c>
      <c r="F115" s="6" t="n">
        <v>81.776</v>
      </c>
      <c r="G115" s="5">
        <f>COUNTIF(AI_Poligonos!$C$9:$C$138,B115)</f>
        <v/>
      </c>
      <c r="H115" s="6">
        <f>SUMIF(AI_Poligonos!$C$9:$C$138,B115,AI_Poligonos!$G$9:$G$138)</f>
        <v/>
      </c>
      <c r="I115" s="6">
        <f>F115+H115</f>
        <v/>
      </c>
      <c r="J115" s="7">
        <f>IF(F115=0,0,H115/F115)</f>
        <v/>
      </c>
      <c r="K115" s="21" t="n">
        <v>619889</v>
      </c>
      <c r="L115" s="21" t="n">
        <v>9438509.5</v>
      </c>
    </row>
    <row r="116">
      <c r="A116" s="9" t="n">
        <v>108</v>
      </c>
      <c r="B116" s="9" t="inlineStr">
        <is>
          <t>78</t>
        </is>
      </c>
      <c r="C116" s="9" t="inlineStr">
        <is>
          <t>C1086-Q9570</t>
        </is>
      </c>
      <c r="D116" s="9" t="inlineStr">
        <is>
          <t>Morropón</t>
        </is>
      </c>
      <c r="E116" s="9" t="inlineStr">
        <is>
          <t>Santo Domingo</t>
        </is>
      </c>
      <c r="F116" s="10" t="n">
        <v>35.1</v>
      </c>
      <c r="G116" s="9">
        <f>COUNTIF(AI_Poligonos!$C$9:$C$138,B116)</f>
        <v/>
      </c>
      <c r="H116" s="10">
        <f>SUMIF(AI_Poligonos!$C$9:$C$138,B116,AI_Poligonos!$G$9:$G$138)</f>
        <v/>
      </c>
      <c r="I116" s="10">
        <f>F116+H116</f>
        <v/>
      </c>
      <c r="J116" s="11">
        <f>IF(F116=0,0,H116/F116)</f>
        <v/>
      </c>
      <c r="K116" s="22" t="n">
        <v>619622.4</v>
      </c>
      <c r="L116" s="22" t="n">
        <v>9440048.300000001</v>
      </c>
    </row>
    <row r="117">
      <c r="A117" s="5" t="n">
        <v>109</v>
      </c>
      <c r="B117" s="5" t="inlineStr">
        <is>
          <t>82</t>
        </is>
      </c>
      <c r="C117" s="5" t="inlineStr">
        <is>
          <t>C1086-Q9570</t>
        </is>
      </c>
      <c r="D117" s="5" t="inlineStr">
        <is>
          <t>Morropón</t>
        </is>
      </c>
      <c r="E117" s="5" t="inlineStr">
        <is>
          <t>Santo Domingo</t>
        </is>
      </c>
      <c r="F117" s="6" t="n">
        <v>35.661</v>
      </c>
      <c r="G117" s="5">
        <f>COUNTIF(AI_Poligonos!$C$9:$C$138,B117)</f>
        <v/>
      </c>
      <c r="H117" s="6">
        <f>SUMIF(AI_Poligonos!$C$9:$C$138,B117,AI_Poligonos!$G$9:$G$138)</f>
        <v/>
      </c>
      <c r="I117" s="6">
        <f>F117+H117</f>
        <v/>
      </c>
      <c r="J117" s="7">
        <f>IF(F117=0,0,H117/F117)</f>
        <v/>
      </c>
      <c r="K117" s="21" t="n">
        <v>621456.4</v>
      </c>
      <c r="L117" s="21" t="n">
        <v>9443879.9</v>
      </c>
    </row>
    <row r="118">
      <c r="A118" s="9" t="n">
        <v>110</v>
      </c>
      <c r="B118" s="9" t="inlineStr">
        <is>
          <t>M19B7</t>
        </is>
      </c>
      <c r="C118" s="9" t="inlineStr">
        <is>
          <t>C1086-Q9570</t>
        </is>
      </c>
      <c r="D118" s="9" t="inlineStr">
        <is>
          <t>Morropón</t>
        </is>
      </c>
      <c r="E118" s="9" t="inlineStr">
        <is>
          <t>Santo Domingo</t>
        </is>
      </c>
      <c r="F118" s="10" t="n">
        <v>34.171</v>
      </c>
      <c r="G118" s="9">
        <f>COUNTIF(AI_Poligonos!$C$9:$C$138,B118)</f>
        <v/>
      </c>
      <c r="H118" s="10">
        <f>SUMIF(AI_Poligonos!$C$9:$C$138,B118,AI_Poligonos!$G$9:$G$138)</f>
        <v/>
      </c>
      <c r="I118" s="10">
        <f>F118+H118</f>
        <v/>
      </c>
      <c r="J118" s="11">
        <f>IF(F118=0,0,H118/F118)</f>
        <v/>
      </c>
      <c r="K118" s="22" t="n">
        <v>620809.7</v>
      </c>
      <c r="L118" s="22" t="n">
        <v>9436553.300000001</v>
      </c>
    </row>
    <row r="119">
      <c r="A119" s="5" t="n">
        <v>111</v>
      </c>
      <c r="B119" s="5" t="inlineStr">
        <is>
          <t>M8B2</t>
        </is>
      </c>
      <c r="C119" s="5" t="inlineStr">
        <is>
          <t>C1096-Q9558</t>
        </is>
      </c>
      <c r="D119" s="5" t="inlineStr">
        <is>
          <t>Morropón</t>
        </is>
      </c>
      <c r="E119" s="5" t="inlineStr">
        <is>
          <t>Santo Domingo</t>
        </is>
      </c>
      <c r="F119" s="6" t="n">
        <v>35.347</v>
      </c>
      <c r="G119" s="5">
        <f>COUNTIF(AI_Poligonos!$C$9:$C$138,B119)</f>
        <v/>
      </c>
      <c r="H119" s="6">
        <f>SUMIF(AI_Poligonos!$C$9:$C$138,B119,AI_Poligonos!$G$9:$G$138)</f>
        <v/>
      </c>
      <c r="I119" s="6">
        <f>F119+H119</f>
        <v/>
      </c>
      <c r="J119" s="7">
        <f>IF(F119=0,0,H119/F119)</f>
        <v/>
      </c>
      <c r="K119" s="21" t="n">
        <v>617578.3</v>
      </c>
      <c r="L119" s="21" t="n">
        <v>9436245</v>
      </c>
    </row>
    <row r="120">
      <c r="A120" s="9" t="n">
        <v>112</v>
      </c>
      <c r="B120" s="9" t="inlineStr">
        <is>
          <t>49</t>
        </is>
      </c>
      <c r="C120" s="9" t="inlineStr">
        <is>
          <t>C1086-Q9575</t>
        </is>
      </c>
      <c r="D120" s="9" t="inlineStr">
        <is>
          <t>Morropón</t>
        </is>
      </c>
      <c r="E120" s="9" t="inlineStr">
        <is>
          <t>Yamango</t>
        </is>
      </c>
      <c r="F120" s="10" t="n">
        <v>15.839</v>
      </c>
      <c r="G120" s="9">
        <f>COUNTIF(AI_Poligonos!$C$9:$C$138,B120)</f>
        <v/>
      </c>
      <c r="H120" s="10">
        <f>SUMIF(AI_Poligonos!$C$9:$C$138,B120,AI_Poligonos!$G$9:$G$138)</f>
        <v/>
      </c>
      <c r="I120" s="10">
        <f>F120+H120</f>
        <v/>
      </c>
      <c r="J120" s="11">
        <f>IF(F120=0,0,H120/F120)</f>
        <v/>
      </c>
      <c r="K120" s="22" t="n">
        <v>642338.9</v>
      </c>
      <c r="L120" s="22" t="n">
        <v>9438260.9</v>
      </c>
    </row>
    <row r="121">
      <c r="A121" s="5" t="n">
        <v>113</v>
      </c>
      <c r="B121" s="5" t="inlineStr">
        <is>
          <t>52</t>
        </is>
      </c>
      <c r="C121" s="5" t="inlineStr">
        <is>
          <t>C1086-Q9575</t>
        </is>
      </c>
      <c r="D121" s="5" t="inlineStr">
        <is>
          <t>Morropón</t>
        </is>
      </c>
      <c r="E121" s="5" t="inlineStr">
        <is>
          <t>Yamango</t>
        </is>
      </c>
      <c r="F121" s="6" t="n">
        <v>11.059</v>
      </c>
      <c r="G121" s="5">
        <f>COUNTIF(AI_Poligonos!$C$9:$C$138,B121)</f>
        <v/>
      </c>
      <c r="H121" s="6">
        <f>SUMIF(AI_Poligonos!$C$9:$C$138,B121,AI_Poligonos!$G$9:$G$138)</f>
        <v/>
      </c>
      <c r="I121" s="6">
        <f>F121+H121</f>
        <v/>
      </c>
      <c r="J121" s="7">
        <f>IF(F121=0,0,H121/F121)</f>
        <v/>
      </c>
      <c r="K121" s="21" t="n">
        <v>641505.5</v>
      </c>
      <c r="L121" s="21" t="n">
        <v>9438063.1</v>
      </c>
    </row>
    <row r="122">
      <c r="A122" s="9" t="n">
        <v>114</v>
      </c>
      <c r="B122" s="9" t="inlineStr">
        <is>
          <t>55</t>
        </is>
      </c>
      <c r="C122" s="9" t="inlineStr">
        <is>
          <t>C1086-Q9575</t>
        </is>
      </c>
      <c r="D122" s="9" t="inlineStr">
        <is>
          <t>Morropón</t>
        </is>
      </c>
      <c r="E122" s="9" t="inlineStr">
        <is>
          <t>Yamango</t>
        </is>
      </c>
      <c r="F122" s="10" t="n">
        <v>0.859</v>
      </c>
      <c r="G122" s="9">
        <f>COUNTIF(AI_Poligonos!$C$9:$C$138,B122)</f>
        <v/>
      </c>
      <c r="H122" s="10">
        <f>SUMIF(AI_Poligonos!$C$9:$C$138,B122,AI_Poligonos!$G$9:$G$138)</f>
        <v/>
      </c>
      <c r="I122" s="10">
        <f>F122+H122</f>
        <v/>
      </c>
      <c r="J122" s="11">
        <f>IF(F122=0,0,H122/F122)</f>
        <v/>
      </c>
      <c r="K122" s="22" t="n">
        <v>642684.5</v>
      </c>
      <c r="L122" s="22" t="n">
        <v>9438403.800000001</v>
      </c>
    </row>
    <row r="123">
      <c r="A123" s="5" t="n">
        <v>115</v>
      </c>
      <c r="B123" s="5" t="inlineStr">
        <is>
          <t>M28B2</t>
        </is>
      </c>
      <c r="C123" s="5" t="inlineStr">
        <is>
          <t>C1086-Q9575</t>
        </is>
      </c>
      <c r="D123" s="5" t="inlineStr">
        <is>
          <t>Morropón</t>
        </is>
      </c>
      <c r="E123" s="5" t="inlineStr">
        <is>
          <t>Yamango</t>
        </is>
      </c>
      <c r="F123" s="6" t="n">
        <v>90.197</v>
      </c>
      <c r="G123" s="5">
        <f>COUNTIF(AI_Poligonos!$C$9:$C$138,B123)</f>
        <v/>
      </c>
      <c r="H123" s="6">
        <f>SUMIF(AI_Poligonos!$C$9:$C$138,B123,AI_Poligonos!$G$9:$G$138)</f>
        <v/>
      </c>
      <c r="I123" s="6">
        <f>F123+H123</f>
        <v/>
      </c>
      <c r="J123" s="7">
        <f>IF(F123=0,0,H123/F123)</f>
        <v/>
      </c>
      <c r="K123" s="21" t="n">
        <v>636317.2</v>
      </c>
      <c r="L123" s="21" t="n">
        <v>9425613.300000001</v>
      </c>
    </row>
    <row r="124">
      <c r="A124" s="9" t="n">
        <v>116</v>
      </c>
      <c r="B124" s="9" t="inlineStr">
        <is>
          <t>M28B3</t>
        </is>
      </c>
      <c r="C124" s="9" t="inlineStr">
        <is>
          <t>C1086-Q9575</t>
        </is>
      </c>
      <c r="D124" s="9" t="inlineStr">
        <is>
          <t>Morropón</t>
        </is>
      </c>
      <c r="E124" s="9" t="inlineStr">
        <is>
          <t>Yamango</t>
        </is>
      </c>
      <c r="F124" s="10" t="n">
        <v>58.292</v>
      </c>
      <c r="G124" s="9">
        <f>COUNTIF(AI_Poligonos!$C$9:$C$138,B124)</f>
        <v/>
      </c>
      <c r="H124" s="10">
        <f>SUMIF(AI_Poligonos!$C$9:$C$138,B124,AI_Poligonos!$G$9:$G$138)</f>
        <v/>
      </c>
      <c r="I124" s="10">
        <f>F124+H124</f>
        <v/>
      </c>
      <c r="J124" s="11">
        <f>IF(F124=0,0,H124/F124)</f>
        <v/>
      </c>
      <c r="K124" s="22" t="n">
        <v>634093.8</v>
      </c>
      <c r="L124" s="22" t="n">
        <v>9426720.6</v>
      </c>
    </row>
    <row r="125">
      <c r="A125" s="5" t="n">
        <v>117</v>
      </c>
      <c r="B125" s="5" t="inlineStr">
        <is>
          <t>M28B4</t>
        </is>
      </c>
      <c r="C125" s="5" t="inlineStr">
        <is>
          <t>C1086-Q9575</t>
        </is>
      </c>
      <c r="D125" s="5" t="inlineStr">
        <is>
          <t>Morropón</t>
        </is>
      </c>
      <c r="E125" s="5" t="inlineStr">
        <is>
          <t>Yamango</t>
        </is>
      </c>
      <c r="F125" s="6" t="n">
        <v>283.428</v>
      </c>
      <c r="G125" s="5">
        <f>COUNTIF(AI_Poligonos!$C$9:$C$138,B125)</f>
        <v/>
      </c>
      <c r="H125" s="6">
        <f>SUMIF(AI_Poligonos!$C$9:$C$138,B125,AI_Poligonos!$G$9:$G$138)</f>
        <v/>
      </c>
      <c r="I125" s="6">
        <f>F125+H125</f>
        <v/>
      </c>
      <c r="J125" s="7">
        <f>IF(F125=0,0,H125/F125)</f>
        <v/>
      </c>
      <c r="K125" s="21" t="n">
        <v>626285.8</v>
      </c>
      <c r="L125" s="21" t="n">
        <v>9427072.5</v>
      </c>
    </row>
    <row r="126">
      <c r="A126" s="13" t="inlineStr">
        <is>
          <t>TOTAL</t>
        </is>
      </c>
      <c r="B126" s="13" t="n"/>
      <c r="C126" s="13" t="n"/>
      <c r="D126" s="13" t="n"/>
      <c r="E126" s="13" t="n"/>
      <c r="F126" s="14">
        <f>SUM(F9:F125)</f>
        <v/>
      </c>
      <c r="G126" s="13">
        <f>SUM(G9:G125)</f>
        <v/>
      </c>
      <c r="H126" s="14">
        <f>SUM(H9:H125)</f>
        <v/>
      </c>
      <c r="I126" s="14">
        <f>SUM(I9:I125)</f>
        <v/>
      </c>
      <c r="J126" s="15">
        <f>IF(F126=0,0,H126/F126)</f>
        <v/>
      </c>
      <c r="K126" s="13" t="n"/>
      <c r="L126" s="13" t="n"/>
    </row>
    <row r="128">
      <c r="A128" s="20" t="inlineStr">
        <is>
          <t>ESTE / NORTE: punto interior del polígono del bloque, UTM WGS84 Zona 17S (EPSG:32717). AI / bloque: hectáreas de AI por hectárea de bloque.</t>
        </is>
      </c>
    </row>
  </sheetData>
  <autoFilter ref="A8:L125"/>
  <mergeCells count="6">
    <mergeCell ref="A2:L2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4" customWidth="1" min="4" max="4"/>
    <col width="14" customWidth="1" min="5" max="5"/>
    <col width="26" customWidth="1" min="6" max="6"/>
    <col width="14" customWidth="1" min="7" max="7"/>
    <col width="16" customWidth="1" min="8" max="8"/>
    <col width="14" customWidth="1" min="9" max="9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ÁREA DE INFLUENCIA APROBADA — POLÍGONOS (AI_aprobado_2)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Bloques V6 (Bloques V6.kml) y área de influencia aprobada (AI_aprobado_2.shp), ANIN-DIME-SESDI 2026; sin los bloques retirados 74 y 75 ni sus AI</t>
        </is>
      </c>
    </row>
    <row r="8" ht="30" customHeight="1">
      <c r="A8" s="4" t="inlineStr">
        <is>
          <t>N.°</t>
        </is>
      </c>
      <c r="B8" s="4" t="inlineStr">
        <is>
          <t>Código AI</t>
        </is>
      </c>
      <c r="C8" s="4" t="inlineStr">
        <is>
          <t>Bloque</t>
        </is>
      </c>
      <c r="D8" s="4" t="inlineStr">
        <is>
          <t>Microcuenca</t>
        </is>
      </c>
      <c r="E8" s="4" t="inlineStr">
        <is>
          <t>Provincia</t>
        </is>
      </c>
      <c r="F8" s="4" t="inlineStr">
        <is>
          <t>Distrito</t>
        </is>
      </c>
      <c r="G8" s="4" t="inlineStr">
        <is>
          <t>Área AI (ha)</t>
        </is>
      </c>
      <c r="H8" s="4" t="inlineStr">
        <is>
          <t>Área geométrica (ha)</t>
        </is>
      </c>
      <c r="I8" s="4" t="inlineStr">
        <is>
          <t>Diferencia (ha)</t>
        </is>
      </c>
    </row>
    <row r="9">
      <c r="A9" s="5" t="n">
        <v>1</v>
      </c>
      <c r="B9" s="5" t="inlineStr">
        <is>
          <t>AI_27</t>
        </is>
      </c>
      <c r="C9" s="5" t="inlineStr">
        <is>
          <t>27</t>
        </is>
      </c>
      <c r="D9" s="5" t="inlineStr">
        <is>
          <t>C1096-Q9556</t>
        </is>
      </c>
      <c r="E9" s="5" t="inlineStr">
        <is>
          <t>Ayabaca</t>
        </is>
      </c>
      <c r="F9" s="5" t="inlineStr">
        <is>
          <t>Frías</t>
        </is>
      </c>
      <c r="G9" s="6" t="n">
        <v>81.506</v>
      </c>
      <c r="H9" s="6" t="n">
        <v>81.467</v>
      </c>
      <c r="I9" s="6">
        <f>H9-G9</f>
        <v/>
      </c>
    </row>
    <row r="10">
      <c r="A10" s="9" t="n">
        <v>2</v>
      </c>
      <c r="B10" s="9" t="inlineStr">
        <is>
          <t>AI_3</t>
        </is>
      </c>
      <c r="C10" s="9" t="inlineStr">
        <is>
          <t>3</t>
        </is>
      </c>
      <c r="D10" s="9" t="inlineStr">
        <is>
          <t>C1096-Q9545</t>
        </is>
      </c>
      <c r="E10" s="9" t="inlineStr">
        <is>
          <t>Ayabaca</t>
        </is>
      </c>
      <c r="F10" s="9" t="inlineStr">
        <is>
          <t>Frías</t>
        </is>
      </c>
      <c r="G10" s="10" t="n">
        <v>92.193</v>
      </c>
      <c r="H10" s="10" t="n">
        <v>92.146</v>
      </c>
      <c r="I10" s="10">
        <f>H10-G10</f>
        <v/>
      </c>
    </row>
    <row r="11">
      <c r="A11" s="5" t="n">
        <v>3</v>
      </c>
      <c r="B11" s="5" t="inlineStr">
        <is>
          <t>AI_36</t>
        </is>
      </c>
      <c r="C11" s="5" t="inlineStr">
        <is>
          <t>36</t>
        </is>
      </c>
      <c r="D11" s="5" t="inlineStr">
        <is>
          <t>C1096-Q9547</t>
        </is>
      </c>
      <c r="E11" s="5" t="inlineStr">
        <is>
          <t>Ayabaca</t>
        </is>
      </c>
      <c r="F11" s="5" t="inlineStr">
        <is>
          <t>Frías</t>
        </is>
      </c>
      <c r="G11" s="6" t="n">
        <v>32.298</v>
      </c>
      <c r="H11" s="6" t="n">
        <v>32.281</v>
      </c>
      <c r="I11" s="6">
        <f>H11-G11</f>
        <v/>
      </c>
    </row>
    <row r="12">
      <c r="A12" s="9" t="n">
        <v>4</v>
      </c>
      <c r="B12" s="9" t="inlineStr">
        <is>
          <t>AI_39</t>
        </is>
      </c>
      <c r="C12" s="9" t="inlineStr">
        <is>
          <t>39</t>
        </is>
      </c>
      <c r="D12" s="9" t="inlineStr">
        <is>
          <t>C1096-Q9564</t>
        </is>
      </c>
      <c r="E12" s="9" t="inlineStr">
        <is>
          <t>Ayabaca</t>
        </is>
      </c>
      <c r="F12" s="9" t="inlineStr">
        <is>
          <t>Frías</t>
        </is>
      </c>
      <c r="G12" s="10" t="n">
        <v>91.19199999999999</v>
      </c>
      <c r="H12" s="10" t="n">
        <v>91.151</v>
      </c>
      <c r="I12" s="10">
        <f>H12-G12</f>
        <v/>
      </c>
    </row>
    <row r="13">
      <c r="A13" s="5" t="n">
        <v>5</v>
      </c>
      <c r="B13" s="5" t="inlineStr">
        <is>
          <t>AI_56</t>
        </is>
      </c>
      <c r="C13" s="5" t="inlineStr">
        <is>
          <t>56</t>
        </is>
      </c>
      <c r="D13" s="5" t="inlineStr">
        <is>
          <t>C1096-Q9564</t>
        </is>
      </c>
      <c r="E13" s="5" t="inlineStr">
        <is>
          <t>Ayabaca</t>
        </is>
      </c>
      <c r="F13" s="5" t="inlineStr">
        <is>
          <t>Frías</t>
        </is>
      </c>
      <c r="G13" s="6" t="n">
        <v>22.2</v>
      </c>
      <c r="H13" s="6" t="n">
        <v>22.191</v>
      </c>
      <c r="I13" s="6">
        <f>H13-G13</f>
        <v/>
      </c>
    </row>
    <row r="14">
      <c r="A14" s="9" t="n">
        <v>6</v>
      </c>
      <c r="B14" s="9" t="inlineStr">
        <is>
          <t>AI_6</t>
        </is>
      </c>
      <c r="C14" s="9" t="inlineStr">
        <is>
          <t>6</t>
        </is>
      </c>
      <c r="D14" s="9" t="inlineStr">
        <is>
          <t>C1096-Q9547</t>
        </is>
      </c>
      <c r="E14" s="9" t="inlineStr">
        <is>
          <t>Ayabaca</t>
        </is>
      </c>
      <c r="F14" s="9" t="inlineStr">
        <is>
          <t>Frías</t>
        </is>
      </c>
      <c r="G14" s="10" t="n">
        <v>157.218</v>
      </c>
      <c r="H14" s="10" t="n">
        <v>157.136</v>
      </c>
      <c r="I14" s="10">
        <f>H14-G14</f>
        <v/>
      </c>
    </row>
    <row r="15">
      <c r="A15" s="5" t="n">
        <v>7</v>
      </c>
      <c r="B15" s="5" t="inlineStr">
        <is>
          <t>AI_6</t>
        </is>
      </c>
      <c r="C15" s="5" t="inlineStr">
        <is>
          <t>6</t>
        </is>
      </c>
      <c r="D15" s="5" t="inlineStr">
        <is>
          <t>C1096-Q9547</t>
        </is>
      </c>
      <c r="E15" s="5" t="inlineStr">
        <is>
          <t>Ayabaca</t>
        </is>
      </c>
      <c r="F15" s="5" t="inlineStr">
        <is>
          <t>Frías</t>
        </is>
      </c>
      <c r="G15" s="6" t="n">
        <v>7.929</v>
      </c>
      <c r="H15" s="6" t="n">
        <v>7.925</v>
      </c>
      <c r="I15" s="6">
        <f>H15-G15</f>
        <v/>
      </c>
    </row>
    <row r="16">
      <c r="A16" s="9" t="n">
        <v>8</v>
      </c>
      <c r="B16" s="9" t="inlineStr">
        <is>
          <t>AI_M17B10</t>
        </is>
      </c>
      <c r="C16" s="9" t="inlineStr">
        <is>
          <t>M17B10</t>
        </is>
      </c>
      <c r="D16" s="9" t="inlineStr">
        <is>
          <t>C1096-Q9556</t>
        </is>
      </c>
      <c r="E16" s="9" t="inlineStr">
        <is>
          <t>Ayabaca</t>
        </is>
      </c>
      <c r="F16" s="9" t="inlineStr">
        <is>
          <t>Frías</t>
        </is>
      </c>
      <c r="G16" s="10" t="n">
        <v>41.649</v>
      </c>
      <c r="H16" s="10" t="n">
        <v>41.627</v>
      </c>
      <c r="I16" s="10">
        <f>H16-G16</f>
        <v/>
      </c>
    </row>
    <row r="17">
      <c r="A17" s="5" t="n">
        <v>9</v>
      </c>
      <c r="B17" s="5" t="inlineStr">
        <is>
          <t>AI_M17B5</t>
        </is>
      </c>
      <c r="C17" s="5" t="inlineStr">
        <is>
          <t>M17B5</t>
        </is>
      </c>
      <c r="D17" s="5" t="inlineStr">
        <is>
          <t>C1096-Q9556</t>
        </is>
      </c>
      <c r="E17" s="5" t="inlineStr">
        <is>
          <t>Ayabaca</t>
        </is>
      </c>
      <c r="F17" s="5" t="inlineStr">
        <is>
          <t>Frías</t>
        </is>
      </c>
      <c r="G17" s="6" t="n">
        <v>23.733</v>
      </c>
      <c r="H17" s="6" t="n">
        <v>23.721</v>
      </c>
      <c r="I17" s="6">
        <f>H17-G17</f>
        <v/>
      </c>
    </row>
    <row r="18">
      <c r="A18" s="9" t="n">
        <v>10</v>
      </c>
      <c r="B18" s="9" t="inlineStr">
        <is>
          <t>AI_M17B6</t>
        </is>
      </c>
      <c r="C18" s="9" t="inlineStr">
        <is>
          <t>M17B6</t>
        </is>
      </c>
      <c r="D18" s="9" t="inlineStr">
        <is>
          <t>C1096-Q9556</t>
        </is>
      </c>
      <c r="E18" s="9" t="inlineStr">
        <is>
          <t>Ayabaca</t>
        </is>
      </c>
      <c r="F18" s="9" t="inlineStr">
        <is>
          <t>Frías</t>
        </is>
      </c>
      <c r="G18" s="10" t="n">
        <v>64.622</v>
      </c>
      <c r="H18" s="10" t="n">
        <v>64.58799999999999</v>
      </c>
      <c r="I18" s="10">
        <f>H18-G18</f>
        <v/>
      </c>
    </row>
    <row r="19">
      <c r="A19" s="5" t="n">
        <v>11</v>
      </c>
      <c r="B19" s="5" t="inlineStr">
        <is>
          <t>AI_M17B7</t>
        </is>
      </c>
      <c r="C19" s="5" t="inlineStr">
        <is>
          <t>M17B7</t>
        </is>
      </c>
      <c r="D19" s="5" t="inlineStr">
        <is>
          <t>C1096-Q9556</t>
        </is>
      </c>
      <c r="E19" s="5" t="inlineStr">
        <is>
          <t>Ayabaca</t>
        </is>
      </c>
      <c r="F19" s="5" t="inlineStr">
        <is>
          <t>Frías</t>
        </is>
      </c>
      <c r="G19" s="6" t="n">
        <v>206.565</v>
      </c>
      <c r="H19" s="6" t="n">
        <v>206.459</v>
      </c>
      <c r="I19" s="6">
        <f>H19-G19</f>
        <v/>
      </c>
    </row>
    <row r="20">
      <c r="A20" s="9" t="n">
        <v>12</v>
      </c>
      <c r="B20" s="9" t="inlineStr">
        <is>
          <t>AI_21</t>
        </is>
      </c>
      <c r="C20" s="9" t="inlineStr">
        <is>
          <t>21</t>
        </is>
      </c>
      <c r="D20" s="9" t="inlineStr">
        <is>
          <t>C1081-Q9591</t>
        </is>
      </c>
      <c r="E20" s="9" t="inlineStr">
        <is>
          <t>Huancabamba</t>
        </is>
      </c>
      <c r="F20" s="9" t="inlineStr">
        <is>
          <t>Canchaque</t>
        </is>
      </c>
      <c r="G20" s="10" t="n">
        <v>34.349</v>
      </c>
      <c r="H20" s="10" t="n">
        <v>34.342</v>
      </c>
      <c r="I20" s="10">
        <f>H20-G20</f>
        <v/>
      </c>
    </row>
    <row r="21">
      <c r="A21" s="5" t="n">
        <v>13</v>
      </c>
      <c r="B21" s="5" t="inlineStr">
        <is>
          <t>AI_24</t>
        </is>
      </c>
      <c r="C21" s="5" t="inlineStr">
        <is>
          <t>24</t>
        </is>
      </c>
      <c r="D21" s="5" t="inlineStr">
        <is>
          <t>C1081-Q9583</t>
        </is>
      </c>
      <c r="E21" s="5" t="inlineStr">
        <is>
          <t>Huancabamba</t>
        </is>
      </c>
      <c r="F21" s="5" t="inlineStr">
        <is>
          <t>Canchaque</t>
        </is>
      </c>
      <c r="G21" s="6" t="n">
        <v>219.755</v>
      </c>
      <c r="H21" s="6" t="n">
        <v>219.705</v>
      </c>
      <c r="I21" s="6">
        <f>H21-G21</f>
        <v/>
      </c>
    </row>
    <row r="22">
      <c r="A22" s="9" t="n">
        <v>14</v>
      </c>
      <c r="B22" s="9" t="inlineStr">
        <is>
          <t>AI_28</t>
        </is>
      </c>
      <c r="C22" s="9" t="inlineStr">
        <is>
          <t>28</t>
        </is>
      </c>
      <c r="D22" s="9" t="inlineStr">
        <is>
          <t>C1081-Q9591</t>
        </is>
      </c>
      <c r="E22" s="9" t="inlineStr">
        <is>
          <t>Huancabamba</t>
        </is>
      </c>
      <c r="F22" s="9" t="inlineStr">
        <is>
          <t>Canchaque</t>
        </is>
      </c>
      <c r="G22" s="10" t="n">
        <v>65.99299999999999</v>
      </c>
      <c r="H22" s="10" t="n">
        <v>65.979</v>
      </c>
      <c r="I22" s="10">
        <f>H22-G22</f>
        <v/>
      </c>
    </row>
    <row r="23">
      <c r="A23" s="5" t="n">
        <v>15</v>
      </c>
      <c r="B23" s="5" t="inlineStr">
        <is>
          <t>AI_30</t>
        </is>
      </c>
      <c r="C23" s="5" t="inlineStr">
        <is>
          <t>30</t>
        </is>
      </c>
      <c r="D23" s="5" t="inlineStr">
        <is>
          <t>C1081-Q9591</t>
        </is>
      </c>
      <c r="E23" s="5" t="inlineStr">
        <is>
          <t>Huancabamba</t>
        </is>
      </c>
      <c r="F23" s="5" t="inlineStr">
        <is>
          <t>Canchaque</t>
        </is>
      </c>
      <c r="G23" s="6" t="n">
        <v>14.907</v>
      </c>
      <c r="H23" s="6" t="n">
        <v>14.903</v>
      </c>
      <c r="I23" s="6">
        <f>H23-G23</f>
        <v/>
      </c>
    </row>
    <row r="24">
      <c r="A24" s="9" t="n">
        <v>16</v>
      </c>
      <c r="B24" s="9" t="inlineStr">
        <is>
          <t>AI_40</t>
        </is>
      </c>
      <c r="C24" s="9" t="inlineStr">
        <is>
          <t>40</t>
        </is>
      </c>
      <c r="D24" s="9" t="inlineStr">
        <is>
          <t>C1081-Q9591</t>
        </is>
      </c>
      <c r="E24" s="9" t="inlineStr">
        <is>
          <t>Huancabamba</t>
        </is>
      </c>
      <c r="F24" s="9" t="inlineStr">
        <is>
          <t>Canchaque</t>
        </is>
      </c>
      <c r="G24" s="10" t="n">
        <v>23.04</v>
      </c>
      <c r="H24" s="10" t="n">
        <v>23.035</v>
      </c>
      <c r="I24" s="10">
        <f>H24-G24</f>
        <v/>
      </c>
    </row>
    <row r="25">
      <c r="A25" s="5" t="n">
        <v>17</v>
      </c>
      <c r="B25" s="5" t="inlineStr">
        <is>
          <t>AI_60</t>
        </is>
      </c>
      <c r="C25" s="5" t="inlineStr">
        <is>
          <t>60</t>
        </is>
      </c>
      <c r="D25" s="5" t="inlineStr">
        <is>
          <t>C1081-Q9591</t>
        </is>
      </c>
      <c r="E25" s="5" t="inlineStr">
        <is>
          <t>Huancabamba</t>
        </is>
      </c>
      <c r="F25" s="5" t="inlineStr">
        <is>
          <t>Canchaque</t>
        </is>
      </c>
      <c r="G25" s="6" t="n">
        <v>77.961</v>
      </c>
      <c r="H25" s="6" t="n">
        <v>77.944</v>
      </c>
      <c r="I25" s="6">
        <f>H25-G25</f>
        <v/>
      </c>
    </row>
    <row r="26">
      <c r="A26" s="9" t="n">
        <v>18</v>
      </c>
      <c r="B26" s="9" t="inlineStr">
        <is>
          <t>AI_63</t>
        </is>
      </c>
      <c r="C26" s="9" t="inlineStr">
        <is>
          <t>63</t>
        </is>
      </c>
      <c r="D26" s="9" t="inlineStr">
        <is>
          <t>C1081-Q9583</t>
        </is>
      </c>
      <c r="E26" s="9" t="inlineStr">
        <is>
          <t>Huancabamba</t>
        </is>
      </c>
      <c r="F26" s="9" t="inlineStr">
        <is>
          <t>Canchaque</t>
        </is>
      </c>
      <c r="G26" s="10" t="n">
        <v>45.207</v>
      </c>
      <c r="H26" s="10" t="n">
        <v>45.198</v>
      </c>
      <c r="I26" s="10">
        <f>H26-G26</f>
        <v/>
      </c>
    </row>
    <row r="27">
      <c r="A27" s="5" t="n">
        <v>19</v>
      </c>
      <c r="B27" s="5" t="inlineStr">
        <is>
          <t>AI_66</t>
        </is>
      </c>
      <c r="C27" s="5" t="inlineStr">
        <is>
          <t>66</t>
        </is>
      </c>
      <c r="D27" s="5" t="inlineStr">
        <is>
          <t>C1081-Q9591</t>
        </is>
      </c>
      <c r="E27" s="5" t="inlineStr">
        <is>
          <t>Huancabamba</t>
        </is>
      </c>
      <c r="F27" s="5" t="inlineStr">
        <is>
          <t>Canchaque</t>
        </is>
      </c>
      <c r="G27" s="6" t="n">
        <v>45.105</v>
      </c>
      <c r="H27" s="6" t="n">
        <v>45.095</v>
      </c>
      <c r="I27" s="6">
        <f>H27-G27</f>
        <v/>
      </c>
    </row>
    <row r="28">
      <c r="A28" s="9" t="n">
        <v>20</v>
      </c>
      <c r="B28" s="9" t="inlineStr">
        <is>
          <t>AI_79</t>
        </is>
      </c>
      <c r="C28" s="9" t="inlineStr">
        <is>
          <t>79</t>
        </is>
      </c>
      <c r="D28" s="9" t="inlineStr">
        <is>
          <t>C1076-Q9587</t>
        </is>
      </c>
      <c r="E28" s="9" t="inlineStr">
        <is>
          <t>Huancabamba</t>
        </is>
      </c>
      <c r="F28" s="9" t="inlineStr">
        <is>
          <t>Canchaque</t>
        </is>
      </c>
      <c r="G28" s="10" t="n">
        <v>153.669</v>
      </c>
      <c r="H28" s="10" t="n">
        <v>153.631</v>
      </c>
      <c r="I28" s="10">
        <f>H28-G28</f>
        <v/>
      </c>
    </row>
    <row r="29">
      <c r="A29" s="5" t="n">
        <v>21</v>
      </c>
      <c r="B29" s="5" t="inlineStr">
        <is>
          <t>AI_81</t>
        </is>
      </c>
      <c r="C29" s="5" t="inlineStr">
        <is>
          <t>81</t>
        </is>
      </c>
      <c r="D29" s="5" t="inlineStr">
        <is>
          <t>C1076-Q9585</t>
        </is>
      </c>
      <c r="E29" s="5" t="inlineStr">
        <is>
          <t>Huancabamba</t>
        </is>
      </c>
      <c r="F29" s="5" t="inlineStr">
        <is>
          <t>Canchaque</t>
        </is>
      </c>
      <c r="G29" s="6" t="n">
        <v>52.663</v>
      </c>
      <c r="H29" s="6" t="n">
        <v>52.647</v>
      </c>
      <c r="I29" s="6">
        <f>H29-G29</f>
        <v/>
      </c>
    </row>
    <row r="30">
      <c r="A30" s="9" t="n">
        <v>22</v>
      </c>
      <c r="B30" s="9" t="inlineStr">
        <is>
          <t>AI_64</t>
        </is>
      </c>
      <c r="C30" s="9" t="inlineStr">
        <is>
          <t>64</t>
        </is>
      </c>
      <c r="D30" s="9" t="inlineStr">
        <is>
          <t>C1081-Q9591</t>
        </is>
      </c>
      <c r="E30" s="9" t="inlineStr">
        <is>
          <t>Huancabamba</t>
        </is>
      </c>
      <c r="F30" s="9" t="inlineStr">
        <is>
          <t>Huancabamba</t>
        </is>
      </c>
      <c r="G30" s="10" t="n">
        <v>31.879</v>
      </c>
      <c r="H30" s="10" t="n">
        <v>31.873</v>
      </c>
      <c r="I30" s="10">
        <f>H30-G30</f>
        <v/>
      </c>
    </row>
    <row r="31">
      <c r="A31" s="5" t="n">
        <v>23</v>
      </c>
      <c r="B31" s="5" t="inlineStr">
        <is>
          <t>AI_M30B5</t>
        </is>
      </c>
      <c r="C31" s="5" t="inlineStr">
        <is>
          <t>M30B5</t>
        </is>
      </c>
      <c r="D31" s="5" t="inlineStr">
        <is>
          <t>C1081-Q9591</t>
        </is>
      </c>
      <c r="E31" s="5" t="inlineStr">
        <is>
          <t>Huancabamba</t>
        </is>
      </c>
      <c r="F31" s="5" t="inlineStr">
        <is>
          <t>Huancabamba</t>
        </is>
      </c>
      <c r="G31" s="6" t="n">
        <v>2.147</v>
      </c>
      <c r="H31" s="6" t="n">
        <v>2.147</v>
      </c>
      <c r="I31" s="6">
        <f>H31-G31</f>
        <v/>
      </c>
    </row>
    <row r="32">
      <c r="A32" s="9" t="n">
        <v>24</v>
      </c>
      <c r="B32" s="9" t="inlineStr">
        <is>
          <t>AI_10</t>
        </is>
      </c>
      <c r="C32" s="9" t="inlineStr">
        <is>
          <t>10</t>
        </is>
      </c>
      <c r="D32" s="9" t="inlineStr">
        <is>
          <t>C1076-Q9593</t>
        </is>
      </c>
      <c r="E32" s="9" t="inlineStr">
        <is>
          <t>Huancabamba</t>
        </is>
      </c>
      <c r="F32" s="9" t="inlineStr">
        <is>
          <t>Huarmaca</t>
        </is>
      </c>
      <c r="G32" s="10" t="n">
        <v>1.199</v>
      </c>
      <c r="H32" s="10" t="n">
        <v>1.199</v>
      </c>
      <c r="I32" s="10">
        <f>H32-G32</f>
        <v/>
      </c>
    </row>
    <row r="33">
      <c r="A33" s="5" t="n">
        <v>25</v>
      </c>
      <c r="B33" s="5" t="inlineStr">
        <is>
          <t>AI_10</t>
        </is>
      </c>
      <c r="C33" s="5" t="inlineStr">
        <is>
          <t>10</t>
        </is>
      </c>
      <c r="D33" s="5" t="inlineStr">
        <is>
          <t>C1076-Q9593</t>
        </is>
      </c>
      <c r="E33" s="5" t="inlineStr">
        <is>
          <t>Huancabamba</t>
        </is>
      </c>
      <c r="F33" s="5" t="inlineStr">
        <is>
          <t>Huarmaca</t>
        </is>
      </c>
      <c r="G33" s="6" t="n">
        <v>15.246</v>
      </c>
      <c r="H33" s="6" t="n">
        <v>15.242</v>
      </c>
      <c r="I33" s="6">
        <f>H33-G33</f>
        <v/>
      </c>
    </row>
    <row r="34">
      <c r="A34" s="9" t="n">
        <v>26</v>
      </c>
      <c r="B34" s="9" t="inlineStr">
        <is>
          <t>AI_10</t>
        </is>
      </c>
      <c r="C34" s="9" t="inlineStr">
        <is>
          <t>10</t>
        </is>
      </c>
      <c r="D34" s="9" t="inlineStr">
        <is>
          <t>C1076-Q9593</t>
        </is>
      </c>
      <c r="E34" s="9" t="inlineStr">
        <is>
          <t>Huancabamba</t>
        </is>
      </c>
      <c r="F34" s="9" t="inlineStr">
        <is>
          <t>Huarmaca</t>
        </is>
      </c>
      <c r="G34" s="10" t="n">
        <v>7.35</v>
      </c>
      <c r="H34" s="10" t="n">
        <v>7.348</v>
      </c>
      <c r="I34" s="10">
        <f>H34-G34</f>
        <v/>
      </c>
    </row>
    <row r="35">
      <c r="A35" s="5" t="n">
        <v>27</v>
      </c>
      <c r="B35" s="5" t="inlineStr">
        <is>
          <t>AI_16</t>
        </is>
      </c>
      <c r="C35" s="5" t="inlineStr">
        <is>
          <t>16</t>
        </is>
      </c>
      <c r="D35" s="5" t="inlineStr">
        <is>
          <t>C1076-Q9593</t>
        </is>
      </c>
      <c r="E35" s="5" t="inlineStr">
        <is>
          <t>Huancabamba</t>
        </is>
      </c>
      <c r="F35" s="5" t="inlineStr">
        <is>
          <t>Huarmaca</t>
        </is>
      </c>
      <c r="G35" s="6" t="n">
        <v>249.7</v>
      </c>
      <c r="H35" s="6" t="n">
        <v>249.645</v>
      </c>
      <c r="I35" s="6">
        <f>H35-G35</f>
        <v/>
      </c>
    </row>
    <row r="36">
      <c r="A36" s="9" t="n">
        <v>28</v>
      </c>
      <c r="B36" s="9" t="inlineStr">
        <is>
          <t>AI_18</t>
        </is>
      </c>
      <c r="C36" s="9" t="inlineStr">
        <is>
          <t>18</t>
        </is>
      </c>
      <c r="D36" s="9" t="inlineStr">
        <is>
          <t>C1076-Q9592</t>
        </is>
      </c>
      <c r="E36" s="9" t="inlineStr">
        <is>
          <t>Huancabamba</t>
        </is>
      </c>
      <c r="F36" s="9" t="inlineStr">
        <is>
          <t>Huarmaca</t>
        </is>
      </c>
      <c r="G36" s="10" t="n">
        <v>24.987</v>
      </c>
      <c r="H36" s="10" t="n">
        <v>24.982</v>
      </c>
      <c r="I36" s="10">
        <f>H36-G36</f>
        <v/>
      </c>
    </row>
    <row r="37">
      <c r="A37" s="5" t="n">
        <v>29</v>
      </c>
      <c r="B37" s="5" t="inlineStr">
        <is>
          <t>AI_19</t>
        </is>
      </c>
      <c r="C37" s="5" t="inlineStr">
        <is>
          <t>19</t>
        </is>
      </c>
      <c r="D37" s="5" t="inlineStr">
        <is>
          <t>C1076-Q9592</t>
        </is>
      </c>
      <c r="E37" s="5" t="inlineStr">
        <is>
          <t>Huancabamba</t>
        </is>
      </c>
      <c r="F37" s="5" t="inlineStr">
        <is>
          <t>Huarmaca</t>
        </is>
      </c>
      <c r="G37" s="6" t="n">
        <v>145.501</v>
      </c>
      <c r="H37" s="6" t="n">
        <v>145.483</v>
      </c>
      <c r="I37" s="6">
        <f>H37-G37</f>
        <v/>
      </c>
    </row>
    <row r="38">
      <c r="A38" s="9" t="n">
        <v>30</v>
      </c>
      <c r="B38" s="9" t="inlineStr">
        <is>
          <t>AI_20</t>
        </is>
      </c>
      <c r="C38" s="9" t="inlineStr">
        <is>
          <t>20</t>
        </is>
      </c>
      <c r="D38" s="9" t="inlineStr">
        <is>
          <t>C1076-Q9593</t>
        </is>
      </c>
      <c r="E38" s="9" t="inlineStr">
        <is>
          <t>Huancabamba</t>
        </is>
      </c>
      <c r="F38" s="9" t="inlineStr">
        <is>
          <t>Huarmaca</t>
        </is>
      </c>
      <c r="G38" s="10" t="n">
        <v>46.417</v>
      </c>
      <c r="H38" s="10" t="n">
        <v>46.406</v>
      </c>
      <c r="I38" s="10">
        <f>H38-G38</f>
        <v/>
      </c>
    </row>
    <row r="39">
      <c r="A39" s="5" t="n">
        <v>31</v>
      </c>
      <c r="B39" s="5" t="inlineStr">
        <is>
          <t>AI_31</t>
        </is>
      </c>
      <c r="C39" s="5" t="inlineStr">
        <is>
          <t>31</t>
        </is>
      </c>
      <c r="D39" s="5" t="inlineStr">
        <is>
          <t>C1076-Q9592</t>
        </is>
      </c>
      <c r="E39" s="5" t="inlineStr">
        <is>
          <t>Huancabamba</t>
        </is>
      </c>
      <c r="F39" s="5" t="inlineStr">
        <is>
          <t>Huarmaca</t>
        </is>
      </c>
      <c r="G39" s="6" t="n">
        <v>53.283</v>
      </c>
      <c r="H39" s="6" t="n">
        <v>53.275</v>
      </c>
      <c r="I39" s="6">
        <f>H39-G39</f>
        <v/>
      </c>
    </row>
    <row r="40">
      <c r="A40" s="9" t="n">
        <v>32</v>
      </c>
      <c r="B40" s="9" t="inlineStr">
        <is>
          <t>AI_4</t>
        </is>
      </c>
      <c r="C40" s="9" t="inlineStr">
        <is>
          <t>4</t>
        </is>
      </c>
      <c r="D40" s="9" t="inlineStr">
        <is>
          <t>C1076-Q9588</t>
        </is>
      </c>
      <c r="E40" s="9" t="inlineStr">
        <is>
          <t>Huancabamba</t>
        </is>
      </c>
      <c r="F40" s="9" t="inlineStr">
        <is>
          <t>Huarmaca</t>
        </is>
      </c>
      <c r="G40" s="10" t="n">
        <v>37.211</v>
      </c>
      <c r="H40" s="10" t="n">
        <v>37.204</v>
      </c>
      <c r="I40" s="10">
        <f>H40-G40</f>
        <v/>
      </c>
    </row>
    <row r="41">
      <c r="A41" s="5" t="n">
        <v>33</v>
      </c>
      <c r="B41" s="5" t="inlineStr">
        <is>
          <t>AI_41</t>
        </is>
      </c>
      <c r="C41" s="5" t="inlineStr">
        <is>
          <t>41</t>
        </is>
      </c>
      <c r="D41" s="5" t="inlineStr">
        <is>
          <t>C1076-Q9592</t>
        </is>
      </c>
      <c r="E41" s="5" t="inlineStr">
        <is>
          <t>Huancabamba</t>
        </is>
      </c>
      <c r="F41" s="5" t="inlineStr">
        <is>
          <t>Huarmaca</t>
        </is>
      </c>
      <c r="G41" s="6" t="n">
        <v>29.795</v>
      </c>
      <c r="H41" s="6" t="n">
        <v>29.79</v>
      </c>
      <c r="I41" s="6">
        <f>H41-G41</f>
        <v/>
      </c>
    </row>
    <row r="42">
      <c r="A42" s="9" t="n">
        <v>34</v>
      </c>
      <c r="B42" s="9" t="inlineStr">
        <is>
          <t>AI_41</t>
        </is>
      </c>
      <c r="C42" s="9" t="inlineStr">
        <is>
          <t>41</t>
        </is>
      </c>
      <c r="D42" s="9" t="inlineStr">
        <is>
          <t>C1076-Q9592</t>
        </is>
      </c>
      <c r="E42" s="9" t="inlineStr">
        <is>
          <t>Huancabamba</t>
        </is>
      </c>
      <c r="F42" s="9" t="inlineStr">
        <is>
          <t>Huarmaca</t>
        </is>
      </c>
      <c r="G42" s="10" t="n">
        <v>39.062</v>
      </c>
      <c r="H42" s="10" t="n">
        <v>39.055</v>
      </c>
      <c r="I42" s="10">
        <f>H42-G42</f>
        <v/>
      </c>
    </row>
    <row r="43">
      <c r="A43" s="5" t="n">
        <v>35</v>
      </c>
      <c r="B43" s="5" t="inlineStr">
        <is>
          <t>AI_41</t>
        </is>
      </c>
      <c r="C43" s="5" t="inlineStr">
        <is>
          <t>41</t>
        </is>
      </c>
      <c r="D43" s="5" t="inlineStr">
        <is>
          <t>C1076-Q9592</t>
        </is>
      </c>
      <c r="E43" s="5" t="inlineStr">
        <is>
          <t>Huancabamba</t>
        </is>
      </c>
      <c r="F43" s="5" t="inlineStr">
        <is>
          <t>Huarmaca</t>
        </is>
      </c>
      <c r="G43" s="6" t="n">
        <v>6.534</v>
      </c>
      <c r="H43" s="6" t="n">
        <v>6.533</v>
      </c>
      <c r="I43" s="6">
        <f>H43-G43</f>
        <v/>
      </c>
    </row>
    <row r="44">
      <c r="A44" s="9" t="n">
        <v>36</v>
      </c>
      <c r="B44" s="9" t="inlineStr">
        <is>
          <t>AI_51</t>
        </is>
      </c>
      <c r="C44" s="9" t="inlineStr">
        <is>
          <t>51</t>
        </is>
      </c>
      <c r="D44" s="9" t="inlineStr">
        <is>
          <t>C1076-Q9593</t>
        </is>
      </c>
      <c r="E44" s="9" t="inlineStr">
        <is>
          <t>Huancabamba</t>
        </is>
      </c>
      <c r="F44" s="9" t="inlineStr">
        <is>
          <t>Huarmaca</t>
        </is>
      </c>
      <c r="G44" s="10" t="n">
        <v>110.509</v>
      </c>
      <c r="H44" s="10" t="n">
        <v>110.487</v>
      </c>
      <c r="I44" s="10">
        <f>H44-G44</f>
        <v/>
      </c>
    </row>
    <row r="45">
      <c r="A45" s="5" t="n">
        <v>37</v>
      </c>
      <c r="B45" s="5" t="inlineStr">
        <is>
          <t>AI_53</t>
        </is>
      </c>
      <c r="C45" s="5" t="inlineStr">
        <is>
          <t>53</t>
        </is>
      </c>
      <c r="D45" s="5" t="inlineStr">
        <is>
          <t>C1076-Q9592</t>
        </is>
      </c>
      <c r="E45" s="5" t="inlineStr">
        <is>
          <t>Huancabamba</t>
        </is>
      </c>
      <c r="F45" s="5" t="inlineStr">
        <is>
          <t>Huarmaca</t>
        </is>
      </c>
      <c r="G45" s="6" t="n">
        <v>12.033</v>
      </c>
      <c r="H45" s="6" t="n">
        <v>12.032</v>
      </c>
      <c r="I45" s="6">
        <f>H45-G45</f>
        <v/>
      </c>
    </row>
    <row r="46">
      <c r="A46" s="9" t="n">
        <v>38</v>
      </c>
      <c r="B46" s="9" t="inlineStr">
        <is>
          <t>AI_69</t>
        </is>
      </c>
      <c r="C46" s="9" t="inlineStr">
        <is>
          <t>69</t>
        </is>
      </c>
      <c r="D46" s="9" t="inlineStr">
        <is>
          <t>C1076-Q9592</t>
        </is>
      </c>
      <c r="E46" s="9" t="inlineStr">
        <is>
          <t>Huancabamba</t>
        </is>
      </c>
      <c r="F46" s="9" t="inlineStr">
        <is>
          <t>Huarmaca</t>
        </is>
      </c>
      <c r="G46" s="10" t="n">
        <v>11.057</v>
      </c>
      <c r="H46" s="10" t="n">
        <v>11.056</v>
      </c>
      <c r="I46" s="10">
        <f>H46-G46</f>
        <v/>
      </c>
    </row>
    <row r="47">
      <c r="A47" s="5" t="n">
        <v>39</v>
      </c>
      <c r="B47" s="5" t="inlineStr">
        <is>
          <t>AI_70</t>
        </is>
      </c>
      <c r="C47" s="5" t="inlineStr">
        <is>
          <t>70</t>
        </is>
      </c>
      <c r="D47" s="5" t="inlineStr">
        <is>
          <t>C1076-Q9592</t>
        </is>
      </c>
      <c r="E47" s="5" t="inlineStr">
        <is>
          <t>Huancabamba</t>
        </is>
      </c>
      <c r="F47" s="5" t="inlineStr">
        <is>
          <t>Huarmaca</t>
        </is>
      </c>
      <c r="G47" s="6" t="n">
        <v>59.063</v>
      </c>
      <c r="H47" s="6" t="n">
        <v>59.057</v>
      </c>
      <c r="I47" s="6">
        <f>H47-G47</f>
        <v/>
      </c>
    </row>
    <row r="48">
      <c r="A48" s="9" t="n">
        <v>40</v>
      </c>
      <c r="B48" s="9" t="inlineStr">
        <is>
          <t>AI_71</t>
        </is>
      </c>
      <c r="C48" s="9" t="inlineStr">
        <is>
          <t>71</t>
        </is>
      </c>
      <c r="D48" s="9" t="inlineStr">
        <is>
          <t>C1076-Q9593</t>
        </is>
      </c>
      <c r="E48" s="9" t="inlineStr">
        <is>
          <t>Huancabamba</t>
        </is>
      </c>
      <c r="F48" s="9" t="inlineStr">
        <is>
          <t>Huarmaca</t>
        </is>
      </c>
      <c r="G48" s="10" t="n">
        <v>26.937</v>
      </c>
      <c r="H48" s="10" t="n">
        <v>26.931</v>
      </c>
      <c r="I48" s="10">
        <f>H48-G48</f>
        <v/>
      </c>
    </row>
    <row r="49">
      <c r="A49" s="5" t="n">
        <v>41</v>
      </c>
      <c r="B49" s="5" t="inlineStr">
        <is>
          <t>AI_72</t>
        </is>
      </c>
      <c r="C49" s="5" t="inlineStr">
        <is>
          <t>72</t>
        </is>
      </c>
      <c r="D49" s="5" t="inlineStr">
        <is>
          <t>C1076-Q9592</t>
        </is>
      </c>
      <c r="E49" s="5" t="inlineStr">
        <is>
          <t>Huancabamba</t>
        </is>
      </c>
      <c r="F49" s="5" t="inlineStr">
        <is>
          <t>Huarmaca</t>
        </is>
      </c>
      <c r="G49" s="6" t="n">
        <v>14.006</v>
      </c>
      <c r="H49" s="6" t="n">
        <v>14.004</v>
      </c>
      <c r="I49" s="6">
        <f>H49-G49</f>
        <v/>
      </c>
    </row>
    <row r="50">
      <c r="A50" s="9" t="n">
        <v>42</v>
      </c>
      <c r="B50" s="9" t="inlineStr">
        <is>
          <t>AI_73</t>
        </is>
      </c>
      <c r="C50" s="9" t="inlineStr">
        <is>
          <t>73</t>
        </is>
      </c>
      <c r="D50" s="9" t="inlineStr">
        <is>
          <t>C1076-Q9592</t>
        </is>
      </c>
      <c r="E50" s="9" t="inlineStr">
        <is>
          <t>Huancabamba</t>
        </is>
      </c>
      <c r="F50" s="9" t="inlineStr">
        <is>
          <t>Huarmaca</t>
        </is>
      </c>
      <c r="G50" s="10" t="n">
        <v>224.449</v>
      </c>
      <c r="H50" s="10" t="n">
        <v>224.408</v>
      </c>
      <c r="I50" s="10">
        <f>H50-G50</f>
        <v/>
      </c>
    </row>
    <row r="51">
      <c r="A51" s="5" t="n">
        <v>43</v>
      </c>
      <c r="B51" s="5" t="inlineStr">
        <is>
          <t>AI_76</t>
        </is>
      </c>
      <c r="C51" s="5" t="inlineStr">
        <is>
          <t>76</t>
        </is>
      </c>
      <c r="D51" s="5" t="inlineStr">
        <is>
          <t>C1076-Q9593</t>
        </is>
      </c>
      <c r="E51" s="5" t="inlineStr">
        <is>
          <t>Huancabamba</t>
        </is>
      </c>
      <c r="F51" s="5" t="inlineStr">
        <is>
          <t>Huarmaca</t>
        </is>
      </c>
      <c r="G51" s="6" t="n">
        <v>26.165</v>
      </c>
      <c r="H51" s="6" t="n">
        <v>26.16</v>
      </c>
      <c r="I51" s="6">
        <f>H51-G51</f>
        <v/>
      </c>
    </row>
    <row r="52">
      <c r="A52" s="9" t="n">
        <v>44</v>
      </c>
      <c r="B52" s="9" t="inlineStr">
        <is>
          <t>AI_8</t>
        </is>
      </c>
      <c r="C52" s="9" t="inlineStr">
        <is>
          <t>8</t>
        </is>
      </c>
      <c r="D52" s="9" t="inlineStr">
        <is>
          <t>C1076-Q9593</t>
        </is>
      </c>
      <c r="E52" s="9" t="inlineStr">
        <is>
          <t>Huancabamba</t>
        </is>
      </c>
      <c r="F52" s="9" t="inlineStr">
        <is>
          <t>Huarmaca</t>
        </is>
      </c>
      <c r="G52" s="10" t="n">
        <v>22.722</v>
      </c>
      <c r="H52" s="10" t="n">
        <v>22.717</v>
      </c>
      <c r="I52" s="10">
        <f>H52-G52</f>
        <v/>
      </c>
    </row>
    <row r="53">
      <c r="A53" s="5" t="n">
        <v>45</v>
      </c>
      <c r="B53" s="5" t="inlineStr">
        <is>
          <t>AI_8</t>
        </is>
      </c>
      <c r="C53" s="5" t="inlineStr">
        <is>
          <t>8</t>
        </is>
      </c>
      <c r="D53" s="5" t="inlineStr">
        <is>
          <t>C1076-Q9593</t>
        </is>
      </c>
      <c r="E53" s="5" t="inlineStr">
        <is>
          <t>Huancabamba</t>
        </is>
      </c>
      <c r="F53" s="5" t="inlineStr">
        <is>
          <t>Huarmaca</t>
        </is>
      </c>
      <c r="G53" s="6" t="n">
        <v>39.204</v>
      </c>
      <c r="H53" s="6" t="n">
        <v>39.195</v>
      </c>
      <c r="I53" s="6">
        <f>H53-G53</f>
        <v/>
      </c>
    </row>
    <row r="54">
      <c r="A54" s="9" t="n">
        <v>46</v>
      </c>
      <c r="B54" s="9" t="inlineStr">
        <is>
          <t>AI_8</t>
        </is>
      </c>
      <c r="C54" s="9" t="inlineStr">
        <is>
          <t>8</t>
        </is>
      </c>
      <c r="D54" s="9" t="inlineStr">
        <is>
          <t>C1076-Q9593</t>
        </is>
      </c>
      <c r="E54" s="9" t="inlineStr">
        <is>
          <t>Huancabamba</t>
        </is>
      </c>
      <c r="F54" s="9" t="inlineStr">
        <is>
          <t>Huarmaca</t>
        </is>
      </c>
      <c r="G54" s="10" t="n">
        <v>44.325</v>
      </c>
      <c r="H54" s="10" t="n">
        <v>44.315</v>
      </c>
      <c r="I54" s="10">
        <f>H54-G54</f>
        <v/>
      </c>
    </row>
    <row r="55">
      <c r="A55" s="5" t="n">
        <v>47</v>
      </c>
      <c r="B55" s="5" t="inlineStr">
        <is>
          <t>AI_8</t>
        </is>
      </c>
      <c r="C55" s="5" t="inlineStr">
        <is>
          <t>8</t>
        </is>
      </c>
      <c r="D55" s="5" t="inlineStr">
        <is>
          <t>C1076-Q9593</t>
        </is>
      </c>
      <c r="E55" s="5" t="inlineStr">
        <is>
          <t>Huancabamba</t>
        </is>
      </c>
      <c r="F55" s="5" t="inlineStr">
        <is>
          <t>Huarmaca</t>
        </is>
      </c>
      <c r="G55" s="6" t="n">
        <v>52.604</v>
      </c>
      <c r="H55" s="6" t="n">
        <v>52.592</v>
      </c>
      <c r="I55" s="6">
        <f>H55-G55</f>
        <v/>
      </c>
    </row>
    <row r="56">
      <c r="A56" s="9" t="n">
        <v>48</v>
      </c>
      <c r="B56" s="9" t="inlineStr">
        <is>
          <t>AI_80</t>
        </is>
      </c>
      <c r="C56" s="9" t="inlineStr">
        <is>
          <t>80</t>
        </is>
      </c>
      <c r="D56" s="9" t="inlineStr">
        <is>
          <t>C1076-Q9593</t>
        </is>
      </c>
      <c r="E56" s="9" t="inlineStr">
        <is>
          <t>Huancabamba</t>
        </is>
      </c>
      <c r="F56" s="9" t="inlineStr">
        <is>
          <t>Huarmaca</t>
        </is>
      </c>
      <c r="G56" s="10" t="n">
        <v>23.233</v>
      </c>
      <c r="H56" s="10" t="n">
        <v>23.229</v>
      </c>
      <c r="I56" s="10">
        <f>H56-G56</f>
        <v/>
      </c>
    </row>
    <row r="57">
      <c r="A57" s="5" t="n">
        <v>49</v>
      </c>
      <c r="B57" s="5" t="inlineStr">
        <is>
          <t>AI_M12B1</t>
        </is>
      </c>
      <c r="C57" s="5" t="inlineStr">
        <is>
          <t>M12B1</t>
        </is>
      </c>
      <c r="D57" s="5" t="inlineStr">
        <is>
          <t>C1076-Q9588</t>
        </is>
      </c>
      <c r="E57" s="5" t="inlineStr">
        <is>
          <t>Huancabamba</t>
        </is>
      </c>
      <c r="F57" s="5" t="inlineStr">
        <is>
          <t>Huarmaca</t>
        </is>
      </c>
      <c r="G57" s="6" t="n">
        <v>115.668</v>
      </c>
      <c r="H57" s="6" t="n">
        <v>115.636</v>
      </c>
      <c r="I57" s="6">
        <f>H57-G57</f>
        <v/>
      </c>
    </row>
    <row r="58">
      <c r="A58" s="9" t="n">
        <v>50</v>
      </c>
      <c r="B58" s="9" t="inlineStr">
        <is>
          <t>AI_M4B3</t>
        </is>
      </c>
      <c r="C58" s="9" t="inlineStr">
        <is>
          <t>M4B3</t>
        </is>
      </c>
      <c r="D58" s="9" t="inlineStr">
        <is>
          <t>C1076-Q9589</t>
        </is>
      </c>
      <c r="E58" s="9" t="inlineStr">
        <is>
          <t>Huancabamba</t>
        </is>
      </c>
      <c r="F58" s="9" t="inlineStr">
        <is>
          <t>Huarmaca</t>
        </is>
      </c>
      <c r="G58" s="10" t="n">
        <v>69.29900000000001</v>
      </c>
      <c r="H58" s="10" t="n">
        <v>69.27800000000001</v>
      </c>
      <c r="I58" s="10">
        <f>H58-G58</f>
        <v/>
      </c>
    </row>
    <row r="59">
      <c r="A59" s="5" t="n">
        <v>51</v>
      </c>
      <c r="B59" s="5" t="inlineStr">
        <is>
          <t>AI_M4B4</t>
        </is>
      </c>
      <c r="C59" s="5" t="inlineStr">
        <is>
          <t>M4B4</t>
        </is>
      </c>
      <c r="D59" s="5" t="inlineStr">
        <is>
          <t>C1076-Q9589</t>
        </is>
      </c>
      <c r="E59" s="5" t="inlineStr">
        <is>
          <t>Huancabamba</t>
        </is>
      </c>
      <c r="F59" s="5" t="inlineStr">
        <is>
          <t>Huarmaca</t>
        </is>
      </c>
      <c r="G59" s="6" t="n">
        <v>203.16</v>
      </c>
      <c r="H59" s="6" t="n">
        <v>203.1</v>
      </c>
      <c r="I59" s="6">
        <f>H59-G59</f>
        <v/>
      </c>
    </row>
    <row r="60">
      <c r="A60" s="9" t="n">
        <v>52</v>
      </c>
      <c r="B60" s="9" t="inlineStr">
        <is>
          <t>AI_26</t>
        </is>
      </c>
      <c r="C60" s="9" t="inlineStr">
        <is>
          <t>26</t>
        </is>
      </c>
      <c r="D60" s="9" t="inlineStr">
        <is>
          <t>C1081-Q9591</t>
        </is>
      </c>
      <c r="E60" s="9" t="inlineStr">
        <is>
          <t>Huancabamba</t>
        </is>
      </c>
      <c r="F60" s="9" t="inlineStr">
        <is>
          <t>Lalaquiz</t>
        </is>
      </c>
      <c r="G60" s="10" t="n">
        <v>66.72199999999999</v>
      </c>
      <c r="H60" s="10" t="n">
        <v>66.706</v>
      </c>
      <c r="I60" s="10">
        <f>H60-G60</f>
        <v/>
      </c>
    </row>
    <row r="61">
      <c r="A61" s="5" t="n">
        <v>53</v>
      </c>
      <c r="B61" s="5" t="inlineStr">
        <is>
          <t>AI_34</t>
        </is>
      </c>
      <c r="C61" s="5" t="inlineStr">
        <is>
          <t>34</t>
        </is>
      </c>
      <c r="D61" s="5" t="inlineStr">
        <is>
          <t>C1081-Q9590</t>
        </is>
      </c>
      <c r="E61" s="5" t="inlineStr">
        <is>
          <t>Huancabamba</t>
        </is>
      </c>
      <c r="F61" s="5" t="inlineStr">
        <is>
          <t>Lalaquiz</t>
        </is>
      </c>
      <c r="G61" s="6" t="n">
        <v>26.86</v>
      </c>
      <c r="H61" s="6" t="n">
        <v>26.853</v>
      </c>
      <c r="I61" s="6">
        <f>H61-G61</f>
        <v/>
      </c>
    </row>
    <row r="62">
      <c r="A62" s="9" t="n">
        <v>54</v>
      </c>
      <c r="B62" s="9" t="inlineStr">
        <is>
          <t>AI_37</t>
        </is>
      </c>
      <c r="C62" s="9" t="inlineStr">
        <is>
          <t>37</t>
        </is>
      </c>
      <c r="D62" s="9" t="inlineStr">
        <is>
          <t>C1081-Q9591</t>
        </is>
      </c>
      <c r="E62" s="9" t="inlineStr">
        <is>
          <t>Huancabamba</t>
        </is>
      </c>
      <c r="F62" s="9" t="inlineStr">
        <is>
          <t>Lalaquiz</t>
        </is>
      </c>
      <c r="G62" s="10" t="n">
        <v>69.253</v>
      </c>
      <c r="H62" s="10" t="n">
        <v>69.236</v>
      </c>
      <c r="I62" s="10">
        <f>H62-G62</f>
        <v/>
      </c>
    </row>
    <row r="63">
      <c r="A63" s="5" t="n">
        <v>55</v>
      </c>
      <c r="B63" s="5" t="inlineStr">
        <is>
          <t>AI_38</t>
        </is>
      </c>
      <c r="C63" s="5" t="inlineStr">
        <is>
          <t>38</t>
        </is>
      </c>
      <c r="D63" s="5" t="inlineStr">
        <is>
          <t>C1081-Q9590</t>
        </is>
      </c>
      <c r="E63" s="5" t="inlineStr">
        <is>
          <t>Huancabamba</t>
        </is>
      </c>
      <c r="F63" s="5" t="inlineStr">
        <is>
          <t>Lalaquiz</t>
        </is>
      </c>
      <c r="G63" s="6" t="n">
        <v>46.241</v>
      </c>
      <c r="H63" s="6" t="n">
        <v>46.229</v>
      </c>
      <c r="I63" s="6">
        <f>H63-G63</f>
        <v/>
      </c>
    </row>
    <row r="64">
      <c r="A64" s="9" t="n">
        <v>56</v>
      </c>
      <c r="B64" s="9" t="inlineStr">
        <is>
          <t>AI_50</t>
        </is>
      </c>
      <c r="C64" s="9" t="inlineStr">
        <is>
          <t>50</t>
        </is>
      </c>
      <c r="D64" s="9" t="inlineStr">
        <is>
          <t>C1081-Q9590</t>
        </is>
      </c>
      <c r="E64" s="9" t="inlineStr">
        <is>
          <t>Huancabamba</t>
        </is>
      </c>
      <c r="F64" s="9" t="inlineStr">
        <is>
          <t>Lalaquiz</t>
        </is>
      </c>
      <c r="G64" s="10" t="n">
        <v>4.904</v>
      </c>
      <c r="H64" s="10" t="n">
        <v>4.903</v>
      </c>
      <c r="I64" s="10">
        <f>H64-G64</f>
        <v/>
      </c>
    </row>
    <row r="65">
      <c r="A65" s="5" t="n">
        <v>57</v>
      </c>
      <c r="B65" s="5" t="inlineStr">
        <is>
          <t>AI_50</t>
        </is>
      </c>
      <c r="C65" s="5" t="inlineStr">
        <is>
          <t>50</t>
        </is>
      </c>
      <c r="D65" s="5" t="inlineStr">
        <is>
          <t>C1081-Q9590</t>
        </is>
      </c>
      <c r="E65" s="5" t="inlineStr">
        <is>
          <t>Huancabamba</t>
        </is>
      </c>
      <c r="F65" s="5" t="inlineStr">
        <is>
          <t>Lalaquiz</t>
        </is>
      </c>
      <c r="G65" s="6" t="n">
        <v>7.019</v>
      </c>
      <c r="H65" s="6" t="n">
        <v>7.017</v>
      </c>
      <c r="I65" s="6">
        <f>H65-G65</f>
        <v/>
      </c>
    </row>
    <row r="66">
      <c r="A66" s="9" t="n">
        <v>58</v>
      </c>
      <c r="B66" s="9" t="inlineStr">
        <is>
          <t>AI_61</t>
        </is>
      </c>
      <c r="C66" s="9" t="inlineStr">
        <is>
          <t>61</t>
        </is>
      </c>
      <c r="D66" s="9" t="inlineStr">
        <is>
          <t>C1081-Q9590</t>
        </is>
      </c>
      <c r="E66" s="9" t="inlineStr">
        <is>
          <t>Huancabamba</t>
        </is>
      </c>
      <c r="F66" s="9" t="inlineStr">
        <is>
          <t>Lalaquiz</t>
        </is>
      </c>
      <c r="G66" s="10" t="n">
        <v>19.691</v>
      </c>
      <c r="H66" s="10" t="n">
        <v>19.686</v>
      </c>
      <c r="I66" s="10">
        <f>H66-G66</f>
        <v/>
      </c>
    </row>
    <row r="67">
      <c r="A67" s="5" t="n">
        <v>59</v>
      </c>
      <c r="B67" s="5" t="inlineStr">
        <is>
          <t>AI_35</t>
        </is>
      </c>
      <c r="C67" s="5" t="inlineStr">
        <is>
          <t>35</t>
        </is>
      </c>
      <c r="D67" s="5" t="inlineStr">
        <is>
          <t>C1076-Q9586</t>
        </is>
      </c>
      <c r="E67" s="5" t="inlineStr">
        <is>
          <t>Huancabamba</t>
        </is>
      </c>
      <c r="F67" s="5" t="inlineStr">
        <is>
          <t>San Miguel de El Faique</t>
        </is>
      </c>
      <c r="G67" s="6" t="n">
        <v>27.638</v>
      </c>
      <c r="H67" s="6" t="n">
        <v>27.632</v>
      </c>
      <c r="I67" s="6">
        <f>H67-G67</f>
        <v/>
      </c>
    </row>
    <row r="68">
      <c r="A68" s="9" t="n">
        <v>60</v>
      </c>
      <c r="B68" s="9" t="inlineStr">
        <is>
          <t>AI_43</t>
        </is>
      </c>
      <c r="C68" s="9" t="inlineStr">
        <is>
          <t>43</t>
        </is>
      </c>
      <c r="D68" s="9" t="inlineStr">
        <is>
          <t>C1076-Q9586</t>
        </is>
      </c>
      <c r="E68" s="9" t="inlineStr">
        <is>
          <t>Huancabamba</t>
        </is>
      </c>
      <c r="F68" s="9" t="inlineStr">
        <is>
          <t>San Miguel de El Faique</t>
        </is>
      </c>
      <c r="G68" s="10" t="n">
        <v>27.162</v>
      </c>
      <c r="H68" s="10" t="n">
        <v>27.157</v>
      </c>
      <c r="I68" s="10">
        <f>H68-G68</f>
        <v/>
      </c>
    </row>
    <row r="69">
      <c r="A69" s="5" t="n">
        <v>61</v>
      </c>
      <c r="B69" s="5" t="inlineStr">
        <is>
          <t>AI_44</t>
        </is>
      </c>
      <c r="C69" s="5" t="inlineStr">
        <is>
          <t>44</t>
        </is>
      </c>
      <c r="D69" s="5" t="inlineStr">
        <is>
          <t>C1076-Q9586</t>
        </is>
      </c>
      <c r="E69" s="5" t="inlineStr">
        <is>
          <t>Huancabamba</t>
        </is>
      </c>
      <c r="F69" s="5" t="inlineStr">
        <is>
          <t>San Miguel de El Faique</t>
        </is>
      </c>
      <c r="G69" s="6" t="n">
        <v>36.99</v>
      </c>
      <c r="H69" s="6" t="n">
        <v>36.985</v>
      </c>
      <c r="I69" s="6">
        <f>H69-G69</f>
        <v/>
      </c>
    </row>
    <row r="70">
      <c r="A70" s="9" t="n">
        <v>62</v>
      </c>
      <c r="B70" s="9" t="inlineStr">
        <is>
          <t>AI_47</t>
        </is>
      </c>
      <c r="C70" s="9" t="inlineStr">
        <is>
          <t>47</t>
        </is>
      </c>
      <c r="D70" s="9" t="inlineStr">
        <is>
          <t>C1076-Q9586</t>
        </is>
      </c>
      <c r="E70" s="9" t="inlineStr">
        <is>
          <t>Huancabamba</t>
        </is>
      </c>
      <c r="F70" s="9" t="inlineStr">
        <is>
          <t>San Miguel de El Faique</t>
        </is>
      </c>
      <c r="G70" s="10" t="n">
        <v>31.42</v>
      </c>
      <c r="H70" s="10" t="n">
        <v>31.414</v>
      </c>
      <c r="I70" s="10">
        <f>H70-G70</f>
        <v/>
      </c>
    </row>
    <row r="71">
      <c r="A71" s="5" t="n">
        <v>63</v>
      </c>
      <c r="B71" s="5" t="inlineStr">
        <is>
          <t>AI_67</t>
        </is>
      </c>
      <c r="C71" s="5" t="inlineStr">
        <is>
          <t>67</t>
        </is>
      </c>
      <c r="D71" s="5" t="inlineStr">
        <is>
          <t>C1076-Q9586</t>
        </is>
      </c>
      <c r="E71" s="5" t="inlineStr">
        <is>
          <t>Huancabamba</t>
        </is>
      </c>
      <c r="F71" s="5" t="inlineStr">
        <is>
          <t>San Miguel de El Faique</t>
        </is>
      </c>
      <c r="G71" s="6" t="n">
        <v>49.191</v>
      </c>
      <c r="H71" s="6" t="n">
        <v>49.18</v>
      </c>
      <c r="I71" s="6">
        <f>H71-G71</f>
        <v/>
      </c>
    </row>
    <row r="72">
      <c r="A72" s="9" t="n">
        <v>64</v>
      </c>
      <c r="B72" s="9" t="inlineStr">
        <is>
          <t>AI_9</t>
        </is>
      </c>
      <c r="C72" s="9" t="inlineStr">
        <is>
          <t>9</t>
        </is>
      </c>
      <c r="D72" s="9" t="inlineStr">
        <is>
          <t>C1076-Q9586</t>
        </is>
      </c>
      <c r="E72" s="9" t="inlineStr">
        <is>
          <t>Huancabamba</t>
        </is>
      </c>
      <c r="F72" s="9" t="inlineStr">
        <is>
          <t>San Miguel de El Faique</t>
        </is>
      </c>
      <c r="G72" s="10" t="n">
        <v>197.005</v>
      </c>
      <c r="H72" s="10" t="n">
        <v>196.966</v>
      </c>
      <c r="I72" s="10">
        <f>H72-G72</f>
        <v/>
      </c>
    </row>
    <row r="73">
      <c r="A73" s="5" t="n">
        <v>65</v>
      </c>
      <c r="B73" s="5" t="inlineStr">
        <is>
          <t>AI_M20B1</t>
        </is>
      </c>
      <c r="C73" s="5" t="inlineStr">
        <is>
          <t>M20B1</t>
        </is>
      </c>
      <c r="D73" s="5" t="inlineStr">
        <is>
          <t>C1076-Q9585</t>
        </is>
      </c>
      <c r="E73" s="5" t="inlineStr">
        <is>
          <t>Huancabamba</t>
        </is>
      </c>
      <c r="F73" s="5" t="inlineStr">
        <is>
          <t>San Miguel de El Faique</t>
        </is>
      </c>
      <c r="G73" s="6" t="n">
        <v>123.202</v>
      </c>
      <c r="H73" s="6" t="n">
        <v>123.164</v>
      </c>
      <c r="I73" s="6">
        <f>H73-G73</f>
        <v/>
      </c>
    </row>
    <row r="74">
      <c r="A74" s="9" t="n">
        <v>66</v>
      </c>
      <c r="B74" s="9" t="inlineStr">
        <is>
          <t>AI_M22B1</t>
        </is>
      </c>
      <c r="C74" s="9" t="inlineStr">
        <is>
          <t>M22B1</t>
        </is>
      </c>
      <c r="D74" s="9" t="inlineStr">
        <is>
          <t>C1076-Q9586</t>
        </is>
      </c>
      <c r="E74" s="9" t="inlineStr">
        <is>
          <t>Huancabamba</t>
        </is>
      </c>
      <c r="F74" s="9" t="inlineStr">
        <is>
          <t>San Miguel de El Faique</t>
        </is>
      </c>
      <c r="G74" s="10" t="n">
        <v>21.394</v>
      </c>
      <c r="H74" s="10" t="n">
        <v>21.391</v>
      </c>
      <c r="I74" s="10">
        <f>H74-G74</f>
        <v/>
      </c>
    </row>
    <row r="75">
      <c r="A75" s="5" t="n">
        <v>67</v>
      </c>
      <c r="B75" s="5" t="inlineStr">
        <is>
          <t>AI_M22B1</t>
        </is>
      </c>
      <c r="C75" s="5" t="inlineStr">
        <is>
          <t>M22B1</t>
        </is>
      </c>
      <c r="D75" s="5" t="inlineStr">
        <is>
          <t>C1076-Q9586</t>
        </is>
      </c>
      <c r="E75" s="5" t="inlineStr">
        <is>
          <t>Huancabamba</t>
        </is>
      </c>
      <c r="F75" s="5" t="inlineStr">
        <is>
          <t>San Miguel de El Faique</t>
        </is>
      </c>
      <c r="G75" s="6" t="n">
        <v>3.857</v>
      </c>
      <c r="H75" s="6" t="n">
        <v>3.856</v>
      </c>
      <c r="I75" s="6">
        <f>H75-G75</f>
        <v/>
      </c>
    </row>
    <row r="76">
      <c r="A76" s="9" t="n">
        <v>68</v>
      </c>
      <c r="B76" s="9" t="inlineStr">
        <is>
          <t>AI_M2B8</t>
        </is>
      </c>
      <c r="C76" s="9" t="inlineStr">
        <is>
          <t>M2B8</t>
        </is>
      </c>
      <c r="D76" s="9" t="inlineStr">
        <is>
          <t>C1076-Q9584</t>
        </is>
      </c>
      <c r="E76" s="9" t="inlineStr">
        <is>
          <t>Huancabamba</t>
        </is>
      </c>
      <c r="F76" s="9" t="inlineStr">
        <is>
          <t>San Miguel de El Faique</t>
        </is>
      </c>
      <c r="G76" s="10" t="n">
        <v>157.389</v>
      </c>
      <c r="H76" s="10" t="n">
        <v>157.337</v>
      </c>
      <c r="I76" s="10">
        <f>H76-G76</f>
        <v/>
      </c>
    </row>
    <row r="77">
      <c r="A77" s="5" t="n">
        <v>69</v>
      </c>
      <c r="B77" s="5" t="inlineStr">
        <is>
          <t>AI_5</t>
        </is>
      </c>
      <c r="C77" s="5" t="inlineStr">
        <is>
          <t>5</t>
        </is>
      </c>
      <c r="D77" s="5" t="inlineStr">
        <is>
          <t>C1077-Q9566</t>
        </is>
      </c>
      <c r="E77" s="5" t="inlineStr">
        <is>
          <t>Morropón</t>
        </is>
      </c>
      <c r="F77" s="5" t="inlineStr">
        <is>
          <t>Buenos Aires</t>
        </is>
      </c>
      <c r="G77" s="6" t="n">
        <v>375.252</v>
      </c>
      <c r="H77" s="6" t="n">
        <v>375.081</v>
      </c>
      <c r="I77" s="6">
        <f>H77-G77</f>
        <v/>
      </c>
    </row>
    <row r="78">
      <c r="A78" s="9" t="n">
        <v>70</v>
      </c>
      <c r="B78" s="9" t="inlineStr">
        <is>
          <t>AI_M18B1</t>
        </is>
      </c>
      <c r="C78" s="9" t="inlineStr">
        <is>
          <t>M18B1</t>
        </is>
      </c>
      <c r="D78" s="9" t="inlineStr">
        <is>
          <t>C1077-Q9579</t>
        </is>
      </c>
      <c r="E78" s="9" t="inlineStr">
        <is>
          <t>Morropón</t>
        </is>
      </c>
      <c r="F78" s="9" t="inlineStr">
        <is>
          <t>Buenos Aires</t>
        </is>
      </c>
      <c r="G78" s="10" t="n">
        <v>163.941</v>
      </c>
      <c r="H78" s="10" t="n">
        <v>163.87</v>
      </c>
      <c r="I78" s="10">
        <f>H78-G78</f>
        <v/>
      </c>
    </row>
    <row r="79">
      <c r="A79" s="5" t="n">
        <v>71</v>
      </c>
      <c r="B79" s="5" t="inlineStr">
        <is>
          <t>AI_M1B1</t>
        </is>
      </c>
      <c r="C79" s="5" t="inlineStr">
        <is>
          <t>M1B1</t>
        </is>
      </c>
      <c r="D79" s="5" t="inlineStr">
        <is>
          <t>C1077-Q9580</t>
        </is>
      </c>
      <c r="E79" s="5" t="inlineStr">
        <is>
          <t>Morropón</t>
        </is>
      </c>
      <c r="F79" s="5" t="inlineStr">
        <is>
          <t>Buenos Aires</t>
        </is>
      </c>
      <c r="G79" s="6" t="n">
        <v>152.718</v>
      </c>
      <c r="H79" s="6" t="n">
        <v>152.649</v>
      </c>
      <c r="I79" s="6">
        <f>H79-G79</f>
        <v/>
      </c>
    </row>
    <row r="80">
      <c r="A80" s="9" t="n">
        <v>72</v>
      </c>
      <c r="B80" s="9" t="inlineStr">
        <is>
          <t>AI_M6B10</t>
        </is>
      </c>
      <c r="C80" s="9" t="inlineStr">
        <is>
          <t>M6B10</t>
        </is>
      </c>
      <c r="D80" s="9" t="inlineStr">
        <is>
          <t>C1077-Q9566</t>
        </is>
      </c>
      <c r="E80" s="9" t="inlineStr">
        <is>
          <t>Morropón</t>
        </is>
      </c>
      <c r="F80" s="9" t="inlineStr">
        <is>
          <t>Buenos Aires</t>
        </is>
      </c>
      <c r="G80" s="10" t="n">
        <v>330.175</v>
      </c>
      <c r="H80" s="10" t="n">
        <v>330.024</v>
      </c>
      <c r="I80" s="10">
        <f>H80-G80</f>
        <v/>
      </c>
    </row>
    <row r="81">
      <c r="A81" s="5" t="n">
        <v>73</v>
      </c>
      <c r="B81" s="5" t="inlineStr">
        <is>
          <t>AI_M6B2-1</t>
        </is>
      </c>
      <c r="C81" s="5" t="inlineStr">
        <is>
          <t>M6B2-1</t>
        </is>
      </c>
      <c r="D81" s="5" t="inlineStr">
        <is>
          <t>C1077-Q9566</t>
        </is>
      </c>
      <c r="E81" s="5" t="inlineStr">
        <is>
          <t>Morropón</t>
        </is>
      </c>
      <c r="F81" s="5" t="inlineStr">
        <is>
          <t>Buenos Aires</t>
        </is>
      </c>
      <c r="G81" s="6" t="n">
        <v>1622.809</v>
      </c>
      <c r="H81" s="6" t="n">
        <v>1622.041</v>
      </c>
      <c r="I81" s="6">
        <f>H81-G81</f>
        <v/>
      </c>
    </row>
    <row r="82">
      <c r="A82" s="9" t="n">
        <v>74</v>
      </c>
      <c r="B82" s="9" t="inlineStr">
        <is>
          <t>AI_M6B2-2</t>
        </is>
      </c>
      <c r="C82" s="9" t="inlineStr">
        <is>
          <t>M6B2-2</t>
        </is>
      </c>
      <c r="D82" s="9" t="inlineStr">
        <is>
          <t>C1077-Q9566</t>
        </is>
      </c>
      <c r="E82" s="9" t="inlineStr">
        <is>
          <t>Morropón</t>
        </is>
      </c>
      <c r="F82" s="9" t="inlineStr">
        <is>
          <t>Buenos Aires</t>
        </is>
      </c>
      <c r="G82" s="10" t="n">
        <v>617.1</v>
      </c>
      <c r="H82" s="10" t="n">
        <v>616.807</v>
      </c>
      <c r="I82" s="10">
        <f>H82-G82</f>
        <v/>
      </c>
    </row>
    <row r="83">
      <c r="A83" s="5" t="n">
        <v>75</v>
      </c>
      <c r="B83" s="5" t="inlineStr">
        <is>
          <t>AI_M6B2-3</t>
        </is>
      </c>
      <c r="C83" s="5" t="inlineStr">
        <is>
          <t>M6B2-3</t>
        </is>
      </c>
      <c r="D83" s="5" t="inlineStr">
        <is>
          <t>C1077-Q9566</t>
        </is>
      </c>
      <c r="E83" s="5" t="inlineStr">
        <is>
          <t>Morropón</t>
        </is>
      </c>
      <c r="F83" s="5" t="inlineStr">
        <is>
          <t>Buenos Aires</t>
        </is>
      </c>
      <c r="G83" s="6" t="n">
        <v>203.757</v>
      </c>
      <c r="H83" s="6" t="n">
        <v>203.658</v>
      </c>
      <c r="I83" s="6">
        <f>H83-G83</f>
        <v/>
      </c>
    </row>
    <row r="84">
      <c r="A84" s="9" t="n">
        <v>76</v>
      </c>
      <c r="B84" s="9" t="inlineStr">
        <is>
          <t>AI_57</t>
        </is>
      </c>
      <c r="C84" s="9" t="inlineStr">
        <is>
          <t>57</t>
        </is>
      </c>
      <c r="D84" s="9" t="inlineStr">
        <is>
          <t>C1086-Q9576</t>
        </is>
      </c>
      <c r="E84" s="9" t="inlineStr">
        <is>
          <t>Morropón</t>
        </is>
      </c>
      <c r="F84" s="9" t="inlineStr">
        <is>
          <t>Chalaco</t>
        </is>
      </c>
      <c r="G84" s="10" t="n">
        <v>52.29</v>
      </c>
      <c r="H84" s="10" t="n">
        <v>52.271</v>
      </c>
      <c r="I84" s="10">
        <f>H84-G84</f>
        <v/>
      </c>
    </row>
    <row r="85">
      <c r="A85" s="5" t="n">
        <v>77</v>
      </c>
      <c r="B85" s="5" t="inlineStr">
        <is>
          <t>AI_59</t>
        </is>
      </c>
      <c r="C85" s="5" t="inlineStr">
        <is>
          <t>59</t>
        </is>
      </c>
      <c r="D85" s="5" t="inlineStr">
        <is>
          <t>C1086-Q9570</t>
        </is>
      </c>
      <c r="E85" s="5" t="inlineStr">
        <is>
          <t>Morropón</t>
        </is>
      </c>
      <c r="F85" s="5" t="inlineStr">
        <is>
          <t>Chalaco</t>
        </is>
      </c>
      <c r="G85" s="6" t="n">
        <v>12.751</v>
      </c>
      <c r="H85" s="6" t="n">
        <v>12.746</v>
      </c>
      <c r="I85" s="6">
        <f>H85-G85</f>
        <v/>
      </c>
    </row>
    <row r="86">
      <c r="A86" s="9" t="n">
        <v>78</v>
      </c>
      <c r="B86" s="9" t="inlineStr">
        <is>
          <t>AI_2</t>
        </is>
      </c>
      <c r="C86" s="9" t="inlineStr">
        <is>
          <t>2</t>
        </is>
      </c>
      <c r="D86" s="9" t="inlineStr">
        <is>
          <t>C1096-Q9558</t>
        </is>
      </c>
      <c r="E86" s="9" t="inlineStr">
        <is>
          <t>Morropón</t>
        </is>
      </c>
      <c r="F86" s="9" t="inlineStr">
        <is>
          <t>Chulucanas</t>
        </is>
      </c>
      <c r="G86" s="10" t="n">
        <v>85.634</v>
      </c>
      <c r="H86" s="10" t="n">
        <v>85.589</v>
      </c>
      <c r="I86" s="10">
        <f>H86-G86</f>
        <v/>
      </c>
    </row>
    <row r="87">
      <c r="A87" s="5" t="n">
        <v>79</v>
      </c>
      <c r="B87" s="5" t="inlineStr">
        <is>
          <t>AI_22</t>
        </is>
      </c>
      <c r="C87" s="5" t="inlineStr">
        <is>
          <t>22</t>
        </is>
      </c>
      <c r="D87" s="5" t="inlineStr">
        <is>
          <t>C1096-Q9556</t>
        </is>
      </c>
      <c r="E87" s="5" t="inlineStr">
        <is>
          <t>Morropón</t>
        </is>
      </c>
      <c r="F87" s="5" t="inlineStr">
        <is>
          <t>Chulucanas</t>
        </is>
      </c>
      <c r="G87" s="6" t="n">
        <v>36.638</v>
      </c>
      <c r="H87" s="6" t="n">
        <v>36.617</v>
      </c>
      <c r="I87" s="6">
        <f>H87-G87</f>
        <v/>
      </c>
    </row>
    <row r="88">
      <c r="A88" s="9" t="n">
        <v>80</v>
      </c>
      <c r="B88" s="9" t="inlineStr">
        <is>
          <t>AI_M10B4</t>
        </is>
      </c>
      <c r="C88" s="9" t="inlineStr">
        <is>
          <t>M10B4</t>
        </is>
      </c>
      <c r="D88" s="9" t="inlineStr">
        <is>
          <t>C1096-Q9547</t>
        </is>
      </c>
      <c r="E88" s="9" t="inlineStr">
        <is>
          <t>Morropón</t>
        </is>
      </c>
      <c r="F88" s="9" t="inlineStr">
        <is>
          <t>Chulucanas</t>
        </is>
      </c>
      <c r="G88" s="10" t="n">
        <v>187.811</v>
      </c>
      <c r="H88" s="10" t="n">
        <v>187.704</v>
      </c>
      <c r="I88" s="10">
        <f>H88-G88</f>
        <v/>
      </c>
    </row>
    <row r="89">
      <c r="A89" s="5" t="n">
        <v>81</v>
      </c>
      <c r="B89" s="5" t="inlineStr">
        <is>
          <t>AI_M17B1</t>
        </is>
      </c>
      <c r="C89" s="5" t="inlineStr">
        <is>
          <t>M17B1</t>
        </is>
      </c>
      <c r="D89" s="5" t="inlineStr">
        <is>
          <t>C1096-Q9556</t>
        </is>
      </c>
      <c r="E89" s="5" t="inlineStr">
        <is>
          <t>Morropón</t>
        </is>
      </c>
      <c r="F89" s="5" t="inlineStr">
        <is>
          <t>Chulucanas</t>
        </is>
      </c>
      <c r="G89" s="6" t="n">
        <v>123.69</v>
      </c>
      <c r="H89" s="6" t="n">
        <v>123.621</v>
      </c>
      <c r="I89" s="6">
        <f>H89-G89</f>
        <v/>
      </c>
    </row>
    <row r="90">
      <c r="A90" s="9" t="n">
        <v>82</v>
      </c>
      <c r="B90" s="9" t="inlineStr">
        <is>
          <t>AI_M17B4</t>
        </is>
      </c>
      <c r="C90" s="9" t="inlineStr">
        <is>
          <t>M17B4</t>
        </is>
      </c>
      <c r="D90" s="9" t="inlineStr">
        <is>
          <t>C1096-Q9556</t>
        </is>
      </c>
      <c r="E90" s="9" t="inlineStr">
        <is>
          <t>Morropón</t>
        </is>
      </c>
      <c r="F90" s="9" t="inlineStr">
        <is>
          <t>Chulucanas</t>
        </is>
      </c>
      <c r="G90" s="10" t="n">
        <v>74.21299999999999</v>
      </c>
      <c r="H90" s="10" t="n">
        <v>74.17400000000001</v>
      </c>
      <c r="I90" s="10">
        <f>H90-G90</f>
        <v/>
      </c>
    </row>
    <row r="91">
      <c r="A91" s="5" t="n">
        <v>83</v>
      </c>
      <c r="B91" s="5" t="inlineStr">
        <is>
          <t>AI_M27B1</t>
        </is>
      </c>
      <c r="C91" s="5" t="inlineStr">
        <is>
          <t>M27B1</t>
        </is>
      </c>
      <c r="D91" s="5" t="inlineStr">
        <is>
          <t>C1096-Q9557</t>
        </is>
      </c>
      <c r="E91" s="5" t="inlineStr">
        <is>
          <t>Morropón</t>
        </is>
      </c>
      <c r="F91" s="5" t="inlineStr">
        <is>
          <t>Chulucanas</t>
        </is>
      </c>
      <c r="G91" s="6" t="n">
        <v>2148.079</v>
      </c>
      <c r="H91" s="6" t="n">
        <v>2146.821</v>
      </c>
      <c r="I91" s="6">
        <f>H91-G91</f>
        <v/>
      </c>
    </row>
    <row r="92">
      <c r="A92" s="9" t="n">
        <v>84</v>
      </c>
      <c r="B92" s="9" t="inlineStr">
        <is>
          <t>AI_M9B1</t>
        </is>
      </c>
      <c r="C92" s="9" t="inlineStr">
        <is>
          <t>M9B1</t>
        </is>
      </c>
      <c r="D92" s="9" t="inlineStr">
        <is>
          <t>C1096-Q9545</t>
        </is>
      </c>
      <c r="E92" s="9" t="inlineStr">
        <is>
          <t>Morropón</t>
        </is>
      </c>
      <c r="F92" s="9" t="inlineStr">
        <is>
          <t>Chulucanas</t>
        </is>
      </c>
      <c r="G92" s="10" t="n">
        <v>1296.407</v>
      </c>
      <c r="H92" s="10" t="n">
        <v>1295.651</v>
      </c>
      <c r="I92" s="10">
        <f>H92-G92</f>
        <v/>
      </c>
    </row>
    <row r="93">
      <c r="A93" s="5" t="n">
        <v>85</v>
      </c>
      <c r="B93" s="5" t="inlineStr">
        <is>
          <t>AI_M19B2</t>
        </is>
      </c>
      <c r="C93" s="5" t="inlineStr">
        <is>
          <t>M19B2</t>
        </is>
      </c>
      <c r="D93" s="5" t="inlineStr">
        <is>
          <t>C1086-Q9570</t>
        </is>
      </c>
      <c r="E93" s="5" t="inlineStr">
        <is>
          <t>Morropón</t>
        </is>
      </c>
      <c r="F93" s="5" t="inlineStr">
        <is>
          <t>Morropón</t>
        </is>
      </c>
      <c r="G93" s="6" t="n">
        <v>137.207</v>
      </c>
      <c r="H93" s="6" t="n">
        <v>137.143</v>
      </c>
      <c r="I93" s="6">
        <f>H93-G93</f>
        <v/>
      </c>
    </row>
    <row r="94">
      <c r="A94" s="9" t="n">
        <v>86</v>
      </c>
      <c r="B94" s="9" t="inlineStr">
        <is>
          <t>AI_M32B3</t>
        </is>
      </c>
      <c r="C94" s="9" t="inlineStr">
        <is>
          <t>M32B3</t>
        </is>
      </c>
      <c r="D94" s="9" t="inlineStr">
        <is>
          <t>C1086-Q9569</t>
        </is>
      </c>
      <c r="E94" s="9" t="inlineStr">
        <is>
          <t>Morropón</t>
        </is>
      </c>
      <c r="F94" s="9" t="inlineStr">
        <is>
          <t>Morropón</t>
        </is>
      </c>
      <c r="G94" s="10" t="n">
        <v>126.625</v>
      </c>
      <c r="H94" s="10" t="n">
        <v>126.567</v>
      </c>
      <c r="I94" s="10">
        <f>H94-G94</f>
        <v/>
      </c>
    </row>
    <row r="95">
      <c r="A95" s="5" t="n">
        <v>87</v>
      </c>
      <c r="B95" s="5" t="inlineStr">
        <is>
          <t>AI_M18B3</t>
        </is>
      </c>
      <c r="C95" s="5" t="inlineStr">
        <is>
          <t>M18B3</t>
        </is>
      </c>
      <c r="D95" s="5" t="inlineStr">
        <is>
          <t>C1077-Q9579</t>
        </is>
      </c>
      <c r="E95" s="5" t="inlineStr">
        <is>
          <t>Morropón</t>
        </is>
      </c>
      <c r="F95" s="5" t="inlineStr">
        <is>
          <t>Salitral</t>
        </is>
      </c>
      <c r="G95" s="6" t="n">
        <v>222.926</v>
      </c>
      <c r="H95" s="6" t="n">
        <v>222.835</v>
      </c>
      <c r="I95" s="6">
        <f>H95-G95</f>
        <v/>
      </c>
    </row>
    <row r="96">
      <c r="A96" s="9" t="n">
        <v>88</v>
      </c>
      <c r="B96" s="9" t="inlineStr">
        <is>
          <t>AI_M2B1</t>
        </is>
      </c>
      <c r="C96" s="9" t="inlineStr">
        <is>
          <t>M2B1</t>
        </is>
      </c>
      <c r="D96" s="9" t="inlineStr">
        <is>
          <t>C1076-Q9584</t>
        </is>
      </c>
      <c r="E96" s="9" t="inlineStr">
        <is>
          <t>Morropón</t>
        </is>
      </c>
      <c r="F96" s="9" t="inlineStr">
        <is>
          <t>Salitral</t>
        </is>
      </c>
      <c r="G96" s="10" t="n">
        <v>115.569</v>
      </c>
      <c r="H96" s="10" t="n">
        <v>115.53</v>
      </c>
      <c r="I96" s="10">
        <f>H96-G96</f>
        <v/>
      </c>
    </row>
    <row r="97">
      <c r="A97" s="5" t="n">
        <v>89</v>
      </c>
      <c r="B97" s="5" t="inlineStr">
        <is>
          <t>AI_M2B5</t>
        </is>
      </c>
      <c r="C97" s="5" t="inlineStr">
        <is>
          <t>M2B5</t>
        </is>
      </c>
      <c r="D97" s="5" t="inlineStr">
        <is>
          <t>C1076-Q9584</t>
        </is>
      </c>
      <c r="E97" s="5" t="inlineStr">
        <is>
          <t>Morropón</t>
        </is>
      </c>
      <c r="F97" s="5" t="inlineStr">
        <is>
          <t>Salitral</t>
        </is>
      </c>
      <c r="G97" s="6" t="n">
        <v>56.151</v>
      </c>
      <c r="H97" s="6" t="n">
        <v>56.133</v>
      </c>
      <c r="I97" s="6">
        <f>H97-G97</f>
        <v/>
      </c>
    </row>
    <row r="98">
      <c r="A98" s="9" t="n">
        <v>90</v>
      </c>
      <c r="B98" s="9" t="inlineStr">
        <is>
          <t>AI_M3B1</t>
        </is>
      </c>
      <c r="C98" s="9" t="inlineStr">
        <is>
          <t>M3B1</t>
        </is>
      </c>
      <c r="D98" s="9" t="inlineStr">
        <is>
          <t>C1081-Q9582</t>
        </is>
      </c>
      <c r="E98" s="9" t="inlineStr">
        <is>
          <t>Morropón</t>
        </is>
      </c>
      <c r="F98" s="9" t="inlineStr">
        <is>
          <t>Salitral</t>
        </is>
      </c>
      <c r="G98" s="10" t="n">
        <v>116.903</v>
      </c>
      <c r="H98" s="10" t="n">
        <v>116.858</v>
      </c>
      <c r="I98" s="10">
        <f>H98-G98</f>
        <v/>
      </c>
    </row>
    <row r="99">
      <c r="A99" s="5" t="n">
        <v>91</v>
      </c>
      <c r="B99" s="5" t="inlineStr">
        <is>
          <t>AI_M3B9</t>
        </is>
      </c>
      <c r="C99" s="5" t="inlineStr">
        <is>
          <t>M3B9</t>
        </is>
      </c>
      <c r="D99" s="5" t="inlineStr">
        <is>
          <t>C1081-Q9582</t>
        </is>
      </c>
      <c r="E99" s="5" t="inlineStr">
        <is>
          <t>Morropón</t>
        </is>
      </c>
      <c r="F99" s="5" t="inlineStr">
        <is>
          <t>Salitral</t>
        </is>
      </c>
      <c r="G99" s="6" t="n">
        <v>264.986</v>
      </c>
      <c r="H99" s="6" t="n">
        <v>264.884</v>
      </c>
      <c r="I99" s="6">
        <f>H99-G99</f>
        <v/>
      </c>
    </row>
    <row r="100">
      <c r="A100" s="9" t="n">
        <v>92</v>
      </c>
      <c r="B100" s="9" t="inlineStr">
        <is>
          <t>AI_M7B1</t>
        </is>
      </c>
      <c r="C100" s="9" t="inlineStr">
        <is>
          <t>M7B1</t>
        </is>
      </c>
      <c r="D100" s="9" t="inlineStr">
        <is>
          <t>C1076-Q9581</t>
        </is>
      </c>
      <c r="E100" s="9" t="inlineStr">
        <is>
          <t>Morropón</t>
        </is>
      </c>
      <c r="F100" s="9" t="inlineStr">
        <is>
          <t>Salitral</t>
        </is>
      </c>
      <c r="G100" s="10" t="n">
        <v>646.7380000000001</v>
      </c>
      <c r="H100" s="10" t="n">
        <v>646.491</v>
      </c>
      <c r="I100" s="10">
        <f>H100-G100</f>
        <v/>
      </c>
    </row>
    <row r="101">
      <c r="A101" s="5" t="n">
        <v>93</v>
      </c>
      <c r="B101" s="5" t="inlineStr">
        <is>
          <t>AI_M7B2</t>
        </is>
      </c>
      <c r="C101" s="5" t="inlineStr">
        <is>
          <t>M7B2</t>
        </is>
      </c>
      <c r="D101" s="5" t="inlineStr">
        <is>
          <t>C1076-Q9581</t>
        </is>
      </c>
      <c r="E101" s="5" t="inlineStr">
        <is>
          <t>Morropón</t>
        </is>
      </c>
      <c r="F101" s="5" t="inlineStr">
        <is>
          <t>Salitral</t>
        </is>
      </c>
      <c r="G101" s="6" t="n">
        <v>334.198</v>
      </c>
      <c r="H101" s="6" t="n">
        <v>334.075</v>
      </c>
      <c r="I101" s="6">
        <f>H101-G101</f>
        <v/>
      </c>
    </row>
    <row r="102">
      <c r="A102" s="9" t="n">
        <v>94</v>
      </c>
      <c r="B102" s="9" t="inlineStr">
        <is>
          <t>AI_M7B3</t>
        </is>
      </c>
      <c r="C102" s="9" t="inlineStr">
        <is>
          <t>M7B3</t>
        </is>
      </c>
      <c r="D102" s="9" t="inlineStr">
        <is>
          <t>C1076-Q9581</t>
        </is>
      </c>
      <c r="E102" s="9" t="inlineStr">
        <is>
          <t>Morropón</t>
        </is>
      </c>
      <c r="F102" s="9" t="inlineStr">
        <is>
          <t>Salitral</t>
        </is>
      </c>
      <c r="G102" s="10" t="n">
        <v>154.345</v>
      </c>
      <c r="H102" s="10" t="n">
        <v>154.29</v>
      </c>
      <c r="I102" s="10">
        <f>H102-G102</f>
        <v/>
      </c>
    </row>
    <row r="103">
      <c r="A103" s="5" t="n">
        <v>95</v>
      </c>
      <c r="B103" s="5" t="inlineStr">
        <is>
          <t>AI_M7B6</t>
        </is>
      </c>
      <c r="C103" s="5" t="inlineStr">
        <is>
          <t>M7B6</t>
        </is>
      </c>
      <c r="D103" s="5" t="inlineStr">
        <is>
          <t>C1076-Q9581</t>
        </is>
      </c>
      <c r="E103" s="5" t="inlineStr">
        <is>
          <t>Morropón</t>
        </is>
      </c>
      <c r="F103" s="5" t="inlineStr">
        <is>
          <t>Salitral</t>
        </is>
      </c>
      <c r="G103" s="6" t="n">
        <v>266.293</v>
      </c>
      <c r="H103" s="6" t="n">
        <v>266.201</v>
      </c>
      <c r="I103" s="6">
        <f>H103-G103</f>
        <v/>
      </c>
    </row>
    <row r="104">
      <c r="A104" s="9" t="n">
        <v>96</v>
      </c>
      <c r="B104" s="9" t="inlineStr">
        <is>
          <t>AI_77</t>
        </is>
      </c>
      <c r="C104" s="9" t="inlineStr">
        <is>
          <t>77</t>
        </is>
      </c>
      <c r="D104" s="9" t="inlineStr">
        <is>
          <t>C1081-Q9583</t>
        </is>
      </c>
      <c r="E104" s="9" t="inlineStr">
        <is>
          <t>Morropón</t>
        </is>
      </c>
      <c r="F104" s="9" t="inlineStr">
        <is>
          <t>San Juan de Bigote</t>
        </is>
      </c>
      <c r="G104" s="10" t="n">
        <v>26.786</v>
      </c>
      <c r="H104" s="10" t="n">
        <v>26.777</v>
      </c>
      <c r="I104" s="10">
        <f>H104-G104</f>
        <v/>
      </c>
    </row>
    <row r="105">
      <c r="A105" s="5" t="n">
        <v>97</v>
      </c>
      <c r="B105" s="5" t="inlineStr">
        <is>
          <t>AI_83</t>
        </is>
      </c>
      <c r="C105" s="5" t="inlineStr">
        <is>
          <t>83</t>
        </is>
      </c>
      <c r="D105" s="5" t="inlineStr">
        <is>
          <t>C1081-Q9583</t>
        </is>
      </c>
      <c r="E105" s="5" t="inlineStr">
        <is>
          <t>Morropón</t>
        </is>
      </c>
      <c r="F105" s="5" t="inlineStr">
        <is>
          <t>San Juan de Bigote</t>
        </is>
      </c>
      <c r="G105" s="6" t="n">
        <v>47.49</v>
      </c>
      <c r="H105" s="6" t="n">
        <v>47.475</v>
      </c>
      <c r="I105" s="6">
        <f>H105-G105</f>
        <v/>
      </c>
    </row>
    <row r="106">
      <c r="A106" s="9" t="n">
        <v>98</v>
      </c>
      <c r="B106" s="9" t="inlineStr">
        <is>
          <t>AI_84</t>
        </is>
      </c>
      <c r="C106" s="9" t="inlineStr">
        <is>
          <t>84</t>
        </is>
      </c>
      <c r="D106" s="9" t="inlineStr">
        <is>
          <t>C1081-Q9583</t>
        </is>
      </c>
      <c r="E106" s="9" t="inlineStr">
        <is>
          <t>Morropón</t>
        </is>
      </c>
      <c r="F106" s="9" t="inlineStr">
        <is>
          <t>San Juan de Bigote</t>
        </is>
      </c>
      <c r="G106" s="10" t="n">
        <v>16.677</v>
      </c>
      <c r="H106" s="10" t="n">
        <v>16.672</v>
      </c>
      <c r="I106" s="10">
        <f>H106-G106</f>
        <v/>
      </c>
    </row>
    <row r="107">
      <c r="A107" s="5" t="n">
        <v>99</v>
      </c>
      <c r="B107" s="5" t="inlineStr">
        <is>
          <t>AI_85</t>
        </is>
      </c>
      <c r="C107" s="5" t="inlineStr">
        <is>
          <t>85</t>
        </is>
      </c>
      <c r="D107" s="5" t="inlineStr">
        <is>
          <t>C1081-Q9583</t>
        </is>
      </c>
      <c r="E107" s="5" t="inlineStr">
        <is>
          <t>Morropón</t>
        </is>
      </c>
      <c r="F107" s="5" t="inlineStr">
        <is>
          <t>San Juan de Bigote</t>
        </is>
      </c>
      <c r="G107" s="6" t="n">
        <v>96.34099999999999</v>
      </c>
      <c r="H107" s="6" t="n">
        <v>96.312</v>
      </c>
      <c r="I107" s="6">
        <f>H107-G107</f>
        <v/>
      </c>
    </row>
    <row r="108">
      <c r="A108" s="9" t="n">
        <v>100</v>
      </c>
      <c r="B108" s="9" t="inlineStr">
        <is>
          <t>AI_86</t>
        </is>
      </c>
      <c r="C108" s="9" t="inlineStr">
        <is>
          <t>86</t>
        </is>
      </c>
      <c r="D108" s="9" t="inlineStr">
        <is>
          <t>C1081-Q9583</t>
        </is>
      </c>
      <c r="E108" s="9" t="inlineStr">
        <is>
          <t>Morropón</t>
        </is>
      </c>
      <c r="F108" s="9" t="inlineStr">
        <is>
          <t>San Juan de Bigote</t>
        </is>
      </c>
      <c r="G108" s="10" t="n">
        <v>167.512</v>
      </c>
      <c r="H108" s="10" t="n">
        <v>167.461</v>
      </c>
      <c r="I108" s="10">
        <f>H108-G108</f>
        <v/>
      </c>
    </row>
    <row r="109">
      <c r="A109" s="5" t="n">
        <v>101</v>
      </c>
      <c r="B109" s="5" t="inlineStr">
        <is>
          <t>AI_87</t>
        </is>
      </c>
      <c r="C109" s="5" t="inlineStr">
        <is>
          <t>87</t>
        </is>
      </c>
      <c r="D109" s="5" t="inlineStr">
        <is>
          <t>C1081-Q9583</t>
        </is>
      </c>
      <c r="E109" s="5" t="inlineStr">
        <is>
          <t>Morropón</t>
        </is>
      </c>
      <c r="F109" s="5" t="inlineStr">
        <is>
          <t>San Juan de Bigote</t>
        </is>
      </c>
      <c r="G109" s="6" t="n">
        <v>44.687</v>
      </c>
      <c r="H109" s="6" t="n">
        <v>44.673</v>
      </c>
      <c r="I109" s="6">
        <f>H109-G109</f>
        <v/>
      </c>
    </row>
    <row r="110">
      <c r="A110" s="9" t="n">
        <v>102</v>
      </c>
      <c r="B110" s="9" t="inlineStr">
        <is>
          <t>AI_M11B3</t>
        </is>
      </c>
      <c r="C110" s="9" t="inlineStr">
        <is>
          <t>M11B3</t>
        </is>
      </c>
      <c r="D110" s="9" t="inlineStr">
        <is>
          <t>C1081-Q9583</t>
        </is>
      </c>
      <c r="E110" s="9" t="inlineStr">
        <is>
          <t>Morropón</t>
        </is>
      </c>
      <c r="F110" s="9" t="inlineStr">
        <is>
          <t>San Juan de Bigote</t>
        </is>
      </c>
      <c r="G110" s="10" t="n">
        <v>244.691</v>
      </c>
      <c r="H110" s="10" t="n">
        <v>244.618</v>
      </c>
      <c r="I110" s="10">
        <f>H110-G110</f>
        <v/>
      </c>
    </row>
    <row r="111">
      <c r="A111" s="5" t="n">
        <v>103</v>
      </c>
      <c r="B111" s="5" t="inlineStr">
        <is>
          <t>AI_M3B3</t>
        </is>
      </c>
      <c r="C111" s="5" t="inlineStr">
        <is>
          <t>M3B3</t>
        </is>
      </c>
      <c r="D111" s="5" t="inlineStr">
        <is>
          <t>C1081-Q9582</t>
        </is>
      </c>
      <c r="E111" s="5" t="inlineStr">
        <is>
          <t>Morropón</t>
        </is>
      </c>
      <c r="F111" s="5" t="inlineStr">
        <is>
          <t>San Juan de Bigote</t>
        </is>
      </c>
      <c r="G111" s="6" t="n">
        <v>243.091</v>
      </c>
      <c r="H111" s="6" t="n">
        <v>243.004</v>
      </c>
      <c r="I111" s="6">
        <f>H111-G111</f>
        <v/>
      </c>
    </row>
    <row r="112">
      <c r="A112" s="9" t="n">
        <v>104</v>
      </c>
      <c r="B112" s="9" t="inlineStr">
        <is>
          <t>AI_M3B5</t>
        </is>
      </c>
      <c r="C112" s="9" t="inlineStr">
        <is>
          <t>M3B5</t>
        </is>
      </c>
      <c r="D112" s="9" t="inlineStr">
        <is>
          <t>C1081-Q9582</t>
        </is>
      </c>
      <c r="E112" s="9" t="inlineStr">
        <is>
          <t>Morropón</t>
        </is>
      </c>
      <c r="F112" s="9" t="inlineStr">
        <is>
          <t>San Juan de Bigote</t>
        </is>
      </c>
      <c r="G112" s="10" t="n">
        <v>177.89</v>
      </c>
      <c r="H112" s="10" t="n">
        <v>177.829</v>
      </c>
      <c r="I112" s="10">
        <f>H112-G112</f>
        <v/>
      </c>
    </row>
    <row r="113">
      <c r="A113" s="5" t="n">
        <v>105</v>
      </c>
      <c r="B113" s="5" t="inlineStr">
        <is>
          <t>AI_M3B6</t>
        </is>
      </c>
      <c r="C113" s="5" t="inlineStr">
        <is>
          <t>M3B6</t>
        </is>
      </c>
      <c r="D113" s="5" t="inlineStr">
        <is>
          <t>C1081-Q9582</t>
        </is>
      </c>
      <c r="E113" s="5" t="inlineStr">
        <is>
          <t>Morropón</t>
        </is>
      </c>
      <c r="F113" s="5" t="inlineStr">
        <is>
          <t>San Juan de Bigote</t>
        </is>
      </c>
      <c r="G113" s="6" t="n">
        <v>107.449</v>
      </c>
      <c r="H113" s="6" t="n">
        <v>107.414</v>
      </c>
      <c r="I113" s="6">
        <f>H113-G113</f>
        <v/>
      </c>
    </row>
    <row r="114">
      <c r="A114" s="9" t="n">
        <v>106</v>
      </c>
      <c r="B114" s="9" t="inlineStr">
        <is>
          <t>AI_M3B7</t>
        </is>
      </c>
      <c r="C114" s="9" t="inlineStr">
        <is>
          <t>M3B7</t>
        </is>
      </c>
      <c r="D114" s="9" t="inlineStr">
        <is>
          <t>C1081-Q9582</t>
        </is>
      </c>
      <c r="E114" s="9" t="inlineStr">
        <is>
          <t>Morropón</t>
        </is>
      </c>
      <c r="F114" s="9" t="inlineStr">
        <is>
          <t>San Juan de Bigote</t>
        </is>
      </c>
      <c r="G114" s="10" t="n">
        <v>362.584</v>
      </c>
      <c r="H114" s="10" t="n">
        <v>362.466</v>
      </c>
      <c r="I114" s="10">
        <f>H114-G114</f>
        <v/>
      </c>
    </row>
    <row r="115">
      <c r="A115" s="5" t="n">
        <v>107</v>
      </c>
      <c r="B115" s="5" t="inlineStr">
        <is>
          <t>AI_M3B8</t>
        </is>
      </c>
      <c r="C115" s="5" t="inlineStr">
        <is>
          <t>M3B8</t>
        </is>
      </c>
      <c r="D115" s="5" t="inlineStr">
        <is>
          <t>C1081-Q9582</t>
        </is>
      </c>
      <c r="E115" s="5" t="inlineStr">
        <is>
          <t>Morropón</t>
        </is>
      </c>
      <c r="F115" s="5" t="inlineStr">
        <is>
          <t>San Juan de Bigote</t>
        </is>
      </c>
      <c r="G115" s="6" t="n">
        <v>475.448</v>
      </c>
      <c r="H115" s="6" t="n">
        <v>475.275</v>
      </c>
      <c r="I115" s="6">
        <f>H115-G115</f>
        <v/>
      </c>
    </row>
    <row r="116">
      <c r="A116" s="9" t="n">
        <v>108</v>
      </c>
      <c r="B116" s="9" t="inlineStr">
        <is>
          <t>AI_14</t>
        </is>
      </c>
      <c r="C116" s="9" t="inlineStr">
        <is>
          <t>14</t>
        </is>
      </c>
      <c r="D116" s="9" t="inlineStr">
        <is>
          <t>C1086-Q9570</t>
        </is>
      </c>
      <c r="E116" s="9" t="inlineStr">
        <is>
          <t>Morropón</t>
        </is>
      </c>
      <c r="F116" s="9" t="inlineStr">
        <is>
          <t>Santa Catalina de Mossa</t>
        </is>
      </c>
      <c r="G116" s="10" t="n">
        <v>91.517</v>
      </c>
      <c r="H116" s="10" t="n">
        <v>91.479</v>
      </c>
      <c r="I116" s="10">
        <f>H116-G116</f>
        <v/>
      </c>
    </row>
    <row r="117">
      <c r="A117" s="5" t="n">
        <v>109</v>
      </c>
      <c r="B117" s="5" t="inlineStr">
        <is>
          <t>AI_42</t>
        </is>
      </c>
      <c r="C117" s="5" t="inlineStr">
        <is>
          <t>42</t>
        </is>
      </c>
      <c r="D117" s="5" t="inlineStr">
        <is>
          <t>C1086-Q9570</t>
        </is>
      </c>
      <c r="E117" s="5" t="inlineStr">
        <is>
          <t>Morropón</t>
        </is>
      </c>
      <c r="F117" s="5" t="inlineStr">
        <is>
          <t>Santa Catalina de Mossa</t>
        </is>
      </c>
      <c r="G117" s="6" t="n">
        <v>59.604</v>
      </c>
      <c r="H117" s="6" t="n">
        <v>59.58</v>
      </c>
      <c r="I117" s="6">
        <f>H117-G117</f>
        <v/>
      </c>
    </row>
    <row r="118">
      <c r="A118" s="9" t="n">
        <v>110</v>
      </c>
      <c r="B118" s="9" t="inlineStr">
        <is>
          <t>AI_58</t>
        </is>
      </c>
      <c r="C118" s="9" t="inlineStr">
        <is>
          <t>58</t>
        </is>
      </c>
      <c r="D118" s="9" t="inlineStr">
        <is>
          <t>C1086-Q9569</t>
        </is>
      </c>
      <c r="E118" s="9" t="inlineStr">
        <is>
          <t>Morropón</t>
        </is>
      </c>
      <c r="F118" s="9" t="inlineStr">
        <is>
          <t>Santa Catalina de Mossa</t>
        </is>
      </c>
      <c r="G118" s="10" t="n">
        <v>38.355</v>
      </c>
      <c r="H118" s="10" t="n">
        <v>38.338</v>
      </c>
      <c r="I118" s="10">
        <f>H118-G118</f>
        <v/>
      </c>
    </row>
    <row r="119">
      <c r="A119" s="5" t="n">
        <v>111</v>
      </c>
      <c r="B119" s="5" t="inlineStr">
        <is>
          <t>AI_M36B2</t>
        </is>
      </c>
      <c r="C119" s="5" t="inlineStr">
        <is>
          <t>M36B2</t>
        </is>
      </c>
      <c r="D119" s="5" t="inlineStr">
        <is>
          <t>C1086-Q9576</t>
        </is>
      </c>
      <c r="E119" s="5" t="inlineStr">
        <is>
          <t>Morropón</t>
        </is>
      </c>
      <c r="F119" s="5" t="inlineStr">
        <is>
          <t>Santa Catalina de Mossa</t>
        </is>
      </c>
      <c r="G119" s="6" t="n">
        <v>43.336</v>
      </c>
      <c r="H119" s="6" t="n">
        <v>43.318</v>
      </c>
      <c r="I119" s="6">
        <f>H119-G119</f>
        <v/>
      </c>
    </row>
    <row r="120">
      <c r="A120" s="9" t="n">
        <v>112</v>
      </c>
      <c r="B120" s="9" t="inlineStr">
        <is>
          <t>AI_11</t>
        </is>
      </c>
      <c r="C120" s="9" t="inlineStr">
        <is>
          <t>11</t>
        </is>
      </c>
      <c r="D120" s="9" t="inlineStr">
        <is>
          <t>C1086-Q9570</t>
        </is>
      </c>
      <c r="E120" s="9" t="inlineStr">
        <is>
          <t>Morropón</t>
        </is>
      </c>
      <c r="F120" s="9" t="inlineStr">
        <is>
          <t>Santo Domingo</t>
        </is>
      </c>
      <c r="G120" s="10" t="n">
        <v>56.295</v>
      </c>
      <c r="H120" s="10" t="n">
        <v>56.271</v>
      </c>
      <c r="I120" s="10">
        <f>H120-G120</f>
        <v/>
      </c>
    </row>
    <row r="121">
      <c r="A121" s="5" t="n">
        <v>113</v>
      </c>
      <c r="B121" s="5" t="inlineStr">
        <is>
          <t>AI_12</t>
        </is>
      </c>
      <c r="C121" s="5" t="inlineStr">
        <is>
          <t>12</t>
        </is>
      </c>
      <c r="D121" s="5" t="inlineStr">
        <is>
          <t>C1086-Q9570</t>
        </is>
      </c>
      <c r="E121" s="5" t="inlineStr">
        <is>
          <t>Morropón</t>
        </is>
      </c>
      <c r="F121" s="5" t="inlineStr">
        <is>
          <t>Santo Domingo</t>
        </is>
      </c>
      <c r="G121" s="6" t="n">
        <v>125.895</v>
      </c>
      <c r="H121" s="6" t="n">
        <v>125.843</v>
      </c>
      <c r="I121" s="6">
        <f>H121-G121</f>
        <v/>
      </c>
    </row>
    <row r="122">
      <c r="A122" s="9" t="n">
        <v>114</v>
      </c>
      <c r="B122" s="9" t="inlineStr">
        <is>
          <t>AI_13</t>
        </is>
      </c>
      <c r="C122" s="9" t="inlineStr">
        <is>
          <t>13</t>
        </is>
      </c>
      <c r="D122" s="9" t="inlineStr">
        <is>
          <t>C1096-Q9564</t>
        </is>
      </c>
      <c r="E122" s="9" t="inlineStr">
        <is>
          <t>Morropón</t>
        </is>
      </c>
      <c r="F122" s="9" t="inlineStr">
        <is>
          <t>Santo Domingo</t>
        </is>
      </c>
      <c r="G122" s="10" t="n">
        <v>28.023</v>
      </c>
      <c r="H122" s="10" t="n">
        <v>28.01</v>
      </c>
      <c r="I122" s="10">
        <f>H122-G122</f>
        <v/>
      </c>
    </row>
    <row r="123">
      <c r="A123" s="5" t="n">
        <v>115</v>
      </c>
      <c r="B123" s="5" t="inlineStr">
        <is>
          <t>AI_15</t>
        </is>
      </c>
      <c r="C123" s="5" t="inlineStr">
        <is>
          <t>15</t>
        </is>
      </c>
      <c r="D123" s="5" t="inlineStr">
        <is>
          <t>C1086-Q9570</t>
        </is>
      </c>
      <c r="E123" s="5" t="inlineStr">
        <is>
          <t>Morropón</t>
        </is>
      </c>
      <c r="F123" s="5" t="inlineStr">
        <is>
          <t>Santo Domingo</t>
        </is>
      </c>
      <c r="G123" s="6" t="n">
        <v>50.346</v>
      </c>
      <c r="H123" s="6" t="n">
        <v>50.324</v>
      </c>
      <c r="I123" s="6">
        <f>H123-G123</f>
        <v/>
      </c>
    </row>
    <row r="124">
      <c r="A124" s="9" t="n">
        <v>116</v>
      </c>
      <c r="B124" s="9" t="inlineStr">
        <is>
          <t>AI_17</t>
        </is>
      </c>
      <c r="C124" s="9" t="inlineStr">
        <is>
          <t>17</t>
        </is>
      </c>
      <c r="D124" s="9" t="inlineStr">
        <is>
          <t>C1086-Q9570</t>
        </is>
      </c>
      <c r="E124" s="9" t="inlineStr">
        <is>
          <t>Morropón</t>
        </is>
      </c>
      <c r="F124" s="9" t="inlineStr">
        <is>
          <t>Santo Domingo</t>
        </is>
      </c>
      <c r="G124" s="10" t="n">
        <v>53.493</v>
      </c>
      <c r="H124" s="10" t="n">
        <v>53.469</v>
      </c>
      <c r="I124" s="10">
        <f>H124-G124</f>
        <v/>
      </c>
    </row>
    <row r="125">
      <c r="A125" s="5" t="n">
        <v>117</v>
      </c>
      <c r="B125" s="5" t="inlineStr">
        <is>
          <t>AI_23</t>
        </is>
      </c>
      <c r="C125" s="5" t="inlineStr">
        <is>
          <t>23</t>
        </is>
      </c>
      <c r="D125" s="5" t="inlineStr">
        <is>
          <t>C1086-Q9570</t>
        </is>
      </c>
      <c r="E125" s="5" t="inlineStr">
        <is>
          <t>Morropón</t>
        </is>
      </c>
      <c r="F125" s="5" t="inlineStr">
        <is>
          <t>Santo Domingo</t>
        </is>
      </c>
      <c r="G125" s="6" t="n">
        <v>16.554</v>
      </c>
      <c r="H125" s="6" t="n">
        <v>16.546</v>
      </c>
      <c r="I125" s="6">
        <f>H125-G125</f>
        <v/>
      </c>
    </row>
    <row r="126">
      <c r="A126" s="9" t="n">
        <v>118</v>
      </c>
      <c r="B126" s="9" t="inlineStr">
        <is>
          <t>AI_78</t>
        </is>
      </c>
      <c r="C126" s="9" t="inlineStr">
        <is>
          <t>78</t>
        </is>
      </c>
      <c r="D126" s="9" t="inlineStr">
        <is>
          <t>C1086-Q9570</t>
        </is>
      </c>
      <c r="E126" s="9" t="inlineStr">
        <is>
          <t>Morropón</t>
        </is>
      </c>
      <c r="F126" s="9" t="inlineStr">
        <is>
          <t>Santo Domingo</t>
        </is>
      </c>
      <c r="G126" s="10" t="n">
        <v>25.506</v>
      </c>
      <c r="H126" s="10" t="n">
        <v>25.495</v>
      </c>
      <c r="I126" s="10">
        <f>H126-G126</f>
        <v/>
      </c>
    </row>
    <row r="127">
      <c r="A127" s="5" t="n">
        <v>119</v>
      </c>
      <c r="B127" s="5" t="inlineStr">
        <is>
          <t>AI_82</t>
        </is>
      </c>
      <c r="C127" s="5" t="inlineStr">
        <is>
          <t>82</t>
        </is>
      </c>
      <c r="D127" s="5" t="inlineStr">
        <is>
          <t>C1086-Q9570</t>
        </is>
      </c>
      <c r="E127" s="5" t="inlineStr">
        <is>
          <t>Morropón</t>
        </is>
      </c>
      <c r="F127" s="5" t="inlineStr">
        <is>
          <t>Santo Domingo</t>
        </is>
      </c>
      <c r="G127" s="6" t="n">
        <v>20.698</v>
      </c>
      <c r="H127" s="6" t="n">
        <v>20.689</v>
      </c>
      <c r="I127" s="6">
        <f>H127-G127</f>
        <v/>
      </c>
    </row>
    <row r="128">
      <c r="A128" s="9" t="n">
        <v>120</v>
      </c>
      <c r="B128" s="9" t="inlineStr">
        <is>
          <t>AI_M19B7</t>
        </is>
      </c>
      <c r="C128" s="9" t="inlineStr">
        <is>
          <t>M19B7</t>
        </is>
      </c>
      <c r="D128" s="9" t="inlineStr">
        <is>
          <t>C1086-Q9570</t>
        </is>
      </c>
      <c r="E128" s="9" t="inlineStr">
        <is>
          <t>Morropón</t>
        </is>
      </c>
      <c r="F128" s="9" t="inlineStr">
        <is>
          <t>Santo Domingo</t>
        </is>
      </c>
      <c r="G128" s="10" t="n">
        <v>27.32</v>
      </c>
      <c r="H128" s="10" t="n">
        <v>27.308</v>
      </c>
      <c r="I128" s="10">
        <f>H128-G128</f>
        <v/>
      </c>
    </row>
    <row r="129">
      <c r="A129" s="5" t="n">
        <v>121</v>
      </c>
      <c r="B129" s="5" t="inlineStr">
        <is>
          <t>AI_M8B2</t>
        </is>
      </c>
      <c r="C129" s="5" t="inlineStr">
        <is>
          <t>M8B2</t>
        </is>
      </c>
      <c r="D129" s="5" t="inlineStr">
        <is>
          <t>C1096-Q9558</t>
        </is>
      </c>
      <c r="E129" s="5" t="inlineStr">
        <is>
          <t>Morropón</t>
        </is>
      </c>
      <c r="F129" s="5" t="inlineStr">
        <is>
          <t>Santo Domingo</t>
        </is>
      </c>
      <c r="G129" s="6" t="n">
        <v>22.654</v>
      </c>
      <c r="H129" s="6" t="n">
        <v>22.644</v>
      </c>
      <c r="I129" s="6">
        <f>H129-G129</f>
        <v/>
      </c>
    </row>
    <row r="130">
      <c r="A130" s="9" t="n">
        <v>122</v>
      </c>
      <c r="B130" s="9" t="inlineStr">
        <is>
          <t>AI_49</t>
        </is>
      </c>
      <c r="C130" s="9" t="inlineStr">
        <is>
          <t>49</t>
        </is>
      </c>
      <c r="D130" s="9" t="inlineStr">
        <is>
          <t>C1086-Q9575</t>
        </is>
      </c>
      <c r="E130" s="9" t="inlineStr">
        <is>
          <t>Morropón</t>
        </is>
      </c>
      <c r="F130" s="9" t="inlineStr">
        <is>
          <t>Yamango</t>
        </is>
      </c>
      <c r="G130" s="10" t="n">
        <v>14.677</v>
      </c>
      <c r="H130" s="10" t="n">
        <v>14.672</v>
      </c>
      <c r="I130" s="10">
        <f>H130-G130</f>
        <v/>
      </c>
    </row>
    <row r="131">
      <c r="A131" s="5" t="n">
        <v>123</v>
      </c>
      <c r="B131" s="5" t="inlineStr">
        <is>
          <t>AI_52</t>
        </is>
      </c>
      <c r="C131" s="5" t="inlineStr">
        <is>
          <t>52</t>
        </is>
      </c>
      <c r="D131" s="5" t="inlineStr">
        <is>
          <t>C1086-Q9575</t>
        </is>
      </c>
      <c r="E131" s="5" t="inlineStr">
        <is>
          <t>Morropón</t>
        </is>
      </c>
      <c r="F131" s="5" t="inlineStr">
        <is>
          <t>Yamango</t>
        </is>
      </c>
      <c r="G131" s="6" t="n">
        <v>20.069</v>
      </c>
      <c r="H131" s="6" t="n">
        <v>20.063</v>
      </c>
      <c r="I131" s="6">
        <f>H131-G131</f>
        <v/>
      </c>
    </row>
    <row r="132">
      <c r="A132" s="9" t="n">
        <v>124</v>
      </c>
      <c r="B132" s="9" t="inlineStr">
        <is>
          <t>AI_55</t>
        </is>
      </c>
      <c r="C132" s="9" t="inlineStr">
        <is>
          <t>55</t>
        </is>
      </c>
      <c r="D132" s="9" t="inlineStr">
        <is>
          <t>C1086-Q9575</t>
        </is>
      </c>
      <c r="E132" s="9" t="inlineStr">
        <is>
          <t>Morropón</t>
        </is>
      </c>
      <c r="F132" s="9" t="inlineStr">
        <is>
          <t>Yamango</t>
        </is>
      </c>
      <c r="G132" s="10" t="n">
        <v>1.998</v>
      </c>
      <c r="H132" s="10" t="n">
        <v>1.998</v>
      </c>
      <c r="I132" s="10">
        <f>H132-G132</f>
        <v/>
      </c>
    </row>
    <row r="133">
      <c r="A133" s="5" t="n">
        <v>125</v>
      </c>
      <c r="B133" s="5" t="inlineStr">
        <is>
          <t>AI_M28B2</t>
        </is>
      </c>
      <c r="C133" s="5" t="inlineStr">
        <is>
          <t>M28B2</t>
        </is>
      </c>
      <c r="D133" s="5" t="inlineStr">
        <is>
          <t>C1086-Q9575</t>
        </is>
      </c>
      <c r="E133" s="5" t="inlineStr">
        <is>
          <t>Morropón</t>
        </is>
      </c>
      <c r="F133" s="5" t="inlineStr">
        <is>
          <t>Yamango</t>
        </is>
      </c>
      <c r="G133" s="6" t="n">
        <v>0.622</v>
      </c>
      <c r="H133" s="6" t="n">
        <v>0.621</v>
      </c>
      <c r="I133" s="6">
        <f>H133-G133</f>
        <v/>
      </c>
    </row>
    <row r="134">
      <c r="A134" s="9" t="n">
        <v>126</v>
      </c>
      <c r="B134" s="9" t="inlineStr">
        <is>
          <t>AI_M28B2</t>
        </is>
      </c>
      <c r="C134" s="9" t="inlineStr">
        <is>
          <t>M28B2</t>
        </is>
      </c>
      <c r="D134" s="9" t="inlineStr">
        <is>
          <t>C1086-Q9575</t>
        </is>
      </c>
      <c r="E134" s="9" t="inlineStr">
        <is>
          <t>Morropón</t>
        </is>
      </c>
      <c r="F134" s="9" t="inlineStr">
        <is>
          <t>Yamango</t>
        </is>
      </c>
      <c r="G134" s="10" t="n">
        <v>109.292</v>
      </c>
      <c r="H134" s="10" t="n">
        <v>109.254</v>
      </c>
      <c r="I134" s="10">
        <f>H134-G134</f>
        <v/>
      </c>
    </row>
    <row r="135">
      <c r="A135" s="5" t="n">
        <v>127</v>
      </c>
      <c r="B135" s="5" t="inlineStr">
        <is>
          <t>AI_M28B2</t>
        </is>
      </c>
      <c r="C135" s="5" t="inlineStr">
        <is>
          <t>M28B2</t>
        </is>
      </c>
      <c r="D135" s="5" t="inlineStr">
        <is>
          <t>C1086-Q9575</t>
        </is>
      </c>
      <c r="E135" s="5" t="inlineStr">
        <is>
          <t>Morropón</t>
        </is>
      </c>
      <c r="F135" s="5" t="inlineStr">
        <is>
          <t>Yamango</t>
        </is>
      </c>
      <c r="G135" s="6" t="n">
        <v>29.178</v>
      </c>
      <c r="H135" s="6" t="n">
        <v>29.168</v>
      </c>
      <c r="I135" s="6">
        <f>H135-G135</f>
        <v/>
      </c>
    </row>
    <row r="136">
      <c r="A136" s="9" t="n">
        <v>128</v>
      </c>
      <c r="B136" s="9" t="inlineStr">
        <is>
          <t>AI_M28B2</t>
        </is>
      </c>
      <c r="C136" s="9" t="inlineStr">
        <is>
          <t>M28B2</t>
        </is>
      </c>
      <c r="D136" s="9" t="inlineStr">
        <is>
          <t>C1086-Q9575</t>
        </is>
      </c>
      <c r="E136" s="9" t="inlineStr">
        <is>
          <t>Morropón</t>
        </is>
      </c>
      <c r="F136" s="9" t="inlineStr">
        <is>
          <t>Yamango</t>
        </is>
      </c>
      <c r="G136" s="10" t="n">
        <v>7.596</v>
      </c>
      <c r="H136" s="10" t="n">
        <v>7.593</v>
      </c>
      <c r="I136" s="10">
        <f>H136-G136</f>
        <v/>
      </c>
    </row>
    <row r="137">
      <c r="A137" s="5" t="n">
        <v>129</v>
      </c>
      <c r="B137" s="5" t="inlineStr">
        <is>
          <t>AI_M28B3</t>
        </is>
      </c>
      <c r="C137" s="5" t="inlineStr">
        <is>
          <t>M28B3</t>
        </is>
      </c>
      <c r="D137" s="5" t="inlineStr">
        <is>
          <t>C1086-Q9575</t>
        </is>
      </c>
      <c r="E137" s="5" t="inlineStr">
        <is>
          <t>Morropón</t>
        </is>
      </c>
      <c r="F137" s="5" t="inlineStr">
        <is>
          <t>Yamango</t>
        </is>
      </c>
      <c r="G137" s="6" t="n">
        <v>29.752</v>
      </c>
      <c r="H137" s="6" t="n">
        <v>29.742</v>
      </c>
      <c r="I137" s="6">
        <f>H137-G137</f>
        <v/>
      </c>
    </row>
    <row r="138">
      <c r="A138" s="9" t="n">
        <v>130</v>
      </c>
      <c r="B138" s="9" t="inlineStr">
        <is>
          <t>AI_M28B4</t>
        </is>
      </c>
      <c r="C138" s="9" t="inlineStr">
        <is>
          <t>M28B4</t>
        </is>
      </c>
      <c r="D138" s="9" t="inlineStr">
        <is>
          <t>C1086-Q9575</t>
        </is>
      </c>
      <c r="E138" s="9" t="inlineStr">
        <is>
          <t>Morropón</t>
        </is>
      </c>
      <c r="F138" s="9" t="inlineStr">
        <is>
          <t>Yamango</t>
        </is>
      </c>
      <c r="G138" s="10" t="n">
        <v>116.586</v>
      </c>
      <c r="H138" s="10" t="n">
        <v>116.538</v>
      </c>
      <c r="I138" s="10">
        <f>H138-G138</f>
        <v/>
      </c>
    </row>
    <row r="139">
      <c r="A139" s="13" t="inlineStr">
        <is>
          <t>TOTAL</t>
        </is>
      </c>
      <c r="B139" s="13" t="n"/>
      <c r="C139" s="13" t="n"/>
      <c r="D139" s="13" t="n"/>
      <c r="E139" s="13" t="n"/>
      <c r="F139" s="13" t="n"/>
      <c r="G139" s="14">
        <f>SUM(G9:G138)</f>
        <v/>
      </c>
      <c r="H139" s="14">
        <f>SUM(H9:H138)</f>
        <v/>
      </c>
      <c r="I139" s="14">
        <f>SUM(I9:I138)</f>
        <v/>
      </c>
    </row>
  </sheetData>
  <autoFilter ref="A8:I138"/>
  <mergeCells count="6"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NOTAS, FUENTES Y CONTROLES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7" ht="44" customHeight="1">
      <c r="A7" s="23" t="inlineStr">
        <is>
          <t>Bloques</t>
        </is>
      </c>
      <c r="B7" s="24" t="inlineStr">
        <is>
          <t>117 bloques V6 vigentes, 12,270.235 ha; coinciden en código, distrito y área con el catálogo datos/unidades_liberacion_areas.csv.</t>
        </is>
      </c>
    </row>
    <row r="8" ht="44" customHeight="1">
      <c r="A8" s="23" t="inlineStr">
        <is>
          <t>Área de influencia</t>
        </is>
      </c>
      <c r="B8" s="24" t="inlineStr">
        <is>
          <t>Capa AI_aprobado_2.shp (CODIGO = AI_&lt;bloque&gt;): 130 polígonos vigentes, 17,139.655 ha. Los 117 bloques tienen AI; algunos tienen más de un polígono (p. ej. M28B2 con 4).</t>
        </is>
      </c>
    </row>
    <row r="9" ht="44" customHeight="1">
      <c r="A9" s="23" t="inlineStr">
        <is>
          <t>Exclusiones</t>
        </is>
      </c>
      <c r="B9" s="24" t="inlineStr">
        <is>
          <t>Se excluyen los bloques retirados en V6, 74 y 75, y sus áreas de influencia AI_74 (30.073 ha) y AI_75 (125.819 ha). Por eso el AI vigente no es 17,295.547 ha (total del shapefile), sino 17,139.655 ha.</t>
        </is>
      </c>
    </row>
    <row r="10" ht="44" customHeight="1">
      <c r="A10" s="23" t="inlineStr">
        <is>
          <t>Áreas</t>
        </is>
      </c>
      <c r="B10" s="24" t="inlineStr">
        <is>
          <t>Se usa el campo AREA_HA de la capa. El área recalculada de las geometrías suma 17,132.532 ha (-7.123 ha); la diferencia por polígono está en AI_Poligonos. Conviene recalcular AREA_HA en el SIG.</t>
        </is>
      </c>
    </row>
    <row r="11" ht="44" customHeight="1">
      <c r="A11" s="23" t="inlineStr">
        <is>
          <t>Asignación territorial</t>
        </is>
      </c>
      <c r="B11" s="24" t="inlineStr">
        <is>
          <t>Cada polígono AI hereda la provincia y el distrito de su bloque. Cada AI colinda con su bloque sin superponerse.</t>
        </is>
      </c>
    </row>
    <row r="12" ht="44" customHeight="1">
      <c r="A12" s="23" t="inlineStr">
        <is>
          <t>Coordenadas</t>
        </is>
      </c>
      <c r="B12" s="24" t="inlineStr">
        <is>
          <t>UTM WGS84 Zona 17S (EPSG:32717). ESTE/NORTE de cada bloque = punto interior del polígono, validado en los rangos del proyecto (ESTE 450,000–750,000; NORTE 9,300,000–9,600,000).</t>
        </is>
      </c>
    </row>
    <row r="13" ht="44" customHeight="1">
      <c r="A13" s="23" t="inlineStr">
        <is>
          <t>Mapas</t>
        </is>
      </c>
      <c r="B13" s="24" t="inlineStr">
        <is>
          <t>Láminas A3 en mapas/salidas/IN_Piura_Mapa_Area_Influencia_Bloques_V6.pdf.</t>
        </is>
      </c>
    </row>
    <row r="14" ht="44" customHeight="1">
      <c r="A14" s="23" t="inlineStr">
        <is>
          <t>Generado con</t>
        </is>
      </c>
      <c r="B14" s="24" t="inlineStr">
        <is>
          <t>mapas/excel_bloques_ai_distrito.py (los totales son fórmulas sobre las hojas de detalle).</t>
        </is>
      </c>
    </row>
  </sheetData>
  <mergeCells count="5">
    <mergeCell ref="A4:B4"/>
    <mergeCell ref="A2:B2"/>
    <mergeCell ref="A5:B5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2026-10-05T04:40:09Z</dcterms:created>
  <dcterms:modified xsi:type="dcterms:W3CDTF">2026-10-05T04:40:09Z</dcterms:modified>
</cp:coreProperties>
</file>