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2" activeTab="3" autoFilterDateGrouping="1"/>
  </bookViews>
  <sheets>
    <sheet xmlns:r="http://schemas.openxmlformats.org/officeDocument/2006/relationships" name="0. PORTADA" sheetId="1" state="visible" r:id="rId1"/>
    <sheet xmlns:r="http://schemas.openxmlformats.org/officeDocument/2006/relationships" name="F-DS-01" sheetId="2" state="visible" r:id="rId2"/>
    <sheet xmlns:r="http://schemas.openxmlformats.org/officeDocument/2006/relationships" name="F-DS-02" sheetId="3" state="visible" r:id="rId3"/>
    <sheet xmlns:r="http://schemas.openxmlformats.org/officeDocument/2006/relationships" name="F-DS-03" sheetId="4" state="visible" r:id="rId4"/>
    <sheet xmlns:r="http://schemas.openxmlformats.org/officeDocument/2006/relationships" name="F-DS-04" sheetId="5" state="visible" r:id="rId5"/>
    <sheet xmlns:r="http://schemas.openxmlformats.org/officeDocument/2006/relationships" name="F-DS-05" sheetId="6" state="visible" r:id="rId6"/>
    <sheet xmlns:r="http://schemas.openxmlformats.org/officeDocument/2006/relationships" name="F-DS-06" sheetId="7" state="visible" r:id="rId7"/>
    <sheet xmlns:r="http://schemas.openxmlformats.org/officeDocument/2006/relationships" name="F-DS-07" sheetId="8" state="visible" r:id="rId8"/>
    <sheet xmlns:r="http://schemas.openxmlformats.org/officeDocument/2006/relationships" name="_Codigos" sheetId="9" state="visible" r:id="rId9"/>
    <sheet xmlns:r="http://schemas.openxmlformats.org/officeDocument/2006/relationships" name="_Datos" sheetId="10" state="hidden" r:id="rId10"/>
    <sheet xmlns:r="http://schemas.openxmlformats.org/officeDocument/2006/relationships" name="_Listas" sheetId="11" state="hidden" r:id="rId11"/>
  </sheets>
  <definedNames>
    <definedName name="_xlnm.Print_Area" localSheetId="1">'F-DS-01'!$A$1:$N$138</definedName>
    <definedName name="_xlnm.Print_Titles" localSheetId="2">'F-DS-02'!$15:$15</definedName>
    <definedName name="_xlnm.Print_Area" localSheetId="3">'F-DS-03'!$A$1:$N$120</definedName>
    <definedName name="_xlnm.Print_Titles" localSheetId="4">'F-DS-04'!$34:$34</definedName>
    <definedName name="_xlnm.Print_Titles" localSheetId="6">'F-DS-06'!$13:$14</definedName>
    <definedName name="_xlnm.Print_Area" localSheetId="6">'F-DS-06'!$A$1:$N$69</definedName>
    <definedName name="_xlnm.Print_Titles" localSheetId="7">'F-DS-07'!$26:$26</definedName>
    <definedName name="_xlnm.Print_Area" localSheetId="7">'F-DS-07'!$A$1:$N$65</definedName>
    <definedName name="_xlnm.Print_Area" localSheetId="8">'_Codigos'!$A$1:$N$43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7">
    <font>
      <name val="Calibri"/>
      <charset val="1"/>
      <family val="2"/>
      <color theme="1"/>
      <sz val="11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1B4D2E"/>
      <sz val="10"/>
    </font>
    <font>
      <name val="Arial"/>
      <family val="2"/>
      <b val="1"/>
      <color rgb="FFC0392B"/>
      <sz val="9"/>
    </font>
    <font>
      <name val="Arial"/>
      <family val="2"/>
      <b val="1"/>
      <color rgb="FF1B4D2E"/>
      <sz val="9"/>
    </font>
    <font>
      <name val="Arial"/>
      <family val="2"/>
      <sz val="8"/>
    </font>
    <font>
      <name val="Arial"/>
      <family val="2"/>
      <b val="1"/>
      <color rgb="FFFFFFFF"/>
      <sz val="10"/>
    </font>
    <font>
      <name val="Arial"/>
      <family val="2"/>
      <b val="1"/>
      <sz val="12"/>
    </font>
    <font>
      <name val="Arial"/>
      <family val="2"/>
      <b val="1"/>
      <sz val="13"/>
    </font>
    <font>
      <name val="Arial"/>
      <family val="2"/>
      <i val="1"/>
      <sz val="9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i val="1"/>
      <sz val="8"/>
    </font>
    <font>
      <name val="Calibri"/>
      <charset val="1"/>
      <family val="2"/>
      <sz val="11"/>
    </font>
    <font>
      <name val="Arial"/>
      <family val="2"/>
      <b val="1"/>
      <sz val="14"/>
    </font>
    <font>
      <name val="Arial"/>
      <family val="2"/>
      <i val="1"/>
      <sz val="11"/>
    </font>
    <font>
      <name val="Arial"/>
      <family val="2"/>
      <b val="1"/>
      <color rgb="FFC0392B"/>
      <sz val="11"/>
    </font>
    <font>
      <name val="Arial"/>
      <family val="2"/>
      <sz val="11"/>
    </font>
    <font>
      <name val="Arial"/>
      <family val="2"/>
      <b val="1"/>
      <color rgb="FF1B4D2E"/>
      <sz val="11"/>
    </font>
    <font>
      <name val="Arial"/>
      <family val="2"/>
      <i val="1"/>
      <color rgb="FF555555"/>
      <sz val="11"/>
    </font>
    <font>
      <name val="Arial"/>
      <family val="2"/>
      <sz val="14"/>
    </font>
    <font>
      <name val="Arial"/>
      <family val="2"/>
      <i val="1"/>
      <sz val="14"/>
    </font>
    <font>
      <name val="Arial"/>
      <family val="2"/>
      <b val="1"/>
      <color rgb="FFC0392B"/>
      <sz val="12"/>
    </font>
    <font>
      <name val="Arial"/>
      <family val="2"/>
      <sz val="12"/>
    </font>
    <font>
      <name val="Arial"/>
      <family val="2"/>
      <b val="1"/>
      <color rgb="FFC00000"/>
      <sz val="12"/>
    </font>
    <font>
      <name val="Calibri"/>
      <charset val="1"/>
      <family val="2"/>
      <sz val="12"/>
    </font>
    <font>
      <name val="Arial"/>
      <family val="2"/>
      <b val="1"/>
      <color rgb="FF1B4D2E"/>
      <sz val="12"/>
    </font>
    <font>
      <name val="Calibri"/>
      <charset val="1"/>
      <family val="2"/>
      <color theme="1"/>
      <sz val="12"/>
    </font>
    <font>
      <name val="Arial"/>
      <family val="2"/>
      <b val="1"/>
      <i val="1"/>
      <color rgb="FF333333"/>
      <sz val="10"/>
    </font>
    <font>
      <name val="Calibri"/>
      <charset val="1"/>
      <family val="2"/>
      <color theme="1"/>
      <sz val="10"/>
    </font>
    <font>
      <name val="Arial"/>
      <family val="2"/>
      <b val="1"/>
      <i val="1"/>
      <color rgb="FF555555"/>
      <sz val="10"/>
    </font>
    <font>
      <name val="Calibri"/>
      <charset val="1"/>
      <family val="2"/>
      <b val="1"/>
      <color theme="1"/>
      <sz val="10"/>
    </font>
    <font>
      <name val="Arial"/>
      <family val="2"/>
      <b val="1"/>
      <i val="1"/>
      <color rgb="FF555555"/>
      <sz val="11"/>
    </font>
    <font>
      <name val="Calibri"/>
      <charset val="1"/>
      <family val="2"/>
      <b val="1"/>
      <color theme="1"/>
      <sz val="11"/>
    </font>
    <font>
      <name val="Arial"/>
      <family val="2"/>
      <i val="1"/>
      <color rgb="FF333333"/>
      <sz val="11"/>
    </font>
    <font>
      <name val="Arial"/>
      <family val="2"/>
      <b val="1"/>
      <color rgb="FFFFFFFF"/>
      <sz val="12"/>
    </font>
    <font>
      <name val="Calibri"/>
      <charset val="1"/>
      <family val="2"/>
      <b val="1"/>
      <color theme="1"/>
      <sz val="12"/>
    </font>
    <font>
      <name val="Arial"/>
      <family val="2"/>
      <i val="1"/>
      <color rgb="FF555555"/>
      <sz val="12"/>
    </font>
    <font>
      <name val="Arial"/>
      <family val="2"/>
      <b val="1"/>
      <i val="1"/>
      <color rgb="FF555555"/>
      <sz val="12"/>
    </font>
    <font>
      <name val="Arial"/>
      <family val="2"/>
      <i val="1"/>
      <sz val="12"/>
    </font>
    <font>
      <name val="Arial"/>
      <family val="2"/>
      <sz val="10"/>
    </font>
    <font>
      <name val="Arial"/>
      <family val="2"/>
      <i val="1"/>
      <sz val="10"/>
    </font>
    <font>
      <name val="Arial"/>
      <family val="2"/>
      <b val="1"/>
      <i val="1"/>
      <color rgb="FF333333"/>
      <sz val="11"/>
    </font>
    <font>
      <name val="Arial"/>
      <b val="1"/>
      <color rgb="00FFFFFF"/>
      <sz val="8"/>
    </font>
    <font>
      <name val="Arial"/>
      <color rgb="001B4D2E"/>
      <sz val="9"/>
    </font>
  </fonts>
  <fills count="23">
    <fill>
      <patternFill/>
    </fill>
    <fill>
      <patternFill patternType="gray125"/>
    </fill>
    <fill>
      <patternFill patternType="solid">
        <fgColor rgb="FF1B4D2E"/>
        <bgColor rgb="FF1B4F72"/>
      </patternFill>
    </fill>
    <fill>
      <patternFill patternType="solid">
        <fgColor rgb="FFF2F2F2"/>
        <bgColor rgb="FFE8F4FD"/>
      </patternFill>
    </fill>
    <fill>
      <patternFill patternType="solid">
        <fgColor rgb="FFFFFFFF"/>
        <bgColor rgb="FFF2F2F2"/>
      </patternFill>
    </fill>
    <fill>
      <patternFill patternType="solid">
        <fgColor rgb="FFD4E6D9"/>
        <bgColor rgb="FFE8F4FD"/>
      </patternFill>
    </fill>
    <fill>
      <patternFill patternType="solid">
        <fgColor rgb="FFFFF4D6"/>
        <bgColor rgb="FFF2F2F2"/>
      </patternFill>
    </fill>
    <fill>
      <patternFill patternType="solid">
        <fgColor rgb="FFE8F4FD"/>
        <bgColor rgb="FFF2F2F2"/>
      </patternFill>
    </fill>
    <fill>
      <patternFill patternType="solid">
        <fgColor theme="0"/>
        <bgColor rgb="FF1B4F72"/>
      </patternFill>
    </fill>
    <fill>
      <patternFill patternType="solid">
        <fgColor theme="0"/>
        <bgColor rgb="FF1B4D2E"/>
      </patternFill>
    </fill>
    <fill>
      <patternFill patternType="solid">
        <fgColor theme="0"/>
        <bgColor rgb="FFE8F4FD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rgb="FFE8F4FD"/>
      </patternFill>
    </fill>
    <fill>
      <patternFill patternType="solid">
        <fgColor theme="0" tint="-0.1499984740745262"/>
        <bgColor rgb="FF1B4F72"/>
      </patternFill>
    </fill>
    <fill>
      <patternFill patternType="solid">
        <fgColor theme="0" tint="-0.1499984740745262"/>
        <bgColor rgb="FFF2F2F2"/>
      </patternFill>
    </fill>
    <fill>
      <patternFill patternType="solid">
        <fgColor theme="0" tint="-0.0499893185216834"/>
        <bgColor rgb="FFF2F2F2"/>
      </patternFill>
    </fill>
    <fill>
      <patternFill patternType="solid">
        <fgColor theme="0" tint="-0.0499893185216834"/>
        <bgColor rgb="FFE8F4FD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rgb="FF1B4F72"/>
      </patternFill>
    </fill>
    <fill>
      <patternFill patternType="solid">
        <fgColor theme="0" tint="-0.0499893185216834"/>
        <bgColor rgb="FF1B4D2E"/>
      </patternFill>
    </fill>
    <fill>
      <patternFill patternType="solid">
        <fgColor rgb="001B4D2E"/>
      </patternFill>
    </fill>
    <fill>
      <patternFill patternType="solid">
        <fgColor rgb="00FFF2CC"/>
      </patternFill>
    </fill>
  </fills>
  <borders count="113"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1B4D2E"/>
      </left>
      <right/>
      <top style="medium">
        <color rgb="FF1B4D2E"/>
      </top>
      <bottom style="medium">
        <color rgb="FF1B4D2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rgb="FF333333"/>
      </right>
      <top style="medium">
        <color rgb="FF333333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/>
      <diagonal/>
    </border>
    <border>
      <left style="medium">
        <color rgb="FF333333"/>
      </left>
      <right style="medium">
        <color rgb="FF333333"/>
      </right>
      <top/>
      <bottom style="medium">
        <color rgb="FF33333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indexed="64"/>
      </left>
      <right/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thin">
        <color rgb="FF7F7F7F"/>
      </top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/>
      <bottom style="thin">
        <color rgb="FF7F7F7F"/>
      </bottom>
      <diagonal/>
    </border>
    <border>
      <left style="thin">
        <color rgb="FF7F7F7F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333333"/>
      </right>
      <top/>
      <bottom style="medium">
        <color rgb="FF333333"/>
      </bottom>
      <diagonal/>
    </border>
    <border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indexed="64"/>
      </left>
      <right style="medium">
        <color rgb="FF333333"/>
      </right>
      <top style="medium">
        <color rgb="FF333333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/>
      <top style="thin">
        <color rgb="FF7F7F7F"/>
      </top>
      <bottom style="medium">
        <color indexed="64"/>
      </bottom>
      <diagonal/>
    </border>
    <border>
      <left style="medium">
        <color rgb="FF333333"/>
      </left>
      <right style="medium">
        <color rgb="FF333333"/>
      </right>
      <top/>
      <bottom/>
      <diagonal/>
    </border>
    <border>
      <left style="medium">
        <color indexed="64"/>
      </left>
      <right style="medium">
        <color rgb="FF333333"/>
      </right>
      <top style="medium">
        <color indexed="64"/>
      </top>
      <bottom style="medium">
        <color indexed="64"/>
      </bottom>
      <diagonal/>
    </border>
    <border>
      <left style="medium">
        <color rgb="FF333333"/>
      </left>
      <right style="medium">
        <color rgb="FF333333"/>
      </right>
      <top style="medium">
        <color indexed="64"/>
      </top>
      <bottom style="medium">
        <color indexed="64"/>
      </bottom>
      <diagonal/>
    </border>
    <border>
      <left style="medium">
        <color rgb="FF33333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333333"/>
      </left>
      <right/>
      <top/>
      <bottom/>
      <diagonal/>
    </border>
    <border>
      <left style="medium">
        <color rgb="FF333333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33333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rgb="FF333333"/>
      </left>
      <right/>
      <top/>
      <bottom style="medium">
        <color rgb="FF333333"/>
      </bottom>
      <diagonal/>
    </border>
    <border>
      <left style="medium">
        <color rgb="FF333333"/>
      </left>
      <right/>
      <top style="medium">
        <color rgb="FF333333"/>
      </top>
      <bottom style="medium">
        <color rgb="FF33333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333333"/>
      </bottom>
      <diagonal/>
    </border>
    <border>
      <left style="medium">
        <color indexed="64"/>
      </left>
      <right style="medium">
        <color indexed="64"/>
      </right>
      <top style="medium">
        <color rgb="FF333333"/>
      </top>
      <bottom style="medium">
        <color rgb="FF333333"/>
      </bottom>
      <diagonal/>
    </border>
    <border>
      <left style="medium">
        <color indexed="64"/>
      </left>
      <right style="medium">
        <color indexed="64"/>
      </right>
      <top style="medium">
        <color rgb="FF333333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333333"/>
      </right>
      <top style="medium">
        <color rgb="FF333333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/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/>
      <right/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rgb="FF1B4D2E"/>
      </top>
      <bottom/>
      <diagonal/>
    </border>
    <border>
      <left/>
      <right/>
      <top style="medium">
        <color rgb="FF1B4D2E"/>
      </top>
      <bottom style="medium">
        <color rgb="FF1B4D2E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 style="medium">
        <color rgb="FF33333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33333"/>
      </left>
      <right style="medium">
        <color rgb="FF333333"/>
      </right>
      <top style="thin">
        <color indexed="64"/>
      </top>
      <bottom style="thin">
        <color indexed="64"/>
      </bottom>
      <diagonal/>
    </border>
    <border>
      <left/>
      <right style="medium">
        <color rgb="FF333333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56">
    <xf numFmtId="0" fontId="0" fillId="0" borderId="0" pivotButton="0" quotePrefix="0" xfId="0"/>
    <xf numFmtId="0" fontId="0" fillId="3" borderId="3" pivotButton="0" quotePrefix="0" xfId="0"/>
    <xf numFmtId="0" fontId="7" fillId="0" borderId="0" applyAlignment="1" pivotButton="0" quotePrefix="0" xfId="0">
      <alignment horizontal="left" vertical="center" wrapText="1" indent="1"/>
    </xf>
    <xf numFmtId="0" fontId="8" fillId="2" borderId="7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12" borderId="0" pivotButton="0" quotePrefix="0" xfId="0"/>
    <xf numFmtId="0" fontId="15" fillId="12" borderId="0" pivotButton="0" quotePrefix="0" xfId="0"/>
    <xf numFmtId="0" fontId="19" fillId="4" borderId="10" applyAlignment="1" pivotButton="0" quotePrefix="0" xfId="0">
      <alignment vertical="center" wrapText="1"/>
    </xf>
    <xf numFmtId="0" fontId="12" fillId="3" borderId="10" applyAlignment="1" pivotButton="0" quotePrefix="0" xfId="0">
      <alignment horizontal="center" vertical="center" wrapText="1"/>
    </xf>
    <xf numFmtId="0" fontId="12" fillId="3" borderId="10" applyAlignment="1" pivotButton="0" quotePrefix="0" xfId="0">
      <alignment vertical="center" wrapText="1"/>
    </xf>
    <xf numFmtId="0" fontId="12" fillId="3" borderId="10" applyAlignment="1" pivotButton="0" quotePrefix="0" xfId="0">
      <alignment horizontal="left" vertical="center" wrapText="1" indent="1"/>
    </xf>
    <xf numFmtId="0" fontId="19" fillId="4" borderId="10" applyAlignment="1" pivotButton="0" quotePrefix="0" xfId="0">
      <alignment horizontal="left" vertical="center" wrapText="1" indent="1"/>
    </xf>
    <xf numFmtId="0" fontId="12" fillId="3" borderId="1" applyAlignment="1" pivotButton="0" quotePrefix="0" xfId="0">
      <alignment vertical="center" wrapText="1"/>
    </xf>
    <xf numFmtId="0" fontId="12" fillId="8" borderId="3" applyAlignment="1" pivotButton="0" quotePrefix="0" xfId="0">
      <alignment horizontal="center" vertical="center" wrapText="1"/>
    </xf>
    <xf numFmtId="0" fontId="19" fillId="4" borderId="3" applyAlignment="1" pivotButton="0" quotePrefix="0" xfId="0">
      <alignment horizontal="center" vertical="center" wrapText="1"/>
    </xf>
    <xf numFmtId="0" fontId="20" fillId="11" borderId="4" applyAlignment="1" pivotButton="0" quotePrefix="0" xfId="0">
      <alignment horizontal="center" vertical="center" wrapText="1"/>
    </xf>
    <xf numFmtId="0" fontId="20" fillId="15" borderId="4" applyAlignment="1" pivotButton="0" quotePrefix="0" xfId="0">
      <alignment horizontal="center" vertical="center" wrapText="1"/>
    </xf>
    <xf numFmtId="0" fontId="20" fillId="13" borderId="3" applyAlignment="1" pivotButton="0" quotePrefix="0" xfId="0">
      <alignment horizontal="center" vertical="center" wrapText="1"/>
    </xf>
    <xf numFmtId="0" fontId="20" fillId="15" borderId="27" applyAlignment="1" pivotButton="0" quotePrefix="0" xfId="0">
      <alignment horizontal="center" vertical="center" wrapText="1"/>
    </xf>
    <xf numFmtId="0" fontId="19" fillId="4" borderId="26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0" fillId="0" borderId="23" pivotButton="0" quotePrefix="0" xfId="0"/>
    <xf numFmtId="0" fontId="19" fillId="0" borderId="0" applyAlignment="1" pivotButton="0" quotePrefix="0" xfId="0">
      <alignment horizontal="left" vertical="center" wrapText="1" indent="1"/>
    </xf>
    <xf numFmtId="0" fontId="19" fillId="0" borderId="24" applyAlignment="1" pivotButton="0" quotePrefix="0" xfId="0">
      <alignment horizontal="left" vertical="center" wrapText="1" indent="1"/>
    </xf>
    <xf numFmtId="0" fontId="12" fillId="8" borderId="28" applyAlignment="1" pivotButton="0" quotePrefix="0" xfId="0">
      <alignment horizontal="center" vertical="center" wrapText="1"/>
    </xf>
    <xf numFmtId="0" fontId="12" fillId="8" borderId="26" applyAlignment="1" pivotButton="0" quotePrefix="0" xfId="0">
      <alignment horizontal="center" vertical="center" wrapText="1"/>
    </xf>
    <xf numFmtId="0" fontId="12" fillId="3" borderId="28" applyAlignment="1" pivotButton="0" quotePrefix="0" xfId="0">
      <alignment horizontal="center" vertical="center" wrapText="1"/>
    </xf>
    <xf numFmtId="0" fontId="19" fillId="4" borderId="26" applyAlignment="1" pivotButton="0" quotePrefix="0" xfId="0">
      <alignment horizontal="center" vertical="center" wrapText="1"/>
    </xf>
    <xf numFmtId="0" fontId="20" fillId="13" borderId="28" applyAlignment="1" pivotButton="0" quotePrefix="0" xfId="0">
      <alignment horizontal="center" vertical="center" wrapText="1"/>
    </xf>
    <xf numFmtId="0" fontId="19" fillId="12" borderId="0" applyAlignment="1" pivotButton="0" quotePrefix="0" xfId="0">
      <alignment horizontal="left" vertical="center" wrapText="1" indent="1"/>
    </xf>
    <xf numFmtId="0" fontId="20" fillId="15" borderId="29" applyAlignment="1" pivotButton="0" quotePrefix="0" xfId="0">
      <alignment horizontal="center" vertical="center" wrapText="1"/>
    </xf>
    <xf numFmtId="0" fontId="20" fillId="15" borderId="31" applyAlignment="1" pivotButton="0" quotePrefix="0" xfId="0">
      <alignment horizontal="center" vertical="center" wrapText="1"/>
    </xf>
    <xf numFmtId="0" fontId="20" fillId="15" borderId="33" applyAlignment="1" pivotButton="0" quotePrefix="0" xfId="0">
      <alignment horizontal="center" vertical="center" wrapText="1"/>
    </xf>
    <xf numFmtId="0" fontId="20" fillId="15" borderId="34" applyAlignment="1" pivotButton="0" quotePrefix="0" xfId="0">
      <alignment horizontal="center" vertical="center" wrapText="1"/>
    </xf>
    <xf numFmtId="0" fontId="19" fillId="4" borderId="48" applyAlignment="1" pivotButton="0" quotePrefix="0" xfId="0">
      <alignment horizontal="left" vertical="center" wrapText="1" indent="1"/>
    </xf>
    <xf numFmtId="0" fontId="20" fillId="15" borderId="49" applyAlignment="1" pivotButton="0" quotePrefix="0" xfId="0">
      <alignment horizontal="center" vertical="center" wrapText="1"/>
    </xf>
    <xf numFmtId="0" fontId="20" fillId="15" borderId="50" applyAlignment="1" pivotButton="0" quotePrefix="0" xfId="0">
      <alignment horizontal="center" vertical="center" wrapText="1"/>
    </xf>
    <xf numFmtId="0" fontId="20" fillId="15" borderId="51" applyAlignment="1" pivotButton="0" quotePrefix="0" xfId="0">
      <alignment horizontal="center" vertical="center" wrapText="1"/>
    </xf>
    <xf numFmtId="0" fontId="20" fillId="15" borderId="56" applyAlignment="1" pivotButton="0" quotePrefix="0" xfId="0">
      <alignment horizontal="center" vertical="center" wrapText="1"/>
    </xf>
    <xf numFmtId="0" fontId="20" fillId="15" borderId="57" applyAlignment="1" pivotButton="0" quotePrefix="0" xfId="0">
      <alignment horizontal="center" vertical="center" wrapText="1"/>
    </xf>
    <xf numFmtId="0" fontId="19" fillId="0" borderId="36" applyAlignment="1" pivotButton="0" quotePrefix="0" xfId="0">
      <alignment horizontal="left" vertical="center" wrapText="1" indent="1"/>
    </xf>
    <xf numFmtId="0" fontId="20" fillId="15" borderId="58" applyAlignment="1" pivotButton="0" quotePrefix="0" xfId="0">
      <alignment horizontal="center" vertical="center" wrapText="1"/>
    </xf>
    <xf numFmtId="0" fontId="20" fillId="15" borderId="59" applyAlignment="1" pivotButton="0" quotePrefix="0" xfId="0">
      <alignment horizontal="center" vertical="center" wrapText="1"/>
    </xf>
    <xf numFmtId="0" fontId="12" fillId="3" borderId="6" applyAlignment="1" pivotButton="0" quotePrefix="0" xfId="0">
      <alignment vertical="center" wrapText="1"/>
    </xf>
    <xf numFmtId="0" fontId="20" fillId="11" borderId="34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4" fillId="3" borderId="10" applyAlignment="1" pivotButton="0" quotePrefix="0" xfId="0">
      <alignment horizontal="center" vertical="center" wrapText="1"/>
    </xf>
    <xf numFmtId="0" fontId="25" fillId="4" borderId="10" applyAlignment="1" pivotButton="0" quotePrefix="0" xfId="0">
      <alignment vertical="center" wrapText="1"/>
    </xf>
    <xf numFmtId="0" fontId="24" fillId="3" borderId="10" applyAlignment="1" pivotButton="0" quotePrefix="0" xfId="0">
      <alignment vertical="center" wrapText="1"/>
    </xf>
    <xf numFmtId="0" fontId="24" fillId="10" borderId="10" applyAlignment="1" pivotButton="0" quotePrefix="0" xfId="0">
      <alignment horizontal="center" vertical="center" wrapText="1"/>
    </xf>
    <xf numFmtId="0" fontId="27" fillId="12" borderId="0" pivotButton="0" quotePrefix="0" xfId="0"/>
    <xf numFmtId="0" fontId="29" fillId="0" borderId="0" pivotButton="0" quotePrefix="0" xfId="0"/>
    <xf numFmtId="0" fontId="9" fillId="8" borderId="3" applyAlignment="1" pivotButton="0" quotePrefix="0" xfId="0">
      <alignment horizontal="center" vertical="center" wrapText="1"/>
    </xf>
    <xf numFmtId="0" fontId="31" fillId="0" borderId="0" pivotButton="0" quotePrefix="0" xfId="0"/>
    <xf numFmtId="0" fontId="33" fillId="0" borderId="0" pivotButton="0" quotePrefix="0" xfId="0"/>
    <xf numFmtId="0" fontId="35" fillId="0" borderId="0" pivotButton="0" quotePrefix="0" xfId="0"/>
    <xf numFmtId="0" fontId="25" fillId="4" borderId="15" applyAlignment="1" pivotButton="0" quotePrefix="0" xfId="0">
      <alignment horizontal="center" vertical="center" wrapText="1"/>
    </xf>
    <xf numFmtId="0" fontId="9" fillId="8" borderId="10" applyAlignment="1" pivotButton="0" quotePrefix="0" xfId="0">
      <alignment horizontal="center" vertical="center" wrapText="1"/>
    </xf>
    <xf numFmtId="0" fontId="19" fillId="16" borderId="10" applyAlignment="1" pivotButton="0" quotePrefix="0" xfId="0">
      <alignment horizontal="center" vertical="center" wrapText="1"/>
    </xf>
    <xf numFmtId="0" fontId="1" fillId="3" borderId="8" applyAlignment="1" pivotButton="0" quotePrefix="0" xfId="0">
      <alignment vertical="center" wrapText="1"/>
    </xf>
    <xf numFmtId="0" fontId="1" fillId="10" borderId="1" applyAlignment="1" pivotButton="0" quotePrefix="0" xfId="0">
      <alignment vertical="center" wrapText="1"/>
    </xf>
    <xf numFmtId="0" fontId="0" fillId="18" borderId="0" pivotButton="0" quotePrefix="0" xfId="0"/>
    <xf numFmtId="0" fontId="6" fillId="15" borderId="4" applyAlignment="1" pivotButton="0" quotePrefix="0" xfId="0">
      <alignment horizontal="center" vertical="center" wrapText="1"/>
    </xf>
    <xf numFmtId="0" fontId="6" fillId="11" borderId="4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 wrapText="1"/>
    </xf>
    <xf numFmtId="0" fontId="25" fillId="4" borderId="3" applyAlignment="1" pivotButton="0" quotePrefix="0" xfId="0">
      <alignment horizontal="left" vertical="center" wrapText="1" indent="1"/>
    </xf>
    <xf numFmtId="0" fontId="38" fillId="0" borderId="0" pivotButton="0" quotePrefix="0" xfId="0"/>
    <xf numFmtId="0" fontId="9" fillId="3" borderId="10" applyAlignment="1" pivotButton="0" quotePrefix="0" xfId="0">
      <alignment horizontal="center" vertical="center" wrapText="1"/>
    </xf>
    <xf numFmtId="0" fontId="25" fillId="4" borderId="10" applyAlignment="1" pivotButton="0" quotePrefix="0" xfId="0">
      <alignment horizontal="left" vertical="center" wrapText="1" indent="1"/>
    </xf>
    <xf numFmtId="0" fontId="29" fillId="4" borderId="10" applyAlignment="1" pivotButton="0" quotePrefix="0" xfId="0">
      <alignment horizontal="center" vertical="center" wrapText="1"/>
    </xf>
    <xf numFmtId="0" fontId="28" fillId="16" borderId="4" applyAlignment="1" pivotButton="0" quotePrefix="0" xfId="0">
      <alignment horizontal="center" vertical="center" wrapText="1"/>
    </xf>
    <xf numFmtId="0" fontId="9" fillId="19" borderId="10" applyAlignment="1" pivotButton="0" quotePrefix="0" xfId="0">
      <alignment horizontal="center" vertical="center" wrapText="1"/>
    </xf>
    <xf numFmtId="0" fontId="15" fillId="18" borderId="0" pivotButton="0" quotePrefix="0" xfId="0"/>
    <xf numFmtId="0" fontId="9" fillId="19" borderId="3" applyAlignment="1" pivotButton="0" quotePrefix="0" xfId="0">
      <alignment horizontal="center" vertical="center" wrapText="1"/>
    </xf>
    <xf numFmtId="0" fontId="27" fillId="18" borderId="0" pivotButton="0" quotePrefix="0" xfId="0"/>
    <xf numFmtId="0" fontId="28" fillId="15" borderId="4" applyAlignment="1" pivotButton="0" quotePrefix="0" xfId="0">
      <alignment horizontal="center" vertical="center" wrapText="1"/>
    </xf>
    <xf numFmtId="0" fontId="29" fillId="3" borderId="3" pivotButton="0" quotePrefix="0" xfId="0"/>
    <xf numFmtId="0" fontId="25" fillId="0" borderId="0" applyAlignment="1" pivotButton="0" quotePrefix="0" xfId="0">
      <alignment horizontal="left" vertical="center" wrapText="1" indent="1"/>
    </xf>
    <xf numFmtId="0" fontId="28" fillId="11" borderId="4" applyAlignment="1" pivotButton="0" quotePrefix="0" xfId="0">
      <alignment horizontal="center" vertical="center" wrapText="1"/>
    </xf>
    <xf numFmtId="0" fontId="25" fillId="6" borderId="3" applyAlignment="1" pivotButton="0" quotePrefix="0" xfId="0">
      <alignment horizontal="center" vertical="center" wrapText="1"/>
    </xf>
    <xf numFmtId="0" fontId="25" fillId="15" borderId="10" applyAlignment="1" pivotButton="0" quotePrefix="0" xfId="0">
      <alignment horizontal="center" vertical="center" wrapText="1"/>
    </xf>
    <xf numFmtId="0" fontId="9" fillId="3" borderId="1" applyAlignment="1" pivotButton="0" quotePrefix="0" xfId="0">
      <alignment vertical="center" wrapText="1"/>
    </xf>
    <xf numFmtId="0" fontId="28" fillId="15" borderId="33" applyAlignment="1" pivotButton="0" quotePrefix="0" xfId="0">
      <alignment horizontal="center" vertical="center" wrapText="1"/>
    </xf>
    <xf numFmtId="0" fontId="28" fillId="15" borderId="10" applyAlignment="1" pivotButton="0" quotePrefix="0" xfId="0">
      <alignment horizontal="center" vertical="center" wrapText="1"/>
    </xf>
    <xf numFmtId="0" fontId="9" fillId="3" borderId="69" applyAlignment="1" pivotButton="0" quotePrefix="0" xfId="0">
      <alignment horizontal="center" vertical="center" wrapText="1"/>
    </xf>
    <xf numFmtId="0" fontId="25" fillId="4" borderId="69" applyAlignment="1" pivotButton="0" quotePrefix="0" xfId="0">
      <alignment horizontal="left" vertical="center" wrapText="1" indent="1"/>
    </xf>
    <xf numFmtId="0" fontId="28" fillId="13" borderId="10" applyAlignment="1" pivotButton="0" quotePrefix="0" xfId="0">
      <alignment horizontal="center" vertical="center" wrapText="1"/>
    </xf>
    <xf numFmtId="0" fontId="9" fillId="10" borderId="5" applyAlignment="1" pivotButton="0" quotePrefix="0" xfId="0">
      <alignment horizontal="center" vertical="center" wrapText="1"/>
    </xf>
    <xf numFmtId="0" fontId="28" fillId="16" borderId="34" applyAlignment="1" pivotButton="0" quotePrefix="0" xfId="0">
      <alignment horizontal="center" vertical="center" wrapText="1"/>
    </xf>
    <xf numFmtId="0" fontId="28" fillId="16" borderId="70" applyAlignment="1" pivotButton="0" quotePrefix="0" xfId="0">
      <alignment horizontal="center" vertical="center" wrapText="1"/>
    </xf>
    <xf numFmtId="0" fontId="28" fillId="16" borderId="71" applyAlignment="1" pivotButton="0" quotePrefix="0" xfId="0">
      <alignment horizontal="center" vertical="center" wrapText="1"/>
    </xf>
    <xf numFmtId="0" fontId="28" fillId="13" borderId="72" applyAlignment="1" pivotButton="0" quotePrefix="0" xfId="0">
      <alignment horizontal="center" vertical="center" wrapText="1"/>
    </xf>
    <xf numFmtId="0" fontId="28" fillId="16" borderId="73" applyAlignment="1" pivotButton="0" quotePrefix="0" xfId="0">
      <alignment horizontal="center" vertical="center" wrapText="1"/>
    </xf>
    <xf numFmtId="0" fontId="28" fillId="16" borderId="74" applyAlignment="1" pivotButton="0" quotePrefix="0" xfId="0">
      <alignment horizontal="center" vertical="center" wrapText="1"/>
    </xf>
    <xf numFmtId="0" fontId="28" fillId="16" borderId="75" applyAlignment="1" pivotButton="0" quotePrefix="0" xfId="0">
      <alignment horizontal="center" vertical="center" wrapText="1"/>
    </xf>
    <xf numFmtId="0" fontId="27" fillId="19" borderId="3" pivotButton="0" quotePrefix="0" xfId="0"/>
    <xf numFmtId="0" fontId="29" fillId="4" borderId="3" pivotButton="0" quotePrefix="0" xfId="0"/>
    <xf numFmtId="0" fontId="28" fillId="16" borderId="68" applyAlignment="1" pivotButton="0" quotePrefix="0" xfId="0">
      <alignment horizontal="center" vertical="center" wrapText="1"/>
    </xf>
    <xf numFmtId="0" fontId="25" fillId="18" borderId="0" applyAlignment="1" pivotButton="0" quotePrefix="0" xfId="0">
      <alignment horizontal="left" vertical="center" wrapText="1" indent="1"/>
    </xf>
    <xf numFmtId="0" fontId="29" fillId="18" borderId="0" pivotButton="0" quotePrefix="0" xfId="0"/>
    <xf numFmtId="0" fontId="19" fillId="4" borderId="0" applyAlignment="1" pivotButton="0" quotePrefix="0" xfId="0">
      <alignment horizontal="left" vertical="top" wrapText="1" indent="1"/>
    </xf>
    <xf numFmtId="0" fontId="24" fillId="3" borderId="1" applyAlignment="1" pivotButton="0" quotePrefix="0" xfId="0">
      <alignment vertical="center" wrapText="1"/>
    </xf>
    <xf numFmtId="0" fontId="28" fillId="15" borderId="71" applyAlignment="1" pivotButton="0" quotePrefix="0" xfId="0">
      <alignment horizontal="center" vertical="center" wrapText="1"/>
    </xf>
    <xf numFmtId="0" fontId="28" fillId="15" borderId="77" applyAlignment="1" pivotButton="0" quotePrefix="0" xfId="0">
      <alignment horizontal="center" vertical="center" wrapText="1"/>
    </xf>
    <xf numFmtId="0" fontId="28" fillId="15" borderId="50" applyAlignment="1" pivotButton="0" quotePrefix="0" xfId="0">
      <alignment horizontal="center" vertical="center" wrapText="1"/>
    </xf>
    <xf numFmtId="0" fontId="9" fillId="3" borderId="0" applyAlignment="1" pivotButton="0" quotePrefix="0" xfId="0">
      <alignment vertical="center" wrapText="1"/>
    </xf>
    <xf numFmtId="0" fontId="25" fillId="0" borderId="68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center" wrapText="1" indent="1"/>
    </xf>
    <xf numFmtId="0" fontId="28" fillId="5" borderId="10" applyAlignment="1" pivotButton="0" quotePrefix="0" xfId="0">
      <alignment horizontal="center" vertical="center" wrapText="1"/>
    </xf>
    <xf numFmtId="0" fontId="25" fillId="4" borderId="10" applyAlignment="1" pivotButton="0" quotePrefix="0" xfId="0">
      <alignment horizontal="left" vertical="center" wrapText="1" indent="1"/>
    </xf>
    <xf numFmtId="0" fontId="9" fillId="3" borderId="10" applyAlignment="1" pivotButton="0" quotePrefix="0" xfId="0">
      <alignment horizontal="left" vertical="center" wrapText="1" indent="1"/>
    </xf>
    <xf numFmtId="0" fontId="39" fillId="3" borderId="10" applyAlignment="1" pivotButton="0" quotePrefix="0" xfId="0">
      <alignment horizontal="left" vertical="center" wrapText="1" indent="1"/>
    </xf>
    <xf numFmtId="0" fontId="28" fillId="5" borderId="1" applyAlignment="1" pivotButton="0" quotePrefix="0" xfId="0">
      <alignment horizontal="center" vertical="center" wrapText="1"/>
    </xf>
    <xf numFmtId="0" fontId="29" fillId="3" borderId="10" pivotButton="0" quotePrefix="0" xfId="0"/>
    <xf numFmtId="0" fontId="9" fillId="3" borderId="1" applyAlignment="1" pivotButton="0" quotePrefix="0" xfId="0">
      <alignment horizontal="left" vertical="center" wrapText="1" indent="1"/>
    </xf>
    <xf numFmtId="0" fontId="37" fillId="2" borderId="0" applyAlignment="1" pivotButton="0" quotePrefix="0" xfId="0">
      <alignment horizontal="left" vertical="center" indent="1"/>
    </xf>
    <xf numFmtId="0" fontId="9" fillId="3" borderId="6" applyAlignment="1" pivotButton="0" quotePrefix="0" xfId="0">
      <alignment horizontal="center" vertical="center" wrapText="1"/>
    </xf>
    <xf numFmtId="0" fontId="39" fillId="3" borderId="6" applyAlignment="1" pivotButton="0" quotePrefix="0" xfId="0">
      <alignment horizontal="left" vertical="center" wrapText="1" indent="1"/>
    </xf>
    <xf numFmtId="0" fontId="25" fillId="4" borderId="1" applyAlignment="1" pivotButton="0" quotePrefix="0" xfId="0">
      <alignment horizontal="left" vertical="center" wrapText="1" indent="1"/>
    </xf>
    <xf numFmtId="0" fontId="29" fillId="3" borderId="1" pivotButton="0" quotePrefix="0" xfId="0"/>
    <xf numFmtId="0" fontId="9" fillId="3" borderId="1" applyAlignment="1" pivotButton="0" quotePrefix="0" xfId="0">
      <alignment horizontal="center" vertical="center" wrapText="1"/>
    </xf>
    <xf numFmtId="0" fontId="39" fillId="3" borderId="1" applyAlignment="1" pivotButton="0" quotePrefix="0" xfId="0">
      <alignment horizontal="left" vertical="center" wrapText="1" indent="1"/>
    </xf>
    <xf numFmtId="0" fontId="16" fillId="8" borderId="0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center" vertical="center" wrapText="1"/>
    </xf>
    <xf numFmtId="0" fontId="17" fillId="10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44" fillId="3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left" vertical="center" wrapText="1" indent="1"/>
    </xf>
    <xf numFmtId="0" fontId="15" fillId="12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top" wrapText="1" indent="1"/>
    </xf>
    <xf numFmtId="0" fontId="13" fillId="13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left" vertical="top" wrapText="1" indent="1"/>
    </xf>
    <xf numFmtId="0" fontId="14" fillId="10" borderId="1" applyAlignment="1" pivotButton="0" quotePrefix="0" xfId="0">
      <alignment horizontal="left" vertical="top" wrapText="1" indent="1"/>
    </xf>
    <xf numFmtId="0" fontId="12" fillId="8" borderId="0" applyAlignment="1" pivotButton="0" quotePrefix="0" xfId="0">
      <alignment horizontal="left" vertical="center" indent="1"/>
    </xf>
    <xf numFmtId="0" fontId="1" fillId="14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left" vertical="center" wrapText="1" indent="1"/>
    </xf>
    <xf numFmtId="0" fontId="2" fillId="11" borderId="1" applyAlignment="1" pivotButton="0" quotePrefix="0" xfId="0">
      <alignment horizontal="left" vertical="center" wrapText="1" indent="1"/>
    </xf>
    <xf numFmtId="0" fontId="9" fillId="8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top" wrapText="1" indent="1"/>
    </xf>
    <xf numFmtId="0" fontId="12" fillId="3" borderId="38" applyAlignment="1" pivotButton="0" quotePrefix="0" xfId="0">
      <alignment horizontal="left" vertical="center" wrapText="1" indent="1"/>
    </xf>
    <xf numFmtId="0" fontId="12" fillId="3" borderId="12" applyAlignment="1" pivotButton="0" quotePrefix="0" xfId="0">
      <alignment horizontal="left" vertical="center" wrapText="1" indent="1"/>
    </xf>
    <xf numFmtId="0" fontId="12" fillId="3" borderId="25" applyAlignment="1" pivotButton="0" quotePrefix="0" xfId="0">
      <alignment horizontal="left" vertical="center" wrapText="1" indent="1"/>
    </xf>
    <xf numFmtId="0" fontId="12" fillId="3" borderId="1" applyAlignment="1" pivotButton="0" quotePrefix="0" xfId="0">
      <alignment horizontal="left" vertical="center" wrapText="1" indent="1"/>
    </xf>
    <xf numFmtId="0" fontId="19" fillId="4" borderId="1" applyAlignment="1" pivotButton="0" quotePrefix="0" xfId="0">
      <alignment horizontal="left" vertical="center" wrapText="1" indent="1"/>
    </xf>
    <xf numFmtId="0" fontId="19" fillId="4" borderId="26" applyAlignment="1" pivotButton="0" quotePrefix="0" xfId="0">
      <alignment horizontal="left" vertical="center" wrapText="1" indent="1"/>
    </xf>
    <xf numFmtId="0" fontId="12" fillId="3" borderId="26" applyAlignment="1" pivotButton="0" quotePrefix="0" xfId="0">
      <alignment horizontal="left" vertical="center" wrapText="1" indent="1"/>
    </xf>
    <xf numFmtId="0" fontId="19" fillId="0" borderId="30" applyAlignment="1" pivotButton="0" quotePrefix="0" xfId="0">
      <alignment horizontal="left" vertical="center" wrapText="1" indent="1"/>
    </xf>
    <xf numFmtId="0" fontId="19" fillId="0" borderId="32" applyAlignment="1" pivotButton="0" quotePrefix="0" xfId="0">
      <alignment horizontal="left" vertical="center" wrapText="1" indent="1"/>
    </xf>
    <xf numFmtId="0" fontId="0" fillId="3" borderId="1" pivotButton="0" quotePrefix="0" xfId="0"/>
    <xf numFmtId="0" fontId="0" fillId="3" borderId="26" pivotButton="0" quotePrefix="0" xfId="0"/>
    <xf numFmtId="0" fontId="12" fillId="8" borderId="23" applyAlignment="1" pivotButton="0" quotePrefix="0" xfId="0">
      <alignment horizontal="left" vertical="center" indent="1"/>
    </xf>
    <xf numFmtId="0" fontId="12" fillId="8" borderId="24" applyAlignment="1" pivotButton="0" quotePrefix="0" xfId="0">
      <alignment horizontal="left" vertical="center" indent="1"/>
    </xf>
    <xf numFmtId="0" fontId="12" fillId="3" borderId="20" applyAlignment="1" pivotButton="0" quotePrefix="0" xfId="0">
      <alignment horizontal="left" vertical="center" wrapText="1" indent="1"/>
    </xf>
    <xf numFmtId="0" fontId="12" fillId="3" borderId="10" applyAlignment="1" pivotButton="0" quotePrefix="0" xfId="0">
      <alignment horizontal="left" vertical="center" wrapText="1" indent="1"/>
    </xf>
    <xf numFmtId="0" fontId="19" fillId="4" borderId="10" applyAlignment="1" pivotButton="0" quotePrefix="0" xfId="0">
      <alignment horizontal="left" vertical="center" wrapText="1" indent="1"/>
    </xf>
    <xf numFmtId="0" fontId="19" fillId="4" borderId="22" applyAlignment="1" pivotButton="0" quotePrefix="0" xfId="0">
      <alignment horizontal="left" vertical="center" wrapText="1" indent="1"/>
    </xf>
    <xf numFmtId="0" fontId="12" fillId="3" borderId="55" applyAlignment="1" pivotButton="0" quotePrefix="0" xfId="0">
      <alignment horizontal="left" vertical="center" wrapText="1" indent="1"/>
    </xf>
    <xf numFmtId="0" fontId="12" fillId="3" borderId="30" applyAlignment="1" pivotButton="0" quotePrefix="0" xfId="0">
      <alignment horizontal="left" vertical="center" wrapText="1" indent="1"/>
    </xf>
    <xf numFmtId="0" fontId="12" fillId="3" borderId="32" applyAlignment="1" pivotButton="0" quotePrefix="0" xfId="0">
      <alignment horizontal="left" vertical="center" wrapText="1" indent="1"/>
    </xf>
    <xf numFmtId="0" fontId="21" fillId="0" borderId="23" applyAlignment="1" pivotButton="0" quotePrefix="0" xfId="0">
      <alignment horizontal="left" vertical="center" wrapText="1" indent="1"/>
    </xf>
    <xf numFmtId="0" fontId="21" fillId="0" borderId="24" applyAlignment="1" pivotButton="0" quotePrefix="0" xfId="0">
      <alignment horizontal="left" vertical="center" wrapText="1" indent="1"/>
    </xf>
    <xf numFmtId="0" fontId="12" fillId="8" borderId="1" applyAlignment="1" pivotButton="0" quotePrefix="0" xfId="0">
      <alignment horizontal="center" vertical="center" wrapText="1"/>
    </xf>
    <xf numFmtId="0" fontId="12" fillId="10" borderId="18" applyAlignment="1" pivotButton="0" quotePrefix="0" xfId="0">
      <alignment horizontal="center" vertical="center" wrapText="1"/>
    </xf>
    <xf numFmtId="0" fontId="12" fillId="10" borderId="19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 indent="1"/>
    </xf>
    <xf numFmtId="0" fontId="19" fillId="0" borderId="26" applyAlignment="1" pivotButton="0" quotePrefix="0" xfId="0">
      <alignment horizontal="left" vertical="center" wrapText="1" indent="1"/>
    </xf>
    <xf numFmtId="0" fontId="19" fillId="0" borderId="6" applyAlignment="1" pivotButton="0" quotePrefix="0" xfId="0">
      <alignment horizontal="left" vertical="center" wrapText="1" indent="1"/>
    </xf>
    <xf numFmtId="0" fontId="19" fillId="0" borderId="44" applyAlignment="1" pivotButton="0" quotePrefix="0" xfId="0">
      <alignment horizontal="left" vertical="center" wrapText="1" indent="1"/>
    </xf>
    <xf numFmtId="0" fontId="12" fillId="3" borderId="52" applyAlignment="1" pivotButton="0" quotePrefix="0" xfId="0">
      <alignment horizontal="left" vertical="center" wrapText="1" indent="1"/>
    </xf>
    <xf numFmtId="0" fontId="12" fillId="3" borderId="53" applyAlignment="1" pivotButton="0" quotePrefix="0" xfId="0">
      <alignment horizontal="left" vertical="center" wrapText="1" indent="1"/>
    </xf>
    <xf numFmtId="0" fontId="12" fillId="3" borderId="54" applyAlignment="1" pivotButton="0" quotePrefix="0" xfId="0">
      <alignment horizontal="left" vertical="center" wrapText="1" indent="1"/>
    </xf>
    <xf numFmtId="0" fontId="19" fillId="4" borderId="36" applyAlignment="1" pivotButton="0" quotePrefix="0" xfId="0">
      <alignment horizontal="left" vertical="center" wrapText="1" indent="1"/>
    </xf>
    <xf numFmtId="0" fontId="19" fillId="4" borderId="47" applyAlignment="1" pivotButton="0" quotePrefix="0" xfId="0">
      <alignment horizontal="left" vertical="center" wrapText="1" indent="1"/>
    </xf>
    <xf numFmtId="0" fontId="19" fillId="4" borderId="48" applyAlignment="1" pivotButton="0" quotePrefix="0" xfId="0">
      <alignment horizontal="left" vertical="center" wrapText="1" indent="1"/>
    </xf>
    <xf numFmtId="0" fontId="12" fillId="3" borderId="35" applyAlignment="1" pivotButton="0" quotePrefix="0" xfId="0">
      <alignment horizontal="left" vertical="center" wrapText="1" indent="1"/>
    </xf>
    <xf numFmtId="0" fontId="12" fillId="3" borderId="47" applyAlignment="1" pivotButton="0" quotePrefix="0" xfId="0">
      <alignment horizontal="left" vertical="center" wrapText="1" indent="1"/>
    </xf>
    <xf numFmtId="0" fontId="12" fillId="3" borderId="38" applyAlignment="1" pivotButton="0" quotePrefix="0" xfId="0">
      <alignment horizontal="center" vertical="center" wrapText="1"/>
    </xf>
    <xf numFmtId="0" fontId="12" fillId="3" borderId="40" applyAlignment="1" pivotButton="0" quotePrefix="0" xfId="0">
      <alignment horizontal="center" vertical="center" wrapText="1"/>
    </xf>
    <xf numFmtId="0" fontId="12" fillId="3" borderId="39" applyAlignment="1" pivotButton="0" quotePrefix="0" xfId="0">
      <alignment horizontal="center" vertical="center" wrapText="1"/>
    </xf>
    <xf numFmtId="0" fontId="0" fillId="10" borderId="12" applyAlignment="1" pivotButton="0" quotePrefix="0" xfId="0">
      <alignment horizontal="center"/>
    </xf>
    <xf numFmtId="0" fontId="0" fillId="10" borderId="40" applyAlignment="1" pivotButton="0" quotePrefix="0" xfId="0">
      <alignment horizontal="center"/>
    </xf>
    <xf numFmtId="0" fontId="0" fillId="10" borderId="46" applyAlignment="1" pivotButton="0" quotePrefix="0" xfId="0">
      <alignment horizontal="center"/>
    </xf>
    <xf numFmtId="0" fontId="12" fillId="10" borderId="1" applyAlignment="1" pivotButton="0" quotePrefix="0" xfId="0">
      <alignment horizontal="center" vertical="center" wrapText="1"/>
    </xf>
    <xf numFmtId="0" fontId="12" fillId="10" borderId="9" applyAlignment="1" pivotButton="0" quotePrefix="0" xfId="0">
      <alignment horizontal="center" vertical="center" wrapText="1"/>
    </xf>
    <xf numFmtId="0" fontId="12" fillId="10" borderId="8" applyAlignment="1" pivotButton="0" quotePrefix="0" xfId="0">
      <alignment horizontal="center" vertical="center" wrapText="1"/>
    </xf>
    <xf numFmtId="0" fontId="19" fillId="16" borderId="1" applyAlignment="1" pivotButton="0" quotePrefix="0" xfId="0">
      <alignment horizontal="center" vertical="center" wrapText="1"/>
    </xf>
    <xf numFmtId="0" fontId="19" fillId="16" borderId="9" applyAlignment="1" pivotButton="0" quotePrefix="0" xfId="0">
      <alignment horizontal="center" vertical="center" wrapText="1"/>
    </xf>
    <xf numFmtId="0" fontId="19" fillId="16" borderId="8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42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left" vertical="center" wrapText="1"/>
    </xf>
    <xf numFmtId="0" fontId="12" fillId="16" borderId="9" applyAlignment="1" pivotButton="0" quotePrefix="0" xfId="0">
      <alignment horizontal="left" vertical="center" wrapText="1"/>
    </xf>
    <xf numFmtId="0" fontId="12" fillId="16" borderId="42" applyAlignment="1" pivotButton="0" quotePrefix="0" xfId="0">
      <alignment horizontal="left" vertical="center" wrapText="1"/>
    </xf>
    <xf numFmtId="0" fontId="12" fillId="3" borderId="12" applyAlignment="1" pivotButton="0" quotePrefix="0" xfId="0">
      <alignment horizontal="center" vertical="center" wrapText="1"/>
    </xf>
    <xf numFmtId="0" fontId="12" fillId="10" borderId="42" applyAlignment="1" pivotButton="0" quotePrefix="0" xfId="0">
      <alignment horizontal="center" vertical="center" wrapText="1"/>
    </xf>
    <xf numFmtId="0" fontId="12" fillId="3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/>
    </xf>
    <xf numFmtId="0" fontId="12" fillId="3" borderId="4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0" borderId="6" pivotButton="0" quotePrefix="0" xfId="0"/>
    <xf numFmtId="0" fontId="0" fillId="10" borderId="44" pivotButton="0" quotePrefix="0" xfId="0"/>
    <xf numFmtId="0" fontId="19" fillId="4" borderId="35" applyAlignment="1" pivotButton="0" quotePrefix="0" xfId="0">
      <alignment horizontal="left" vertical="center" wrapText="1" indent="1"/>
    </xf>
    <xf numFmtId="0" fontId="12" fillId="3" borderId="9" applyAlignment="1" pivotButton="0" quotePrefix="0" xfId="0">
      <alignment horizontal="left" vertical="center" wrapText="1" indent="1"/>
    </xf>
    <xf numFmtId="0" fontId="12" fillId="3" borderId="45" applyAlignment="1" pivotButton="0" quotePrefix="0" xfId="0">
      <alignment horizontal="left" vertical="center" wrapText="1" indent="1"/>
    </xf>
    <xf numFmtId="0" fontId="12" fillId="3" borderId="35" applyAlignment="1" pivotButton="0" quotePrefix="0" xfId="0">
      <alignment horizontal="center" vertical="center" wrapText="1"/>
    </xf>
    <xf numFmtId="0" fontId="12" fillId="3" borderId="36" applyAlignment="1" pivotButton="0" quotePrefix="0" xfId="0">
      <alignment horizontal="center" vertical="center" wrapText="1"/>
    </xf>
    <xf numFmtId="0" fontId="12" fillId="3" borderId="37" applyAlignment="1" pivotButton="0" quotePrefix="0" xfId="0">
      <alignment horizontal="center" vertical="center" wrapText="1"/>
    </xf>
    <xf numFmtId="0" fontId="19" fillId="4" borderId="35" applyAlignment="1" pivotButton="0" quotePrefix="0" xfId="0">
      <alignment horizontal="center" vertical="center" wrapText="1"/>
    </xf>
    <xf numFmtId="0" fontId="19" fillId="4" borderId="36" applyAlignment="1" pivotButton="0" quotePrefix="0" xfId="0">
      <alignment horizontal="center" vertical="center" wrapText="1"/>
    </xf>
    <xf numFmtId="0" fontId="19" fillId="4" borderId="37" applyAlignment="1" pivotButton="0" quotePrefix="0" xfId="0">
      <alignment horizontal="center" vertical="center" wrapText="1"/>
    </xf>
    <xf numFmtId="0" fontId="18" fillId="3" borderId="25" applyAlignment="1" pivotButton="0" quotePrefix="0" xfId="0">
      <alignment horizontal="left" vertical="center" wrapText="1" indent="1"/>
    </xf>
    <xf numFmtId="0" fontId="18" fillId="3" borderId="1" applyAlignment="1" pivotButton="0" quotePrefix="0" xfId="0">
      <alignment horizontal="left" vertical="center" wrapText="1" indent="1"/>
    </xf>
    <xf numFmtId="0" fontId="12" fillId="3" borderId="16" applyAlignment="1" pivotButton="0" quotePrefix="0" xfId="0">
      <alignment horizontal="left" vertical="center" wrapText="1" indent="1"/>
    </xf>
    <xf numFmtId="0" fontId="12" fillId="3" borderId="6" applyAlignment="1" pivotButton="0" quotePrefix="0" xfId="0">
      <alignment horizontal="left" vertical="center" wrapText="1" indent="1"/>
    </xf>
    <xf numFmtId="0" fontId="19" fillId="4" borderId="6" applyAlignment="1" pivotButton="0" quotePrefix="0" xfId="0">
      <alignment horizontal="left" vertical="center" wrapText="1" indent="1"/>
    </xf>
    <xf numFmtId="0" fontId="19" fillId="4" borderId="44" applyAlignment="1" pivotButton="0" quotePrefix="0" xfId="0">
      <alignment horizontal="left" vertical="center" wrapText="1" indent="1"/>
    </xf>
    <xf numFmtId="0" fontId="19" fillId="4" borderId="41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center" vertical="center" wrapText="1"/>
    </xf>
    <xf numFmtId="0" fontId="12" fillId="3" borderId="43" applyAlignment="1" pivotButton="0" quotePrefix="0" xfId="0">
      <alignment horizontal="left" vertical="center" wrapText="1" indent="1"/>
    </xf>
    <xf numFmtId="0" fontId="19" fillId="4" borderId="17" applyAlignment="1" pivotButton="0" quotePrefix="0" xfId="0">
      <alignment horizontal="left" vertical="center" wrapText="1" indent="1"/>
    </xf>
    <xf numFmtId="0" fontId="12" fillId="3" borderId="11" applyAlignment="1" pivotButton="0" quotePrefix="0" xfId="0">
      <alignment horizontal="left" vertical="center" wrapText="1" indent="1"/>
    </xf>
    <xf numFmtId="0" fontId="19" fillId="10" borderId="10" applyAlignment="1" pivotButton="0" quotePrefix="0" xfId="0">
      <alignment horizontal="center" vertical="center" wrapText="1"/>
    </xf>
    <xf numFmtId="0" fontId="19" fillId="10" borderId="22" applyAlignment="1" pivotButton="0" quotePrefix="0" xfId="0">
      <alignment horizontal="center" vertical="center" wrapText="1"/>
    </xf>
    <xf numFmtId="0" fontId="19" fillId="10" borderId="13" applyAlignment="1" pivotButton="0" quotePrefix="0" xfId="0">
      <alignment horizontal="center" vertical="center" wrapText="1"/>
    </xf>
    <xf numFmtId="0" fontId="19" fillId="10" borderId="14" applyAlignment="1" pivotButton="0" quotePrefix="0" xfId="0">
      <alignment horizontal="center" vertical="center" wrapText="1"/>
    </xf>
    <xf numFmtId="0" fontId="19" fillId="10" borderId="15" applyAlignment="1" pivotButton="0" quotePrefix="0" xfId="0">
      <alignment horizontal="center" vertical="center" wrapText="1"/>
    </xf>
    <xf numFmtId="0" fontId="0" fillId="0" borderId="60" applyAlignment="1" pivotButton="0" quotePrefix="0" xfId="0">
      <alignment horizontal="center"/>
    </xf>
    <xf numFmtId="0" fontId="0" fillId="0" borderId="6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2" fillId="8" borderId="0" applyAlignment="1" pivotButton="0" quotePrefix="0" xfId="0">
      <alignment horizontal="center" vertical="center" wrapText="1"/>
    </xf>
    <xf numFmtId="0" fontId="14" fillId="10" borderId="0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center" vertical="center" wrapText="1"/>
    </xf>
    <xf numFmtId="0" fontId="12" fillId="8" borderId="17" applyAlignment="1" pivotButton="0" quotePrefix="0" xfId="0">
      <alignment horizontal="left" vertical="center" indent="1"/>
    </xf>
    <xf numFmtId="0" fontId="12" fillId="8" borderId="18" applyAlignment="1" pivotButton="0" quotePrefix="0" xfId="0">
      <alignment horizontal="left" vertical="center" indent="1"/>
    </xf>
    <xf numFmtId="0" fontId="12" fillId="8" borderId="19" applyAlignment="1" pivotButton="0" quotePrefix="0" xfId="0">
      <alignment horizontal="left" vertical="center" indent="1"/>
    </xf>
    <xf numFmtId="0" fontId="18" fillId="3" borderId="20" applyAlignment="1" pivotButton="0" quotePrefix="0" xfId="0">
      <alignment horizontal="left" vertical="center" wrapText="1" indent="1"/>
    </xf>
    <xf numFmtId="0" fontId="18" fillId="3" borderId="10" applyAlignment="1" pivotButton="0" quotePrefix="0" xfId="0">
      <alignment horizontal="left" vertical="center" wrapText="1" indent="1"/>
    </xf>
    <xf numFmtId="0" fontId="12" fillId="10" borderId="10" applyAlignment="1" pivotButton="0" quotePrefix="0" xfId="0">
      <alignment horizontal="center" vertical="center" wrapText="1"/>
    </xf>
    <xf numFmtId="0" fontId="18" fillId="3" borderId="10" applyAlignment="1" pivotButton="0" quotePrefix="0" xfId="0">
      <alignment horizontal="center" vertical="center" wrapText="1"/>
    </xf>
    <xf numFmtId="0" fontId="18" fillId="10" borderId="13" applyAlignment="1" pivotButton="0" quotePrefix="0" xfId="0">
      <alignment horizontal="center" vertical="center" wrapText="1"/>
    </xf>
    <xf numFmtId="0" fontId="18" fillId="10" borderId="14" applyAlignment="1" pivotButton="0" quotePrefix="0" xfId="0">
      <alignment horizontal="center" vertical="center" wrapText="1"/>
    </xf>
    <xf numFmtId="0" fontId="18" fillId="10" borderId="21" applyAlignment="1" pivotButton="0" quotePrefix="0" xfId="0">
      <alignment horizontal="center" vertical="center" wrapText="1"/>
    </xf>
    <xf numFmtId="0" fontId="12" fillId="3" borderId="10" applyAlignment="1" pivotButton="0" quotePrefix="0" xfId="0">
      <alignment horizontal="left" vertical="center" wrapText="1"/>
    </xf>
    <xf numFmtId="0" fontId="12" fillId="3" borderId="22" applyAlignment="1" pivotButton="0" quotePrefix="0" xfId="0">
      <alignment horizontal="left" vertical="center" wrapText="1"/>
    </xf>
    <xf numFmtId="0" fontId="20" fillId="11" borderId="10" applyAlignment="1" pivotButton="0" quotePrefix="0" xfId="0">
      <alignment horizontal="center" vertical="center" wrapText="1"/>
    </xf>
    <xf numFmtId="0" fontId="12" fillId="13" borderId="20" applyAlignment="1" pivotButton="0" quotePrefix="0" xfId="0">
      <alignment horizontal="left" vertical="center" wrapText="1" indent="1"/>
    </xf>
    <xf numFmtId="0" fontId="12" fillId="13" borderId="10" applyAlignment="1" pivotButton="0" quotePrefix="0" xfId="0">
      <alignment horizontal="left" vertical="center" wrapText="1" indent="1"/>
    </xf>
    <xf numFmtId="0" fontId="21" fillId="10" borderId="1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left" vertical="center" indent="1"/>
    </xf>
    <xf numFmtId="0" fontId="28" fillId="6" borderId="1" applyAlignment="1" pivotButton="0" quotePrefix="0" xfId="0">
      <alignment horizontal="left" vertical="top" wrapText="1" indent="1"/>
    </xf>
    <xf numFmtId="0" fontId="25" fillId="6" borderId="1" applyAlignment="1" pivotButton="0" quotePrefix="0" xfId="0">
      <alignment horizontal="left" vertical="top" wrapText="1" indent="1"/>
    </xf>
    <xf numFmtId="0" fontId="28" fillId="7" borderId="1" applyAlignment="1" pivotButton="0" quotePrefix="0" xfId="0">
      <alignment horizontal="left" vertical="top" wrapText="1" indent="1"/>
    </xf>
    <xf numFmtId="0" fontId="25" fillId="7" borderId="1" applyAlignment="1" pivotButton="0" quotePrefix="0" xfId="0">
      <alignment horizontal="left" vertical="top" wrapText="1" indent="1"/>
    </xf>
    <xf numFmtId="0" fontId="28" fillId="3" borderId="1" applyAlignment="1" pivotButton="0" quotePrefix="0" xfId="0">
      <alignment horizontal="left" vertical="top" wrapText="1" indent="1"/>
    </xf>
    <xf numFmtId="0" fontId="25" fillId="3" borderId="1" applyAlignment="1" pivotButton="0" quotePrefix="0" xfId="0">
      <alignment horizontal="left" vertical="top" wrapText="1" indent="1"/>
    </xf>
    <xf numFmtId="0" fontId="28" fillId="5" borderId="1" applyAlignment="1" pivotButton="0" quotePrefix="0" xfId="0">
      <alignment horizontal="left" vertical="top" wrapText="1" indent="1"/>
    </xf>
    <xf numFmtId="0" fontId="25" fillId="5" borderId="1" applyAlignment="1" pivotButton="0" quotePrefix="0" xfId="0">
      <alignment horizontal="left" vertical="top" wrapText="1" indent="1"/>
    </xf>
    <xf numFmtId="0" fontId="34" fillId="0" borderId="0" applyAlignment="1" pivotButton="0" quotePrefix="0" xfId="0">
      <alignment horizontal="left" vertical="center" wrapText="1" indent="1"/>
    </xf>
    <xf numFmtId="0" fontId="9" fillId="8" borderId="10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left" vertical="top" wrapText="1" indent="1"/>
    </xf>
    <xf numFmtId="0" fontId="24" fillId="10" borderId="10" applyAlignment="1" pivotButton="0" quotePrefix="0" xfId="0">
      <alignment horizontal="center" vertical="center" wrapText="1"/>
    </xf>
    <xf numFmtId="0" fontId="26" fillId="3" borderId="10" applyAlignment="1" pivotButton="0" quotePrefix="0" xfId="0">
      <alignment horizontal="center" vertical="center" wrapText="1"/>
    </xf>
    <xf numFmtId="0" fontId="25" fillId="4" borderId="10" applyAlignment="1" pivotButton="0" quotePrefix="0" xfId="0">
      <alignment horizontal="center" vertical="center" wrapText="1"/>
    </xf>
    <xf numFmtId="0" fontId="24" fillId="3" borderId="10" applyAlignment="1" pivotButton="0" quotePrefix="0" xfId="0">
      <alignment horizontal="center" vertical="center" wrapText="1"/>
    </xf>
    <xf numFmtId="0" fontId="25" fillId="4" borderId="13" applyAlignment="1" pivotButton="0" quotePrefix="0" xfId="0">
      <alignment horizontal="center" vertical="center" wrapText="1"/>
    </xf>
    <xf numFmtId="0" fontId="25" fillId="4" borderId="14" applyAlignment="1" pivotButton="0" quotePrefix="0" xfId="0">
      <alignment horizontal="center" vertical="center" wrapText="1"/>
    </xf>
    <xf numFmtId="0" fontId="25" fillId="4" borderId="15" applyAlignment="1" pivotButton="0" quotePrefix="0" xfId="0">
      <alignment horizontal="center" vertical="center" wrapText="1"/>
    </xf>
    <xf numFmtId="0" fontId="24" fillId="3" borderId="13" applyAlignment="1" pivotButton="0" quotePrefix="0" xfId="0">
      <alignment horizontal="center" vertical="center" wrapText="1"/>
    </xf>
    <xf numFmtId="0" fontId="24" fillId="3" borderId="15" applyAlignment="1" pivotButton="0" quotePrefix="0" xfId="0">
      <alignment horizontal="center" vertical="center" wrapText="1"/>
    </xf>
    <xf numFmtId="0" fontId="29" fillId="0" borderId="62" applyAlignment="1" pivotButton="0" quotePrefix="0" xfId="0">
      <alignment horizontal="center"/>
    </xf>
    <xf numFmtId="0" fontId="29" fillId="0" borderId="63" applyAlignment="1" pivotButton="0" quotePrefix="0" xfId="0">
      <alignment horizontal="center"/>
    </xf>
    <xf numFmtId="0" fontId="22" fillId="8" borderId="0" applyAlignment="1" pivotButton="0" quotePrefix="0" xfId="0">
      <alignment horizontal="center" vertical="center" wrapText="1"/>
    </xf>
    <xf numFmtId="0" fontId="23" fillId="10" borderId="0" applyAlignment="1" pivotButton="0" quotePrefix="0" xfId="0">
      <alignment horizontal="center" vertical="center" wrapText="1"/>
    </xf>
    <xf numFmtId="0" fontId="30" fillId="3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17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center" wrapText="1" indent="1"/>
    </xf>
    <xf numFmtId="0" fontId="1" fillId="3" borderId="1" applyAlignment="1" pivotButton="0" quotePrefix="0" xfId="0">
      <alignment horizontal="left" vertical="center" wrapText="1" indent="1"/>
    </xf>
    <xf numFmtId="0" fontId="2" fillId="4" borderId="1" applyAlignment="1" pivotButton="0" quotePrefix="0" xfId="0">
      <alignment horizontal="left" vertical="center" wrapText="1" indent="1"/>
    </xf>
    <xf numFmtId="0" fontId="1" fillId="3" borderId="1" applyAlignment="1" pivotButton="0" quotePrefix="0" xfId="0">
      <alignment horizontal="center" vertical="center" wrapText="1"/>
    </xf>
    <xf numFmtId="0" fontId="1" fillId="3" borderId="9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5" fillId="3" borderId="1" applyAlignment="1" pivotButton="0" quotePrefix="0" xfId="0">
      <alignment horizontal="left" vertical="center" wrapText="1" indent="1"/>
    </xf>
    <xf numFmtId="0" fontId="7" fillId="0" borderId="6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left" vertical="center" wrapText="1" indent="1"/>
    </xf>
    <xf numFmtId="0" fontId="4" fillId="11" borderId="10" applyAlignment="1" pivotButton="0" quotePrefix="0" xfId="0">
      <alignment horizontal="center" vertical="center" wrapText="1"/>
    </xf>
    <xf numFmtId="0" fontId="1" fillId="3" borderId="10" applyAlignment="1" pivotButton="0" quotePrefix="0" xfId="0">
      <alignment horizontal="left" vertical="center" wrapText="1" indent="1"/>
    </xf>
    <xf numFmtId="0" fontId="2" fillId="10" borderId="10" applyAlignment="1" pivotButton="0" quotePrefix="0" xfId="0">
      <alignment horizontal="left" vertical="center" wrapText="1" indent="1"/>
    </xf>
    <xf numFmtId="0" fontId="2" fillId="4" borderId="10" applyAlignment="1" pivotButton="0" quotePrefix="0" xfId="0">
      <alignment horizontal="left" vertical="center" wrapText="1" indent="1"/>
    </xf>
    <xf numFmtId="0" fontId="3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9" fillId="19" borderId="65" applyAlignment="1" pivotButton="0" quotePrefix="0" xfId="0">
      <alignment horizontal="center" vertical="center" wrapText="1"/>
    </xf>
    <xf numFmtId="0" fontId="9" fillId="19" borderId="15" applyAlignment="1" pivotButton="0" quotePrefix="0" xfId="0">
      <alignment horizontal="center" vertical="center" wrapText="1"/>
    </xf>
    <xf numFmtId="0" fontId="9" fillId="19" borderId="66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left" vertical="center" wrapText="1" indent="1"/>
    </xf>
    <xf numFmtId="0" fontId="24" fillId="3" borderId="1" applyAlignment="1" pivotButton="0" quotePrefix="0" xfId="0">
      <alignment horizontal="left" vertical="center" wrapText="1" indent="1"/>
    </xf>
    <xf numFmtId="0" fontId="28" fillId="11" borderId="2" applyAlignment="1" pivotButton="0" quotePrefix="0" xfId="0">
      <alignment horizontal="center" vertical="center" wrapText="1"/>
    </xf>
    <xf numFmtId="0" fontId="25" fillId="10" borderId="1" applyAlignment="1" pivotButton="0" quotePrefix="0" xfId="0">
      <alignment horizontal="left" vertical="center" wrapText="1" indent="1"/>
    </xf>
    <xf numFmtId="0" fontId="36" fillId="3" borderId="0" applyAlignment="1" pivotButton="0" quotePrefix="0" xfId="0">
      <alignment horizontal="center" vertical="center" wrapText="1"/>
    </xf>
    <xf numFmtId="0" fontId="29" fillId="4" borderId="1" pivotButton="0" quotePrefix="0" xfId="0"/>
    <xf numFmtId="0" fontId="9" fillId="8" borderId="1" applyAlignment="1" pivotButton="0" quotePrefix="0" xfId="0">
      <alignment horizontal="center" vertical="center" wrapText="1"/>
    </xf>
    <xf numFmtId="0" fontId="25" fillId="4" borderId="12" applyAlignment="1" pivotButton="0" quotePrefix="0" xfId="0">
      <alignment horizontal="left" vertical="center" wrapText="1" indent="1"/>
    </xf>
    <xf numFmtId="0" fontId="9" fillId="3" borderId="1" applyAlignment="1" pivotButton="0" quotePrefix="0" xfId="0">
      <alignment horizontal="left" vertical="center" wrapText="1"/>
    </xf>
    <xf numFmtId="0" fontId="9" fillId="3" borderId="9" applyAlignment="1" pivotButton="0" quotePrefix="0" xfId="0">
      <alignment horizontal="left" vertical="center" wrapText="1"/>
    </xf>
    <xf numFmtId="0" fontId="25" fillId="4" borderId="35" applyAlignment="1" pivotButton="0" quotePrefix="0" xfId="0">
      <alignment horizontal="center" vertical="center" wrapText="1"/>
    </xf>
    <xf numFmtId="0" fontId="25" fillId="4" borderId="36" applyAlignment="1" pivotButton="0" quotePrefix="0" xfId="0">
      <alignment horizontal="center" vertical="center" wrapText="1"/>
    </xf>
    <xf numFmtId="0" fontId="25" fillId="4" borderId="37" applyAlignment="1" pivotButton="0" quotePrefix="0" xfId="0">
      <alignment horizontal="center" vertical="center" wrapText="1"/>
    </xf>
    <xf numFmtId="0" fontId="9" fillId="19" borderId="0" applyAlignment="1" pivotButton="0" quotePrefix="0" xfId="0">
      <alignment horizontal="left" vertical="center" indent="1"/>
    </xf>
    <xf numFmtId="0" fontId="40" fillId="0" borderId="0" applyAlignment="1" pivotButton="0" quotePrefix="0" xfId="0">
      <alignment horizontal="left" vertical="center" wrapText="1" indent="1"/>
    </xf>
    <xf numFmtId="0" fontId="9" fillId="19" borderId="10" applyAlignment="1" pivotButton="0" quotePrefix="0" xfId="0">
      <alignment horizontal="center" vertical="center" wrapText="1"/>
    </xf>
    <xf numFmtId="0" fontId="25" fillId="10" borderId="12" applyAlignment="1" pivotButton="0" quotePrefix="0" xfId="0">
      <alignment horizontal="left" vertical="center" wrapText="1" indent="1"/>
    </xf>
    <xf numFmtId="0" fontId="9" fillId="3" borderId="12" applyAlignment="1" pivotButton="0" quotePrefix="0" xfId="0">
      <alignment horizontal="left" vertical="center" wrapText="1" indent="1"/>
    </xf>
    <xf numFmtId="0" fontId="25" fillId="10" borderId="67" applyAlignment="1" pivotButton="0" quotePrefix="0" xfId="0">
      <alignment horizontal="left" vertical="center" wrapText="1" indent="1"/>
    </xf>
    <xf numFmtId="0" fontId="9" fillId="20" borderId="0" applyAlignment="1" pivotButton="0" quotePrefix="0" xfId="0">
      <alignment horizontal="left" vertical="center" indent="1"/>
    </xf>
    <xf numFmtId="0" fontId="21" fillId="3" borderId="1" applyAlignment="1" pivotButton="0" quotePrefix="0" xfId="0">
      <alignment horizontal="left" vertical="top" wrapText="1" indent="1"/>
    </xf>
    <xf numFmtId="0" fontId="16" fillId="19" borderId="0" applyAlignment="1" pivotButton="0" quotePrefix="0" xfId="0">
      <alignment horizontal="center" vertical="center" wrapText="1"/>
    </xf>
    <xf numFmtId="0" fontId="22" fillId="19" borderId="0" applyAlignment="1" pivotButton="0" quotePrefix="0" xfId="0">
      <alignment horizontal="center" vertical="center" wrapText="1"/>
    </xf>
    <xf numFmtId="0" fontId="23" fillId="17" borderId="0" applyAlignment="1" pivotButton="0" quotePrefix="0" xfId="0">
      <alignment horizontal="center" vertical="center" wrapText="1"/>
    </xf>
    <xf numFmtId="0" fontId="16" fillId="20" borderId="0" applyAlignment="1" pivotButton="0" quotePrefix="0" xfId="0">
      <alignment horizontal="center" vertical="center" wrapText="1"/>
    </xf>
    <xf numFmtId="0" fontId="12" fillId="19" borderId="0" applyAlignment="1" pivotButton="0" quotePrefix="0" xfId="0">
      <alignment horizontal="left" vertical="center" indent="1"/>
    </xf>
    <xf numFmtId="0" fontId="39" fillId="3" borderId="1" applyAlignment="1" pivotButton="0" quotePrefix="0" xfId="0">
      <alignment horizontal="left" vertical="top" wrapText="1" indent="1"/>
    </xf>
    <xf numFmtId="0" fontId="9" fillId="8" borderId="5" applyAlignment="1" pivotButton="0" quotePrefix="0" xfId="0">
      <alignment horizontal="center" vertical="center" wrapText="1"/>
    </xf>
    <xf numFmtId="0" fontId="9" fillId="8" borderId="6" applyAlignment="1" pivotButton="0" quotePrefix="0" xfId="0">
      <alignment horizontal="center" vertical="center" wrapText="1"/>
    </xf>
    <xf numFmtId="0" fontId="9" fillId="14" borderId="10" applyAlignment="1" pivotButton="0" quotePrefix="0" xfId="0">
      <alignment horizontal="center" vertical="center" wrapText="1"/>
    </xf>
    <xf numFmtId="0" fontId="9" fillId="14" borderId="13" applyAlignment="1" pivotButton="0" quotePrefix="0" xfId="0">
      <alignment horizontal="center" vertical="center" wrapText="1"/>
    </xf>
    <xf numFmtId="0" fontId="25" fillId="10" borderId="1" applyAlignment="1" pivotButton="0" quotePrefix="0" xfId="0">
      <alignment horizontal="center" vertical="center" wrapText="1"/>
    </xf>
    <xf numFmtId="0" fontId="25" fillId="10" borderId="9" applyAlignment="1" pivotButton="0" quotePrefix="0" xfId="0">
      <alignment horizontal="center" vertical="center" wrapText="1"/>
    </xf>
    <xf numFmtId="0" fontId="25" fillId="8" borderId="0" applyAlignment="1" pivotButton="0" quotePrefix="0" xfId="0">
      <alignment horizontal="center" vertical="center" wrapText="1"/>
    </xf>
    <xf numFmtId="0" fontId="41" fillId="10" borderId="0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center" wrapText="1" indent="1"/>
    </xf>
    <xf numFmtId="0" fontId="6" fillId="10" borderId="1" applyAlignment="1" pivotButton="0" quotePrefix="0" xfId="0">
      <alignment horizontal="center" vertical="center" wrapText="1"/>
    </xf>
    <xf numFmtId="0" fontId="25" fillId="16" borderId="12" applyAlignment="1" pivotButton="0" quotePrefix="0" xfId="0">
      <alignment horizontal="left" vertical="center" wrapText="1" indent="1"/>
    </xf>
    <xf numFmtId="0" fontId="25" fillId="16" borderId="1" applyAlignment="1" pivotButton="0" quotePrefix="0" xfId="0">
      <alignment horizontal="left" vertical="center" wrapText="1" indent="1"/>
    </xf>
    <xf numFmtId="0" fontId="28" fillId="10" borderId="1" applyAlignment="1" pivotButton="0" quotePrefix="0" xfId="0">
      <alignment horizontal="left" vertical="center" wrapText="1" indent="1"/>
    </xf>
    <xf numFmtId="0" fontId="39" fillId="0" borderId="0" applyAlignment="1" pivotButton="0" quotePrefix="0" xfId="0">
      <alignment horizontal="left" vertical="center" wrapText="1" indent="1"/>
    </xf>
    <xf numFmtId="0" fontId="9" fillId="19" borderId="1" applyAlignment="1" pivotButton="0" quotePrefix="0" xfId="0">
      <alignment horizontal="center" vertical="center" wrapText="1"/>
    </xf>
    <xf numFmtId="0" fontId="25" fillId="0" borderId="35" applyAlignment="1" pivotButton="0" quotePrefix="0" xfId="0">
      <alignment horizontal="center" vertical="center" wrapText="1"/>
    </xf>
    <xf numFmtId="0" fontId="25" fillId="0" borderId="37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9" fillId="3" borderId="40" applyAlignment="1" pivotButton="0" quotePrefix="0" xfId="0">
      <alignment horizontal="center" vertical="center" wrapText="1"/>
    </xf>
    <xf numFmtId="0" fontId="28" fillId="11" borderId="17" applyAlignment="1" pivotButton="0" quotePrefix="0" xfId="0">
      <alignment horizontal="center" vertical="center" wrapText="1"/>
    </xf>
    <xf numFmtId="0" fontId="28" fillId="11" borderId="18" applyAlignment="1" pivotButton="0" quotePrefix="0" xfId="0">
      <alignment horizontal="center" vertical="center" wrapText="1"/>
    </xf>
    <xf numFmtId="0" fontId="28" fillId="11" borderId="19" applyAlignment="1" pivotButton="0" quotePrefix="0" xfId="0">
      <alignment horizontal="center" vertical="center" wrapText="1"/>
    </xf>
    <xf numFmtId="0" fontId="28" fillId="11" borderId="76" applyAlignment="1" pivotButton="0" quotePrefix="0" xfId="0">
      <alignment horizontal="center" vertical="center" wrapText="1"/>
    </xf>
    <xf numFmtId="0" fontId="28" fillId="11" borderId="78" applyAlignment="1" pivotButton="0" quotePrefix="0" xfId="0">
      <alignment horizontal="center" vertical="center" wrapText="1"/>
    </xf>
    <xf numFmtId="0" fontId="28" fillId="11" borderId="81" applyAlignment="1" pivotButton="0" quotePrefix="0" xfId="0">
      <alignment horizontal="center" vertical="center" wrapText="1"/>
    </xf>
    <xf numFmtId="0" fontId="25" fillId="0" borderId="35" applyAlignment="1" pivotButton="0" quotePrefix="0" xfId="0">
      <alignment horizontal="left" vertical="center" wrapText="1" indent="1"/>
    </xf>
    <xf numFmtId="0" fontId="25" fillId="0" borderId="47" applyAlignment="1" pivotButton="0" quotePrefix="0" xfId="0">
      <alignment horizontal="left" vertical="center" wrapText="1" indent="1"/>
    </xf>
    <xf numFmtId="0" fontId="25" fillId="0" borderId="48" applyAlignment="1" pivotButton="0" quotePrefix="0" xfId="0">
      <alignment horizontal="left" vertical="center" wrapText="1" indent="1"/>
    </xf>
    <xf numFmtId="0" fontId="24" fillId="3" borderId="12" applyAlignment="1" pivotButton="0" quotePrefix="0" xfId="0">
      <alignment horizontal="left" vertical="center" wrapText="1" indent="1"/>
    </xf>
    <xf numFmtId="0" fontId="25" fillId="4" borderId="76" applyAlignment="1" pivotButton="0" quotePrefix="0" xfId="0">
      <alignment horizontal="center" vertical="center" wrapText="1"/>
    </xf>
    <xf numFmtId="0" fontId="25" fillId="4" borderId="78" applyAlignment="1" pivotButton="0" quotePrefix="0" xfId="0">
      <alignment horizontal="center" vertical="center" wrapText="1"/>
    </xf>
    <xf numFmtId="0" fontId="25" fillId="4" borderId="19" applyAlignment="1" pivotButton="0" quotePrefix="0" xfId="0">
      <alignment horizontal="center" vertical="center" wrapText="1"/>
    </xf>
    <xf numFmtId="0" fontId="25" fillId="4" borderId="79" applyAlignment="1" pivotButton="0" quotePrefix="0" xfId="0">
      <alignment horizontal="center" vertical="center" wrapText="1"/>
    </xf>
    <xf numFmtId="0" fontId="25" fillId="4" borderId="80" applyAlignment="1" pivotButton="0" quotePrefix="0" xfId="0">
      <alignment horizontal="center" vertical="center" wrapText="1"/>
    </xf>
    <xf numFmtId="0" fontId="24" fillId="3" borderId="10" applyAlignment="1" pivotButton="0" quotePrefix="0" xfId="0">
      <alignment horizontal="left" vertical="center" wrapText="1" indent="1"/>
    </xf>
    <xf numFmtId="0" fontId="28" fillId="11" borderId="10" applyAlignment="1" pivotButton="0" quotePrefix="0" xfId="0">
      <alignment horizontal="center" vertical="center" wrapText="1"/>
    </xf>
    <xf numFmtId="0" fontId="25" fillId="10" borderId="10" applyAlignment="1" pivotButton="0" quotePrefix="0" xfId="0">
      <alignment horizontal="left" vertical="center" wrapText="1" indent="1"/>
    </xf>
    <xf numFmtId="0" fontId="24" fillId="3" borderId="6" applyAlignment="1" pivotButton="0" quotePrefix="0" xfId="0">
      <alignment horizontal="left" vertical="center" wrapText="1" indent="1"/>
    </xf>
    <xf numFmtId="0" fontId="9" fillId="17" borderId="10" applyAlignment="1" pivotButton="0" quotePrefix="0" xfId="0">
      <alignment horizontal="left" vertical="center" wrapText="1"/>
    </xf>
    <xf numFmtId="0" fontId="42" fillId="19" borderId="0" applyAlignment="1" pivotButton="0" quotePrefix="0" xfId="0">
      <alignment horizontal="center" vertical="center" wrapText="1"/>
    </xf>
    <xf numFmtId="0" fontId="43" fillId="17" borderId="0" applyAlignment="1" pivotButton="0" quotePrefix="0" xfId="0">
      <alignment horizontal="center" vertical="center" wrapText="1"/>
    </xf>
    <xf numFmtId="0" fontId="24" fillId="3" borderId="82" applyAlignment="1" pivotButton="0" quotePrefix="0" xfId="0">
      <alignment horizontal="left" vertical="center" wrapText="1" indent="1"/>
    </xf>
    <xf numFmtId="0" fontId="25" fillId="4" borderId="82" applyAlignment="1" pivotButton="0" quotePrefix="0" xfId="0">
      <alignment horizontal="left" vertical="center" wrapText="1" indent="1"/>
    </xf>
    <xf numFmtId="0" fontId="9" fillId="3" borderId="82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12" fillId="8" borderId="85" applyAlignment="1" pivotButton="0" quotePrefix="0" xfId="0">
      <alignment horizontal="left" vertical="center" indent="1"/>
    </xf>
    <xf numFmtId="0" fontId="0" fillId="0" borderId="18" pivotButton="0" quotePrefix="0" xfId="0"/>
    <xf numFmtId="0" fontId="0" fillId="0" borderId="19" pivotButton="0" quotePrefix="0" xfId="0"/>
    <xf numFmtId="0" fontId="0" fillId="0" borderId="14" pivotButton="0" quotePrefix="0" xfId="0"/>
    <xf numFmtId="0" fontId="0" fillId="0" borderId="15" pivotButton="0" quotePrefix="0" xfId="0"/>
    <xf numFmtId="0" fontId="18" fillId="10" borderId="22" applyAlignment="1" pivotButton="0" quotePrefix="0" xfId="0">
      <alignment horizontal="center" vertical="center" wrapText="1"/>
    </xf>
    <xf numFmtId="0" fontId="0" fillId="0" borderId="21" pivotButton="0" quotePrefix="0" xfId="0"/>
    <xf numFmtId="0" fontId="12" fillId="8" borderId="86" applyAlignment="1" pivotButton="0" quotePrefix="0" xfId="0">
      <alignment horizontal="left" vertical="center" indent="1"/>
    </xf>
    <xf numFmtId="0" fontId="45" fillId="21" borderId="0" applyAlignment="1" pivotButton="0" quotePrefix="0" xfId="0">
      <alignment horizontal="center" vertical="center" wrapText="1"/>
    </xf>
    <xf numFmtId="0" fontId="12" fillId="3" borderId="87" applyAlignment="1" pivotButton="0" quotePrefix="0" xfId="0">
      <alignment horizontal="left" vertical="center" wrapText="1" indent="1"/>
    </xf>
    <xf numFmtId="0" fontId="0" fillId="0" borderId="42" pivotButton="0" quotePrefix="0" xfId="0"/>
    <xf numFmtId="0" fontId="46" fillId="22" borderId="0" applyAlignment="1" pivotButton="0" quotePrefix="0" xfId="0">
      <alignment horizontal="center" vertical="center" wrapText="1"/>
    </xf>
    <xf numFmtId="0" fontId="19" fillId="4" borderId="68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19" fillId="4" borderId="89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88" pivotButton="0" quotePrefix="0" xfId="0"/>
    <xf numFmtId="0" fontId="19" fillId="4" borderId="68" applyAlignment="1" pivotButton="0" quotePrefix="0" xfId="0">
      <alignment horizontal="left" vertical="center" wrapText="1" indent="1"/>
    </xf>
    <xf numFmtId="0" fontId="12" fillId="3" borderId="68" applyAlignment="1" pivotButton="0" quotePrefix="0" xfId="0">
      <alignment horizontal="center" vertical="center" wrapText="1"/>
    </xf>
    <xf numFmtId="0" fontId="12" fillId="3" borderId="91" applyAlignment="1" pivotButton="0" quotePrefix="0" xfId="0">
      <alignment horizontal="left" vertical="center" wrapText="1" indent="1"/>
    </xf>
    <xf numFmtId="0" fontId="0" fillId="0" borderId="40" pivotButton="0" quotePrefix="0" xfId="0"/>
    <xf numFmtId="0" fontId="0" fillId="0" borderId="46" pivotButton="0" quotePrefix="0" xfId="0"/>
    <xf numFmtId="0" fontId="0" fillId="10" borderId="26" pivotButton="0" quotePrefix="0" xfId="0"/>
    <xf numFmtId="0" fontId="12" fillId="3" borderId="92" applyAlignment="1" pivotButton="0" quotePrefix="0" xfId="0">
      <alignment horizontal="center" vertical="center" wrapText="1"/>
    </xf>
    <xf numFmtId="0" fontId="0" fillId="0" borderId="39" pivotButton="0" quotePrefix="0" xfId="0"/>
    <xf numFmtId="0" fontId="12" fillId="3" borderId="89" applyAlignment="1" pivotButton="0" quotePrefix="0" xfId="0">
      <alignment horizontal="center" vertical="center" wrapText="1"/>
    </xf>
    <xf numFmtId="0" fontId="12" fillId="10" borderId="3" applyAlignment="1" pivotButton="0" quotePrefix="0" xfId="0">
      <alignment horizontal="center" vertical="center" wrapText="1"/>
    </xf>
    <xf numFmtId="0" fontId="12" fillId="10" borderId="26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2" fillId="16" borderId="26" applyAlignment="1" pivotButton="0" quotePrefix="0" xfId="0">
      <alignment horizontal="left" vertical="center" wrapText="1"/>
    </xf>
    <xf numFmtId="0" fontId="0" fillId="10" borderId="45" applyAlignment="1" pivotButton="0" quotePrefix="0" xfId="0">
      <alignment horizontal="center"/>
    </xf>
    <xf numFmtId="0" fontId="19" fillId="16" borderId="3" applyAlignment="1" pivotButton="0" quotePrefix="0" xfId="0">
      <alignment horizontal="center" vertical="center" wrapText="1"/>
    </xf>
    <xf numFmtId="0" fontId="12" fillId="3" borderId="94" applyAlignment="1" pivotButton="0" quotePrefix="0" xfId="0">
      <alignment horizontal="left" vertical="center" wrapText="1" indent="1"/>
    </xf>
    <xf numFmtId="0" fontId="0" fillId="0" borderId="95" pivotButton="0" quotePrefix="0" xfId="0"/>
    <xf numFmtId="0" fontId="0" fillId="0" borderId="96" pivotButton="0" quotePrefix="0" xfId="0"/>
    <xf numFmtId="0" fontId="19" fillId="4" borderId="37" applyAlignment="1" pivotButton="0" quotePrefix="0" xfId="0">
      <alignment horizontal="left" vertical="center" wrapText="1" indent="1"/>
    </xf>
    <xf numFmtId="0" fontId="12" fillId="3" borderId="97" applyAlignment="1" pivotButton="0" quotePrefix="0" xfId="0">
      <alignment horizontal="left" vertical="center" wrapText="1" indent="1"/>
    </xf>
    <xf numFmtId="0" fontId="0" fillId="0" borderId="98" pivotButton="0" quotePrefix="0" xfId="0"/>
    <xf numFmtId="0" fontId="0" fillId="0" borderId="99" pivotButton="0" quotePrefix="0" xfId="0"/>
    <xf numFmtId="0" fontId="21" fillId="0" borderId="86" applyAlignment="1" pivotButton="0" quotePrefix="0" xfId="0">
      <alignment horizontal="left" vertical="center" wrapText="1" indent="1"/>
    </xf>
    <xf numFmtId="0" fontId="46" fillId="22" borderId="3" applyAlignment="1" pivotButton="0" quotePrefix="0" xfId="0">
      <alignment horizontal="center" vertical="center" wrapText="1"/>
    </xf>
    <xf numFmtId="0" fontId="0" fillId="0" borderId="84" applyAlignment="1" pivotButton="0" quotePrefix="0" xfId="0">
      <alignment horizontal="center"/>
    </xf>
    <xf numFmtId="0" fontId="0" fillId="0" borderId="60" pivotButton="0" quotePrefix="0" xfId="0"/>
    <xf numFmtId="0" fontId="0" fillId="0" borderId="61" pivotButton="0" quotePrefix="0" xfId="0"/>
    <xf numFmtId="0" fontId="29" fillId="0" borderId="67" applyAlignment="1" pivotButton="0" quotePrefix="0" xfId="0">
      <alignment horizontal="center"/>
    </xf>
    <xf numFmtId="0" fontId="0" fillId="0" borderId="63" pivotButton="0" quotePrefix="0" xfId="0"/>
    <xf numFmtId="0" fontId="46" fillId="22" borderId="10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0" fillId="0" borderId="102" pivotButton="0" quotePrefix="0" xfId="0"/>
    <xf numFmtId="0" fontId="0" fillId="0" borderId="103" pivotButton="0" quotePrefix="0" xfId="0"/>
    <xf numFmtId="0" fontId="9" fillId="19" borderId="104" applyAlignment="1" pivotButton="0" quotePrefix="0" xfId="0">
      <alignment horizontal="center" vertical="center" wrapText="1"/>
    </xf>
    <xf numFmtId="0" fontId="9" fillId="19" borderId="105" applyAlignment="1" pivotButton="0" quotePrefix="0" xfId="0">
      <alignment horizontal="center" vertical="center" wrapText="1"/>
    </xf>
    <xf numFmtId="0" fontId="0" fillId="0" borderId="66" pivotButton="0" quotePrefix="0" xfId="0"/>
    <xf numFmtId="0" fontId="25" fillId="4" borderId="68" applyAlignment="1" pivotButton="0" quotePrefix="0" xfId="0">
      <alignment horizontal="center" vertical="center" wrapText="1"/>
    </xf>
    <xf numFmtId="0" fontId="0" fillId="0" borderId="83" pivotButton="0" quotePrefix="0" xfId="0"/>
    <xf numFmtId="0" fontId="0" fillId="0" borderId="67" pivotButton="0" quotePrefix="0" xfId="0"/>
    <xf numFmtId="0" fontId="0" fillId="0" borderId="62" pivotButton="0" quotePrefix="0" xfId="0"/>
    <xf numFmtId="0" fontId="0" fillId="0" borderId="109" pivotButton="0" quotePrefix="0" xfId="0"/>
    <xf numFmtId="0" fontId="46" fillId="22" borderId="34" applyAlignment="1" pivotButton="0" quotePrefix="0" xfId="0">
      <alignment horizontal="center" vertical="center" wrapText="1"/>
    </xf>
    <xf numFmtId="0" fontId="46" fillId="22" borderId="70" applyAlignment="1" pivotButton="0" quotePrefix="0" xfId="0">
      <alignment horizontal="center" vertical="center" wrapText="1"/>
    </xf>
    <xf numFmtId="0" fontId="46" fillId="22" borderId="4" applyAlignment="1" pivotButton="0" quotePrefix="0" xfId="0">
      <alignment horizontal="center" vertical="center" wrapText="1"/>
    </xf>
    <xf numFmtId="0" fontId="46" fillId="22" borderId="71" applyAlignment="1" pivotButton="0" quotePrefix="0" xfId="0">
      <alignment horizontal="center" vertical="center" wrapText="1"/>
    </xf>
    <xf numFmtId="0" fontId="0" fillId="0" borderId="110" pivotButton="0" quotePrefix="0" xfId="0"/>
    <xf numFmtId="0" fontId="0" fillId="0" borderId="16" pivotButton="0" quotePrefix="0" xfId="0"/>
    <xf numFmtId="0" fontId="25" fillId="0" borderId="68" applyAlignment="1" pivotButton="0" quotePrefix="0" xfId="0">
      <alignment horizontal="left" vertical="center" wrapText="1" indent="1"/>
    </xf>
    <xf numFmtId="0" fontId="25" fillId="4" borderId="111" applyAlignment="1" pivotButton="0" quotePrefix="0" xfId="0">
      <alignment horizontal="center" vertical="center" wrapText="1"/>
    </xf>
    <xf numFmtId="0" fontId="0" fillId="0" borderId="78" pivotButton="0" quotePrefix="0" xfId="0"/>
    <xf numFmtId="0" fontId="0" fillId="0" borderId="81" pivotButton="0" quotePrefix="0" xfId="0"/>
    <xf numFmtId="0" fontId="0" fillId="0" borderId="112" pivotButton="0" quotePrefix="0" xfId="0"/>
    <xf numFmtId="0" fontId="25" fillId="0" borderId="68" applyAlignment="1" pivotButton="0" quotePrefix="0" xfId="0">
      <alignment horizontal="center" vertical="center" wrapText="1"/>
    </xf>
    <xf numFmtId="0" fontId="28" fillId="11" borderId="68" applyAlignment="1" pivotButton="0" quotePrefix="0" xfId="0">
      <alignment horizontal="center" vertical="center" wrapText="1"/>
    </xf>
    <xf numFmtId="0" fontId="0" fillId="0" borderId="7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4D6"/>
      <rgbColor rgb="FFE8F4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4E6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4F72"/>
      <rgbColor rgb="FF339966"/>
      <rgbColor rgb="FF003300"/>
      <rgbColor rgb="FF1B4D2E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zoomScaleNormal="100" workbookViewId="0">
      <pane ySplit="6" topLeftCell="A19" activePane="bottomLeft" state="frozen"/>
      <selection pane="bottomLeft" activeCell="A22" sqref="A22:B28"/>
    </sheetView>
  </sheetViews>
  <sheetFormatPr baseColWidth="10" defaultColWidth="8.6640625" defaultRowHeight="14.4"/>
  <cols>
    <col width="5" customWidth="1" style="6" min="1" max="1"/>
    <col width="24" customWidth="1" style="6" min="2" max="2"/>
    <col width="4" customWidth="1" style="6" min="3" max="3"/>
    <col width="18" customWidth="1" style="6" min="4" max="4"/>
    <col width="4" customWidth="1" style="6" min="5" max="5"/>
    <col width="18" customWidth="1" style="6" min="6" max="6"/>
    <col width="4" customWidth="1" style="6" min="7" max="7"/>
    <col width="18" customWidth="1" style="6" min="8" max="8"/>
    <col width="4" customWidth="1" style="6" min="9" max="9"/>
    <col width="18" customWidth="1" style="6" min="10" max="10"/>
    <col width="4" customWidth="1" style="6" min="11" max="11"/>
    <col width="18" customWidth="1" style="6" min="12" max="12"/>
    <col width="4" customWidth="1" style="6" min="13" max="13"/>
    <col width="15" customWidth="1" style="6" min="14" max="14"/>
  </cols>
  <sheetData>
    <row r="1" ht="24.75" customHeight="1">
      <c r="A1" s="138" t="inlineStr">
        <is>
          <t>AUTORIDAD NACIONAL DE INFRAESTRUCTURA — ANIN
DIME — Dirección de Intervenciones Multisectoriales y de Emergencia
SESDI — Subdirección de Estudios de Inversión</t>
        </is>
      </c>
    </row>
    <row r="2" ht="24.75" customHeight="1"/>
    <row r="4" ht="21.75" customHeight="1">
      <c r="A4" s="139" t="inlineStr">
        <is>
          <t>PLANTILLA DE DIAGNÓSTICO SOCIAL — VERSIÓN 3 (V3)
Formatos con casillas de verificación [  ] para llenado manual en campo</t>
        </is>
      </c>
    </row>
    <row r="5" ht="21.75" customHeight="1"/>
    <row r="6" ht="24.75" customHeight="1">
      <c r="A6" s="140" t="inlineStr">
        <is>
          <t>Formatos de registro rápido para caracterización social, mapeo de actores, conflictos, percepción de peligros y consentimiento previo informado</t>
        </is>
      </c>
    </row>
    <row r="8" ht="19.5" customHeight="1">
      <c r="A8" s="134" t="inlineStr">
        <is>
          <t>1. PROYECTO DE INVERSIÓN PÚBLICA</t>
        </is>
      </c>
    </row>
    <row r="9" ht="18" customHeight="1">
      <c r="A9" s="136" t="inlineStr">
        <is>
          <t>CUI</t>
        </is>
      </c>
      <c r="B9" s="381" t="n"/>
      <c r="C9" s="381" t="n"/>
      <c r="D9" s="137" t="inlineStr">
        <is>
          <t>2669244</t>
        </is>
      </c>
      <c r="E9" s="381" t="n"/>
      <c r="F9" s="381" t="n"/>
      <c r="G9" s="381" t="n"/>
      <c r="H9" s="381" t="n"/>
      <c r="I9" s="381" t="n"/>
      <c r="J9" s="381" t="n"/>
      <c r="K9" s="381" t="n"/>
      <c r="L9" s="381" t="n"/>
      <c r="M9" s="381" t="n"/>
      <c r="N9" s="381" t="n"/>
    </row>
    <row r="10" ht="25.5" customHeight="1">
      <c r="A10" s="136" t="inlineStr">
        <is>
          <t>Nombre del proyecto</t>
        </is>
      </c>
      <c r="B10" s="381" t="n"/>
      <c r="C10" s="381" t="n"/>
      <c r="D10" s="137" t="inlineStr">
        <is>
          <t>Recuperación de los servicios de regulación de riesgos naturales y regulación hídrica de ecosistemas forestales degradados — Cuenca Alta del Río Piura</t>
        </is>
      </c>
      <c r="E10" s="381" t="n"/>
      <c r="F10" s="381" t="n"/>
      <c r="G10" s="381" t="n"/>
      <c r="H10" s="381" t="n"/>
      <c r="I10" s="381" t="n"/>
      <c r="J10" s="381" t="n"/>
      <c r="K10" s="381" t="n"/>
      <c r="L10" s="381" t="n"/>
      <c r="M10" s="381" t="n"/>
      <c r="N10" s="381" t="n"/>
    </row>
    <row r="11" ht="25.5" customHeight="1">
      <c r="A11" s="136" t="inlineStr">
        <is>
          <t>Ámbito territorial</t>
        </is>
      </c>
      <c r="B11" s="381" t="n"/>
      <c r="C11" s="381" t="n"/>
      <c r="D11" s="137" t="inlineStr">
        <is>
          <t>3 provincias: Morropón, Huancabamba, Ayabaca  |  15 distritos  |  14 zonas operativas (Z01–Z14)</t>
        </is>
      </c>
      <c r="E11" s="381" t="n"/>
      <c r="F11" s="381" t="n"/>
      <c r="G11" s="381" t="n"/>
      <c r="H11" s="381" t="n"/>
      <c r="I11" s="381" t="n"/>
      <c r="J11" s="381" t="n"/>
      <c r="K11" s="381" t="n"/>
      <c r="L11" s="381" t="n"/>
      <c r="M11" s="381" t="n"/>
      <c r="N11" s="381" t="n"/>
    </row>
    <row r="12" ht="18" customHeight="1">
      <c r="A12" s="136" t="inlineStr">
        <is>
          <t>Bloques preliminares</t>
        </is>
      </c>
      <c r="B12" s="381" t="n"/>
      <c r="C12" s="381" t="n"/>
      <c r="D12" s="137" t="inlineStr">
        <is>
          <t>127 bloques (V6)  |  ~14,207 hectáreas de intervención directa</t>
        </is>
      </c>
      <c r="E12" s="381" t="n"/>
      <c r="F12" s="381" t="n"/>
      <c r="G12" s="381" t="n"/>
      <c r="H12" s="381" t="n"/>
      <c r="I12" s="381" t="n"/>
      <c r="J12" s="381" t="n"/>
      <c r="K12" s="381" t="n"/>
      <c r="L12" s="381" t="n"/>
      <c r="M12" s="381" t="n"/>
      <c r="N12" s="381" t="n"/>
    </row>
    <row r="13" ht="37.5" customHeight="1">
      <c r="A13" s="136" t="inlineStr">
        <is>
          <t>Contexto social crítico</t>
        </is>
      </c>
      <c r="B13" s="381" t="n"/>
      <c r="C13" s="381" t="n"/>
      <c r="D13" s="137" t="inlineStr">
        <is>
          <t>Territorio con antecedentes de conflicto minero (Río Blanco 2007+); rondas campesinas con control territorial; comunidades altoandinas dispersas; acceso vehicular restringido en ≥40% del ámbito</t>
        </is>
      </c>
      <c r="E13" s="381" t="n"/>
      <c r="F13" s="381" t="n"/>
      <c r="G13" s="381" t="n"/>
      <c r="H13" s="381" t="n"/>
      <c r="I13" s="381" t="n"/>
      <c r="J13" s="381" t="n"/>
      <c r="K13" s="381" t="n"/>
      <c r="L13" s="381" t="n"/>
      <c r="M13" s="381" t="n"/>
      <c r="N13" s="381" t="n"/>
    </row>
    <row r="14" ht="18" customHeight="1">
      <c r="A14" s="136" t="inlineStr">
        <is>
          <t>Sistema de coordenadas</t>
        </is>
      </c>
      <c r="B14" s="381" t="n"/>
      <c r="C14" s="381" t="n"/>
      <c r="D14" s="137" t="inlineStr">
        <is>
          <t>UTM WGS84 Zona 17S</t>
        </is>
      </c>
      <c r="E14" s="381" t="n"/>
      <c r="F14" s="381" t="n"/>
      <c r="G14" s="381" t="n"/>
      <c r="H14" s="381" t="n"/>
      <c r="I14" s="381" t="n"/>
      <c r="J14" s="381" t="n"/>
      <c r="K14" s="381" t="n"/>
      <c r="L14" s="381" t="n"/>
      <c r="M14" s="381" t="n"/>
      <c r="N14" s="381" t="n"/>
    </row>
    <row r="15" ht="18" customHeight="1">
      <c r="A15" s="136" t="inlineStr">
        <is>
          <t>Fase</t>
        </is>
      </c>
      <c r="B15" s="381" t="n"/>
      <c r="C15" s="381" t="n"/>
      <c r="D15" s="137" t="inlineStr">
        <is>
          <t>Preinversión — Estudio de Perfil — Validación en campo</t>
        </is>
      </c>
      <c r="E15" s="381" t="n"/>
      <c r="F15" s="381" t="n"/>
      <c r="G15" s="381" t="n"/>
      <c r="H15" s="381" t="n"/>
      <c r="I15" s="381" t="n"/>
      <c r="J15" s="381" t="n"/>
      <c r="K15" s="381" t="n"/>
      <c r="L15" s="381" t="n"/>
      <c r="M15" s="381" t="n"/>
      <c r="N15" s="381" t="n"/>
    </row>
    <row r="16" ht="18" customHeight="1">
      <c r="A16" s="136" t="inlineStr">
        <is>
          <t>Instrumento</t>
        </is>
      </c>
      <c r="B16" s="381" t="n"/>
      <c r="C16" s="381" t="n"/>
      <c r="D16" s="137" t="inlineStr">
        <is>
          <t>F-DS — Plantilla de Diagnóstico Social — V3 con casillas [  ] X</t>
        </is>
      </c>
      <c r="E16" s="381" t="n"/>
      <c r="F16" s="381" t="n"/>
      <c r="G16" s="381" t="n"/>
      <c r="H16" s="381" t="n"/>
      <c r="I16" s="381" t="n"/>
      <c r="J16" s="381" t="n"/>
      <c r="K16" s="381" t="n"/>
      <c r="L16" s="381" t="n"/>
      <c r="M16" s="381" t="n"/>
      <c r="N16" s="381" t="n"/>
    </row>
    <row r="17" ht="25.5" customHeight="1">
      <c r="A17" s="136" t="inlineStr">
        <is>
          <t>Alimenta entregables</t>
        </is>
      </c>
      <c r="B17" s="381" t="n"/>
      <c r="C17" s="381" t="n"/>
      <c r="D17" s="137" t="inlineStr">
        <is>
          <t>E2 (Diagnóstico de población afectada), E5 (Gestión), E8 (Riesgos del proyecto), E9 (Plan de involucramiento)</t>
        </is>
      </c>
      <c r="E17" s="381" t="n"/>
      <c r="F17" s="381" t="n"/>
      <c r="G17" s="381" t="n"/>
      <c r="H17" s="381" t="n"/>
      <c r="I17" s="381" t="n"/>
      <c r="J17" s="381" t="n"/>
      <c r="K17" s="381" t="n"/>
      <c r="L17" s="381" t="n"/>
      <c r="M17" s="381" t="n"/>
      <c r="N17" s="381" t="n"/>
    </row>
    <row r="18" ht="18" customHeight="1">
      <c r="A18" s="136" t="inlineStr">
        <is>
          <t>Versión / Fecha</t>
        </is>
      </c>
      <c r="B18" s="381" t="n"/>
      <c r="C18" s="381" t="n"/>
      <c r="D18" s="137" t="inlineStr">
        <is>
          <t>V3 — Abril 2026 — Adaptación para llenado manual en campo</t>
        </is>
      </c>
      <c r="E18" s="381" t="n"/>
      <c r="F18" s="381" t="n"/>
      <c r="G18" s="381" t="n"/>
      <c r="H18" s="381" t="n"/>
      <c r="I18" s="381" t="n"/>
      <c r="J18" s="381" t="n"/>
      <c r="K18" s="381" t="n"/>
      <c r="L18" s="381" t="n"/>
      <c r="M18" s="381" t="n"/>
      <c r="N18" s="381" t="n"/>
    </row>
    <row r="20" ht="19.5" customHeight="1">
      <c r="A20" s="134" t="inlineStr">
        <is>
          <t>2. ESTRUCTURA DEL INSTRUMENTO (7 FORMATOS)</t>
        </is>
      </c>
    </row>
    <row r="21" ht="31.8" customHeight="1">
      <c r="A21" s="135" t="inlineStr">
        <is>
          <t>Código</t>
        </is>
      </c>
      <c r="B21" s="381" t="n"/>
      <c r="C21" s="135" t="inlineStr">
        <is>
          <t>Nombre del formato</t>
        </is>
      </c>
      <c r="D21" s="381" t="n"/>
      <c r="E21" s="381" t="n"/>
      <c r="F21" s="135" t="inlineStr">
        <is>
          <t>Mecanismo de llenado</t>
        </is>
      </c>
      <c r="G21" s="381" t="n"/>
      <c r="H21" s="135" t="inlineStr">
        <is>
          <t>Objetivo / Propósito</t>
        </is>
      </c>
      <c r="I21" s="381" t="n"/>
      <c r="J21" s="381" t="n"/>
      <c r="K21" s="381" t="n"/>
      <c r="L21" s="381" t="n"/>
      <c r="M21" s="381" t="n"/>
      <c r="N21" s="381" t="n"/>
    </row>
    <row r="22" ht="42" customHeight="1">
      <c r="A22" s="131" t="inlineStr">
        <is>
          <t>F-DS-01</t>
        </is>
      </c>
      <c r="B22" s="381" t="n"/>
      <c r="C22" s="132" t="inlineStr">
        <is>
          <t>Diagnóstico Socioeconómico del CP/Comunidad</t>
        </is>
      </c>
      <c r="D22" s="381" t="n"/>
      <c r="E22" s="381" t="n"/>
      <c r="F22" s="133" t="inlineStr">
        <is>
          <t>Casillas [ ] para opciones + campos numéricos + observaciones</t>
        </is>
      </c>
      <c r="G22" s="381" t="n"/>
      <c r="H22" s="130" t="inlineStr">
        <is>
          <t>Caracterización demográfica, organización comunal, tenencia de la tierra, servicios básicos, actividades económicas y programas sociales</t>
        </is>
      </c>
      <c r="I22" s="381" t="n"/>
      <c r="J22" s="381" t="n"/>
      <c r="K22" s="381" t="n"/>
      <c r="L22" s="381" t="n"/>
      <c r="M22" s="381" t="n"/>
      <c r="N22" s="381" t="n"/>
    </row>
    <row r="23" ht="42" customHeight="1">
      <c r="A23" s="131" t="inlineStr">
        <is>
          <t>F-DS-02</t>
        </is>
      </c>
      <c r="B23" s="381" t="n"/>
      <c r="C23" s="132" t="inlineStr">
        <is>
          <t>Mapeo y Análisis de Actores Clave</t>
        </is>
      </c>
      <c r="D23" s="381" t="n"/>
      <c r="E23" s="381" t="n"/>
      <c r="F23" s="133" t="inlineStr">
        <is>
          <t>Tabla con códigos de 1-2 letras (leyenda en hoja _Codigos)</t>
        </is>
      </c>
      <c r="G23" s="381" t="n"/>
      <c r="H23" s="130" t="inlineStr">
        <is>
          <t>Directorio de actores por nivel territorial, análisis Influencia × Interés (PMBOK), síntesis de actores críticos</t>
        </is>
      </c>
      <c r="I23" s="381" t="n"/>
      <c r="J23" s="381" t="n"/>
      <c r="K23" s="381" t="n"/>
      <c r="L23" s="381" t="n"/>
      <c r="M23" s="381" t="n"/>
      <c r="N23" s="381" t="n"/>
    </row>
    <row r="24" ht="42" customHeight="1">
      <c r="A24" s="131" t="inlineStr">
        <is>
          <t>F-DS-03</t>
        </is>
      </c>
      <c r="B24" s="381" t="n"/>
      <c r="C24" s="132" t="inlineStr">
        <is>
          <t>Entrevista Semiestructurada a Autoridades/Líderes</t>
        </is>
      </c>
      <c r="D24" s="381" t="n"/>
      <c r="E24" s="381" t="n"/>
      <c r="F24" s="133" t="inlineStr">
        <is>
          <t>Campos de texto libre + casillas [ ] para consentimientos</t>
        </is>
      </c>
      <c r="G24" s="381" t="n"/>
      <c r="H24" s="130" t="inlineStr">
        <is>
          <t>Percepción territorial, actividades productivas, gobernanza, expectativas frente al proyecto</t>
        </is>
      </c>
      <c r="I24" s="381" t="n"/>
      <c r="J24" s="381" t="n"/>
      <c r="K24" s="381" t="n"/>
      <c r="L24" s="381" t="n"/>
      <c r="M24" s="381" t="n"/>
      <c r="N24" s="381" t="n"/>
    </row>
    <row r="25" ht="42" customHeight="1">
      <c r="A25" s="131" t="inlineStr">
        <is>
          <t>F-DS-04</t>
        </is>
      </c>
      <c r="B25" s="381" t="n"/>
      <c r="C25" s="132" t="inlineStr">
        <is>
          <t>Acta de Taller Participativo</t>
        </is>
      </c>
      <c r="D25" s="381" t="n"/>
      <c r="E25" s="381" t="n"/>
      <c r="F25" s="133" t="inlineStr">
        <is>
          <t>Listas de asistentes + casillas [ ] para idioma/metodología</t>
        </is>
      </c>
      <c r="G25" s="381" t="n"/>
      <c r="H25" s="130" t="inlineStr">
        <is>
          <t>Registro formal con asistencia desagregada por sexo, agenda, acuerdos y compromisos</t>
        </is>
      </c>
      <c r="I25" s="381" t="n"/>
      <c r="J25" s="381" t="n"/>
      <c r="K25" s="381" t="n"/>
      <c r="L25" s="381" t="n"/>
      <c r="M25" s="381" t="n"/>
      <c r="N25" s="381" t="n"/>
    </row>
    <row r="26" ht="42" customHeight="1">
      <c r="A26" s="131" t="inlineStr">
        <is>
          <t>F-DS-05</t>
        </is>
      </c>
      <c r="B26" s="381" t="n"/>
      <c r="C26" s="132" t="inlineStr">
        <is>
          <t>Identificación de Conflictos Socioambientales y Oportunidades</t>
        </is>
      </c>
      <c r="D26" s="381" t="n"/>
      <c r="E26" s="381" t="n"/>
      <c r="F26" s="133" t="inlineStr">
        <is>
          <t>Tabla con códigos + casillas [ ] para contexto Río Blanco</t>
        </is>
      </c>
      <c r="G26" s="381" t="n"/>
      <c r="H26" s="130" t="inlineStr">
        <is>
          <t>Inventario de conflictos vigentes/latentes con escala y antigüedad + oportunidades de articulación</t>
        </is>
      </c>
      <c r="I26" s="381" t="n"/>
      <c r="J26" s="381" t="n"/>
      <c r="K26" s="381" t="n"/>
      <c r="L26" s="381" t="n"/>
      <c r="M26" s="381" t="n"/>
      <c r="N26" s="381" t="n"/>
    </row>
    <row r="27" ht="42" customHeight="1">
      <c r="A27" s="131" t="inlineStr">
        <is>
          <t>F-DS-06</t>
        </is>
      </c>
      <c r="B27" s="381" t="n"/>
      <c r="C27" s="132" t="inlineStr">
        <is>
          <t>Percepción Local de Peligros y Cambio Climático</t>
        </is>
      </c>
      <c r="D27" s="381" t="n"/>
      <c r="E27" s="381" t="n"/>
      <c r="F27" s="133" t="inlineStr">
        <is>
          <t>Grilla de casillas [ ] para 12 peligros + 8 cambios climáticos</t>
        </is>
      </c>
      <c r="G27" s="381" t="n"/>
      <c r="H27" s="130" t="inlineStr">
        <is>
          <t>Percepción local de peligros geológicos/hidrometeorológicos y cambios observados últimos 10-15 años</t>
        </is>
      </c>
      <c r="I27" s="381" t="n"/>
      <c r="J27" s="381" t="n"/>
      <c r="K27" s="381" t="n"/>
      <c r="L27" s="381" t="n"/>
      <c r="M27" s="381" t="n"/>
      <c r="N27" s="381" t="n"/>
    </row>
    <row r="28" ht="42" customHeight="1">
      <c r="A28" s="131" t="inlineStr">
        <is>
          <t>F-DS-07</t>
        </is>
      </c>
      <c r="B28" s="381" t="n"/>
      <c r="C28" s="132" t="inlineStr">
        <is>
          <t>Disposición a Participar y Consentimiento Previo Informado</t>
        </is>
      </c>
      <c r="D28" s="381" t="n"/>
      <c r="E28" s="381" t="n"/>
      <c r="F28" s="133" t="inlineStr">
        <is>
          <t>Casillas [ ] para puntos explicados + nivel de disposición</t>
        </is>
      </c>
      <c r="G28" s="381" t="n"/>
      <c r="H28" s="130" t="inlineStr">
        <is>
          <t>Evaluación formal de disposición del titular o asamblea comunal a participar — base para acuerdos formales</t>
        </is>
      </c>
      <c r="I28" s="381" t="n"/>
      <c r="J28" s="381" t="n"/>
      <c r="K28" s="381" t="n"/>
      <c r="L28" s="381" t="n"/>
      <c r="M28" s="381" t="n"/>
      <c r="N28" s="381" t="n"/>
    </row>
    <row r="30" ht="19.5" customHeight="1">
      <c r="A30" s="134" t="inlineStr">
        <is>
          <t>3. PROTOCOLO DE APLICACIÓN EN TERRENO</t>
        </is>
      </c>
    </row>
    <row r="31" ht="33.75" customHeight="1">
      <c r="A31" s="130" t="inlineStr">
        <is>
          <t>1. SECUENCIALIDAD OBLIGATORIA: Ningún equipo técnico ingresa a una zona sin que la avanzada social (Salida 1 — Acercamiento institucional) se haya completado y se cuente con autorización previa de la autoridad comunal.</t>
        </is>
      </c>
      <c r="B31" s="381" t="n"/>
      <c r="C31" s="381" t="n"/>
      <c r="D31" s="381" t="n"/>
      <c r="E31" s="381" t="n"/>
      <c r="F31" s="381" t="n"/>
      <c r="G31" s="381" t="n"/>
      <c r="H31" s="381" t="n"/>
      <c r="I31" s="381" t="n"/>
      <c r="J31" s="381" t="n"/>
      <c r="K31" s="381" t="n"/>
      <c r="L31" s="381" t="n"/>
      <c r="M31" s="381" t="n"/>
      <c r="N31" s="381" t="n"/>
    </row>
    <row r="32" ht="33.75" customHeight="1">
      <c r="A32" s="130" t="inlineStr">
        <is>
          <t>2. CONSENTIMIENTO PREVIO INFORMADO: Antes de aplicar cualquier formato, el facilitador/a debe explicar en lenguaje sencillo qué es ANIN, qué es el proyecto, qué NO es (NO es proyecto minero ni extractivo) y solicitar consentimiento explícito.</t>
        </is>
      </c>
      <c r="B32" s="381" t="n"/>
      <c r="C32" s="381" t="n"/>
      <c r="D32" s="381" t="n"/>
      <c r="E32" s="381" t="n"/>
      <c r="F32" s="381" t="n"/>
      <c r="G32" s="381" t="n"/>
      <c r="H32" s="381" t="n"/>
      <c r="I32" s="381" t="n"/>
      <c r="J32" s="381" t="n"/>
      <c r="K32" s="381" t="n"/>
      <c r="L32" s="381" t="n"/>
      <c r="M32" s="381" t="n"/>
      <c r="N32" s="381" t="n"/>
    </row>
    <row r="33" ht="33.75" customHeight="1">
      <c r="A33" s="130" t="inlineStr">
        <is>
          <t>3. DIFERENCIACIÓN DEL PROYECTO: Ante consultas, diferenciar explícitamente el proyecto de cualquier actividad extractiva o minera. Mencionar el marco normativo (Invierte.pe) y el financiamiento público.</t>
        </is>
      </c>
      <c r="B33" s="381" t="n"/>
      <c r="C33" s="381" t="n"/>
      <c r="D33" s="381" t="n"/>
      <c r="E33" s="381" t="n"/>
      <c r="F33" s="381" t="n"/>
      <c r="G33" s="381" t="n"/>
      <c r="H33" s="381" t="n"/>
      <c r="I33" s="381" t="n"/>
      <c r="J33" s="381" t="n"/>
      <c r="K33" s="381" t="n"/>
      <c r="L33" s="381" t="n"/>
      <c r="M33" s="381" t="n"/>
      <c r="N33" s="381" t="n"/>
    </row>
    <row r="34" ht="33.75" customHeight="1">
      <c r="A34" s="130" t="inlineStr">
        <is>
          <t>4. RESPETO A LA GOBERNANZA LOCAL: Presentación formal a la Junta Directiva Comunal y al Presidente de Ronda antes de cualquier entrevista individual o registro de campo.</t>
        </is>
      </c>
      <c r="B34" s="381" t="n"/>
      <c r="C34" s="381" t="n"/>
      <c r="D34" s="381" t="n"/>
      <c r="E34" s="381" t="n"/>
      <c r="F34" s="381" t="n"/>
      <c r="G34" s="381" t="n"/>
      <c r="H34" s="381" t="n"/>
      <c r="I34" s="381" t="n"/>
      <c r="J34" s="381" t="n"/>
      <c r="K34" s="381" t="n"/>
      <c r="L34" s="381" t="n"/>
      <c r="M34" s="381" t="n"/>
      <c r="N34" s="381" t="n"/>
    </row>
    <row r="35" ht="33.75" customHeight="1">
      <c r="A35" s="130" t="inlineStr">
        <is>
          <t>5. SENSIBILIDAD CULTURAL: Mantener un tono de escucha activa. Usar términos locales cuando el entrevistado/a los emplee. Respetar silencios. No apresurar respuestas.</t>
        </is>
      </c>
      <c r="B35" s="381" t="n"/>
      <c r="C35" s="381" t="n"/>
      <c r="D35" s="381" t="n"/>
      <c r="E35" s="381" t="n"/>
      <c r="F35" s="381" t="n"/>
      <c r="G35" s="381" t="n"/>
      <c r="H35" s="381" t="n"/>
      <c r="I35" s="381" t="n"/>
      <c r="J35" s="381" t="n"/>
      <c r="K35" s="381" t="n"/>
      <c r="L35" s="381" t="n"/>
      <c r="M35" s="381" t="n"/>
      <c r="N35" s="381" t="n"/>
    </row>
    <row r="36" ht="33.75" customHeight="1">
      <c r="A36" s="130" t="inlineStr">
        <is>
          <t>6. REGISTRO FOTOGRÁFICO Y DE AUDIO: Requiere consentimiento explícito y por separado, incluso si se consintió la entrevista. Registrar en F-DS-03 (grabación) y F-DS-07 (fotografía del predio).</t>
        </is>
      </c>
      <c r="B36" s="381" t="n"/>
      <c r="C36" s="381" t="n"/>
      <c r="D36" s="381" t="n"/>
      <c r="E36" s="381" t="n"/>
      <c r="F36" s="381" t="n"/>
      <c r="G36" s="381" t="n"/>
      <c r="H36" s="381" t="n"/>
      <c r="I36" s="381" t="n"/>
      <c r="J36" s="381" t="n"/>
      <c r="K36" s="381" t="n"/>
      <c r="L36" s="381" t="n"/>
      <c r="M36" s="381" t="n"/>
      <c r="N36" s="381" t="n"/>
    </row>
    <row r="37" ht="33.75" customHeight="1">
      <c r="A37" s="130" t="inlineStr">
        <is>
          <t>7. GÉNERO: Procurar que las reuniones y entrevistas integren a mujeres y hombres. Desagregar asistencia por sexo en F-DS-04. Identificar percepciones diferenciadas de peligros en F-DS-06.</t>
        </is>
      </c>
      <c r="B37" s="381" t="n"/>
      <c r="C37" s="381" t="n"/>
      <c r="D37" s="381" t="n"/>
      <c r="E37" s="381" t="n"/>
      <c r="F37" s="381" t="n"/>
      <c r="G37" s="381" t="n"/>
      <c r="H37" s="381" t="n"/>
      <c r="I37" s="381" t="n"/>
      <c r="J37" s="381" t="n"/>
      <c r="K37" s="381" t="n"/>
      <c r="L37" s="381" t="n"/>
      <c r="M37" s="381" t="n"/>
      <c r="N37" s="381" t="n"/>
    </row>
    <row r="38" ht="33.75" customHeight="1">
      <c r="A38" s="130" t="inlineStr">
        <is>
          <t>8. CONFIDENCIALIDAD: La información sensible (conflictos, situación de tenencia) se maneja con discreción y no se divulga fuera del equipo técnico de ANIN-SESDI.</t>
        </is>
      </c>
      <c r="B38" s="381" t="n"/>
      <c r="C38" s="381" t="n"/>
      <c r="D38" s="381" t="n"/>
      <c r="E38" s="381" t="n"/>
      <c r="F38" s="381" t="n"/>
      <c r="G38" s="381" t="n"/>
      <c r="H38" s="381" t="n"/>
      <c r="I38" s="381" t="n"/>
      <c r="J38" s="381" t="n"/>
      <c r="K38" s="381" t="n"/>
      <c r="L38" s="381" t="n"/>
      <c r="M38" s="381" t="n"/>
      <c r="N38" s="381" t="n"/>
    </row>
    <row r="39" ht="33.75" customHeight="1">
      <c r="A39" s="130" t="inlineStr">
        <is>
          <t>9. LLENADO DE CASILLAS [ ]: Marcar únicamente con una "X" clara dentro del cuadro. Para opciones excluyentes (Sí/No), marcar SOLO UNA. Para opciones múltiples (peligros observados), marcar todas las que apliquen.</t>
        </is>
      </c>
      <c r="B39" s="381" t="n"/>
      <c r="C39" s="381" t="n"/>
      <c r="D39" s="381" t="n"/>
      <c r="E39" s="381" t="n"/>
      <c r="F39" s="381" t="n"/>
      <c r="G39" s="381" t="n"/>
      <c r="H39" s="381" t="n"/>
      <c r="I39" s="381" t="n"/>
      <c r="J39" s="381" t="n"/>
      <c r="K39" s="381" t="n"/>
      <c r="L39" s="381" t="n"/>
      <c r="M39" s="381" t="n"/>
      <c r="N39" s="381" t="n"/>
    </row>
    <row r="40" ht="33.75" customHeight="1">
      <c r="A40" s="130" t="inlineStr">
        <is>
          <t>10. DIGITALIZACIÓN POSTERIOR: Toda ficha llenada en campo debe digitalizarse dentro de los 5 días posteriores a la salida. Escanear el original con firmas y archivar en expediente del bloque.</t>
        </is>
      </c>
      <c r="B40" s="381" t="n"/>
      <c r="C40" s="381" t="n"/>
      <c r="D40" s="381" t="n"/>
      <c r="E40" s="381" t="n"/>
      <c r="F40" s="381" t="n"/>
      <c r="G40" s="381" t="n"/>
      <c r="H40" s="381" t="n"/>
      <c r="I40" s="381" t="n"/>
      <c r="J40" s="381" t="n"/>
      <c r="K40" s="381" t="n"/>
      <c r="L40" s="381" t="n"/>
      <c r="M40" s="381" t="n"/>
      <c r="N40" s="381" t="n"/>
    </row>
    <row r="43" ht="15" customHeight="1">
      <c r="A43" s="127" t="inlineStr">
        <is>
          <t>Elaborado por:</t>
        </is>
      </c>
      <c r="H43" s="127" t="inlineStr">
        <is>
          <t>Revisado / V°B°:</t>
        </is>
      </c>
    </row>
    <row r="46" ht="15" customHeight="1">
      <c r="A46" s="128" t="inlineStr">
        <is>
          <t>_________________________________________</t>
        </is>
      </c>
      <c r="H46" s="128" t="inlineStr">
        <is>
          <t>_________________________________________</t>
        </is>
      </c>
    </row>
    <row r="47" ht="15" customHeight="1">
      <c r="A47" s="129" t="inlineStr">
        <is>
          <t>Ing. Héctor Salomón Cahuas Miller — Consultor Técnico</t>
        </is>
      </c>
      <c r="H47" s="129" t="inlineStr">
        <is>
          <t>Ing. Wilber Hinojosa Medina — Ejecutivo SESDI</t>
        </is>
      </c>
    </row>
  </sheetData>
  <mergeCells count="74">
    <mergeCell ref="A40:N40"/>
    <mergeCell ref="A24:B24"/>
    <mergeCell ref="A31:N31"/>
    <mergeCell ref="H28:N28"/>
    <mergeCell ref="H22:N22"/>
    <mergeCell ref="A34:N34"/>
    <mergeCell ref="A39:N39"/>
    <mergeCell ref="A46:F46"/>
    <mergeCell ref="H47:N47"/>
    <mergeCell ref="H27:N27"/>
    <mergeCell ref="F25:G25"/>
    <mergeCell ref="C22:E22"/>
    <mergeCell ref="A30:N30"/>
    <mergeCell ref="A18:C18"/>
    <mergeCell ref="D10:N10"/>
    <mergeCell ref="A12:C12"/>
    <mergeCell ref="C21:E21"/>
    <mergeCell ref="H24:N24"/>
    <mergeCell ref="A36:N36"/>
    <mergeCell ref="F21:G21"/>
    <mergeCell ref="H23:N23"/>
    <mergeCell ref="A47:F47"/>
    <mergeCell ref="A6:N6"/>
    <mergeCell ref="F24:G24"/>
    <mergeCell ref="C27:E27"/>
    <mergeCell ref="A25:B25"/>
    <mergeCell ref="A4:N5"/>
    <mergeCell ref="A14:C14"/>
    <mergeCell ref="C23:E23"/>
    <mergeCell ref="H26:N26"/>
    <mergeCell ref="D11:N11"/>
    <mergeCell ref="A17:C17"/>
    <mergeCell ref="H43:N43"/>
    <mergeCell ref="D13:N13"/>
    <mergeCell ref="F26:G26"/>
    <mergeCell ref="A27:B27"/>
    <mergeCell ref="A37:N37"/>
    <mergeCell ref="D17:N17"/>
    <mergeCell ref="A10:C10"/>
    <mergeCell ref="A43:F43"/>
    <mergeCell ref="A26:B26"/>
    <mergeCell ref="A21:B21"/>
    <mergeCell ref="A13:C13"/>
    <mergeCell ref="C28:E28"/>
    <mergeCell ref="D16:N16"/>
    <mergeCell ref="A16:C16"/>
    <mergeCell ref="F23:G23"/>
    <mergeCell ref="A9:C9"/>
    <mergeCell ref="H25:N25"/>
    <mergeCell ref="H21:N21"/>
    <mergeCell ref="F22:G22"/>
    <mergeCell ref="F28:G28"/>
    <mergeCell ref="A33:N33"/>
    <mergeCell ref="A23:B23"/>
    <mergeCell ref="A15:C15"/>
    <mergeCell ref="H46:N46"/>
    <mergeCell ref="F27:G27"/>
    <mergeCell ref="A32:N32"/>
    <mergeCell ref="D18:N18"/>
    <mergeCell ref="A22:B22"/>
    <mergeCell ref="D9:N9"/>
    <mergeCell ref="C24:E24"/>
    <mergeCell ref="A1:N2"/>
    <mergeCell ref="A8:N8"/>
    <mergeCell ref="D12:N12"/>
    <mergeCell ref="A11:C11"/>
    <mergeCell ref="A35:N35"/>
    <mergeCell ref="A20:N20"/>
    <mergeCell ref="A38:N38"/>
    <mergeCell ref="D15:N15"/>
    <mergeCell ref="A28:B28"/>
    <mergeCell ref="C26:E26"/>
    <mergeCell ref="D14:N14"/>
    <mergeCell ref="C25:E25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8"/>
  <sheetViews>
    <sheetView zoomScaleNormal="100" workbookViewId="0">
      <pane ySplit="6" topLeftCell="A115" activePane="bottomLeft" state="frozen"/>
      <selection pane="bottomLeft" activeCell="G103" sqref="G103:H103"/>
    </sheetView>
  </sheetViews>
  <sheetFormatPr baseColWidth="10" defaultColWidth="8.6640625" defaultRowHeight="14.4"/>
  <cols>
    <col width="11.109375" customWidth="1" min="1" max="1"/>
    <col width="13.88671875" customWidth="1" min="2" max="2"/>
    <col width="4" customWidth="1" min="3" max="3"/>
    <col width="10.109375" customWidth="1" min="4" max="4"/>
    <col width="9.6640625" customWidth="1" min="5" max="5"/>
    <col width="10.44140625" customWidth="1" min="6" max="6"/>
    <col width="10.33203125" customWidth="1" min="7" max="7"/>
    <col width="9.88671875" customWidth="1" min="8" max="9"/>
    <col width="10.6640625" customWidth="1" min="10" max="10"/>
    <col width="8.77734375" customWidth="1" min="11" max="11"/>
    <col width="9.5546875" customWidth="1" min="12" max="12"/>
    <col width="8" customWidth="1" min="13" max="13"/>
    <col width="10.6640625" customWidth="1" min="14" max="14"/>
    <col width="30" customWidth="1" min="15" max="15"/>
  </cols>
  <sheetData>
    <row r="1" ht="19.5" customHeight="1">
      <c r="A1" s="138" t="inlineStr">
        <is>
          <t>AUTORIDAD NACIONAL DE INFRAESTRUCTURA — ANIN</t>
        </is>
      </c>
    </row>
    <row r="2" ht="15" customHeight="1">
      <c r="A2" s="240" t="inlineStr">
        <is>
          <t>DIME — Dirección de Intervenciones Multisectoriales y de Emergencia  |  SESDI — Subdirección de Estudios de Inversión</t>
        </is>
      </c>
    </row>
    <row r="3" ht="13.5" customHeight="1">
      <c r="A3" s="241" t="inlineStr">
        <is>
          <t>PROYECTO IN PIURA  |  CUI 2669244  |  Recuperación de servicios de regulación de riesgos naturales y regulación hídrica — Cuenca Alta del Río Piura</t>
        </is>
      </c>
    </row>
    <row r="4" ht="25.5" customHeight="1">
      <c r="A4" s="242" t="inlineStr">
        <is>
          <t>F-DS-01: DIAGNÓSTICO SOCIOECONÓMICO DEL CENTRO POBLADO / COMUNIDAD</t>
        </is>
      </c>
    </row>
    <row r="5" ht="32.4" customHeight="1" thickBot="1">
      <c r="A5" s="124" t="inlineStr">
        <is>
          <t>Caracterización demográfica, organizacional, de servicios básicos y actividades económicas del CP/Comunidad asociado al bloque de intervención.  Marque con «X» dentro de los cuadros [  ] las opciones aplicables. Los campos marcados con (*) son obligatorios.</t>
        </is>
      </c>
    </row>
    <row r="6" ht="19.5" customFormat="1" customHeight="1" s="5">
      <c r="A6" s="382" t="inlineStr">
        <is>
          <t>1. DATOS GENERALES Y LOCALIZACIÓN</t>
        </is>
      </c>
      <c r="B6" s="383" t="n"/>
      <c r="C6" s="383" t="n"/>
      <c r="D6" s="383" t="n"/>
      <c r="E6" s="383" t="n"/>
      <c r="F6" s="383" t="n"/>
      <c r="G6" s="383" t="n"/>
      <c r="H6" s="383" t="n"/>
      <c r="I6" s="383" t="n"/>
      <c r="J6" s="383" t="n"/>
      <c r="K6" s="383" t="n"/>
      <c r="L6" s="383" t="n"/>
      <c r="M6" s="383" t="n"/>
      <c r="N6" s="384" t="n"/>
    </row>
    <row r="7" ht="30.6" customHeight="1">
      <c r="A7" s="246" t="inlineStr">
        <is>
          <t>Fecha (DD-MM-AAAA) *</t>
        </is>
      </c>
      <c r="B7" s="385" t="n"/>
      <c r="C7" s="386" t="n"/>
      <c r="D7" s="7" t="n"/>
      <c r="E7" s="203" t="inlineStr">
        <is>
          <t>Ficha N° (correlativo)</t>
        </is>
      </c>
      <c r="F7" s="386" t="n"/>
      <c r="G7" s="248" t="n"/>
      <c r="H7" s="386" t="n"/>
      <c r="I7" s="249" t="inlineStr">
        <is>
          <t>Responsable  *</t>
        </is>
      </c>
      <c r="J7" s="386" t="n"/>
      <c r="K7" s="387" t="n"/>
      <c r="L7" s="385" t="n"/>
      <c r="M7" s="385" t="n"/>
      <c r="N7" s="388" t="n"/>
    </row>
    <row r="8" ht="27.6" customHeight="1">
      <c r="A8" s="246" t="inlineStr">
        <is>
          <t>Código del Bloque *</t>
        </is>
      </c>
      <c r="B8" s="385" t="n"/>
      <c r="C8" s="386" t="n"/>
      <c r="D8" s="255" t="n"/>
      <c r="E8" s="385" t="n"/>
      <c r="F8" s="386" t="n"/>
      <c r="G8" s="203" t="inlineStr">
        <is>
          <t>Código de Microcuenca</t>
        </is>
      </c>
      <c r="H8" s="386" t="n"/>
      <c r="I8" s="258" t="n"/>
      <c r="J8" s="385" t="n"/>
      <c r="K8" s="386" t="n"/>
      <c r="L8" s="253" t="inlineStr">
        <is>
          <t>Distrito</t>
        </is>
      </c>
      <c r="M8" s="385" t="n"/>
      <c r="N8" s="386" t="n"/>
    </row>
    <row r="9" ht="27.6" customHeight="1">
      <c r="A9" s="256" t="inlineStr">
        <is>
          <t>Provincia (auto)</t>
        </is>
      </c>
      <c r="B9" s="385" t="n"/>
      <c r="C9" s="386" t="n"/>
      <c r="D9" s="229" t="n"/>
      <c r="E9" s="385" t="n"/>
      <c r="F9" s="386" t="n"/>
      <c r="G9" s="249" t="inlineStr">
        <is>
          <t>Centro poblado / Caserío *</t>
        </is>
      </c>
      <c r="H9" s="386" t="n"/>
      <c r="I9" s="229">
        <f>IFERROR(VLOOKUP($D$8,_Datos!$A$2:$H$128,3,FALSE()),"")</f>
        <v/>
      </c>
      <c r="J9" s="385" t="n"/>
      <c r="K9" s="386" t="n"/>
      <c r="L9" s="9" t="inlineStr">
        <is>
          <t>UBIGEO INEI</t>
        </is>
      </c>
      <c r="M9" s="229" t="n"/>
      <c r="N9" s="386" t="n"/>
    </row>
    <row r="10" ht="27.6" customHeight="1">
      <c r="A10" s="158" t="inlineStr">
        <is>
          <t>Comunidad Campesina asociada (si aplica)</t>
        </is>
      </c>
      <c r="B10" s="385" t="n"/>
      <c r="C10" s="386" t="n"/>
      <c r="D10" s="160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6" t="n"/>
    </row>
    <row r="11" ht="30" customHeight="1">
      <c r="A11" s="158" t="inlineStr">
        <is>
          <t>Coord. UTM del lugar de registro</t>
        </is>
      </c>
      <c r="B11" s="385" t="n"/>
      <c r="C11" s="386" t="n"/>
      <c r="D11" s="159" t="inlineStr">
        <is>
          <t>ESTE</t>
        </is>
      </c>
      <c r="E11" s="160" t="n"/>
      <c r="F11" s="385" t="n"/>
      <c r="G11" s="386" t="n"/>
      <c r="H11" s="159" t="inlineStr">
        <is>
          <t>NORTE</t>
        </is>
      </c>
      <c r="I11" s="160" t="n"/>
      <c r="J11" s="385" t="n"/>
      <c r="K11" s="386" t="n"/>
      <c r="L11" s="159" t="inlineStr">
        <is>
          <t>msnm</t>
        </is>
      </c>
      <c r="M11" s="160" t="n"/>
      <c r="N11" s="386" t="n"/>
    </row>
    <row r="12" ht="19.5" customFormat="1" customHeight="1" s="6">
      <c r="A12" s="389" t="inlineStr">
        <is>
          <t>2. DATOS DEMOGRÁFICOS</t>
        </is>
      </c>
      <c r="N12" s="20" t="n"/>
      <c r="O12" s="390" t="inlineStr">
        <is>
          <t>RESP. ▼</t>
        </is>
      </c>
    </row>
    <row r="13" ht="15" customHeight="1" thickBot="1">
      <c r="A13" s="391" t="inlineStr">
        <is>
          <t>2.1  Tipo de organización territorial (marcar con una X donde corresponda)</t>
        </is>
      </c>
      <c r="B13" s="381" t="n"/>
      <c r="C13" s="381" t="n"/>
      <c r="D13" s="381" t="n"/>
      <c r="E13" s="381" t="n"/>
      <c r="F13" s="381" t="n"/>
      <c r="G13" s="381" t="n"/>
      <c r="H13" s="381" t="n"/>
      <c r="I13" s="381" t="n"/>
      <c r="J13" s="381" t="n"/>
      <c r="K13" s="381" t="n"/>
      <c r="L13" s="381" t="n"/>
      <c r="M13" s="381" t="n"/>
      <c r="N13" s="392" t="n"/>
      <c r="O13" s="393" t="inlineStr">
        <is>
          <t>▼</t>
        </is>
      </c>
    </row>
    <row r="14" ht="18" customHeight="1" thickBot="1">
      <c r="A14" s="18" t="n"/>
      <c r="B14" s="170" t="inlineStr">
        <is>
          <t>Comunidad Campesina reconocida (con título)</t>
        </is>
      </c>
      <c r="C14" s="381" t="n"/>
      <c r="D14" s="381" t="n"/>
      <c r="E14" s="381" t="n"/>
      <c r="F14" s="381" t="n"/>
      <c r="G14" s="381" t="n"/>
      <c r="H14" s="16" t="n"/>
      <c r="I14" s="171" t="inlineStr">
        <is>
          <t>Comunidad Campesina sin título</t>
        </is>
      </c>
      <c r="J14" s="381" t="n"/>
      <c r="K14" s="381" t="n"/>
      <c r="L14" s="381" t="n"/>
      <c r="M14" s="381" t="n"/>
      <c r="N14" s="392" t="n"/>
    </row>
    <row r="15" ht="18" customHeight="1" thickBot="1">
      <c r="A15" s="18" t="n"/>
      <c r="B15" s="170" t="inlineStr">
        <is>
          <t>Caserío / Anexo</t>
        </is>
      </c>
      <c r="C15" s="381" t="n"/>
      <c r="D15" s="381" t="n"/>
      <c r="E15" s="381" t="n"/>
      <c r="F15" s="381" t="n"/>
      <c r="G15" s="381" t="n"/>
      <c r="H15" s="16" t="n"/>
      <c r="I15" s="171" t="inlineStr">
        <is>
          <t>Centro poblado menor</t>
        </is>
      </c>
      <c r="J15" s="381" t="n"/>
      <c r="K15" s="381" t="n"/>
      <c r="L15" s="381" t="n"/>
      <c r="M15" s="381" t="n"/>
      <c r="N15" s="392" t="n"/>
    </row>
    <row r="16" ht="18" customHeight="1" thickBot="1">
      <c r="A16" s="18" t="n"/>
      <c r="B16" s="170" t="inlineStr">
        <is>
          <t>Centro poblado mayor</t>
        </is>
      </c>
      <c r="C16" s="381" t="n"/>
      <c r="D16" s="381" t="n"/>
      <c r="E16" s="381" t="n"/>
      <c r="F16" s="381" t="n"/>
      <c r="G16" s="381" t="n"/>
      <c r="H16" s="16" t="n"/>
      <c r="I16" s="171" t="inlineStr">
        <is>
          <t>Capital de distrito</t>
        </is>
      </c>
      <c r="J16" s="381" t="n"/>
      <c r="K16" s="381" t="n"/>
      <c r="L16" s="381" t="n"/>
      <c r="M16" s="381" t="n"/>
      <c r="N16" s="392" t="n"/>
    </row>
    <row r="17" ht="18" customHeight="1" thickBot="1">
      <c r="A17" s="18" t="n"/>
      <c r="B17" s="170" t="inlineStr">
        <is>
          <t>Sector rural / Paraje</t>
        </is>
      </c>
      <c r="C17" s="381" t="n"/>
      <c r="D17" s="381" t="n"/>
      <c r="E17" s="381" t="n"/>
      <c r="F17" s="381" t="n"/>
      <c r="G17" s="381" t="n"/>
      <c r="H17" s="16" t="n"/>
      <c r="I17" s="171" t="inlineStr">
        <is>
          <t>No organizada formalmente</t>
        </is>
      </c>
      <c r="J17" s="381" t="n"/>
      <c r="K17" s="381" t="n"/>
      <c r="L17" s="381" t="n"/>
      <c r="M17" s="381" t="n"/>
      <c r="N17" s="392" t="n"/>
    </row>
    <row r="18" ht="18" customHeight="1">
      <c r="A18" s="147" t="inlineStr">
        <is>
          <t>Nombre oficial completo (CP/CC/Anexo)</t>
        </is>
      </c>
      <c r="B18" s="381" t="n"/>
      <c r="C18" s="381" t="n"/>
      <c r="D18" s="381" t="n"/>
      <c r="E18" s="381" t="n"/>
      <c r="F18" s="149" t="n"/>
      <c r="G18" s="381" t="n"/>
      <c r="H18" s="381" t="n"/>
      <c r="I18" s="381" t="n"/>
      <c r="J18" s="381" t="n"/>
      <c r="K18" s="381" t="n"/>
      <c r="L18" s="148" t="inlineStr">
        <is>
          <t>Año fundación</t>
        </is>
      </c>
      <c r="M18" s="381" t="n"/>
      <c r="N18" s="150" t="n"/>
    </row>
    <row r="19" ht="15" customHeight="1">
      <c r="A19" s="391" t="inlineStr">
        <is>
          <t>2.2  Datos numéricos demográficos (anotar cantidades)</t>
        </is>
      </c>
      <c r="B19" s="381" t="n"/>
      <c r="C19" s="381" t="n"/>
      <c r="D19" s="381" t="n"/>
      <c r="E19" s="381" t="n"/>
      <c r="F19" s="381" t="n"/>
      <c r="G19" s="381" t="n"/>
      <c r="H19" s="381" t="n"/>
      <c r="I19" s="381" t="n"/>
      <c r="J19" s="381" t="n"/>
      <c r="K19" s="381" t="n"/>
      <c r="L19" s="381" t="n"/>
      <c r="M19" s="381" t="n"/>
      <c r="N19" s="392" t="n"/>
    </row>
    <row r="20" ht="18" customHeight="1">
      <c r="A20" s="218" t="inlineStr">
        <is>
          <t>N° total de familias / viviendas *</t>
        </is>
      </c>
      <c r="B20" s="381" t="n"/>
      <c r="C20" s="381" t="n"/>
      <c r="D20" s="381" t="n"/>
      <c r="E20" s="149" t="n"/>
      <c r="F20" s="381" t="n"/>
      <c r="G20" s="381" t="n"/>
      <c r="H20" s="219" t="inlineStr">
        <is>
          <t>Población total estimada (hab.) *</t>
        </is>
      </c>
      <c r="I20" s="381" t="n"/>
      <c r="J20" s="381" t="n"/>
      <c r="K20" s="381" t="n"/>
      <c r="L20" s="150" t="n"/>
      <c r="M20" s="381" t="n"/>
      <c r="N20" s="392" t="n"/>
    </row>
    <row r="21" ht="18" customHeight="1">
      <c r="A21" s="147" t="inlineStr">
        <is>
          <t>Población hombres</t>
        </is>
      </c>
      <c r="B21" s="381" t="n"/>
      <c r="C21" s="381" t="n"/>
      <c r="D21" s="381" t="n"/>
      <c r="E21" s="149" t="n"/>
      <c r="F21" s="381" t="n"/>
      <c r="G21" s="381" t="n"/>
      <c r="H21" s="148" t="inlineStr">
        <is>
          <t>Población mujeres</t>
        </is>
      </c>
      <c r="I21" s="381" t="n"/>
      <c r="J21" s="381" t="n"/>
      <c r="K21" s="381" t="n"/>
      <c r="L21" s="150" t="n"/>
      <c r="M21" s="381" t="n"/>
      <c r="N21" s="392" t="n"/>
    </row>
    <row r="22" ht="18" customHeight="1">
      <c r="A22" s="147" t="inlineStr">
        <is>
          <t>Población &lt; 18 años</t>
        </is>
      </c>
      <c r="B22" s="381" t="n"/>
      <c r="C22" s="381" t="n"/>
      <c r="D22" s="381" t="n"/>
      <c r="E22" s="149" t="n"/>
      <c r="F22" s="381" t="n"/>
      <c r="G22" s="381" t="n"/>
      <c r="H22" s="148" t="inlineStr">
        <is>
          <t>Población &gt; 65 años</t>
        </is>
      </c>
      <c r="I22" s="381" t="n"/>
      <c r="J22" s="381" t="n"/>
      <c r="K22" s="381" t="n"/>
      <c r="L22" s="150" t="n"/>
      <c r="M22" s="381" t="n"/>
      <c r="N22" s="392" t="n"/>
    </row>
    <row r="23" ht="18" customHeight="1">
      <c r="A23" s="147" t="inlineStr">
        <is>
          <t>Población autoidentificada originaria</t>
        </is>
      </c>
      <c r="B23" s="381" t="n"/>
      <c r="C23" s="381" t="n"/>
      <c r="D23" s="381" t="n"/>
      <c r="E23" s="149" t="n"/>
      <c r="F23" s="381" t="n"/>
      <c r="G23" s="381" t="n"/>
      <c r="N23" s="20" t="n"/>
    </row>
    <row r="24" ht="15" customHeight="1" thickBot="1">
      <c r="A24" s="391" t="inlineStr">
        <is>
          <t>2.3  Idioma predominante (marcar uno)</t>
        </is>
      </c>
      <c r="B24" s="381" t="n"/>
      <c r="C24" s="381" t="n"/>
      <c r="D24" s="381" t="n"/>
      <c r="E24" s="381" t="n"/>
      <c r="F24" s="381" t="n"/>
      <c r="G24" s="381" t="n"/>
      <c r="H24" s="381" t="n"/>
      <c r="I24" s="381" t="n"/>
      <c r="J24" s="381" t="n"/>
      <c r="K24" s="381" t="n"/>
      <c r="L24" s="381" t="n"/>
      <c r="M24" s="381" t="n"/>
      <c r="N24" s="392" t="n"/>
      <c r="O24" s="393" t="inlineStr">
        <is>
          <t>▼</t>
        </is>
      </c>
    </row>
    <row r="25" ht="18" customHeight="1" thickBot="1">
      <c r="A25" s="18" t="n"/>
      <c r="B25" s="170" t="inlineStr">
        <is>
          <t>Español</t>
        </is>
      </c>
      <c r="C25" s="381" t="n"/>
      <c r="D25" s="381" t="n"/>
      <c r="E25" s="381" t="n"/>
      <c r="F25" s="16" t="n"/>
      <c r="G25" s="170" t="inlineStr">
        <is>
          <t>Quechua (Cañaris)</t>
        </is>
      </c>
      <c r="H25" s="381" t="n"/>
      <c r="I25" s="381" t="n"/>
      <c r="J25" s="381" t="n"/>
      <c r="K25" s="16" t="n"/>
      <c r="L25" s="171" t="inlineStr">
        <is>
          <t>Quechua (Chachapoyas)</t>
        </is>
      </c>
      <c r="M25" s="381" t="n"/>
      <c r="N25" s="392" t="n"/>
    </row>
    <row r="26" ht="18" customHeight="1" thickBot="1">
      <c r="A26" s="18" t="n"/>
      <c r="B26" s="170" t="inlineStr">
        <is>
          <t>Bilingüe español-quechua</t>
        </is>
      </c>
      <c r="C26" s="381" t="n"/>
      <c r="D26" s="381" t="n"/>
      <c r="E26" s="381" t="n"/>
      <c r="F26" s="16" t="n"/>
      <c r="G26" s="170" t="inlineStr">
        <is>
          <t>Otro (especificar en observ.)</t>
        </is>
      </c>
      <c r="H26" s="381" t="n"/>
      <c r="I26" s="381" t="n"/>
      <c r="J26" s="381" t="n"/>
      <c r="K26" s="16" t="n"/>
      <c r="L26" s="155" t="n"/>
      <c r="M26" s="381" t="n"/>
      <c r="N26" s="392" t="n"/>
    </row>
    <row r="27" ht="15" customHeight="1" thickBot="1">
      <c r="A27" s="391" t="inlineStr">
        <is>
          <t>2.4  Nivel educativo predominante (marcar uno)</t>
        </is>
      </c>
      <c r="B27" s="381" t="n"/>
      <c r="C27" s="381" t="n"/>
      <c r="D27" s="381" t="n"/>
      <c r="E27" s="381" t="n"/>
      <c r="F27" s="381" t="n"/>
      <c r="G27" s="381" t="n"/>
      <c r="H27" s="381" t="n"/>
      <c r="I27" s="381" t="n"/>
      <c r="J27" s="381" t="n"/>
      <c r="K27" s="381" t="n"/>
      <c r="L27" s="381" t="n"/>
      <c r="M27" s="381" t="n"/>
      <c r="N27" s="392" t="n"/>
      <c r="O27" s="393" t="inlineStr">
        <is>
          <t>▼</t>
        </is>
      </c>
    </row>
    <row r="28" ht="18" customHeight="1" thickBot="1">
      <c r="A28" s="18" t="n"/>
      <c r="B28" s="170" t="inlineStr">
        <is>
          <t>Sin instrucción</t>
        </is>
      </c>
      <c r="C28" s="381" t="n"/>
      <c r="D28" s="381" t="n"/>
      <c r="E28" s="381" t="n"/>
      <c r="F28" s="16" t="n"/>
      <c r="G28" s="170" t="inlineStr">
        <is>
          <t>Primaria incompleta</t>
        </is>
      </c>
      <c r="H28" s="381" t="n"/>
      <c r="I28" s="381" t="n"/>
      <c r="J28" s="381" t="n"/>
      <c r="K28" s="16" t="n"/>
      <c r="L28" s="171" t="inlineStr">
        <is>
          <t>Primaria completa</t>
        </is>
      </c>
      <c r="M28" s="381" t="n"/>
      <c r="N28" s="392" t="n"/>
    </row>
    <row r="29" ht="18" customHeight="1" thickBot="1">
      <c r="A29" s="18" t="n"/>
      <c r="B29" s="170" t="inlineStr">
        <is>
          <t>Secundaria incompleta</t>
        </is>
      </c>
      <c r="C29" s="381" t="n"/>
      <c r="D29" s="381" t="n"/>
      <c r="E29" s="381" t="n"/>
      <c r="F29" s="16" t="n"/>
      <c r="G29" s="170" t="inlineStr">
        <is>
          <t>Secundaria completa</t>
        </is>
      </c>
      <c r="H29" s="381" t="n"/>
      <c r="I29" s="381" t="n"/>
      <c r="J29" s="381" t="n"/>
      <c r="K29" s="16" t="n"/>
      <c r="L29" s="171" t="inlineStr">
        <is>
          <t>Superior técnico</t>
        </is>
      </c>
      <c r="M29" s="381" t="n"/>
      <c r="N29" s="392" t="n"/>
    </row>
    <row r="30" ht="18" customHeight="1" thickBot="1">
      <c r="A30" s="18" t="n"/>
      <c r="B30" s="170" t="inlineStr">
        <is>
          <t>Superior universitario</t>
        </is>
      </c>
      <c r="C30" s="381" t="n"/>
      <c r="D30" s="381" t="n"/>
      <c r="E30" s="381" t="n"/>
      <c r="F30" s="1" t="n"/>
      <c r="G30" s="154" t="n"/>
      <c r="H30" s="381" t="n"/>
      <c r="I30" s="381" t="n"/>
      <c r="J30" s="381" t="n"/>
      <c r="K30" s="1" t="n"/>
      <c r="L30" s="155" t="n"/>
      <c r="M30" s="381" t="n"/>
      <c r="N30" s="392" t="n"/>
    </row>
    <row r="31" ht="15" customHeight="1" thickBot="1">
      <c r="A31" s="391" t="inlineStr">
        <is>
          <t>2.5  Tasa de migración juvenil percibida (marcar una)</t>
        </is>
      </c>
      <c r="B31" s="381" t="n"/>
      <c r="C31" s="381" t="n"/>
      <c r="D31" s="381" t="n"/>
      <c r="E31" s="381" t="n"/>
      <c r="F31" s="381" t="n"/>
      <c r="G31" s="381" t="n"/>
      <c r="H31" s="381" t="n"/>
      <c r="I31" s="381" t="n"/>
      <c r="J31" s="381" t="n"/>
      <c r="K31" s="381" t="n"/>
      <c r="L31" s="381" t="n"/>
      <c r="M31" s="381" t="n"/>
      <c r="N31" s="392" t="n"/>
      <c r="O31" s="393" t="inlineStr">
        <is>
          <t>▼</t>
        </is>
      </c>
    </row>
    <row r="32" ht="18" customHeight="1" thickBot="1">
      <c r="A32" s="18" t="n"/>
      <c r="B32" s="170" t="inlineStr">
        <is>
          <t>Alta</t>
        </is>
      </c>
      <c r="C32" s="381" t="n"/>
      <c r="D32" s="381" t="n"/>
      <c r="E32" s="381" t="n"/>
      <c r="F32" s="16" t="n"/>
      <c r="G32" s="170" t="inlineStr">
        <is>
          <t>Media</t>
        </is>
      </c>
      <c r="H32" s="381" t="n"/>
      <c r="I32" s="381" t="n"/>
      <c r="J32" s="381" t="n"/>
      <c r="K32" s="16" t="n"/>
      <c r="L32" s="171" t="inlineStr">
        <is>
          <t>Baja</t>
        </is>
      </c>
      <c r="M32" s="381" t="n"/>
      <c r="N32" s="392" t="n"/>
    </row>
    <row r="33" ht="15" customHeight="1" thickBot="1">
      <c r="A33" s="391" t="inlineStr">
        <is>
          <t>2.6  Destino principal de migración (marcar el principal)</t>
        </is>
      </c>
      <c r="B33" s="381" t="n"/>
      <c r="C33" s="381" t="n"/>
      <c r="D33" s="381" t="n"/>
      <c r="E33" s="381" t="n"/>
      <c r="F33" s="381" t="n"/>
      <c r="G33" s="381" t="n"/>
      <c r="H33" s="381" t="n"/>
      <c r="I33" s="381" t="n"/>
      <c r="J33" s="381" t="n"/>
      <c r="K33" s="381" t="n"/>
      <c r="L33" s="381" t="n"/>
      <c r="M33" s="381" t="n"/>
      <c r="N33" s="392" t="n"/>
      <c r="O33" s="393" t="inlineStr">
        <is>
          <t>▼</t>
        </is>
      </c>
    </row>
    <row r="34" ht="18" customHeight="1" thickBot="1">
      <c r="A34" s="18" t="n"/>
      <c r="B34" s="170" t="inlineStr">
        <is>
          <t>Ciudad de Piura</t>
        </is>
      </c>
      <c r="C34" s="381" t="n"/>
      <c r="D34" s="381" t="n"/>
      <c r="E34" s="381" t="n"/>
      <c r="F34" s="16" t="n"/>
      <c r="G34" s="170" t="inlineStr">
        <is>
          <t>Chulucanas / Morropón</t>
        </is>
      </c>
      <c r="H34" s="381" t="n"/>
      <c r="I34" s="381" t="n"/>
      <c r="J34" s="381" t="n"/>
      <c r="K34" s="16" t="n"/>
      <c r="L34" s="171" t="inlineStr">
        <is>
          <t>Huancabamba / Ayabaca</t>
        </is>
      </c>
      <c r="M34" s="381" t="n"/>
      <c r="N34" s="392" t="n"/>
    </row>
    <row r="35" ht="18" customHeight="1" thickBot="1">
      <c r="A35" s="18" t="n"/>
      <c r="B35" s="170" t="inlineStr">
        <is>
          <t>Lima / Callao</t>
        </is>
      </c>
      <c r="C35" s="381" t="n"/>
      <c r="D35" s="381" t="n"/>
      <c r="E35" s="381" t="n"/>
      <c r="F35" s="16" t="n"/>
      <c r="G35" s="170" t="inlineStr">
        <is>
          <t>Lambayeque / Chiclayo</t>
        </is>
      </c>
      <c r="H35" s="381" t="n"/>
      <c r="I35" s="381" t="n"/>
      <c r="J35" s="381" t="n"/>
      <c r="K35" s="16" t="n"/>
      <c r="L35" s="171" t="inlineStr">
        <is>
          <t>Trujillo / La Libertad</t>
        </is>
      </c>
      <c r="M35" s="381" t="n"/>
      <c r="N35" s="392" t="n"/>
    </row>
    <row r="36" ht="18" customHeight="1" thickBot="1">
      <c r="A36" s="18" t="n"/>
      <c r="B36" s="170" t="inlineStr">
        <is>
          <t>Ecuador</t>
        </is>
      </c>
      <c r="C36" s="381" t="n"/>
      <c r="D36" s="381" t="n"/>
      <c r="E36" s="381" t="n"/>
      <c r="F36" s="16" t="n"/>
      <c r="G36" s="170" t="inlineStr">
        <is>
          <t>Selva</t>
        </is>
      </c>
      <c r="H36" s="381" t="n"/>
      <c r="I36" s="381" t="n"/>
      <c r="J36" s="381" t="n"/>
      <c r="K36" s="16" t="n"/>
      <c r="L36" s="171" t="inlineStr">
        <is>
          <t>Otros:</t>
        </is>
      </c>
      <c r="M36" s="381" t="n"/>
      <c r="N36" s="392" t="n"/>
    </row>
    <row r="37">
      <c r="A37" s="21" t="n"/>
      <c r="N37" s="20" t="n"/>
    </row>
    <row r="38" ht="19.5" customFormat="1" customHeight="1" s="6" thickBot="1">
      <c r="A38" s="389" t="inlineStr">
        <is>
          <t>3. ORGANIZACIÓN COMUNAL Y GOBERNANZA LOCAL</t>
        </is>
      </c>
      <c r="N38" s="20" t="n"/>
    </row>
    <row r="39" ht="27.6" customHeight="1" thickBot="1">
      <c r="A39" s="147" t="inlineStr">
        <is>
          <t>¿Junta Directiva Comunal vigente?</t>
        </is>
      </c>
      <c r="B39" s="381" t="n"/>
      <c r="C39" s="381" t="n"/>
      <c r="D39" s="39" t="n"/>
      <c r="E39" s="40" t="inlineStr">
        <is>
          <t>Sí</t>
        </is>
      </c>
      <c r="F39" s="41" t="n"/>
      <c r="G39" s="40" t="inlineStr">
        <is>
          <t>No</t>
        </is>
      </c>
      <c r="H39" s="42" t="n"/>
      <c r="I39" s="210" t="inlineStr">
        <is>
          <t>Fin de mandato (AAAA)</t>
        </is>
      </c>
      <c r="J39" s="381" t="n"/>
      <c r="K39" s="381" t="n"/>
      <c r="L39" s="150" t="n"/>
      <c r="M39" s="381" t="n"/>
      <c r="N39" s="392" t="n"/>
      <c r="O39" s="393" t="inlineStr">
        <is>
          <t>▼</t>
        </is>
      </c>
    </row>
    <row r="40" ht="29.4" customHeight="1" thickBot="1">
      <c r="A40" s="147" t="inlineStr">
        <is>
          <t>Presidente/a de Junta (nombre)</t>
        </is>
      </c>
      <c r="B40" s="381" t="n"/>
      <c r="C40" s="381" t="n"/>
      <c r="D40" s="394" t="n"/>
      <c r="E40" s="395" t="n"/>
      <c r="F40" s="395" t="n"/>
      <c r="G40" s="395" t="n"/>
      <c r="H40" s="396" t="n"/>
      <c r="I40" s="12" t="inlineStr">
        <is>
          <t>DNI</t>
        </is>
      </c>
      <c r="J40" s="397" t="n"/>
      <c r="K40" s="398" t="n"/>
      <c r="L40" s="12" t="inlineStr">
        <is>
          <t>Teléfono</t>
        </is>
      </c>
      <c r="M40" s="27" t="n"/>
      <c r="N40" s="392" t="n"/>
    </row>
    <row r="41" ht="30.6" customHeight="1" thickBot="1">
      <c r="A41" s="218" t="inlineStr">
        <is>
          <t>¿Existe Ronda Campesina activa? *</t>
        </is>
      </c>
      <c r="B41" s="381" t="n"/>
      <c r="C41" s="381" t="n"/>
      <c r="D41" s="38" t="n"/>
      <c r="E41" s="22" t="inlineStr">
        <is>
          <t>Sí</t>
        </is>
      </c>
      <c r="F41" s="38" t="n"/>
      <c r="G41" s="22" t="inlineStr">
        <is>
          <t>No</t>
        </is>
      </c>
      <c r="H41" s="38" t="n"/>
      <c r="I41" s="220" t="inlineStr">
        <is>
          <t>Teléfono Pres. Ronda</t>
        </is>
      </c>
      <c r="L41" s="223" t="n"/>
      <c r="M41" s="399" t="n"/>
      <c r="N41" s="400" t="n"/>
      <c r="O41" s="393" t="inlineStr">
        <is>
          <t>▼</t>
        </is>
      </c>
    </row>
    <row r="42" ht="28.8" customHeight="1" thickBot="1">
      <c r="A42" s="226" t="inlineStr">
        <is>
          <t>Presidente/a de Ronda (nombre)</t>
        </is>
      </c>
      <c r="B42" s="399" t="n"/>
      <c r="C42" s="399" t="n"/>
      <c r="D42" s="401" t="n"/>
      <c r="E42" s="395" t="n"/>
      <c r="F42" s="395" t="n"/>
      <c r="G42" s="395" t="n"/>
      <c r="H42" s="395" t="n"/>
      <c r="I42" s="395" t="n"/>
      <c r="J42" s="395" t="n"/>
      <c r="K42" s="395" t="n"/>
      <c r="L42" s="395" t="n"/>
      <c r="M42" s="395" t="n"/>
      <c r="N42" s="396" t="n"/>
    </row>
    <row r="43" ht="26.4" customHeight="1" thickBot="1">
      <c r="A43" s="402" t="inlineStr">
        <is>
          <t>Autoridad adicional (Tnte Gobernador, Agente Municipal — nombres)</t>
        </is>
      </c>
      <c r="B43" s="395" t="n"/>
      <c r="C43" s="395" t="n"/>
      <c r="D43" s="396" t="n"/>
      <c r="E43" s="394" t="n"/>
      <c r="F43" s="395" t="n"/>
      <c r="G43" s="395" t="n"/>
      <c r="H43" s="395" t="n"/>
      <c r="I43" s="395" t="n"/>
      <c r="J43" s="395" t="n"/>
      <c r="K43" s="395" t="n"/>
      <c r="L43" s="395" t="n"/>
      <c r="M43" s="395" t="n"/>
      <c r="N43" s="396" t="n"/>
    </row>
    <row r="44" ht="27.6" customHeight="1" thickBot="1">
      <c r="A44" s="403" t="inlineStr">
        <is>
          <t>3.1  Periodicidad de asambleas comunales (marcar una)</t>
        </is>
      </c>
      <c r="B44" s="404" t="n"/>
      <c r="C44" s="404" t="n"/>
      <c r="D44" s="404" t="n"/>
      <c r="E44" s="404" t="n"/>
      <c r="F44" s="404" t="n"/>
      <c r="G44" s="404" t="n"/>
      <c r="H44" s="404" t="n"/>
      <c r="I44" s="404" t="n"/>
      <c r="J44" s="404" t="n"/>
      <c r="K44" s="404" t="n"/>
      <c r="L44" s="404" t="n"/>
      <c r="M44" s="404" t="n"/>
      <c r="N44" s="405" t="n"/>
      <c r="O44" s="393" t="inlineStr">
        <is>
          <t>▼</t>
        </is>
      </c>
    </row>
    <row r="45" ht="18" customHeight="1" thickBot="1">
      <c r="A45" s="18" t="n"/>
      <c r="B45" s="170" t="inlineStr">
        <is>
          <t>Semanal</t>
        </is>
      </c>
      <c r="C45" s="381" t="n"/>
      <c r="D45" s="381" t="n"/>
      <c r="E45" s="381" t="n"/>
      <c r="F45" s="16" t="n"/>
      <c r="G45" s="170" t="inlineStr">
        <is>
          <t>Quincenal</t>
        </is>
      </c>
      <c r="H45" s="381" t="n"/>
      <c r="I45" s="381" t="n"/>
      <c r="J45" s="381" t="n"/>
      <c r="K45" s="16" t="n"/>
      <c r="L45" s="171" t="inlineStr">
        <is>
          <t>Mensual</t>
        </is>
      </c>
      <c r="M45" s="381" t="n"/>
      <c r="N45" s="392" t="n"/>
    </row>
    <row r="46" ht="18" customHeight="1" thickBot="1">
      <c r="A46" s="18" t="n"/>
      <c r="B46" s="170" t="inlineStr">
        <is>
          <t>Bimensual</t>
        </is>
      </c>
      <c r="C46" s="381" t="n"/>
      <c r="D46" s="381" t="n"/>
      <c r="E46" s="381" t="n"/>
      <c r="F46" s="16" t="n"/>
      <c r="G46" s="170" t="inlineStr">
        <is>
          <t>Trimestral</t>
        </is>
      </c>
      <c r="H46" s="381" t="n"/>
      <c r="I46" s="381" t="n"/>
      <c r="J46" s="381" t="n"/>
      <c r="K46" s="16" t="n"/>
      <c r="L46" s="171" t="inlineStr">
        <is>
          <t>Solo por convocatoria</t>
        </is>
      </c>
      <c r="M46" s="381" t="n"/>
      <c r="N46" s="392" t="n"/>
    </row>
    <row r="47" ht="18" customHeight="1" thickBot="1">
      <c r="A47" s="18" t="n"/>
      <c r="B47" s="170" t="inlineStr">
        <is>
          <t>No se realizan</t>
        </is>
      </c>
      <c r="C47" s="381" t="n"/>
      <c r="D47" s="381" t="n"/>
      <c r="E47" s="381" t="n"/>
      <c r="F47" s="1" t="n"/>
      <c r="G47" s="154" t="n"/>
      <c r="H47" s="381" t="n"/>
      <c r="I47" s="381" t="n"/>
      <c r="J47" s="381" t="n"/>
      <c r="K47" s="1" t="n"/>
      <c r="L47" s="155" t="n"/>
      <c r="M47" s="381" t="n"/>
      <c r="N47" s="392" t="n"/>
    </row>
    <row r="48" ht="48" customHeight="1" thickBot="1">
      <c r="A48" s="147" t="inlineStr">
        <is>
          <t>¿Existe reglamento interno?</t>
        </is>
      </c>
      <c r="B48" s="381" t="n"/>
      <c r="C48" s="381" t="n"/>
      <c r="D48" s="32" t="n"/>
      <c r="E48" s="22" t="inlineStr">
        <is>
          <t>Sí</t>
        </is>
      </c>
      <c r="F48" s="32" t="n"/>
      <c r="G48" s="22" t="inlineStr">
        <is>
          <t>No</t>
        </is>
      </c>
      <c r="H48" s="32" t="n"/>
      <c r="I48" s="22" t="inlineStr">
        <is>
          <t>N/A</t>
        </is>
      </c>
      <c r="J48" s="43" t="inlineStr">
        <is>
          <t>¿Comité de RRNN?</t>
        </is>
      </c>
      <c r="K48" s="32" t="n"/>
      <c r="L48" s="22" t="inlineStr">
        <is>
          <t>Sí</t>
        </is>
      </c>
      <c r="M48" s="32" t="n"/>
      <c r="N48" s="23" t="inlineStr">
        <is>
          <t>No</t>
        </is>
      </c>
      <c r="O48" s="393" t="inlineStr">
        <is>
          <t>▼</t>
        </is>
      </c>
    </row>
    <row r="49" ht="29.4" customHeight="1" thickBot="1">
      <c r="A49" s="147" t="inlineStr">
        <is>
          <t>Nombre del comité (si existe)</t>
        </is>
      </c>
      <c r="B49" s="381" t="n"/>
      <c r="C49" s="381" t="n"/>
      <c r="D49" s="401" t="n"/>
      <c r="E49" s="395" t="n"/>
      <c r="F49" s="395" t="n"/>
      <c r="G49" s="395" t="n"/>
      <c r="H49" s="395" t="n"/>
      <c r="I49" s="395" t="n"/>
      <c r="J49" s="395" t="n"/>
      <c r="K49" s="395" t="n"/>
      <c r="L49" s="395" t="n"/>
      <c r="M49" s="395" t="n"/>
      <c r="N49" s="396" t="n"/>
    </row>
    <row r="50">
      <c r="A50" s="21" t="n"/>
      <c r="N50" s="20" t="n"/>
    </row>
    <row r="51" ht="19.5" customFormat="1" customHeight="1" s="6">
      <c r="A51" s="389" t="inlineStr">
        <is>
          <t>4. TENENCIA DE LA TIERRA</t>
        </is>
      </c>
      <c r="N51" s="20" t="n"/>
    </row>
    <row r="52" ht="15" customHeight="1" thickBot="1">
      <c r="A52" s="391" t="inlineStr">
        <is>
          <t>4.1  Régimen predominante de tenencia (marcar uno)</t>
        </is>
      </c>
      <c r="B52" s="381" t="n"/>
      <c r="C52" s="381" t="n"/>
      <c r="D52" s="381" t="n"/>
      <c r="E52" s="381" t="n"/>
      <c r="F52" s="381" t="n"/>
      <c r="G52" s="381" t="n"/>
      <c r="H52" s="381" t="n"/>
      <c r="I52" s="381" t="n"/>
      <c r="J52" s="381" t="n"/>
      <c r="K52" s="381" t="n"/>
      <c r="L52" s="381" t="n"/>
      <c r="M52" s="381" t="n"/>
      <c r="N52" s="392" t="n"/>
      <c r="O52" s="393" t="inlineStr">
        <is>
          <t>▼</t>
        </is>
      </c>
    </row>
    <row r="53" ht="18" customHeight="1" thickBot="1">
      <c r="A53" s="18" t="n"/>
      <c r="B53" s="170" t="inlineStr">
        <is>
          <t>Comunal (tierras comunales)</t>
        </is>
      </c>
      <c r="C53" s="381" t="n"/>
      <c r="D53" s="381" t="n"/>
      <c r="E53" s="381" t="n"/>
      <c r="F53" s="381" t="n"/>
      <c r="G53" s="381" t="n"/>
      <c r="H53" s="16" t="n"/>
      <c r="I53" s="171" t="inlineStr">
        <is>
          <t>Individual titulada (COFOPRI/SUNARP)</t>
        </is>
      </c>
      <c r="J53" s="381" t="n"/>
      <c r="K53" s="381" t="n"/>
      <c r="L53" s="381" t="n"/>
      <c r="M53" s="381" t="n"/>
      <c r="N53" s="392" t="n"/>
    </row>
    <row r="54" ht="18" customHeight="1" thickBot="1">
      <c r="A54" s="18" t="n"/>
      <c r="B54" s="170" t="inlineStr">
        <is>
          <t>Individual en trámite</t>
        </is>
      </c>
      <c r="C54" s="381" t="n"/>
      <c r="D54" s="381" t="n"/>
      <c r="E54" s="381" t="n"/>
      <c r="F54" s="381" t="n"/>
      <c r="G54" s="381" t="n"/>
      <c r="H54" s="16" t="n"/>
      <c r="I54" s="171" t="inlineStr">
        <is>
          <t>Individual sin titular / Posesión</t>
        </is>
      </c>
      <c r="J54" s="381" t="n"/>
      <c r="K54" s="381" t="n"/>
      <c r="L54" s="381" t="n"/>
      <c r="M54" s="381" t="n"/>
      <c r="N54" s="392" t="n"/>
    </row>
    <row r="55" ht="18" customHeight="1" thickBot="1">
      <c r="A55" s="18" t="n"/>
      <c r="B55" s="170" t="inlineStr">
        <is>
          <t>Mixto (comunal + individual)</t>
        </is>
      </c>
      <c r="C55" s="381" t="n"/>
      <c r="D55" s="381" t="n"/>
      <c r="E55" s="381" t="n"/>
      <c r="F55" s="381" t="n"/>
      <c r="G55" s="381" t="n"/>
      <c r="H55" s="16" t="n"/>
      <c r="I55" s="171" t="inlineStr">
        <is>
          <t>Estatal</t>
        </is>
      </c>
      <c r="J55" s="381" t="n"/>
      <c r="K55" s="381" t="n"/>
      <c r="L55" s="381" t="n"/>
      <c r="M55" s="381" t="n"/>
      <c r="N55" s="392" t="n"/>
    </row>
    <row r="56" ht="18" customHeight="1" thickBot="1">
      <c r="A56" s="18" t="n"/>
      <c r="B56" s="170" t="inlineStr">
        <is>
          <t>Otro</t>
        </is>
      </c>
      <c r="C56" s="381" t="n"/>
      <c r="D56" s="381" t="n"/>
      <c r="E56" s="381" t="n"/>
      <c r="F56" s="381" t="n"/>
      <c r="G56" s="381" t="n"/>
      <c r="H56" s="1" t="n"/>
      <c r="I56" s="406" t="n"/>
      <c r="J56" s="381" t="n"/>
      <c r="K56" s="381" t="n"/>
      <c r="L56" s="381" t="n"/>
      <c r="M56" s="381" t="n"/>
      <c r="N56" s="392" t="n"/>
    </row>
    <row r="57" ht="35.4" customHeight="1" thickBot="1">
      <c r="A57" s="147" t="inlineStr">
        <is>
          <t>N° aprox. de predios individuales en el bloque</t>
        </is>
      </c>
      <c r="B57" s="381" t="n"/>
      <c r="C57" s="381" t="n"/>
      <c r="D57" s="381" t="n"/>
      <c r="E57" s="401" t="n"/>
      <c r="F57" s="395" t="n"/>
      <c r="G57" s="396" t="n"/>
      <c r="H57" s="210" t="inlineStr">
        <is>
          <t>% tierras tituladas</t>
        </is>
      </c>
      <c r="I57" s="381" t="n"/>
      <c r="J57" s="381" t="n"/>
      <c r="K57" s="381" t="n"/>
      <c r="L57" s="401" t="n"/>
      <c r="M57" s="395" t="n"/>
      <c r="N57" s="396" t="n"/>
    </row>
    <row r="58" ht="97.8" customHeight="1" thickBot="1">
      <c r="A58" s="147" t="inlineStr">
        <is>
          <t>¿Conflictos de linderos registrados?</t>
        </is>
      </c>
      <c r="B58" s="381" t="n"/>
      <c r="C58" s="381" t="n"/>
      <c r="D58" s="381" t="n"/>
      <c r="E58" s="33" t="n"/>
      <c r="F58" s="22" t="inlineStr">
        <is>
          <t>Sí</t>
        </is>
      </c>
      <c r="G58" s="33" t="n"/>
      <c r="H58" s="22" t="inlineStr">
        <is>
          <t>No</t>
        </is>
      </c>
      <c r="I58" s="12" t="inlineStr">
        <is>
          <t>¿Bloque se superpone a tierras comunales?</t>
        </is>
      </c>
      <c r="J58" s="12" t="n"/>
      <c r="K58" s="16" t="n"/>
      <c r="L58" s="22" t="inlineStr">
        <is>
          <t>Sí</t>
        </is>
      </c>
      <c r="M58" s="33" t="n"/>
      <c r="N58" s="23" t="inlineStr">
        <is>
          <t>No</t>
        </is>
      </c>
      <c r="O58" s="393" t="inlineStr">
        <is>
          <t>▼</t>
        </is>
      </c>
    </row>
    <row r="59" ht="29.4" customHeight="1" thickBot="1">
      <c r="A59" s="391" t="inlineStr">
        <is>
          <t>4.2  Organismo responsable del registro (marcar el principal)</t>
        </is>
      </c>
      <c r="B59" s="381" t="n"/>
      <c r="C59" s="381" t="n"/>
      <c r="D59" s="381" t="n"/>
      <c r="E59" s="381" t="n"/>
      <c r="F59" s="381" t="n"/>
      <c r="G59" s="381" t="n"/>
      <c r="H59" s="381" t="n"/>
      <c r="I59" s="381" t="n"/>
      <c r="J59" s="381" t="n"/>
      <c r="K59" s="381" t="n"/>
      <c r="L59" s="381" t="n"/>
      <c r="M59" s="381" t="n"/>
      <c r="N59" s="392" t="n"/>
      <c r="O59" s="393" t="inlineStr">
        <is>
          <t>▼</t>
        </is>
      </c>
    </row>
    <row r="60" ht="18" customHeight="1" thickBot="1">
      <c r="A60" s="18" t="n"/>
      <c r="B60" s="170" t="inlineStr">
        <is>
          <t>COFOPRI</t>
        </is>
      </c>
      <c r="C60" s="381" t="n"/>
      <c r="D60" s="381" t="n"/>
      <c r="E60" s="381" t="n"/>
      <c r="F60" s="16" t="n"/>
      <c r="G60" s="170" t="inlineStr">
        <is>
          <t>Dirección Regional de Agricultura</t>
        </is>
      </c>
      <c r="H60" s="381" t="n"/>
      <c r="I60" s="381" t="n"/>
      <c r="J60" s="381" t="n"/>
      <c r="K60" s="16" t="n"/>
      <c r="L60" s="171" t="inlineStr">
        <is>
          <t>SUNARP</t>
        </is>
      </c>
      <c r="M60" s="381" t="n"/>
      <c r="N60" s="392" t="n"/>
    </row>
    <row r="61" ht="18" customHeight="1" thickBot="1">
      <c r="A61" s="18" t="n"/>
      <c r="B61" s="170" t="inlineStr">
        <is>
          <t>Comunidad (autónomo)</t>
        </is>
      </c>
      <c r="C61" s="381" t="n"/>
      <c r="D61" s="381" t="n"/>
      <c r="E61" s="381" t="n"/>
      <c r="F61" s="16" t="n"/>
      <c r="G61" s="170" t="inlineStr">
        <is>
          <t>Otro</t>
        </is>
      </c>
      <c r="H61" s="381" t="n"/>
      <c r="I61" s="381" t="n"/>
      <c r="J61" s="381" t="n"/>
      <c r="K61" s="16" t="n"/>
      <c r="L61" s="171" t="inlineStr">
        <is>
          <t>Sin registro</t>
        </is>
      </c>
      <c r="M61" s="381" t="n"/>
      <c r="N61" s="392" t="n"/>
    </row>
    <row r="62">
      <c r="A62" s="21" t="n"/>
      <c r="N62" s="20" t="n"/>
    </row>
    <row r="63" ht="19.5" customFormat="1" customHeight="1" s="6">
      <c r="A63" s="389" t="inlineStr">
        <is>
          <t>5. SERVICIOS BÁSICOS E INFRAESTRUCTURA SOCIAL</t>
        </is>
      </c>
      <c r="N63" s="20" t="n"/>
    </row>
    <row r="64" ht="15" customHeight="1" thickBot="1">
      <c r="A64" s="391" t="inlineStr">
        <is>
          <t>5.1  Agua para consumo humano (marcar la fuente principal)</t>
        </is>
      </c>
      <c r="B64" s="381" t="n"/>
      <c r="C64" s="381" t="n"/>
      <c r="D64" s="381" t="n"/>
      <c r="E64" s="381" t="n"/>
      <c r="F64" s="381" t="n"/>
      <c r="G64" s="381" t="n"/>
      <c r="H64" s="381" t="n"/>
      <c r="I64" s="381" t="n"/>
      <c r="J64" s="381" t="n"/>
      <c r="K64" s="381" t="n"/>
      <c r="L64" s="381" t="n"/>
      <c r="M64" s="381" t="n"/>
      <c r="N64" s="392" t="n"/>
      <c r="O64" s="393" t="inlineStr">
        <is>
          <t>▼</t>
        </is>
      </c>
    </row>
    <row r="65" ht="18" customHeight="1" thickBot="1">
      <c r="A65" s="18" t="n"/>
      <c r="B65" s="170" t="inlineStr">
        <is>
          <t>Red pública domiciliaria</t>
        </is>
      </c>
      <c r="C65" s="381" t="n"/>
      <c r="D65" s="381" t="n"/>
      <c r="E65" s="381" t="n"/>
      <c r="F65" s="381" t="n"/>
      <c r="G65" s="381" t="n"/>
      <c r="H65" s="16" t="n"/>
      <c r="I65" s="171" t="inlineStr">
        <is>
          <t>Pilón público</t>
        </is>
      </c>
      <c r="J65" s="381" t="n"/>
      <c r="K65" s="381" t="n"/>
      <c r="L65" s="381" t="n"/>
      <c r="M65" s="381" t="n"/>
      <c r="N65" s="392" t="n"/>
    </row>
    <row r="66" ht="18" customHeight="1" thickBot="1">
      <c r="A66" s="18" t="n"/>
      <c r="B66" s="170" t="inlineStr">
        <is>
          <t>JASS / Sistema local</t>
        </is>
      </c>
      <c r="C66" s="381" t="n"/>
      <c r="D66" s="381" t="n"/>
      <c r="E66" s="381" t="n"/>
      <c r="F66" s="381" t="n"/>
      <c r="G66" s="381" t="n"/>
      <c r="H66" s="16" t="n"/>
      <c r="I66" s="171" t="inlineStr">
        <is>
          <t>Manantial / Quebrada directa</t>
        </is>
      </c>
      <c r="J66" s="381" t="n"/>
      <c r="K66" s="381" t="n"/>
      <c r="L66" s="381" t="n"/>
      <c r="M66" s="381" t="n"/>
      <c r="N66" s="392" t="n"/>
    </row>
    <row r="67" ht="18" customHeight="1" thickBot="1">
      <c r="A67" s="18" t="n"/>
      <c r="B67" s="170" t="inlineStr">
        <is>
          <t>Cisterna / Camión</t>
        </is>
      </c>
      <c r="C67" s="381" t="n"/>
      <c r="D67" s="381" t="n"/>
      <c r="E67" s="381" t="n"/>
      <c r="F67" s="381" t="n"/>
      <c r="G67" s="381" t="n"/>
      <c r="H67" s="16" t="n"/>
      <c r="I67" s="171" t="inlineStr">
        <is>
          <t>Acarreo (cántaros)*</t>
        </is>
      </c>
      <c r="J67" s="381" t="n"/>
      <c r="K67" s="381" t="n"/>
      <c r="L67" s="381" t="n"/>
      <c r="M67" s="381" t="n"/>
      <c r="N67" s="392" t="n"/>
    </row>
    <row r="68" ht="18" customHeight="1" thickBot="1">
      <c r="A68" s="18" t="n"/>
      <c r="B68" s="170" t="inlineStr">
        <is>
          <t>Sin acceso formal</t>
        </is>
      </c>
      <c r="C68" s="381" t="n"/>
      <c r="D68" s="381" t="n"/>
      <c r="E68" s="381" t="n"/>
      <c r="F68" s="381" t="n"/>
      <c r="G68" s="381" t="n"/>
      <c r="H68" s="32" t="n"/>
      <c r="I68" s="171" t="inlineStr">
        <is>
          <t>Otro</t>
        </is>
      </c>
      <c r="J68" s="381" t="n"/>
      <c r="K68" s="381" t="n"/>
      <c r="L68" s="381" t="n"/>
      <c r="M68" s="381" t="n"/>
      <c r="N68" s="392" t="n"/>
    </row>
    <row r="69" ht="39" customHeight="1">
      <c r="A69" s="407" t="inlineStr">
        <is>
          <t>Cobertura de agua potable (%)</t>
        </is>
      </c>
      <c r="B69" s="404" t="n"/>
      <c r="C69" s="408" t="n"/>
      <c r="D69" s="188" t="n"/>
      <c r="E69" s="381" t="n"/>
      <c r="F69" s="203" t="inlineStr">
        <is>
          <t>Pago mensual por consumo S/</t>
        </is>
      </c>
      <c r="G69" s="385" t="n"/>
      <c r="H69" s="386" t="n"/>
      <c r="I69" s="204" t="n"/>
      <c r="J69" s="386" t="n"/>
      <c r="K69" s="409" t="inlineStr">
        <is>
          <t>(*) Tiempo de acarreo/N° de viajes x día</t>
        </is>
      </c>
      <c r="L69" s="398" t="n"/>
      <c r="M69" s="27" t="n"/>
      <c r="N69" s="392" t="n"/>
    </row>
    <row r="70" ht="15" customHeight="1" thickBot="1">
      <c r="A70" s="391" t="inlineStr">
        <is>
          <t>5.2  Saneamiento (marcar el predominante)</t>
        </is>
      </c>
      <c r="B70" s="381" t="n"/>
      <c r="C70" s="381" t="n"/>
      <c r="D70" s="381" t="n"/>
      <c r="E70" s="381" t="n"/>
      <c r="F70" s="381" t="n"/>
      <c r="G70" s="381" t="n"/>
      <c r="H70" s="381" t="n"/>
      <c r="I70" s="381" t="n"/>
      <c r="J70" s="381" t="n"/>
      <c r="K70" s="381" t="n"/>
      <c r="L70" s="381" t="n"/>
      <c r="M70" s="381" t="n"/>
      <c r="N70" s="392" t="n"/>
      <c r="O70" s="393" t="inlineStr">
        <is>
          <t>▼</t>
        </is>
      </c>
    </row>
    <row r="71" ht="18" customHeight="1" thickBot="1">
      <c r="A71" s="18" t="n"/>
      <c r="B71" s="170" t="inlineStr">
        <is>
          <t>Red pública (alcantarillado)</t>
        </is>
      </c>
      <c r="C71" s="381" t="n"/>
      <c r="D71" s="381" t="n"/>
      <c r="E71" s="381" t="n"/>
      <c r="F71" s="381" t="n"/>
      <c r="G71" s="381" t="n"/>
      <c r="H71" s="16" t="n"/>
      <c r="I71" s="171" t="inlineStr">
        <is>
          <t>Letrina con arrastre</t>
        </is>
      </c>
      <c r="J71" s="381" t="n"/>
      <c r="K71" s="381" t="n"/>
      <c r="L71" s="381" t="n"/>
      <c r="M71" s="381" t="n"/>
      <c r="N71" s="392" t="n"/>
    </row>
    <row r="72" ht="18" customHeight="1" thickBot="1">
      <c r="A72" s="18" t="n"/>
      <c r="B72" s="170" t="inlineStr">
        <is>
          <t>Letrina seca</t>
        </is>
      </c>
      <c r="C72" s="381" t="n"/>
      <c r="D72" s="381" t="n"/>
      <c r="E72" s="381" t="n"/>
      <c r="F72" s="381" t="n"/>
      <c r="G72" s="381" t="n"/>
      <c r="H72" s="16" t="n"/>
      <c r="I72" s="171" t="inlineStr">
        <is>
          <t>Pozo séptico</t>
        </is>
      </c>
      <c r="J72" s="381" t="n"/>
      <c r="K72" s="381" t="n"/>
      <c r="L72" s="381" t="n"/>
      <c r="M72" s="381" t="n"/>
      <c r="N72" s="392" t="n"/>
    </row>
    <row r="73" ht="18" customHeight="1" thickBot="1">
      <c r="A73" s="18" t="n"/>
      <c r="B73" s="170" t="inlineStr">
        <is>
          <t>Biodigestor</t>
        </is>
      </c>
      <c r="C73" s="381" t="n"/>
      <c r="D73" s="381" t="n"/>
      <c r="E73" s="381" t="n"/>
      <c r="F73" s="381" t="n"/>
      <c r="G73" s="381" t="n"/>
      <c r="H73" s="16" t="n"/>
      <c r="I73" s="171" t="inlineStr">
        <is>
          <t>Sin saneamiento (campo abierto)</t>
        </is>
      </c>
      <c r="J73" s="381" t="n"/>
      <c r="K73" s="381" t="n"/>
      <c r="L73" s="381" t="n"/>
      <c r="M73" s="381" t="n"/>
      <c r="N73" s="392" t="n"/>
    </row>
    <row r="74" ht="15" customHeight="1" thickBot="1">
      <c r="A74" s="391" t="inlineStr">
        <is>
          <t>5.3  Energía eléctrica (marcar el tipo predominante)</t>
        </is>
      </c>
      <c r="B74" s="381" t="n"/>
      <c r="C74" s="381" t="n"/>
      <c r="D74" s="381" t="n"/>
      <c r="E74" s="381" t="n"/>
      <c r="F74" s="381" t="n"/>
      <c r="G74" s="381" t="n"/>
      <c r="H74" s="381" t="n"/>
      <c r="I74" s="381" t="n"/>
      <c r="J74" s="381" t="n"/>
      <c r="K74" s="381" t="n"/>
      <c r="L74" s="381" t="n"/>
      <c r="M74" s="381" t="n"/>
      <c r="N74" s="392" t="n"/>
      <c r="O74" s="393" t="inlineStr">
        <is>
          <t>▼</t>
        </is>
      </c>
    </row>
    <row r="75" ht="18" customHeight="1" thickBot="1">
      <c r="A75" s="18" t="n"/>
      <c r="B75" s="170" t="inlineStr">
        <is>
          <t>Red pública</t>
        </is>
      </c>
      <c r="C75" s="381" t="n"/>
      <c r="D75" s="381" t="n"/>
      <c r="E75" s="381" t="n"/>
      <c r="F75" s="381" t="n"/>
      <c r="G75" s="381" t="n"/>
      <c r="H75" s="16" t="n"/>
      <c r="I75" s="171" t="inlineStr">
        <is>
          <t>Panel solar domiciliario</t>
        </is>
      </c>
      <c r="J75" s="381" t="n"/>
      <c r="K75" s="381" t="n"/>
      <c r="L75" s="381" t="n"/>
      <c r="M75" s="381" t="n"/>
      <c r="N75" s="392" t="n"/>
    </row>
    <row r="76" ht="18" customHeight="1" thickBot="1">
      <c r="A76" s="18" t="n"/>
      <c r="B76" s="170" t="inlineStr">
        <is>
          <t>Grupo electrógeno comunal</t>
        </is>
      </c>
      <c r="C76" s="381" t="n"/>
      <c r="D76" s="381" t="n"/>
      <c r="E76" s="381" t="n"/>
      <c r="F76" s="381" t="n"/>
      <c r="G76" s="381" t="n"/>
      <c r="H76" s="16" t="n"/>
      <c r="I76" s="171" t="inlineStr">
        <is>
          <t>Minihidroeléctrica</t>
        </is>
      </c>
      <c r="J76" s="381" t="n"/>
      <c r="K76" s="381" t="n"/>
      <c r="L76" s="381" t="n"/>
      <c r="M76" s="381" t="n"/>
      <c r="N76" s="392" t="n"/>
    </row>
    <row r="77" ht="18" customHeight="1" thickBot="1">
      <c r="A77" s="18" t="n"/>
      <c r="B77" s="170" t="inlineStr">
        <is>
          <t>Sin electrificación</t>
        </is>
      </c>
      <c r="C77" s="381" t="n"/>
      <c r="D77" s="381" t="n"/>
      <c r="E77" s="381" t="n"/>
      <c r="F77" s="381" t="n"/>
      <c r="G77" s="381" t="n"/>
      <c r="H77" s="16" t="n"/>
      <c r="I77" s="171" t="inlineStr">
        <is>
          <t>Otro</t>
        </is>
      </c>
      <c r="J77" s="381" t="n"/>
      <c r="K77" s="381" t="n"/>
      <c r="L77" s="381" t="n"/>
      <c r="M77" s="381" t="n"/>
      <c r="N77" s="392" t="n"/>
    </row>
    <row r="78" ht="31.2" customHeight="1">
      <c r="A78" s="407" t="inlineStr">
        <is>
          <t>Cobertura de energía eléctrica (%)</t>
        </is>
      </c>
      <c r="B78" s="404" t="n"/>
      <c r="C78" s="408" t="n"/>
      <c r="D78" s="410" t="n"/>
      <c r="E78" s="398" t="n"/>
      <c r="F78" s="201" t="inlineStr">
        <is>
          <t>Pago mensual por consumo S/</t>
        </is>
      </c>
      <c r="G78" s="404" t="n"/>
      <c r="H78" s="404" t="n"/>
      <c r="I78" s="411" t="n"/>
      <c r="J78" s="381" t="n"/>
      <c r="K78" s="381" t="n"/>
      <c r="L78" s="381" t="n"/>
      <c r="M78" s="381" t="n"/>
      <c r="N78" s="392" t="n"/>
    </row>
    <row r="79" ht="15" customHeight="1" thickBot="1">
      <c r="A79" s="391" t="inlineStr">
        <is>
          <t>5.4  Telecomunicaciones (marcar una)</t>
        </is>
      </c>
      <c r="B79" s="381" t="n"/>
      <c r="C79" s="381" t="n"/>
      <c r="D79" s="381" t="n"/>
      <c r="E79" s="381" t="n"/>
      <c r="F79" s="381" t="n"/>
      <c r="G79" s="381" t="n"/>
      <c r="H79" s="381" t="n"/>
      <c r="I79" s="381" t="n"/>
      <c r="J79" s="381" t="n"/>
      <c r="K79" s="381" t="n"/>
      <c r="L79" s="381" t="n"/>
      <c r="M79" s="381" t="n"/>
      <c r="N79" s="392" t="n"/>
      <c r="O79" s="393" t="inlineStr">
        <is>
          <t>▼</t>
        </is>
      </c>
    </row>
    <row r="80" ht="18" customHeight="1" thickBot="1">
      <c r="A80" s="18" t="n"/>
      <c r="B80" s="170" t="inlineStr">
        <is>
          <t>Celular + Internet</t>
        </is>
      </c>
      <c r="C80" s="381" t="n"/>
      <c r="D80" s="381" t="n"/>
      <c r="E80" s="381" t="n"/>
      <c r="F80" s="381" t="n"/>
      <c r="G80" s="381" t="n"/>
      <c r="H80" s="16" t="n"/>
      <c r="I80" s="171" t="inlineStr">
        <is>
          <t>Solo celular</t>
        </is>
      </c>
      <c r="J80" s="381" t="n"/>
      <c r="K80" s="381" t="n"/>
      <c r="L80" s="381" t="n"/>
      <c r="M80" s="381" t="n"/>
      <c r="N80" s="392" t="n"/>
    </row>
    <row r="81" ht="18" customHeight="1" thickBot="1">
      <c r="A81" s="18" t="n"/>
      <c r="B81" s="170" t="inlineStr">
        <is>
          <t>Parcial intermitente</t>
        </is>
      </c>
      <c r="C81" s="381" t="n"/>
      <c r="D81" s="381" t="n"/>
      <c r="E81" s="381" t="n"/>
      <c r="F81" s="381" t="n"/>
      <c r="G81" s="381" t="n"/>
      <c r="H81" s="16" t="n"/>
      <c r="I81" s="171" t="inlineStr">
        <is>
          <t>Sin cobertura</t>
        </is>
      </c>
      <c r="J81" s="381" t="n"/>
      <c r="K81" s="381" t="n"/>
      <c r="L81" s="381" t="n"/>
      <c r="M81" s="381" t="n"/>
      <c r="N81" s="392" t="n"/>
    </row>
    <row r="82" ht="18" customHeight="1">
      <c r="A82" s="407" t="inlineStr">
        <is>
          <t>Operador celular dominante</t>
        </is>
      </c>
      <c r="B82" s="404" t="n"/>
      <c r="C82" s="408" t="n"/>
      <c r="D82" s="412" t="inlineStr">
        <is>
          <t>Movistar</t>
        </is>
      </c>
      <c r="E82" s="398" t="n"/>
      <c r="F82" s="412" t="inlineStr">
        <is>
          <t>Claro</t>
        </is>
      </c>
      <c r="G82" s="398" t="n"/>
      <c r="H82" s="412" t="inlineStr">
        <is>
          <t>Entel</t>
        </is>
      </c>
      <c r="I82" s="398" t="n"/>
      <c r="J82" s="412" t="inlineStr">
        <is>
          <t>Bitel</t>
        </is>
      </c>
      <c r="K82" s="398" t="n"/>
      <c r="L82" s="413" t="inlineStr">
        <is>
          <t xml:space="preserve">Otros: </t>
        </is>
      </c>
      <c r="M82" s="381" t="n"/>
      <c r="N82" s="392" t="n"/>
    </row>
    <row r="83" ht="15" customHeight="1" thickBot="1">
      <c r="A83" s="391" t="inlineStr">
        <is>
          <t>5.5  Institución educativa más cercana — niveles disponibles (marcar los aplicables)</t>
        </is>
      </c>
      <c r="B83" s="381" t="n"/>
      <c r="C83" s="381" t="n"/>
      <c r="D83" s="381" t="n"/>
      <c r="E83" s="381" t="n"/>
      <c r="F83" s="381" t="n"/>
      <c r="G83" s="381" t="n"/>
      <c r="H83" s="381" t="n"/>
      <c r="I83" s="381" t="n"/>
      <c r="J83" s="381" t="n"/>
      <c r="K83" s="381" t="n"/>
      <c r="L83" s="381" t="n"/>
      <c r="M83" s="381" t="n"/>
      <c r="N83" s="392" t="n"/>
      <c r="O83" s="393" t="inlineStr">
        <is>
          <t>▼</t>
        </is>
      </c>
    </row>
    <row r="84" ht="23.4" customHeight="1" thickBot="1">
      <c r="A84" s="18" t="n"/>
      <c r="B84" s="170" t="inlineStr">
        <is>
          <t>Solo inicial</t>
        </is>
      </c>
      <c r="C84" s="381" t="n"/>
      <c r="D84" s="381" t="n"/>
      <c r="E84" s="381" t="n"/>
      <c r="F84" s="16" t="n"/>
      <c r="G84" s="170" t="inlineStr">
        <is>
          <t>Inicial + Primaria</t>
        </is>
      </c>
      <c r="H84" s="381" t="n"/>
      <c r="I84" s="381" t="n"/>
      <c r="J84" s="381" t="n"/>
      <c r="K84" s="16" t="n"/>
      <c r="L84" s="171" t="inlineStr">
        <is>
          <t>Primaria</t>
        </is>
      </c>
      <c r="M84" s="381" t="n"/>
      <c r="N84" s="392" t="n"/>
    </row>
    <row r="85" ht="24" customHeight="1" thickBot="1">
      <c r="A85" s="18" t="n"/>
      <c r="B85" s="170" t="inlineStr">
        <is>
          <t>Primaria + Secundaria</t>
        </is>
      </c>
      <c r="C85" s="381" t="n"/>
      <c r="D85" s="381" t="n"/>
      <c r="E85" s="381" t="n"/>
      <c r="F85" s="16" t="n"/>
      <c r="G85" s="170" t="inlineStr">
        <is>
          <t>Secundaria</t>
        </is>
      </c>
      <c r="H85" s="381" t="n"/>
      <c r="I85" s="381" t="n"/>
      <c r="J85" s="381" t="n"/>
      <c r="K85" s="16" t="n"/>
      <c r="L85" s="171" t="inlineStr">
        <is>
          <t>Superior</t>
        </is>
      </c>
      <c r="M85" s="381" t="n"/>
      <c r="N85" s="392" t="n"/>
    </row>
    <row r="86" ht="27" customHeight="1" thickBot="1">
      <c r="A86" s="18" t="n"/>
      <c r="B86" s="170" t="inlineStr">
        <is>
          <t>No hay IE</t>
        </is>
      </c>
      <c r="C86" s="381" t="n"/>
      <c r="D86" s="381" t="n"/>
      <c r="E86" s="381" t="n"/>
      <c r="F86" s="414" t="n"/>
      <c r="G86" s="404" t="n"/>
      <c r="H86" s="404" t="n"/>
      <c r="I86" s="404" t="n"/>
      <c r="J86" s="404" t="n"/>
      <c r="K86" s="404" t="n"/>
      <c r="L86" s="404" t="n"/>
      <c r="M86" s="404" t="n"/>
      <c r="N86" s="405" t="n"/>
    </row>
    <row r="87" ht="22.2" customHeight="1">
      <c r="A87" s="407" t="inlineStr">
        <is>
          <t>Nombre  de la IE principal</t>
        </is>
      </c>
      <c r="B87" s="404" t="n"/>
      <c r="C87" s="408" t="n"/>
      <c r="D87" s="410" t="n"/>
      <c r="E87" s="381" t="n"/>
      <c r="F87" s="381" t="n"/>
      <c r="G87" s="381" t="n"/>
      <c r="H87" s="398" t="n"/>
      <c r="I87" s="415" t="inlineStr">
        <is>
          <t>Distancia al Centro Poblado (Km)</t>
        </is>
      </c>
      <c r="J87" s="381" t="n"/>
      <c r="K87" s="381" t="n"/>
      <c r="L87" s="398" t="n"/>
      <c r="M87" s="27" t="n"/>
      <c r="N87" s="392" t="n"/>
    </row>
    <row r="88" ht="15" customHeight="1" thickBot="1">
      <c r="A88" s="391" t="inlineStr">
        <is>
          <t>5.6  Establecimiento de salud — categoría (marcar una)</t>
        </is>
      </c>
      <c r="B88" s="381" t="n"/>
      <c r="C88" s="381" t="n"/>
      <c r="D88" s="381" t="n"/>
      <c r="E88" s="381" t="n"/>
      <c r="F88" s="381" t="n"/>
      <c r="G88" s="381" t="n"/>
      <c r="H88" s="381" t="n"/>
      <c r="I88" s="381" t="n"/>
      <c r="J88" s="381" t="n"/>
      <c r="K88" s="381" t="n"/>
      <c r="L88" s="381" t="n"/>
      <c r="M88" s="381" t="n"/>
      <c r="N88" s="392" t="n"/>
      <c r="O88" s="393" t="inlineStr">
        <is>
          <t>▼</t>
        </is>
      </c>
    </row>
    <row r="89" ht="24.6" customHeight="1" thickBot="1">
      <c r="A89" s="18" t="n"/>
      <c r="B89" s="170" t="inlineStr">
        <is>
          <t>I-1</t>
        </is>
      </c>
      <c r="C89" s="381" t="n"/>
      <c r="D89" s="16" t="n"/>
      <c r="E89" s="170" t="inlineStr">
        <is>
          <t>I-2</t>
        </is>
      </c>
      <c r="F89" s="381" t="n"/>
      <c r="G89" s="381" t="n"/>
      <c r="H89" s="16" t="n"/>
      <c r="I89" s="170" t="inlineStr">
        <is>
          <t>I-3</t>
        </is>
      </c>
      <c r="J89" s="381" t="n"/>
      <c r="K89" s="16" t="n"/>
      <c r="L89" s="171" t="inlineStr">
        <is>
          <t>I-4</t>
        </is>
      </c>
      <c r="M89" s="381" t="n"/>
      <c r="N89" s="392" t="n"/>
    </row>
    <row r="90" ht="18" customHeight="1" thickBot="1">
      <c r="A90" s="37" t="n"/>
      <c r="B90" s="172" t="inlineStr">
        <is>
          <t>II-1</t>
        </is>
      </c>
      <c r="C90" s="399" t="n"/>
      <c r="D90" s="32" t="n"/>
      <c r="E90" s="172" t="inlineStr">
        <is>
          <t>II-2</t>
        </is>
      </c>
      <c r="F90" s="399" t="n"/>
      <c r="G90" s="399" t="n"/>
      <c r="H90" s="32" t="n"/>
      <c r="I90" s="172" t="inlineStr">
        <is>
          <t>III</t>
        </is>
      </c>
      <c r="J90" s="399" t="n"/>
      <c r="K90" s="32" t="n"/>
      <c r="L90" s="173" t="inlineStr">
        <is>
          <t>No hay</t>
        </is>
      </c>
      <c r="M90" s="399" t="n"/>
      <c r="N90" s="400" t="n"/>
    </row>
    <row r="91" ht="18" customHeight="1" thickBot="1">
      <c r="A91" s="416" t="inlineStr">
        <is>
          <t>Nombre del EESS más cercano</t>
        </is>
      </c>
      <c r="B91" s="417" t="n"/>
      <c r="C91" s="417" t="n"/>
      <c r="D91" s="418" t="n"/>
      <c r="E91" s="419" t="n"/>
      <c r="F91" s="395" t="n"/>
      <c r="G91" s="395" t="n"/>
      <c r="H91" s="395" t="n"/>
      <c r="I91" s="395" t="n"/>
      <c r="J91" s="395" t="n"/>
      <c r="K91" s="396" t="n"/>
      <c r="L91" s="180" t="inlineStr">
        <is>
          <t>Distancia (km)</t>
        </is>
      </c>
      <c r="M91" s="395" t="n"/>
      <c r="N91" s="179" t="n"/>
    </row>
    <row r="92" ht="22.2" customHeight="1" thickBot="1">
      <c r="A92" s="391" t="inlineStr">
        <is>
          <t>¿Existe local comunal?</t>
        </is>
      </c>
      <c r="B92" s="381" t="n"/>
      <c r="C92" s="381" t="n"/>
      <c r="D92" s="392" t="n"/>
      <c r="E92" s="35" t="n"/>
      <c r="F92" s="22" t="inlineStr">
        <is>
          <t>Sí</t>
        </is>
      </c>
      <c r="G92" s="33" t="n"/>
      <c r="H92" s="22" t="inlineStr">
        <is>
          <t>No</t>
        </is>
      </c>
      <c r="K92" s="169" t="n"/>
      <c r="L92" s="383" t="n"/>
      <c r="M92" s="383" t="n"/>
      <c r="N92" s="384" t="n"/>
      <c r="O92" s="393" t="inlineStr">
        <is>
          <t>▼</t>
        </is>
      </c>
    </row>
    <row r="93" ht="31.2" customHeight="1" thickBot="1">
      <c r="A93" s="420" t="inlineStr">
        <is>
          <t>Estado del local comunal (marcar uno)</t>
        </is>
      </c>
      <c r="B93" s="421" t="n"/>
      <c r="C93" s="421" t="n"/>
      <c r="D93" s="422" t="n"/>
      <c r="E93" s="36" t="n"/>
      <c r="F93" s="22" t="inlineStr">
        <is>
          <t>Bueno</t>
        </is>
      </c>
      <c r="G93" s="16" t="n"/>
      <c r="H93" s="22" t="inlineStr">
        <is>
          <t>Regular</t>
        </is>
      </c>
      <c r="I93" s="16" t="n"/>
      <c r="J93" s="22" t="inlineStr">
        <is>
          <t>Malo</t>
        </is>
      </c>
      <c r="N93" s="20" t="n"/>
      <c r="O93" s="393" t="inlineStr">
        <is>
          <t>▼</t>
        </is>
      </c>
    </row>
    <row r="94">
      <c r="A94" s="21" t="n"/>
      <c r="N94" s="20" t="n"/>
    </row>
    <row r="95" ht="19.5" customFormat="1" customHeight="1" s="6">
      <c r="A95" s="389" t="inlineStr">
        <is>
          <t>6. ACTIVIDADES ECONÓMICAS Y MEDIOS DE VIDA</t>
        </is>
      </c>
      <c r="N95" s="20" t="n"/>
    </row>
    <row r="96" ht="31.8" customHeight="1">
      <c r="A96" s="423" t="inlineStr">
        <is>
          <t>Registrar hasta 8 actividades económicas principales. Marcar con «X» en la columna de destino predominante. La columna "Código de actividad" se llena con el código del catálogo (ver bloque inferior). AC = Autoconsumo</t>
        </is>
      </c>
      <c r="N96" s="20" t="n"/>
    </row>
    <row r="97" ht="31.5" customFormat="1" customHeight="1" s="6" thickBot="1">
      <c r="A97" s="24" t="inlineStr">
        <is>
          <t>N°</t>
        </is>
      </c>
      <c r="B97" s="13" t="inlineStr">
        <is>
          <t>Cód.</t>
        </is>
      </c>
      <c r="C97" s="167" t="inlineStr">
        <is>
          <t>Actividad / Rubro</t>
        </is>
      </c>
      <c r="D97" s="381" t="n"/>
      <c r="E97" s="381" t="n"/>
      <c r="F97" s="13" t="inlineStr">
        <is>
          <t>N° fam.</t>
        </is>
      </c>
      <c r="G97" s="167" t="inlineStr">
        <is>
          <t>Productos principales</t>
        </is>
      </c>
      <c r="H97" s="381" t="n"/>
      <c r="I97" s="13" t="inlineStr">
        <is>
          <t>100% AC</t>
        </is>
      </c>
      <c r="J97" s="13" t="inlineStr">
        <is>
          <t>&gt;70% AC</t>
        </is>
      </c>
      <c r="K97" s="13" t="inlineStr">
        <is>
          <t>Mixto</t>
        </is>
      </c>
      <c r="L97" s="13" t="inlineStr">
        <is>
          <t>&gt;70% Merc.</t>
        </is>
      </c>
      <c r="M97" s="13" t="inlineStr">
        <is>
          <t>100% Merc.</t>
        </is>
      </c>
      <c r="N97" s="25" t="inlineStr">
        <is>
          <t>Ingreso
(S/./mes)</t>
        </is>
      </c>
    </row>
    <row r="98" ht="18" customHeight="1" thickBot="1">
      <c r="A98" s="26" t="n">
        <v>1</v>
      </c>
      <c r="B98" s="424" t="inlineStr">
        <is>
          <t>▼</t>
        </is>
      </c>
      <c r="C98" s="149" t="n"/>
      <c r="D98" s="381" t="n"/>
      <c r="E98" s="381" t="n"/>
      <c r="F98" s="14" t="n"/>
      <c r="G98" s="149" t="n"/>
      <c r="H98" s="381" t="n"/>
      <c r="I98" s="16" t="n"/>
      <c r="J98" s="16" t="n"/>
      <c r="K98" s="16" t="n"/>
      <c r="L98" s="16" t="n"/>
      <c r="M98" s="16" t="n"/>
      <c r="N98" s="27" t="n"/>
    </row>
    <row r="99" ht="18" customHeight="1" thickBot="1">
      <c r="A99" s="26" t="n">
        <v>2</v>
      </c>
      <c r="B99" s="424" t="inlineStr">
        <is>
          <t>▼</t>
        </is>
      </c>
      <c r="C99" s="149" t="n"/>
      <c r="D99" s="381" t="n"/>
      <c r="E99" s="381" t="n"/>
      <c r="F99" s="14" t="n"/>
      <c r="G99" s="149" t="n"/>
      <c r="H99" s="381" t="n"/>
      <c r="I99" s="16" t="n"/>
      <c r="J99" s="16" t="n"/>
      <c r="K99" s="16" t="n"/>
      <c r="L99" s="16" t="n"/>
      <c r="M99" s="16" t="n"/>
      <c r="N99" s="27" t="n"/>
    </row>
    <row r="100" ht="18" customHeight="1" thickBot="1">
      <c r="A100" s="26" t="n">
        <v>3</v>
      </c>
      <c r="B100" s="424" t="inlineStr">
        <is>
          <t>▼</t>
        </is>
      </c>
      <c r="C100" s="149" t="n"/>
      <c r="D100" s="381" t="n"/>
      <c r="E100" s="381" t="n"/>
      <c r="F100" s="14" t="n"/>
      <c r="G100" s="149" t="n"/>
      <c r="H100" s="381" t="n"/>
      <c r="I100" s="16" t="n"/>
      <c r="J100" s="16" t="n"/>
      <c r="K100" s="16" t="n"/>
      <c r="L100" s="16" t="n"/>
      <c r="M100" s="16" t="n"/>
      <c r="N100" s="27" t="n"/>
    </row>
    <row r="101" ht="18" customHeight="1" thickBot="1">
      <c r="A101" s="26" t="n">
        <v>4</v>
      </c>
      <c r="B101" s="424" t="inlineStr">
        <is>
          <t>▼</t>
        </is>
      </c>
      <c r="C101" s="149" t="n"/>
      <c r="D101" s="381" t="n"/>
      <c r="E101" s="381" t="n"/>
      <c r="F101" s="14" t="n"/>
      <c r="G101" s="149" t="n"/>
      <c r="H101" s="381" t="n"/>
      <c r="I101" s="16" t="n"/>
      <c r="J101" s="16" t="n"/>
      <c r="K101" s="16" t="n"/>
      <c r="L101" s="16" t="n"/>
      <c r="M101" s="16" t="n"/>
      <c r="N101" s="27" t="n"/>
    </row>
    <row r="102" ht="18" customHeight="1" thickBot="1">
      <c r="A102" s="26" t="n">
        <v>5</v>
      </c>
      <c r="B102" s="424" t="inlineStr">
        <is>
          <t>▼</t>
        </is>
      </c>
      <c r="C102" s="149" t="n"/>
      <c r="D102" s="381" t="n"/>
      <c r="E102" s="381" t="n"/>
      <c r="F102" s="14" t="n"/>
      <c r="G102" s="149" t="n"/>
      <c r="H102" s="381" t="n"/>
      <c r="I102" s="16" t="n"/>
      <c r="J102" s="16" t="n"/>
      <c r="K102" s="16" t="n"/>
      <c r="L102" s="16" t="n"/>
      <c r="M102" s="16" t="n"/>
      <c r="N102" s="27" t="n"/>
    </row>
    <row r="103" ht="18" customHeight="1" thickBot="1">
      <c r="A103" s="26" t="n">
        <v>6</v>
      </c>
      <c r="B103" s="424" t="inlineStr">
        <is>
          <t>▼</t>
        </is>
      </c>
      <c r="C103" s="149" t="n"/>
      <c r="D103" s="381" t="n"/>
      <c r="E103" s="381" t="n"/>
      <c r="F103" s="14" t="n"/>
      <c r="G103" s="149" t="n"/>
      <c r="H103" s="381" t="n"/>
      <c r="I103" s="16" t="n"/>
      <c r="J103" s="16" t="n"/>
      <c r="K103" s="16" t="n"/>
      <c r="L103" s="16" t="n"/>
      <c r="M103" s="16" t="n"/>
      <c r="N103" s="27" t="n"/>
    </row>
    <row r="104" ht="18" customHeight="1" thickBot="1">
      <c r="A104" s="26" t="n">
        <v>7</v>
      </c>
      <c r="B104" s="424" t="inlineStr">
        <is>
          <t>▼</t>
        </is>
      </c>
      <c r="C104" s="149" t="n"/>
      <c r="D104" s="381" t="n"/>
      <c r="E104" s="381" t="n"/>
      <c r="F104" s="14" t="n"/>
      <c r="G104" s="149" t="n"/>
      <c r="H104" s="381" t="n"/>
      <c r="I104" s="16" t="n"/>
      <c r="J104" s="16" t="n"/>
      <c r="K104" s="16" t="n"/>
      <c r="L104" s="16" t="n"/>
      <c r="M104" s="16" t="n"/>
      <c r="N104" s="27" t="n"/>
    </row>
    <row r="105" ht="18" customHeight="1" thickBot="1">
      <c r="A105" s="26" t="n">
        <v>8</v>
      </c>
      <c r="B105" s="424" t="inlineStr">
        <is>
          <t>▼</t>
        </is>
      </c>
      <c r="C105" s="149" t="n"/>
      <c r="D105" s="381" t="n"/>
      <c r="E105" s="381" t="n"/>
      <c r="F105" s="14" t="n"/>
      <c r="G105" s="149" t="n"/>
      <c r="H105" s="381" t="n"/>
      <c r="I105" s="16" t="n"/>
      <c r="J105" s="16" t="n"/>
      <c r="K105" s="16" t="n"/>
      <c r="L105" s="16" t="n"/>
      <c r="M105" s="16" t="n"/>
      <c r="N105" s="27" t="n"/>
    </row>
    <row r="106">
      <c r="A106" s="21" t="n"/>
      <c r="N106" s="20" t="n"/>
    </row>
    <row r="107" ht="15" customHeight="1">
      <c r="A107" s="391" t="inlineStr">
        <is>
          <t>6.1  Catálogo de actividades económicas (usar el código en la tabla anterior)</t>
        </is>
      </c>
      <c r="B107" s="381" t="n"/>
      <c r="C107" s="381" t="n"/>
      <c r="D107" s="381" t="n"/>
      <c r="E107" s="381" t="n"/>
      <c r="F107" s="381" t="n"/>
      <c r="G107" s="381" t="n"/>
      <c r="H107" s="381" t="n"/>
      <c r="I107" s="381" t="n"/>
      <c r="J107" s="381" t="n"/>
      <c r="K107" s="381" t="n"/>
      <c r="L107" s="381" t="n"/>
      <c r="M107" s="381" t="n"/>
      <c r="N107" s="392" t="n"/>
    </row>
    <row r="108" ht="15.75" customHeight="1">
      <c r="A108" s="28" t="inlineStr">
        <is>
          <t>A01</t>
        </is>
      </c>
      <c r="B108" s="149" t="inlineStr">
        <is>
          <t>Agricultura de secano</t>
        </is>
      </c>
      <c r="C108" s="381" t="n"/>
      <c r="D108" s="381" t="n"/>
      <c r="E108" s="381" t="n"/>
      <c r="F108" s="17" t="inlineStr">
        <is>
          <t>A02</t>
        </is>
      </c>
      <c r="G108" s="149" t="inlineStr">
        <is>
          <t>Agricultura bajo riego</t>
        </is>
      </c>
      <c r="H108" s="381" t="n"/>
      <c r="I108" s="381" t="n"/>
      <c r="J108" s="381" t="n"/>
      <c r="K108" s="17" t="inlineStr">
        <is>
          <t>A03</t>
        </is>
      </c>
      <c r="L108" s="150" t="inlineStr">
        <is>
          <t>Ganadería vacuna</t>
        </is>
      </c>
      <c r="M108" s="381" t="n"/>
      <c r="N108" s="392" t="n"/>
    </row>
    <row r="109" ht="25.8" customHeight="1">
      <c r="A109" s="28" t="inlineStr">
        <is>
          <t>A04</t>
        </is>
      </c>
      <c r="B109" s="149" t="inlineStr">
        <is>
          <t>Ganadería caprina/ovina</t>
        </is>
      </c>
      <c r="C109" s="381" t="n"/>
      <c r="D109" s="381" t="n"/>
      <c r="E109" s="381" t="n"/>
      <c r="F109" s="17" t="inlineStr">
        <is>
          <t>A05</t>
        </is>
      </c>
      <c r="G109" s="149" t="inlineStr">
        <is>
          <t>Ganadería porcina</t>
        </is>
      </c>
      <c r="H109" s="381" t="n"/>
      <c r="I109" s="381" t="n"/>
      <c r="J109" s="381" t="n"/>
      <c r="K109" s="17" t="inlineStr">
        <is>
          <t>A06</t>
        </is>
      </c>
      <c r="L109" s="150" t="inlineStr">
        <is>
          <t>Ganadería menor (aves, cuyes)</t>
        </is>
      </c>
      <c r="M109" s="381" t="n"/>
      <c r="N109" s="392" t="n"/>
    </row>
    <row r="110" ht="15.75" customHeight="1">
      <c r="A110" s="28" t="inlineStr">
        <is>
          <t>A07</t>
        </is>
      </c>
      <c r="B110" s="149" t="inlineStr">
        <is>
          <t>Apicultura</t>
        </is>
      </c>
      <c r="C110" s="381" t="n"/>
      <c r="D110" s="381" t="n"/>
      <c r="E110" s="381" t="n"/>
      <c r="F110" s="17" t="inlineStr">
        <is>
          <t>A08</t>
        </is>
      </c>
      <c r="G110" s="149" t="inlineStr">
        <is>
          <t>Forestería / Extracción de leña</t>
        </is>
      </c>
      <c r="H110" s="381" t="n"/>
      <c r="I110" s="381" t="n"/>
      <c r="J110" s="381" t="n"/>
      <c r="K110" s="17" t="inlineStr">
        <is>
          <t>A09</t>
        </is>
      </c>
      <c r="L110" s="150" t="inlineStr">
        <is>
          <t>Carbón vegetal (producción)</t>
        </is>
      </c>
      <c r="M110" s="381" t="n"/>
      <c r="N110" s="392" t="n"/>
    </row>
    <row r="111" ht="15.75" customHeight="1">
      <c r="A111" s="28" t="inlineStr">
        <is>
          <t>A10</t>
        </is>
      </c>
      <c r="B111" s="149" t="inlineStr">
        <is>
          <t>Artesanía</t>
        </is>
      </c>
      <c r="C111" s="381" t="n"/>
      <c r="D111" s="381" t="n"/>
      <c r="E111" s="381" t="n"/>
      <c r="F111" s="17" t="inlineStr">
        <is>
          <t>A11</t>
        </is>
      </c>
      <c r="G111" s="149" t="inlineStr">
        <is>
          <t>Turismo / Servicios</t>
        </is>
      </c>
      <c r="H111" s="381" t="n"/>
      <c r="I111" s="381" t="n"/>
      <c r="J111" s="381" t="n"/>
      <c r="K111" s="17" t="inlineStr">
        <is>
          <t>A12</t>
        </is>
      </c>
      <c r="L111" s="150" t="inlineStr">
        <is>
          <t>Comercio local</t>
        </is>
      </c>
      <c r="M111" s="381" t="n"/>
      <c r="N111" s="392" t="n"/>
    </row>
    <row r="112" ht="15.75" customHeight="1">
      <c r="A112" s="28" t="inlineStr">
        <is>
          <t>A13</t>
        </is>
      </c>
      <c r="B112" s="149" t="inlineStr">
        <is>
          <t>Trabajo asalariado externo</t>
        </is>
      </c>
      <c r="C112" s="381" t="n"/>
      <c r="D112" s="381" t="n"/>
      <c r="E112" s="381" t="n"/>
      <c r="F112" s="17" t="inlineStr">
        <is>
          <t>A14</t>
        </is>
      </c>
      <c r="G112" s="149" t="inlineStr">
        <is>
          <t>Pesca artesanal (ríos/reservorios)</t>
        </is>
      </c>
      <c r="H112" s="381" t="n"/>
      <c r="I112" s="381" t="n"/>
      <c r="J112" s="381" t="n"/>
      <c r="K112" s="17" t="inlineStr">
        <is>
          <t>A15</t>
        </is>
      </c>
      <c r="L112" s="150" t="inlineStr">
        <is>
          <t>Minería artesanal / informal</t>
        </is>
      </c>
      <c r="M112" s="381" t="n"/>
      <c r="N112" s="392" t="n"/>
    </row>
    <row r="113" ht="15.75" customHeight="1">
      <c r="A113" s="28" t="inlineStr">
        <is>
          <t>A16</t>
        </is>
      </c>
      <c r="B113" s="149" t="inlineStr">
        <is>
          <t>Jornalero agrícola</t>
        </is>
      </c>
      <c r="C113" s="381" t="n"/>
      <c r="D113" s="381" t="n"/>
      <c r="E113" s="381" t="n"/>
      <c r="F113" s="17" t="inlineStr">
        <is>
          <t>A17</t>
        </is>
      </c>
      <c r="G113" s="149" t="inlineStr">
        <is>
          <t>Otro</t>
        </is>
      </c>
      <c r="H113" s="381" t="n"/>
      <c r="I113" s="381" t="n"/>
      <c r="J113" s="381" t="n"/>
      <c r="K113" s="17" t="n"/>
      <c r="L113" s="155" t="n"/>
      <c r="M113" s="381" t="n"/>
      <c r="N113" s="392" t="n"/>
    </row>
    <row r="114">
      <c r="A114" s="21" t="n"/>
      <c r="N114" s="20" t="n"/>
    </row>
    <row r="115" ht="19.5" customFormat="1" customHeight="1" s="6">
      <c r="A115" s="389" t="inlineStr">
        <is>
          <t>7. PROGRAMAS SOCIALES Y PRESENCIA INSTITUCIONAL</t>
        </is>
      </c>
      <c r="N115" s="20" t="n"/>
    </row>
    <row r="116" ht="18" customHeight="1">
      <c r="A116" s="158" t="inlineStr">
        <is>
          <t>Beneficiarios JUNTOS (N° familias)</t>
        </is>
      </c>
      <c r="B116" s="385" t="n"/>
      <c r="C116" s="385" t="n"/>
      <c r="D116" s="385" t="n"/>
      <c r="E116" s="385" t="n"/>
      <c r="F116" s="385" t="n"/>
      <c r="G116" s="386" t="n"/>
      <c r="H116" s="160" t="n"/>
      <c r="I116" s="385" t="n"/>
      <c r="J116" s="385" t="n"/>
      <c r="K116" s="385" t="n"/>
      <c r="L116" s="385" t="n"/>
      <c r="M116" s="385" t="n"/>
      <c r="N116" s="386" t="n"/>
    </row>
    <row r="117" ht="18" customHeight="1">
      <c r="A117" s="158" t="inlineStr">
        <is>
          <t>Beneficiarios Pensión 65 (N° personas)</t>
        </is>
      </c>
      <c r="B117" s="385" t="n"/>
      <c r="C117" s="385" t="n"/>
      <c r="D117" s="385" t="n"/>
      <c r="E117" s="385" t="n"/>
      <c r="F117" s="385" t="n"/>
      <c r="G117" s="386" t="n"/>
      <c r="H117" s="160" t="n"/>
      <c r="I117" s="385" t="n"/>
      <c r="J117" s="385" t="n"/>
      <c r="K117" s="385" t="n"/>
      <c r="L117" s="385" t="n"/>
      <c r="M117" s="385" t="n"/>
      <c r="N117" s="386" t="n"/>
    </row>
    <row r="118" ht="18" customHeight="1">
      <c r="A118" s="158" t="inlineStr">
        <is>
          <t>Beneficiarios Qali Warma (IIEE atendidas)</t>
        </is>
      </c>
      <c r="B118" s="385" t="n"/>
      <c r="C118" s="385" t="n"/>
      <c r="D118" s="385" t="n"/>
      <c r="E118" s="385" t="n"/>
      <c r="F118" s="385" t="n"/>
      <c r="G118" s="386" t="n"/>
      <c r="H118" s="160" t="n"/>
      <c r="I118" s="385" t="n"/>
      <c r="J118" s="385" t="n"/>
      <c r="K118" s="385" t="n"/>
      <c r="L118" s="385" t="n"/>
      <c r="M118" s="385" t="n"/>
      <c r="N118" s="386" t="n"/>
    </row>
    <row r="119" ht="18" customHeight="1">
      <c r="A119" s="158" t="inlineStr">
        <is>
          <t>Beneficiarios Beca 18 (N° personas)</t>
        </is>
      </c>
      <c r="B119" s="385" t="n"/>
      <c r="C119" s="385" t="n"/>
      <c r="D119" s="385" t="n"/>
      <c r="E119" s="385" t="n"/>
      <c r="F119" s="385" t="n"/>
      <c r="G119" s="386" t="n"/>
      <c r="H119" s="160" t="n"/>
      <c r="I119" s="385" t="n"/>
      <c r="J119" s="385" t="n"/>
      <c r="K119" s="385" t="n"/>
      <c r="L119" s="385" t="n"/>
      <c r="M119" s="385" t="n"/>
      <c r="N119" s="386" t="n"/>
    </row>
    <row r="120" ht="18" customHeight="1">
      <c r="A120" s="158" t="inlineStr">
        <is>
          <t>Beneficiarios de Otros Programas (N° personas) Especificar</t>
        </is>
      </c>
      <c r="B120" s="385" t="n"/>
      <c r="C120" s="385" t="n"/>
      <c r="D120" s="385" t="n"/>
      <c r="E120" s="385" t="n"/>
      <c r="F120" s="385" t="n"/>
      <c r="G120" s="386" t="n"/>
      <c r="H120" s="160" t="n"/>
      <c r="I120" s="385" t="n"/>
      <c r="J120" s="385" t="n"/>
      <c r="K120" s="385" t="n"/>
      <c r="L120" s="385" t="n"/>
      <c r="M120" s="385" t="n"/>
      <c r="N120" s="386" t="n"/>
    </row>
    <row r="121" ht="15.75" customHeight="1" thickBot="1">
      <c r="A121" s="145" t="inlineStr">
        <is>
          <t>¿Proyectos AGRORURAL activos?</t>
        </is>
      </c>
      <c r="B121" s="404" t="n"/>
      <c r="C121" s="404" t="n"/>
      <c r="D121" s="404" t="n"/>
      <c r="E121" s="404" t="n"/>
      <c r="F121" s="404" t="n"/>
      <c r="G121" s="404" t="n"/>
      <c r="H121" s="44" t="n"/>
      <c r="I121" s="29" t="inlineStr">
        <is>
          <t>Sí</t>
        </is>
      </c>
      <c r="J121" s="44" t="n"/>
      <c r="K121" s="22" t="inlineStr">
        <is>
          <t>No</t>
        </is>
      </c>
      <c r="L121" s="425" t="n"/>
      <c r="M121" s="426" t="n"/>
      <c r="N121" s="427" t="n"/>
      <c r="O121" s="393" t="inlineStr">
        <is>
          <t>▼</t>
        </is>
      </c>
    </row>
    <row r="122" ht="15.75" customHeight="1" thickBot="1">
      <c r="A122" s="147" t="inlineStr">
        <is>
          <t>¿Proyectos PRODERN / FONCODES?</t>
        </is>
      </c>
      <c r="B122" s="381" t="n"/>
      <c r="C122" s="381" t="n"/>
      <c r="D122" s="381" t="n"/>
      <c r="E122" s="381" t="n"/>
      <c r="F122" s="381" t="n"/>
      <c r="G122" s="381" t="n"/>
      <c r="H122" s="15" t="n"/>
      <c r="I122" s="29" t="inlineStr">
        <is>
          <t>Sí</t>
        </is>
      </c>
      <c r="J122" s="15" t="n"/>
      <c r="K122" s="22" t="inlineStr">
        <is>
          <t>No</t>
        </is>
      </c>
      <c r="N122" s="20" t="n"/>
      <c r="O122" s="393" t="inlineStr">
        <is>
          <t>▼</t>
        </is>
      </c>
    </row>
    <row r="123" ht="15.75" customHeight="1" thickBot="1">
      <c r="A123" s="147" t="inlineStr">
        <is>
          <t>¿Otros Proyectos? (especificar)</t>
        </is>
      </c>
      <c r="B123" s="381" t="n"/>
      <c r="C123" s="381" t="n"/>
      <c r="D123" s="381" t="n"/>
      <c r="E123" s="381" t="n"/>
      <c r="F123" s="381" t="n"/>
      <c r="G123" s="381" t="n"/>
      <c r="H123" s="15" t="n"/>
      <c r="I123" s="29" t="inlineStr">
        <is>
          <t>Sí</t>
        </is>
      </c>
      <c r="J123" s="15" t="n"/>
      <c r="K123" s="22" t="inlineStr">
        <is>
          <t>No</t>
        </is>
      </c>
      <c r="N123" s="20" t="n"/>
      <c r="O123" s="393" t="inlineStr">
        <is>
          <t>▼</t>
        </is>
      </c>
    </row>
    <row r="124" ht="15.75" customHeight="1" thickBot="1">
      <c r="A124" s="147" t="inlineStr">
        <is>
          <t>¿Plan de Desarrollo Concertado vigente?</t>
        </is>
      </c>
      <c r="B124" s="381" t="n"/>
      <c r="C124" s="381" t="n"/>
      <c r="D124" s="381" t="n"/>
      <c r="E124" s="381" t="n"/>
      <c r="F124" s="381" t="n"/>
      <c r="G124" s="381" t="n"/>
      <c r="H124" s="15" t="n"/>
      <c r="I124" s="29" t="inlineStr">
        <is>
          <t>Sí</t>
        </is>
      </c>
      <c r="J124" s="15" t="n"/>
      <c r="K124" s="22" t="inlineStr">
        <is>
          <t>No</t>
        </is>
      </c>
      <c r="N124" s="20" t="n"/>
      <c r="O124" s="393" t="inlineStr">
        <is>
          <t>▼</t>
        </is>
      </c>
    </row>
    <row r="125" ht="15.75" customHeight="1" thickBot="1">
      <c r="A125" s="147" t="inlineStr">
        <is>
          <t>¿ONGs operando en la zona?</t>
        </is>
      </c>
      <c r="B125" s="381" t="n"/>
      <c r="C125" s="381" t="n"/>
      <c r="D125" s="381" t="n"/>
      <c r="E125" s="381" t="n"/>
      <c r="F125" s="381" t="n"/>
      <c r="G125" s="381" t="n"/>
      <c r="H125" s="15" t="n"/>
      <c r="I125" s="29" t="inlineStr">
        <is>
          <t>Sí</t>
        </is>
      </c>
      <c r="J125" s="15" t="n"/>
      <c r="K125" s="22" t="inlineStr">
        <is>
          <t>No</t>
        </is>
      </c>
      <c r="L125" s="404" t="n"/>
      <c r="M125" s="404" t="n"/>
      <c r="N125" s="405" t="n"/>
      <c r="O125" s="393" t="inlineStr">
        <is>
          <t>▼</t>
        </is>
      </c>
    </row>
    <row r="126" ht="18" customHeight="1">
      <c r="A126" s="147" t="inlineStr">
        <is>
          <t>Nombre de ONGs (si aplica)</t>
        </is>
      </c>
      <c r="B126" s="381" t="n"/>
      <c r="C126" s="381" t="n"/>
      <c r="D126" s="381" t="n"/>
      <c r="E126" s="381" t="n"/>
      <c r="F126" s="381" t="n"/>
      <c r="G126" s="381" t="n"/>
      <c r="H126" s="150" t="n"/>
      <c r="I126" s="381" t="n"/>
      <c r="J126" s="381" t="n"/>
      <c r="K126" s="381" t="n"/>
      <c r="L126" s="381" t="n"/>
      <c r="M126" s="381" t="n"/>
      <c r="N126" s="392" t="n"/>
    </row>
    <row r="127" ht="15" customHeight="1" thickBot="1">
      <c r="A127" s="391" t="inlineStr">
        <is>
          <t>7.1  Percepción de presencia estatal (marcar una)</t>
        </is>
      </c>
      <c r="B127" s="381" t="n"/>
      <c r="C127" s="381" t="n"/>
      <c r="D127" s="381" t="n"/>
      <c r="E127" s="381" t="n"/>
      <c r="F127" s="381" t="n"/>
      <c r="G127" s="381" t="n"/>
      <c r="H127" s="381" t="n"/>
      <c r="I127" s="381" t="n"/>
      <c r="J127" s="381" t="n"/>
      <c r="K127" s="381" t="n"/>
      <c r="L127" s="381" t="n"/>
      <c r="M127" s="381" t="n"/>
      <c r="N127" s="392" t="n"/>
      <c r="O127" s="393" t="inlineStr">
        <is>
          <t>▼</t>
        </is>
      </c>
    </row>
    <row r="128" ht="18" customHeight="1" thickBot="1">
      <c r="A128" s="30" t="n"/>
      <c r="B128" s="152" t="inlineStr">
        <is>
          <t>Alta</t>
        </is>
      </c>
      <c r="C128" s="421" t="n"/>
      <c r="D128" s="421" t="n"/>
      <c r="E128" s="421" t="n"/>
      <c r="F128" s="31" t="n"/>
      <c r="G128" s="152" t="inlineStr">
        <is>
          <t>Media</t>
        </is>
      </c>
      <c r="H128" s="421" t="n"/>
      <c r="I128" s="421" t="n"/>
      <c r="J128" s="421" t="n"/>
      <c r="K128" s="31" t="n"/>
      <c r="L128" s="153" t="inlineStr">
        <is>
          <t>Baja</t>
        </is>
      </c>
      <c r="M128" s="421" t="n"/>
      <c r="N128" s="422" t="n"/>
    </row>
    <row r="130" ht="19.5" customFormat="1" customHeight="1" s="6">
      <c r="A130" s="143" t="inlineStr">
        <is>
          <t>OBSERVACIONES Y FIRMAS</t>
        </is>
      </c>
    </row>
    <row r="131" ht="19.5" customHeight="1">
      <c r="A131" s="144" t="n"/>
      <c r="B131" s="381" t="n"/>
      <c r="C131" s="381" t="n"/>
      <c r="D131" s="381" t="n"/>
      <c r="E131" s="381" t="n"/>
      <c r="F131" s="381" t="n"/>
      <c r="G131" s="381" t="n"/>
      <c r="H131" s="381" t="n"/>
      <c r="I131" s="381" t="n"/>
      <c r="J131" s="381" t="n"/>
      <c r="K131" s="381" t="n"/>
      <c r="L131" s="381" t="n"/>
      <c r="M131" s="381" t="n"/>
      <c r="N131" s="381" t="n"/>
    </row>
    <row r="132" ht="19.5" customHeight="1">
      <c r="A132" s="144" t="n"/>
      <c r="B132" s="381" t="n"/>
      <c r="C132" s="381" t="n"/>
      <c r="D132" s="381" t="n"/>
      <c r="E132" s="381" t="n"/>
      <c r="F132" s="381" t="n"/>
      <c r="G132" s="381" t="n"/>
      <c r="H132" s="381" t="n"/>
      <c r="I132" s="381" t="n"/>
      <c r="J132" s="381" t="n"/>
      <c r="K132" s="381" t="n"/>
      <c r="L132" s="381" t="n"/>
      <c r="M132" s="381" t="n"/>
      <c r="N132" s="381" t="n"/>
    </row>
    <row r="133" ht="19.5" customHeight="1">
      <c r="A133" s="144" t="n"/>
      <c r="B133" s="381" t="n"/>
      <c r="C133" s="381" t="n"/>
      <c r="D133" s="381" t="n"/>
      <c r="E133" s="381" t="n"/>
      <c r="F133" s="381" t="n"/>
      <c r="G133" s="381" t="n"/>
      <c r="H133" s="381" t="n"/>
      <c r="I133" s="381" t="n"/>
      <c r="J133" s="381" t="n"/>
      <c r="K133" s="381" t="n"/>
      <c r="L133" s="381" t="n"/>
      <c r="M133" s="381" t="n"/>
      <c r="N133" s="381" t="n"/>
    </row>
    <row r="134" ht="19.5" customHeight="1">
      <c r="A134" s="144" t="n"/>
      <c r="B134" s="381" t="n"/>
      <c r="C134" s="381" t="n"/>
      <c r="D134" s="381" t="n"/>
      <c r="E134" s="381" t="n"/>
      <c r="F134" s="381" t="n"/>
      <c r="G134" s="381" t="n"/>
      <c r="H134" s="381" t="n"/>
      <c r="I134" s="381" t="n"/>
      <c r="J134" s="381" t="n"/>
      <c r="K134" s="381" t="n"/>
      <c r="L134" s="381" t="n"/>
      <c r="M134" s="381" t="n"/>
      <c r="N134" s="381" t="n"/>
    </row>
    <row r="135" ht="19.5" customHeight="1">
      <c r="A135" s="144" t="n"/>
      <c r="B135" s="381" t="n"/>
      <c r="C135" s="381" t="n"/>
      <c r="D135" s="381" t="n"/>
      <c r="E135" s="381" t="n"/>
      <c r="F135" s="381" t="n"/>
      <c r="G135" s="381" t="n"/>
      <c r="H135" s="381" t="n"/>
      <c r="I135" s="381" t="n"/>
      <c r="J135" s="381" t="n"/>
      <c r="K135" s="381" t="n"/>
      <c r="L135" s="381" t="n"/>
      <c r="M135" s="381" t="n"/>
      <c r="N135" s="381" t="n"/>
    </row>
    <row r="137" ht="15" customHeight="1">
      <c r="A137" s="141" t="inlineStr">
        <is>
          <t>_________________________________________</t>
        </is>
      </c>
      <c r="H137" s="141" t="inlineStr">
        <is>
          <t>_________________________________________</t>
        </is>
      </c>
    </row>
    <row r="138" ht="27.75" customHeight="1">
      <c r="A138" s="142" t="inlineStr">
        <is>
          <t>Autoridad comunal / Informante principal
(Firma / Nombre / DNI)</t>
        </is>
      </c>
      <c r="H138" s="142" t="inlineStr">
        <is>
          <t>Responsable AIN
(Firma / Nombre / DNI)</t>
        </is>
      </c>
    </row>
  </sheetData>
  <mergeCells count="281">
    <mergeCell ref="H82:I82"/>
    <mergeCell ref="J82:K82"/>
    <mergeCell ref="F86:N86"/>
    <mergeCell ref="L91:M91"/>
    <mergeCell ref="A126:G126"/>
    <mergeCell ref="I75:N75"/>
    <mergeCell ref="I89:J89"/>
    <mergeCell ref="A20:D20"/>
    <mergeCell ref="A59:N59"/>
    <mergeCell ref="E91:K91"/>
    <mergeCell ref="G109:J109"/>
    <mergeCell ref="G47:J47"/>
    <mergeCell ref="K7:N7"/>
    <mergeCell ref="B73:G73"/>
    <mergeCell ref="L35:N35"/>
    <mergeCell ref="G97:H97"/>
    <mergeCell ref="B36:E36"/>
    <mergeCell ref="G32:J32"/>
    <mergeCell ref="H120:N120"/>
    <mergeCell ref="G46:J46"/>
    <mergeCell ref="B45:E45"/>
    <mergeCell ref="A79:N79"/>
    <mergeCell ref="E89:G89"/>
    <mergeCell ref="L25:N25"/>
    <mergeCell ref="B110:E110"/>
    <mergeCell ref="L85:N85"/>
    <mergeCell ref="A58:D58"/>
    <mergeCell ref="I67:N67"/>
    <mergeCell ref="G111:J111"/>
    <mergeCell ref="B113:E113"/>
    <mergeCell ref="I14:N14"/>
    <mergeCell ref="L60:N60"/>
    <mergeCell ref="I8:K8"/>
    <mergeCell ref="E57:G57"/>
    <mergeCell ref="D9:F9"/>
    <mergeCell ref="B65:G65"/>
    <mergeCell ref="B47:E47"/>
    <mergeCell ref="B109:E109"/>
    <mergeCell ref="B68:G68"/>
    <mergeCell ref="I78:N78"/>
    <mergeCell ref="L46:N46"/>
    <mergeCell ref="D78:E78"/>
    <mergeCell ref="B76:G76"/>
    <mergeCell ref="L111:N111"/>
    <mergeCell ref="B86:E86"/>
    <mergeCell ref="L108:N108"/>
    <mergeCell ref="L61:N61"/>
    <mergeCell ref="C101:E101"/>
    <mergeCell ref="H117:N117"/>
    <mergeCell ref="F78:H78"/>
    <mergeCell ref="I81:N81"/>
    <mergeCell ref="G128:J128"/>
    <mergeCell ref="L32:N32"/>
    <mergeCell ref="A49:C49"/>
    <mergeCell ref="H119:N119"/>
    <mergeCell ref="G100:H100"/>
    <mergeCell ref="A131:N131"/>
    <mergeCell ref="L112:N112"/>
    <mergeCell ref="G34:J34"/>
    <mergeCell ref="A52:N52"/>
    <mergeCell ref="D42:N42"/>
    <mergeCell ref="L47:N47"/>
    <mergeCell ref="A63:N63"/>
    <mergeCell ref="B112:E112"/>
    <mergeCell ref="I69:J69"/>
    <mergeCell ref="G108:J108"/>
    <mergeCell ref="A69:C69"/>
    <mergeCell ref="A115:N115"/>
    <mergeCell ref="K69:L69"/>
    <mergeCell ref="G102:H102"/>
    <mergeCell ref="C103:E103"/>
    <mergeCell ref="E20:G20"/>
    <mergeCell ref="I76:N76"/>
    <mergeCell ref="I16:N16"/>
    <mergeCell ref="C99:E99"/>
    <mergeCell ref="A116:G116"/>
    <mergeCell ref="A83:N83"/>
    <mergeCell ref="A22:D22"/>
    <mergeCell ref="B14:G14"/>
    <mergeCell ref="B90:C90"/>
    <mergeCell ref="L89:N89"/>
    <mergeCell ref="G110:J110"/>
    <mergeCell ref="I66:N66"/>
    <mergeCell ref="G113:J113"/>
    <mergeCell ref="L8:N8"/>
    <mergeCell ref="G29:J29"/>
    <mergeCell ref="I53:N53"/>
    <mergeCell ref="G85:J85"/>
    <mergeCell ref="L26:N26"/>
    <mergeCell ref="A1:N1"/>
    <mergeCell ref="B32:E32"/>
    <mergeCell ref="I68:N68"/>
    <mergeCell ref="B26:E26"/>
    <mergeCell ref="G84:J84"/>
    <mergeCell ref="B35:E35"/>
    <mergeCell ref="L41:N41"/>
    <mergeCell ref="G7:H7"/>
    <mergeCell ref="I55:N55"/>
    <mergeCell ref="I7:J7"/>
    <mergeCell ref="B25:E25"/>
    <mergeCell ref="E43:N43"/>
    <mergeCell ref="L113:N113"/>
    <mergeCell ref="L34:N34"/>
    <mergeCell ref="A133:N133"/>
    <mergeCell ref="G61:J61"/>
    <mergeCell ref="A119:G119"/>
    <mergeCell ref="A3:N3"/>
    <mergeCell ref="H137:N137"/>
    <mergeCell ref="A12:N12"/>
    <mergeCell ref="L36:N36"/>
    <mergeCell ref="G104:H104"/>
    <mergeCell ref="A40:C40"/>
    <mergeCell ref="A5:N5"/>
    <mergeCell ref="G112:J112"/>
    <mergeCell ref="F69:H69"/>
    <mergeCell ref="I15:N15"/>
    <mergeCell ref="A82:C82"/>
    <mergeCell ref="B61:E61"/>
    <mergeCell ref="I80:N80"/>
    <mergeCell ref="C104:E104"/>
    <mergeCell ref="A120:G120"/>
    <mergeCell ref="A4:N4"/>
    <mergeCell ref="L28:N28"/>
    <mergeCell ref="A38:N38"/>
    <mergeCell ref="B66:G66"/>
    <mergeCell ref="A96:N96"/>
    <mergeCell ref="B89:C89"/>
    <mergeCell ref="B29:E29"/>
    <mergeCell ref="G99:H99"/>
    <mergeCell ref="H138:N138"/>
    <mergeCell ref="G9:H9"/>
    <mergeCell ref="A7:C7"/>
    <mergeCell ref="B77:G77"/>
    <mergeCell ref="I54:N54"/>
    <mergeCell ref="B84:E84"/>
    <mergeCell ref="I72:N72"/>
    <mergeCell ref="A137:F137"/>
    <mergeCell ref="G26:J26"/>
    <mergeCell ref="A91:D91"/>
    <mergeCell ref="B67:G67"/>
    <mergeCell ref="G35:J35"/>
    <mergeCell ref="A24:N24"/>
    <mergeCell ref="A130:N130"/>
    <mergeCell ref="D10:N10"/>
    <mergeCell ref="M9:N9"/>
    <mergeCell ref="I56:N56"/>
    <mergeCell ref="I71:N71"/>
    <mergeCell ref="G25:J25"/>
    <mergeCell ref="D40:H40"/>
    <mergeCell ref="A93:D93"/>
    <mergeCell ref="J40:K40"/>
    <mergeCell ref="A132:N132"/>
    <mergeCell ref="A42:C42"/>
    <mergeCell ref="G60:J60"/>
    <mergeCell ref="A6:N6"/>
    <mergeCell ref="E11:G11"/>
    <mergeCell ref="M11:N11"/>
    <mergeCell ref="M69:N69"/>
    <mergeCell ref="G101:H101"/>
    <mergeCell ref="L128:N128"/>
    <mergeCell ref="A92:D92"/>
    <mergeCell ref="I39:K39"/>
    <mergeCell ref="L18:M18"/>
    <mergeCell ref="I17:N17"/>
    <mergeCell ref="D49:N49"/>
    <mergeCell ref="K92:N92"/>
    <mergeCell ref="G103:H103"/>
    <mergeCell ref="A117:G117"/>
    <mergeCell ref="D8:F8"/>
    <mergeCell ref="B15:G15"/>
    <mergeCell ref="A18:E18"/>
    <mergeCell ref="M40:N40"/>
    <mergeCell ref="B55:G55"/>
    <mergeCell ref="L90:N90"/>
    <mergeCell ref="B80:G80"/>
    <mergeCell ref="A123:G123"/>
    <mergeCell ref="E22:G22"/>
    <mergeCell ref="D87:H87"/>
    <mergeCell ref="A124:G124"/>
    <mergeCell ref="A2:N2"/>
    <mergeCell ref="L110:N110"/>
    <mergeCell ref="A95:N95"/>
    <mergeCell ref="E21:G21"/>
    <mergeCell ref="B60:E60"/>
    <mergeCell ref="B72:G72"/>
    <mergeCell ref="L82:N82"/>
    <mergeCell ref="B16:G16"/>
    <mergeCell ref="B81:G81"/>
    <mergeCell ref="A135:N135"/>
    <mergeCell ref="I77:N77"/>
    <mergeCell ref="C98:E98"/>
    <mergeCell ref="L57:N57"/>
    <mergeCell ref="A118:G118"/>
    <mergeCell ref="E7:F7"/>
    <mergeCell ref="E23:G23"/>
    <mergeCell ref="A21:D21"/>
    <mergeCell ref="B71:G71"/>
    <mergeCell ref="I87:L87"/>
    <mergeCell ref="A134:N134"/>
    <mergeCell ref="A57:D57"/>
    <mergeCell ref="B34:E34"/>
    <mergeCell ref="B28:E28"/>
    <mergeCell ref="A13:N13"/>
    <mergeCell ref="A44:N44"/>
    <mergeCell ref="H57:K57"/>
    <mergeCell ref="I41:K41"/>
    <mergeCell ref="D69:E69"/>
    <mergeCell ref="H22:K22"/>
    <mergeCell ref="A23:D23"/>
    <mergeCell ref="L121:N125"/>
    <mergeCell ref="A31:N31"/>
    <mergeCell ref="A41:C41"/>
    <mergeCell ref="I90:J90"/>
    <mergeCell ref="G105:H105"/>
    <mergeCell ref="B108:E108"/>
    <mergeCell ref="A122:G122"/>
    <mergeCell ref="F18:K18"/>
    <mergeCell ref="B17:G17"/>
    <mergeCell ref="B30:E30"/>
    <mergeCell ref="A64:N64"/>
    <mergeCell ref="L30:N30"/>
    <mergeCell ref="A125:G125"/>
    <mergeCell ref="L39:N39"/>
    <mergeCell ref="L45:N45"/>
    <mergeCell ref="A43:D43"/>
    <mergeCell ref="A51:N51"/>
    <mergeCell ref="G98:H98"/>
    <mergeCell ref="A107:N107"/>
    <mergeCell ref="G8:H8"/>
    <mergeCell ref="B53:G53"/>
    <mergeCell ref="L20:N20"/>
    <mergeCell ref="E90:G90"/>
    <mergeCell ref="B85:E85"/>
    <mergeCell ref="C105:E105"/>
    <mergeCell ref="L29:N29"/>
    <mergeCell ref="A88:N88"/>
    <mergeCell ref="A121:G121"/>
    <mergeCell ref="A70:N70"/>
    <mergeCell ref="H116:N116"/>
    <mergeCell ref="A127:N127"/>
    <mergeCell ref="L109:N109"/>
    <mergeCell ref="A87:C87"/>
    <mergeCell ref="A8:C8"/>
    <mergeCell ref="L84:N84"/>
    <mergeCell ref="L22:N22"/>
    <mergeCell ref="H126:N126"/>
    <mergeCell ref="H20:K20"/>
    <mergeCell ref="I73:N73"/>
    <mergeCell ref="B46:E46"/>
    <mergeCell ref="G36:J36"/>
    <mergeCell ref="L21:N21"/>
    <mergeCell ref="A10:C10"/>
    <mergeCell ref="A74:N74"/>
    <mergeCell ref="A27:N27"/>
    <mergeCell ref="C102:E102"/>
    <mergeCell ref="H118:N118"/>
    <mergeCell ref="I9:K9"/>
    <mergeCell ref="A9:C9"/>
    <mergeCell ref="A33:N33"/>
    <mergeCell ref="B75:G75"/>
    <mergeCell ref="H21:K21"/>
    <mergeCell ref="A39:C39"/>
    <mergeCell ref="I65:N65"/>
    <mergeCell ref="B111:E111"/>
    <mergeCell ref="A48:C48"/>
    <mergeCell ref="G28:J28"/>
    <mergeCell ref="B54:G54"/>
    <mergeCell ref="I11:K11"/>
    <mergeCell ref="A11:C11"/>
    <mergeCell ref="D82:E82"/>
    <mergeCell ref="A138:F138"/>
    <mergeCell ref="F82:G82"/>
    <mergeCell ref="C97:E97"/>
    <mergeCell ref="G30:J30"/>
    <mergeCell ref="A19:N19"/>
    <mergeCell ref="B56:G56"/>
    <mergeCell ref="A78:C78"/>
    <mergeCell ref="B128:E128"/>
    <mergeCell ref="C100:E100"/>
    <mergeCell ref="M87:N87"/>
    <mergeCell ref="G45:J45"/>
  </mergeCells>
  <dataValidations count="27">
    <dataValidation sqref="O13" showDropDown="0" showInputMessage="0" showErrorMessage="0" allowBlank="1" type="list">
      <formula1>'_Listas'!$F$2:$F$9</formula1>
    </dataValidation>
    <dataValidation sqref="O24" showDropDown="0" showInputMessage="0" showErrorMessage="0" allowBlank="1" type="list">
      <formula1>'_Listas'!$G$2:$G$6</formula1>
    </dataValidation>
    <dataValidation sqref="O27" showDropDown="0" showInputMessage="0" showErrorMessage="0" allowBlank="1" type="list">
      <formula1>'_Listas'!$H$2:$H$8</formula1>
    </dataValidation>
    <dataValidation sqref="O31" showDropDown="0" showInputMessage="0" showErrorMessage="0" allowBlank="1" type="list">
      <formula1>'_Listas'!$D$2:$D$4</formula1>
    </dataValidation>
    <dataValidation sqref="O33" showDropDown="0" showInputMessage="0" showErrorMessage="0" allowBlank="1" type="list">
      <formula1>'_Listas'!$I$2:$I$11</formula1>
    </dataValidation>
    <dataValidation sqref="O39" showDropDown="0" showInputMessage="0" showErrorMessage="0" allowBlank="1" type="list">
      <formula1>'_Listas'!$A$2:$A$3</formula1>
    </dataValidation>
    <dataValidation sqref="O41" showDropDown="0" showInputMessage="0" showErrorMessage="0" allowBlank="1" type="list">
      <formula1>'_Listas'!$A$2:$A$3</formula1>
    </dataValidation>
    <dataValidation sqref="O44" showDropDown="0" showInputMessage="0" showErrorMessage="0" allowBlank="1" type="list">
      <formula1>'_Listas'!$J$2:$J$8</formula1>
    </dataValidation>
    <dataValidation sqref="O48" showDropDown="0" showInputMessage="0" showErrorMessage="0" allowBlank="1" type="list">
      <formula1>'_Listas'!$A$2:$A$3</formula1>
    </dataValidation>
    <dataValidation sqref="O52" showDropDown="0" showInputMessage="0" showErrorMessage="0" allowBlank="1" type="list">
      <formula1>'_Listas'!$K$2:$K$8</formula1>
    </dataValidation>
    <dataValidation sqref="O58" showDropDown="0" showInputMessage="0" showErrorMessage="0" allowBlank="1" type="list">
      <formula1>'_Listas'!$A$2:$A$3</formula1>
    </dataValidation>
    <dataValidation sqref="O59" showDropDown="0" showInputMessage="0" showErrorMessage="0" allowBlank="1" type="list">
      <formula1>'_Listas'!$L$2:$L$7</formula1>
    </dataValidation>
    <dataValidation sqref="O64" showDropDown="0" showInputMessage="0" showErrorMessage="0" allowBlank="1" type="list">
      <formula1>'_Listas'!$M$2:$M$9</formula1>
    </dataValidation>
    <dataValidation sqref="O70" showDropDown="0" showInputMessage="0" showErrorMessage="0" allowBlank="1" type="list">
      <formula1>'_Listas'!$N$2:$N$7</formula1>
    </dataValidation>
    <dataValidation sqref="O74" showDropDown="0" showInputMessage="0" showErrorMessage="0" allowBlank="1" type="list">
      <formula1>'_Listas'!$O$2:$O$7</formula1>
    </dataValidation>
    <dataValidation sqref="O79" showDropDown="0" showInputMessage="0" showErrorMessage="0" allowBlank="1" type="list">
      <formula1>'_Listas'!$P$2:$P$5</formula1>
    </dataValidation>
    <dataValidation sqref="O83" showDropDown="0" showInputMessage="0" showErrorMessage="0" allowBlank="1" type="list">
      <formula1>'_Listas'!$R$2:$R$8</formula1>
    </dataValidation>
    <dataValidation sqref="O88" showDropDown="0" showInputMessage="0" showErrorMessage="0" allowBlank="1" type="list">
      <formula1>'_Listas'!$Q$2:$Q$9</formula1>
    </dataValidation>
    <dataValidation sqref="O92" showDropDown="0" showInputMessage="0" showErrorMessage="0" allowBlank="1" type="list">
      <formula1>'_Listas'!$A$2:$A$3</formula1>
    </dataValidation>
    <dataValidation sqref="O93" showDropDown="0" showInputMessage="0" showErrorMessage="0" allowBlank="1" type="list">
      <formula1>'_Listas'!$E$2:$E$4</formula1>
    </dataValidation>
    <dataValidation sqref="O121" showDropDown="0" showInputMessage="0" showErrorMessage="0" allowBlank="1" type="list">
      <formula1>'_Listas'!$A$2:$A$3</formula1>
    </dataValidation>
    <dataValidation sqref="O122" showDropDown="0" showInputMessage="0" showErrorMessage="0" allowBlank="1" type="list">
      <formula1>'_Listas'!$A$2:$A$3</formula1>
    </dataValidation>
    <dataValidation sqref="O123" showDropDown="0" showInputMessage="0" showErrorMessage="0" allowBlank="1" type="list">
      <formula1>'_Listas'!$A$2:$A$3</formula1>
    </dataValidation>
    <dataValidation sqref="O124" showDropDown="0" showInputMessage="0" showErrorMessage="0" allowBlank="1" type="list">
      <formula1>'_Listas'!$A$2:$A$3</formula1>
    </dataValidation>
    <dataValidation sqref="O125" showDropDown="0" showInputMessage="0" showErrorMessage="0" allowBlank="1" type="list">
      <formula1>'_Listas'!$A$2:$A$3</formula1>
    </dataValidation>
    <dataValidation sqref="O127" showDropDown="0" showInputMessage="0" showErrorMessage="0" allowBlank="1" type="list">
      <formula1>'_Listas'!$D$2:$D$4</formula1>
    </dataValidation>
    <dataValidation sqref="B98 B99 B100 B101 B102 B103 B104 B105" showDropDown="0" showInputMessage="0" showErrorMessage="0" allowBlank="1" type="list">
      <formula1>'_Listas'!$S$2:$S$18</formula1>
    </dataValidation>
  </dataValidations>
  <printOptions horizontalCentered="1"/>
  <pageMargins left="0.1" right="0.1" top="0.5" bottom="0.25" header="0.511811023622047" footer="0.511811023622047"/>
  <pageSetup orientation="portrait" paperSize="9" scale="75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60"/>
  <sheetViews>
    <sheetView zoomScaleNormal="100" workbookViewId="0">
      <pane ySplit="6" topLeftCell="A37" activePane="bottomLeft" state="frozen"/>
      <selection pane="bottomLeft" activeCell="A44" sqref="A44:XFD48"/>
    </sheetView>
  </sheetViews>
  <sheetFormatPr baseColWidth="10" defaultColWidth="8.6640625" defaultRowHeight="14.4"/>
  <cols>
    <col width="4" customWidth="1" min="1" max="1"/>
    <col width="24" customWidth="1" min="2" max="2"/>
    <col width="16.88671875" customWidth="1" min="3" max="3"/>
    <col width="26" customWidth="1" min="4" max="4"/>
    <col width="11.88671875" customWidth="1" min="5" max="5"/>
    <col width="9.77734375" customWidth="1" min="6" max="6"/>
    <col width="9.6640625" customWidth="1" min="7" max="7"/>
    <col width="10.33203125" customWidth="1" min="8" max="8"/>
    <col width="23.109375" customWidth="1" min="9" max="9"/>
    <col width="36.44140625" customWidth="1" min="10" max="10"/>
    <col width="14" customWidth="1" min="11" max="12"/>
    <col width="15.109375" customWidth="1" min="13" max="13"/>
    <col width="3" customWidth="1" min="14" max="14"/>
  </cols>
  <sheetData>
    <row r="1" ht="19.95" customFormat="1" customHeight="1" s="6">
      <c r="A1" s="122" t="inlineStr">
        <is>
          <t>AUTORIDAD NACIONAL DE INFRAESTRUCTURA — ANIN</t>
        </is>
      </c>
    </row>
    <row r="2" ht="19.95" customFormat="1" customHeight="1" s="6">
      <c r="A2" s="283" t="inlineStr">
        <is>
          <t>DIME — Dirección de Intervenciones Multisectoriales y de Emergencia  |  SESDI — Subdirección de Estudios de Inversión</t>
        </is>
      </c>
    </row>
    <row r="3" ht="33.6" customFormat="1" customHeight="1" s="6">
      <c r="A3" s="284" t="inlineStr">
        <is>
          <t>PROYECTO IN PIURA  |  CUI 2669244  |  Recuperación de servicios de regulación de riesgos naturales y regulación hídrica — Cuenca Alta del Río Piura</t>
        </is>
      </c>
    </row>
    <row r="4" ht="19.95" customFormat="1" customHeight="1" s="6">
      <c r="A4" s="242" t="inlineStr">
        <is>
          <t>F-DS-02: MAPEO Y ANÁLISIS DE ACTORES CLAVE</t>
        </is>
      </c>
    </row>
    <row r="5" ht="24" customFormat="1" customHeight="1" s="53">
      <c r="A5" s="285" t="inlineStr">
        <is>
          <t>Directorio e identificación de actores institucionales y sociales relevantes para el proyecto, con análisis de influencia.  Usar los CÓDIGOS de la hoja «_Codigos» — p.ej. GL=GobLocal, A=Alto, F=A favor.</t>
        </is>
      </c>
    </row>
    <row r="6" ht="19.5" customFormat="1" customHeight="1" s="50">
      <c r="A6" s="260" t="inlineStr">
        <is>
          <t>1. DATOS GENERALES</t>
        </is>
      </c>
    </row>
    <row r="7" ht="42" customFormat="1" customHeight="1" s="51">
      <c r="A7" s="275" t="inlineStr">
        <is>
          <t>Fecha (dd-mm-aaaa) *</t>
        </is>
      </c>
      <c r="B7" s="386" t="n"/>
      <c r="C7" s="47" t="n"/>
      <c r="D7" s="48" t="inlineStr">
        <is>
          <t>Responsable *</t>
        </is>
      </c>
      <c r="E7" s="274" t="n"/>
      <c r="F7" s="385" t="n"/>
      <c r="G7" s="385" t="n"/>
      <c r="H7" s="386" t="n"/>
      <c r="I7" s="275" t="inlineStr">
        <is>
          <t>Código Bloque *</t>
        </is>
      </c>
      <c r="J7" s="272" t="n"/>
      <c r="K7" s="275" t="inlineStr">
        <is>
          <t xml:space="preserve">Código Microcuenca </t>
        </is>
      </c>
      <c r="L7" s="386" t="n"/>
      <c r="M7" s="428" t="n"/>
      <c r="N7" s="429" t="n"/>
    </row>
    <row r="8" ht="36" customFormat="1" customHeight="1" s="51">
      <c r="A8" s="275" t="inlineStr">
        <is>
          <t>Provincia</t>
        </is>
      </c>
      <c r="B8" s="386" t="n"/>
      <c r="C8" s="47" t="n"/>
      <c r="D8" s="48" t="inlineStr">
        <is>
          <t>Distrito</t>
        </is>
      </c>
      <c r="E8" s="272" t="n"/>
      <c r="F8" s="385" t="n"/>
      <c r="G8" s="385" t="n"/>
      <c r="H8" s="385" t="n"/>
      <c r="I8" s="386" t="n"/>
      <c r="J8" s="273" t="inlineStr">
        <is>
          <t>Centro poblado / comunidad de referencia</t>
        </is>
      </c>
      <c r="K8" s="386" t="n"/>
      <c r="L8" s="274" t="n"/>
      <c r="M8" s="385" t="n"/>
      <c r="N8" s="386" t="n"/>
    </row>
    <row r="10" ht="19.5" customFormat="1" customHeight="1" s="50">
      <c r="A10" s="260" t="inlineStr">
        <is>
          <t>2. LEYENDA RÁPIDA DE CÓDIGOS (ver hoja _Codigos para detalle completo)</t>
        </is>
      </c>
    </row>
    <row r="11" ht="43.5" customFormat="1" customHeight="1" s="54">
      <c r="A11" s="271" t="inlineStr">
        <is>
          <t>TIPO: GN=GobNac | GR=GobReg | GL=GobLocal | CC=ComCampesina | RC=Ronda | JU=JuntaAgua | JS=JASS | CG=CompCuenca | ON=ONG | AC=Universidad | EP=Empresa | AP=Gremio | IR=Religiosa | LI=Líder | MC=Medios</t>
        </is>
      </c>
      <c r="B11" s="381" t="n"/>
      <c r="C11" s="381" t="n"/>
      <c r="D11" s="381" t="n"/>
      <c r="E11" s="271" t="inlineStr">
        <is>
          <t>INF / INT: A=Alto | M=Medio | B=Bajo</t>
        </is>
      </c>
      <c r="F11" s="381" t="n"/>
      <c r="G11" s="381" t="n"/>
      <c r="H11" s="381" t="n"/>
      <c r="I11" s="271" t="inlineStr">
        <is>
          <t>POS: F=A favor | N=Neutral | R=Reticente | C=En contra | ND=No determ.    |    NIV: N=Nacional | R=Regional | P=Prov. | D=Distr. | C=Comunal | F=Familiar</t>
        </is>
      </c>
      <c r="J11" s="381" t="n"/>
      <c r="K11" s="381" t="n"/>
      <c r="L11" s="381" t="n"/>
      <c r="M11" s="381" t="n"/>
      <c r="N11" s="381" t="n"/>
    </row>
    <row r="13" ht="19.5" customFormat="1" customHeight="1" s="50">
      <c r="A13" s="260" t="inlineStr">
        <is>
          <t>3. REGISTRO DE ACTORES IDENTIFICADOS</t>
        </is>
      </c>
    </row>
    <row r="14" ht="13.5" customFormat="1" customHeight="1" s="55">
      <c r="A14" s="269" t="inlineStr">
        <is>
          <t>Registre todos los actores relevantes para la zona del bloque: desde gobierno nacional hasta líderes comunales. Usar códigos de la leyenda.</t>
        </is>
      </c>
    </row>
    <row r="15" ht="31.5" customFormat="1" customHeight="1" s="50">
      <c r="A15" s="270" t="inlineStr">
        <is>
          <t>N°</t>
        </is>
      </c>
      <c r="B15" s="270" t="inlineStr">
        <is>
          <t>Nombre del actor /
Organización</t>
        </is>
      </c>
      <c r="C15" s="270" t="inlineStr">
        <is>
          <t>Tipo</t>
        </is>
      </c>
      <c r="D15" s="270" t="inlineStr">
        <is>
          <t>Rol / Función específica frente al proyecto</t>
        </is>
      </c>
      <c r="E15" s="270" t="inlineStr">
        <is>
          <t>Infl.</t>
        </is>
      </c>
      <c r="F15" s="270" t="inlineStr">
        <is>
          <t>Inter.</t>
        </is>
      </c>
      <c r="G15" s="270" t="inlineStr">
        <is>
          <t>Pos.</t>
        </is>
      </c>
      <c r="H15" s="270" t="inlineStr">
        <is>
          <t>Niv.</t>
        </is>
      </c>
      <c r="I15" s="270" t="inlineStr">
        <is>
          <t>Teléfono</t>
        </is>
      </c>
      <c r="J15" s="270" t="inlineStr">
        <is>
          <t>Correo / Contacto</t>
        </is>
      </c>
      <c r="K15" s="270" t="inlineStr">
        <is>
          <t>Observaciones / Historial</t>
        </is>
      </c>
      <c r="L15" s="385" t="n"/>
      <c r="M15" s="385" t="n"/>
      <c r="N15" s="386" t="n"/>
    </row>
    <row r="16" ht="34.95" customHeight="1">
      <c r="A16" s="203" t="n">
        <v>1</v>
      </c>
      <c r="B16" s="160" t="n"/>
      <c r="C16" s="430" t="inlineStr">
        <is>
          <t>▼</t>
        </is>
      </c>
      <c r="D16" s="160" t="n"/>
      <c r="E16" s="430" t="inlineStr">
        <is>
          <t>▼</t>
        </is>
      </c>
      <c r="F16" s="430" t="inlineStr">
        <is>
          <t>▼</t>
        </is>
      </c>
      <c r="G16" s="430" t="inlineStr">
        <is>
          <t>▼</t>
        </is>
      </c>
      <c r="H16" s="430" t="inlineStr">
        <is>
          <t>▼</t>
        </is>
      </c>
      <c r="I16" s="160" t="n"/>
      <c r="J16" s="160" t="n"/>
      <c r="K16" s="160" t="n"/>
      <c r="L16" s="385" t="n"/>
      <c r="M16" s="385" t="n"/>
      <c r="N16" s="386" t="n"/>
    </row>
    <row r="17" ht="34.95" customHeight="1">
      <c r="A17" s="203" t="n">
        <v>2</v>
      </c>
      <c r="B17" s="160" t="n"/>
      <c r="C17" s="430" t="inlineStr">
        <is>
          <t>▼</t>
        </is>
      </c>
      <c r="D17" s="160" t="n"/>
      <c r="E17" s="430" t="inlineStr">
        <is>
          <t>▼</t>
        </is>
      </c>
      <c r="F17" s="430" t="inlineStr">
        <is>
          <t>▼</t>
        </is>
      </c>
      <c r="G17" s="430" t="inlineStr">
        <is>
          <t>▼</t>
        </is>
      </c>
      <c r="H17" s="430" t="inlineStr">
        <is>
          <t>▼</t>
        </is>
      </c>
      <c r="I17" s="160" t="n"/>
      <c r="J17" s="160" t="n"/>
      <c r="K17" s="160" t="n"/>
      <c r="L17" s="385" t="n"/>
      <c r="M17" s="385" t="n"/>
      <c r="N17" s="386" t="n"/>
    </row>
    <row r="18" ht="34.95" customHeight="1">
      <c r="A18" s="203" t="n">
        <v>3</v>
      </c>
      <c r="B18" s="160" t="n"/>
      <c r="C18" s="430" t="inlineStr">
        <is>
          <t>▼</t>
        </is>
      </c>
      <c r="D18" s="160" t="n"/>
      <c r="E18" s="430" t="inlineStr">
        <is>
          <t>▼</t>
        </is>
      </c>
      <c r="F18" s="430" t="inlineStr">
        <is>
          <t>▼</t>
        </is>
      </c>
      <c r="G18" s="430" t="inlineStr">
        <is>
          <t>▼</t>
        </is>
      </c>
      <c r="H18" s="430" t="inlineStr">
        <is>
          <t>▼</t>
        </is>
      </c>
      <c r="I18" s="160" t="n"/>
      <c r="J18" s="160" t="n"/>
      <c r="K18" s="160" t="n"/>
      <c r="L18" s="385" t="n"/>
      <c r="M18" s="385" t="n"/>
      <c r="N18" s="386" t="n"/>
    </row>
    <row r="19" ht="34.95" customHeight="1">
      <c r="A19" s="203" t="n">
        <v>4</v>
      </c>
      <c r="B19" s="160" t="n"/>
      <c r="C19" s="430" t="inlineStr">
        <is>
          <t>▼</t>
        </is>
      </c>
      <c r="D19" s="160" t="n"/>
      <c r="E19" s="430" t="inlineStr">
        <is>
          <t>▼</t>
        </is>
      </c>
      <c r="F19" s="430" t="inlineStr">
        <is>
          <t>▼</t>
        </is>
      </c>
      <c r="G19" s="430" t="inlineStr">
        <is>
          <t>▼</t>
        </is>
      </c>
      <c r="H19" s="430" t="inlineStr">
        <is>
          <t>▼</t>
        </is>
      </c>
      <c r="I19" s="160" t="n"/>
      <c r="J19" s="160" t="n"/>
      <c r="K19" s="160" t="n"/>
      <c r="L19" s="385" t="n"/>
      <c r="M19" s="385" t="n"/>
      <c r="N19" s="386" t="n"/>
    </row>
    <row r="20" ht="34.95" customHeight="1">
      <c r="A20" s="203" t="n">
        <v>5</v>
      </c>
      <c r="B20" s="160" t="n"/>
      <c r="C20" s="430" t="inlineStr">
        <is>
          <t>▼</t>
        </is>
      </c>
      <c r="D20" s="160" t="n"/>
      <c r="E20" s="430" t="inlineStr">
        <is>
          <t>▼</t>
        </is>
      </c>
      <c r="F20" s="430" t="inlineStr">
        <is>
          <t>▼</t>
        </is>
      </c>
      <c r="G20" s="430" t="inlineStr">
        <is>
          <t>▼</t>
        </is>
      </c>
      <c r="H20" s="430" t="inlineStr">
        <is>
          <t>▼</t>
        </is>
      </c>
      <c r="I20" s="160" t="n"/>
      <c r="J20" s="160" t="n"/>
      <c r="K20" s="160" t="n"/>
      <c r="L20" s="385" t="n"/>
      <c r="M20" s="385" t="n"/>
      <c r="N20" s="386" t="n"/>
    </row>
    <row r="21" ht="34.95" customHeight="1">
      <c r="A21" s="203" t="n">
        <v>6</v>
      </c>
      <c r="B21" s="160" t="n"/>
      <c r="C21" s="430" t="inlineStr">
        <is>
          <t>▼</t>
        </is>
      </c>
      <c r="D21" s="160" t="n"/>
      <c r="E21" s="430" t="inlineStr">
        <is>
          <t>▼</t>
        </is>
      </c>
      <c r="F21" s="430" t="inlineStr">
        <is>
          <t>▼</t>
        </is>
      </c>
      <c r="G21" s="430" t="inlineStr">
        <is>
          <t>▼</t>
        </is>
      </c>
      <c r="H21" s="430" t="inlineStr">
        <is>
          <t>▼</t>
        </is>
      </c>
      <c r="I21" s="160" t="n"/>
      <c r="J21" s="160" t="n"/>
      <c r="K21" s="160" t="n"/>
      <c r="L21" s="385" t="n"/>
      <c r="M21" s="385" t="n"/>
      <c r="N21" s="386" t="n"/>
    </row>
    <row r="22" ht="34.95" customHeight="1">
      <c r="A22" s="203" t="n">
        <v>7</v>
      </c>
      <c r="B22" s="160" t="n"/>
      <c r="C22" s="430" t="inlineStr">
        <is>
          <t>▼</t>
        </is>
      </c>
      <c r="D22" s="160" t="n"/>
      <c r="E22" s="430" t="inlineStr">
        <is>
          <t>▼</t>
        </is>
      </c>
      <c r="F22" s="430" t="inlineStr">
        <is>
          <t>▼</t>
        </is>
      </c>
      <c r="G22" s="430" t="inlineStr">
        <is>
          <t>▼</t>
        </is>
      </c>
      <c r="H22" s="430" t="inlineStr">
        <is>
          <t>▼</t>
        </is>
      </c>
      <c r="I22" s="160" t="n"/>
      <c r="J22" s="160" t="n"/>
      <c r="K22" s="160" t="n"/>
      <c r="L22" s="385" t="n"/>
      <c r="M22" s="385" t="n"/>
      <c r="N22" s="386" t="n"/>
    </row>
    <row r="23" ht="34.95" customHeight="1">
      <c r="A23" s="203" t="n">
        <v>8</v>
      </c>
      <c r="B23" s="160" t="n"/>
      <c r="C23" s="430" t="inlineStr">
        <is>
          <t>▼</t>
        </is>
      </c>
      <c r="D23" s="160" t="n"/>
      <c r="E23" s="430" t="inlineStr">
        <is>
          <t>▼</t>
        </is>
      </c>
      <c r="F23" s="430" t="inlineStr">
        <is>
          <t>▼</t>
        </is>
      </c>
      <c r="G23" s="430" t="inlineStr">
        <is>
          <t>▼</t>
        </is>
      </c>
      <c r="H23" s="430" t="inlineStr">
        <is>
          <t>▼</t>
        </is>
      </c>
      <c r="I23" s="160" t="n"/>
      <c r="J23" s="160" t="n"/>
      <c r="K23" s="160" t="n"/>
      <c r="L23" s="385" t="n"/>
      <c r="M23" s="385" t="n"/>
      <c r="N23" s="386" t="n"/>
    </row>
    <row r="24" ht="34.95" customHeight="1">
      <c r="A24" s="203" t="n">
        <v>9</v>
      </c>
      <c r="B24" s="160" t="n"/>
      <c r="C24" s="430" t="inlineStr">
        <is>
          <t>▼</t>
        </is>
      </c>
      <c r="D24" s="160" t="n"/>
      <c r="E24" s="430" t="inlineStr">
        <is>
          <t>▼</t>
        </is>
      </c>
      <c r="F24" s="430" t="inlineStr">
        <is>
          <t>▼</t>
        </is>
      </c>
      <c r="G24" s="430" t="inlineStr">
        <is>
          <t>▼</t>
        </is>
      </c>
      <c r="H24" s="430" t="inlineStr">
        <is>
          <t>▼</t>
        </is>
      </c>
      <c r="I24" s="160" t="n"/>
      <c r="J24" s="160" t="n"/>
      <c r="K24" s="160" t="n"/>
      <c r="L24" s="385" t="n"/>
      <c r="M24" s="385" t="n"/>
      <c r="N24" s="386" t="n"/>
    </row>
    <row r="25" ht="34.95" customHeight="1">
      <c r="A25" s="203" t="n">
        <v>10</v>
      </c>
      <c r="B25" s="160" t="n"/>
      <c r="C25" s="430" t="inlineStr">
        <is>
          <t>▼</t>
        </is>
      </c>
      <c r="D25" s="160" t="n"/>
      <c r="E25" s="430" t="inlineStr">
        <is>
          <t>▼</t>
        </is>
      </c>
      <c r="F25" s="430" t="inlineStr">
        <is>
          <t>▼</t>
        </is>
      </c>
      <c r="G25" s="430" t="inlineStr">
        <is>
          <t>▼</t>
        </is>
      </c>
      <c r="H25" s="430" t="inlineStr">
        <is>
          <t>▼</t>
        </is>
      </c>
      <c r="I25" s="160" t="n"/>
      <c r="J25" s="160" t="n"/>
      <c r="K25" s="160" t="n"/>
      <c r="L25" s="385" t="n"/>
      <c r="M25" s="385" t="n"/>
      <c r="N25" s="386" t="n"/>
    </row>
    <row r="26" ht="34.95" customHeight="1">
      <c r="A26" s="203" t="n">
        <v>11</v>
      </c>
      <c r="B26" s="160" t="n"/>
      <c r="C26" s="430" t="inlineStr">
        <is>
          <t>▼</t>
        </is>
      </c>
      <c r="D26" s="160" t="n"/>
      <c r="E26" s="430" t="inlineStr">
        <is>
          <t>▼</t>
        </is>
      </c>
      <c r="F26" s="430" t="inlineStr">
        <is>
          <t>▼</t>
        </is>
      </c>
      <c r="G26" s="430" t="inlineStr">
        <is>
          <t>▼</t>
        </is>
      </c>
      <c r="H26" s="430" t="inlineStr">
        <is>
          <t>▼</t>
        </is>
      </c>
      <c r="I26" s="160" t="n"/>
      <c r="J26" s="160" t="n"/>
      <c r="K26" s="160" t="n"/>
      <c r="L26" s="385" t="n"/>
      <c r="M26" s="385" t="n"/>
      <c r="N26" s="386" t="n"/>
    </row>
    <row r="27" ht="34.95" customHeight="1">
      <c r="A27" s="203" t="n">
        <v>12</v>
      </c>
      <c r="B27" s="160" t="n"/>
      <c r="C27" s="430" t="inlineStr">
        <is>
          <t>▼</t>
        </is>
      </c>
      <c r="D27" s="160" t="n"/>
      <c r="E27" s="430" t="inlineStr">
        <is>
          <t>▼</t>
        </is>
      </c>
      <c r="F27" s="430" t="inlineStr">
        <is>
          <t>▼</t>
        </is>
      </c>
      <c r="G27" s="430" t="inlineStr">
        <is>
          <t>▼</t>
        </is>
      </c>
      <c r="H27" s="430" t="inlineStr">
        <is>
          <t>▼</t>
        </is>
      </c>
      <c r="I27" s="160" t="n"/>
      <c r="J27" s="160" t="n"/>
      <c r="K27" s="160" t="n"/>
      <c r="L27" s="385" t="n"/>
      <c r="M27" s="385" t="n"/>
      <c r="N27" s="386" t="n"/>
    </row>
    <row r="28" ht="34.95" customHeight="1">
      <c r="A28" s="203" t="n">
        <v>13</v>
      </c>
      <c r="B28" s="160" t="n"/>
      <c r="C28" s="430" t="inlineStr">
        <is>
          <t>▼</t>
        </is>
      </c>
      <c r="D28" s="160" t="n"/>
      <c r="E28" s="430" t="inlineStr">
        <is>
          <t>▼</t>
        </is>
      </c>
      <c r="F28" s="430" t="inlineStr">
        <is>
          <t>▼</t>
        </is>
      </c>
      <c r="G28" s="430" t="inlineStr">
        <is>
          <t>▼</t>
        </is>
      </c>
      <c r="H28" s="430" t="inlineStr">
        <is>
          <t>▼</t>
        </is>
      </c>
      <c r="I28" s="160" t="n"/>
      <c r="J28" s="160" t="n"/>
      <c r="K28" s="160" t="n"/>
      <c r="L28" s="385" t="n"/>
      <c r="M28" s="385" t="n"/>
      <c r="N28" s="386" t="n"/>
    </row>
    <row r="29" ht="34.95" customHeight="1">
      <c r="A29" s="203" t="n">
        <v>14</v>
      </c>
      <c r="B29" s="160" t="n"/>
      <c r="C29" s="430" t="inlineStr">
        <is>
          <t>▼</t>
        </is>
      </c>
      <c r="D29" s="160" t="n"/>
      <c r="E29" s="430" t="inlineStr">
        <is>
          <t>▼</t>
        </is>
      </c>
      <c r="F29" s="430" t="inlineStr">
        <is>
          <t>▼</t>
        </is>
      </c>
      <c r="G29" s="430" t="inlineStr">
        <is>
          <t>▼</t>
        </is>
      </c>
      <c r="H29" s="430" t="inlineStr">
        <is>
          <t>▼</t>
        </is>
      </c>
      <c r="I29" s="160" t="n"/>
      <c r="J29" s="160" t="n"/>
      <c r="K29" s="160" t="n"/>
      <c r="L29" s="385" t="n"/>
      <c r="M29" s="385" t="n"/>
      <c r="N29" s="386" t="n"/>
    </row>
    <row r="30" ht="34.95" customHeight="1">
      <c r="A30" s="203" t="n">
        <v>15</v>
      </c>
      <c r="B30" s="160" t="n"/>
      <c r="C30" s="430" t="inlineStr">
        <is>
          <t>▼</t>
        </is>
      </c>
      <c r="D30" s="160" t="n"/>
      <c r="E30" s="430" t="inlineStr">
        <is>
          <t>▼</t>
        </is>
      </c>
      <c r="F30" s="430" t="inlineStr">
        <is>
          <t>▼</t>
        </is>
      </c>
      <c r="G30" s="430" t="inlineStr">
        <is>
          <t>▼</t>
        </is>
      </c>
      <c r="H30" s="430" t="inlineStr">
        <is>
          <t>▼</t>
        </is>
      </c>
      <c r="I30" s="160" t="n"/>
      <c r="J30" s="160" t="n"/>
      <c r="K30" s="160" t="n"/>
      <c r="L30" s="385" t="n"/>
      <c r="M30" s="385" t="n"/>
      <c r="N30" s="386" t="n"/>
    </row>
    <row r="31" ht="34.95" customHeight="1">
      <c r="A31" s="203" t="n">
        <v>16</v>
      </c>
      <c r="B31" s="160" t="n"/>
      <c r="C31" s="430" t="inlineStr">
        <is>
          <t>▼</t>
        </is>
      </c>
      <c r="D31" s="160" t="n"/>
      <c r="E31" s="430" t="inlineStr">
        <is>
          <t>▼</t>
        </is>
      </c>
      <c r="F31" s="430" t="inlineStr">
        <is>
          <t>▼</t>
        </is>
      </c>
      <c r="G31" s="430" t="inlineStr">
        <is>
          <t>▼</t>
        </is>
      </c>
      <c r="H31" s="430" t="inlineStr">
        <is>
          <t>▼</t>
        </is>
      </c>
      <c r="I31" s="160" t="n"/>
      <c r="J31" s="160" t="n"/>
      <c r="K31" s="160" t="n"/>
      <c r="L31" s="385" t="n"/>
      <c r="M31" s="385" t="n"/>
      <c r="N31" s="386" t="n"/>
    </row>
    <row r="32" ht="34.95" customHeight="1">
      <c r="A32" s="203" t="n">
        <v>17</v>
      </c>
      <c r="B32" s="160" t="n"/>
      <c r="C32" s="430" t="inlineStr">
        <is>
          <t>▼</t>
        </is>
      </c>
      <c r="D32" s="160" t="n"/>
      <c r="E32" s="430" t="inlineStr">
        <is>
          <t>▼</t>
        </is>
      </c>
      <c r="F32" s="430" t="inlineStr">
        <is>
          <t>▼</t>
        </is>
      </c>
      <c r="G32" s="430" t="inlineStr">
        <is>
          <t>▼</t>
        </is>
      </c>
      <c r="H32" s="430" t="inlineStr">
        <is>
          <t>▼</t>
        </is>
      </c>
      <c r="I32" s="160" t="n"/>
      <c r="J32" s="160" t="n"/>
      <c r="K32" s="160" t="n"/>
      <c r="L32" s="385" t="n"/>
      <c r="M32" s="385" t="n"/>
      <c r="N32" s="386" t="n"/>
    </row>
    <row r="33" ht="34.95" customHeight="1">
      <c r="A33" s="203" t="n">
        <v>18</v>
      </c>
      <c r="B33" s="160" t="n"/>
      <c r="C33" s="430" t="inlineStr">
        <is>
          <t>▼</t>
        </is>
      </c>
      <c r="D33" s="160" t="n"/>
      <c r="E33" s="430" t="inlineStr">
        <is>
          <t>▼</t>
        </is>
      </c>
      <c r="F33" s="430" t="inlineStr">
        <is>
          <t>▼</t>
        </is>
      </c>
      <c r="G33" s="430" t="inlineStr">
        <is>
          <t>▼</t>
        </is>
      </c>
      <c r="H33" s="430" t="inlineStr">
        <is>
          <t>▼</t>
        </is>
      </c>
      <c r="I33" s="160" t="n"/>
      <c r="J33" s="160" t="n"/>
      <c r="K33" s="160" t="n"/>
      <c r="L33" s="385" t="n"/>
      <c r="M33" s="385" t="n"/>
      <c r="N33" s="386" t="n"/>
    </row>
    <row r="34" ht="34.95" customHeight="1">
      <c r="A34" s="203" t="n">
        <v>19</v>
      </c>
      <c r="B34" s="160" t="n"/>
      <c r="C34" s="430" t="inlineStr">
        <is>
          <t>▼</t>
        </is>
      </c>
      <c r="D34" s="160" t="n"/>
      <c r="E34" s="430" t="inlineStr">
        <is>
          <t>▼</t>
        </is>
      </c>
      <c r="F34" s="430" t="inlineStr">
        <is>
          <t>▼</t>
        </is>
      </c>
      <c r="G34" s="430" t="inlineStr">
        <is>
          <t>▼</t>
        </is>
      </c>
      <c r="H34" s="430" t="inlineStr">
        <is>
          <t>▼</t>
        </is>
      </c>
      <c r="I34" s="160" t="n"/>
      <c r="J34" s="160" t="n"/>
      <c r="K34" s="160" t="n"/>
      <c r="L34" s="385" t="n"/>
      <c r="M34" s="385" t="n"/>
      <c r="N34" s="386" t="n"/>
    </row>
    <row r="35" ht="34.95" customHeight="1">
      <c r="A35" s="203" t="n">
        <v>20</v>
      </c>
      <c r="B35" s="160" t="n"/>
      <c r="C35" s="430" t="inlineStr">
        <is>
          <t>▼</t>
        </is>
      </c>
      <c r="D35" s="160" t="n"/>
      <c r="E35" s="430" t="inlineStr">
        <is>
          <t>▼</t>
        </is>
      </c>
      <c r="F35" s="430" t="inlineStr">
        <is>
          <t>▼</t>
        </is>
      </c>
      <c r="G35" s="430" t="inlineStr">
        <is>
          <t>▼</t>
        </is>
      </c>
      <c r="H35" s="430" t="inlineStr">
        <is>
          <t>▼</t>
        </is>
      </c>
      <c r="I35" s="160" t="n"/>
      <c r="J35" s="160" t="n"/>
      <c r="K35" s="160" t="n"/>
      <c r="L35" s="385" t="n"/>
      <c r="M35" s="385" t="n"/>
      <c r="N35" s="386" t="n"/>
    </row>
    <row r="37" ht="19.5" customFormat="1" customHeight="1" s="50">
      <c r="A37" s="259" t="inlineStr">
        <is>
          <t>4. METODOLOGÍA PMBOK — MATRIZ INFLUENCIA × INTERÉS</t>
        </is>
      </c>
    </row>
    <row r="38" ht="27.75" customFormat="1" customHeight="1" s="51">
      <c r="A38" s="267" t="inlineStr">
        <is>
          <t>CUADRANTE 1 — ALTA INFLUENCIA + ALTO INTERÉS</t>
        </is>
      </c>
      <c r="B38" s="381" t="n"/>
      <c r="C38" s="381" t="n"/>
      <c r="D38" s="381" t="n"/>
      <c r="E38" s="268" t="inlineStr">
        <is>
          <t>«GESTIONAR DE CERCA»: co-diseño del proyecto, reuniones frecuentes, inclusión en mesa de diálogo.</t>
        </is>
      </c>
      <c r="F38" s="381" t="n"/>
      <c r="G38" s="381" t="n"/>
      <c r="H38" s="381" t="n"/>
      <c r="I38" s="381" t="n"/>
      <c r="J38" s="381" t="n"/>
      <c r="K38" s="381" t="n"/>
      <c r="L38" s="381" t="n"/>
      <c r="M38" s="381" t="n"/>
      <c r="N38" s="381" t="n"/>
    </row>
    <row r="39" ht="27.75" customFormat="1" customHeight="1" s="51">
      <c r="A39" s="261" t="inlineStr">
        <is>
          <t>CUADRANTE 2 — ALTA INFLUENCIA + BAJO INTERÉS</t>
        </is>
      </c>
      <c r="B39" s="381" t="n"/>
      <c r="C39" s="381" t="n"/>
      <c r="D39" s="381" t="n"/>
      <c r="E39" s="262" t="inlineStr">
        <is>
          <t>«MANTENER SATISFECHOS»: mantener informados sin saturar; involucrar cuando se requiera validación técnica/política.</t>
        </is>
      </c>
      <c r="F39" s="381" t="n"/>
      <c r="G39" s="381" t="n"/>
      <c r="H39" s="381" t="n"/>
      <c r="I39" s="381" t="n"/>
      <c r="J39" s="381" t="n"/>
      <c r="K39" s="381" t="n"/>
      <c r="L39" s="381" t="n"/>
      <c r="M39" s="381" t="n"/>
      <c r="N39" s="381" t="n"/>
    </row>
    <row r="40" ht="27.75" customFormat="1" customHeight="1" s="51">
      <c r="A40" s="263" t="inlineStr">
        <is>
          <t>CUADRANTE 3 — BAJA INFLUENCIA + ALTO INTERÉS</t>
        </is>
      </c>
      <c r="B40" s="381" t="n"/>
      <c r="C40" s="381" t="n"/>
      <c r="D40" s="381" t="n"/>
      <c r="E40" s="264" t="inlineStr">
        <is>
          <t>«MANTENER INFORMADOS»: comunicaciones periódicas, escucha activa, canalizar aportes.</t>
        </is>
      </c>
      <c r="F40" s="381" t="n"/>
      <c r="G40" s="381" t="n"/>
      <c r="H40" s="381" t="n"/>
      <c r="I40" s="381" t="n"/>
      <c r="J40" s="381" t="n"/>
      <c r="K40" s="381" t="n"/>
      <c r="L40" s="381" t="n"/>
      <c r="M40" s="381" t="n"/>
      <c r="N40" s="381" t="n"/>
    </row>
    <row r="41" ht="27.75" customFormat="1" customHeight="1" s="51">
      <c r="A41" s="265" t="inlineStr">
        <is>
          <t>CUADRANTE 4 — BAJA INFLUENCIA + BAJO INTERÉS</t>
        </is>
      </c>
      <c r="B41" s="381" t="n"/>
      <c r="C41" s="381" t="n"/>
      <c r="D41" s="381" t="n"/>
      <c r="E41" s="266" t="inlineStr">
        <is>
          <t>«MONITOREAR»: mínimo esfuerzo, seguimiento para detectar cambios de posición.</t>
        </is>
      </c>
      <c r="F41" s="381" t="n"/>
      <c r="G41" s="381" t="n"/>
      <c r="H41" s="381" t="n"/>
      <c r="I41" s="381" t="n"/>
      <c r="J41" s="381" t="n"/>
      <c r="K41" s="381" t="n"/>
      <c r="L41" s="381" t="n"/>
      <c r="M41" s="381" t="n"/>
      <c r="N41" s="381" t="n"/>
    </row>
    <row r="42" ht="15.6" customFormat="1" customHeight="1" s="51"/>
    <row r="43" ht="19.5" customFormat="1" customHeight="1" s="50">
      <c r="A43" s="260" t="inlineStr">
        <is>
          <t>5. ACTORES CRÍTICOS PRIORITARIOS (síntesis)</t>
        </is>
      </c>
    </row>
    <row r="44" ht="30" customFormat="1" customHeight="1" s="51">
      <c r="A44" s="114" t="inlineStr">
        <is>
          <t>Actor más influyente a favor</t>
        </is>
      </c>
      <c r="B44" s="381" t="n"/>
      <c r="C44" s="381" t="n"/>
      <c r="D44" s="381" t="n"/>
      <c r="E44" s="381" t="n"/>
      <c r="F44" s="118" t="n"/>
      <c r="G44" s="381" t="n"/>
      <c r="H44" s="381" t="n"/>
      <c r="I44" s="381" t="n"/>
      <c r="J44" s="381" t="n"/>
      <c r="K44" s="381" t="n"/>
      <c r="L44" s="381" t="n"/>
      <c r="M44" s="381" t="n"/>
      <c r="N44" s="381" t="n"/>
    </row>
    <row r="45" ht="30" customFormat="1" customHeight="1" s="51">
      <c r="A45" s="114" t="inlineStr">
        <is>
          <t>Actor más influyente en contra / reticente</t>
        </is>
      </c>
      <c r="B45" s="381" t="n"/>
      <c r="C45" s="381" t="n"/>
      <c r="D45" s="381" t="n"/>
      <c r="E45" s="381" t="n"/>
      <c r="F45" s="118" t="n"/>
      <c r="G45" s="381" t="n"/>
      <c r="H45" s="381" t="n"/>
      <c r="I45" s="381" t="n"/>
      <c r="J45" s="381" t="n"/>
      <c r="K45" s="381" t="n"/>
      <c r="L45" s="381" t="n"/>
      <c r="M45" s="381" t="n"/>
      <c r="N45" s="381" t="n"/>
    </row>
    <row r="46" ht="30" customFormat="1" customHeight="1" s="51">
      <c r="A46" s="114" t="inlineStr">
        <is>
          <t>Actor clave en la toma de decisiones comunales</t>
        </is>
      </c>
      <c r="B46" s="381" t="n"/>
      <c r="C46" s="381" t="n"/>
      <c r="D46" s="381" t="n"/>
      <c r="E46" s="381" t="n"/>
      <c r="F46" s="118" t="n"/>
      <c r="G46" s="381" t="n"/>
      <c r="H46" s="381" t="n"/>
      <c r="I46" s="381" t="n"/>
      <c r="J46" s="381" t="n"/>
      <c r="K46" s="381" t="n"/>
      <c r="L46" s="381" t="n"/>
      <c r="M46" s="381" t="n"/>
      <c r="N46" s="381" t="n"/>
    </row>
    <row r="47" ht="30" customFormat="1" customHeight="1" s="51">
      <c r="A47" s="114" t="inlineStr">
        <is>
          <t>Actor clave para coordinar acceso (Ronda)</t>
        </is>
      </c>
      <c r="B47" s="381" t="n"/>
      <c r="C47" s="381" t="n"/>
      <c r="D47" s="381" t="n"/>
      <c r="E47" s="381" t="n"/>
      <c r="F47" s="118" t="n"/>
      <c r="G47" s="381" t="n"/>
      <c r="H47" s="381" t="n"/>
      <c r="I47" s="381" t="n"/>
      <c r="J47" s="381" t="n"/>
      <c r="K47" s="381" t="n"/>
      <c r="L47" s="381" t="n"/>
      <c r="M47" s="381" t="n"/>
      <c r="N47" s="381" t="n"/>
    </row>
    <row r="48" ht="30" customFormat="1" customHeight="1" s="51">
      <c r="A48" s="114" t="inlineStr">
        <is>
          <t>Plataforma / Mesa existente que podría servir de vehículo</t>
        </is>
      </c>
      <c r="B48" s="381" t="n"/>
      <c r="C48" s="381" t="n"/>
      <c r="D48" s="381" t="n"/>
      <c r="E48" s="381" t="n"/>
      <c r="F48" s="118" t="n"/>
      <c r="G48" s="381" t="n"/>
      <c r="H48" s="381" t="n"/>
      <c r="I48" s="381" t="n"/>
      <c r="J48" s="381" t="n"/>
      <c r="K48" s="381" t="n"/>
      <c r="L48" s="381" t="n"/>
      <c r="M48" s="381" t="n"/>
      <c r="N48" s="381" t="n"/>
    </row>
    <row r="50" ht="19.5" customFormat="1" customHeight="1" s="6">
      <c r="A50" s="259" t="inlineStr">
        <is>
          <t>OBSERVACIONES Y FIRMAS</t>
        </is>
      </c>
    </row>
    <row r="51" ht="19.5" customHeight="1">
      <c r="A51" s="144" t="n"/>
      <c r="B51" s="381" t="n"/>
      <c r="C51" s="381" t="n"/>
      <c r="D51" s="381" t="n"/>
      <c r="E51" s="381" t="n"/>
      <c r="F51" s="381" t="n"/>
      <c r="G51" s="381" t="n"/>
      <c r="H51" s="381" t="n"/>
      <c r="I51" s="381" t="n"/>
      <c r="J51" s="381" t="n"/>
      <c r="K51" s="381" t="n"/>
      <c r="L51" s="381" t="n"/>
      <c r="M51" s="381" t="n"/>
      <c r="N51" s="381" t="n"/>
    </row>
    <row r="52" ht="19.5" customHeight="1">
      <c r="A52" s="144" t="n"/>
      <c r="B52" s="381" t="n"/>
      <c r="C52" s="381" t="n"/>
      <c r="D52" s="381" t="n"/>
      <c r="E52" s="381" t="n"/>
      <c r="F52" s="381" t="n"/>
      <c r="G52" s="381" t="n"/>
      <c r="H52" s="381" t="n"/>
      <c r="I52" s="381" t="n"/>
      <c r="J52" s="381" t="n"/>
      <c r="K52" s="381" t="n"/>
      <c r="L52" s="381" t="n"/>
      <c r="M52" s="381" t="n"/>
      <c r="N52" s="381" t="n"/>
    </row>
    <row r="53" ht="19.5" customHeight="1">
      <c r="A53" s="144" t="n"/>
      <c r="B53" s="381" t="n"/>
      <c r="C53" s="381" t="n"/>
      <c r="D53" s="381" t="n"/>
      <c r="E53" s="381" t="n"/>
      <c r="F53" s="381" t="n"/>
      <c r="G53" s="381" t="n"/>
      <c r="H53" s="381" t="n"/>
      <c r="I53" s="381" t="n"/>
      <c r="J53" s="381" t="n"/>
      <c r="K53" s="381" t="n"/>
      <c r="L53" s="381" t="n"/>
      <c r="M53" s="381" t="n"/>
      <c r="N53" s="381" t="n"/>
    </row>
    <row r="54" ht="19.5" customHeight="1">
      <c r="A54" s="144" t="n"/>
      <c r="B54" s="381" t="n"/>
      <c r="C54" s="381" t="n"/>
      <c r="D54" s="381" t="n"/>
      <c r="E54" s="381" t="n"/>
      <c r="F54" s="381" t="n"/>
      <c r="G54" s="381" t="n"/>
      <c r="H54" s="381" t="n"/>
      <c r="I54" s="381" t="n"/>
      <c r="J54" s="381" t="n"/>
      <c r="K54" s="381" t="n"/>
      <c r="L54" s="381" t="n"/>
      <c r="M54" s="381" t="n"/>
      <c r="N54" s="381" t="n"/>
    </row>
    <row r="55" ht="19.5" customHeight="1">
      <c r="A55" s="144" t="n"/>
      <c r="B55" s="381" t="n"/>
      <c r="C55" s="381" t="n"/>
      <c r="D55" s="381" t="n"/>
      <c r="E55" s="381" t="n"/>
      <c r="F55" s="381" t="n"/>
      <c r="G55" s="381" t="n"/>
      <c r="H55" s="381" t="n"/>
      <c r="I55" s="381" t="n"/>
      <c r="J55" s="381" t="n"/>
      <c r="K55" s="381" t="n"/>
      <c r="L55" s="381" t="n"/>
      <c r="M55" s="381" t="n"/>
      <c r="N55" s="381" t="n"/>
    </row>
    <row r="56" ht="19.5" customHeight="1">
      <c r="A56" s="144" t="n"/>
      <c r="B56" s="381" t="n"/>
      <c r="C56" s="381" t="n"/>
      <c r="D56" s="381" t="n"/>
      <c r="E56" s="381" t="n"/>
      <c r="F56" s="381" t="n"/>
      <c r="G56" s="381" t="n"/>
      <c r="H56" s="381" t="n"/>
      <c r="I56" s="381" t="n"/>
      <c r="J56" s="381" t="n"/>
      <c r="K56" s="381" t="n"/>
      <c r="L56" s="381" t="n"/>
      <c r="M56" s="381" t="n"/>
      <c r="N56" s="381" t="n"/>
    </row>
    <row r="59" ht="15" customHeight="1">
      <c r="A59" s="141" t="inlineStr">
        <is>
          <t>_________________________________________</t>
        </is>
      </c>
      <c r="H59" s="141" t="inlineStr">
        <is>
          <t>_________________________________________</t>
        </is>
      </c>
    </row>
    <row r="60" ht="15" customHeight="1">
      <c r="A60" s="142" t="inlineStr">
        <is>
          <t>Validado por autoridad comunal (Firma / Nombre / DNI)</t>
        </is>
      </c>
      <c r="H60" s="142" t="inlineStr">
        <is>
          <t>Facilitador/a SESDI (Firma / Nombre / DNI)</t>
        </is>
      </c>
    </row>
  </sheetData>
  <mergeCells count="72">
    <mergeCell ref="K23:N23"/>
    <mergeCell ref="A48:E48"/>
    <mergeCell ref="K17:N17"/>
    <mergeCell ref="F45:N45"/>
    <mergeCell ref="A38:D38"/>
    <mergeCell ref="L8:N8"/>
    <mergeCell ref="A45:E45"/>
    <mergeCell ref="E7:H7"/>
    <mergeCell ref="A51:N51"/>
    <mergeCell ref="E8:I8"/>
    <mergeCell ref="K19:N19"/>
    <mergeCell ref="F47:N47"/>
    <mergeCell ref="E41:N41"/>
    <mergeCell ref="K28:N28"/>
    <mergeCell ref="A40:D40"/>
    <mergeCell ref="A1:N1"/>
    <mergeCell ref="A6:N6"/>
    <mergeCell ref="K18:N18"/>
    <mergeCell ref="A7:B7"/>
    <mergeCell ref="F46:N46"/>
    <mergeCell ref="A54:N54"/>
    <mergeCell ref="K25:N25"/>
    <mergeCell ref="K34:N34"/>
    <mergeCell ref="A39:D39"/>
    <mergeCell ref="K16:N16"/>
    <mergeCell ref="A46:E46"/>
    <mergeCell ref="K24:N24"/>
    <mergeCell ref="K30:N30"/>
    <mergeCell ref="A11:D11"/>
    <mergeCell ref="K15:N15"/>
    <mergeCell ref="A37:N37"/>
    <mergeCell ref="K33:N33"/>
    <mergeCell ref="F48:N48"/>
    <mergeCell ref="A56:N56"/>
    <mergeCell ref="M7:N7"/>
    <mergeCell ref="A3:N3"/>
    <mergeCell ref="E39:N39"/>
    <mergeCell ref="A50:N50"/>
    <mergeCell ref="K26:N26"/>
    <mergeCell ref="K21:N21"/>
    <mergeCell ref="A55:N55"/>
    <mergeCell ref="A2:N2"/>
    <mergeCell ref="K29:N29"/>
    <mergeCell ref="K35:N35"/>
    <mergeCell ref="K20:N20"/>
    <mergeCell ref="A47:E47"/>
    <mergeCell ref="H59:N59"/>
    <mergeCell ref="A41:D41"/>
    <mergeCell ref="A5:N5"/>
    <mergeCell ref="K32:N32"/>
    <mergeCell ref="A8:B8"/>
    <mergeCell ref="E38:N38"/>
    <mergeCell ref="A14:N14"/>
    <mergeCell ref="F44:N44"/>
    <mergeCell ref="A59:F59"/>
    <mergeCell ref="H60:N60"/>
    <mergeCell ref="K31:N31"/>
    <mergeCell ref="K7:L7"/>
    <mergeCell ref="K22:N22"/>
    <mergeCell ref="I11:N11"/>
    <mergeCell ref="A53:N53"/>
    <mergeCell ref="A60:F60"/>
    <mergeCell ref="A4:N4"/>
    <mergeCell ref="E40:N40"/>
    <mergeCell ref="A52:N52"/>
    <mergeCell ref="A43:N43"/>
    <mergeCell ref="A10:N10"/>
    <mergeCell ref="A44:E44"/>
    <mergeCell ref="E11:H11"/>
    <mergeCell ref="J8:K8"/>
    <mergeCell ref="A13:N13"/>
    <mergeCell ref="K27:N27"/>
  </mergeCells>
  <dataValidations count="5">
    <dataValidation sqref="C16 C17 C18 C19 C20 C21 C22 C23 C24 C25 C26 C27 C28 C29 C30 C31 C32 C33 C34 C35" showDropDown="0" showInputMessage="0" showErrorMessage="0" allowBlank="1" type="list">
      <formula1>'_Listas'!$U$2:$U$16</formula1>
    </dataValidation>
    <dataValidation sqref="E16 E17 E18 E19 E20 E21 E22 E23 E24 E25 E26 E27 E28 E29 E30 E31 E32 E33 E34 E35" showDropDown="0" showInputMessage="0" showErrorMessage="0" allowBlank="1" type="list">
      <formula1>'_Listas'!$D$2:$D$4</formula1>
    </dataValidation>
    <dataValidation sqref="F16 F17 F18 F19 F20 F21 F22 F23 F24 F25 F26 F27 F28 F29 F30 F31 F32 F33 F34 F35" showDropDown="0" showInputMessage="0" showErrorMessage="0" allowBlank="1" type="list">
      <formula1>'_Listas'!$D$2:$D$4</formula1>
    </dataValidation>
    <dataValidation sqref="G16 G17 G18 G19 G20 G21 G22 G23 G24 G25 G26 G27 G28 G29 G30 G31 G32 G33 G34 G35" showDropDown="0" showInputMessage="0" showErrorMessage="0" allowBlank="1" type="list">
      <formula1>'_Listas'!$W$2:$W$6</formula1>
    </dataValidation>
    <dataValidation sqref="H16 H17 H18 H19 H20 H21 H22 H23 H24 H25 H26 H27 H28 H29 H30 H31 H32 H33 H34 H35" showDropDown="0" showInputMessage="0" showErrorMessage="0" allowBlank="1" type="list">
      <formula1>'_Listas'!$V$2:$V$7</formula1>
    </dataValidation>
  </dataValidations>
  <printOptions horizontalCentered="1"/>
  <pageMargins left="0.1" right="0.1" top="0.5" bottom="0.5" header="0.511811023622047" footer="0.511811023622047"/>
  <pageSetup orientation="landscape" paperSize="9" scale="61" fitToHeight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20"/>
  <sheetViews>
    <sheetView tabSelected="1" zoomScaleNormal="100" workbookViewId="0">
      <pane ySplit="6" topLeftCell="A113" activePane="bottomLeft" state="frozen"/>
      <selection pane="bottomLeft" activeCell="D13" sqref="D13:N13"/>
    </sheetView>
  </sheetViews>
  <sheetFormatPr baseColWidth="10" defaultColWidth="8.6640625" defaultRowHeight="14.4"/>
  <cols>
    <col width="5" customWidth="1" min="1" max="1"/>
    <col width="24" customWidth="1" min="2" max="2"/>
    <col width="4" customWidth="1" min="3" max="3"/>
    <col width="18" customWidth="1" min="4" max="4"/>
    <col width="4" customWidth="1" min="5" max="5"/>
    <col width="18" customWidth="1" min="6" max="6"/>
    <col width="4" customWidth="1" min="7" max="7"/>
    <col width="16.5546875" customWidth="1" min="8" max="8"/>
    <col width="4" customWidth="1" min="9" max="9"/>
    <col width="18" customWidth="1" min="10" max="10"/>
    <col width="5.21875" customWidth="1" min="11" max="11"/>
    <col width="18" customWidth="1" min="12" max="12"/>
    <col width="4" customWidth="1" min="13" max="13"/>
    <col width="15" customWidth="1" min="14" max="14"/>
    <col width="30" customWidth="1" min="15" max="15"/>
  </cols>
  <sheetData>
    <row r="1" ht="19.5" customHeight="1">
      <c r="A1" s="122" t="inlineStr">
        <is>
          <t>AUTORIDAD NACIONAL DE INFRAESTRUCTURA — ANIN</t>
        </is>
      </c>
    </row>
    <row r="2" ht="15" customHeight="1">
      <c r="A2" s="283" t="inlineStr">
        <is>
          <t>DIME — Dirección de Intervenciones Multisectoriales y de Emergencia  |  SESDI — Subdirección de Estudios de Inversión</t>
        </is>
      </c>
    </row>
    <row r="3" ht="33.6" customHeight="1">
      <c r="A3" s="284" t="inlineStr">
        <is>
          <t>PROYECTO IN PIURA  |  CUI 2669244  |  Recuperación de servicios de regulación de riesgos naturales y regulación hídrica — Cuenca Alta del Río Piura</t>
        </is>
      </c>
    </row>
    <row r="4" ht="25.5" customHeight="1">
      <c r="A4" s="242" t="inlineStr">
        <is>
          <t>F-DS-03: ENTREVISTA SEMIESTRUCTURADA A AUTORIDADES / LÍDERES</t>
        </is>
      </c>
    </row>
    <row r="5" ht="24" customFormat="1" customHeight="1" s="54">
      <c r="A5" s="285" t="inlineStr">
        <is>
          <t>Guía de entrevista individual con autoridades municipales, comunales, ronderas y líderes.  Marque con «X» en las casillas; registre respuestas textuales en los bloques de líneas.</t>
        </is>
      </c>
    </row>
    <row r="6" ht="19.5" customFormat="1" customHeight="1" s="6">
      <c r="A6" s="134" t="inlineStr">
        <is>
          <t>1. DATOS GENERALES</t>
        </is>
      </c>
    </row>
    <row r="7" ht="30" customHeight="1">
      <c r="A7" s="299" t="inlineStr">
        <is>
          <t>Fecha *</t>
        </is>
      </c>
      <c r="B7" s="385" t="n"/>
      <c r="C7" s="386" t="n"/>
      <c r="D7" s="303" t="n"/>
      <c r="E7" s="385" t="n"/>
      <c r="F7" s="386" t="n"/>
      <c r="G7" s="299" t="inlineStr">
        <is>
          <t>Responsable *</t>
        </is>
      </c>
      <c r="H7" s="385" t="n"/>
      <c r="I7" s="386" t="n"/>
      <c r="J7" s="303" t="n"/>
      <c r="K7" s="385" t="n"/>
      <c r="L7" s="385" t="n"/>
      <c r="M7" s="385" t="n"/>
      <c r="N7" s="386" t="n"/>
    </row>
    <row r="8" ht="31.8" customHeight="1">
      <c r="A8" s="299" t="inlineStr">
        <is>
          <t>Código Bloque *</t>
        </is>
      </c>
      <c r="B8" s="385" t="n"/>
      <c r="C8" s="386" t="n"/>
      <c r="D8" s="300" t="n"/>
      <c r="E8" s="386" t="n"/>
      <c r="F8" s="301" t="inlineStr">
        <is>
          <t>Microcuenca</t>
        </is>
      </c>
      <c r="G8" s="386" t="n"/>
      <c r="H8" s="302">
        <f>IFERROR(VLOOKUP($D$8,_Datos!$A$2:$H$128,2,FALSE()),"")</f>
        <v/>
      </c>
      <c r="I8" s="385" t="n"/>
      <c r="J8" s="386" t="n"/>
      <c r="K8" s="301" t="inlineStr">
        <is>
          <t>Distrito</t>
        </is>
      </c>
      <c r="L8" s="386" t="n"/>
      <c r="M8" s="302">
        <f>IFERROR(VLOOKUP($D$8,_Datos!$A$2:$H$128,4,FALSE()),"")</f>
        <v/>
      </c>
      <c r="N8" s="386" t="n"/>
    </row>
    <row r="9" ht="19.5" customFormat="1" customHeight="1" s="6">
      <c r="A9" s="134" t="inlineStr">
        <is>
          <t>2. DATOS DEL ENTREVISTADO/A</t>
        </is>
      </c>
    </row>
    <row r="10" ht="28.05" customHeight="1">
      <c r="A10" s="296" t="inlineStr">
        <is>
          <t>Nombres y apellidos completos *</t>
        </is>
      </c>
      <c r="B10" s="381" t="n"/>
      <c r="C10" s="381" t="n"/>
      <c r="D10" s="290" t="n"/>
      <c r="E10" s="381" t="n"/>
      <c r="F10" s="381" t="n"/>
      <c r="G10" s="381" t="n"/>
      <c r="H10" s="381" t="n"/>
      <c r="I10" s="381" t="n"/>
      <c r="J10" s="381" t="n"/>
      <c r="K10" s="381" t="n"/>
      <c r="L10" s="381" t="n"/>
      <c r="M10" s="381" t="n"/>
      <c r="N10" s="381" t="n"/>
    </row>
    <row r="11" ht="28.05" customHeight="1">
      <c r="A11" s="289" t="inlineStr">
        <is>
          <t>DNI</t>
        </is>
      </c>
      <c r="B11" s="381" t="n"/>
      <c r="C11" s="381" t="n"/>
      <c r="D11" s="290" t="n"/>
      <c r="E11" s="381" t="n"/>
      <c r="F11" s="381" t="n"/>
      <c r="G11" s="289" t="inlineStr">
        <is>
          <t>Edad</t>
        </is>
      </c>
      <c r="H11" s="381" t="n"/>
      <c r="I11" s="290" t="n"/>
      <c r="J11" s="381" t="n"/>
      <c r="K11" s="289" t="inlineStr">
        <is>
          <t>Género (M/F)</t>
        </is>
      </c>
      <c r="L11" s="381" t="n"/>
      <c r="M11" s="297" t="n"/>
    </row>
    <row r="12" ht="28.05" customHeight="1">
      <c r="A12" s="296" t="inlineStr">
        <is>
          <t>Cargo / Rol en la comunidad *</t>
        </is>
      </c>
      <c r="B12" s="381" t="n"/>
      <c r="C12" s="381" t="n"/>
      <c r="D12" s="290" t="n"/>
      <c r="E12" s="381" t="n"/>
      <c r="F12" s="381" t="n"/>
      <c r="G12" s="381" t="n"/>
      <c r="H12" s="381" t="n"/>
      <c r="I12" s="381" t="n"/>
      <c r="J12" s="381" t="n"/>
      <c r="K12" s="381" t="n"/>
      <c r="L12" s="381" t="n"/>
      <c r="M12" s="381" t="n"/>
      <c r="N12" s="381" t="n"/>
    </row>
    <row r="13" ht="28.05" customHeight="1">
      <c r="A13" s="289" t="inlineStr">
        <is>
          <t>Institución / Organización</t>
        </is>
      </c>
      <c r="B13" s="381" t="n"/>
      <c r="C13" s="381" t="n"/>
      <c r="D13" s="290" t="n"/>
      <c r="E13" s="381" t="n"/>
      <c r="F13" s="381" t="n"/>
      <c r="G13" s="381" t="n"/>
      <c r="H13" s="381" t="n"/>
      <c r="I13" s="381" t="n"/>
      <c r="J13" s="381" t="n"/>
      <c r="K13" s="381" t="n"/>
      <c r="L13" s="381" t="n"/>
      <c r="M13" s="381" t="n"/>
      <c r="N13" s="381" t="n"/>
    </row>
    <row r="14" ht="28.05" customHeight="1">
      <c r="A14" s="289" t="inlineStr">
        <is>
          <t>Años en el cargo</t>
        </is>
      </c>
      <c r="B14" s="381" t="n"/>
      <c r="C14" s="381" t="n"/>
      <c r="D14" s="45" t="n"/>
      <c r="E14" s="291" t="inlineStr">
        <is>
          <t>Teléfono</t>
        </is>
      </c>
      <c r="F14" s="381" t="n"/>
      <c r="G14" s="59" t="n"/>
      <c r="H14" s="60" t="n"/>
      <c r="I14" s="431" t="inlineStr">
        <is>
          <t>Correo</t>
        </is>
      </c>
      <c r="J14" s="398" t="n"/>
      <c r="K14" s="45" t="n"/>
      <c r="L14" s="295" t="n"/>
      <c r="M14" s="381" t="n"/>
      <c r="N14" s="398" t="n"/>
    </row>
    <row r="15" ht="28.05" customHeight="1">
      <c r="A15" s="289" t="inlineStr">
        <is>
          <t>Lugar de la entrevista</t>
        </is>
      </c>
      <c r="B15" s="381" t="n"/>
      <c r="C15" s="381" t="n"/>
      <c r="D15" s="290" t="n"/>
      <c r="E15" s="381" t="n"/>
      <c r="F15" s="381" t="n"/>
      <c r="G15" s="381" t="n"/>
      <c r="H15" s="381" t="n"/>
      <c r="I15" s="381" t="n"/>
      <c r="J15" s="381" t="n"/>
      <c r="K15" s="289" t="inlineStr">
        <is>
          <t>Duración (min)</t>
        </is>
      </c>
      <c r="L15" s="381" t="n"/>
      <c r="M15" s="290" t="n"/>
      <c r="N15" s="381" t="n"/>
    </row>
    <row r="16" ht="28.05" customHeight="1">
      <c r="A16" s="289" t="inlineStr">
        <is>
          <t>¿Consiente que la entrevista sea grabada?</t>
        </is>
      </c>
      <c r="B16" s="381" t="n"/>
      <c r="C16" s="381" t="n"/>
      <c r="D16" s="381" t="n"/>
      <c r="E16" s="381" t="n"/>
      <c r="F16" s="381" t="n"/>
      <c r="G16" s="381" t="n"/>
      <c r="H16" s="63" t="n"/>
      <c r="I16" s="2" t="inlineStr">
        <is>
          <t>Sí</t>
        </is>
      </c>
      <c r="J16" s="63" t="n"/>
      <c r="K16" s="2" t="inlineStr">
        <is>
          <t>No</t>
        </is>
      </c>
      <c r="O16" s="393" t="inlineStr">
        <is>
          <t>▼</t>
        </is>
      </c>
    </row>
    <row r="17" ht="28.05" customHeight="1">
      <c r="A17" s="289" t="inlineStr">
        <is>
          <t>¿Consiente uso de nombre en el informe?</t>
        </is>
      </c>
      <c r="B17" s="381" t="n"/>
      <c r="C17" s="381" t="n"/>
      <c r="D17" s="381" t="n"/>
      <c r="E17" s="381" t="n"/>
      <c r="F17" s="381" t="n"/>
      <c r="G17" s="381" t="n"/>
      <c r="H17" s="63" t="n"/>
      <c r="I17" s="2" t="inlineStr">
        <is>
          <t>Sí</t>
        </is>
      </c>
      <c r="J17" s="63" t="n"/>
      <c r="K17" s="2" t="inlineStr">
        <is>
          <t>No</t>
        </is>
      </c>
      <c r="O17" s="393" t="inlineStr">
        <is>
          <t>▼</t>
        </is>
      </c>
    </row>
    <row r="18" ht="28.05" customHeight="1">
      <c r="A18" s="289" t="inlineStr">
        <is>
          <t>¿Consiente toma de fotografías?</t>
        </is>
      </c>
      <c r="B18" s="381" t="n"/>
      <c r="C18" s="381" t="n"/>
      <c r="D18" s="381" t="n"/>
      <c r="E18" s="381" t="n"/>
      <c r="F18" s="381" t="n"/>
      <c r="G18" s="381" t="n"/>
      <c r="H18" s="63" t="n"/>
      <c r="I18" s="2" t="inlineStr">
        <is>
          <t>Sí</t>
        </is>
      </c>
      <c r="J18" s="63" t="n"/>
      <c r="K18" s="2" t="inlineStr">
        <is>
          <t>No</t>
        </is>
      </c>
      <c r="O18" s="393" t="inlineStr">
        <is>
          <t>▼</t>
        </is>
      </c>
    </row>
    <row r="19" ht="19.5" customFormat="1" customHeight="1" s="6">
      <c r="A19" s="134" t="inlineStr">
        <is>
          <t>3. PERCEPCIÓN DEL TERRITORIO Y DE LOS RECURSOS NATURALES</t>
        </is>
      </c>
    </row>
    <row r="20" ht="30" customFormat="1" customHeight="1" s="61">
      <c r="A20" s="287" t="inlineStr">
        <is>
          <t>3.1  ¿Cuáles son los principales recursos naturales de la zona y qué importancia tienen para la vida de su comunidad?</t>
        </is>
      </c>
      <c r="B20" s="381" t="n"/>
      <c r="C20" s="381" t="n"/>
      <c r="D20" s="381" t="n"/>
      <c r="E20" s="381" t="n"/>
      <c r="F20" s="381" t="n"/>
      <c r="G20" s="381" t="n"/>
      <c r="H20" s="381" t="n"/>
      <c r="I20" s="381" t="n"/>
      <c r="J20" s="381" t="n"/>
      <c r="K20" s="381" t="n"/>
      <c r="L20" s="381" t="n"/>
      <c r="M20" s="381" t="n"/>
      <c r="N20" s="381" t="n"/>
    </row>
    <row r="21" ht="18" customHeight="1">
      <c r="A21" s="286" t="n"/>
      <c r="B21" s="381" t="n"/>
      <c r="C21" s="381" t="n"/>
      <c r="D21" s="381" t="n"/>
      <c r="E21" s="381" t="n"/>
      <c r="F21" s="381" t="n"/>
      <c r="G21" s="381" t="n"/>
      <c r="H21" s="381" t="n"/>
      <c r="I21" s="381" t="n"/>
      <c r="J21" s="381" t="n"/>
      <c r="K21" s="381" t="n"/>
      <c r="L21" s="381" t="n"/>
      <c r="M21" s="381" t="n"/>
      <c r="N21" s="381" t="n"/>
    </row>
    <row r="22" ht="18" customHeight="1">
      <c r="A22" s="286" t="n"/>
      <c r="B22" s="381" t="n"/>
      <c r="C22" s="381" t="n"/>
      <c r="D22" s="381" t="n"/>
      <c r="E22" s="381" t="n"/>
      <c r="F22" s="381" t="n"/>
      <c r="G22" s="381" t="n"/>
      <c r="H22" s="381" t="n"/>
      <c r="I22" s="381" t="n"/>
      <c r="J22" s="381" t="n"/>
      <c r="K22" s="381" t="n"/>
      <c r="L22" s="381" t="n"/>
      <c r="M22" s="381" t="n"/>
      <c r="N22" s="381" t="n"/>
    </row>
    <row r="23" ht="18" customHeight="1">
      <c r="A23" s="286" t="n"/>
      <c r="B23" s="381" t="n"/>
      <c r="C23" s="381" t="n"/>
      <c r="D23" s="381" t="n"/>
      <c r="E23" s="381" t="n"/>
      <c r="F23" s="381" t="n"/>
      <c r="G23" s="381" t="n"/>
      <c r="H23" s="381" t="n"/>
      <c r="I23" s="381" t="n"/>
      <c r="J23" s="381" t="n"/>
      <c r="K23" s="381" t="n"/>
      <c r="L23" s="381" t="n"/>
      <c r="M23" s="381" t="n"/>
      <c r="N23" s="381" t="n"/>
    </row>
    <row r="24" ht="18" customHeight="1">
      <c r="A24" s="286" t="n"/>
      <c r="B24" s="381" t="n"/>
      <c r="C24" s="381" t="n"/>
      <c r="D24" s="381" t="n"/>
      <c r="E24" s="381" t="n"/>
      <c r="F24" s="381" t="n"/>
      <c r="G24" s="381" t="n"/>
      <c r="H24" s="381" t="n"/>
      <c r="I24" s="381" t="n"/>
      <c r="J24" s="381" t="n"/>
      <c r="K24" s="381" t="n"/>
      <c r="L24" s="381" t="n"/>
      <c r="M24" s="381" t="n"/>
      <c r="N24" s="381" t="n"/>
    </row>
    <row r="25"/>
    <row r="26" ht="30" customFormat="1" customHeight="1" s="61">
      <c r="A26" s="287" t="inlineStr">
        <is>
          <t>3.2  En los últimos 10-15 años, ¿ha observado cambios en la disponibilidad de agua, bosque, suelo? Describa.</t>
        </is>
      </c>
      <c r="B26" s="381" t="n"/>
      <c r="C26" s="381" t="n"/>
      <c r="D26" s="381" t="n"/>
      <c r="E26" s="381" t="n"/>
      <c r="F26" s="381" t="n"/>
      <c r="G26" s="381" t="n"/>
      <c r="H26" s="381" t="n"/>
      <c r="I26" s="381" t="n"/>
      <c r="J26" s="381" t="n"/>
      <c r="K26" s="381" t="n"/>
      <c r="L26" s="381" t="n"/>
      <c r="M26" s="381" t="n"/>
      <c r="N26" s="381" t="n"/>
    </row>
    <row r="27" ht="18" customHeight="1">
      <c r="A27" s="286" t="n"/>
      <c r="B27" s="381" t="n"/>
      <c r="C27" s="381" t="n"/>
      <c r="D27" s="381" t="n"/>
      <c r="E27" s="381" t="n"/>
      <c r="F27" s="381" t="n"/>
      <c r="G27" s="381" t="n"/>
      <c r="H27" s="381" t="n"/>
      <c r="I27" s="381" t="n"/>
      <c r="J27" s="381" t="n"/>
      <c r="K27" s="381" t="n"/>
      <c r="L27" s="381" t="n"/>
      <c r="M27" s="381" t="n"/>
      <c r="N27" s="381" t="n"/>
    </row>
    <row r="28" ht="18" customHeight="1">
      <c r="A28" s="286" t="n"/>
      <c r="B28" s="381" t="n"/>
      <c r="C28" s="381" t="n"/>
      <c r="D28" s="381" t="n"/>
      <c r="E28" s="381" t="n"/>
      <c r="F28" s="381" t="n"/>
      <c r="G28" s="381" t="n"/>
      <c r="H28" s="381" t="n"/>
      <c r="I28" s="381" t="n"/>
      <c r="J28" s="381" t="n"/>
      <c r="K28" s="381" t="n"/>
      <c r="L28" s="381" t="n"/>
      <c r="M28" s="381" t="n"/>
      <c r="N28" s="381" t="n"/>
    </row>
    <row r="29" ht="18" customHeight="1">
      <c r="A29" s="286" t="n"/>
      <c r="B29" s="381" t="n"/>
      <c r="C29" s="381" t="n"/>
      <c r="D29" s="381" t="n"/>
      <c r="E29" s="381" t="n"/>
      <c r="F29" s="381" t="n"/>
      <c r="G29" s="381" t="n"/>
      <c r="H29" s="381" t="n"/>
      <c r="I29" s="381" t="n"/>
      <c r="J29" s="381" t="n"/>
      <c r="K29" s="381" t="n"/>
      <c r="L29" s="381" t="n"/>
      <c r="M29" s="381" t="n"/>
      <c r="N29" s="381" t="n"/>
    </row>
    <row r="30" ht="18" customHeight="1">
      <c r="A30" s="286" t="n"/>
      <c r="B30" s="381" t="n"/>
      <c r="C30" s="381" t="n"/>
      <c r="D30" s="381" t="n"/>
      <c r="E30" s="381" t="n"/>
      <c r="F30" s="381" t="n"/>
      <c r="G30" s="381" t="n"/>
      <c r="H30" s="381" t="n"/>
      <c r="I30" s="381" t="n"/>
      <c r="J30" s="381" t="n"/>
      <c r="K30" s="381" t="n"/>
      <c r="L30" s="381" t="n"/>
      <c r="M30" s="381" t="n"/>
      <c r="N30" s="381" t="n"/>
    </row>
    <row r="31" ht="30" customFormat="1" customHeight="1" s="61">
      <c r="A31" s="287" t="inlineStr">
        <is>
          <t>3.3  ¿Cuáles son los principales problemas ambientales actuales (deforestación, erosión, sequías, contaminación, cárcavas, huaicos)?</t>
        </is>
      </c>
      <c r="B31" s="381" t="n"/>
      <c r="C31" s="381" t="n"/>
      <c r="D31" s="381" t="n"/>
      <c r="E31" s="381" t="n"/>
      <c r="F31" s="381" t="n"/>
      <c r="G31" s="381" t="n"/>
      <c r="H31" s="381" t="n"/>
      <c r="I31" s="381" t="n"/>
      <c r="J31" s="381" t="n"/>
      <c r="K31" s="381" t="n"/>
      <c r="L31" s="381" t="n"/>
      <c r="M31" s="381" t="n"/>
      <c r="N31" s="381" t="n"/>
    </row>
    <row r="32" ht="18" customHeight="1">
      <c r="A32" s="286" t="n"/>
      <c r="B32" s="381" t="n"/>
      <c r="C32" s="381" t="n"/>
      <c r="D32" s="381" t="n"/>
      <c r="E32" s="381" t="n"/>
      <c r="F32" s="381" t="n"/>
      <c r="G32" s="381" t="n"/>
      <c r="H32" s="381" t="n"/>
      <c r="I32" s="381" t="n"/>
      <c r="J32" s="381" t="n"/>
      <c r="K32" s="381" t="n"/>
      <c r="L32" s="381" t="n"/>
      <c r="M32" s="381" t="n"/>
      <c r="N32" s="381" t="n"/>
    </row>
    <row r="33" ht="18" customHeight="1">
      <c r="A33" s="286" t="n"/>
      <c r="B33" s="381" t="n"/>
      <c r="C33" s="381" t="n"/>
      <c r="D33" s="381" t="n"/>
      <c r="E33" s="381" t="n"/>
      <c r="F33" s="381" t="n"/>
      <c r="G33" s="381" t="n"/>
      <c r="H33" s="381" t="n"/>
      <c r="I33" s="381" t="n"/>
      <c r="J33" s="381" t="n"/>
      <c r="K33" s="381" t="n"/>
      <c r="L33" s="381" t="n"/>
      <c r="M33" s="381" t="n"/>
      <c r="N33" s="381" t="n"/>
    </row>
    <row r="34" ht="18" customHeight="1">
      <c r="A34" s="286" t="n"/>
      <c r="B34" s="381" t="n"/>
      <c r="C34" s="381" t="n"/>
      <c r="D34" s="381" t="n"/>
      <c r="E34" s="381" t="n"/>
      <c r="F34" s="381" t="n"/>
      <c r="G34" s="381" t="n"/>
      <c r="H34" s="381" t="n"/>
      <c r="I34" s="381" t="n"/>
      <c r="J34" s="381" t="n"/>
      <c r="K34" s="381" t="n"/>
      <c r="L34" s="381" t="n"/>
      <c r="M34" s="381" t="n"/>
      <c r="N34" s="381" t="n"/>
    </row>
    <row r="35" ht="18" customHeight="1">
      <c r="A35" s="286" t="n"/>
      <c r="B35" s="381" t="n"/>
      <c r="C35" s="381" t="n"/>
      <c r="D35" s="381" t="n"/>
      <c r="E35" s="381" t="n"/>
      <c r="F35" s="381" t="n"/>
      <c r="G35" s="381" t="n"/>
      <c r="H35" s="381" t="n"/>
      <c r="I35" s="381" t="n"/>
      <c r="J35" s="381" t="n"/>
      <c r="K35" s="381" t="n"/>
      <c r="L35" s="381" t="n"/>
      <c r="M35" s="381" t="n"/>
      <c r="N35" s="381" t="n"/>
    </row>
    <row r="36" ht="30" customFormat="1" customHeight="1" s="61">
      <c r="A36" s="287" t="inlineStr">
        <is>
          <t>3.4  ¿Qué zonas del territorio considera más importantes para conservar y por qué?</t>
        </is>
      </c>
      <c r="B36" s="381" t="n"/>
      <c r="C36" s="381" t="n"/>
      <c r="D36" s="381" t="n"/>
      <c r="E36" s="381" t="n"/>
      <c r="F36" s="381" t="n"/>
      <c r="G36" s="381" t="n"/>
      <c r="H36" s="381" t="n"/>
      <c r="I36" s="381" t="n"/>
      <c r="J36" s="381" t="n"/>
      <c r="K36" s="381" t="n"/>
      <c r="L36" s="381" t="n"/>
      <c r="M36" s="381" t="n"/>
      <c r="N36" s="381" t="n"/>
    </row>
    <row r="37" ht="18" customHeight="1">
      <c r="A37" s="286" t="n"/>
      <c r="B37" s="381" t="n"/>
      <c r="C37" s="381" t="n"/>
      <c r="D37" s="381" t="n"/>
      <c r="E37" s="381" t="n"/>
      <c r="F37" s="381" t="n"/>
      <c r="G37" s="381" t="n"/>
      <c r="H37" s="381" t="n"/>
      <c r="I37" s="381" t="n"/>
      <c r="J37" s="381" t="n"/>
      <c r="K37" s="381" t="n"/>
      <c r="L37" s="381" t="n"/>
      <c r="M37" s="381" t="n"/>
      <c r="N37" s="381" t="n"/>
    </row>
    <row r="38" ht="18" customHeight="1">
      <c r="A38" s="286" t="n"/>
      <c r="B38" s="381" t="n"/>
      <c r="C38" s="381" t="n"/>
      <c r="D38" s="381" t="n"/>
      <c r="E38" s="381" t="n"/>
      <c r="F38" s="381" t="n"/>
      <c r="G38" s="381" t="n"/>
      <c r="H38" s="381" t="n"/>
      <c r="I38" s="381" t="n"/>
      <c r="J38" s="381" t="n"/>
      <c r="K38" s="381" t="n"/>
      <c r="L38" s="381" t="n"/>
      <c r="M38" s="381" t="n"/>
      <c r="N38" s="381" t="n"/>
    </row>
    <row r="39" ht="18" customHeight="1">
      <c r="A39" s="286" t="n"/>
      <c r="B39" s="381" t="n"/>
      <c r="C39" s="381" t="n"/>
      <c r="D39" s="381" t="n"/>
      <c r="E39" s="381" t="n"/>
      <c r="F39" s="381" t="n"/>
      <c r="G39" s="381" t="n"/>
      <c r="H39" s="381" t="n"/>
      <c r="I39" s="381" t="n"/>
      <c r="J39" s="381" t="n"/>
      <c r="K39" s="381" t="n"/>
      <c r="L39" s="381" t="n"/>
      <c r="M39" s="381" t="n"/>
      <c r="N39" s="381" t="n"/>
    </row>
    <row r="40" ht="18" customHeight="1">
      <c r="A40" s="286" t="n"/>
      <c r="B40" s="381" t="n"/>
      <c r="C40" s="381" t="n"/>
      <c r="D40" s="381" t="n"/>
      <c r="E40" s="381" t="n"/>
      <c r="F40" s="381" t="n"/>
      <c r="G40" s="381" t="n"/>
      <c r="H40" s="381" t="n"/>
      <c r="I40" s="381" t="n"/>
      <c r="J40" s="381" t="n"/>
      <c r="K40" s="381" t="n"/>
      <c r="L40" s="381" t="n"/>
      <c r="M40" s="381" t="n"/>
      <c r="N40" s="381" t="n"/>
    </row>
    <row r="41" ht="19.5" customFormat="1" customHeight="1" s="6">
      <c r="A41" s="134" t="inlineStr">
        <is>
          <t>4. ACTIVIDADES PRODUCTIVAS Y MEDIOS DE VIDA</t>
        </is>
      </c>
    </row>
    <row r="42" ht="30" customFormat="1" customHeight="1" s="61">
      <c r="A42" s="287" t="inlineStr">
        <is>
          <t>4.1  ¿Cuáles son las actividades económicas más importantes de la comunidad y quiénes se dedican a cada una (hombres/mujeres)?</t>
        </is>
      </c>
      <c r="B42" s="381" t="n"/>
      <c r="C42" s="381" t="n"/>
      <c r="D42" s="381" t="n"/>
      <c r="E42" s="381" t="n"/>
      <c r="F42" s="381" t="n"/>
      <c r="G42" s="381" t="n"/>
      <c r="H42" s="381" t="n"/>
      <c r="I42" s="381" t="n"/>
      <c r="J42" s="381" t="n"/>
      <c r="K42" s="381" t="n"/>
      <c r="L42" s="381" t="n"/>
      <c r="M42" s="381" t="n"/>
      <c r="N42" s="381" t="n"/>
    </row>
    <row r="43" ht="18" customHeight="1">
      <c r="A43" s="286" t="n"/>
      <c r="B43" s="381" t="n"/>
      <c r="C43" s="381" t="n"/>
      <c r="D43" s="381" t="n"/>
      <c r="E43" s="381" t="n"/>
      <c r="F43" s="381" t="n"/>
      <c r="G43" s="381" t="n"/>
      <c r="H43" s="381" t="n"/>
      <c r="I43" s="381" t="n"/>
      <c r="J43" s="381" t="n"/>
      <c r="K43" s="381" t="n"/>
      <c r="L43" s="381" t="n"/>
      <c r="M43" s="381" t="n"/>
      <c r="N43" s="381" t="n"/>
    </row>
    <row r="44" ht="18" customHeight="1">
      <c r="A44" s="286" t="n"/>
      <c r="B44" s="381" t="n"/>
      <c r="C44" s="381" t="n"/>
      <c r="D44" s="381" t="n"/>
      <c r="E44" s="381" t="n"/>
      <c r="F44" s="381" t="n"/>
      <c r="G44" s="381" t="n"/>
      <c r="H44" s="381" t="n"/>
      <c r="I44" s="381" t="n"/>
      <c r="J44" s="381" t="n"/>
      <c r="K44" s="381" t="n"/>
      <c r="L44" s="381" t="n"/>
      <c r="M44" s="381" t="n"/>
      <c r="N44" s="381" t="n"/>
    </row>
    <row r="45" ht="18" customHeight="1">
      <c r="A45" s="286" t="n"/>
      <c r="B45" s="381" t="n"/>
      <c r="C45" s="381" t="n"/>
      <c r="D45" s="381" t="n"/>
      <c r="E45" s="381" t="n"/>
      <c r="F45" s="381" t="n"/>
      <c r="G45" s="381" t="n"/>
      <c r="H45" s="381" t="n"/>
      <c r="I45" s="381" t="n"/>
      <c r="J45" s="381" t="n"/>
      <c r="K45" s="381" t="n"/>
      <c r="L45" s="381" t="n"/>
      <c r="M45" s="381" t="n"/>
      <c r="N45" s="381" t="n"/>
    </row>
    <row r="46" ht="18" customHeight="1">
      <c r="A46" s="286" t="n"/>
      <c r="B46" s="381" t="n"/>
      <c r="C46" s="381" t="n"/>
      <c r="D46" s="381" t="n"/>
      <c r="E46" s="381" t="n"/>
      <c r="F46" s="381" t="n"/>
      <c r="G46" s="381" t="n"/>
      <c r="H46" s="381" t="n"/>
      <c r="I46" s="381" t="n"/>
      <c r="J46" s="381" t="n"/>
      <c r="K46" s="381" t="n"/>
      <c r="L46" s="381" t="n"/>
      <c r="M46" s="381" t="n"/>
      <c r="N46" s="381" t="n"/>
    </row>
    <row r="47" ht="30" customFormat="1" customHeight="1" s="61">
      <c r="A47" s="287" t="inlineStr">
        <is>
          <t>4.2  ¿Cómo se abastecen de agua para riego y consumo? ¿Hay déficit en alguna época del año? ¿Hay conflictos por el agua?</t>
        </is>
      </c>
      <c r="B47" s="381" t="n"/>
      <c r="C47" s="381" t="n"/>
      <c r="D47" s="381" t="n"/>
      <c r="E47" s="381" t="n"/>
      <c r="F47" s="381" t="n"/>
      <c r="G47" s="381" t="n"/>
      <c r="H47" s="381" t="n"/>
      <c r="I47" s="381" t="n"/>
      <c r="J47" s="381" t="n"/>
      <c r="K47" s="381" t="n"/>
      <c r="L47" s="381" t="n"/>
      <c r="M47" s="381" t="n"/>
      <c r="N47" s="381" t="n"/>
    </row>
    <row r="48" ht="18" customHeight="1">
      <c r="A48" s="286" t="n"/>
      <c r="B48" s="381" t="n"/>
      <c r="C48" s="381" t="n"/>
      <c r="D48" s="381" t="n"/>
      <c r="E48" s="381" t="n"/>
      <c r="F48" s="381" t="n"/>
      <c r="G48" s="381" t="n"/>
      <c r="H48" s="381" t="n"/>
      <c r="I48" s="381" t="n"/>
      <c r="J48" s="381" t="n"/>
      <c r="K48" s="381" t="n"/>
      <c r="L48" s="381" t="n"/>
      <c r="M48" s="381" t="n"/>
      <c r="N48" s="381" t="n"/>
    </row>
    <row r="49" ht="18" customHeight="1">
      <c r="A49" s="286" t="n"/>
      <c r="B49" s="381" t="n"/>
      <c r="C49" s="381" t="n"/>
      <c r="D49" s="381" t="n"/>
      <c r="E49" s="381" t="n"/>
      <c r="F49" s="381" t="n"/>
      <c r="G49" s="381" t="n"/>
      <c r="H49" s="381" t="n"/>
      <c r="I49" s="381" t="n"/>
      <c r="J49" s="381" t="n"/>
      <c r="K49" s="381" t="n"/>
      <c r="L49" s="381" t="n"/>
      <c r="M49" s="381" t="n"/>
      <c r="N49" s="381" t="n"/>
    </row>
    <row r="50" ht="18" customHeight="1">
      <c r="A50" s="286" t="n"/>
      <c r="B50" s="381" t="n"/>
      <c r="C50" s="381" t="n"/>
      <c r="D50" s="381" t="n"/>
      <c r="E50" s="381" t="n"/>
      <c r="F50" s="381" t="n"/>
      <c r="G50" s="381" t="n"/>
      <c r="H50" s="381" t="n"/>
      <c r="I50" s="381" t="n"/>
      <c r="J50" s="381" t="n"/>
      <c r="K50" s="381" t="n"/>
      <c r="L50" s="381" t="n"/>
      <c r="M50" s="381" t="n"/>
      <c r="N50" s="381" t="n"/>
    </row>
    <row r="51" ht="18" customHeight="1">
      <c r="A51" s="286" t="n"/>
      <c r="B51" s="381" t="n"/>
      <c r="C51" s="381" t="n"/>
      <c r="D51" s="381" t="n"/>
      <c r="E51" s="381" t="n"/>
      <c r="F51" s="381" t="n"/>
      <c r="G51" s="381" t="n"/>
      <c r="H51" s="381" t="n"/>
      <c r="I51" s="381" t="n"/>
      <c r="J51" s="381" t="n"/>
      <c r="K51" s="381" t="n"/>
      <c r="L51" s="381" t="n"/>
      <c r="M51" s="381" t="n"/>
      <c r="N51" s="381" t="n"/>
    </row>
    <row r="52" ht="30" customFormat="1" customHeight="1" s="61">
      <c r="A52" s="287" t="inlineStr">
        <is>
          <t>4.3  ¿Utilizan productos del bosque? ¿Cuáles? ¿Quiénes? ¿Con qué frecuencia?</t>
        </is>
      </c>
      <c r="B52" s="381" t="n"/>
      <c r="C52" s="381" t="n"/>
      <c r="D52" s="381" t="n"/>
      <c r="E52" s="381" t="n"/>
      <c r="F52" s="381" t="n"/>
      <c r="G52" s="381" t="n"/>
      <c r="H52" s="381" t="n"/>
      <c r="I52" s="381" t="n"/>
      <c r="J52" s="381" t="n"/>
      <c r="K52" s="381" t="n"/>
      <c r="L52" s="381" t="n"/>
      <c r="M52" s="381" t="n"/>
      <c r="N52" s="381" t="n"/>
    </row>
    <row r="53" ht="18" customHeight="1">
      <c r="A53" s="286" t="n"/>
      <c r="B53" s="381" t="n"/>
      <c r="C53" s="381" t="n"/>
      <c r="D53" s="381" t="n"/>
      <c r="E53" s="381" t="n"/>
      <c r="F53" s="381" t="n"/>
      <c r="G53" s="381" t="n"/>
      <c r="H53" s="381" t="n"/>
      <c r="I53" s="381" t="n"/>
      <c r="J53" s="381" t="n"/>
      <c r="K53" s="381" t="n"/>
      <c r="L53" s="381" t="n"/>
      <c r="M53" s="381" t="n"/>
      <c r="N53" s="381" t="n"/>
    </row>
    <row r="54" ht="18" customHeight="1">
      <c r="A54" s="286" t="n"/>
      <c r="B54" s="381" t="n"/>
      <c r="C54" s="381" t="n"/>
      <c r="D54" s="381" t="n"/>
      <c r="E54" s="381" t="n"/>
      <c r="F54" s="381" t="n"/>
      <c r="G54" s="381" t="n"/>
      <c r="H54" s="381" t="n"/>
      <c r="I54" s="381" t="n"/>
      <c r="J54" s="381" t="n"/>
      <c r="K54" s="381" t="n"/>
      <c r="L54" s="381" t="n"/>
      <c r="M54" s="381" t="n"/>
      <c r="N54" s="381" t="n"/>
    </row>
    <row r="55" ht="18" customHeight="1">
      <c r="A55" s="286" t="n"/>
      <c r="B55" s="381" t="n"/>
      <c r="C55" s="381" t="n"/>
      <c r="D55" s="381" t="n"/>
      <c r="E55" s="381" t="n"/>
      <c r="F55" s="381" t="n"/>
      <c r="G55" s="381" t="n"/>
      <c r="H55" s="381" t="n"/>
      <c r="I55" s="381" t="n"/>
      <c r="J55" s="381" t="n"/>
      <c r="K55" s="381" t="n"/>
      <c r="L55" s="381" t="n"/>
      <c r="M55" s="381" t="n"/>
      <c r="N55" s="381" t="n"/>
    </row>
    <row r="56" ht="18" customHeight="1">
      <c r="A56" s="286" t="n"/>
      <c r="B56" s="381" t="n"/>
      <c r="C56" s="381" t="n"/>
      <c r="D56" s="381" t="n"/>
      <c r="E56" s="381" t="n"/>
      <c r="F56" s="381" t="n"/>
      <c r="G56" s="381" t="n"/>
      <c r="H56" s="381" t="n"/>
      <c r="I56" s="381" t="n"/>
      <c r="J56" s="381" t="n"/>
      <c r="K56" s="381" t="n"/>
      <c r="L56" s="381" t="n"/>
      <c r="M56" s="381" t="n"/>
      <c r="N56" s="381" t="n"/>
    </row>
    <row r="57" ht="30" customFormat="1" customHeight="1" s="61">
      <c r="A57" s="287" t="inlineStr">
        <is>
          <t>4.4  ¿Existen cadenas productivas organizadas o asociaciones de productores en la zona?</t>
        </is>
      </c>
      <c r="B57" s="381" t="n"/>
      <c r="C57" s="381" t="n"/>
      <c r="D57" s="381" t="n"/>
      <c r="E57" s="381" t="n"/>
      <c r="F57" s="381" t="n"/>
      <c r="G57" s="381" t="n"/>
      <c r="H57" s="381" t="n"/>
      <c r="I57" s="381" t="n"/>
      <c r="J57" s="381" t="n"/>
      <c r="K57" s="381" t="n"/>
      <c r="L57" s="381" t="n"/>
      <c r="M57" s="381" t="n"/>
      <c r="N57" s="381" t="n"/>
    </row>
    <row r="58" ht="18" customHeight="1">
      <c r="A58" s="286" t="n"/>
      <c r="B58" s="381" t="n"/>
      <c r="C58" s="381" t="n"/>
      <c r="D58" s="381" t="n"/>
      <c r="E58" s="381" t="n"/>
      <c r="F58" s="381" t="n"/>
      <c r="G58" s="381" t="n"/>
      <c r="H58" s="381" t="n"/>
      <c r="I58" s="381" t="n"/>
      <c r="J58" s="381" t="n"/>
      <c r="K58" s="381" t="n"/>
      <c r="L58" s="381" t="n"/>
      <c r="M58" s="381" t="n"/>
      <c r="N58" s="381" t="n"/>
    </row>
    <row r="59" ht="18" customHeight="1">
      <c r="A59" s="286" t="n"/>
      <c r="B59" s="381" t="n"/>
      <c r="C59" s="381" t="n"/>
      <c r="D59" s="381" t="n"/>
      <c r="E59" s="381" t="n"/>
      <c r="F59" s="381" t="n"/>
      <c r="G59" s="381" t="n"/>
      <c r="H59" s="381" t="n"/>
      <c r="I59" s="381" t="n"/>
      <c r="J59" s="381" t="n"/>
      <c r="K59" s="381" t="n"/>
      <c r="L59" s="381" t="n"/>
      <c r="M59" s="381" t="n"/>
      <c r="N59" s="381" t="n"/>
    </row>
    <row r="60" ht="18" customHeight="1">
      <c r="A60" s="286" t="n"/>
      <c r="B60" s="381" t="n"/>
      <c r="C60" s="381" t="n"/>
      <c r="D60" s="381" t="n"/>
      <c r="E60" s="381" t="n"/>
      <c r="F60" s="381" t="n"/>
      <c r="G60" s="381" t="n"/>
      <c r="H60" s="381" t="n"/>
      <c r="I60" s="381" t="n"/>
      <c r="J60" s="381" t="n"/>
      <c r="K60" s="381" t="n"/>
      <c r="L60" s="381" t="n"/>
      <c r="M60" s="381" t="n"/>
      <c r="N60" s="381" t="n"/>
      <c r="O60" s="390" t="inlineStr">
        <is>
          <t>RESP. ▼</t>
        </is>
      </c>
    </row>
    <row r="61" ht="19.5" customFormat="1" customHeight="1" s="6">
      <c r="A61" s="134" t="inlineStr">
        <is>
          <t>5. ORGANIZACIÓN, GOBERNANZA Y RELACIÓN CON EL ESTADO</t>
        </is>
      </c>
    </row>
    <row r="62" ht="30" customFormat="1" customHeight="1" s="61">
      <c r="A62" s="287" t="inlineStr">
        <is>
          <t>5.1  ¿Qué organizaciones existen en la comunidad y cuál es su rol en la toma de decisiones sobre el territorio?</t>
        </is>
      </c>
      <c r="B62" s="381" t="n"/>
      <c r="C62" s="381" t="n"/>
      <c r="D62" s="381" t="n"/>
      <c r="E62" s="381" t="n"/>
      <c r="F62" s="381" t="n"/>
      <c r="G62" s="381" t="n"/>
      <c r="H62" s="381" t="n"/>
      <c r="I62" s="381" t="n"/>
      <c r="J62" s="381" t="n"/>
      <c r="K62" s="381" t="n"/>
      <c r="L62" s="381" t="n"/>
      <c r="M62" s="381" t="n"/>
      <c r="N62" s="381" t="n"/>
    </row>
    <row r="63" ht="18" customHeight="1">
      <c r="A63" s="286" t="n"/>
      <c r="B63" s="381" t="n"/>
      <c r="C63" s="381" t="n"/>
      <c r="D63" s="381" t="n"/>
      <c r="E63" s="381" t="n"/>
      <c r="F63" s="381" t="n"/>
      <c r="G63" s="381" t="n"/>
      <c r="H63" s="381" t="n"/>
      <c r="I63" s="381" t="n"/>
      <c r="J63" s="381" t="n"/>
      <c r="K63" s="381" t="n"/>
      <c r="L63" s="381" t="n"/>
      <c r="M63" s="381" t="n"/>
      <c r="N63" s="381" t="n"/>
    </row>
    <row r="64" ht="18" customHeight="1">
      <c r="A64" s="286" t="n"/>
      <c r="B64" s="381" t="n"/>
      <c r="C64" s="381" t="n"/>
      <c r="D64" s="381" t="n"/>
      <c r="E64" s="381" t="n"/>
      <c r="F64" s="381" t="n"/>
      <c r="G64" s="381" t="n"/>
      <c r="H64" s="381" t="n"/>
      <c r="I64" s="381" t="n"/>
      <c r="J64" s="381" t="n"/>
      <c r="K64" s="381" t="n"/>
      <c r="L64" s="381" t="n"/>
      <c r="M64" s="381" t="n"/>
      <c r="N64" s="381" t="n"/>
    </row>
    <row r="65" ht="18" customHeight="1">
      <c r="A65" s="286" t="n"/>
      <c r="B65" s="381" t="n"/>
      <c r="C65" s="381" t="n"/>
      <c r="D65" s="381" t="n"/>
      <c r="E65" s="381" t="n"/>
      <c r="F65" s="381" t="n"/>
      <c r="G65" s="381" t="n"/>
      <c r="H65" s="381" t="n"/>
      <c r="I65" s="381" t="n"/>
      <c r="J65" s="381" t="n"/>
      <c r="K65" s="381" t="n"/>
      <c r="L65" s="381" t="n"/>
      <c r="M65" s="381" t="n"/>
      <c r="N65" s="381" t="n"/>
    </row>
    <row r="66" ht="18" customHeight="1">
      <c r="A66" s="286" t="n"/>
      <c r="B66" s="381" t="n"/>
      <c r="C66" s="381" t="n"/>
      <c r="D66" s="381" t="n"/>
      <c r="E66" s="381" t="n"/>
      <c r="F66" s="381" t="n"/>
      <c r="G66" s="381" t="n"/>
      <c r="H66" s="381" t="n"/>
      <c r="I66" s="381" t="n"/>
      <c r="J66" s="381" t="n"/>
      <c r="K66" s="381" t="n"/>
      <c r="L66" s="381" t="n"/>
      <c r="M66" s="381" t="n"/>
      <c r="N66" s="381" t="n"/>
    </row>
    <row r="67" ht="30" customFormat="1" customHeight="1" s="61">
      <c r="A67" s="287" t="inlineStr">
        <is>
          <t>5.2  ¿Cómo se toman las decisiones sobre el uso de recursos comunales (agua, bosque, pastos)?</t>
        </is>
      </c>
      <c r="B67" s="381" t="n"/>
      <c r="C67" s="381" t="n"/>
      <c r="D67" s="381" t="n"/>
      <c r="E67" s="381" t="n"/>
      <c r="F67" s="381" t="n"/>
      <c r="G67" s="381" t="n"/>
      <c r="H67" s="381" t="n"/>
      <c r="I67" s="381" t="n"/>
      <c r="J67" s="381" t="n"/>
      <c r="K67" s="381" t="n"/>
      <c r="L67" s="381" t="n"/>
      <c r="M67" s="381" t="n"/>
      <c r="N67" s="381" t="n"/>
    </row>
    <row r="68" ht="18" customHeight="1">
      <c r="A68" s="286" t="n"/>
      <c r="B68" s="381" t="n"/>
      <c r="C68" s="381" t="n"/>
      <c r="D68" s="381" t="n"/>
      <c r="E68" s="381" t="n"/>
      <c r="F68" s="381" t="n"/>
      <c r="G68" s="381" t="n"/>
      <c r="H68" s="381" t="n"/>
      <c r="I68" s="381" t="n"/>
      <c r="J68" s="381" t="n"/>
      <c r="K68" s="381" t="n"/>
      <c r="L68" s="381" t="n"/>
      <c r="M68" s="381" t="n"/>
      <c r="N68" s="381" t="n"/>
    </row>
    <row r="69" ht="18" customHeight="1">
      <c r="A69" s="286" t="n"/>
      <c r="B69" s="381" t="n"/>
      <c r="C69" s="381" t="n"/>
      <c r="D69" s="381" t="n"/>
      <c r="E69" s="381" t="n"/>
      <c r="F69" s="381" t="n"/>
      <c r="G69" s="381" t="n"/>
      <c r="H69" s="381" t="n"/>
      <c r="I69" s="381" t="n"/>
      <c r="J69" s="381" t="n"/>
      <c r="K69" s="381" t="n"/>
      <c r="L69" s="381" t="n"/>
      <c r="M69" s="381" t="n"/>
      <c r="N69" s="381" t="n"/>
    </row>
    <row r="70" ht="18" customHeight="1">
      <c r="A70" s="286" t="n"/>
      <c r="B70" s="381" t="n"/>
      <c r="C70" s="381" t="n"/>
      <c r="D70" s="381" t="n"/>
      <c r="E70" s="381" t="n"/>
      <c r="F70" s="381" t="n"/>
      <c r="G70" s="381" t="n"/>
      <c r="H70" s="381" t="n"/>
      <c r="I70" s="381" t="n"/>
      <c r="J70" s="381" t="n"/>
      <c r="K70" s="381" t="n"/>
      <c r="L70" s="381" t="n"/>
      <c r="M70" s="381" t="n"/>
      <c r="N70" s="381" t="n"/>
    </row>
    <row r="71" ht="18" customHeight="1">
      <c r="A71" s="286" t="n"/>
      <c r="B71" s="381" t="n"/>
      <c r="C71" s="381" t="n"/>
      <c r="D71" s="381" t="n"/>
      <c r="E71" s="381" t="n"/>
      <c r="F71" s="381" t="n"/>
      <c r="G71" s="381" t="n"/>
      <c r="H71" s="381" t="n"/>
      <c r="I71" s="381" t="n"/>
      <c r="J71" s="381" t="n"/>
      <c r="K71" s="381" t="n"/>
      <c r="L71" s="381" t="n"/>
      <c r="M71" s="381" t="n"/>
      <c r="N71" s="381" t="n"/>
    </row>
    <row r="72" ht="30" customFormat="1" customHeight="1" s="61">
      <c r="A72" s="287" t="inlineStr">
        <is>
          <t>5.3  ¿Cómo ha sido la relación histórica con el Estado y con proyectos de inversión externos (incluidos los mineros)?</t>
        </is>
      </c>
      <c r="B72" s="381" t="n"/>
      <c r="C72" s="381" t="n"/>
      <c r="D72" s="381" t="n"/>
      <c r="E72" s="381" t="n"/>
      <c r="F72" s="381" t="n"/>
      <c r="G72" s="381" t="n"/>
      <c r="H72" s="381" t="n"/>
      <c r="I72" s="381" t="n"/>
      <c r="J72" s="381" t="n"/>
      <c r="K72" s="381" t="n"/>
      <c r="L72" s="381" t="n"/>
      <c r="M72" s="381" t="n"/>
      <c r="N72" s="381" t="n"/>
    </row>
    <row r="73" ht="18" customHeight="1">
      <c r="A73" s="286" t="n"/>
      <c r="B73" s="381" t="n"/>
      <c r="C73" s="381" t="n"/>
      <c r="D73" s="381" t="n"/>
      <c r="E73" s="381" t="n"/>
      <c r="F73" s="381" t="n"/>
      <c r="G73" s="381" t="n"/>
      <c r="H73" s="381" t="n"/>
      <c r="I73" s="381" t="n"/>
      <c r="J73" s="381" t="n"/>
      <c r="K73" s="381" t="n"/>
      <c r="L73" s="381" t="n"/>
      <c r="M73" s="381" t="n"/>
      <c r="N73" s="381" t="n"/>
    </row>
    <row r="74" ht="18" customHeight="1">
      <c r="A74" s="286" t="n"/>
      <c r="B74" s="381" t="n"/>
      <c r="C74" s="381" t="n"/>
      <c r="D74" s="381" t="n"/>
      <c r="E74" s="381" t="n"/>
      <c r="F74" s="381" t="n"/>
      <c r="G74" s="381" t="n"/>
      <c r="H74" s="381" t="n"/>
      <c r="I74" s="381" t="n"/>
      <c r="J74" s="381" t="n"/>
      <c r="K74" s="381" t="n"/>
      <c r="L74" s="381" t="n"/>
      <c r="M74" s="381" t="n"/>
      <c r="N74" s="381" t="n"/>
    </row>
    <row r="75" ht="18" customHeight="1">
      <c r="A75" s="286" t="n"/>
      <c r="B75" s="381" t="n"/>
      <c r="C75" s="381" t="n"/>
      <c r="D75" s="381" t="n"/>
      <c r="E75" s="381" t="n"/>
      <c r="F75" s="381" t="n"/>
      <c r="G75" s="381" t="n"/>
      <c r="H75" s="381" t="n"/>
      <c r="I75" s="381" t="n"/>
      <c r="J75" s="381" t="n"/>
      <c r="K75" s="381" t="n"/>
      <c r="L75" s="381" t="n"/>
      <c r="M75" s="381" t="n"/>
      <c r="N75" s="381" t="n"/>
    </row>
    <row r="76" ht="18" customHeight="1">
      <c r="A76" s="286" t="n"/>
      <c r="B76" s="381" t="n"/>
      <c r="C76" s="381" t="n"/>
      <c r="D76" s="381" t="n"/>
      <c r="E76" s="381" t="n"/>
      <c r="F76" s="381" t="n"/>
      <c r="G76" s="381" t="n"/>
      <c r="H76" s="381" t="n"/>
      <c r="I76" s="381" t="n"/>
      <c r="J76" s="381" t="n"/>
      <c r="K76" s="381" t="n"/>
      <c r="L76" s="381" t="n"/>
      <c r="M76" s="381" t="n"/>
      <c r="N76" s="381" t="n"/>
    </row>
    <row r="77" ht="19.5" customFormat="1" customHeight="1" s="6">
      <c r="A77" s="134" t="inlineStr">
        <is>
          <t>6. EXPECTATIVAS FRENTE AL PROYECTO IN PIURA</t>
        </is>
      </c>
    </row>
    <row r="78" ht="30" customFormat="1" customHeight="1" s="61">
      <c r="A78" s="287" t="inlineStr">
        <is>
          <t>6.1  ¿Ha oído hablar del proyecto IN Piura antes de esta entrevista? (marcar)</t>
        </is>
      </c>
      <c r="B78" s="381" t="n"/>
      <c r="C78" s="381" t="n"/>
      <c r="D78" s="381" t="n"/>
      <c r="E78" s="381" t="n"/>
      <c r="F78" s="381" t="n"/>
      <c r="G78" s="381" t="n"/>
      <c r="H78" s="381" t="n"/>
      <c r="I78" s="381" t="n"/>
      <c r="J78" s="381" t="n"/>
      <c r="K78" s="381" t="n"/>
      <c r="L78" s="381" t="n"/>
      <c r="M78" s="381" t="n"/>
      <c r="N78" s="381" t="n"/>
    </row>
    <row r="79" ht="18" customHeight="1">
      <c r="A79" s="62" t="n"/>
      <c r="B79" s="288" t="inlineStr">
        <is>
          <t>Sí, conozco bien el proyecto</t>
        </is>
      </c>
      <c r="C79" s="381" t="n"/>
      <c r="D79" s="381" t="n"/>
      <c r="E79" s="381" t="n"/>
      <c r="F79" s="381" t="n"/>
      <c r="G79" s="381" t="n"/>
      <c r="H79" s="62" t="n"/>
      <c r="I79" s="288" t="inlineStr">
        <is>
          <t>Sí, he oído algo general</t>
        </is>
      </c>
      <c r="J79" s="381" t="n"/>
      <c r="K79" s="381" t="n"/>
      <c r="L79" s="381" t="n"/>
      <c r="M79" s="381" t="n"/>
      <c r="N79" s="381" t="n"/>
      <c r="O79" s="393" t="inlineStr">
        <is>
          <t>▼</t>
        </is>
      </c>
    </row>
    <row r="80" ht="18" customHeight="1">
      <c r="A80" s="62" t="n"/>
      <c r="B80" s="288" t="inlineStr">
        <is>
          <t>No he oído nada</t>
        </is>
      </c>
      <c r="C80" s="381" t="n"/>
      <c r="D80" s="381" t="n"/>
      <c r="E80" s="381" t="n"/>
      <c r="F80" s="381" t="n"/>
      <c r="G80" s="381" t="n"/>
      <c r="H80" s="62" t="n"/>
      <c r="I80" s="288" t="inlineStr">
        <is>
          <t>Lo confundo con otros proyectos</t>
        </is>
      </c>
      <c r="J80" s="381" t="n"/>
      <c r="K80" s="381" t="n"/>
      <c r="L80" s="381" t="n"/>
      <c r="M80" s="381" t="n"/>
      <c r="N80" s="381" t="n"/>
    </row>
    <row r="81" ht="30" customFormat="1" customHeight="1" s="61">
      <c r="A81" s="287" t="inlineStr">
        <is>
          <t xml:space="preserve">→  Describa qué sabe:  </t>
        </is>
      </c>
      <c r="B81" s="381" t="n"/>
      <c r="C81" s="381" t="n"/>
      <c r="D81" s="381" t="n"/>
      <c r="E81" s="381" t="n"/>
      <c r="F81" s="381" t="n"/>
      <c r="G81" s="381" t="n"/>
      <c r="H81" s="381" t="n"/>
      <c r="I81" s="381" t="n"/>
      <c r="J81" s="381" t="n"/>
      <c r="K81" s="381" t="n"/>
      <c r="L81" s="381" t="n"/>
      <c r="M81" s="381" t="n"/>
      <c r="N81" s="381" t="n"/>
    </row>
    <row r="82" ht="18" customHeight="1">
      <c r="A82" s="286" t="n"/>
      <c r="B82" s="381" t="n"/>
      <c r="C82" s="381" t="n"/>
      <c r="D82" s="381" t="n"/>
      <c r="E82" s="381" t="n"/>
      <c r="F82" s="381" t="n"/>
      <c r="G82" s="381" t="n"/>
      <c r="H82" s="381" t="n"/>
      <c r="I82" s="381" t="n"/>
      <c r="J82" s="381" t="n"/>
      <c r="K82" s="381" t="n"/>
      <c r="L82" s="381" t="n"/>
      <c r="M82" s="381" t="n"/>
      <c r="N82" s="381" t="n"/>
    </row>
    <row r="83" ht="18" customHeight="1">
      <c r="A83" s="286" t="n"/>
      <c r="B83" s="381" t="n"/>
      <c r="C83" s="381" t="n"/>
      <c r="D83" s="381" t="n"/>
      <c r="E83" s="381" t="n"/>
      <c r="F83" s="381" t="n"/>
      <c r="G83" s="381" t="n"/>
      <c r="H83" s="381" t="n"/>
      <c r="I83" s="381" t="n"/>
      <c r="J83" s="381" t="n"/>
      <c r="K83" s="381" t="n"/>
      <c r="L83" s="381" t="n"/>
      <c r="M83" s="381" t="n"/>
      <c r="N83" s="381" t="n"/>
    </row>
    <row r="84" ht="18" customHeight="1">
      <c r="A84" s="286" t="n"/>
      <c r="B84" s="381" t="n"/>
      <c r="C84" s="381" t="n"/>
      <c r="D84" s="381" t="n"/>
      <c r="E84" s="381" t="n"/>
      <c r="F84" s="381" t="n"/>
      <c r="G84" s="381" t="n"/>
      <c r="H84" s="381" t="n"/>
      <c r="I84" s="381" t="n"/>
      <c r="J84" s="381" t="n"/>
      <c r="K84" s="381" t="n"/>
      <c r="L84" s="381" t="n"/>
      <c r="M84" s="381" t="n"/>
      <c r="N84" s="381" t="n"/>
    </row>
    <row r="85" ht="30" customFormat="1" customHeight="1" s="61">
      <c r="A85" s="287" t="inlineStr">
        <is>
          <t>6.2  ¿Qué beneficios percibe si el proyecto se ejecuta en la zona?</t>
        </is>
      </c>
      <c r="B85" s="381" t="n"/>
      <c r="C85" s="381" t="n"/>
      <c r="D85" s="381" t="n"/>
      <c r="E85" s="381" t="n"/>
      <c r="F85" s="381" t="n"/>
      <c r="G85" s="381" t="n"/>
      <c r="H85" s="381" t="n"/>
      <c r="I85" s="381" t="n"/>
      <c r="J85" s="381" t="n"/>
      <c r="K85" s="381" t="n"/>
      <c r="L85" s="381" t="n"/>
      <c r="M85" s="381" t="n"/>
      <c r="N85" s="381" t="n"/>
    </row>
    <row r="86" ht="18" customHeight="1">
      <c r="A86" s="286" t="n"/>
      <c r="B86" s="381" t="n"/>
      <c r="C86" s="381" t="n"/>
      <c r="D86" s="381" t="n"/>
      <c r="E86" s="381" t="n"/>
      <c r="F86" s="381" t="n"/>
      <c r="G86" s="381" t="n"/>
      <c r="H86" s="381" t="n"/>
      <c r="I86" s="381" t="n"/>
      <c r="J86" s="381" t="n"/>
      <c r="K86" s="381" t="n"/>
      <c r="L86" s="381" t="n"/>
      <c r="M86" s="381" t="n"/>
      <c r="N86" s="381" t="n"/>
    </row>
    <row r="87" ht="18" customHeight="1">
      <c r="A87" s="286" t="n"/>
      <c r="B87" s="381" t="n"/>
      <c r="C87" s="381" t="n"/>
      <c r="D87" s="381" t="n"/>
      <c r="E87" s="381" t="n"/>
      <c r="F87" s="381" t="n"/>
      <c r="G87" s="381" t="n"/>
      <c r="H87" s="381" t="n"/>
      <c r="I87" s="381" t="n"/>
      <c r="J87" s="381" t="n"/>
      <c r="K87" s="381" t="n"/>
      <c r="L87" s="381" t="n"/>
      <c r="M87" s="381" t="n"/>
      <c r="N87" s="381" t="n"/>
    </row>
    <row r="88" ht="18" customHeight="1">
      <c r="A88" s="286" t="n"/>
      <c r="B88" s="381" t="n"/>
      <c r="C88" s="381" t="n"/>
      <c r="D88" s="381" t="n"/>
      <c r="E88" s="381" t="n"/>
      <c r="F88" s="381" t="n"/>
      <c r="G88" s="381" t="n"/>
      <c r="H88" s="381" t="n"/>
      <c r="I88" s="381" t="n"/>
      <c r="J88" s="381" t="n"/>
      <c r="K88" s="381" t="n"/>
      <c r="L88" s="381" t="n"/>
      <c r="M88" s="381" t="n"/>
      <c r="N88" s="381" t="n"/>
    </row>
    <row r="89" ht="18" customHeight="1">
      <c r="A89" s="286" t="n"/>
      <c r="B89" s="381" t="n"/>
      <c r="C89" s="381" t="n"/>
      <c r="D89" s="381" t="n"/>
      <c r="E89" s="381" t="n"/>
      <c r="F89" s="381" t="n"/>
      <c r="G89" s="381" t="n"/>
      <c r="H89" s="381" t="n"/>
      <c r="I89" s="381" t="n"/>
      <c r="J89" s="381" t="n"/>
      <c r="K89" s="381" t="n"/>
      <c r="L89" s="381" t="n"/>
      <c r="M89" s="381" t="n"/>
      <c r="N89" s="381" t="n"/>
    </row>
    <row r="90" ht="30" customFormat="1" customHeight="1" s="61">
      <c r="A90" s="287" t="inlineStr">
        <is>
          <t>6.3  ¿Qué preocupaciones o temores tiene frente al proyecto?</t>
        </is>
      </c>
      <c r="B90" s="381" t="n"/>
      <c r="C90" s="381" t="n"/>
      <c r="D90" s="381" t="n"/>
      <c r="E90" s="381" t="n"/>
      <c r="F90" s="381" t="n"/>
      <c r="G90" s="381" t="n"/>
      <c r="H90" s="381" t="n"/>
      <c r="I90" s="381" t="n"/>
      <c r="J90" s="381" t="n"/>
      <c r="K90" s="381" t="n"/>
      <c r="L90" s="381" t="n"/>
      <c r="M90" s="381" t="n"/>
      <c r="N90" s="381" t="n"/>
    </row>
    <row r="91" ht="18" customHeight="1">
      <c r="A91" s="286" t="n"/>
      <c r="B91" s="381" t="n"/>
      <c r="C91" s="381" t="n"/>
      <c r="D91" s="381" t="n"/>
      <c r="E91" s="381" t="n"/>
      <c r="F91" s="381" t="n"/>
      <c r="G91" s="381" t="n"/>
      <c r="H91" s="381" t="n"/>
      <c r="I91" s="381" t="n"/>
      <c r="J91" s="381" t="n"/>
      <c r="K91" s="381" t="n"/>
      <c r="L91" s="381" t="n"/>
      <c r="M91" s="381" t="n"/>
      <c r="N91" s="381" t="n"/>
    </row>
    <row r="92" ht="18" customHeight="1">
      <c r="A92" s="286" t="n"/>
      <c r="B92" s="381" t="n"/>
      <c r="C92" s="381" t="n"/>
      <c r="D92" s="381" t="n"/>
      <c r="E92" s="381" t="n"/>
      <c r="F92" s="381" t="n"/>
      <c r="G92" s="381" t="n"/>
      <c r="H92" s="381" t="n"/>
      <c r="I92" s="381" t="n"/>
      <c r="J92" s="381" t="n"/>
      <c r="K92" s="381" t="n"/>
      <c r="L92" s="381" t="n"/>
      <c r="M92" s="381" t="n"/>
      <c r="N92" s="381" t="n"/>
    </row>
    <row r="93" ht="18" customHeight="1">
      <c r="A93" s="286" t="n"/>
      <c r="B93" s="381" t="n"/>
      <c r="C93" s="381" t="n"/>
      <c r="D93" s="381" t="n"/>
      <c r="E93" s="381" t="n"/>
      <c r="F93" s="381" t="n"/>
      <c r="G93" s="381" t="n"/>
      <c r="H93" s="381" t="n"/>
      <c r="I93" s="381" t="n"/>
      <c r="J93" s="381" t="n"/>
      <c r="K93" s="381" t="n"/>
      <c r="L93" s="381" t="n"/>
      <c r="M93" s="381" t="n"/>
      <c r="N93" s="381" t="n"/>
    </row>
    <row r="94" ht="18" customHeight="1">
      <c r="A94" s="286" t="n"/>
      <c r="B94" s="381" t="n"/>
      <c r="C94" s="381" t="n"/>
      <c r="D94" s="381" t="n"/>
      <c r="E94" s="381" t="n"/>
      <c r="F94" s="381" t="n"/>
      <c r="G94" s="381" t="n"/>
      <c r="H94" s="381" t="n"/>
      <c r="I94" s="381" t="n"/>
      <c r="J94" s="381" t="n"/>
      <c r="K94" s="381" t="n"/>
      <c r="L94" s="381" t="n"/>
      <c r="M94" s="381" t="n"/>
      <c r="N94" s="381" t="n"/>
    </row>
    <row r="95" ht="30" customFormat="1" customHeight="1" s="61">
      <c r="A95" s="287" t="inlineStr">
        <is>
          <t>6.4  ¿Qué condiciones considera indispensables para que la comunidad acepte participar activamente?</t>
        </is>
      </c>
      <c r="B95" s="381" t="n"/>
      <c r="C95" s="381" t="n"/>
      <c r="D95" s="381" t="n"/>
      <c r="E95" s="381" t="n"/>
      <c r="F95" s="381" t="n"/>
      <c r="G95" s="381" t="n"/>
      <c r="H95" s="381" t="n"/>
      <c r="I95" s="381" t="n"/>
      <c r="J95" s="381" t="n"/>
      <c r="K95" s="381" t="n"/>
      <c r="L95" s="381" t="n"/>
      <c r="M95" s="381" t="n"/>
      <c r="N95" s="381" t="n"/>
    </row>
    <row r="96" ht="18" customHeight="1">
      <c r="A96" s="286" t="n"/>
      <c r="B96" s="381" t="n"/>
      <c r="C96" s="381" t="n"/>
      <c r="D96" s="381" t="n"/>
      <c r="E96" s="381" t="n"/>
      <c r="F96" s="381" t="n"/>
      <c r="G96" s="381" t="n"/>
      <c r="H96" s="381" t="n"/>
      <c r="I96" s="381" t="n"/>
      <c r="J96" s="381" t="n"/>
      <c r="K96" s="381" t="n"/>
      <c r="L96" s="381" t="n"/>
      <c r="M96" s="381" t="n"/>
      <c r="N96" s="381" t="n"/>
    </row>
    <row r="97" ht="18" customHeight="1">
      <c r="A97" s="286" t="n"/>
      <c r="B97" s="381" t="n"/>
      <c r="C97" s="381" t="n"/>
      <c r="D97" s="381" t="n"/>
      <c r="E97" s="381" t="n"/>
      <c r="F97" s="381" t="n"/>
      <c r="G97" s="381" t="n"/>
      <c r="H97" s="381" t="n"/>
      <c r="I97" s="381" t="n"/>
      <c r="J97" s="381" t="n"/>
      <c r="K97" s="381" t="n"/>
      <c r="L97" s="381" t="n"/>
      <c r="M97" s="381" t="n"/>
      <c r="N97" s="381" t="n"/>
    </row>
    <row r="98" ht="18" customHeight="1">
      <c r="A98" s="286" t="n"/>
      <c r="B98" s="381" t="n"/>
      <c r="C98" s="381" t="n"/>
      <c r="D98" s="381" t="n"/>
      <c r="E98" s="381" t="n"/>
      <c r="F98" s="381" t="n"/>
      <c r="G98" s="381" t="n"/>
      <c r="H98" s="381" t="n"/>
      <c r="I98" s="381" t="n"/>
      <c r="J98" s="381" t="n"/>
      <c r="K98" s="381" t="n"/>
      <c r="L98" s="381" t="n"/>
      <c r="M98" s="381" t="n"/>
      <c r="N98" s="381" t="n"/>
    </row>
    <row r="99" ht="18" customHeight="1">
      <c r="A99" s="286" t="n"/>
      <c r="B99" s="381" t="n"/>
      <c r="C99" s="381" t="n"/>
      <c r="D99" s="381" t="n"/>
      <c r="E99" s="381" t="n"/>
      <c r="F99" s="381" t="n"/>
      <c r="G99" s="381" t="n"/>
      <c r="H99" s="381" t="n"/>
      <c r="I99" s="381" t="n"/>
      <c r="J99" s="381" t="n"/>
      <c r="K99" s="381" t="n"/>
      <c r="L99" s="381" t="n"/>
      <c r="M99" s="381" t="n"/>
      <c r="N99" s="381" t="n"/>
    </row>
    <row r="100" ht="30" customFormat="1" customHeight="1" s="61">
      <c r="A100" s="287" t="inlineStr">
        <is>
          <t>6.5  ¿Cómo debería ANIN relacionarse con las rondas y las autoridades comunales durante todo el proyecto?</t>
        </is>
      </c>
      <c r="B100" s="381" t="n"/>
      <c r="C100" s="381" t="n"/>
      <c r="D100" s="381" t="n"/>
      <c r="E100" s="381" t="n"/>
      <c r="F100" s="381" t="n"/>
      <c r="G100" s="381" t="n"/>
      <c r="H100" s="381" t="n"/>
      <c r="I100" s="381" t="n"/>
      <c r="J100" s="381" t="n"/>
      <c r="K100" s="381" t="n"/>
      <c r="L100" s="381" t="n"/>
      <c r="M100" s="381" t="n"/>
      <c r="N100" s="381" t="n"/>
    </row>
    <row r="101" ht="18" customHeight="1">
      <c r="A101" s="286" t="n"/>
      <c r="B101" s="381" t="n"/>
      <c r="C101" s="381" t="n"/>
      <c r="D101" s="381" t="n"/>
      <c r="E101" s="381" t="n"/>
      <c r="F101" s="381" t="n"/>
      <c r="G101" s="381" t="n"/>
      <c r="H101" s="381" t="n"/>
      <c r="I101" s="381" t="n"/>
      <c r="J101" s="381" t="n"/>
      <c r="K101" s="381" t="n"/>
      <c r="L101" s="381" t="n"/>
      <c r="M101" s="381" t="n"/>
      <c r="N101" s="381" t="n"/>
    </row>
    <row r="102" ht="18" customHeight="1">
      <c r="A102" s="286" t="n"/>
      <c r="B102" s="381" t="n"/>
      <c r="C102" s="381" t="n"/>
      <c r="D102" s="381" t="n"/>
      <c r="E102" s="381" t="n"/>
      <c r="F102" s="381" t="n"/>
      <c r="G102" s="381" t="n"/>
      <c r="H102" s="381" t="n"/>
      <c r="I102" s="381" t="n"/>
      <c r="J102" s="381" t="n"/>
      <c r="K102" s="381" t="n"/>
      <c r="L102" s="381" t="n"/>
      <c r="M102" s="381" t="n"/>
      <c r="N102" s="381" t="n"/>
    </row>
    <row r="103" ht="18" customHeight="1">
      <c r="A103" s="286" t="n"/>
      <c r="B103" s="381" t="n"/>
      <c r="C103" s="381" t="n"/>
      <c r="D103" s="381" t="n"/>
      <c r="E103" s="381" t="n"/>
      <c r="F103" s="381" t="n"/>
      <c r="G103" s="381" t="n"/>
      <c r="H103" s="381" t="n"/>
      <c r="I103" s="381" t="n"/>
      <c r="J103" s="381" t="n"/>
      <c r="K103" s="381" t="n"/>
      <c r="L103" s="381" t="n"/>
      <c r="M103" s="381" t="n"/>
      <c r="N103" s="381" t="n"/>
    </row>
    <row r="104" ht="18" customHeight="1">
      <c r="A104" s="286" t="n"/>
      <c r="B104" s="381" t="n"/>
      <c r="C104" s="381" t="n"/>
      <c r="D104" s="381" t="n"/>
      <c r="E104" s="381" t="n"/>
      <c r="F104" s="381" t="n"/>
      <c r="G104" s="381" t="n"/>
      <c r="H104" s="381" t="n"/>
      <c r="I104" s="381" t="n"/>
      <c r="J104" s="381" t="n"/>
      <c r="K104" s="381" t="n"/>
      <c r="L104" s="381" t="n"/>
      <c r="M104" s="381" t="n"/>
      <c r="N104" s="381" t="n"/>
    </row>
    <row r="105" ht="30" customFormat="1" customHeight="1" s="61">
      <c r="A105" s="287" t="inlineStr">
        <is>
          <t>6.6  ¿Hay antecedentes de conflictos por proyectos externos (mineros, hidrocarburos, infraestructura) que ANIN deba tener en cuenta?</t>
        </is>
      </c>
      <c r="B105" s="381" t="n"/>
      <c r="C105" s="381" t="n"/>
      <c r="D105" s="381" t="n"/>
      <c r="E105" s="381" t="n"/>
      <c r="F105" s="381" t="n"/>
      <c r="G105" s="381" t="n"/>
      <c r="H105" s="381" t="n"/>
      <c r="I105" s="381" t="n"/>
      <c r="J105" s="381" t="n"/>
      <c r="K105" s="381" t="n"/>
      <c r="L105" s="381" t="n"/>
      <c r="M105" s="381" t="n"/>
      <c r="N105" s="381" t="n"/>
    </row>
    <row r="106" ht="18" customHeight="1">
      <c r="A106" s="286" t="n"/>
      <c r="B106" s="381" t="n"/>
      <c r="C106" s="381" t="n"/>
      <c r="D106" s="381" t="n"/>
      <c r="E106" s="381" t="n"/>
      <c r="F106" s="381" t="n"/>
      <c r="G106" s="381" t="n"/>
      <c r="H106" s="381" t="n"/>
      <c r="I106" s="381" t="n"/>
      <c r="J106" s="381" t="n"/>
      <c r="K106" s="381" t="n"/>
      <c r="L106" s="381" t="n"/>
      <c r="M106" s="381" t="n"/>
      <c r="N106" s="381" t="n"/>
    </row>
    <row r="107" ht="18" customHeight="1">
      <c r="A107" s="286" t="n"/>
      <c r="B107" s="381" t="n"/>
      <c r="C107" s="381" t="n"/>
      <c r="D107" s="381" t="n"/>
      <c r="E107" s="381" t="n"/>
      <c r="F107" s="381" t="n"/>
      <c r="G107" s="381" t="n"/>
      <c r="H107" s="381" t="n"/>
      <c r="I107" s="381" t="n"/>
      <c r="J107" s="381" t="n"/>
      <c r="K107" s="381" t="n"/>
      <c r="L107" s="381" t="n"/>
      <c r="M107" s="381" t="n"/>
      <c r="N107" s="381" t="n"/>
    </row>
    <row r="108" ht="18" customHeight="1">
      <c r="A108" s="286" t="n"/>
      <c r="B108" s="381" t="n"/>
      <c r="C108" s="381" t="n"/>
      <c r="D108" s="381" t="n"/>
      <c r="E108" s="381" t="n"/>
      <c r="F108" s="381" t="n"/>
      <c r="G108" s="381" t="n"/>
      <c r="H108" s="381" t="n"/>
      <c r="I108" s="381" t="n"/>
      <c r="J108" s="381" t="n"/>
      <c r="K108" s="381" t="n"/>
      <c r="L108" s="381" t="n"/>
      <c r="M108" s="381" t="n"/>
      <c r="N108" s="381" t="n"/>
    </row>
    <row r="109" ht="18" customHeight="1">
      <c r="A109" s="286" t="n"/>
      <c r="B109" s="381" t="n"/>
      <c r="C109" s="381" t="n"/>
      <c r="D109" s="381" t="n"/>
      <c r="E109" s="381" t="n"/>
      <c r="F109" s="381" t="n"/>
      <c r="G109" s="381" t="n"/>
      <c r="H109" s="381" t="n"/>
      <c r="I109" s="381" t="n"/>
      <c r="J109" s="381" t="n"/>
      <c r="K109" s="381" t="n"/>
      <c r="L109" s="381" t="n"/>
      <c r="M109" s="381" t="n"/>
      <c r="N109" s="381" t="n"/>
    </row>
    <row r="110" ht="19.5" customFormat="1" customHeight="1" s="6">
      <c r="A110" s="134" t="inlineStr">
        <is>
          <t>7. CIERRE Y OBSERVACIONES DEL ENTREVISTADOR/A</t>
        </is>
      </c>
    </row>
    <row r="111" ht="19.5" customHeight="1">
      <c r="A111" s="286" t="n"/>
      <c r="B111" s="381" t="n"/>
      <c r="C111" s="381" t="n"/>
      <c r="D111" s="381" t="n"/>
      <c r="E111" s="381" t="n"/>
      <c r="F111" s="381" t="n"/>
      <c r="G111" s="381" t="n"/>
      <c r="H111" s="381" t="n"/>
      <c r="I111" s="381" t="n"/>
      <c r="J111" s="381" t="n"/>
      <c r="K111" s="381" t="n"/>
      <c r="L111" s="381" t="n"/>
      <c r="M111" s="381" t="n"/>
      <c r="N111" s="381" t="n"/>
    </row>
    <row r="112" ht="19.5" customHeight="1">
      <c r="A112" s="286" t="n"/>
      <c r="B112" s="381" t="n"/>
      <c r="C112" s="381" t="n"/>
      <c r="D112" s="381" t="n"/>
      <c r="E112" s="381" t="n"/>
      <c r="F112" s="381" t="n"/>
      <c r="G112" s="381" t="n"/>
      <c r="H112" s="381" t="n"/>
      <c r="I112" s="381" t="n"/>
      <c r="J112" s="381" t="n"/>
      <c r="K112" s="381" t="n"/>
      <c r="L112" s="381" t="n"/>
      <c r="M112" s="381" t="n"/>
      <c r="N112" s="381" t="n"/>
    </row>
    <row r="113" ht="19.5" customHeight="1">
      <c r="A113" s="286" t="n"/>
      <c r="B113" s="381" t="n"/>
      <c r="C113" s="381" t="n"/>
      <c r="D113" s="381" t="n"/>
      <c r="E113" s="381" t="n"/>
      <c r="F113" s="381" t="n"/>
      <c r="G113" s="381" t="n"/>
      <c r="H113" s="381" t="n"/>
      <c r="I113" s="381" t="n"/>
      <c r="J113" s="381" t="n"/>
      <c r="K113" s="381" t="n"/>
      <c r="L113" s="381" t="n"/>
      <c r="M113" s="381" t="n"/>
      <c r="N113" s="381" t="n"/>
    </row>
    <row r="114" ht="19.5" customHeight="1">
      <c r="A114" s="286" t="n"/>
      <c r="B114" s="381" t="n"/>
      <c r="C114" s="381" t="n"/>
      <c r="D114" s="381" t="n"/>
      <c r="E114" s="381" t="n"/>
      <c r="F114" s="381" t="n"/>
      <c r="G114" s="381" t="n"/>
      <c r="H114" s="381" t="n"/>
      <c r="I114" s="381" t="n"/>
      <c r="J114" s="381" t="n"/>
      <c r="K114" s="381" t="n"/>
      <c r="L114" s="381" t="n"/>
      <c r="M114" s="381" t="n"/>
      <c r="N114" s="381" t="n"/>
    </row>
    <row r="115" ht="19.5" customHeight="1">
      <c r="A115" s="286" t="n"/>
      <c r="B115" s="381" t="n"/>
      <c r="C115" s="381" t="n"/>
      <c r="D115" s="381" t="n"/>
      <c r="E115" s="381" t="n"/>
      <c r="F115" s="381" t="n"/>
      <c r="G115" s="381" t="n"/>
      <c r="H115" s="381" t="n"/>
      <c r="I115" s="381" t="n"/>
      <c r="J115" s="381" t="n"/>
      <c r="K115" s="381" t="n"/>
      <c r="L115" s="381" t="n"/>
      <c r="M115" s="381" t="n"/>
      <c r="N115" s="381" t="n"/>
    </row>
    <row r="116" ht="19.5" customHeight="1">
      <c r="A116" s="286" t="n"/>
      <c r="B116" s="381" t="n"/>
      <c r="C116" s="381" t="n"/>
      <c r="D116" s="381" t="n"/>
      <c r="E116" s="381" t="n"/>
      <c r="F116" s="381" t="n"/>
      <c r="G116" s="381" t="n"/>
      <c r="H116" s="381" t="n"/>
      <c r="I116" s="381" t="n"/>
      <c r="J116" s="381" t="n"/>
      <c r="K116" s="381" t="n"/>
      <c r="L116" s="381" t="n"/>
      <c r="M116" s="381" t="n"/>
      <c r="N116" s="381" t="n"/>
    </row>
    <row r="117"/>
    <row r="118"/>
    <row r="119" ht="15" customHeight="1">
      <c r="A119" s="141" t="inlineStr">
        <is>
          <t>_________________________________________</t>
        </is>
      </c>
      <c r="H119" s="141" t="inlineStr">
        <is>
          <t>_________________________________________</t>
        </is>
      </c>
    </row>
    <row r="120" ht="27.75" customHeight="1">
      <c r="A120" s="142" t="inlineStr">
        <is>
          <t>Firma / Huella del entrevistado/a
Nombre / DNI</t>
        </is>
      </c>
      <c r="H120" s="142" t="inlineStr">
        <is>
          <t>Firma del entrevistador/a
Nombre / DNI</t>
        </is>
      </c>
    </row>
  </sheetData>
  <mergeCells count="143">
    <mergeCell ref="A9:N9"/>
    <mergeCell ref="D11:F11"/>
    <mergeCell ref="A17:G17"/>
    <mergeCell ref="A39:N39"/>
    <mergeCell ref="A48:N48"/>
    <mergeCell ref="A30:N30"/>
    <mergeCell ref="A59:N59"/>
    <mergeCell ref="A45:N45"/>
    <mergeCell ref="A103:N103"/>
    <mergeCell ref="H120:N120"/>
    <mergeCell ref="A61:N61"/>
    <mergeCell ref="A87:N87"/>
    <mergeCell ref="A46:N46"/>
    <mergeCell ref="A37:N37"/>
    <mergeCell ref="A89:N89"/>
    <mergeCell ref="A105:N105"/>
    <mergeCell ref="A26:N26"/>
    <mergeCell ref="A71:N71"/>
    <mergeCell ref="A23:N23"/>
    <mergeCell ref="M8:N8"/>
    <mergeCell ref="A116:N116"/>
    <mergeCell ref="A91:N91"/>
    <mergeCell ref="H119:N119"/>
    <mergeCell ref="A100:N100"/>
    <mergeCell ref="A52:N52"/>
    <mergeCell ref="A63:N63"/>
    <mergeCell ref="A115:N115"/>
    <mergeCell ref="A93:N93"/>
    <mergeCell ref="A102:N102"/>
    <mergeCell ref="A77:N77"/>
    <mergeCell ref="A34:N34"/>
    <mergeCell ref="A83:N83"/>
    <mergeCell ref="A92:N92"/>
    <mergeCell ref="K15:L15"/>
    <mergeCell ref="E14:F14"/>
    <mergeCell ref="A49:N49"/>
    <mergeCell ref="D15:J15"/>
    <mergeCell ref="A12:C12"/>
    <mergeCell ref="A36:N36"/>
    <mergeCell ref="A1:N1"/>
    <mergeCell ref="A94:N94"/>
    <mergeCell ref="A69:N69"/>
    <mergeCell ref="A78:N78"/>
    <mergeCell ref="A14:C14"/>
    <mergeCell ref="A65:N65"/>
    <mergeCell ref="D13:N13"/>
    <mergeCell ref="A75:N75"/>
    <mergeCell ref="A3:N3"/>
    <mergeCell ref="A13:C13"/>
    <mergeCell ref="A55:N55"/>
    <mergeCell ref="J7:N7"/>
    <mergeCell ref="A21:N21"/>
    <mergeCell ref="A104:N104"/>
    <mergeCell ref="A57:N57"/>
    <mergeCell ref="A113:N113"/>
    <mergeCell ref="A5:N5"/>
    <mergeCell ref="A15:C15"/>
    <mergeCell ref="A32:N32"/>
    <mergeCell ref="A97:N97"/>
    <mergeCell ref="A106:N106"/>
    <mergeCell ref="I80:N80"/>
    <mergeCell ref="A4:N4"/>
    <mergeCell ref="A38:N38"/>
    <mergeCell ref="A96:N96"/>
    <mergeCell ref="A43:N43"/>
    <mergeCell ref="A7:C7"/>
    <mergeCell ref="A58:N58"/>
    <mergeCell ref="A40:N40"/>
    <mergeCell ref="A67:N67"/>
    <mergeCell ref="L14:N14"/>
    <mergeCell ref="A24:N24"/>
    <mergeCell ref="G11:H11"/>
    <mergeCell ref="I11:J11"/>
    <mergeCell ref="A82:N82"/>
    <mergeCell ref="D10:N10"/>
    <mergeCell ref="A60:N60"/>
    <mergeCell ref="D7:F7"/>
    <mergeCell ref="A110:N110"/>
    <mergeCell ref="K11:L11"/>
    <mergeCell ref="A6:N6"/>
    <mergeCell ref="M11:N11"/>
    <mergeCell ref="A108:N108"/>
    <mergeCell ref="A84:N84"/>
    <mergeCell ref="A66:N66"/>
    <mergeCell ref="F8:G8"/>
    <mergeCell ref="B80:G80"/>
    <mergeCell ref="M15:N15"/>
    <mergeCell ref="A50:N50"/>
    <mergeCell ref="K8:L8"/>
    <mergeCell ref="A2:N2"/>
    <mergeCell ref="B79:G79"/>
    <mergeCell ref="A86:N86"/>
    <mergeCell ref="H8:J8"/>
    <mergeCell ref="A95:N95"/>
    <mergeCell ref="A16:G16"/>
    <mergeCell ref="A47:N47"/>
    <mergeCell ref="D12:N12"/>
    <mergeCell ref="A18:G18"/>
    <mergeCell ref="A20:N20"/>
    <mergeCell ref="A72:N72"/>
    <mergeCell ref="A29:N29"/>
    <mergeCell ref="A81:N81"/>
    <mergeCell ref="A112:N112"/>
    <mergeCell ref="G7:I7"/>
    <mergeCell ref="A44:N44"/>
    <mergeCell ref="A31:N31"/>
    <mergeCell ref="A114:N114"/>
    <mergeCell ref="A64:N64"/>
    <mergeCell ref="A120:F120"/>
    <mergeCell ref="A98:N98"/>
    <mergeCell ref="A73:N73"/>
    <mergeCell ref="A51:N51"/>
    <mergeCell ref="A107:N107"/>
    <mergeCell ref="A88:N88"/>
    <mergeCell ref="A70:N70"/>
    <mergeCell ref="A8:C8"/>
    <mergeCell ref="A54:N54"/>
    <mergeCell ref="A41:N41"/>
    <mergeCell ref="A90:N90"/>
    <mergeCell ref="I79:N79"/>
    <mergeCell ref="A99:N99"/>
    <mergeCell ref="A74:N74"/>
    <mergeCell ref="A10:C10"/>
    <mergeCell ref="A56:N56"/>
    <mergeCell ref="A27:N27"/>
    <mergeCell ref="A101:N101"/>
    <mergeCell ref="A76:N76"/>
    <mergeCell ref="A33:N33"/>
    <mergeCell ref="I14:J14"/>
    <mergeCell ref="A42:N42"/>
    <mergeCell ref="A85:N85"/>
    <mergeCell ref="D8:E8"/>
    <mergeCell ref="A11:C11"/>
    <mergeCell ref="A22:N22"/>
    <mergeCell ref="A53:N53"/>
    <mergeCell ref="A35:N35"/>
    <mergeCell ref="A109:N109"/>
    <mergeCell ref="A62:N62"/>
    <mergeCell ref="A119:F119"/>
    <mergeCell ref="A19:N19"/>
    <mergeCell ref="A68:N68"/>
    <mergeCell ref="A28:N28"/>
    <mergeCell ref="A111:N111"/>
  </mergeCells>
  <dataValidations count="4">
    <dataValidation sqref="O16 O17 O18" showDropDown="0" showInputMessage="0" showErrorMessage="0" allowBlank="1" type="list">
      <formula1>'_Listas'!$A$2:$A$3</formula1>
    </dataValidation>
    <dataValidation sqref="O16 O17 O18" showDropDown="0" showInputMessage="0" showErrorMessage="0" allowBlank="1" type="list">
      <formula1>'_Listas'!$A$2:$A$3</formula1>
    </dataValidation>
    <dataValidation sqref="O16 O17 O18" showDropDown="0" showInputMessage="0" showErrorMessage="0" allowBlank="1" type="list">
      <formula1>'_Listas'!$A$2:$A$3</formula1>
    </dataValidation>
    <dataValidation sqref="O79" showDropDown="0" showInputMessage="0" showErrorMessage="0" allowBlank="1" type="list">
      <formula1>"Sí, conozco bien el proyecto,Sí, he oído algo general,No he oído nada,Lo confundo con otros proyectos"</formula1>
    </dataValidation>
  </dataValidations>
  <printOptions horizontalCentered="1"/>
  <pageMargins left="0.15" right="0.15" top="0.15" bottom="0.15" header="0.511811023622047" footer="0.511811023622047"/>
  <pageSetup orientation="portrait" paperSize="9" scale="64" fitToHeight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83"/>
  <sheetViews>
    <sheetView zoomScaleNormal="100" workbookViewId="0">
      <pane ySplit="6" topLeftCell="A53" activePane="bottomLeft" state="frozen"/>
      <selection pane="bottomLeft" activeCell="B29" sqref="B29:G29"/>
    </sheetView>
  </sheetViews>
  <sheetFormatPr baseColWidth="10" defaultColWidth="8.6640625" defaultRowHeight="14.4"/>
  <cols>
    <col width="10.109375" customWidth="1" min="1" max="1"/>
    <col width="19" customWidth="1" min="2" max="2"/>
    <col width="15.44140625" customWidth="1" min="3" max="3"/>
    <col width="25.5546875" customWidth="1" min="4" max="4"/>
    <col width="14" customWidth="1" min="5" max="5"/>
    <col width="12" customWidth="1" min="6" max="6"/>
    <col width="8" customWidth="1" min="7" max="7"/>
    <col width="16" customWidth="1" min="8" max="8"/>
    <col width="10" customWidth="1" min="9" max="9"/>
    <col width="14" customWidth="1" min="10" max="10"/>
    <col width="8" customWidth="1" min="11" max="11"/>
    <col width="12" customWidth="1" min="12" max="12"/>
    <col width="8" customWidth="1" min="13" max="13"/>
    <col width="14" customWidth="1" min="14" max="14"/>
    <col width="22" customWidth="1" min="15" max="15"/>
  </cols>
  <sheetData>
    <row r="1" ht="19.5" customHeight="1">
      <c r="A1" s="122" t="inlineStr">
        <is>
          <t>AUTORIDAD NACIONAL DE INFRAESTRUCTURA — ANIN</t>
        </is>
      </c>
    </row>
    <row r="2" ht="15" customHeight="1">
      <c r="A2" s="283" t="inlineStr">
        <is>
          <t>DIME — Dirección de Intervenciones Multisectoriales y de Emergencia  |  SESDI — Subdirección de Estudios de Inversión</t>
        </is>
      </c>
    </row>
    <row r="3" ht="33.6" customHeight="1">
      <c r="A3" s="284" t="inlineStr">
        <is>
          <t>PROYECTO IN PIURA  |  CUI 2669244  |  Recuperación de servicios de regulación de riesgos naturales y regulación hídrica — Cuenca Alta del Río Piura</t>
        </is>
      </c>
    </row>
    <row r="4" ht="25.5" customHeight="1">
      <c r="A4" s="242" t="inlineStr">
        <is>
          <t>F-DS-04: ACTA DE TALLER PARTICIPATIVO</t>
        </is>
      </c>
    </row>
    <row r="5" ht="24" customHeight="1">
      <c r="A5" s="313" t="inlineStr">
        <is>
          <t>Registro formal con convocatoria, asistencia desagregada por sexo, agenda y acuerdos.  Marque con «X» las casillas aplicables; complete las listas con letra legible.</t>
        </is>
      </c>
    </row>
    <row r="6" ht="19.5" customFormat="1" customHeight="1" s="50">
      <c r="A6" s="260" t="inlineStr">
        <is>
          <t>1. DATOS GENERALES</t>
        </is>
      </c>
    </row>
    <row r="7" ht="39.6" customFormat="1" customHeight="1" s="51">
      <c r="A7" s="310" t="inlineStr">
        <is>
          <t>Fecha *</t>
        </is>
      </c>
      <c r="B7" s="381" t="n"/>
      <c r="C7" s="118" t="n"/>
      <c r="D7" s="381" t="n"/>
      <c r="E7" s="381" t="n"/>
      <c r="F7" s="310" t="inlineStr">
        <is>
          <t>Responsable *</t>
        </is>
      </c>
      <c r="G7" s="381" t="n"/>
      <c r="H7" s="118" t="n"/>
      <c r="I7" s="381" t="n"/>
      <c r="J7" s="381" t="n"/>
      <c r="K7" s="381" t="n"/>
      <c r="L7" s="381" t="n"/>
      <c r="M7" s="381" t="n"/>
      <c r="N7" s="381" t="n"/>
    </row>
    <row r="8" ht="39.6" customFormat="1" customHeight="1" s="51">
      <c r="A8" s="310" t="inlineStr">
        <is>
          <t>Código Bloque *</t>
        </is>
      </c>
      <c r="B8" s="381" t="n"/>
      <c r="C8" s="311" t="n"/>
      <c r="D8" s="432" t="n"/>
      <c r="E8" s="114" t="inlineStr">
        <is>
          <t>Código de Microcuenca</t>
        </is>
      </c>
      <c r="F8" s="381" t="n"/>
      <c r="G8" s="312" t="n"/>
      <c r="H8" s="381" t="n"/>
      <c r="I8" s="381" t="n"/>
      <c r="J8" s="114" t="inlineStr">
        <is>
          <t>Distrito</t>
        </is>
      </c>
      <c r="K8" s="381" t="n"/>
      <c r="L8" s="312">
        <f>IFERROR(VLOOKUP($C$8,_Datos!$A$2:$H$128,4,FALSE()),"")</f>
        <v/>
      </c>
      <c r="M8" s="381" t="n"/>
      <c r="N8" s="381" t="n"/>
    </row>
    <row r="9" ht="15.6" customFormat="1" customHeight="1" s="51"/>
    <row r="10" ht="19.5" customFormat="1" customHeight="1" s="50">
      <c r="A10" s="260" t="inlineStr">
        <is>
          <t>2. DATOS DEL TALLER</t>
        </is>
      </c>
    </row>
    <row r="11" ht="34.2" customFormat="1" customHeight="1" s="51">
      <c r="A11" s="310" t="inlineStr">
        <is>
          <t>Lugar del taller (local comunal, IE, etc.) *</t>
        </is>
      </c>
      <c r="B11" s="381" t="n"/>
      <c r="C11" s="381" t="n"/>
      <c r="D11" s="118" t="n"/>
      <c r="E11" s="381" t="n"/>
      <c r="F11" s="381" t="n"/>
      <c r="G11" s="381" t="n"/>
      <c r="H11" s="381" t="n"/>
      <c r="I11" s="381" t="n"/>
      <c r="J11" s="381" t="n"/>
      <c r="K11" s="381" t="n"/>
      <c r="L11" s="381" t="n"/>
      <c r="M11" s="381" t="n"/>
      <c r="N11" s="381" t="n"/>
    </row>
    <row r="12" ht="34.2" customFormat="1" customHeight="1" s="51">
      <c r="A12" s="114" t="inlineStr">
        <is>
          <t>Entidad convocante</t>
        </is>
      </c>
      <c r="B12" s="381" t="n"/>
      <c r="C12" s="381" t="n"/>
      <c r="D12" s="118" t="n"/>
      <c r="E12" s="381" t="n"/>
      <c r="F12" s="381" t="n"/>
      <c r="G12" s="381" t="n"/>
      <c r="H12" s="381" t="n"/>
      <c r="I12" s="381" t="n"/>
      <c r="J12" s="381" t="n"/>
      <c r="K12" s="381" t="n"/>
      <c r="L12" s="381" t="n"/>
      <c r="M12" s="381" t="n"/>
      <c r="N12" s="381" t="n"/>
    </row>
    <row r="13" ht="34.2" customFormat="1" customHeight="1" s="51">
      <c r="A13" s="378" t="inlineStr">
        <is>
          <t>Fecha del taller *</t>
        </is>
      </c>
      <c r="B13" s="433" t="n"/>
      <c r="C13" s="433" t="n"/>
      <c r="D13" s="379" t="n"/>
      <c r="E13" s="433" t="n"/>
      <c r="F13" s="433" t="n"/>
      <c r="G13" s="380" t="inlineStr">
        <is>
          <t>Hora inicio</t>
        </is>
      </c>
      <c r="H13" s="433" t="n"/>
      <c r="I13" s="379" t="n"/>
      <c r="J13" s="433" t="n"/>
      <c r="K13" s="380" t="inlineStr">
        <is>
          <t>Hora fin</t>
        </is>
      </c>
      <c r="L13" s="433" t="n"/>
      <c r="M13" s="379" t="n"/>
      <c r="N13" s="433" t="n"/>
    </row>
    <row r="14" ht="34.2" customFormat="1" customHeight="1" s="51">
      <c r="A14" s="326" t="inlineStr">
        <is>
          <t>2.1  Asistencia (anotar cantidades)</t>
        </is>
      </c>
      <c r="B14" s="404" t="n"/>
      <c r="C14" s="404" t="n"/>
      <c r="D14" s="404" t="n"/>
      <c r="E14" s="404" t="n"/>
      <c r="F14" s="404" t="n"/>
      <c r="G14" s="404" t="n"/>
      <c r="H14" s="404" t="n"/>
      <c r="I14" s="404" t="n"/>
      <c r="J14" s="404" t="n"/>
      <c r="K14" s="404" t="n"/>
      <c r="L14" s="404" t="n"/>
      <c r="M14" s="404" t="n"/>
      <c r="N14" s="404" t="n"/>
    </row>
    <row r="15" ht="27.6" customFormat="1" customHeight="1" s="51">
      <c r="A15" s="114" t="inlineStr">
        <is>
          <t>N° convocados</t>
        </is>
      </c>
      <c r="B15" s="381" t="n"/>
      <c r="C15" s="381" t="n"/>
      <c r="D15" s="381" t="n"/>
      <c r="E15" s="118" t="n"/>
      <c r="F15" s="381" t="n"/>
      <c r="G15" s="381" t="n"/>
      <c r="H15" s="114" t="inlineStr">
        <is>
          <t>N° hombres</t>
        </is>
      </c>
      <c r="I15" s="381" t="n"/>
      <c r="J15" s="381" t="n"/>
      <c r="K15" s="381" t="n"/>
      <c r="L15" s="118" t="n"/>
      <c r="M15" s="381" t="n"/>
      <c r="N15" s="381" t="n"/>
    </row>
    <row r="16" ht="27.6" customFormat="1" customHeight="1" s="51">
      <c r="A16" s="114" t="inlineStr">
        <is>
          <t>N° mujeres</t>
        </is>
      </c>
      <c r="B16" s="381" t="n"/>
      <c r="C16" s="381" t="n"/>
      <c r="D16" s="381" t="n"/>
      <c r="E16" s="118" t="n"/>
      <c r="F16" s="381" t="n"/>
      <c r="G16" s="381" t="n"/>
      <c r="H16" s="114" t="inlineStr">
        <is>
          <t>N° jóvenes (&lt;30)</t>
        </is>
      </c>
      <c r="I16" s="381" t="n"/>
      <c r="J16" s="381" t="n"/>
      <c r="K16" s="381" t="n"/>
      <c r="L16" s="118" t="n"/>
      <c r="M16" s="381" t="n"/>
      <c r="N16" s="381" t="n"/>
    </row>
    <row r="17" ht="27.6" customFormat="1" customHeight="1" s="51">
      <c r="A17" s="114" t="inlineStr">
        <is>
          <t>N° adultos mayores (&gt;60)</t>
        </is>
      </c>
      <c r="B17" s="381" t="n"/>
      <c r="C17" s="381" t="n"/>
      <c r="D17" s="381" t="n"/>
      <c r="E17" s="118" t="n"/>
      <c r="F17" s="381" t="n"/>
      <c r="G17" s="381" t="n"/>
      <c r="H17" s="114" t="inlineStr">
        <is>
          <t>N° total de asistentes</t>
        </is>
      </c>
      <c r="I17" s="381" t="n"/>
      <c r="J17" s="381" t="n"/>
      <c r="K17" s="381" t="n"/>
      <c r="L17" s="118" t="n"/>
      <c r="M17" s="381" t="n"/>
      <c r="N17" s="381" t="n"/>
    </row>
    <row r="18" ht="27.6" customFormat="1" customHeight="1" s="51">
      <c r="A18" s="310" t="inlineStr">
        <is>
          <t>Objetivo general del taller *</t>
        </is>
      </c>
      <c r="B18" s="381" t="n"/>
      <c r="C18" s="381" t="n"/>
      <c r="D18" s="118" t="n"/>
      <c r="E18" s="381" t="n"/>
      <c r="F18" s="381" t="n"/>
      <c r="G18" s="381" t="n"/>
      <c r="H18" s="381" t="n"/>
      <c r="I18" s="381" t="n"/>
      <c r="J18" s="381" t="n"/>
      <c r="K18" s="381" t="n"/>
      <c r="L18" s="381" t="n"/>
      <c r="M18" s="381" t="n"/>
      <c r="N18" s="381" t="n"/>
    </row>
    <row r="19" ht="35.4" customFormat="1" customHeight="1" s="51">
      <c r="A19" s="114" t="inlineStr">
        <is>
          <t>2.2  Metodología empleada (marcar las que apliquen)</t>
        </is>
      </c>
      <c r="B19" s="381" t="n"/>
      <c r="C19" s="381" t="n"/>
      <c r="D19" s="381" t="n"/>
      <c r="E19" s="381" t="n"/>
      <c r="F19" s="381" t="n"/>
      <c r="G19" s="381" t="n"/>
      <c r="H19" s="381" t="n"/>
      <c r="I19" s="381" t="n"/>
      <c r="J19" s="381" t="n"/>
      <c r="K19" s="381" t="n"/>
      <c r="L19" s="381" t="n"/>
      <c r="M19" s="381" t="n"/>
      <c r="N19" s="381" t="n"/>
    </row>
    <row r="20" ht="31.8" customFormat="1" customHeight="1" s="51">
      <c r="A20" s="70" t="n"/>
      <c r="B20" s="309" t="inlineStr">
        <is>
          <t>Exposición magistral</t>
        </is>
      </c>
      <c r="C20" s="381" t="n"/>
      <c r="D20" s="381" t="n"/>
      <c r="E20" s="381" t="n"/>
      <c r="F20" s="381" t="n"/>
      <c r="G20" s="381" t="n"/>
      <c r="H20" s="70" t="n"/>
      <c r="I20" s="309" t="inlineStr">
        <is>
          <t>Mesas de trabajo / Grupos focales</t>
        </is>
      </c>
      <c r="J20" s="381" t="n"/>
      <c r="K20" s="381" t="n"/>
      <c r="L20" s="381" t="n"/>
      <c r="M20" s="381" t="n"/>
      <c r="N20" s="381" t="n"/>
    </row>
    <row r="21" ht="31.8" customFormat="1" customHeight="1" s="51">
      <c r="A21" s="70" t="n"/>
      <c r="B21" s="309" t="inlineStr">
        <is>
          <t>Mapa parlante</t>
        </is>
      </c>
      <c r="C21" s="381" t="n"/>
      <c r="D21" s="381" t="n"/>
      <c r="E21" s="381" t="n"/>
      <c r="F21" s="381" t="n"/>
      <c r="G21" s="381" t="n"/>
      <c r="H21" s="70" t="n"/>
      <c r="I21" s="309" t="inlineStr">
        <is>
          <t>Matriz Foda / Vester</t>
        </is>
      </c>
      <c r="J21" s="381" t="n"/>
      <c r="K21" s="381" t="n"/>
      <c r="L21" s="381" t="n"/>
      <c r="M21" s="381" t="n"/>
      <c r="N21" s="381" t="n"/>
    </row>
    <row r="22" ht="31.8" customFormat="1" customHeight="1" s="51">
      <c r="A22" s="70" t="n"/>
      <c r="B22" s="309" t="inlineStr">
        <is>
          <t>Cartografía participativa</t>
        </is>
      </c>
      <c r="C22" s="381" t="n"/>
      <c r="D22" s="381" t="n"/>
      <c r="E22" s="381" t="n"/>
      <c r="F22" s="381" t="n"/>
      <c r="G22" s="381" t="n"/>
      <c r="H22" s="70" t="n"/>
      <c r="I22" s="309" t="inlineStr">
        <is>
          <t>Lluvia de ideas</t>
        </is>
      </c>
      <c r="J22" s="381" t="n"/>
      <c r="K22" s="381" t="n"/>
      <c r="L22" s="381" t="n"/>
      <c r="M22" s="381" t="n"/>
      <c r="N22" s="381" t="n"/>
    </row>
    <row r="23" ht="31.8" customFormat="1" customHeight="1" s="51">
      <c r="A23" s="70" t="n"/>
      <c r="B23" s="309" t="inlineStr">
        <is>
          <t>Entrevistas semiestructuradas</t>
        </is>
      </c>
      <c r="C23" s="381" t="n"/>
      <c r="D23" s="381" t="n"/>
      <c r="E23" s="381" t="n"/>
      <c r="F23" s="381" t="n"/>
      <c r="G23" s="381" t="n"/>
      <c r="H23" s="70" t="n"/>
      <c r="I23" s="309" t="inlineStr">
        <is>
          <t>Sociodrama / Dinámicas</t>
        </is>
      </c>
      <c r="J23" s="381" t="n"/>
      <c r="K23" s="381" t="n"/>
      <c r="L23" s="381" t="n"/>
      <c r="M23" s="381" t="n"/>
      <c r="N23" s="381" t="n"/>
    </row>
    <row r="24" ht="35.4" customFormat="1" customHeight="1" s="51">
      <c r="A24" s="114" t="inlineStr">
        <is>
          <t>2.3  Materiales utilizados (marcar los que apliquen)</t>
        </is>
      </c>
      <c r="B24" s="381" t="n"/>
      <c r="C24" s="381" t="n"/>
      <c r="D24" s="381" t="n"/>
      <c r="E24" s="381" t="n"/>
      <c r="F24" s="381" t="n"/>
      <c r="G24" s="381" t="n"/>
      <c r="H24" s="381" t="n"/>
      <c r="I24" s="381" t="n"/>
      <c r="J24" s="381" t="n"/>
      <c r="K24" s="381" t="n"/>
      <c r="L24" s="381" t="n"/>
      <c r="M24" s="381" t="n"/>
      <c r="N24" s="381" t="n"/>
    </row>
    <row r="25" ht="30.6" customFormat="1" customHeight="1" s="51">
      <c r="A25" s="70" t="n"/>
      <c r="B25" s="309" t="inlineStr">
        <is>
          <t xml:space="preserve"> </t>
        </is>
      </c>
      <c r="C25" s="381" t="n"/>
      <c r="D25" s="381" t="n"/>
      <c r="E25" s="381" t="n"/>
      <c r="F25" s="381" t="n"/>
      <c r="G25" s="381" t="n"/>
      <c r="H25" s="70" t="n"/>
      <c r="I25" s="309" t="inlineStr">
        <is>
          <t>Plumones / Lápices</t>
        </is>
      </c>
      <c r="J25" s="381" t="n"/>
      <c r="K25" s="381" t="n"/>
      <c r="L25" s="381" t="n"/>
      <c r="M25" s="381" t="n"/>
      <c r="N25" s="381" t="n"/>
    </row>
    <row r="26" ht="30.6" customFormat="1" customHeight="1" s="51">
      <c r="A26" s="70" t="n"/>
      <c r="B26" s="309" t="inlineStr">
        <is>
          <t>Tarjetas de colores</t>
        </is>
      </c>
      <c r="C26" s="381" t="n"/>
      <c r="D26" s="381" t="n"/>
      <c r="E26" s="381" t="n"/>
      <c r="F26" s="381" t="n"/>
      <c r="G26" s="381" t="n"/>
      <c r="H26" s="70" t="n"/>
      <c r="I26" s="309" t="inlineStr">
        <is>
          <t>Cinta adhesiva</t>
        </is>
      </c>
      <c r="J26" s="381" t="n"/>
      <c r="K26" s="381" t="n"/>
      <c r="L26" s="381" t="n"/>
      <c r="M26" s="381" t="n"/>
      <c r="N26" s="381" t="n"/>
    </row>
    <row r="27" ht="30.6" customFormat="1" customHeight="1" s="51">
      <c r="A27" s="70" t="n"/>
      <c r="B27" s="309" t="inlineStr">
        <is>
          <t>Mapas impresos / Ortofotos</t>
        </is>
      </c>
      <c r="C27" s="381" t="n"/>
      <c r="D27" s="381" t="n"/>
      <c r="E27" s="381" t="n"/>
      <c r="F27" s="381" t="n"/>
      <c r="G27" s="381" t="n"/>
      <c r="H27" s="70" t="n"/>
      <c r="I27" s="309" t="inlineStr">
        <is>
          <t>Proyector / Laptop</t>
        </is>
      </c>
      <c r="J27" s="381" t="n"/>
      <c r="K27" s="381" t="n"/>
      <c r="L27" s="381" t="n"/>
      <c r="M27" s="381" t="n"/>
      <c r="N27" s="381" t="n"/>
    </row>
    <row r="28" ht="30.6" customFormat="1" customHeight="1" s="51">
      <c r="A28" s="70" t="n"/>
      <c r="B28" s="309" t="inlineStr">
        <is>
          <t>Cámara fotográfica</t>
        </is>
      </c>
      <c r="C28" s="381" t="n"/>
      <c r="D28" s="381" t="n"/>
      <c r="E28" s="381" t="n"/>
      <c r="F28" s="381" t="n"/>
      <c r="G28" s="381" t="n"/>
      <c r="H28" s="70" t="n"/>
      <c r="I28" s="309" t="inlineStr">
        <is>
          <t>Grabadora de audio</t>
        </is>
      </c>
      <c r="J28" s="381" t="n"/>
      <c r="K28" s="381" t="n"/>
      <c r="L28" s="381" t="n"/>
      <c r="M28" s="381" t="n"/>
      <c r="N28" s="381" t="n"/>
    </row>
    <row r="29" ht="30.6" customFormat="1" customHeight="1" s="51">
      <c r="A29" s="70" t="n"/>
      <c r="B29" s="309" t="inlineStr">
        <is>
          <t>Refrigerio</t>
        </is>
      </c>
      <c r="C29" s="381" t="n"/>
      <c r="D29" s="381" t="n"/>
      <c r="E29" s="381" t="n"/>
      <c r="F29" s="381" t="n"/>
      <c r="G29" s="381" t="n"/>
      <c r="H29" s="70" t="n"/>
      <c r="I29" s="309" t="inlineStr">
        <is>
          <t>Otros:</t>
        </is>
      </c>
      <c r="J29" s="381" t="n"/>
      <c r="K29" s="381" t="n"/>
      <c r="L29" s="381" t="n"/>
      <c r="M29" s="381" t="n"/>
      <c r="N29" s="381" t="n"/>
    </row>
    <row r="30" ht="35.4" customFormat="1" customHeight="1" s="51">
      <c r="A30" s="114" t="inlineStr">
        <is>
          <t>2.4  Idioma de la facilitación (marcar uno)</t>
        </is>
      </c>
      <c r="B30" s="381" t="n"/>
      <c r="C30" s="381" t="n"/>
      <c r="D30" s="381" t="n"/>
      <c r="E30" s="381" t="n"/>
      <c r="F30" s="381" t="n"/>
      <c r="G30" s="381" t="n"/>
      <c r="H30" s="381" t="n"/>
      <c r="I30" s="381" t="n"/>
      <c r="J30" s="381" t="n"/>
      <c r="K30" s="381" t="n"/>
      <c r="L30" s="381" t="n"/>
      <c r="M30" s="381" t="n"/>
      <c r="N30" s="381" t="n"/>
      <c r="O30" s="393" t="inlineStr">
        <is>
          <t>▼</t>
        </is>
      </c>
    </row>
    <row r="31" ht="35.4" customFormat="1" customHeight="1" s="51">
      <c r="A31" s="70" t="n"/>
      <c r="B31" s="309" t="inlineStr">
        <is>
          <t>Español</t>
        </is>
      </c>
      <c r="C31" s="381" t="n"/>
      <c r="D31" s="70" t="n"/>
      <c r="E31" s="309" t="inlineStr">
        <is>
          <t>Quechua</t>
        </is>
      </c>
      <c r="F31" s="381" t="n"/>
      <c r="G31" s="381" t="n"/>
      <c r="H31" s="70" t="n"/>
      <c r="I31" s="309" t="inlineStr">
        <is>
          <t>Bilingüe español-quechua</t>
        </is>
      </c>
      <c r="J31" s="381" t="n"/>
      <c r="K31" s="70" t="n"/>
      <c r="L31" s="309" t="inlineStr">
        <is>
          <t>Otro</t>
        </is>
      </c>
      <c r="M31" s="381" t="n"/>
      <c r="N31" s="381" t="n"/>
    </row>
    <row r="32" ht="15.6" customFormat="1" customHeight="1" s="51"/>
    <row r="33" ht="19.5" customFormat="1" customHeight="1" s="50" thickBot="1">
      <c r="A33" s="260" t="inlineStr">
        <is>
          <t>3. LISTA DE PARTICIPANTES</t>
        </is>
      </c>
    </row>
    <row r="34" ht="38.4" customFormat="1" customHeight="1" s="50" thickBot="1">
      <c r="A34" s="70" t="inlineStr">
        <is>
          <t>N°</t>
        </is>
      </c>
      <c r="B34" s="434" t="inlineStr">
        <is>
          <t>Nombres y Apellidos</t>
        </is>
      </c>
      <c r="C34" s="386" t="n"/>
      <c r="D34" s="324" t="inlineStr">
        <is>
          <t>DNI</t>
        </is>
      </c>
      <c r="E34" s="435" t="inlineStr">
        <is>
          <t>Institución / Comunidad</t>
        </is>
      </c>
      <c r="F34" s="436" t="n"/>
      <c r="G34" s="435" t="inlineStr">
        <is>
          <t>Cargo / Rol</t>
        </is>
      </c>
      <c r="H34" s="436" t="n"/>
      <c r="I34" s="434" t="inlineStr">
        <is>
          <t>Teléfono</t>
        </is>
      </c>
      <c r="J34" s="386" t="n"/>
      <c r="K34" s="324" t="inlineStr">
        <is>
          <t>Sexo</t>
        </is>
      </c>
      <c r="L34" s="324" t="inlineStr">
        <is>
          <t>Edad</t>
        </is>
      </c>
      <c r="M34" s="434" t="inlineStr">
        <is>
          <t>Firma / Huella</t>
        </is>
      </c>
      <c r="N34" s="386" t="n"/>
    </row>
    <row r="35" ht="42" customFormat="1" customHeight="1" s="51">
      <c r="A35" s="67" t="n">
        <v>1</v>
      </c>
      <c r="B35" s="109" t="n"/>
      <c r="C35" s="386" t="n"/>
      <c r="D35" s="69" t="n"/>
      <c r="E35" s="109" t="n"/>
      <c r="F35" s="386" t="n"/>
      <c r="G35" s="109" t="n"/>
      <c r="H35" s="386" t="n"/>
      <c r="I35" s="109" t="n"/>
      <c r="J35" s="386" t="n"/>
      <c r="K35" s="69" t="n"/>
      <c r="L35" s="69" t="n"/>
      <c r="M35" s="109" t="n"/>
      <c r="N35" s="386" t="n"/>
    </row>
    <row r="36" ht="42" customFormat="1" customHeight="1" s="51">
      <c r="A36" s="67" t="n">
        <v>2</v>
      </c>
      <c r="B36" s="109" t="n"/>
      <c r="C36" s="386" t="n"/>
      <c r="D36" s="69" t="n"/>
      <c r="E36" s="109" t="n"/>
      <c r="F36" s="386" t="n"/>
      <c r="G36" s="109" t="n"/>
      <c r="H36" s="386" t="n"/>
      <c r="I36" s="109" t="n"/>
      <c r="J36" s="386" t="n"/>
      <c r="K36" s="69" t="n"/>
      <c r="L36" s="69" t="n"/>
      <c r="M36" s="109" t="n"/>
      <c r="N36" s="386" t="n"/>
    </row>
    <row r="37" ht="42" customFormat="1" customHeight="1" s="51">
      <c r="A37" s="67" t="n">
        <v>3</v>
      </c>
      <c r="B37" s="109" t="n"/>
      <c r="C37" s="386" t="n"/>
      <c r="D37" s="69" t="n"/>
      <c r="E37" s="109" t="n"/>
      <c r="F37" s="386" t="n"/>
      <c r="G37" s="109" t="n"/>
      <c r="H37" s="386" t="n"/>
      <c r="I37" s="109" t="n"/>
      <c r="J37" s="386" t="n"/>
      <c r="K37" s="69" t="n"/>
      <c r="L37" s="69" t="n"/>
      <c r="M37" s="109" t="n"/>
      <c r="N37" s="386" t="n"/>
    </row>
    <row r="38" ht="42" customFormat="1" customHeight="1" s="51">
      <c r="A38" s="67" t="n">
        <v>4</v>
      </c>
      <c r="B38" s="109" t="n"/>
      <c r="C38" s="386" t="n"/>
      <c r="D38" s="69" t="n"/>
      <c r="E38" s="109" t="n"/>
      <c r="F38" s="386" t="n"/>
      <c r="G38" s="109" t="n"/>
      <c r="H38" s="386" t="n"/>
      <c r="I38" s="109" t="n"/>
      <c r="J38" s="386" t="n"/>
      <c r="K38" s="69" t="n"/>
      <c r="L38" s="69" t="n"/>
      <c r="M38" s="109" t="n"/>
      <c r="N38" s="386" t="n"/>
    </row>
    <row r="39" ht="42" customFormat="1" customHeight="1" s="51">
      <c r="A39" s="67" t="n">
        <v>5</v>
      </c>
      <c r="B39" s="109" t="n"/>
      <c r="C39" s="386" t="n"/>
      <c r="D39" s="69" t="n"/>
      <c r="E39" s="109" t="n"/>
      <c r="F39" s="386" t="n"/>
      <c r="G39" s="109" t="n"/>
      <c r="H39" s="386" t="n"/>
      <c r="I39" s="109" t="n"/>
      <c r="J39" s="386" t="n"/>
      <c r="K39" s="69" t="n"/>
      <c r="L39" s="69" t="n"/>
      <c r="M39" s="109" t="n"/>
      <c r="N39" s="386" t="n"/>
    </row>
    <row r="40" ht="42" customFormat="1" customHeight="1" s="51">
      <c r="A40" s="67" t="n">
        <v>6</v>
      </c>
      <c r="B40" s="109" t="n"/>
      <c r="C40" s="386" t="n"/>
      <c r="D40" s="69" t="n"/>
      <c r="E40" s="109" t="n"/>
      <c r="F40" s="386" t="n"/>
      <c r="G40" s="109" t="n"/>
      <c r="H40" s="386" t="n"/>
      <c r="I40" s="109" t="n"/>
      <c r="J40" s="386" t="n"/>
      <c r="K40" s="69" t="n"/>
      <c r="L40" s="69" t="n"/>
      <c r="M40" s="109" t="n"/>
      <c r="N40" s="386" t="n"/>
    </row>
    <row r="41" ht="42" customFormat="1" customHeight="1" s="51">
      <c r="A41" s="67" t="n">
        <v>7</v>
      </c>
      <c r="B41" s="109" t="n"/>
      <c r="C41" s="386" t="n"/>
      <c r="D41" s="69" t="n"/>
      <c r="E41" s="109" t="n"/>
      <c r="F41" s="386" t="n"/>
      <c r="G41" s="109" t="n"/>
      <c r="H41" s="386" t="n"/>
      <c r="I41" s="109" t="n"/>
      <c r="J41" s="386" t="n"/>
      <c r="K41" s="69" t="n"/>
      <c r="L41" s="69" t="n"/>
      <c r="M41" s="109" t="n"/>
      <c r="N41" s="386" t="n"/>
    </row>
    <row r="42" ht="42" customFormat="1" customHeight="1" s="51">
      <c r="A42" s="67" t="n">
        <v>8</v>
      </c>
      <c r="B42" s="109" t="n"/>
      <c r="C42" s="386" t="n"/>
      <c r="D42" s="69" t="n"/>
      <c r="E42" s="109" t="n"/>
      <c r="F42" s="386" t="n"/>
      <c r="G42" s="109" t="n"/>
      <c r="H42" s="386" t="n"/>
      <c r="I42" s="109" t="n"/>
      <c r="J42" s="386" t="n"/>
      <c r="K42" s="69" t="n"/>
      <c r="L42" s="69" t="n"/>
      <c r="M42" s="109" t="n"/>
      <c r="N42" s="386" t="n"/>
    </row>
    <row r="43" ht="42" customFormat="1" customHeight="1" s="51">
      <c r="A43" s="67" t="n">
        <v>9</v>
      </c>
      <c r="B43" s="109" t="n"/>
      <c r="C43" s="386" t="n"/>
      <c r="D43" s="69" t="n"/>
      <c r="E43" s="109" t="n"/>
      <c r="F43" s="386" t="n"/>
      <c r="G43" s="109" t="n"/>
      <c r="H43" s="386" t="n"/>
      <c r="I43" s="109" t="n"/>
      <c r="J43" s="386" t="n"/>
      <c r="K43" s="69" t="n"/>
      <c r="L43" s="69" t="n"/>
      <c r="M43" s="109" t="n"/>
      <c r="N43" s="386" t="n"/>
    </row>
    <row r="44" ht="42" customFormat="1" customHeight="1" s="51">
      <c r="A44" s="67" t="n">
        <v>10</v>
      </c>
      <c r="B44" s="109" t="n"/>
      <c r="C44" s="386" t="n"/>
      <c r="D44" s="69" t="n"/>
      <c r="E44" s="109" t="n"/>
      <c r="F44" s="386" t="n"/>
      <c r="G44" s="109" t="n"/>
      <c r="H44" s="386" t="n"/>
      <c r="I44" s="109" t="n"/>
      <c r="J44" s="386" t="n"/>
      <c r="K44" s="69" t="n"/>
      <c r="L44" s="69" t="n"/>
      <c r="M44" s="109" t="n"/>
      <c r="N44" s="386" t="n"/>
    </row>
    <row r="45" ht="42" customFormat="1" customHeight="1" s="51">
      <c r="A45" s="67" t="n">
        <v>11</v>
      </c>
      <c r="B45" s="109" t="n"/>
      <c r="C45" s="386" t="n"/>
      <c r="D45" s="69" t="n"/>
      <c r="E45" s="109" t="n"/>
      <c r="F45" s="386" t="n"/>
      <c r="G45" s="109" t="n"/>
      <c r="H45" s="386" t="n"/>
      <c r="I45" s="109" t="n"/>
      <c r="J45" s="386" t="n"/>
      <c r="K45" s="69" t="n"/>
      <c r="L45" s="69" t="n"/>
      <c r="M45" s="109" t="n"/>
      <c r="N45" s="386" t="n"/>
    </row>
    <row r="46" ht="42" customFormat="1" customHeight="1" s="51">
      <c r="A46" s="67" t="n">
        <v>12</v>
      </c>
      <c r="B46" s="109" t="n"/>
      <c r="C46" s="386" t="n"/>
      <c r="D46" s="69" t="n"/>
      <c r="E46" s="109" t="n"/>
      <c r="F46" s="386" t="n"/>
      <c r="G46" s="109" t="n"/>
      <c r="H46" s="386" t="n"/>
      <c r="I46" s="109" t="n"/>
      <c r="J46" s="386" t="n"/>
      <c r="K46" s="69" t="n"/>
      <c r="L46" s="69" t="n"/>
      <c r="M46" s="109" t="n"/>
      <c r="N46" s="386" t="n"/>
    </row>
    <row r="47" ht="42" customFormat="1" customHeight="1" s="51">
      <c r="A47" s="67" t="n">
        <v>13</v>
      </c>
      <c r="B47" s="109" t="n"/>
      <c r="C47" s="386" t="n"/>
      <c r="D47" s="69" t="n"/>
      <c r="E47" s="109" t="n"/>
      <c r="F47" s="386" t="n"/>
      <c r="G47" s="109" t="n"/>
      <c r="H47" s="386" t="n"/>
      <c r="I47" s="109" t="n"/>
      <c r="J47" s="386" t="n"/>
      <c r="K47" s="69" t="n"/>
      <c r="L47" s="69" t="n"/>
      <c r="M47" s="109" t="n"/>
      <c r="N47" s="386" t="n"/>
    </row>
    <row r="48" ht="42" customFormat="1" customHeight="1" s="51">
      <c r="A48" s="67" t="n">
        <v>14</v>
      </c>
      <c r="B48" s="109" t="n"/>
      <c r="C48" s="386" t="n"/>
      <c r="D48" s="69" t="n"/>
      <c r="E48" s="109" t="n"/>
      <c r="F48" s="386" t="n"/>
      <c r="G48" s="109" t="n"/>
      <c r="H48" s="386" t="n"/>
      <c r="I48" s="109" t="n"/>
      <c r="J48" s="386" t="n"/>
      <c r="K48" s="69" t="n"/>
      <c r="L48" s="69" t="n"/>
      <c r="M48" s="109" t="n"/>
      <c r="N48" s="386" t="n"/>
    </row>
    <row r="49" ht="42" customFormat="1" customHeight="1" s="51">
      <c r="A49" s="67" t="n">
        <v>15</v>
      </c>
      <c r="B49" s="109" t="n"/>
      <c r="C49" s="386" t="n"/>
      <c r="D49" s="69" t="n"/>
      <c r="E49" s="109" t="n"/>
      <c r="F49" s="386" t="n"/>
      <c r="G49" s="109" t="n"/>
      <c r="H49" s="386" t="n"/>
      <c r="I49" s="109" t="n"/>
      <c r="J49" s="386" t="n"/>
      <c r="K49" s="69" t="n"/>
      <c r="L49" s="69" t="n"/>
      <c r="M49" s="109" t="n"/>
      <c r="N49" s="386" t="n"/>
    </row>
    <row r="50" ht="42" customFormat="1" customHeight="1" s="51">
      <c r="A50" s="67" t="n">
        <v>16</v>
      </c>
      <c r="B50" s="109" t="n"/>
      <c r="C50" s="386" t="n"/>
      <c r="D50" s="69" t="n"/>
      <c r="E50" s="109" t="n"/>
      <c r="F50" s="386" t="n"/>
      <c r="G50" s="109" t="n"/>
      <c r="H50" s="386" t="n"/>
      <c r="I50" s="109" t="n"/>
      <c r="J50" s="386" t="n"/>
      <c r="K50" s="69" t="n"/>
      <c r="L50" s="69" t="n"/>
      <c r="M50" s="109" t="n"/>
      <c r="N50" s="386" t="n"/>
    </row>
    <row r="51" ht="42" customFormat="1" customHeight="1" s="51">
      <c r="A51" s="67" t="n">
        <v>17</v>
      </c>
      <c r="B51" s="109" t="n"/>
      <c r="C51" s="386" t="n"/>
      <c r="D51" s="69" t="n"/>
      <c r="E51" s="109" t="n"/>
      <c r="F51" s="386" t="n"/>
      <c r="G51" s="109" t="n"/>
      <c r="H51" s="386" t="n"/>
      <c r="I51" s="109" t="n"/>
      <c r="J51" s="386" t="n"/>
      <c r="K51" s="69" t="n"/>
      <c r="L51" s="69" t="n"/>
      <c r="M51" s="109" t="n"/>
      <c r="N51" s="386" t="n"/>
    </row>
    <row r="52" ht="42" customFormat="1" customHeight="1" s="51">
      <c r="A52" s="67" t="n">
        <v>18</v>
      </c>
      <c r="B52" s="109" t="n"/>
      <c r="C52" s="386" t="n"/>
      <c r="D52" s="69" t="n"/>
      <c r="E52" s="109" t="n"/>
      <c r="F52" s="386" t="n"/>
      <c r="G52" s="109" t="n"/>
      <c r="H52" s="386" t="n"/>
      <c r="I52" s="109" t="n"/>
      <c r="J52" s="386" t="n"/>
      <c r="K52" s="69" t="n"/>
      <c r="L52" s="69" t="n"/>
      <c r="M52" s="109" t="n"/>
      <c r="N52" s="386" t="n"/>
    </row>
    <row r="53" ht="42" customFormat="1" customHeight="1" s="51">
      <c r="A53" s="67" t="n">
        <v>19</v>
      </c>
      <c r="B53" s="109" t="n"/>
      <c r="C53" s="386" t="n"/>
      <c r="D53" s="69" t="n"/>
      <c r="E53" s="109" t="n"/>
      <c r="F53" s="386" t="n"/>
      <c r="G53" s="109" t="n"/>
      <c r="H53" s="386" t="n"/>
      <c r="I53" s="109" t="n"/>
      <c r="J53" s="386" t="n"/>
      <c r="K53" s="69" t="n"/>
      <c r="L53" s="69" t="n"/>
      <c r="M53" s="109" t="n"/>
      <c r="N53" s="386" t="n"/>
    </row>
    <row r="54" ht="42" customFormat="1" customHeight="1" s="51">
      <c r="A54" s="67" t="n">
        <v>20</v>
      </c>
      <c r="B54" s="109" t="n"/>
      <c r="C54" s="386" t="n"/>
      <c r="D54" s="69" t="n"/>
      <c r="E54" s="109" t="n"/>
      <c r="F54" s="386" t="n"/>
      <c r="G54" s="109" t="n"/>
      <c r="H54" s="386" t="n"/>
      <c r="I54" s="109" t="n"/>
      <c r="J54" s="386" t="n"/>
      <c r="K54" s="69" t="n"/>
      <c r="L54" s="69" t="n"/>
      <c r="M54" s="109" t="n"/>
      <c r="N54" s="386" t="n"/>
    </row>
    <row r="55" ht="15.6" customFormat="1" customHeight="1" s="51"/>
    <row r="56" ht="19.5" customFormat="1" customHeight="1" s="50">
      <c r="A56" s="260" t="inlineStr">
        <is>
          <t>4. AGENDA DESARROLLADA</t>
        </is>
      </c>
    </row>
    <row r="57" ht="25.5" customFormat="1" customHeight="1" s="50">
      <c r="A57" s="270" t="inlineStr">
        <is>
          <t>N°</t>
        </is>
      </c>
      <c r="B57" s="270" t="inlineStr">
        <is>
          <t>Hora</t>
        </is>
      </c>
      <c r="C57" s="270" t="inlineStr">
        <is>
          <t>AGENDA</t>
        </is>
      </c>
      <c r="D57" s="385" t="n"/>
      <c r="E57" s="385" t="n"/>
      <c r="F57" s="385" t="n"/>
      <c r="G57" s="386" t="n"/>
      <c r="H57" s="270" t="inlineStr">
        <is>
          <t>Responsable</t>
        </is>
      </c>
      <c r="I57" s="385" t="n"/>
      <c r="J57" s="386" t="n"/>
      <c r="K57" s="270" t="inlineStr">
        <is>
          <t>Resultado / Aporte principal</t>
        </is>
      </c>
      <c r="L57" s="385" t="n"/>
      <c r="M57" s="385" t="n"/>
      <c r="N57" s="386" t="n"/>
    </row>
    <row r="58" ht="40.05" customFormat="1" customHeight="1" s="51">
      <c r="A58" s="67" t="n">
        <v>1</v>
      </c>
      <c r="B58" s="109" t="n"/>
      <c r="C58" s="109" t="n"/>
      <c r="D58" s="385" t="n"/>
      <c r="E58" s="385" t="n"/>
      <c r="F58" s="385" t="n"/>
      <c r="G58" s="386" t="n"/>
      <c r="H58" s="109" t="n"/>
      <c r="I58" s="385" t="n"/>
      <c r="J58" s="386" t="n"/>
      <c r="K58" s="109" t="n"/>
      <c r="L58" s="385" t="n"/>
      <c r="M58" s="385" t="n"/>
      <c r="N58" s="386" t="n"/>
    </row>
    <row r="59" ht="40.05" customFormat="1" customHeight="1" s="51">
      <c r="A59" s="67" t="n">
        <v>2</v>
      </c>
      <c r="B59" s="109" t="n"/>
      <c r="C59" s="109" t="n"/>
      <c r="D59" s="385" t="n"/>
      <c r="E59" s="385" t="n"/>
      <c r="F59" s="385" t="n"/>
      <c r="G59" s="386" t="n"/>
      <c r="H59" s="109" t="n"/>
      <c r="I59" s="385" t="n"/>
      <c r="J59" s="386" t="n"/>
      <c r="K59" s="109" t="n"/>
      <c r="L59" s="385" t="n"/>
      <c r="M59" s="385" t="n"/>
      <c r="N59" s="386" t="n"/>
    </row>
    <row r="60" ht="40.05" customFormat="1" customHeight="1" s="51">
      <c r="A60" s="67" t="n">
        <v>3</v>
      </c>
      <c r="B60" s="109" t="n"/>
      <c r="C60" s="109" t="n"/>
      <c r="D60" s="385" t="n"/>
      <c r="E60" s="385" t="n"/>
      <c r="F60" s="385" t="n"/>
      <c r="G60" s="386" t="n"/>
      <c r="H60" s="109" t="n"/>
      <c r="I60" s="385" t="n"/>
      <c r="J60" s="386" t="n"/>
      <c r="K60" s="109" t="n"/>
      <c r="L60" s="385" t="n"/>
      <c r="M60" s="385" t="n"/>
      <c r="N60" s="386" t="n"/>
    </row>
    <row r="61" ht="40.05" customFormat="1" customHeight="1" s="51">
      <c r="A61" s="67" t="n">
        <v>4</v>
      </c>
      <c r="B61" s="109" t="n"/>
      <c r="C61" s="109" t="n"/>
      <c r="D61" s="385" t="n"/>
      <c r="E61" s="385" t="n"/>
      <c r="F61" s="385" t="n"/>
      <c r="G61" s="386" t="n"/>
      <c r="H61" s="109" t="n"/>
      <c r="I61" s="385" t="n"/>
      <c r="J61" s="386" t="n"/>
      <c r="K61" s="109" t="n"/>
      <c r="L61" s="385" t="n"/>
      <c r="M61" s="385" t="n"/>
      <c r="N61" s="386" t="n"/>
    </row>
    <row r="62" ht="40.05" customFormat="1" customHeight="1" s="51">
      <c r="A62" s="67" t="n">
        <v>5</v>
      </c>
      <c r="B62" s="109" t="n"/>
      <c r="C62" s="109" t="n"/>
      <c r="D62" s="385" t="n"/>
      <c r="E62" s="385" t="n"/>
      <c r="F62" s="385" t="n"/>
      <c r="G62" s="386" t="n"/>
      <c r="H62" s="109" t="n"/>
      <c r="I62" s="385" t="n"/>
      <c r="J62" s="386" t="n"/>
      <c r="K62" s="109" t="n"/>
      <c r="L62" s="385" t="n"/>
      <c r="M62" s="385" t="n"/>
      <c r="N62" s="386" t="n"/>
    </row>
    <row r="63" ht="15.6" customFormat="1" customHeight="1" s="51"/>
    <row r="64" ht="19.5" customFormat="1" customHeight="1" s="50">
      <c r="A64" s="260" t="inlineStr">
        <is>
          <t>5. ACUERDOS Y COMPROMISOS</t>
        </is>
      </c>
    </row>
    <row r="65" ht="25.5" customFormat="1" customHeight="1" s="50">
      <c r="A65" s="270" t="inlineStr">
        <is>
          <t>N°</t>
        </is>
      </c>
      <c r="B65" s="270" t="inlineStr">
        <is>
          <t>Acuerdo / Compromiso</t>
        </is>
      </c>
      <c r="C65" s="385" t="n"/>
      <c r="D65" s="385" t="n"/>
      <c r="E65" s="385" t="n"/>
      <c r="F65" s="386" t="n"/>
      <c r="G65" s="270" t="inlineStr">
        <is>
          <t>Responsable</t>
        </is>
      </c>
      <c r="H65" s="385" t="n"/>
      <c r="I65" s="386" t="n"/>
      <c r="J65" s="270" t="inlineStr">
        <is>
          <t>Plazo</t>
        </is>
      </c>
      <c r="K65" s="386" t="n"/>
      <c r="L65" s="270" t="inlineStr">
        <is>
          <t>Medio de verificación</t>
        </is>
      </c>
      <c r="M65" s="385" t="n"/>
      <c r="N65" s="386" t="n"/>
    </row>
    <row r="66" ht="40.05" customFormat="1" customHeight="1" s="51">
      <c r="A66" s="67" t="n">
        <v>1</v>
      </c>
      <c r="B66" s="109" t="n"/>
      <c r="C66" s="385" t="n"/>
      <c r="D66" s="385" t="n"/>
      <c r="E66" s="385" t="n"/>
      <c r="F66" s="386" t="n"/>
      <c r="G66" s="109" t="n"/>
      <c r="H66" s="385" t="n"/>
      <c r="I66" s="386" t="n"/>
      <c r="J66" s="109" t="n"/>
      <c r="K66" s="386" t="n"/>
      <c r="L66" s="109" t="n"/>
      <c r="M66" s="385" t="n"/>
      <c r="N66" s="386" t="n"/>
    </row>
    <row r="67" ht="40.05" customFormat="1" customHeight="1" s="51">
      <c r="A67" s="67" t="n">
        <v>2</v>
      </c>
      <c r="B67" s="109" t="n"/>
      <c r="C67" s="385" t="n"/>
      <c r="D67" s="385" t="n"/>
      <c r="E67" s="385" t="n"/>
      <c r="F67" s="386" t="n"/>
      <c r="G67" s="109" t="n"/>
      <c r="H67" s="385" t="n"/>
      <c r="I67" s="386" t="n"/>
      <c r="J67" s="109" t="n"/>
      <c r="K67" s="386" t="n"/>
      <c r="L67" s="109" t="n"/>
      <c r="M67" s="385" t="n"/>
      <c r="N67" s="386" t="n"/>
    </row>
    <row r="68" ht="40.05" customFormat="1" customHeight="1" s="51">
      <c r="A68" s="67" t="n">
        <v>3</v>
      </c>
      <c r="B68" s="109" t="n"/>
      <c r="C68" s="385" t="n"/>
      <c r="D68" s="385" t="n"/>
      <c r="E68" s="385" t="n"/>
      <c r="F68" s="386" t="n"/>
      <c r="G68" s="109" t="n"/>
      <c r="H68" s="385" t="n"/>
      <c r="I68" s="386" t="n"/>
      <c r="J68" s="109" t="n"/>
      <c r="K68" s="386" t="n"/>
      <c r="L68" s="109" t="n"/>
      <c r="M68" s="385" t="n"/>
      <c r="N68" s="386" t="n"/>
    </row>
    <row r="69" ht="40.05" customFormat="1" customHeight="1" s="51">
      <c r="A69" s="67" t="n">
        <v>4</v>
      </c>
      <c r="B69" s="109" t="n"/>
      <c r="C69" s="385" t="n"/>
      <c r="D69" s="385" t="n"/>
      <c r="E69" s="385" t="n"/>
      <c r="F69" s="386" t="n"/>
      <c r="G69" s="109" t="n"/>
      <c r="H69" s="385" t="n"/>
      <c r="I69" s="386" t="n"/>
      <c r="J69" s="109" t="n"/>
      <c r="K69" s="386" t="n"/>
      <c r="L69" s="109" t="n"/>
      <c r="M69" s="385" t="n"/>
      <c r="N69" s="386" t="n"/>
    </row>
    <row r="70" ht="40.05" customFormat="1" customHeight="1" s="51">
      <c r="A70" s="67" t="n">
        <v>5</v>
      </c>
      <c r="B70" s="109" t="n"/>
      <c r="C70" s="385" t="n"/>
      <c r="D70" s="385" t="n"/>
      <c r="E70" s="385" t="n"/>
      <c r="F70" s="386" t="n"/>
      <c r="G70" s="109" t="n"/>
      <c r="H70" s="385" t="n"/>
      <c r="I70" s="386" t="n"/>
      <c r="J70" s="109" t="n"/>
      <c r="K70" s="386" t="n"/>
      <c r="L70" s="109" t="n"/>
      <c r="M70" s="385" t="n"/>
      <c r="N70" s="386" t="n"/>
    </row>
    <row r="71" ht="15.6" customFormat="1" customHeight="1" s="51"/>
    <row r="72" ht="15.6" customFormat="1" customHeight="1" s="51"/>
    <row r="73" ht="19.5" customFormat="1" customHeight="1" s="50">
      <c r="A73" s="259" t="inlineStr">
        <is>
          <t>6. CIERRE DEL ACTA</t>
        </is>
      </c>
    </row>
    <row r="74" ht="30" customFormat="1" customHeight="1" s="51">
      <c r="A74" s="118" t="inlineStr">
        <is>
          <t>Siendo las _____ horas del día _____ del mes de _____________ del año 2026, se da por finalizado el taller, firmando los asistentes la presente Acta en señal de conformidad.</t>
        </is>
      </c>
      <c r="B74" s="381" t="n"/>
      <c r="C74" s="381" t="n"/>
      <c r="D74" s="381" t="n"/>
      <c r="E74" s="381" t="n"/>
      <c r="F74" s="381" t="n"/>
      <c r="G74" s="381" t="n"/>
      <c r="H74" s="381" t="n"/>
      <c r="I74" s="381" t="n"/>
      <c r="J74" s="381" t="n"/>
      <c r="K74" s="381" t="n"/>
      <c r="L74" s="381" t="n"/>
      <c r="M74" s="381" t="n"/>
      <c r="N74" s="381" t="n"/>
    </row>
    <row r="75" ht="15.6" customFormat="1" customHeight="1" s="51"/>
    <row r="76" ht="15.6" customFormat="1" customHeight="1" s="51"/>
    <row r="77" ht="15.6" customFormat="1" customHeight="1" s="51"/>
    <row r="78" ht="15.6" customFormat="1" customHeight="1" s="51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</row>
    <row r="79" ht="15.6" customFormat="1" customHeight="1" s="51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</row>
    <row r="80" ht="15" customHeight="1">
      <c r="A80" s="304" t="inlineStr">
        <is>
          <t>_________________________________________</t>
        </is>
      </c>
      <c r="G80" s="55" t="n"/>
      <c r="H80" s="304" t="inlineStr">
        <is>
          <t>_________________________________________</t>
        </is>
      </c>
    </row>
    <row r="81" ht="27.75" customHeight="1">
      <c r="A81" s="305" t="inlineStr">
        <is>
          <t>Presidente/a Comunal o Autoridad local
(Firma / Nombre / DNI)</t>
        </is>
      </c>
      <c r="G81" s="55" t="n"/>
      <c r="H81" s="305" t="inlineStr">
        <is>
          <t>Facilitador/a SESDI
(Firma / Nombre / DNI)</t>
        </is>
      </c>
    </row>
    <row r="82">
      <c r="A82" s="55" t="n"/>
      <c r="B82" s="55" t="n"/>
      <c r="C82" s="55" t="n"/>
      <c r="D82" s="55" t="n"/>
      <c r="E82" s="55" t="n"/>
      <c r="F82" s="55" t="n"/>
      <c r="G82" s="55" t="n"/>
      <c r="H82" s="55" t="n"/>
      <c r="I82" s="55" t="n"/>
      <c r="J82" s="55" t="n"/>
      <c r="K82" s="55" t="n"/>
      <c r="L82" s="55" t="n"/>
      <c r="M82" s="55" t="n"/>
      <c r="N82" s="55" t="n"/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</row>
  </sheetData>
  <mergeCells count="223">
    <mergeCell ref="K61:N61"/>
    <mergeCell ref="H80:N80"/>
    <mergeCell ref="M43:N43"/>
    <mergeCell ref="I22:N22"/>
    <mergeCell ref="I28:N28"/>
    <mergeCell ref="A30:N30"/>
    <mergeCell ref="E31:G31"/>
    <mergeCell ref="C58:G58"/>
    <mergeCell ref="B31:C31"/>
    <mergeCell ref="E15:G15"/>
    <mergeCell ref="E8:F8"/>
    <mergeCell ref="I21:N21"/>
    <mergeCell ref="E51:F51"/>
    <mergeCell ref="K62:N62"/>
    <mergeCell ref="M35:N35"/>
    <mergeCell ref="J68:K68"/>
    <mergeCell ref="A7:B7"/>
    <mergeCell ref="G65:I65"/>
    <mergeCell ref="M54:N54"/>
    <mergeCell ref="A15:D15"/>
    <mergeCell ref="I23:N23"/>
    <mergeCell ref="L69:N69"/>
    <mergeCell ref="C7:E7"/>
    <mergeCell ref="E16:G16"/>
    <mergeCell ref="E34:F34"/>
    <mergeCell ref="A81:F81"/>
    <mergeCell ref="G34:H34"/>
    <mergeCell ref="B38:C38"/>
    <mergeCell ref="I42:J42"/>
    <mergeCell ref="C60:G60"/>
    <mergeCell ref="E49:F49"/>
    <mergeCell ref="M36:N36"/>
    <mergeCell ref="E36:F36"/>
    <mergeCell ref="M45:N45"/>
    <mergeCell ref="A16:D16"/>
    <mergeCell ref="B40:C40"/>
    <mergeCell ref="I52:J52"/>
    <mergeCell ref="B49:C49"/>
    <mergeCell ref="I44:J44"/>
    <mergeCell ref="B22:G22"/>
    <mergeCell ref="M47:N47"/>
    <mergeCell ref="K58:N58"/>
    <mergeCell ref="B51:C51"/>
    <mergeCell ref="I26:N26"/>
    <mergeCell ref="C57:G57"/>
    <mergeCell ref="H58:J58"/>
    <mergeCell ref="M50:N50"/>
    <mergeCell ref="G44:H44"/>
    <mergeCell ref="I13:J13"/>
    <mergeCell ref="A10:N10"/>
    <mergeCell ref="B41:C41"/>
    <mergeCell ref="K13:L13"/>
    <mergeCell ref="B21:G21"/>
    <mergeCell ref="E53:F53"/>
    <mergeCell ref="B35:C35"/>
    <mergeCell ref="L15:N15"/>
    <mergeCell ref="A17:D17"/>
    <mergeCell ref="I25:N25"/>
    <mergeCell ref="H60:J60"/>
    <mergeCell ref="I46:J46"/>
    <mergeCell ref="B23:G23"/>
    <mergeCell ref="M44:N44"/>
    <mergeCell ref="G69:I69"/>
    <mergeCell ref="L8:N8"/>
    <mergeCell ref="A12:C12"/>
    <mergeCell ref="H15:K15"/>
    <mergeCell ref="E48:F48"/>
    <mergeCell ref="G48:H48"/>
    <mergeCell ref="A1:N1"/>
    <mergeCell ref="B70:F70"/>
    <mergeCell ref="E38:F38"/>
    <mergeCell ref="M51:N51"/>
    <mergeCell ref="G38:H38"/>
    <mergeCell ref="I54:J54"/>
    <mergeCell ref="H57:J57"/>
    <mergeCell ref="I41:J41"/>
    <mergeCell ref="D11:N11"/>
    <mergeCell ref="E40:F40"/>
    <mergeCell ref="I20:N20"/>
    <mergeCell ref="B53:C53"/>
    <mergeCell ref="M13:N13"/>
    <mergeCell ref="I29:N29"/>
    <mergeCell ref="G49:H49"/>
    <mergeCell ref="I43:J43"/>
    <mergeCell ref="C59:G59"/>
    <mergeCell ref="A3:N3"/>
    <mergeCell ref="A13:C13"/>
    <mergeCell ref="B37:C37"/>
    <mergeCell ref="M41:N41"/>
    <mergeCell ref="A5:N5"/>
    <mergeCell ref="C61:G61"/>
    <mergeCell ref="A8:B8"/>
    <mergeCell ref="A14:N14"/>
    <mergeCell ref="C8:D8"/>
    <mergeCell ref="B25:G25"/>
    <mergeCell ref="G35:H35"/>
    <mergeCell ref="B68:F68"/>
    <mergeCell ref="L67:N67"/>
    <mergeCell ref="I35:J35"/>
    <mergeCell ref="A4:N4"/>
    <mergeCell ref="H17:K17"/>
    <mergeCell ref="B27:G27"/>
    <mergeCell ref="G8:I8"/>
    <mergeCell ref="E17:G17"/>
    <mergeCell ref="H7:N7"/>
    <mergeCell ref="M53:N53"/>
    <mergeCell ref="H59:J59"/>
    <mergeCell ref="E50:F50"/>
    <mergeCell ref="B54:C54"/>
    <mergeCell ref="G66:I66"/>
    <mergeCell ref="M34:N34"/>
    <mergeCell ref="A24:N24"/>
    <mergeCell ref="G42:H42"/>
    <mergeCell ref="A18:C18"/>
    <mergeCell ref="M52:N52"/>
    <mergeCell ref="I45:J45"/>
    <mergeCell ref="H61:J61"/>
    <mergeCell ref="M49:N49"/>
    <mergeCell ref="E52:F52"/>
    <mergeCell ref="M39:N39"/>
    <mergeCell ref="G68:I68"/>
    <mergeCell ref="E39:F39"/>
    <mergeCell ref="B29:G29"/>
    <mergeCell ref="M48:N48"/>
    <mergeCell ref="F7:G7"/>
    <mergeCell ref="G39:H39"/>
    <mergeCell ref="B43:C43"/>
    <mergeCell ref="E44:F44"/>
    <mergeCell ref="B52:C52"/>
    <mergeCell ref="A6:N6"/>
    <mergeCell ref="I47:J47"/>
    <mergeCell ref="B42:C42"/>
    <mergeCell ref="G37:H37"/>
    <mergeCell ref="I37:J37"/>
    <mergeCell ref="J65:K65"/>
    <mergeCell ref="G13:H13"/>
    <mergeCell ref="M40:N40"/>
    <mergeCell ref="B44:C44"/>
    <mergeCell ref="L65:N65"/>
    <mergeCell ref="E46:F46"/>
    <mergeCell ref="M37:N37"/>
    <mergeCell ref="B34:C34"/>
    <mergeCell ref="A2:N2"/>
    <mergeCell ref="B26:G26"/>
    <mergeCell ref="L17:N17"/>
    <mergeCell ref="J66:K66"/>
    <mergeCell ref="B65:F65"/>
    <mergeCell ref="G51:H51"/>
    <mergeCell ref="D12:N12"/>
    <mergeCell ref="I51:J51"/>
    <mergeCell ref="E54:F54"/>
    <mergeCell ref="G54:H54"/>
    <mergeCell ref="L66:N66"/>
    <mergeCell ref="M38:N38"/>
    <mergeCell ref="E41:F41"/>
    <mergeCell ref="G70:I70"/>
    <mergeCell ref="G41:H41"/>
    <mergeCell ref="B45:C45"/>
    <mergeCell ref="H16:K16"/>
    <mergeCell ref="G50:H50"/>
    <mergeCell ref="I50:J50"/>
    <mergeCell ref="H81:N81"/>
    <mergeCell ref="L68:N68"/>
    <mergeCell ref="E43:F43"/>
    <mergeCell ref="I34:J34"/>
    <mergeCell ref="G43:H43"/>
    <mergeCell ref="D13:F13"/>
    <mergeCell ref="B47:C47"/>
    <mergeCell ref="J67:K67"/>
    <mergeCell ref="G52:H52"/>
    <mergeCell ref="C62:G62"/>
    <mergeCell ref="A80:F80"/>
    <mergeCell ref="A64:N64"/>
    <mergeCell ref="B46:C46"/>
    <mergeCell ref="E42:F42"/>
    <mergeCell ref="I49:J49"/>
    <mergeCell ref="G36:H36"/>
    <mergeCell ref="B66:F66"/>
    <mergeCell ref="A73:N73"/>
    <mergeCell ref="I36:J36"/>
    <mergeCell ref="J69:K69"/>
    <mergeCell ref="K57:N57"/>
    <mergeCell ref="B39:C39"/>
    <mergeCell ref="E35:F35"/>
    <mergeCell ref="B48:C48"/>
    <mergeCell ref="B28:G28"/>
    <mergeCell ref="B67:F67"/>
    <mergeCell ref="L31:N31"/>
    <mergeCell ref="G53:H53"/>
    <mergeCell ref="I53:J53"/>
    <mergeCell ref="A74:N74"/>
    <mergeCell ref="J70:K70"/>
    <mergeCell ref="A56:N56"/>
    <mergeCell ref="B20:G20"/>
    <mergeCell ref="H62:J62"/>
    <mergeCell ref="B69:F69"/>
    <mergeCell ref="M46:N46"/>
    <mergeCell ref="L70:N70"/>
    <mergeCell ref="M42:N42"/>
    <mergeCell ref="E45:F45"/>
    <mergeCell ref="K60:N60"/>
    <mergeCell ref="A33:N33"/>
    <mergeCell ref="G45:H45"/>
    <mergeCell ref="I39:J39"/>
    <mergeCell ref="I48:J48"/>
    <mergeCell ref="D18:N18"/>
    <mergeCell ref="L16:N16"/>
    <mergeCell ref="A11:C11"/>
    <mergeCell ref="I38:J38"/>
    <mergeCell ref="I27:N27"/>
    <mergeCell ref="G47:H47"/>
    <mergeCell ref="G67:I67"/>
    <mergeCell ref="K59:N59"/>
    <mergeCell ref="B36:C36"/>
    <mergeCell ref="E37:F37"/>
    <mergeCell ref="A19:N19"/>
    <mergeCell ref="G46:H46"/>
    <mergeCell ref="B50:C50"/>
    <mergeCell ref="I31:J31"/>
    <mergeCell ref="G40:H40"/>
    <mergeCell ref="J8:K8"/>
    <mergeCell ref="I40:J40"/>
    <mergeCell ref="E47:F47"/>
  </mergeCells>
  <dataValidations count="1">
    <dataValidation sqref="O30" showDropDown="0" showInputMessage="0" showErrorMessage="0" allowBlank="1" type="list">
      <formula1>"Español,Quechua,Bilingüe español-quechua,Otro"</formula1>
    </dataValidation>
  </dataValidations>
  <printOptions horizontalCentered="1"/>
  <pageMargins left="0.15" right="0.15" top="0.75" bottom="0.75" header="0.511811023622047" footer="0.511811023622047"/>
  <pageSetup orientation="portrait" paperSize="9" scale="54" fitToHeight="2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3"/>
  <sheetViews>
    <sheetView zoomScaleNormal="100" workbookViewId="0">
      <pane ySplit="6" topLeftCell="A48" activePane="bottomLeft" state="frozen"/>
      <selection pane="bottomLeft" activeCell="F54" sqref="F54:N54"/>
    </sheetView>
  </sheetViews>
  <sheetFormatPr baseColWidth="10" defaultColWidth="8.6640625" defaultRowHeight="14.4"/>
  <cols>
    <col width="8.5546875" customWidth="1" min="1" max="1"/>
    <col width="8" customWidth="1" min="2" max="2"/>
    <col width="22" customWidth="1" min="3" max="3"/>
    <col width="8" customWidth="1" min="4" max="5"/>
    <col width="26" customWidth="1" min="6" max="6"/>
    <col width="12.33203125" customWidth="1" min="7" max="7"/>
    <col width="26" customWidth="1" min="8" max="8"/>
    <col width="6.77734375" customWidth="1" min="9" max="9"/>
    <col width="10.77734375" customWidth="1" min="10" max="10"/>
    <col width="11.109375" customWidth="1" min="11" max="11"/>
    <col width="6.44140625" customWidth="1" min="12" max="12"/>
    <col width="20" customWidth="1" min="13" max="13"/>
    <col width="10.109375" customWidth="1" min="14" max="14"/>
    <col width="26" customWidth="1" min="15" max="15"/>
  </cols>
  <sheetData>
    <row r="1" ht="19.5" customHeight="1">
      <c r="A1" s="330" t="inlineStr">
        <is>
          <t>AUTORIDAD NACIONAL DE INFRAESTRUCTURA — ANIN</t>
        </is>
      </c>
      <c r="O1" s="390" t="inlineStr">
        <is>
          <t>RESP. ▼</t>
        </is>
      </c>
    </row>
    <row r="2" ht="15" customHeight="1">
      <c r="A2" s="331" t="inlineStr">
        <is>
          <t>DIME — Dirección de Intervenciones Multisectoriales y de Emergencia  |  SESDI — Subdirección de Estudios de Inversión</t>
        </is>
      </c>
    </row>
    <row r="3" ht="13.5" customHeight="1">
      <c r="A3" s="332" t="inlineStr">
        <is>
          <t>PROYECTO IN PIURA  |  CUI 2669244  |  Recuperación de servicios de regulación de riesgos naturales y regulación hídrica — Cuenca Alta del Río Piura</t>
        </is>
      </c>
    </row>
    <row r="4" ht="25.5" customHeight="1">
      <c r="A4" s="333" t="inlineStr">
        <is>
          <t>F-DS-05: CONFLICTOS SOCIOAMBIENTALES Y OPORTUNIDADES</t>
        </is>
      </c>
    </row>
    <row r="5" ht="18.6" customFormat="1" customHeight="1" s="54">
      <c r="A5" s="285" t="inlineStr">
        <is>
          <t>Inventario de conflictos vigentes/latentes — especial atención al contexto Río Blanco — y oportunidades de articulación.  Usar códigos de la hoja «_Codigos». Marcar con «X» las casillas del contexto.</t>
        </is>
      </c>
    </row>
    <row r="6" ht="19.5" customFormat="1" customHeight="1" s="72">
      <c r="A6" s="334" t="inlineStr">
        <is>
          <t>1. DATOS GENERALES</t>
        </is>
      </c>
    </row>
    <row r="7" ht="32.4" customFormat="1" customHeight="1" s="51">
      <c r="A7" s="310" t="inlineStr">
        <is>
          <t>Fecha *</t>
        </is>
      </c>
      <c r="B7" s="381" t="n"/>
      <c r="C7" s="381" t="n"/>
      <c r="D7" s="118" t="n"/>
      <c r="E7" s="381" t="n"/>
      <c r="F7" s="381" t="n"/>
      <c r="G7" s="310" t="inlineStr">
        <is>
          <t>Responsable *</t>
        </is>
      </c>
      <c r="H7" s="381" t="n"/>
      <c r="I7" s="381" t="n"/>
      <c r="J7" s="109" t="n"/>
      <c r="K7" s="385" t="n"/>
      <c r="L7" s="385" t="n"/>
      <c r="M7" s="385" t="n"/>
      <c r="N7" s="386" t="n"/>
    </row>
    <row r="8" ht="27.6" customFormat="1" customHeight="1" s="51" thickBot="1">
      <c r="A8" s="310" t="inlineStr">
        <is>
          <t>Código Bloque *</t>
        </is>
      </c>
      <c r="B8" s="381" t="n"/>
      <c r="C8" s="381" t="n"/>
      <c r="D8" s="311" t="n"/>
      <c r="E8" s="432" t="n"/>
      <c r="F8" s="114" t="inlineStr">
        <is>
          <t>Microcuenca</t>
        </is>
      </c>
      <c r="G8" s="381" t="n"/>
      <c r="H8" s="312">
        <f>IFERROR(VLOOKUP($D$8,_Datos!$A$2:$H$128,2,FALSE()),"")</f>
        <v/>
      </c>
      <c r="I8" s="381" t="n"/>
      <c r="J8" s="381" t="n"/>
      <c r="K8" s="326" t="inlineStr">
        <is>
          <t>Distrito</t>
        </is>
      </c>
      <c r="L8" s="404" t="n"/>
      <c r="M8" s="327">
        <f>IFERROR(VLOOKUP($D$8,_Datos!$A$2:$H$128,4,FALSE()),"")</f>
        <v/>
      </c>
      <c r="N8" s="429" t="n"/>
    </row>
    <row r="9" ht="19.5" customFormat="1" customHeight="1" s="72">
      <c r="A9" s="328" t="inlineStr">
        <is>
          <t>LEYENDA RÁPIDA DE CÓDIGOS (ver hoja _Codigos)</t>
        </is>
      </c>
    </row>
    <row r="10" ht="35.4" customHeight="1">
      <c r="A10" s="329" t="inlineStr">
        <is>
          <t>TIPO: SM=Minero | SH=Hídrico | SF=Forestal | TL=Tenencia | UR=Uso RRNN | PE=Extractivo | OP=Obras públ. | CU=Cultural | LP=Política | IF=Interpersonal | II=Interinst. | OT=Otro</t>
        </is>
      </c>
      <c r="B10" s="381" t="n"/>
      <c r="C10" s="381" t="n"/>
      <c r="D10" s="381" t="n"/>
      <c r="E10" s="381" t="n"/>
      <c r="F10" s="381" t="n"/>
      <c r="G10" s="381" t="n"/>
      <c r="H10" s="329" t="inlineStr">
        <is>
          <t>ESTADO: LT=Latente | ES=Escalada | AC=Activo | NG=Negociación | RS=Resuelto    ||    ANTIG: 1=&lt;1año | 2=1-3a | 3=3-5a | 4=5-10a | 5=&gt;10a | 6=Histórico</t>
        </is>
      </c>
      <c r="I10" s="381" t="n"/>
      <c r="J10" s="381" t="n"/>
      <c r="K10" s="381" t="n"/>
      <c r="L10" s="381" t="n"/>
      <c r="M10" s="381" t="n"/>
      <c r="N10" s="381" t="n"/>
    </row>
    <row r="11" ht="19.5" customFormat="1" customHeight="1" s="74">
      <c r="A11" s="322" t="inlineStr">
        <is>
          <t>2. IDENTIFICACIÓN DE CONFLICTOS</t>
        </is>
      </c>
    </row>
    <row r="12" ht="13.5" customFormat="1" customHeight="1" s="51">
      <c r="A12" s="323" t="inlineStr">
        <is>
          <t>Registre todos los conflictos: activos, latentes y resueltos recientes que puedan reactivarse. Usar códigos de la leyenda.</t>
        </is>
      </c>
    </row>
    <row r="13" ht="30" customFormat="1" customHeight="1" s="74">
      <c r="A13" s="324" t="inlineStr">
        <is>
          <t>N°</t>
        </is>
      </c>
      <c r="B13" s="324" t="inlineStr">
        <is>
          <t>Tipo</t>
        </is>
      </c>
      <c r="C13" s="324" t="inlineStr">
        <is>
          <t>Actores involucrados</t>
        </is>
      </c>
      <c r="D13" s="385" t="n"/>
      <c r="E13" s="386" t="n"/>
      <c r="F13" s="324" t="inlineStr">
        <is>
          <t>Estado</t>
        </is>
      </c>
      <c r="G13" s="324" t="inlineStr">
        <is>
          <t>Antig.</t>
        </is>
      </c>
      <c r="H13" s="324" t="inlineStr">
        <is>
          <t>Descripción / Causa raíz</t>
        </is>
      </c>
      <c r="I13" s="385" t="n"/>
      <c r="J13" s="386" t="n"/>
      <c r="K13" s="324" t="inlineStr">
        <is>
          <t>Impacto potencial en el proyecto</t>
        </is>
      </c>
      <c r="L13" s="385" t="n"/>
      <c r="M13" s="385" t="n"/>
      <c r="N13" s="386" t="n"/>
    </row>
    <row r="14" ht="34.95" customFormat="1" customHeight="1" s="51">
      <c r="A14" s="67" t="n">
        <v>1</v>
      </c>
      <c r="B14" s="430" t="inlineStr">
        <is>
          <t>▼</t>
        </is>
      </c>
      <c r="C14" s="109" t="n"/>
      <c r="D14" s="385" t="n"/>
      <c r="E14" s="386" t="n"/>
      <c r="F14" s="80" t="n"/>
      <c r="G14" s="80" t="n"/>
      <c r="H14" s="109" t="n"/>
      <c r="I14" s="385" t="n"/>
      <c r="J14" s="386" t="n"/>
      <c r="K14" s="109" t="n"/>
      <c r="L14" s="385" t="n"/>
      <c r="M14" s="385" t="n"/>
      <c r="N14" s="386" t="n"/>
    </row>
    <row r="15" ht="34.95" customFormat="1" customHeight="1" s="51">
      <c r="A15" s="67" t="n">
        <v>2</v>
      </c>
      <c r="B15" s="430" t="inlineStr">
        <is>
          <t>▼</t>
        </is>
      </c>
      <c r="C15" s="109" t="n"/>
      <c r="D15" s="385" t="n"/>
      <c r="E15" s="386" t="n"/>
      <c r="F15" s="80" t="n"/>
      <c r="G15" s="80" t="n"/>
      <c r="H15" s="109" t="n"/>
      <c r="I15" s="385" t="n"/>
      <c r="J15" s="386" t="n"/>
      <c r="K15" s="109" t="n"/>
      <c r="L15" s="385" t="n"/>
      <c r="M15" s="385" t="n"/>
      <c r="N15" s="386" t="n"/>
    </row>
    <row r="16" ht="34.95" customFormat="1" customHeight="1" s="51">
      <c r="A16" s="67" t="n">
        <v>3</v>
      </c>
      <c r="B16" s="430" t="inlineStr">
        <is>
          <t>▼</t>
        </is>
      </c>
      <c r="C16" s="109" t="n"/>
      <c r="D16" s="385" t="n"/>
      <c r="E16" s="386" t="n"/>
      <c r="F16" s="80" t="n"/>
      <c r="G16" s="80" t="n"/>
      <c r="H16" s="109" t="n"/>
      <c r="I16" s="385" t="n"/>
      <c r="J16" s="386" t="n"/>
      <c r="K16" s="109" t="n"/>
      <c r="L16" s="385" t="n"/>
      <c r="M16" s="385" t="n"/>
      <c r="N16" s="386" t="n"/>
    </row>
    <row r="17" ht="34.95" customFormat="1" customHeight="1" s="51">
      <c r="A17" s="67" t="n">
        <v>4</v>
      </c>
      <c r="B17" s="430" t="inlineStr">
        <is>
          <t>▼</t>
        </is>
      </c>
      <c r="C17" s="109" t="n"/>
      <c r="D17" s="385" t="n"/>
      <c r="E17" s="386" t="n"/>
      <c r="F17" s="80" t="n"/>
      <c r="G17" s="80" t="n"/>
      <c r="H17" s="109" t="n"/>
      <c r="I17" s="385" t="n"/>
      <c r="J17" s="386" t="n"/>
      <c r="K17" s="109" t="n"/>
      <c r="L17" s="385" t="n"/>
      <c r="M17" s="385" t="n"/>
      <c r="N17" s="386" t="n"/>
    </row>
    <row r="18" ht="34.95" customFormat="1" customHeight="1" s="51">
      <c r="A18" s="67" t="n">
        <v>5</v>
      </c>
      <c r="B18" s="430" t="inlineStr">
        <is>
          <t>▼</t>
        </is>
      </c>
      <c r="C18" s="109" t="n"/>
      <c r="D18" s="385" t="n"/>
      <c r="E18" s="386" t="n"/>
      <c r="F18" s="80" t="n"/>
      <c r="G18" s="80" t="n"/>
      <c r="H18" s="109" t="n"/>
      <c r="I18" s="385" t="n"/>
      <c r="J18" s="386" t="n"/>
      <c r="K18" s="109" t="n"/>
      <c r="L18" s="385" t="n"/>
      <c r="M18" s="385" t="n"/>
      <c r="N18" s="386" t="n"/>
    </row>
    <row r="19" ht="34.95" customFormat="1" customHeight="1" s="51">
      <c r="A19" s="67" t="n">
        <v>6</v>
      </c>
      <c r="B19" s="430" t="inlineStr">
        <is>
          <t>▼</t>
        </is>
      </c>
      <c r="C19" s="109" t="n"/>
      <c r="D19" s="385" t="n"/>
      <c r="E19" s="386" t="n"/>
      <c r="F19" s="80" t="n"/>
      <c r="G19" s="80" t="n"/>
      <c r="H19" s="109" t="n"/>
      <c r="I19" s="385" t="n"/>
      <c r="J19" s="386" t="n"/>
      <c r="K19" s="109" t="n"/>
      <c r="L19" s="385" t="n"/>
      <c r="M19" s="385" t="n"/>
      <c r="N19" s="386" t="n"/>
    </row>
    <row r="20" ht="34.95" customFormat="1" customHeight="1" s="51">
      <c r="A20" s="67" t="n">
        <v>7</v>
      </c>
      <c r="B20" s="430" t="inlineStr">
        <is>
          <t>▼</t>
        </is>
      </c>
      <c r="C20" s="109" t="n"/>
      <c r="D20" s="385" t="n"/>
      <c r="E20" s="386" t="n"/>
      <c r="F20" s="80" t="n"/>
      <c r="G20" s="80" t="n"/>
      <c r="H20" s="109" t="n"/>
      <c r="I20" s="385" t="n"/>
      <c r="J20" s="386" t="n"/>
      <c r="K20" s="109" t="n"/>
      <c r="L20" s="385" t="n"/>
      <c r="M20" s="385" t="n"/>
      <c r="N20" s="386" t="n"/>
    </row>
    <row r="21" ht="34.95" customFormat="1" customHeight="1" s="51">
      <c r="A21" s="67" t="n">
        <v>8</v>
      </c>
      <c r="B21" s="430" t="inlineStr">
        <is>
          <t>▼</t>
        </is>
      </c>
      <c r="C21" s="109" t="n"/>
      <c r="D21" s="385" t="n"/>
      <c r="E21" s="386" t="n"/>
      <c r="F21" s="80" t="n"/>
      <c r="G21" s="80" t="n"/>
      <c r="H21" s="109" t="n"/>
      <c r="I21" s="385" t="n"/>
      <c r="J21" s="386" t="n"/>
      <c r="K21" s="109" t="n"/>
      <c r="L21" s="385" t="n"/>
      <c r="M21" s="385" t="n"/>
      <c r="N21" s="386" t="n"/>
    </row>
    <row r="22" ht="15.6" customFormat="1" customHeight="1" s="51"/>
    <row r="23" ht="19.5" customFormat="1" customHeight="1" s="51" thickBot="1">
      <c r="A23" s="115" t="inlineStr">
        <is>
          <t>3. CONTEXTO ESPECÍFICO — CONFLICTO MINERO RÍO BLANCO Y OTROS REFERENTES</t>
        </is>
      </c>
    </row>
    <row r="24" ht="24.6" customFormat="1" customHeight="1" s="51">
      <c r="A24" s="114" t="inlineStr">
        <is>
          <t>¿La comunidad tiene vínculo histórico con el conflicto Río Blanco (desde 2007)?</t>
        </is>
      </c>
      <c r="B24" s="381" t="n"/>
      <c r="C24" s="381" t="n"/>
      <c r="D24" s="381" t="n"/>
      <c r="E24" s="381" t="n"/>
      <c r="F24" s="381" t="n"/>
      <c r="G24" s="381" t="n"/>
      <c r="H24" s="381" t="n"/>
      <c r="I24" s="75" t="n"/>
      <c r="J24" s="77" t="inlineStr">
        <is>
          <t>Sí</t>
        </is>
      </c>
      <c r="K24" s="75" t="n"/>
      <c r="L24" s="77" t="inlineStr">
        <is>
          <t>No</t>
        </is>
      </c>
      <c r="M24" s="75" t="n"/>
      <c r="N24" s="77" t="inlineStr">
        <is>
          <t>N/A</t>
        </is>
      </c>
      <c r="O24" s="393" t="inlineStr">
        <is>
          <t>▼</t>
        </is>
      </c>
    </row>
    <row r="25" ht="24.6" customFormat="1" customHeight="1" s="51">
      <c r="A25" s="114" t="inlineStr">
        <is>
          <t>¿La comunidad fue parte de la consulta de 2007?</t>
        </is>
      </c>
      <c r="B25" s="381" t="n"/>
      <c r="C25" s="381" t="n"/>
      <c r="D25" s="381" t="n"/>
      <c r="E25" s="381" t="n"/>
      <c r="F25" s="381" t="n"/>
      <c r="G25" s="381" t="n"/>
      <c r="H25" s="381" t="n"/>
      <c r="I25" s="75" t="n"/>
      <c r="J25" s="77" t="inlineStr">
        <is>
          <t>Sí</t>
        </is>
      </c>
      <c r="K25" s="75" t="n"/>
      <c r="L25" s="77" t="inlineStr">
        <is>
          <t>No</t>
        </is>
      </c>
      <c r="M25" s="75" t="n"/>
      <c r="N25" s="77" t="inlineStr">
        <is>
          <t>N/A</t>
        </is>
      </c>
      <c r="O25" s="393" t="inlineStr">
        <is>
          <t>▼</t>
        </is>
      </c>
    </row>
    <row r="26" ht="24.6" customFormat="1" customHeight="1" s="51">
      <c r="A26" s="114" t="inlineStr">
        <is>
          <t>¿Persiste sentimiento anti-minero fuerte?</t>
        </is>
      </c>
      <c r="B26" s="381" t="n"/>
      <c r="C26" s="381" t="n"/>
      <c r="D26" s="381" t="n"/>
      <c r="E26" s="381" t="n"/>
      <c r="F26" s="381" t="n"/>
      <c r="G26" s="381" t="n"/>
      <c r="H26" s="381" t="n"/>
      <c r="I26" s="75" t="n"/>
      <c r="J26" s="77" t="inlineStr">
        <is>
          <t>Sí</t>
        </is>
      </c>
      <c r="K26" s="75" t="n"/>
      <c r="L26" s="77" t="inlineStr">
        <is>
          <t>No</t>
        </is>
      </c>
      <c r="M26" s="75" t="n"/>
      <c r="N26" s="77" t="inlineStr">
        <is>
          <t>N/A</t>
        </is>
      </c>
      <c r="O26" s="393" t="inlineStr">
        <is>
          <t>▼</t>
        </is>
      </c>
    </row>
    <row r="27" ht="24.6" customFormat="1" customHeight="1" s="51" thickBot="1">
      <c r="A27" s="114" t="inlineStr">
        <is>
          <t>¿Hay liderazgos activos en el movimiento anti-minero?</t>
        </is>
      </c>
      <c r="B27" s="381" t="n"/>
      <c r="C27" s="381" t="n"/>
      <c r="D27" s="381" t="n"/>
      <c r="E27" s="381" t="n"/>
      <c r="F27" s="381" t="n"/>
      <c r="G27" s="381" t="n"/>
      <c r="H27" s="381" t="n"/>
      <c r="I27" s="75" t="n"/>
      <c r="J27" s="77" t="inlineStr">
        <is>
          <t>Sí</t>
        </is>
      </c>
      <c r="K27" s="75" t="n"/>
      <c r="L27" s="77" t="inlineStr">
        <is>
          <t>No</t>
        </is>
      </c>
      <c r="M27" s="75" t="n"/>
      <c r="N27" s="77" t="inlineStr">
        <is>
          <t>N/A</t>
        </is>
      </c>
      <c r="O27" s="393" t="inlineStr">
        <is>
          <t>▼</t>
        </is>
      </c>
    </row>
    <row r="28" ht="24.6" customFormat="1" customHeight="1" s="51" thickBot="1">
      <c r="A28" s="114" t="inlineStr">
        <is>
          <t>¿Se diferencia el proyecto IN del contexto minero?</t>
        </is>
      </c>
      <c r="B28" s="381" t="n"/>
      <c r="C28" s="381" t="n"/>
      <c r="D28" s="381" t="n"/>
      <c r="E28" s="381" t="n"/>
      <c r="F28" s="381" t="n"/>
      <c r="G28" s="381" t="n"/>
      <c r="H28" s="381" t="n"/>
      <c r="I28" s="82" t="n"/>
      <c r="J28" s="77" t="inlineStr">
        <is>
          <t>Sí</t>
        </is>
      </c>
      <c r="K28" s="82" t="n"/>
      <c r="L28" s="77" t="inlineStr">
        <is>
          <t>No</t>
        </is>
      </c>
      <c r="M28" s="82" t="n"/>
      <c r="N28" s="77" t="inlineStr">
        <is>
          <t>N/A</t>
        </is>
      </c>
      <c r="O28" s="393" t="inlineStr">
        <is>
          <t>▼</t>
        </is>
      </c>
    </row>
    <row r="29" ht="24.6" customFormat="1" customHeight="1" s="51" thickBot="1">
      <c r="A29" s="317" t="inlineStr">
        <is>
          <t>Otros conflictos relevantes (Tambogrande, Majaz, otros)</t>
        </is>
      </c>
      <c r="B29" s="381" t="n"/>
      <c r="C29" s="381" t="n"/>
      <c r="D29" s="381" t="n"/>
      <c r="E29" s="381" t="n"/>
      <c r="F29" s="381" t="n"/>
      <c r="G29" s="381" t="n"/>
      <c r="H29" s="381" t="n"/>
      <c r="I29" s="437" t="n"/>
      <c r="J29" s="395" t="n"/>
      <c r="K29" s="395" t="n"/>
      <c r="L29" s="395" t="n"/>
      <c r="M29" s="395" t="n"/>
      <c r="N29" s="396" t="n"/>
    </row>
    <row r="30" ht="24.6" customFormat="1" customHeight="1" s="51">
      <c r="A30" s="114" t="inlineStr">
        <is>
          <t>Rol de las rondas en conflictos históricos</t>
        </is>
      </c>
      <c r="B30" s="381" t="n"/>
      <c r="C30" s="381" t="n"/>
      <c r="D30" s="381" t="n"/>
      <c r="E30" s="118" t="n"/>
      <c r="F30" s="381" t="n"/>
      <c r="G30" s="381" t="n"/>
      <c r="H30" s="381" t="n"/>
      <c r="I30" s="381" t="n"/>
      <c r="J30" s="381" t="n"/>
      <c r="K30" s="381" t="n"/>
      <c r="L30" s="381" t="n"/>
      <c r="M30" s="381" t="n"/>
      <c r="N30" s="381" t="n"/>
    </row>
    <row r="31" ht="30" customFormat="1" customHeight="1" s="51">
      <c r="A31" s="114" t="inlineStr">
        <is>
          <t>3.1  Nivel de polarización actual en la comunidad (marcar uno)</t>
        </is>
      </c>
      <c r="B31" s="381" t="n"/>
      <c r="C31" s="381" t="n"/>
      <c r="D31" s="381" t="n"/>
      <c r="E31" s="381" t="n"/>
      <c r="F31" s="381" t="n"/>
      <c r="G31" s="381" t="n"/>
      <c r="H31" s="381" t="n"/>
      <c r="I31" s="381" t="n"/>
      <c r="J31" s="381" t="n"/>
      <c r="K31" s="381" t="n"/>
      <c r="L31" s="381" t="n"/>
      <c r="M31" s="381" t="n"/>
      <c r="N31" s="381" t="n"/>
      <c r="O31" s="393" t="inlineStr">
        <is>
          <t>▼</t>
        </is>
      </c>
    </row>
    <row r="32" ht="18" customFormat="1" customHeight="1" s="51">
      <c r="A32" s="75" t="n"/>
      <c r="B32" s="309" t="inlineStr">
        <is>
          <t>Muy alto</t>
        </is>
      </c>
      <c r="C32" s="381" t="n"/>
      <c r="D32" s="381" t="n"/>
      <c r="E32" s="381" t="n"/>
      <c r="F32" s="75" t="n"/>
      <c r="G32" s="309" t="inlineStr">
        <is>
          <t>Alto</t>
        </is>
      </c>
      <c r="H32" s="381" t="n"/>
      <c r="I32" s="381" t="n"/>
      <c r="J32" s="381" t="n"/>
      <c r="K32" s="75" t="n"/>
      <c r="L32" s="309" t="inlineStr">
        <is>
          <t>Medio</t>
        </is>
      </c>
      <c r="M32" s="381" t="n"/>
      <c r="N32" s="381" t="n"/>
    </row>
    <row r="33" ht="18" customFormat="1" customHeight="1" s="51" thickBot="1">
      <c r="A33" s="75" t="n"/>
      <c r="B33" s="309" t="inlineStr">
        <is>
          <t>Bajo</t>
        </is>
      </c>
      <c r="C33" s="381" t="n"/>
      <c r="D33" s="381" t="n"/>
      <c r="E33" s="381" t="n"/>
      <c r="F33" s="75" t="n"/>
      <c r="G33" s="309" t="inlineStr">
        <is>
          <t>Muy bajo / Inexistente</t>
        </is>
      </c>
      <c r="H33" s="381" t="n"/>
      <c r="I33" s="381" t="n"/>
      <c r="J33" s="381" t="n"/>
      <c r="K33" s="76" t="n"/>
      <c r="L33" s="119" t="n"/>
      <c r="M33" s="381" t="n"/>
      <c r="N33" s="381" t="n"/>
    </row>
    <row r="34" ht="19.5" customFormat="1" customHeight="1" s="50">
      <c r="A34" s="260" t="inlineStr">
        <is>
          <t>4. IDENTIFICACIÓN DE OPORTUNIDADES</t>
        </is>
      </c>
    </row>
    <row r="35" ht="27.75" customFormat="1" customHeight="1" s="50">
      <c r="A35" s="52" t="inlineStr">
        <is>
          <t>N°</t>
        </is>
      </c>
      <c r="B35" s="315" t="inlineStr">
        <is>
          <t>Oportunidad identificada</t>
        </is>
      </c>
      <c r="C35" s="381" t="n"/>
      <c r="D35" s="381" t="n"/>
      <c r="E35" s="315" t="inlineStr">
        <is>
          <t>Actores relacionados</t>
        </is>
      </c>
      <c r="F35" s="381" t="n"/>
      <c r="G35" s="381" t="n"/>
      <c r="H35" s="315" t="inlineStr">
        <is>
          <t>Tipo (alianza /
plataforma / proy.)</t>
        </is>
      </c>
      <c r="I35" s="381" t="n"/>
      <c r="J35" s="52" t="inlineStr">
        <is>
          <t>Potencial</t>
        </is>
      </c>
      <c r="K35" s="315" t="inlineStr">
        <is>
          <t>Cómo aprovecharla</t>
        </is>
      </c>
      <c r="L35" s="381" t="n"/>
      <c r="M35" s="381" t="n"/>
      <c r="N35" s="381" t="n"/>
    </row>
    <row r="36" ht="21.75" customFormat="1" customHeight="1" s="51">
      <c r="A36" s="64" t="n">
        <v>1</v>
      </c>
      <c r="B36" s="118" t="n"/>
      <c r="C36" s="381" t="n"/>
      <c r="D36" s="381" t="n"/>
      <c r="E36" s="118" t="n"/>
      <c r="F36" s="381" t="n"/>
      <c r="G36" s="381" t="n"/>
      <c r="H36" s="118" t="n"/>
      <c r="I36" s="381" t="n"/>
      <c r="J36" s="79" t="n"/>
      <c r="K36" s="118" t="n"/>
      <c r="L36" s="381" t="n"/>
      <c r="M36" s="381" t="n"/>
      <c r="N36" s="381" t="n"/>
    </row>
    <row r="37" ht="21.75" customFormat="1" customHeight="1" s="51">
      <c r="A37" s="64" t="n">
        <v>2</v>
      </c>
      <c r="B37" s="118" t="n"/>
      <c r="C37" s="381" t="n"/>
      <c r="D37" s="381" t="n"/>
      <c r="E37" s="118" t="n"/>
      <c r="F37" s="381" t="n"/>
      <c r="G37" s="381" t="n"/>
      <c r="H37" s="118" t="n"/>
      <c r="I37" s="381" t="n"/>
      <c r="J37" s="79" t="n"/>
      <c r="K37" s="118" t="n"/>
      <c r="L37" s="381" t="n"/>
      <c r="M37" s="381" t="n"/>
      <c r="N37" s="381" t="n"/>
    </row>
    <row r="38" ht="21.75" customFormat="1" customHeight="1" s="51">
      <c r="A38" s="64" t="n">
        <v>3</v>
      </c>
      <c r="B38" s="118" t="n"/>
      <c r="C38" s="381" t="n"/>
      <c r="D38" s="381" t="n"/>
      <c r="E38" s="118" t="n"/>
      <c r="F38" s="381" t="n"/>
      <c r="G38" s="381" t="n"/>
      <c r="H38" s="118" t="n"/>
      <c r="I38" s="381" t="n"/>
      <c r="J38" s="79" t="n"/>
      <c r="K38" s="118" t="n"/>
      <c r="L38" s="381" t="n"/>
      <c r="M38" s="381" t="n"/>
      <c r="N38" s="381" t="n"/>
    </row>
    <row r="39" ht="21.75" customFormat="1" customHeight="1" s="51">
      <c r="A39" s="64" t="n">
        <v>4</v>
      </c>
      <c r="B39" s="118" t="n"/>
      <c r="C39" s="381" t="n"/>
      <c r="D39" s="381" t="n"/>
      <c r="E39" s="118" t="n"/>
      <c r="F39" s="381" t="n"/>
      <c r="G39" s="381" t="n"/>
      <c r="H39" s="118" t="n"/>
      <c r="I39" s="381" t="n"/>
      <c r="J39" s="79" t="n"/>
      <c r="K39" s="118" t="n"/>
      <c r="L39" s="381" t="n"/>
      <c r="M39" s="381" t="n"/>
      <c r="N39" s="381" t="n"/>
    </row>
    <row r="40" ht="21.75" customFormat="1" customHeight="1" s="51">
      <c r="A40" s="64" t="n">
        <v>5</v>
      </c>
      <c r="B40" s="118" t="n"/>
      <c r="C40" s="381" t="n"/>
      <c r="D40" s="381" t="n"/>
      <c r="E40" s="118" t="n"/>
      <c r="F40" s="381" t="n"/>
      <c r="G40" s="381" t="n"/>
      <c r="H40" s="118" t="n"/>
      <c r="I40" s="381" t="n"/>
      <c r="J40" s="79" t="n"/>
      <c r="K40" s="118" t="n"/>
      <c r="L40" s="381" t="n"/>
      <c r="M40" s="381" t="n"/>
      <c r="N40" s="381" t="n"/>
    </row>
    <row r="41" ht="21.75" customFormat="1" customHeight="1" s="51">
      <c r="A41" s="64" t="n">
        <v>6</v>
      </c>
      <c r="B41" s="118" t="n"/>
      <c r="C41" s="381" t="n"/>
      <c r="D41" s="381" t="n"/>
      <c r="E41" s="118" t="n"/>
      <c r="F41" s="381" t="n"/>
      <c r="G41" s="381" t="n"/>
      <c r="H41" s="118" t="n"/>
      <c r="I41" s="381" t="n"/>
      <c r="J41" s="79" t="n"/>
      <c r="K41" s="118" t="n"/>
      <c r="L41" s="381" t="n"/>
      <c r="M41" s="381" t="n"/>
      <c r="N41" s="381" t="n"/>
    </row>
    <row r="42" ht="21.75" customFormat="1" customHeight="1" s="51">
      <c r="A42" s="64" t="n">
        <v>7</v>
      </c>
      <c r="B42" s="118" t="n"/>
      <c r="C42" s="381" t="n"/>
      <c r="D42" s="381" t="n"/>
      <c r="E42" s="118" t="n"/>
      <c r="F42" s="381" t="n"/>
      <c r="G42" s="381" t="n"/>
      <c r="H42" s="118" t="n"/>
      <c r="I42" s="381" t="n"/>
      <c r="J42" s="79" t="n"/>
      <c r="K42" s="118" t="n"/>
      <c r="L42" s="381" t="n"/>
      <c r="M42" s="381" t="n"/>
      <c r="N42" s="381" t="n"/>
    </row>
    <row r="43" ht="21.75" customFormat="1" customHeight="1" s="51">
      <c r="A43" s="64" t="n">
        <v>8</v>
      </c>
      <c r="B43" s="118" t="n"/>
      <c r="C43" s="381" t="n"/>
      <c r="D43" s="381" t="n"/>
      <c r="E43" s="118" t="n"/>
      <c r="F43" s="381" t="n"/>
      <c r="G43" s="381" t="n"/>
      <c r="H43" s="118" t="n"/>
      <c r="I43" s="381" t="n"/>
      <c r="J43" s="79" t="n"/>
      <c r="K43" s="118" t="n"/>
      <c r="L43" s="381" t="n"/>
      <c r="M43" s="381" t="n"/>
      <c r="N43" s="381" t="n"/>
    </row>
    <row r="44" ht="21.75" customFormat="1" customHeight="1" s="51">
      <c r="A44" s="64" t="n">
        <v>9</v>
      </c>
      <c r="B44" s="118" t="n"/>
      <c r="C44" s="381" t="n"/>
      <c r="D44" s="381" t="n"/>
      <c r="E44" s="118" t="n"/>
      <c r="F44" s="381" t="n"/>
      <c r="G44" s="381" t="n"/>
      <c r="H44" s="118" t="n"/>
      <c r="I44" s="381" t="n"/>
      <c r="J44" s="79" t="n"/>
      <c r="K44" s="118" t="n"/>
      <c r="L44" s="381" t="n"/>
      <c r="M44" s="381" t="n"/>
      <c r="N44" s="381" t="n"/>
    </row>
    <row r="45" ht="21.75" customFormat="1" customHeight="1" s="51">
      <c r="A45" s="64" t="n">
        <v>10</v>
      </c>
      <c r="B45" s="118" t="n"/>
      <c r="C45" s="381" t="n"/>
      <c r="D45" s="381" t="n"/>
      <c r="E45" s="118" t="n"/>
      <c r="F45" s="381" t="n"/>
      <c r="G45" s="381" t="n"/>
      <c r="H45" s="118" t="n"/>
      <c r="I45" s="381" t="n"/>
      <c r="J45" s="79" t="n"/>
      <c r="K45" s="118" t="n"/>
      <c r="L45" s="381" t="n"/>
      <c r="M45" s="381" t="n"/>
      <c r="N45" s="381" t="n"/>
    </row>
    <row r="46" ht="15.6" customFormat="1" customHeight="1" s="51"/>
    <row r="47" ht="19.5" customFormat="1" customHeight="1" s="50">
      <c r="A47" s="260" t="inlineStr">
        <is>
          <t>5. SÍNTESIS ESTRATÉGICA</t>
        </is>
      </c>
    </row>
    <row r="48" ht="15" customFormat="1" customHeight="1" s="51">
      <c r="A48" s="114" t="inlineStr">
        <is>
          <t>5.1  Nivel global de conflictividad en la zona del bloque (marcar uno)</t>
        </is>
      </c>
      <c r="B48" s="381" t="n"/>
      <c r="C48" s="381" t="n"/>
      <c r="D48" s="381" t="n"/>
      <c r="E48" s="381" t="n"/>
      <c r="F48" s="381" t="n"/>
      <c r="G48" s="381" t="n"/>
      <c r="H48" s="381" t="n"/>
      <c r="I48" s="381" t="n"/>
      <c r="J48" s="381" t="n"/>
      <c r="K48" s="381" t="n"/>
      <c r="L48" s="381" t="n"/>
      <c r="M48" s="381" t="n"/>
      <c r="N48" s="381" t="n"/>
    </row>
    <row r="49" ht="18" customFormat="1" customHeight="1" s="51">
      <c r="A49" s="75" t="n"/>
      <c r="B49" s="309" t="inlineStr">
        <is>
          <t>Muy bajo</t>
        </is>
      </c>
      <c r="C49" s="381" t="n"/>
      <c r="D49" s="381" t="n"/>
      <c r="E49" s="381" t="n"/>
      <c r="F49" s="75" t="n"/>
      <c r="G49" s="309" t="inlineStr">
        <is>
          <t>Bajo</t>
        </is>
      </c>
      <c r="H49" s="381" t="n"/>
      <c r="I49" s="381" t="n"/>
      <c r="J49" s="381" t="n"/>
      <c r="K49" s="75" t="n"/>
      <c r="L49" s="309" t="inlineStr">
        <is>
          <t>Medio</t>
        </is>
      </c>
      <c r="M49" s="381" t="n"/>
      <c r="N49" s="381" t="n"/>
    </row>
    <row r="50" ht="18" customFormat="1" customHeight="1" s="51">
      <c r="A50" s="75" t="n"/>
      <c r="B50" s="309" t="inlineStr">
        <is>
          <t>Alto</t>
        </is>
      </c>
      <c r="C50" s="381" t="n"/>
      <c r="D50" s="381" t="n"/>
      <c r="E50" s="381" t="n"/>
      <c r="F50" s="75" t="n"/>
      <c r="G50" s="309" t="inlineStr">
        <is>
          <t>Muy alto</t>
        </is>
      </c>
      <c r="H50" s="381" t="n"/>
      <c r="I50" s="381" t="n"/>
      <c r="J50" s="381" t="n"/>
      <c r="K50" s="76" t="n"/>
      <c r="L50" s="119" t="n"/>
      <c r="M50" s="381" t="n"/>
      <c r="N50" s="381" t="n"/>
    </row>
    <row r="51" ht="15" customFormat="1" customHeight="1" s="51">
      <c r="A51" s="114" t="inlineStr">
        <is>
          <t>5.2  Viabilidad social preliminar (marcar una)</t>
        </is>
      </c>
      <c r="B51" s="381" t="n"/>
      <c r="C51" s="381" t="n"/>
      <c r="D51" s="381" t="n"/>
      <c r="E51" s="381" t="n"/>
      <c r="F51" s="381" t="n"/>
      <c r="G51" s="381" t="n"/>
      <c r="H51" s="381" t="n"/>
      <c r="I51" s="381" t="n"/>
      <c r="J51" s="381" t="n"/>
      <c r="K51" s="381" t="n"/>
      <c r="L51" s="381" t="n"/>
      <c r="M51" s="381" t="n"/>
      <c r="N51" s="381" t="n"/>
      <c r="O51" s="393" t="inlineStr">
        <is>
          <t>▼</t>
        </is>
      </c>
    </row>
    <row r="52" ht="18" customFormat="1" customHeight="1" s="51">
      <c r="A52" s="75" t="n"/>
      <c r="B52" s="309" t="inlineStr">
        <is>
          <t>Alta — zona viable para intervención inmediata</t>
        </is>
      </c>
      <c r="C52" s="381" t="n"/>
      <c r="D52" s="381" t="n"/>
      <c r="E52" s="381" t="n"/>
      <c r="F52" s="381" t="n"/>
      <c r="G52" s="381" t="n"/>
      <c r="H52" s="75" t="n"/>
      <c r="I52" s="309" t="inlineStr">
        <is>
          <t>Media — requiere acercamiento reforzado</t>
        </is>
      </c>
      <c r="J52" s="381" t="n"/>
      <c r="K52" s="381" t="n"/>
      <c r="L52" s="381" t="n"/>
      <c r="M52" s="381" t="n"/>
      <c r="N52" s="381" t="n"/>
    </row>
    <row r="53" ht="18" customFormat="1" customHeight="1" s="51">
      <c r="A53" s="75" t="n"/>
      <c r="B53" s="309" t="inlineStr">
        <is>
          <t>Baja — requiere mesa de diálogo previa</t>
        </is>
      </c>
      <c r="C53" s="381" t="n"/>
      <c r="D53" s="381" t="n"/>
      <c r="E53" s="381" t="n"/>
      <c r="F53" s="381" t="n"/>
      <c r="G53" s="381" t="n"/>
      <c r="H53" s="75" t="n"/>
      <c r="I53" s="309" t="inlineStr">
        <is>
          <t>Muy baja — reevaluar inclusión del bloque</t>
        </is>
      </c>
      <c r="J53" s="381" t="n"/>
      <c r="K53" s="381" t="n"/>
      <c r="L53" s="381" t="n"/>
      <c r="M53" s="381" t="n"/>
      <c r="N53" s="381" t="n"/>
    </row>
    <row r="54" ht="36" customFormat="1" customHeight="1" s="51">
      <c r="A54" s="114" t="inlineStr">
        <is>
          <t>Estrategia de acercamiento recomendada</t>
        </is>
      </c>
      <c r="B54" s="381" t="n"/>
      <c r="C54" s="381" t="n"/>
      <c r="D54" s="381" t="n"/>
      <c r="E54" s="381" t="n"/>
      <c r="F54" s="118" t="n"/>
      <c r="G54" s="381" t="n"/>
      <c r="H54" s="381" t="n"/>
      <c r="I54" s="381" t="n"/>
      <c r="J54" s="381" t="n"/>
      <c r="K54" s="381" t="n"/>
      <c r="L54" s="381" t="n"/>
      <c r="M54" s="381" t="n"/>
      <c r="N54" s="381" t="n"/>
    </row>
    <row r="55" ht="15.75" customFormat="1" customHeight="1" s="51">
      <c r="A55" s="114" t="inlineStr">
        <is>
          <t>¿Se requiere mesa de diálogo específica?</t>
        </is>
      </c>
      <c r="B55" s="381" t="n"/>
      <c r="C55" s="381" t="n"/>
      <c r="D55" s="381" t="n"/>
      <c r="E55" s="381" t="n"/>
      <c r="F55" s="381" t="n"/>
      <c r="G55" s="381" t="n"/>
      <c r="H55" s="381" t="n"/>
      <c r="I55" s="75" t="n"/>
      <c r="J55" s="77" t="inlineStr">
        <is>
          <t>Sí</t>
        </is>
      </c>
      <c r="K55" s="75" t="n"/>
      <c r="L55" s="77" t="inlineStr">
        <is>
          <t>No</t>
        </is>
      </c>
      <c r="O55" s="393" t="inlineStr">
        <is>
          <t>▼</t>
        </is>
      </c>
    </row>
    <row r="56" ht="15" customFormat="1" customHeight="1" s="51">
      <c r="A56" s="114" t="inlineStr">
        <is>
          <t>5.3  Plazo estimado para lograr aceptación comunal (marcar uno)</t>
        </is>
      </c>
      <c r="B56" s="381" t="n"/>
      <c r="C56" s="381" t="n"/>
      <c r="D56" s="381" t="n"/>
      <c r="E56" s="381" t="n"/>
      <c r="F56" s="381" t="n"/>
      <c r="G56" s="381" t="n"/>
      <c r="H56" s="381" t="n"/>
      <c r="I56" s="381" t="n"/>
      <c r="J56" s="381" t="n"/>
      <c r="K56" s="381" t="n"/>
      <c r="L56" s="381" t="n"/>
      <c r="M56" s="381" t="n"/>
      <c r="N56" s="381" t="n"/>
      <c r="O56" s="393" t="inlineStr">
        <is>
          <t>▼</t>
        </is>
      </c>
    </row>
    <row r="57" ht="18" customFormat="1" customHeight="1" s="51">
      <c r="A57" s="75" t="n"/>
      <c r="B57" s="309" t="inlineStr">
        <is>
          <t>Inmediato (&lt;1 mes)</t>
        </is>
      </c>
      <c r="C57" s="381" t="n"/>
      <c r="D57" s="381" t="n"/>
      <c r="E57" s="381" t="n"/>
      <c r="F57" s="75" t="n"/>
      <c r="G57" s="309" t="inlineStr">
        <is>
          <t>Corto (1-3 meses)</t>
        </is>
      </c>
      <c r="H57" s="381" t="n"/>
      <c r="I57" s="381" t="n"/>
      <c r="J57" s="381" t="n"/>
      <c r="K57" s="75" t="n"/>
      <c r="L57" s="309" t="inlineStr">
        <is>
          <t>Medio (3-6 meses)</t>
        </is>
      </c>
      <c r="M57" s="381" t="n"/>
      <c r="N57" s="381" t="n"/>
    </row>
    <row r="58" ht="18" customFormat="1" customHeight="1" s="51">
      <c r="A58" s="75" t="n"/>
      <c r="B58" s="309" t="inlineStr">
        <is>
          <t>Largo (6-12 meses)</t>
        </is>
      </c>
      <c r="C58" s="381" t="n"/>
      <c r="D58" s="381" t="n"/>
      <c r="E58" s="381" t="n"/>
      <c r="F58" s="75" t="n"/>
      <c r="G58" s="309" t="inlineStr">
        <is>
          <t>Requiere &gt;12 meses</t>
        </is>
      </c>
      <c r="H58" s="381" t="n"/>
      <c r="I58" s="381" t="n"/>
      <c r="J58" s="381" t="n"/>
      <c r="K58" s="76" t="n"/>
      <c r="L58" s="119" t="n"/>
      <c r="M58" s="381" t="n"/>
      <c r="N58" s="381" t="n"/>
    </row>
    <row r="59" ht="15.6" customFormat="1" customHeight="1" s="51"/>
    <row r="60" ht="19.5" customFormat="1" customHeight="1" s="50">
      <c r="A60" s="259" t="inlineStr">
        <is>
          <t>OBSERVACIONES Y FIRMAS</t>
        </is>
      </c>
    </row>
    <row r="61" ht="19.5" customFormat="1" customHeight="1" s="51">
      <c r="A61" s="314" t="n"/>
      <c r="B61" s="381" t="n"/>
      <c r="C61" s="381" t="n"/>
      <c r="D61" s="381" t="n"/>
      <c r="E61" s="381" t="n"/>
      <c r="F61" s="381" t="n"/>
      <c r="G61" s="381" t="n"/>
      <c r="H61" s="381" t="n"/>
      <c r="I61" s="381" t="n"/>
      <c r="J61" s="381" t="n"/>
      <c r="K61" s="381" t="n"/>
      <c r="L61" s="381" t="n"/>
      <c r="M61" s="381" t="n"/>
      <c r="N61" s="381" t="n"/>
    </row>
    <row r="62" ht="19.5" customFormat="1" customHeight="1" s="51">
      <c r="A62" s="314" t="n"/>
      <c r="B62" s="381" t="n"/>
      <c r="C62" s="381" t="n"/>
      <c r="D62" s="381" t="n"/>
      <c r="E62" s="381" t="n"/>
      <c r="F62" s="381" t="n"/>
      <c r="G62" s="381" t="n"/>
      <c r="H62" s="381" t="n"/>
      <c r="I62" s="381" t="n"/>
      <c r="J62" s="381" t="n"/>
      <c r="K62" s="381" t="n"/>
      <c r="L62" s="381" t="n"/>
      <c r="M62" s="381" t="n"/>
      <c r="N62" s="381" t="n"/>
    </row>
    <row r="63" ht="19.5" customFormat="1" customHeight="1" s="51">
      <c r="A63" s="314" t="n"/>
      <c r="B63" s="381" t="n"/>
      <c r="C63" s="381" t="n"/>
      <c r="D63" s="381" t="n"/>
      <c r="E63" s="381" t="n"/>
      <c r="F63" s="381" t="n"/>
      <c r="G63" s="381" t="n"/>
      <c r="H63" s="381" t="n"/>
      <c r="I63" s="381" t="n"/>
      <c r="J63" s="381" t="n"/>
      <c r="K63" s="381" t="n"/>
      <c r="L63" s="381" t="n"/>
      <c r="M63" s="381" t="n"/>
      <c r="N63" s="381" t="n"/>
    </row>
    <row r="64" ht="19.5" customFormat="1" customHeight="1" s="51">
      <c r="A64" s="314" t="n"/>
      <c r="B64" s="381" t="n"/>
      <c r="C64" s="381" t="n"/>
      <c r="D64" s="381" t="n"/>
      <c r="E64" s="381" t="n"/>
      <c r="F64" s="381" t="n"/>
      <c r="G64" s="381" t="n"/>
      <c r="H64" s="381" t="n"/>
      <c r="I64" s="381" t="n"/>
      <c r="J64" s="381" t="n"/>
      <c r="K64" s="381" t="n"/>
      <c r="L64" s="381" t="n"/>
      <c r="M64" s="381" t="n"/>
      <c r="N64" s="381" t="n"/>
    </row>
    <row r="65"/>
    <row r="66">
      <c r="A66" s="55" t="n"/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  <c r="K66" s="55" t="n"/>
      <c r="L66" s="55" t="n"/>
      <c r="M66" s="55" t="n"/>
      <c r="N66" s="55" t="n"/>
    </row>
    <row r="67" ht="15" customHeight="1">
      <c r="A67" s="304" t="inlineStr">
        <is>
          <t>_________________________________________</t>
        </is>
      </c>
      <c r="G67" s="55" t="n"/>
      <c r="H67" s="304" t="inlineStr">
        <is>
          <t>_________________________________________</t>
        </is>
      </c>
    </row>
    <row r="68" ht="15" customHeight="1">
      <c r="A68" s="305" t="inlineStr">
        <is>
          <t>Informante validador (Firma / Nombre / DNI)</t>
        </is>
      </c>
      <c r="G68" s="55" t="n"/>
      <c r="H68" s="305" t="inlineStr">
        <is>
          <t>Facilitador/a SESDI (Firma / Nombre / DNI)</t>
        </is>
      </c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</row>
    <row r="71">
      <c r="A71" s="55" t="n"/>
      <c r="B71" s="55" t="n"/>
      <c r="C71" s="55" t="n"/>
      <c r="D71" s="55" t="n"/>
      <c r="E71" s="55" t="n"/>
      <c r="F71" s="55" t="n"/>
      <c r="G71" s="55" t="n"/>
      <c r="H71" s="55" t="n"/>
      <c r="I71" s="55" t="n"/>
      <c r="J71" s="55" t="n"/>
      <c r="K71" s="55" t="n"/>
      <c r="L71" s="55" t="n"/>
      <c r="M71" s="55" t="n"/>
      <c r="N71" s="55" t="n"/>
    </row>
    <row r="72">
      <c r="A72" s="55" t="n"/>
      <c r="B72" s="55" t="n"/>
      <c r="C72" s="55" t="n"/>
      <c r="D72" s="55" t="n"/>
      <c r="E72" s="55" t="n"/>
      <c r="F72" s="55" t="n"/>
      <c r="G72" s="55" t="n"/>
      <c r="H72" s="55" t="n"/>
      <c r="I72" s="55" t="n"/>
      <c r="J72" s="55" t="n"/>
      <c r="K72" s="55" t="n"/>
      <c r="L72" s="55" t="n"/>
      <c r="M72" s="55" t="n"/>
      <c r="N72" s="55" t="n"/>
    </row>
    <row r="73">
      <c r="A73" s="55" t="n"/>
      <c r="B73" s="55" t="n"/>
      <c r="C73" s="55" t="n"/>
      <c r="D73" s="55" t="n"/>
      <c r="E73" s="55" t="n"/>
      <c r="F73" s="55" t="n"/>
      <c r="G73" s="55" t="n"/>
      <c r="H73" s="55" t="n"/>
      <c r="I73" s="55" t="n"/>
      <c r="J73" s="55" t="n"/>
      <c r="K73" s="55" t="n"/>
      <c r="L73" s="55" t="n"/>
      <c r="M73" s="55" t="n"/>
      <c r="N73" s="55" t="n"/>
    </row>
  </sheetData>
  <mergeCells count="142">
    <mergeCell ref="A9:N9"/>
    <mergeCell ref="B42:D42"/>
    <mergeCell ref="H35:I35"/>
    <mergeCell ref="L33:N33"/>
    <mergeCell ref="K14:N14"/>
    <mergeCell ref="A48:N48"/>
    <mergeCell ref="E40:G40"/>
    <mergeCell ref="A11:N11"/>
    <mergeCell ref="K38:N38"/>
    <mergeCell ref="B44:D44"/>
    <mergeCell ref="H17:J17"/>
    <mergeCell ref="C21:E21"/>
    <mergeCell ref="L58:N58"/>
    <mergeCell ref="G32:J32"/>
    <mergeCell ref="H39:I39"/>
    <mergeCell ref="A61:N61"/>
    <mergeCell ref="B37:D37"/>
    <mergeCell ref="A25:H25"/>
    <mergeCell ref="H19:J19"/>
    <mergeCell ref="A55:H55"/>
    <mergeCell ref="H45:I45"/>
    <mergeCell ref="K35:N35"/>
    <mergeCell ref="C18:E18"/>
    <mergeCell ref="H68:N68"/>
    <mergeCell ref="H37:I37"/>
    <mergeCell ref="A23:N23"/>
    <mergeCell ref="G57:J57"/>
    <mergeCell ref="M8:N8"/>
    <mergeCell ref="E42:G42"/>
    <mergeCell ref="F54:N54"/>
    <mergeCell ref="L32:N32"/>
    <mergeCell ref="A29:H29"/>
    <mergeCell ref="E30:N30"/>
    <mergeCell ref="E35:G35"/>
    <mergeCell ref="A63:N63"/>
    <mergeCell ref="E44:G44"/>
    <mergeCell ref="B43:D43"/>
    <mergeCell ref="C20:E20"/>
    <mergeCell ref="G58:J58"/>
    <mergeCell ref="H21:J21"/>
    <mergeCell ref="B49:E49"/>
    <mergeCell ref="A34:N34"/>
    <mergeCell ref="A24:H24"/>
    <mergeCell ref="K39:N39"/>
    <mergeCell ref="B33:E33"/>
    <mergeCell ref="H41:I41"/>
    <mergeCell ref="I53:N53"/>
    <mergeCell ref="A10:G10"/>
    <mergeCell ref="K37:N37"/>
    <mergeCell ref="A1:N1"/>
    <mergeCell ref="B32:E32"/>
    <mergeCell ref="H16:J16"/>
    <mergeCell ref="K13:N13"/>
    <mergeCell ref="B50:E50"/>
    <mergeCell ref="L50:N50"/>
    <mergeCell ref="I52:N52"/>
    <mergeCell ref="A30:D30"/>
    <mergeCell ref="H36:I36"/>
    <mergeCell ref="K15:N15"/>
    <mergeCell ref="A27:H27"/>
    <mergeCell ref="I29:N29"/>
    <mergeCell ref="L49:N49"/>
    <mergeCell ref="A3:N3"/>
    <mergeCell ref="B36:D36"/>
    <mergeCell ref="E41:G41"/>
    <mergeCell ref="C13:E13"/>
    <mergeCell ref="A12:N12"/>
    <mergeCell ref="B45:D45"/>
    <mergeCell ref="K21:N21"/>
    <mergeCell ref="J7:N7"/>
    <mergeCell ref="A5:N5"/>
    <mergeCell ref="E43:G43"/>
    <mergeCell ref="C15:E15"/>
    <mergeCell ref="K41:N41"/>
    <mergeCell ref="H20:J20"/>
    <mergeCell ref="A4:N4"/>
    <mergeCell ref="G49:J49"/>
    <mergeCell ref="A28:H28"/>
    <mergeCell ref="K43:N43"/>
    <mergeCell ref="G33:J33"/>
    <mergeCell ref="A7:C7"/>
    <mergeCell ref="B39:D39"/>
    <mergeCell ref="C16:E16"/>
    <mergeCell ref="K42:N42"/>
    <mergeCell ref="H38:I38"/>
    <mergeCell ref="K17:N17"/>
    <mergeCell ref="H43:I43"/>
    <mergeCell ref="A60:N60"/>
    <mergeCell ref="D7:F7"/>
    <mergeCell ref="H40:I40"/>
    <mergeCell ref="K19:N19"/>
    <mergeCell ref="A6:N6"/>
    <mergeCell ref="E36:G36"/>
    <mergeCell ref="E45:G45"/>
    <mergeCell ref="H13:J13"/>
    <mergeCell ref="H67:N67"/>
    <mergeCell ref="F8:G8"/>
    <mergeCell ref="H15:J15"/>
    <mergeCell ref="K45:N45"/>
    <mergeCell ref="A26:H26"/>
    <mergeCell ref="H18:J18"/>
    <mergeCell ref="A68:F68"/>
    <mergeCell ref="K8:L8"/>
    <mergeCell ref="B41:D41"/>
    <mergeCell ref="E37:G37"/>
    <mergeCell ref="B58:E58"/>
    <mergeCell ref="A2:N2"/>
    <mergeCell ref="B35:D35"/>
    <mergeCell ref="H8:J8"/>
    <mergeCell ref="A47:N47"/>
    <mergeCell ref="C14:E14"/>
    <mergeCell ref="K40:N40"/>
    <mergeCell ref="B57:E57"/>
    <mergeCell ref="L57:N57"/>
    <mergeCell ref="H42:I42"/>
    <mergeCell ref="B52:G52"/>
    <mergeCell ref="G7:I7"/>
    <mergeCell ref="A31:N31"/>
    <mergeCell ref="A64:N64"/>
    <mergeCell ref="A51:N51"/>
    <mergeCell ref="H44:I44"/>
    <mergeCell ref="B53:G53"/>
    <mergeCell ref="B38:D38"/>
    <mergeCell ref="G50:J50"/>
    <mergeCell ref="K18:N18"/>
    <mergeCell ref="A54:E54"/>
    <mergeCell ref="A8:C8"/>
    <mergeCell ref="B40:D40"/>
    <mergeCell ref="K16:N16"/>
    <mergeCell ref="C17:E17"/>
    <mergeCell ref="H10:N10"/>
    <mergeCell ref="A56:N56"/>
    <mergeCell ref="K36:N36"/>
    <mergeCell ref="C19:E19"/>
    <mergeCell ref="H14:J14"/>
    <mergeCell ref="A67:F67"/>
    <mergeCell ref="K20:N20"/>
    <mergeCell ref="D8:E8"/>
    <mergeCell ref="K44:N44"/>
    <mergeCell ref="A62:N62"/>
    <mergeCell ref="E39:G39"/>
    <mergeCell ref="E38:G38"/>
  </mergeCells>
  <dataValidations count="12">
    <dataValidation sqref="B14 B15 B16 B17 B18 B19 B20 B21" showDropDown="0" showInputMessage="0" showErrorMessage="0" allowBlank="1" type="list">
      <formula1>'_Listas'!$X$2:$X$13</formula1>
    </dataValidation>
    <dataValidation sqref="D14 D15 D16 D17 D18 D19 D20 D21" showDropDown="0" showInputMessage="0" showErrorMessage="0" allowBlank="1" type="list">
      <formula1>'_Listas'!$Y$2:$Y$6</formula1>
    </dataValidation>
    <dataValidation sqref="E14 E15 E16 E17 E18 E19 E20 E21" showDropDown="0" showInputMessage="0" showErrorMessage="0" allowBlank="1" type="list">
      <formula1>'_Listas'!$Z$2:$Z$7</formula1>
    </dataValidation>
    <dataValidation sqref="O24 O25 O26 O27 O28 O55" showDropDown="0" showInputMessage="0" showErrorMessage="0" allowBlank="1" type="list">
      <formula1>'_Listas'!$A$2:$A$3</formula1>
    </dataValidation>
    <dataValidation sqref="O24 O25 O26 O27 O28 O55" showDropDown="0" showInputMessage="0" showErrorMessage="0" allowBlank="1" type="list">
      <formula1>'_Listas'!$A$2:$A$3</formula1>
    </dataValidation>
    <dataValidation sqref="O24 O25 O26 O27 O28 O55" showDropDown="0" showInputMessage="0" showErrorMessage="0" allowBlank="1" type="list">
      <formula1>'_Listas'!$A$2:$A$3</formula1>
    </dataValidation>
    <dataValidation sqref="O24 O25 O26 O27 O28 O55" showDropDown="0" showInputMessage="0" showErrorMessage="0" allowBlank="1" type="list">
      <formula1>'_Listas'!$A$2:$A$3</formula1>
    </dataValidation>
    <dataValidation sqref="O24 O25 O26 O27 O28 O55" showDropDown="0" showInputMessage="0" showErrorMessage="0" allowBlank="1" type="list">
      <formula1>'_Listas'!$A$2:$A$3</formula1>
    </dataValidation>
    <dataValidation sqref="O31" showDropDown="0" showInputMessage="0" showErrorMessage="0" allowBlank="1" type="list">
      <formula1>"Muy alto,Alto,Medio,Bajo,Muy bajo / Inexistente"</formula1>
    </dataValidation>
    <dataValidation sqref="O51" showDropDown="0" showInputMessage="0" showErrorMessage="0" allowBlank="1" type="list">
      <formula1>"Alta — zona viable para intervención inmediata,Media — requiere acercamiento reforzado,Baja — requiere mesa de diálogo previa,Muy baja — reevaluar inclusión del bloque"</formula1>
    </dataValidation>
    <dataValidation sqref="O24 O25 O26 O27 O28 O55" showDropDown="0" showInputMessage="0" showErrorMessage="0" allowBlank="1" type="list">
      <formula1>'_Listas'!$A$2:$A$3</formula1>
    </dataValidation>
    <dataValidation sqref="O56" showDropDown="0" showInputMessage="0" showErrorMessage="0" allowBlank="1" type="list">
      <formula1>"Inmediato (&lt;1 mes),Corto (1-3 meses),Medio (3-6 meses),Largo (6-12 meses),Requiere &gt;12 meses"</formula1>
    </dataValidation>
  </dataValidations>
  <printOptions horizontalCentered="1"/>
  <pageMargins left="0.15" right="0.15" top="0.25" bottom="0.25" header="0.511811023622047" footer="0.511811023622047"/>
  <pageSetup orientation="landscape" paperSize="9" scale="72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9"/>
  <sheetViews>
    <sheetView zoomScaleNormal="100" workbookViewId="0">
      <pane ySplit="6" topLeftCell="A7" activePane="bottomLeft" state="frozen"/>
      <selection pane="bottomLeft" activeCell="A11" sqref="A11:XFD11"/>
    </sheetView>
  </sheetViews>
  <sheetFormatPr baseColWidth="10" defaultColWidth="8.6640625" defaultRowHeight="14.4"/>
  <cols>
    <col width="4" customWidth="1" min="1" max="1"/>
    <col width="22" customWidth="1" min="2" max="2"/>
    <col width="8.109375" customWidth="1" min="3" max="3"/>
    <col width="7.77734375" customWidth="1" min="4" max="4"/>
    <col width="9.44140625" customWidth="1" min="5" max="5"/>
    <col width="10.6640625" customWidth="1" min="6" max="6"/>
    <col width="9.21875" customWidth="1" min="7" max="7"/>
    <col width="8.33203125" customWidth="1" min="8" max="8"/>
    <col width="8.6640625" customWidth="1" min="9" max="9"/>
    <col width="7.5546875" customWidth="1" min="10" max="10"/>
    <col width="11.33203125" customWidth="1" min="11" max="11"/>
    <col width="12.77734375" customWidth="1" min="12" max="12"/>
    <col width="10" customWidth="1" min="13" max="13"/>
    <col width="10.5546875" customWidth="1" min="14" max="14"/>
  </cols>
  <sheetData>
    <row r="1" ht="19.5" customHeight="1">
      <c r="A1" s="122" t="inlineStr">
        <is>
          <t>AUTORIDAD NACIONAL DE INFRAESTRUCTURA — ANIN</t>
        </is>
      </c>
    </row>
    <row r="2" ht="15" customHeight="1">
      <c r="A2" s="342" t="inlineStr">
        <is>
          <t>DIME — Dirección de Intervenciones Multisectoriales y de Emergencia  |  SESDI — Subdirección de Estudios de Inversión</t>
        </is>
      </c>
    </row>
    <row r="3" ht="33" customHeight="1">
      <c r="A3" s="343" t="inlineStr">
        <is>
          <t>PROYECTO IN PIURA  |  CUI 2669244  |  Recuperación de servicios de regulación de riesgos naturales y regulación hídrica — Cuenca Alta del Río Piura</t>
        </is>
      </c>
    </row>
    <row r="4" ht="25.5" customHeight="1">
      <c r="A4" s="242" t="inlineStr">
        <is>
          <t>F-DS-06: PERCEPCIÓN LOCAL DE PELIGROS Y CAMBIO CLIMÁTICO</t>
        </is>
      </c>
    </row>
    <row r="5" ht="24" customHeight="1">
      <c r="A5" s="313" t="inlineStr">
        <is>
          <t>Percepción de autoridades, líderes y pobladores sobre peligros naturales, eventos históricos y cambios observados (10-15 años).  Marcar con «X» en cada fila las casillas que apliquen.</t>
        </is>
      </c>
    </row>
    <row r="6" ht="19.5" customFormat="1" customHeight="1" s="6">
      <c r="A6" s="134" t="inlineStr">
        <is>
          <t>1. DATOS GENERALES</t>
        </is>
      </c>
    </row>
    <row r="7" ht="27.6" customFormat="1" customHeight="1" s="51">
      <c r="A7" s="310" t="inlineStr">
        <is>
          <t>Fecha *</t>
        </is>
      </c>
      <c r="B7" s="381" t="n"/>
      <c r="C7" s="381" t="n"/>
      <c r="D7" s="118" t="n"/>
      <c r="E7" s="381" t="n"/>
      <c r="F7" s="381" t="n"/>
      <c r="G7" s="310" t="inlineStr">
        <is>
          <t>Responsable *</t>
        </is>
      </c>
      <c r="H7" s="381" t="n"/>
      <c r="I7" s="381" t="n"/>
      <c r="J7" s="118" t="n"/>
      <c r="K7" s="381" t="n"/>
      <c r="L7" s="381" t="n"/>
      <c r="M7" s="381" t="n"/>
      <c r="N7" s="381" t="n"/>
    </row>
    <row r="8" ht="22.35" customFormat="1" customHeight="1" s="51">
      <c r="A8" s="310" t="inlineStr">
        <is>
          <t>Código Bloque *</t>
        </is>
      </c>
      <c r="B8" s="381" t="n"/>
      <c r="C8" s="381" t="n"/>
      <c r="D8" s="311" t="n"/>
      <c r="E8" s="432" t="n"/>
      <c r="F8" s="114" t="inlineStr">
        <is>
          <t>Microcuenca</t>
        </is>
      </c>
      <c r="G8" s="381" t="n"/>
      <c r="H8" s="312">
        <f>IFERROR(VLOOKUP($D$8,_Datos!$A$2:$H$128,2,FALSE()),"")</f>
        <v/>
      </c>
      <c r="I8" s="381" t="n"/>
      <c r="J8" s="381" t="n"/>
      <c r="K8" s="81" t="inlineStr">
        <is>
          <t>Distrito</t>
        </is>
      </c>
      <c r="L8" s="340">
        <f>IFERROR(VLOOKUP($D$8,_Datos!$A$2:$H$128,4,FALSE()),"")</f>
        <v/>
      </c>
      <c r="M8" s="381" t="n"/>
      <c r="N8" s="381" t="n"/>
    </row>
    <row r="9" ht="34.2" customFormat="1" customHeight="1" s="51">
      <c r="A9" s="114" t="inlineStr">
        <is>
          <t>Fuente de información (N° personas consultadas)</t>
        </is>
      </c>
      <c r="B9" s="381" t="n"/>
      <c r="C9" s="381" t="n"/>
      <c r="D9" s="118" t="n"/>
      <c r="E9" s="381" t="n"/>
      <c r="F9" s="381" t="n"/>
      <c r="G9" s="381" t="n"/>
      <c r="H9" s="381" t="n"/>
      <c r="I9" s="381" t="n"/>
      <c r="J9" s="381" t="n"/>
      <c r="K9" s="381" t="n"/>
      <c r="L9" s="381" t="n"/>
      <c r="M9" s="381" t="n"/>
      <c r="N9" s="381" t="n"/>
    </row>
    <row r="10"/>
    <row r="11" ht="19.5" customFormat="1" customHeight="1" s="72">
      <c r="A11" s="334" t="inlineStr">
        <is>
          <t>2. PERCEPCIÓN DE PELIGROS NATURALES EN LA ZONA DEL BLOQUE</t>
        </is>
      </c>
    </row>
    <row r="12" ht="20.4" customHeight="1">
      <c r="A12" s="107" t="inlineStr">
        <is>
          <t>Para cada peligro: marcar «X» en las casillas aplicables (Sí/No + Frecuencia + Magnitud + Tendencia). Registrar último evento y daños observados.</t>
        </is>
      </c>
    </row>
    <row r="13" ht="21.75" customFormat="1" customHeight="1" s="50">
      <c r="A13" s="338" t="inlineStr">
        <is>
          <t>N°</t>
        </is>
      </c>
      <c r="B13" s="338" t="inlineStr">
        <is>
          <t>Peligro observado</t>
        </is>
      </c>
      <c r="C13" s="338" t="inlineStr">
        <is>
          <t>¿Ocurre?</t>
        </is>
      </c>
      <c r="D13" s="386" t="n"/>
      <c r="E13" s="338" t="inlineStr">
        <is>
          <t>Frecuencia</t>
        </is>
      </c>
      <c r="F13" s="386" t="n"/>
      <c r="G13" s="338" t="inlineStr">
        <is>
          <t>Magnitud</t>
        </is>
      </c>
      <c r="H13" s="386" t="n"/>
      <c r="I13" s="338" t="inlineStr">
        <is>
          <t>Tendencia</t>
        </is>
      </c>
      <c r="J13" s="386" t="n"/>
      <c r="K13" s="338" t="inlineStr">
        <is>
          <t>Último
evento
(año)</t>
        </is>
      </c>
      <c r="L13" s="338" t="inlineStr">
        <is>
          <t>Principales daños observados</t>
        </is>
      </c>
      <c r="M13" s="426" t="n"/>
      <c r="N13" s="438" t="n"/>
    </row>
    <row r="14" ht="21.75" customFormat="1" customHeight="1" s="51" thickBot="1">
      <c r="A14" s="439" t="n"/>
      <c r="B14" s="439" t="n"/>
      <c r="C14" s="86" t="inlineStr">
        <is>
          <t>Sí</t>
        </is>
      </c>
      <c r="D14" s="86" t="inlineStr">
        <is>
          <t>No</t>
        </is>
      </c>
      <c r="E14" s="86" t="inlineStr">
        <is>
          <t>Frec.</t>
        </is>
      </c>
      <c r="F14" s="86" t="inlineStr">
        <is>
          <t>Rara</t>
        </is>
      </c>
      <c r="G14" s="86" t="inlineStr">
        <is>
          <t>Alta</t>
        </is>
      </c>
      <c r="H14" s="86" t="inlineStr">
        <is>
          <t>Baja</t>
        </is>
      </c>
      <c r="I14" s="86" t="inlineStr">
        <is>
          <t>Sube</t>
        </is>
      </c>
      <c r="J14" s="91" t="inlineStr">
        <is>
          <t>Baja</t>
        </is>
      </c>
      <c r="K14" s="439" t="n"/>
      <c r="L14" s="440" t="n"/>
      <c r="M14" s="441" t="n"/>
      <c r="N14" s="429" t="n"/>
    </row>
    <row r="15" ht="30" customFormat="1" customHeight="1" s="51" thickBot="1">
      <c r="A15" s="84" t="n">
        <v>1</v>
      </c>
      <c r="B15" s="85" t="inlineStr">
        <is>
          <t>Movimientos en masa (deslizamientos)</t>
        </is>
      </c>
      <c r="C15" s="442" t="inlineStr">
        <is>
          <t>▼</t>
        </is>
      </c>
      <c r="D15" s="88" t="n"/>
      <c r="E15" s="442" t="inlineStr">
        <is>
          <t>▼</t>
        </is>
      </c>
      <c r="F15" s="88" t="n"/>
      <c r="G15" s="442" t="inlineStr">
        <is>
          <t>▼</t>
        </is>
      </c>
      <c r="H15" s="88" t="n"/>
      <c r="I15" s="443" t="inlineStr">
        <is>
          <t>▼</t>
        </is>
      </c>
      <c r="J15" s="92" t="n"/>
      <c r="K15" s="278" t="n"/>
      <c r="L15" s="109" t="n"/>
      <c r="M15" s="385" t="n"/>
      <c r="N15" s="386" t="n"/>
    </row>
    <row r="16" ht="30" customFormat="1" customHeight="1" s="51" thickBot="1">
      <c r="A16" s="64" t="n">
        <v>2</v>
      </c>
      <c r="B16" s="65" t="inlineStr">
        <is>
          <t>Huaycos / Flujos de detritos</t>
        </is>
      </c>
      <c r="C16" s="444" t="inlineStr">
        <is>
          <t>▼</t>
        </is>
      </c>
      <c r="D16" s="70" t="n"/>
      <c r="E16" s="444" t="inlineStr">
        <is>
          <t>▼</t>
        </is>
      </c>
      <c r="F16" s="70" t="n"/>
      <c r="G16" s="444" t="inlineStr">
        <is>
          <t>▼</t>
        </is>
      </c>
      <c r="H16" s="70" t="n"/>
      <c r="I16" s="445" t="inlineStr">
        <is>
          <t>▼</t>
        </is>
      </c>
      <c r="J16" s="93" t="n"/>
      <c r="K16" s="278" t="n"/>
      <c r="L16" s="109" t="n"/>
      <c r="M16" s="385" t="n"/>
      <c r="N16" s="386" t="n"/>
    </row>
    <row r="17" ht="30" customFormat="1" customHeight="1" s="51" thickBot="1">
      <c r="A17" s="64" t="n">
        <v>3</v>
      </c>
      <c r="B17" s="65" t="inlineStr">
        <is>
          <t>Erosión hídrica (cárcavas)</t>
        </is>
      </c>
      <c r="C17" s="444" t="inlineStr">
        <is>
          <t>▼</t>
        </is>
      </c>
      <c r="D17" s="70" t="n"/>
      <c r="E17" s="444" t="inlineStr">
        <is>
          <t>▼</t>
        </is>
      </c>
      <c r="F17" s="70" t="n"/>
      <c r="G17" s="444" t="inlineStr">
        <is>
          <t>▼</t>
        </is>
      </c>
      <c r="H17" s="70" t="n"/>
      <c r="I17" s="445" t="inlineStr">
        <is>
          <t>▼</t>
        </is>
      </c>
      <c r="J17" s="93" t="n"/>
      <c r="K17" s="278" t="n"/>
      <c r="L17" s="109" t="n"/>
      <c r="M17" s="385" t="n"/>
      <c r="N17" s="386" t="n"/>
    </row>
    <row r="18" ht="30" customFormat="1" customHeight="1" s="51" thickBot="1">
      <c r="A18" s="64" t="n">
        <v>4</v>
      </c>
      <c r="B18" s="65" t="inlineStr">
        <is>
          <t>Inundación / Desborde</t>
        </is>
      </c>
      <c r="C18" s="444" t="inlineStr">
        <is>
          <t>▼</t>
        </is>
      </c>
      <c r="D18" s="70" t="n"/>
      <c r="E18" s="444" t="inlineStr">
        <is>
          <t>▼</t>
        </is>
      </c>
      <c r="F18" s="70" t="n"/>
      <c r="G18" s="444" t="inlineStr">
        <is>
          <t>▼</t>
        </is>
      </c>
      <c r="H18" s="70" t="n"/>
      <c r="I18" s="445" t="inlineStr">
        <is>
          <t>▼</t>
        </is>
      </c>
      <c r="J18" s="93" t="n"/>
      <c r="K18" s="278" t="n"/>
      <c r="L18" s="109" t="n"/>
      <c r="M18" s="385" t="n"/>
      <c r="N18" s="386" t="n"/>
    </row>
    <row r="19" ht="30" customFormat="1" customHeight="1" s="51" thickBot="1">
      <c r="A19" s="64" t="n">
        <v>5</v>
      </c>
      <c r="B19" s="65" t="inlineStr">
        <is>
          <t>Sequía / Déficit hídrico</t>
        </is>
      </c>
      <c r="C19" s="444" t="inlineStr">
        <is>
          <t>▼</t>
        </is>
      </c>
      <c r="D19" s="70" t="n"/>
      <c r="E19" s="444" t="inlineStr">
        <is>
          <t>▼</t>
        </is>
      </c>
      <c r="F19" s="70" t="n"/>
      <c r="G19" s="444" t="inlineStr">
        <is>
          <t>▼</t>
        </is>
      </c>
      <c r="H19" s="70" t="n"/>
      <c r="I19" s="445" t="inlineStr">
        <is>
          <t>▼</t>
        </is>
      </c>
      <c r="J19" s="93" t="n"/>
      <c r="K19" s="278" t="n"/>
      <c r="L19" s="109" t="n"/>
      <c r="M19" s="385" t="n"/>
      <c r="N19" s="386" t="n"/>
    </row>
    <row r="20" ht="30" customFormat="1" customHeight="1" s="51" thickBot="1">
      <c r="A20" s="64" t="n">
        <v>6</v>
      </c>
      <c r="B20" s="65" t="inlineStr">
        <is>
          <t>Heladas / Friaje</t>
        </is>
      </c>
      <c r="C20" s="444" t="inlineStr">
        <is>
          <t>▼</t>
        </is>
      </c>
      <c r="D20" s="70" t="n"/>
      <c r="E20" s="444" t="inlineStr">
        <is>
          <t>▼</t>
        </is>
      </c>
      <c r="F20" s="70" t="n"/>
      <c r="G20" s="444" t="inlineStr">
        <is>
          <t>▼</t>
        </is>
      </c>
      <c r="H20" s="70" t="n"/>
      <c r="I20" s="445" t="inlineStr">
        <is>
          <t>▼</t>
        </is>
      </c>
      <c r="J20" s="93" t="n"/>
      <c r="K20" s="278" t="n"/>
      <c r="L20" s="109" t="n"/>
      <c r="M20" s="385" t="n"/>
      <c r="N20" s="386" t="n"/>
    </row>
    <row r="21" ht="30" customFormat="1" customHeight="1" s="51" thickBot="1">
      <c r="A21" s="64" t="n">
        <v>7</v>
      </c>
      <c r="B21" s="65" t="inlineStr">
        <is>
          <t>Incendios forestales</t>
        </is>
      </c>
      <c r="C21" s="444" t="inlineStr">
        <is>
          <t>▼</t>
        </is>
      </c>
      <c r="D21" s="70" t="n"/>
      <c r="E21" s="444" t="inlineStr">
        <is>
          <t>▼</t>
        </is>
      </c>
      <c r="F21" s="70" t="n"/>
      <c r="G21" s="444" t="inlineStr">
        <is>
          <t>▼</t>
        </is>
      </c>
      <c r="H21" s="70" t="n"/>
      <c r="I21" s="445" t="inlineStr">
        <is>
          <t>▼</t>
        </is>
      </c>
      <c r="J21" s="93" t="n"/>
      <c r="K21" s="278" t="n"/>
      <c r="L21" s="109" t="n"/>
      <c r="M21" s="385" t="n"/>
      <c r="N21" s="386" t="n"/>
    </row>
    <row r="22" ht="30" customFormat="1" customHeight="1" s="51" thickBot="1">
      <c r="A22" s="64" t="n">
        <v>8</v>
      </c>
      <c r="B22" s="65" t="inlineStr">
        <is>
          <t>Caída de rocas</t>
        </is>
      </c>
      <c r="C22" s="444" t="inlineStr">
        <is>
          <t>▼</t>
        </is>
      </c>
      <c r="D22" s="70" t="n"/>
      <c r="E22" s="444" t="inlineStr">
        <is>
          <t>▼</t>
        </is>
      </c>
      <c r="F22" s="70" t="n"/>
      <c r="G22" s="444" t="inlineStr">
        <is>
          <t>▼</t>
        </is>
      </c>
      <c r="H22" s="70" t="n"/>
      <c r="I22" s="445" t="inlineStr">
        <is>
          <t>▼</t>
        </is>
      </c>
      <c r="J22" s="93" t="n"/>
      <c r="K22" s="278" t="n"/>
      <c r="L22" s="109" t="n"/>
      <c r="M22" s="385" t="n"/>
      <c r="N22" s="386" t="n"/>
    </row>
    <row r="23" ht="30" customFormat="1" customHeight="1" s="51" thickBot="1">
      <c r="A23" s="64" t="n">
        <v>9</v>
      </c>
      <c r="B23" s="65" t="inlineStr">
        <is>
          <t>Plagas agrícolas</t>
        </is>
      </c>
      <c r="C23" s="444" t="inlineStr">
        <is>
          <t>▼</t>
        </is>
      </c>
      <c r="D23" s="70" t="n"/>
      <c r="E23" s="444" t="inlineStr">
        <is>
          <t>▼</t>
        </is>
      </c>
      <c r="F23" s="70" t="n"/>
      <c r="G23" s="444" t="inlineStr">
        <is>
          <t>▼</t>
        </is>
      </c>
      <c r="H23" s="70" t="n"/>
      <c r="I23" s="445" t="inlineStr">
        <is>
          <t>▼</t>
        </is>
      </c>
      <c r="J23" s="93" t="n"/>
      <c r="K23" s="278" t="n"/>
      <c r="L23" s="109" t="n"/>
      <c r="M23" s="385" t="n"/>
      <c r="N23" s="386" t="n"/>
    </row>
    <row r="24" ht="30" customFormat="1" customHeight="1" s="51" thickBot="1">
      <c r="A24" s="64" t="n">
        <v>10</v>
      </c>
      <c r="B24" s="65" t="inlineStr">
        <is>
          <t>Pérdida de biodiversidad</t>
        </is>
      </c>
      <c r="C24" s="444" t="inlineStr">
        <is>
          <t>▼</t>
        </is>
      </c>
      <c r="D24" s="70" t="n"/>
      <c r="E24" s="444" t="inlineStr">
        <is>
          <t>▼</t>
        </is>
      </c>
      <c r="F24" s="70" t="n"/>
      <c r="G24" s="444" t="inlineStr">
        <is>
          <t>▼</t>
        </is>
      </c>
      <c r="H24" s="70" t="n"/>
      <c r="I24" s="445" t="inlineStr">
        <is>
          <t>▼</t>
        </is>
      </c>
      <c r="J24" s="93" t="n"/>
      <c r="K24" s="278" t="n"/>
      <c r="L24" s="109" t="n"/>
      <c r="M24" s="385" t="n"/>
      <c r="N24" s="386" t="n"/>
    </row>
    <row r="25" ht="30" customFormat="1" customHeight="1" s="51" thickBot="1">
      <c r="A25" s="64" t="n">
        <v>11</v>
      </c>
      <c r="B25" s="65" t="inlineStr">
        <is>
          <t>Contaminación de agua</t>
        </is>
      </c>
      <c r="C25" s="444" t="inlineStr">
        <is>
          <t>▼</t>
        </is>
      </c>
      <c r="D25" s="70" t="n"/>
      <c r="E25" s="444" t="inlineStr">
        <is>
          <t>▼</t>
        </is>
      </c>
      <c r="F25" s="70" t="n"/>
      <c r="G25" s="444" t="inlineStr">
        <is>
          <t>▼</t>
        </is>
      </c>
      <c r="H25" s="70" t="n"/>
      <c r="I25" s="445" t="inlineStr">
        <is>
          <t>▼</t>
        </is>
      </c>
      <c r="J25" s="93" t="n"/>
      <c r="K25" s="278" t="n"/>
      <c r="L25" s="109" t="n"/>
      <c r="M25" s="385" t="n"/>
      <c r="N25" s="386" t="n"/>
    </row>
    <row r="26" ht="30" customFormat="1" customHeight="1" s="51" thickBot="1">
      <c r="A26" s="64" t="n">
        <v>12</v>
      </c>
      <c r="B26" s="65" t="inlineStr">
        <is>
          <t>Otro (especificar en daños)</t>
        </is>
      </c>
      <c r="C26" s="444" t="inlineStr">
        <is>
          <t>▼</t>
        </is>
      </c>
      <c r="D26" s="70" t="n"/>
      <c r="E26" s="444" t="inlineStr">
        <is>
          <t>▼</t>
        </is>
      </c>
      <c r="F26" s="70" t="n"/>
      <c r="G26" s="444" t="inlineStr">
        <is>
          <t>▼</t>
        </is>
      </c>
      <c r="H26" s="70" t="n"/>
      <c r="I26" s="445" t="inlineStr">
        <is>
          <t>▼</t>
        </is>
      </c>
      <c r="J26" s="94" t="n"/>
      <c r="K26" s="278" t="n"/>
      <c r="L26" s="109" t="n"/>
      <c r="M26" s="385" t="n"/>
      <c r="N26" s="386" t="n"/>
    </row>
    <row r="27" ht="15.6" customFormat="1" customHeight="1" s="51"/>
    <row r="28" ht="36.6" customFormat="1" customHeight="1" s="51">
      <c r="A28" s="335" t="inlineStr">
        <is>
          <t>FRECUENCIA completa: MF=Muy frecuente (varias x año) | F=Frecuente (cada año) | O=Ocasional (2-5 años) | R=Rara (&gt;5 años) | SR=Sin registro. Si el rango «Frec/Rara» no alcanza, anotar el código en la celda.</t>
        </is>
      </c>
      <c r="B28" s="381" t="n"/>
      <c r="C28" s="381" t="n"/>
      <c r="D28" s="381" t="n"/>
      <c r="E28" s="381" t="n"/>
      <c r="F28" s="381" t="n"/>
      <c r="G28" s="381" t="n"/>
      <c r="H28" s="381" t="n"/>
      <c r="I28" s="381" t="n"/>
      <c r="J28" s="381" t="n"/>
      <c r="K28" s="381" t="n"/>
      <c r="L28" s="381" t="n"/>
      <c r="M28" s="381" t="n"/>
      <c r="N28" s="381" t="n"/>
    </row>
    <row r="29" ht="36.6" customFormat="1" customHeight="1" s="51">
      <c r="A29" s="335" t="inlineStr">
        <is>
          <t>MAGNITUD completa: A=Alta (pérdida significativa) | M=Media (daños recuperables) | B=Baja (impacto menor). Para magnitud MEDIA anotar «M» en una de las dos casillas.</t>
        </is>
      </c>
      <c r="B29" s="381" t="n"/>
      <c r="C29" s="381" t="n"/>
      <c r="D29" s="381" t="n"/>
      <c r="E29" s="381" t="n"/>
      <c r="F29" s="381" t="n"/>
      <c r="G29" s="381" t="n"/>
      <c r="H29" s="381" t="n"/>
      <c r="I29" s="381" t="n"/>
      <c r="J29" s="381" t="n"/>
      <c r="K29" s="381" t="n"/>
      <c r="L29" s="381" t="n"/>
      <c r="M29" s="381" t="n"/>
      <c r="N29" s="381" t="n"/>
    </row>
    <row r="30" ht="36.6" customFormat="1" customHeight="1" s="51">
      <c r="A30" s="335" t="inlineStr">
        <is>
          <t>TENDENCIA completa: Sube=Aumentando | Baja=Disminuyendo | E=Estable | I=Irregular/Impredecible | NS=No sabe. Para E/I/NS anotar la letra en la casilla.</t>
        </is>
      </c>
      <c r="B30" s="381" t="n"/>
      <c r="C30" s="381" t="n"/>
      <c r="D30" s="381" t="n"/>
      <c r="E30" s="381" t="n"/>
      <c r="F30" s="381" t="n"/>
      <c r="G30" s="381" t="n"/>
      <c r="H30" s="381" t="n"/>
      <c r="I30" s="381" t="n"/>
      <c r="J30" s="381" t="n"/>
      <c r="K30" s="381" t="n"/>
      <c r="L30" s="381" t="n"/>
      <c r="M30" s="381" t="n"/>
      <c r="N30" s="381" t="n"/>
    </row>
    <row r="31" ht="15.6" customFormat="1" customHeight="1" s="51"/>
    <row r="32" ht="19.5" customFormat="1" customHeight="1" s="50">
      <c r="A32" s="260" t="inlineStr">
        <is>
          <t>3. CAMBIOS CLIMÁTICOS OBSERVADOS EN LOS ÚLTIMOS 10-15 AÑOS</t>
        </is>
      </c>
    </row>
    <row r="33" ht="21.75" customFormat="1" customHeight="1" s="50">
      <c r="A33" s="336" t="inlineStr">
        <is>
          <t>N°</t>
        </is>
      </c>
      <c r="B33" s="337" t="inlineStr">
        <is>
          <t>Cambio observado</t>
        </is>
      </c>
      <c r="C33" s="399" t="n"/>
      <c r="D33" s="399" t="n"/>
      <c r="E33" s="315" t="inlineStr">
        <is>
          <t>¿Se percibe?</t>
        </is>
      </c>
      <c r="F33" s="381" t="n"/>
      <c r="G33" s="315" t="inlineStr">
        <is>
          <t>Intensidad</t>
        </is>
      </c>
      <c r="H33" s="381" t="n"/>
      <c r="I33" s="381" t="n"/>
      <c r="J33" s="337" t="inlineStr">
        <is>
          <t>Año aprox.
de inicio</t>
        </is>
      </c>
      <c r="K33" s="399" t="n"/>
      <c r="L33" s="337" t="inlineStr">
        <is>
          <t>Impacto en la comunidad / territorio</t>
        </is>
      </c>
      <c r="M33" s="399" t="n"/>
      <c r="N33" s="399" t="n"/>
    </row>
    <row r="34" ht="21.75" customFormat="1" customHeight="1" s="50">
      <c r="A34" s="446" t="n"/>
      <c r="B34" s="447" t="n"/>
      <c r="E34" s="87" t="inlineStr">
        <is>
          <t>Sí</t>
        </is>
      </c>
      <c r="F34" s="87" t="inlineStr">
        <is>
          <t>No</t>
        </is>
      </c>
      <c r="G34" s="87" t="inlineStr">
        <is>
          <t>Alta</t>
        </is>
      </c>
      <c r="H34" s="87" t="inlineStr">
        <is>
          <t>Media</t>
        </is>
      </c>
      <c r="I34" s="87" t="inlineStr">
        <is>
          <t>Baja</t>
        </is>
      </c>
      <c r="J34" s="447" t="n"/>
      <c r="L34" s="447" t="n"/>
    </row>
    <row r="35" ht="30" customFormat="1" customHeight="1" s="51">
      <c r="A35" s="67" t="n">
        <v>1</v>
      </c>
      <c r="B35" s="109" t="inlineStr">
        <is>
          <t>Lluvias más intensas</t>
        </is>
      </c>
      <c r="C35" s="385" t="n"/>
      <c r="D35" s="386" t="n"/>
      <c r="E35" s="430" t="inlineStr">
        <is>
          <t>▼</t>
        </is>
      </c>
      <c r="F35" s="83" t="n"/>
      <c r="G35" s="430" t="inlineStr">
        <is>
          <t>▼</t>
        </is>
      </c>
      <c r="H35" s="83" t="n"/>
      <c r="I35" s="83" t="n"/>
      <c r="J35" s="274" t="n"/>
      <c r="K35" s="386" t="n"/>
      <c r="L35" s="109" t="n"/>
      <c r="M35" s="385" t="n"/>
      <c r="N35" s="386" t="n"/>
    </row>
    <row r="36" ht="30" customFormat="1" customHeight="1" s="51">
      <c r="A36" s="67" t="n">
        <v>2</v>
      </c>
      <c r="B36" s="109" t="inlineStr">
        <is>
          <t>Lluvias más escasas</t>
        </is>
      </c>
      <c r="C36" s="385" t="n"/>
      <c r="D36" s="386" t="n"/>
      <c r="E36" s="430" t="inlineStr">
        <is>
          <t>▼</t>
        </is>
      </c>
      <c r="F36" s="83" t="n"/>
      <c r="G36" s="430" t="inlineStr">
        <is>
          <t>▼</t>
        </is>
      </c>
      <c r="H36" s="83" t="n"/>
      <c r="I36" s="83" t="n"/>
      <c r="J36" s="274" t="n"/>
      <c r="K36" s="386" t="n"/>
      <c r="L36" s="109" t="n"/>
      <c r="M36" s="385" t="n"/>
      <c r="N36" s="386" t="n"/>
    </row>
    <row r="37" ht="30" customFormat="1" customHeight="1" s="51">
      <c r="A37" s="67" t="n">
        <v>3</v>
      </c>
      <c r="B37" s="109" t="inlineStr">
        <is>
          <t>Temporadas más largas sin lluvia</t>
        </is>
      </c>
      <c r="C37" s="385" t="n"/>
      <c r="D37" s="386" t="n"/>
      <c r="E37" s="430" t="inlineStr">
        <is>
          <t>▼</t>
        </is>
      </c>
      <c r="F37" s="83" t="n"/>
      <c r="G37" s="430" t="inlineStr">
        <is>
          <t>▼</t>
        </is>
      </c>
      <c r="H37" s="83" t="n"/>
      <c r="I37" s="83" t="n"/>
      <c r="J37" s="274" t="n"/>
      <c r="K37" s="386" t="n"/>
      <c r="L37" s="109" t="n"/>
      <c r="M37" s="385" t="n"/>
      <c r="N37" s="386" t="n"/>
    </row>
    <row r="38" ht="30" customFormat="1" customHeight="1" s="51">
      <c r="A38" s="67" t="n">
        <v>4</v>
      </c>
      <c r="B38" s="109" t="inlineStr">
        <is>
          <t>Temperaturas más altas</t>
        </is>
      </c>
      <c r="C38" s="385" t="n"/>
      <c r="D38" s="386" t="n"/>
      <c r="E38" s="430" t="inlineStr">
        <is>
          <t>▼</t>
        </is>
      </c>
      <c r="F38" s="83" t="n"/>
      <c r="G38" s="430" t="inlineStr">
        <is>
          <t>▼</t>
        </is>
      </c>
      <c r="H38" s="83" t="n"/>
      <c r="I38" s="83" t="n"/>
      <c r="J38" s="274" t="n"/>
      <c r="K38" s="386" t="n"/>
      <c r="L38" s="109" t="n"/>
      <c r="M38" s="385" t="n"/>
      <c r="N38" s="386" t="n"/>
    </row>
    <row r="39" ht="30" customFormat="1" customHeight="1" s="51">
      <c r="A39" s="67" t="n">
        <v>5</v>
      </c>
      <c r="B39" s="109" t="inlineStr">
        <is>
          <t>Heladas más frecuentes</t>
        </is>
      </c>
      <c r="C39" s="385" t="n"/>
      <c r="D39" s="386" t="n"/>
      <c r="E39" s="430" t="inlineStr">
        <is>
          <t>▼</t>
        </is>
      </c>
      <c r="F39" s="83" t="n"/>
      <c r="G39" s="430" t="inlineStr">
        <is>
          <t>▼</t>
        </is>
      </c>
      <c r="H39" s="83" t="n"/>
      <c r="I39" s="83" t="n"/>
      <c r="J39" s="274" t="n"/>
      <c r="K39" s="386" t="n"/>
      <c r="L39" s="109" t="n"/>
      <c r="M39" s="385" t="n"/>
      <c r="N39" s="386" t="n"/>
    </row>
    <row r="40" ht="30" customFormat="1" customHeight="1" s="51">
      <c r="A40" s="67" t="n">
        <v>6</v>
      </c>
      <c r="B40" s="109" t="inlineStr">
        <is>
          <t>Aparición de nuevas plagas</t>
        </is>
      </c>
      <c r="C40" s="385" t="n"/>
      <c r="D40" s="386" t="n"/>
      <c r="E40" s="430" t="inlineStr">
        <is>
          <t>▼</t>
        </is>
      </c>
      <c r="F40" s="83" t="n"/>
      <c r="G40" s="430" t="inlineStr">
        <is>
          <t>▼</t>
        </is>
      </c>
      <c r="H40" s="83" t="n"/>
      <c r="I40" s="83" t="n"/>
      <c r="J40" s="274" t="n"/>
      <c r="K40" s="386" t="n"/>
      <c r="L40" s="109" t="n"/>
      <c r="M40" s="385" t="n"/>
      <c r="N40" s="386" t="n"/>
    </row>
    <row r="41" ht="30" customFormat="1" customHeight="1" s="51">
      <c r="A41" s="67" t="n">
        <v>7</v>
      </c>
      <c r="B41" s="109" t="inlineStr">
        <is>
          <t>Pérdida de manantiales</t>
        </is>
      </c>
      <c r="C41" s="385" t="n"/>
      <c r="D41" s="386" t="n"/>
      <c r="E41" s="430" t="inlineStr">
        <is>
          <t>▼</t>
        </is>
      </c>
      <c r="F41" s="83" t="n"/>
      <c r="G41" s="430" t="inlineStr">
        <is>
          <t>▼</t>
        </is>
      </c>
      <c r="H41" s="83" t="n"/>
      <c r="I41" s="83" t="n"/>
      <c r="J41" s="274" t="n"/>
      <c r="K41" s="386" t="n"/>
      <c r="L41" s="109" t="n"/>
      <c r="M41" s="385" t="n"/>
      <c r="N41" s="386" t="n"/>
    </row>
    <row r="42" ht="30" customFormat="1" customHeight="1" s="51">
      <c r="A42" s="67" t="n">
        <v>8</v>
      </c>
      <c r="B42" s="109" t="inlineStr">
        <is>
          <t>Otro (especificar en impacto)</t>
        </is>
      </c>
      <c r="C42" s="385" t="n"/>
      <c r="D42" s="386" t="n"/>
      <c r="E42" s="430" t="inlineStr">
        <is>
          <t>▼</t>
        </is>
      </c>
      <c r="F42" s="83" t="n"/>
      <c r="G42" s="430" t="inlineStr">
        <is>
          <t>▼</t>
        </is>
      </c>
      <c r="H42" s="83" t="n"/>
      <c r="I42" s="83" t="n"/>
      <c r="J42" s="274" t="n"/>
      <c r="K42" s="386" t="n"/>
      <c r="L42" s="109" t="n"/>
      <c r="M42" s="385" t="n"/>
      <c r="N42" s="386" t="n"/>
    </row>
    <row r="43" ht="15.6" customFormat="1" customHeight="1" s="51"/>
    <row r="44" ht="19.5" customFormat="1" customHeight="1" s="50">
      <c r="A44" s="260" t="inlineStr">
        <is>
          <t>4. RESPUESTAS Y ADAPTACIONES LOCALES</t>
        </is>
      </c>
    </row>
    <row r="45" ht="30" customFormat="1" customHeight="1" s="51">
      <c r="A45" s="114" t="inlineStr">
        <is>
          <t>¿La comunidad ha tomado medidas frente a estos cambios?</t>
        </is>
      </c>
      <c r="B45" s="381" t="n"/>
      <c r="C45" s="381" t="n"/>
      <c r="D45" s="381" t="n"/>
      <c r="E45" s="381" t="n"/>
      <c r="F45" s="381" t="n"/>
      <c r="G45" s="381" t="n"/>
      <c r="H45" s="78" t="n"/>
      <c r="I45" s="77" t="inlineStr">
        <is>
          <t>Sí</t>
        </is>
      </c>
      <c r="J45" s="78" t="n"/>
      <c r="K45" s="77" t="inlineStr">
        <is>
          <t>No</t>
        </is>
      </c>
      <c r="O45" s="393" t="inlineStr">
        <is>
          <t>▼</t>
        </is>
      </c>
    </row>
    <row r="46" ht="30" customFormat="1" customHeight="1" s="51">
      <c r="A46" s="114" t="inlineStr">
        <is>
          <t>¿Hay sistemas de alerta temprana comunitarios?</t>
        </is>
      </c>
      <c r="B46" s="381" t="n"/>
      <c r="C46" s="381" t="n"/>
      <c r="D46" s="381" t="n"/>
      <c r="E46" s="381" t="n"/>
      <c r="F46" s="381" t="n"/>
      <c r="G46" s="381" t="n"/>
      <c r="H46" s="78" t="n"/>
      <c r="I46" s="77" t="inlineStr">
        <is>
          <t>Sí</t>
        </is>
      </c>
      <c r="J46" s="78" t="n"/>
      <c r="K46" s="77" t="inlineStr">
        <is>
          <t>No</t>
        </is>
      </c>
      <c r="O46" s="393" t="inlineStr">
        <is>
          <t>▼</t>
        </is>
      </c>
    </row>
    <row r="47" ht="30" customFormat="1" customHeight="1" s="51">
      <c r="A47" s="114" t="inlineStr">
        <is>
          <t>¿Existen saberes tradicionales de predicción climática?</t>
        </is>
      </c>
      <c r="B47" s="381" t="n"/>
      <c r="C47" s="381" t="n"/>
      <c r="D47" s="381" t="n"/>
      <c r="E47" s="381" t="n"/>
      <c r="F47" s="381" t="n"/>
      <c r="G47" s="381" t="n"/>
      <c r="H47" s="78" t="n"/>
      <c r="I47" s="77" t="inlineStr">
        <is>
          <t>Sí</t>
        </is>
      </c>
      <c r="J47" s="78" t="n"/>
      <c r="K47" s="77" t="inlineStr">
        <is>
          <t>No</t>
        </is>
      </c>
      <c r="O47" s="393" t="inlineStr">
        <is>
          <t>▼</t>
        </is>
      </c>
    </row>
    <row r="48" ht="30" customFormat="1" customHeight="1" s="51">
      <c r="A48" s="114" t="inlineStr">
        <is>
          <t>¿Se requiere apoyo externo para adaptación?</t>
        </is>
      </c>
      <c r="B48" s="381" t="n"/>
      <c r="C48" s="381" t="n"/>
      <c r="D48" s="381" t="n"/>
      <c r="E48" s="381" t="n"/>
      <c r="F48" s="381" t="n"/>
      <c r="G48" s="381" t="n"/>
      <c r="H48" s="78" t="n"/>
      <c r="I48" s="77" t="inlineStr">
        <is>
          <t>Sí</t>
        </is>
      </c>
      <c r="J48" s="78" t="n"/>
      <c r="K48" s="77" t="inlineStr">
        <is>
          <t>No</t>
        </is>
      </c>
      <c r="O48" s="393" t="inlineStr">
        <is>
          <t>▼</t>
        </is>
      </c>
    </row>
    <row r="49" ht="37.8" customFormat="1" customHeight="1" s="51">
      <c r="A49" s="114" t="inlineStr">
        <is>
          <t>Describa las medidas / sistemas / saberes / tipo de apoyo requerido:</t>
        </is>
      </c>
      <c r="B49" s="381" t="n"/>
      <c r="C49" s="381" t="n"/>
      <c r="D49" s="381" t="n"/>
      <c r="E49" s="381" t="n"/>
      <c r="F49" s="381" t="n"/>
      <c r="G49" s="381" t="n"/>
      <c r="H49" s="118" t="n"/>
      <c r="I49" s="381" t="n"/>
      <c r="J49" s="381" t="n"/>
      <c r="K49" s="381" t="n"/>
      <c r="L49" s="381" t="n"/>
      <c r="M49" s="381" t="n"/>
      <c r="N49" s="381" t="n"/>
    </row>
    <row r="50" ht="15.6" customFormat="1" customHeight="1" s="51"/>
    <row r="51" ht="19.5" customFormat="1" customHeight="1" s="50">
      <c r="A51" s="260" t="inlineStr">
        <is>
          <t>5. PRIORIZACIÓN LOCAL DE PELIGROS</t>
        </is>
      </c>
    </row>
    <row r="52" ht="30" customFormat="1" customHeight="1" s="51">
      <c r="A52" s="114" t="inlineStr">
        <is>
          <t>Peligro más grave según la comunidad (1)</t>
        </is>
      </c>
      <c r="B52" s="381" t="n"/>
      <c r="C52" s="381" t="n"/>
      <c r="D52" s="381" t="n"/>
      <c r="E52" s="381" t="n"/>
      <c r="F52" s="118" t="n"/>
      <c r="G52" s="381" t="n"/>
      <c r="H52" s="381" t="n"/>
      <c r="I52" s="381" t="n"/>
      <c r="J52" s="381" t="n"/>
      <c r="K52" s="381" t="n"/>
      <c r="L52" s="381" t="n"/>
      <c r="M52" s="381" t="n"/>
      <c r="N52" s="381" t="n"/>
    </row>
    <row r="53" ht="30" customFormat="1" customHeight="1" s="51">
      <c r="A53" s="114" t="inlineStr">
        <is>
          <t>Peligro más grave según la comunidad (2)</t>
        </is>
      </c>
      <c r="B53" s="381" t="n"/>
      <c r="C53" s="381" t="n"/>
      <c r="D53" s="381" t="n"/>
      <c r="E53" s="381" t="n"/>
      <c r="F53" s="118" t="n"/>
      <c r="G53" s="381" t="n"/>
      <c r="H53" s="381" t="n"/>
      <c r="I53" s="381" t="n"/>
      <c r="J53" s="381" t="n"/>
      <c r="K53" s="381" t="n"/>
      <c r="L53" s="381" t="n"/>
      <c r="M53" s="381" t="n"/>
      <c r="N53" s="381" t="n"/>
    </row>
    <row r="54" ht="30" customFormat="1" customHeight="1" s="51">
      <c r="A54" s="114" t="inlineStr">
        <is>
          <t>Peligro más grave según la comunidad (3)</t>
        </is>
      </c>
      <c r="B54" s="381" t="n"/>
      <c r="C54" s="381" t="n"/>
      <c r="D54" s="381" t="n"/>
      <c r="E54" s="381" t="n"/>
      <c r="F54" s="118" t="n"/>
      <c r="G54" s="381" t="n"/>
      <c r="H54" s="381" t="n"/>
      <c r="I54" s="381" t="n"/>
      <c r="J54" s="381" t="n"/>
      <c r="K54" s="381" t="n"/>
      <c r="L54" s="381" t="n"/>
      <c r="M54" s="381" t="n"/>
      <c r="N54" s="381" t="n"/>
    </row>
    <row r="55" ht="30" customFormat="1" customHeight="1" s="51">
      <c r="A55" s="114" t="inlineStr">
        <is>
          <t>¿Existe percepción diferenciada por género?</t>
        </is>
      </c>
      <c r="B55" s="381" t="n"/>
      <c r="C55" s="381" t="n"/>
      <c r="D55" s="381" t="n"/>
      <c r="E55" s="381" t="n"/>
      <c r="F55" s="381" t="n"/>
      <c r="G55" s="381" t="n"/>
      <c r="H55" s="78" t="n"/>
      <c r="I55" s="77" t="inlineStr">
        <is>
          <t>Sí</t>
        </is>
      </c>
      <c r="J55" s="78" t="n"/>
      <c r="K55" s="77" t="inlineStr">
        <is>
          <t>No</t>
        </is>
      </c>
      <c r="O55" s="393" t="inlineStr">
        <is>
          <t>▼</t>
        </is>
      </c>
    </row>
    <row r="56" ht="30" customFormat="1" customHeight="1" s="51">
      <c r="A56" s="114" t="inlineStr">
        <is>
          <t>Percepción diferenciada (describa)</t>
        </is>
      </c>
      <c r="B56" s="381" t="n"/>
      <c r="C56" s="381" t="n"/>
      <c r="D56" s="381" t="n"/>
      <c r="E56" s="381" t="n"/>
      <c r="F56" s="118" t="n"/>
      <c r="G56" s="381" t="n"/>
      <c r="H56" s="381" t="n"/>
      <c r="I56" s="381" t="n"/>
      <c r="J56" s="381" t="n"/>
      <c r="K56" s="381" t="n"/>
      <c r="L56" s="381" t="n"/>
      <c r="M56" s="381" t="n"/>
      <c r="N56" s="381" t="n"/>
    </row>
    <row r="57" ht="15.6" customFormat="1" customHeight="1" s="51">
      <c r="A57" s="314" t="n"/>
      <c r="B57" s="381" t="n"/>
      <c r="C57" s="381" t="n"/>
      <c r="D57" s="381" t="n"/>
      <c r="E57" s="381" t="n"/>
      <c r="F57" s="381" t="n"/>
      <c r="G57" s="381" t="n"/>
      <c r="H57" s="381" t="n"/>
      <c r="I57" s="381" t="n"/>
      <c r="J57" s="381" t="n"/>
      <c r="K57" s="381" t="n"/>
      <c r="L57" s="381" t="n"/>
      <c r="M57" s="381" t="n"/>
      <c r="N57" s="381" t="n"/>
    </row>
    <row r="58" ht="19.5" customFormat="1" customHeight="1" s="51">
      <c r="A58" s="314" t="n"/>
      <c r="B58" s="381" t="n"/>
      <c r="C58" s="381" t="n"/>
      <c r="D58" s="381" t="n"/>
      <c r="E58" s="381" t="n"/>
      <c r="F58" s="381" t="n"/>
      <c r="G58" s="381" t="n"/>
      <c r="H58" s="381" t="n"/>
      <c r="I58" s="381" t="n"/>
      <c r="J58" s="381" t="n"/>
      <c r="K58" s="381" t="n"/>
      <c r="L58" s="381" t="n"/>
      <c r="M58" s="381" t="n"/>
      <c r="N58" s="381" t="n"/>
    </row>
    <row r="59" ht="15.6" customFormat="1" customHeight="1" s="51"/>
    <row r="60" ht="19.5" customFormat="1" customHeight="1" s="50">
      <c r="A60" s="260" t="inlineStr">
        <is>
          <t>OBSERVACIONES Y FIRMAS</t>
        </is>
      </c>
    </row>
    <row r="61" ht="19.5" customHeight="1">
      <c r="A61" s="286" t="n"/>
      <c r="B61" s="381" t="n"/>
      <c r="C61" s="381" t="n"/>
      <c r="D61" s="381" t="n"/>
      <c r="E61" s="381" t="n"/>
      <c r="F61" s="381" t="n"/>
      <c r="G61" s="381" t="n"/>
      <c r="H61" s="381" t="n"/>
      <c r="I61" s="381" t="n"/>
      <c r="J61" s="381" t="n"/>
      <c r="K61" s="381" t="n"/>
      <c r="L61" s="381" t="n"/>
      <c r="M61" s="381" t="n"/>
      <c r="N61" s="381" t="n"/>
    </row>
    <row r="62" ht="19.5" customHeight="1">
      <c r="A62" s="286" t="n"/>
      <c r="B62" s="381" t="n"/>
      <c r="C62" s="381" t="n"/>
      <c r="D62" s="381" t="n"/>
      <c r="E62" s="381" t="n"/>
      <c r="F62" s="381" t="n"/>
      <c r="G62" s="381" t="n"/>
      <c r="H62" s="381" t="n"/>
      <c r="I62" s="381" t="n"/>
      <c r="J62" s="381" t="n"/>
      <c r="K62" s="381" t="n"/>
      <c r="L62" s="381" t="n"/>
      <c r="M62" s="381" t="n"/>
      <c r="N62" s="381" t="n"/>
    </row>
    <row r="63" ht="19.5" customHeight="1">
      <c r="A63" s="286" t="n"/>
      <c r="B63" s="381" t="n"/>
      <c r="C63" s="381" t="n"/>
      <c r="D63" s="381" t="n"/>
      <c r="E63" s="381" t="n"/>
      <c r="F63" s="381" t="n"/>
      <c r="G63" s="381" t="n"/>
      <c r="H63" s="381" t="n"/>
      <c r="I63" s="381" t="n"/>
      <c r="J63" s="381" t="n"/>
      <c r="K63" s="381" t="n"/>
      <c r="L63" s="381" t="n"/>
      <c r="M63" s="381" t="n"/>
      <c r="N63" s="381" t="n"/>
    </row>
    <row r="64" ht="19.5" customHeight="1">
      <c r="A64" s="286" t="n"/>
      <c r="B64" s="381" t="n"/>
      <c r="C64" s="381" t="n"/>
      <c r="D64" s="381" t="n"/>
      <c r="E64" s="381" t="n"/>
      <c r="F64" s="381" t="n"/>
      <c r="G64" s="381" t="n"/>
      <c r="H64" s="381" t="n"/>
      <c r="I64" s="381" t="n"/>
      <c r="J64" s="381" t="n"/>
      <c r="K64" s="381" t="n"/>
      <c r="L64" s="381" t="n"/>
      <c r="M64" s="381" t="n"/>
      <c r="N64" s="381" t="n"/>
    </row>
    <row r="65" ht="19.5" customHeight="1">
      <c r="A65" s="286" t="n"/>
      <c r="B65" s="381" t="n"/>
      <c r="C65" s="381" t="n"/>
      <c r="D65" s="381" t="n"/>
      <c r="E65" s="381" t="n"/>
      <c r="F65" s="381" t="n"/>
      <c r="G65" s="381" t="n"/>
      <c r="H65" s="381" t="n"/>
      <c r="I65" s="381" t="n"/>
      <c r="J65" s="381" t="n"/>
      <c r="K65" s="381" t="n"/>
      <c r="L65" s="381" t="n"/>
      <c r="M65" s="381" t="n"/>
      <c r="N65" s="381" t="n"/>
    </row>
    <row r="66">
      <c r="A66" s="55" t="n"/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  <c r="K66" s="55" t="n"/>
      <c r="L66" s="55" t="n"/>
      <c r="M66" s="55" t="n"/>
      <c r="N66" s="55" t="n"/>
    </row>
    <row r="67">
      <c r="A67" s="55" t="n"/>
      <c r="B67" s="55" t="n"/>
      <c r="C67" s="55" t="n"/>
      <c r="D67" s="55" t="n"/>
      <c r="E67" s="55" t="n"/>
      <c r="F67" s="55" t="n"/>
      <c r="G67" s="55" t="n"/>
      <c r="H67" s="55" t="n"/>
      <c r="I67" s="55" t="n"/>
      <c r="J67" s="55" t="n"/>
      <c r="K67" s="55" t="n"/>
      <c r="L67" s="55" t="n"/>
      <c r="M67" s="55" t="n"/>
      <c r="N67" s="55" t="n"/>
    </row>
    <row r="68" ht="28.35" customHeight="1">
      <c r="A68" s="304" t="inlineStr">
        <is>
          <t>_________________________________________</t>
        </is>
      </c>
      <c r="G68" s="55" t="n"/>
      <c r="H68" s="304" t="inlineStr">
        <is>
          <t>_________________________________________</t>
        </is>
      </c>
    </row>
    <row r="69" ht="15" customHeight="1">
      <c r="A69" s="305" t="inlineStr">
        <is>
          <t>Informante principal (Firma / Nombre / DNI)</t>
        </is>
      </c>
      <c r="G69" s="55" t="n"/>
      <c r="H69" s="305" t="inlineStr">
        <is>
          <t>Facilitador/a SESDI (Firma / Nombre / DNI)</t>
        </is>
      </c>
    </row>
  </sheetData>
  <mergeCells count="102">
    <mergeCell ref="B42:D42"/>
    <mergeCell ref="L42:N42"/>
    <mergeCell ref="A30:N30"/>
    <mergeCell ref="A11:N11"/>
    <mergeCell ref="L35:N35"/>
    <mergeCell ref="L25:N25"/>
    <mergeCell ref="B37:D37"/>
    <mergeCell ref="A61:N61"/>
    <mergeCell ref="B13:B14"/>
    <mergeCell ref="A48:G48"/>
    <mergeCell ref="F56:N56"/>
    <mergeCell ref="A45:G45"/>
    <mergeCell ref="F52:N52"/>
    <mergeCell ref="A33:A34"/>
    <mergeCell ref="H68:N68"/>
    <mergeCell ref="A46:G46"/>
    <mergeCell ref="H49:N49"/>
    <mergeCell ref="F54:N54"/>
    <mergeCell ref="A52:E52"/>
    <mergeCell ref="H69:N69"/>
    <mergeCell ref="A63:N63"/>
    <mergeCell ref="I13:J13"/>
    <mergeCell ref="L15:N15"/>
    <mergeCell ref="L24:N24"/>
    <mergeCell ref="L18:N18"/>
    <mergeCell ref="L8:N8"/>
    <mergeCell ref="L26:N26"/>
    <mergeCell ref="A1:N1"/>
    <mergeCell ref="L41:N41"/>
    <mergeCell ref="A65:N65"/>
    <mergeCell ref="J36:K36"/>
    <mergeCell ref="A49:G49"/>
    <mergeCell ref="A3:N3"/>
    <mergeCell ref="B36:D36"/>
    <mergeCell ref="J33:K34"/>
    <mergeCell ref="A12:N12"/>
    <mergeCell ref="L36:N36"/>
    <mergeCell ref="J7:N7"/>
    <mergeCell ref="A57:N57"/>
    <mergeCell ref="L33:N34"/>
    <mergeCell ref="A5:N5"/>
    <mergeCell ref="A32:N32"/>
    <mergeCell ref="D9:N9"/>
    <mergeCell ref="A4:N4"/>
    <mergeCell ref="A55:G55"/>
    <mergeCell ref="L37:N37"/>
    <mergeCell ref="A7:C7"/>
    <mergeCell ref="B39:D39"/>
    <mergeCell ref="A58:N58"/>
    <mergeCell ref="J38:K38"/>
    <mergeCell ref="L23:N23"/>
    <mergeCell ref="A60:N60"/>
    <mergeCell ref="D7:F7"/>
    <mergeCell ref="J40:K40"/>
    <mergeCell ref="A6:N6"/>
    <mergeCell ref="L40:N40"/>
    <mergeCell ref="E13:F13"/>
    <mergeCell ref="G13:H13"/>
    <mergeCell ref="F8:G8"/>
    <mergeCell ref="J35:K35"/>
    <mergeCell ref="A68:F68"/>
    <mergeCell ref="A13:A14"/>
    <mergeCell ref="B41:D41"/>
    <mergeCell ref="A2:N2"/>
    <mergeCell ref="B35:D35"/>
    <mergeCell ref="H8:J8"/>
    <mergeCell ref="L17:N17"/>
    <mergeCell ref="L19:N19"/>
    <mergeCell ref="A29:N29"/>
    <mergeCell ref="J42:K42"/>
    <mergeCell ref="G7:I7"/>
    <mergeCell ref="B33:D34"/>
    <mergeCell ref="A44:N44"/>
    <mergeCell ref="A47:G47"/>
    <mergeCell ref="J39:K39"/>
    <mergeCell ref="E33:F33"/>
    <mergeCell ref="A64:N64"/>
    <mergeCell ref="L39:N39"/>
    <mergeCell ref="J37:K37"/>
    <mergeCell ref="A51:N51"/>
    <mergeCell ref="L20:N20"/>
    <mergeCell ref="B38:D38"/>
    <mergeCell ref="G33:I33"/>
    <mergeCell ref="L38:N38"/>
    <mergeCell ref="A54:E54"/>
    <mergeCell ref="A8:C8"/>
    <mergeCell ref="L22:N22"/>
    <mergeCell ref="B40:D40"/>
    <mergeCell ref="L13:N14"/>
    <mergeCell ref="A56:E56"/>
    <mergeCell ref="L21:N21"/>
    <mergeCell ref="A9:C9"/>
    <mergeCell ref="K13:K14"/>
    <mergeCell ref="J41:K41"/>
    <mergeCell ref="F53:N53"/>
    <mergeCell ref="D8:E8"/>
    <mergeCell ref="A53:E53"/>
    <mergeCell ref="L16:N16"/>
    <mergeCell ref="A62:N62"/>
    <mergeCell ref="C13:D13"/>
    <mergeCell ref="A28:N28"/>
    <mergeCell ref="A69:F69"/>
  </mergeCells>
  <dataValidations count="11">
    <dataValidation sqref="C15 C16 C17 C18 C19 C20 C21 C22 C23 C24 C25 C26 E35 E36 E37 E38 E39 E40 E41 E42" showDropDown="0" showInputMessage="0" showErrorMessage="0" allowBlank="1" type="list">
      <formula1>'_Listas'!$A$2:$A$3</formula1>
    </dataValidation>
    <dataValidation sqref="E15 E16 E17 E18 E19 E20 E21 E22 E23 E24 E25 E26" showDropDown="0" showInputMessage="0" showErrorMessage="0" allowBlank="1" type="list">
      <formula1>"MF (Muy frecuente),F (Frecuente),O (Ocasional),R (Rara),SR (Sin registro)"</formula1>
    </dataValidation>
    <dataValidation sqref="G15 G16 G17 G18 G19 G20 G21 G22 G23 G24 G25 G26" showDropDown="0" showInputMessage="0" showErrorMessage="0" allowBlank="1" type="list">
      <formula1>"A (Alta),M (Media),B (Baja)"</formula1>
    </dataValidation>
    <dataValidation sqref="I15 I16 I17 I18 I19 I20 I21 I22 I23 I24 I25 I26" showDropDown="0" showInputMessage="0" showErrorMessage="0" allowBlank="1" type="list">
      <formula1>"Sube (Aumentando),Baja (Disminuyendo),E (Estable),I (Irregular),NS (No sabe)"</formula1>
    </dataValidation>
    <dataValidation sqref="C15 C16 C17 C18 C19 C20 C21 C22 C23 C24 C25 C26 E35 E36 E37 E38 E39 E40 E41 E42" showDropDown="0" showInputMessage="0" showErrorMessage="0" allowBlank="1" type="list">
      <formula1>'_Listas'!$A$2:$A$3</formula1>
    </dataValidation>
    <dataValidation sqref="G35 G36 G37 G38 G39 G40 G41 G42" showDropDown="0" showInputMessage="0" showErrorMessage="0" allowBlank="1" type="list">
      <formula1>"Alta,Media,Baja"</formula1>
    </dataValidation>
    <dataValidation sqref="O45" showDropDown="0" showInputMessage="0" showErrorMessage="0" allowBlank="1" type="list">
      <formula1>'_Listas'!$A$2:$A$3</formula1>
    </dataValidation>
    <dataValidation sqref="O46" showDropDown="0" showInputMessage="0" showErrorMessage="0" allowBlank="1" type="list">
      <formula1>'_Listas'!$A$2:$A$3</formula1>
    </dataValidation>
    <dataValidation sqref="O47" showDropDown="0" showInputMessage="0" showErrorMessage="0" allowBlank="1" type="list">
      <formula1>'_Listas'!$A$2:$A$3</formula1>
    </dataValidation>
    <dataValidation sqref="O48" showDropDown="0" showInputMessage="0" showErrorMessage="0" allowBlank="1" type="list">
      <formula1>'_Listas'!$A$2:$A$3</formula1>
    </dataValidation>
    <dataValidation sqref="O55" showDropDown="0" showInputMessage="0" showErrorMessage="0" allowBlank="1" type="list">
      <formula1>'_Listas'!$A$2:$A$3</formula1>
    </dataValidation>
  </dataValidations>
  <printOptions horizontalCentered="1"/>
  <pageMargins left="0.15" right="0.15" top="0.5" bottom="0.5" header="0.511811023622047" footer="0.511811023622047"/>
  <pageSetup orientation="portrait" scale="70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9"/>
  <sheetViews>
    <sheetView zoomScaleNormal="100" workbookViewId="0">
      <pane ySplit="6" topLeftCell="A46" activePane="bottomLeft" state="frozen"/>
      <selection pane="bottomLeft" activeCell="A60" sqref="A60:XFD60"/>
    </sheetView>
  </sheetViews>
  <sheetFormatPr baseColWidth="10" defaultColWidth="8.6640625" defaultRowHeight="14.4"/>
  <cols>
    <col width="10.109375" customWidth="1" min="1" max="1"/>
    <col width="24" customWidth="1" min="2" max="2"/>
    <col width="4" customWidth="1" min="3" max="3"/>
    <col width="14.21875" customWidth="1" min="4" max="4"/>
    <col width="9.44140625" customWidth="1" min="5" max="5"/>
    <col width="11.77734375" customWidth="1" min="6" max="6"/>
    <col width="6.6640625" customWidth="1" min="7" max="7"/>
    <col width="16.77734375" customWidth="1" min="8" max="8"/>
    <col width="11.44140625" customWidth="1" min="9" max="9"/>
    <col width="13.33203125" customWidth="1" min="10" max="10"/>
    <col width="10.44140625" customWidth="1" min="11" max="11"/>
    <col width="8.44140625" customWidth="1" min="12" max="12"/>
    <col width="10.5546875" customWidth="1" min="13" max="13"/>
    <col width="10.44140625" customWidth="1" min="14" max="14"/>
    <col width="32" customWidth="1" min="15" max="15"/>
  </cols>
  <sheetData>
    <row r="1" ht="19.5" customHeight="1">
      <c r="A1" s="330" t="inlineStr">
        <is>
          <t>AUTORIDAD NACIONAL DE INFRAESTRUCTURA — ANIN</t>
        </is>
      </c>
    </row>
    <row r="2" ht="15" customFormat="1" customHeight="1" s="51">
      <c r="A2" s="376" t="inlineStr">
        <is>
          <t>DIME — Dirección de Intervenciones Multisectoriales y de Emergencia  |  SESDI — Subdirección de Estudios de Inversión</t>
        </is>
      </c>
    </row>
    <row r="3" ht="13.5" customFormat="1" customHeight="1" s="51">
      <c r="A3" s="377" t="inlineStr">
        <is>
          <t>PROYECTO IN PIURA  |  CUI 2669244  |  Recuperación de servicios de regulación de riesgos naturales y regulación hídrica — Cuenca Alta del Río Piura</t>
        </is>
      </c>
    </row>
    <row r="4" ht="18.6" customHeight="1">
      <c r="A4" s="333" t="inlineStr">
        <is>
          <t>F-DS-07: DISPOSICIÓN A PARTICIPAR Y CONSENTIMIENTO PREVIO INFORMADO</t>
        </is>
      </c>
    </row>
    <row r="5" ht="18.6" customHeight="1">
      <c r="A5" s="313" t="inlineStr">
        <is>
          <t>Evaluación formal de la disposición del titular del predio o de la asamblea comunal a participar — base para acuerdos formales.  Marcar con «X» cada casilla que corresponda.</t>
        </is>
      </c>
    </row>
    <row r="6" ht="19.5" customFormat="1" customHeight="1" s="74">
      <c r="A6" s="322" t="inlineStr">
        <is>
          <t>1. DATOS GENERALES</t>
        </is>
      </c>
    </row>
    <row r="7" ht="28.8" customFormat="1" customHeight="1" s="51">
      <c r="A7" s="371" t="inlineStr">
        <is>
          <t>Fecha *</t>
        </is>
      </c>
      <c r="B7" s="385" t="n"/>
      <c r="C7" s="386" t="n"/>
      <c r="D7" s="109" t="n"/>
      <c r="E7" s="385" t="n"/>
      <c r="F7" s="386" t="n"/>
      <c r="G7" s="371" t="inlineStr">
        <is>
          <t>Responsable *</t>
        </is>
      </c>
      <c r="H7" s="385" t="n"/>
      <c r="I7" s="386" t="n"/>
      <c r="J7" s="109" t="n"/>
      <c r="K7" s="385" t="n"/>
      <c r="L7" s="385" t="n"/>
      <c r="M7" s="385" t="n"/>
      <c r="N7" s="386" t="n"/>
    </row>
    <row r="8" ht="28.2" customFormat="1" customHeight="1" s="51">
      <c r="A8" s="371" t="inlineStr">
        <is>
          <t>Código Bloque *</t>
        </is>
      </c>
      <c r="B8" s="385" t="n"/>
      <c r="C8" s="386" t="n"/>
      <c r="D8" s="372" t="n"/>
      <c r="E8" s="386" t="n"/>
      <c r="F8" s="110" t="inlineStr">
        <is>
          <t>Microcuenca</t>
        </is>
      </c>
      <c r="G8" s="386" t="n"/>
      <c r="H8" s="373">
        <f>IFERROR(VLOOKUP($D$8,_Datos!$A$2:$H$128,2,FALSE()),"")</f>
        <v/>
      </c>
      <c r="I8" s="385" t="n"/>
      <c r="J8" s="386" t="n"/>
      <c r="K8" s="375" t="inlineStr">
        <is>
          <t>Distrito</t>
        </is>
      </c>
      <c r="L8" s="385" t="n"/>
      <c r="M8" s="385" t="n"/>
      <c r="N8" s="386" t="n"/>
    </row>
    <row r="9" ht="19.5" customFormat="1" customHeight="1" s="74">
      <c r="A9" s="322" t="inlineStr">
        <is>
          <t>2. DATOS DEL TITULAR / REPRESENTANTE</t>
        </is>
      </c>
      <c r="O9" s="390" t="inlineStr">
        <is>
          <t>RESP. ▼</t>
        </is>
      </c>
    </row>
    <row r="10" ht="15" customFormat="1" customHeight="1" s="51" thickBot="1">
      <c r="A10" s="310" t="inlineStr">
        <is>
          <t>2.1  Tipo de propietario/representante (marcar uno) *</t>
        </is>
      </c>
      <c r="B10" s="381" t="n"/>
      <c r="C10" s="381" t="n"/>
      <c r="D10" s="381" t="n"/>
      <c r="E10" s="381" t="n"/>
      <c r="F10" s="381" t="n"/>
      <c r="G10" s="381" t="n"/>
      <c r="H10" s="381" t="n"/>
      <c r="I10" s="381" t="n"/>
      <c r="J10" s="381" t="n"/>
      <c r="K10" s="381" t="n"/>
      <c r="L10" s="381" t="n"/>
      <c r="M10" s="381" t="n"/>
      <c r="N10" s="381" t="n"/>
      <c r="O10" s="393" t="inlineStr">
        <is>
          <t>▼</t>
        </is>
      </c>
    </row>
    <row r="11" ht="26.4" customFormat="1" customHeight="1" s="51" thickBot="1">
      <c r="A11" s="102" t="n"/>
      <c r="B11" s="448" t="inlineStr">
        <is>
          <t>Titular individual del predio</t>
        </is>
      </c>
      <c r="C11" s="395" t="n"/>
      <c r="D11" s="395" t="n"/>
      <c r="E11" s="395" t="n"/>
      <c r="F11" s="395" t="n"/>
      <c r="G11" s="396" t="n"/>
      <c r="H11" s="104" t="n"/>
      <c r="I11" s="448" t="inlineStr">
        <is>
          <t>Posesionario (sin título)</t>
        </is>
      </c>
      <c r="J11" s="395" t="n"/>
      <c r="K11" s="395" t="n"/>
      <c r="L11" s="395" t="n"/>
      <c r="M11" s="395" t="n"/>
      <c r="N11" s="396" t="n"/>
    </row>
    <row r="12" ht="26.4" customFormat="1" customHeight="1" s="51" thickBot="1">
      <c r="A12" s="75" t="n"/>
      <c r="B12" s="448" t="inlineStr">
        <is>
          <t>Junta Directiva Comunal (predio comunal)</t>
        </is>
      </c>
      <c r="C12" s="395" t="n"/>
      <c r="D12" s="395" t="n"/>
      <c r="E12" s="395" t="n"/>
      <c r="F12" s="395" t="n"/>
      <c r="G12" s="396" t="n"/>
      <c r="H12" s="75" t="n"/>
      <c r="I12" s="448" t="inlineStr">
        <is>
          <t>Asamblea comunal (representación)</t>
        </is>
      </c>
      <c r="J12" s="395" t="n"/>
      <c r="K12" s="395" t="n"/>
      <c r="L12" s="395" t="n"/>
      <c r="M12" s="395" t="n"/>
      <c r="N12" s="396" t="n"/>
    </row>
    <row r="13" ht="26.4" customFormat="1" customHeight="1" s="51" thickBot="1">
      <c r="A13" s="102" t="n"/>
      <c r="B13" s="448" t="inlineStr">
        <is>
          <t>Heredero en trámite</t>
        </is>
      </c>
      <c r="C13" s="395" t="n"/>
      <c r="D13" s="395" t="n"/>
      <c r="E13" s="395" t="n"/>
      <c r="F13" s="395" t="n"/>
      <c r="G13" s="396" t="n"/>
      <c r="H13" s="103" t="n"/>
      <c r="I13" s="448" t="inlineStr">
        <is>
          <t>Otro (especificar en observ.)</t>
        </is>
      </c>
      <c r="J13" s="395" t="n"/>
      <c r="K13" s="395" t="n"/>
      <c r="L13" s="395" t="n"/>
      <c r="M13" s="395" t="n"/>
      <c r="N13" s="396" t="n"/>
    </row>
    <row r="14" ht="30" customFormat="1" customHeight="1" s="51" thickBot="1">
      <c r="A14" s="310" t="inlineStr">
        <is>
          <t>Nombres y apellidos completos *</t>
        </is>
      </c>
      <c r="B14" s="381" t="n"/>
      <c r="C14" s="381" t="n"/>
      <c r="D14" s="449" t="n"/>
      <c r="E14" s="450" t="n"/>
      <c r="F14" s="450" t="n"/>
      <c r="G14" s="450" t="n"/>
      <c r="H14" s="451" t="n"/>
      <c r="I14" s="101" t="inlineStr">
        <is>
          <t>DNI *</t>
        </is>
      </c>
      <c r="J14" s="437" t="n"/>
      <c r="K14" s="396" t="n"/>
      <c r="L14" s="105" t="inlineStr">
        <is>
          <t>Edad</t>
        </is>
      </c>
      <c r="M14" s="369" t="n"/>
      <c r="N14" s="452" t="n"/>
    </row>
    <row r="15" ht="25.2" customFormat="1" customHeight="1" s="51" thickBot="1">
      <c r="A15" s="114" t="inlineStr">
        <is>
          <t>Género (marcar)</t>
        </is>
      </c>
      <c r="B15" s="381" t="n"/>
      <c r="C15" s="381" t="n"/>
      <c r="D15" s="453" t="inlineStr">
        <is>
          <t>Hombre</t>
        </is>
      </c>
      <c r="E15" s="396" t="n"/>
      <c r="F15" s="453" t="inlineStr">
        <is>
          <t>Mujer</t>
        </is>
      </c>
      <c r="G15" s="396" t="n"/>
      <c r="H15" s="106" t="inlineStr">
        <is>
          <t>Otro / Pref. no decir</t>
        </is>
      </c>
      <c r="I15" s="355" t="inlineStr">
        <is>
          <t>Dirección / Ubicación de residencia habitual</t>
        </is>
      </c>
      <c r="K15" s="454" t="n"/>
      <c r="L15" s="383" t="n"/>
      <c r="M15" s="383" t="n"/>
      <c r="N15" s="384" t="n"/>
      <c r="O15" s="393" t="inlineStr">
        <is>
          <t>▼</t>
        </is>
      </c>
    </row>
    <row r="16" ht="33.6" customFormat="1" customHeight="1" s="51" thickBot="1">
      <c r="A16" s="114" t="inlineStr">
        <is>
          <t>Teléfono / Correo de contacto</t>
        </is>
      </c>
      <c r="B16" s="381" t="n"/>
      <c r="C16" s="381" t="n"/>
      <c r="D16" s="437" t="n"/>
      <c r="E16" s="395" t="n"/>
      <c r="F16" s="395" t="n"/>
      <c r="G16" s="395" t="n"/>
      <c r="H16" s="396" t="n"/>
      <c r="I16" s="404" t="n"/>
      <c r="J16" s="404" t="n"/>
      <c r="K16" s="455" t="n"/>
      <c r="L16" s="450" t="n"/>
      <c r="M16" s="450" t="n"/>
      <c r="N16" s="451" t="n"/>
    </row>
    <row r="17" ht="31.8" customFormat="1" customHeight="1" s="51">
      <c r="A17" s="114" t="inlineStr">
        <is>
          <t>Superficie aprox. del predio dentro del bloque (ha)</t>
        </is>
      </c>
      <c r="B17" s="381" t="n"/>
      <c r="C17" s="381" t="n"/>
      <c r="D17" s="118" t="n"/>
      <c r="E17" s="381" t="n"/>
      <c r="F17" s="381" t="n"/>
      <c r="G17" s="381" t="n"/>
      <c r="H17" s="381" t="n"/>
      <c r="I17" s="381" t="n"/>
      <c r="J17" s="381" t="n"/>
      <c r="K17" s="381" t="n"/>
      <c r="L17" s="381" t="n"/>
      <c r="M17" s="381" t="n"/>
      <c r="N17" s="381" t="n"/>
    </row>
    <row r="18" ht="27.6" customFormat="1" customHeight="1" s="51">
      <c r="A18" s="114" t="inlineStr">
        <is>
          <t>2.2  Documentación de tenencia disponible (marcar todas las que apliquen)</t>
        </is>
      </c>
      <c r="B18" s="381" t="n"/>
      <c r="C18" s="381" t="n"/>
      <c r="D18" s="381" t="n"/>
      <c r="E18" s="381" t="n"/>
      <c r="F18" s="381" t="n"/>
      <c r="G18" s="381" t="n"/>
      <c r="H18" s="381" t="n"/>
      <c r="I18" s="381" t="n"/>
      <c r="J18" s="381" t="n"/>
      <c r="K18" s="381" t="n"/>
      <c r="L18" s="381" t="n"/>
      <c r="M18" s="381" t="n"/>
      <c r="N18" s="381" t="n"/>
    </row>
    <row r="19" ht="26.4" customFormat="1" customHeight="1" s="51">
      <c r="A19" s="75" t="n"/>
      <c r="B19" s="309" t="inlineStr">
        <is>
          <t>Título de propiedad SUNARP</t>
        </is>
      </c>
      <c r="C19" s="381" t="n"/>
      <c r="D19" s="381" t="n"/>
      <c r="E19" s="381" t="n"/>
      <c r="F19" s="381" t="n"/>
      <c r="G19" s="381" t="n"/>
      <c r="H19" s="75" t="n"/>
      <c r="I19" s="309" t="inlineStr">
        <is>
          <t>Constancia de posesión (municipal)</t>
        </is>
      </c>
      <c r="J19" s="381" t="n"/>
      <c r="K19" s="381" t="n"/>
      <c r="L19" s="381" t="n"/>
      <c r="M19" s="381" t="n"/>
      <c r="N19" s="381" t="n"/>
    </row>
    <row r="20" ht="26.4" customFormat="1" customHeight="1" s="51">
      <c r="A20" s="75" t="n"/>
      <c r="B20" s="309" t="inlineStr">
        <is>
          <t>Título COFOPRI</t>
        </is>
      </c>
      <c r="C20" s="381" t="n"/>
      <c r="D20" s="381" t="n"/>
      <c r="E20" s="381" t="n"/>
      <c r="F20" s="381" t="n"/>
      <c r="G20" s="381" t="n"/>
      <c r="H20" s="75" t="n"/>
      <c r="I20" s="309" t="inlineStr">
        <is>
          <t>Certificado catastral</t>
        </is>
      </c>
      <c r="J20" s="381" t="n"/>
      <c r="K20" s="381" t="n"/>
      <c r="L20" s="381" t="n"/>
      <c r="M20" s="381" t="n"/>
      <c r="N20" s="381" t="n"/>
    </row>
    <row r="21" ht="26.4" customFormat="1" customHeight="1" s="51">
      <c r="A21" s="75" t="n"/>
      <c r="B21" s="309" t="inlineStr">
        <is>
          <t>Resolución de adjudicación</t>
        </is>
      </c>
      <c r="C21" s="381" t="n"/>
      <c r="D21" s="381" t="n"/>
      <c r="E21" s="381" t="n"/>
      <c r="F21" s="381" t="n"/>
      <c r="G21" s="381" t="n"/>
      <c r="H21" s="75" t="n"/>
      <c r="I21" s="309" t="inlineStr">
        <is>
          <t>Sin documentación disponible</t>
        </is>
      </c>
      <c r="J21" s="381" t="n"/>
      <c r="K21" s="381" t="n"/>
      <c r="L21" s="381" t="n"/>
      <c r="M21" s="381" t="n"/>
      <c r="N21" s="381" t="n"/>
    </row>
    <row r="22" ht="27.6" customFormat="1" customHeight="1" s="51">
      <c r="A22" s="114" t="inlineStr">
        <is>
          <t>¿Tiene conflictos de linderos?</t>
        </is>
      </c>
      <c r="B22" s="381" t="n"/>
      <c r="C22" s="381" t="n"/>
      <c r="D22" s="381" t="n"/>
      <c r="E22" s="381" t="n"/>
      <c r="F22" s="381" t="n"/>
      <c r="G22" s="381" t="n"/>
      <c r="H22" s="75" t="n"/>
      <c r="I22" s="77" t="inlineStr">
        <is>
          <t>Sí</t>
        </is>
      </c>
      <c r="J22" s="75" t="n"/>
      <c r="K22" s="77" t="inlineStr">
        <is>
          <t>No</t>
        </is>
      </c>
      <c r="O22" s="393" t="inlineStr">
        <is>
          <t>▼</t>
        </is>
      </c>
    </row>
    <row r="23" ht="27.6" customFormat="1" customHeight="1" s="51" thickBot="1">
      <c r="A23" s="114" t="inlineStr">
        <is>
          <t>¿Es residente permanente en la zona?</t>
        </is>
      </c>
      <c r="B23" s="381" t="n"/>
      <c r="C23" s="381" t="n"/>
      <c r="D23" s="381" t="n"/>
      <c r="E23" s="381" t="n"/>
      <c r="F23" s="381" t="n"/>
      <c r="G23" s="381" t="n"/>
      <c r="H23" s="75" t="n"/>
      <c r="I23" s="77" t="inlineStr">
        <is>
          <t>Sí</t>
        </is>
      </c>
      <c r="J23" s="75" t="n"/>
      <c r="K23" s="77" t="inlineStr">
        <is>
          <t>No</t>
        </is>
      </c>
      <c r="O23" s="393" t="inlineStr">
        <is>
          <t>▼</t>
        </is>
      </c>
    </row>
    <row r="24" ht="19.5" customFormat="1" customHeight="1" s="74">
      <c r="A24" s="322" t="inlineStr">
        <is>
          <t>3. INFORMACIÓN PROVISTA AL TITULAR / REPRESENTANTE</t>
        </is>
      </c>
    </row>
    <row r="25" ht="13.5" customFormat="1" customHeight="1" s="51">
      <c r="A25" s="350" t="inlineStr">
        <is>
          <t>Marque «X» en «Sí» cuando el punto fue efectivamente explicado en lenguaje comprensible. En caso contrario, justificar en Observaciones.</t>
        </is>
      </c>
    </row>
    <row r="26" ht="21.75" customFormat="1" customHeight="1" s="74">
      <c r="A26" s="73" t="inlineStr">
        <is>
          <t>N°</t>
        </is>
      </c>
      <c r="B26" s="351" t="inlineStr">
        <is>
          <t>Punto de información — ¿Se explicó?</t>
        </is>
      </c>
      <c r="C26" s="381" t="n"/>
      <c r="D26" s="381" t="n"/>
      <c r="E26" s="381" t="n"/>
      <c r="F26" s="381" t="n"/>
      <c r="G26" s="381" t="n"/>
      <c r="H26" s="381" t="n"/>
      <c r="I26" s="381" t="n"/>
      <c r="J26" s="381" t="n"/>
      <c r="K26" s="381" t="n"/>
      <c r="L26" s="95" t="n"/>
      <c r="M26" s="73" t="inlineStr">
        <is>
          <t>Sí</t>
        </is>
      </c>
      <c r="N26" s="73" t="inlineStr">
        <is>
          <t>No</t>
        </is>
      </c>
    </row>
    <row r="27" ht="27.75" customFormat="1" customHeight="1" s="51">
      <c r="A27" s="64" t="inlineStr">
        <is>
          <t>3.1</t>
        </is>
      </c>
      <c r="B27" s="118" t="inlineStr">
        <is>
          <t>Se explicó qué es la Autoridad Nacional de Infraestructura (ANIN).</t>
        </is>
      </c>
      <c r="C27" s="381" t="n"/>
      <c r="D27" s="381" t="n"/>
      <c r="E27" s="381" t="n"/>
      <c r="F27" s="381" t="n"/>
      <c r="G27" s="381" t="n"/>
      <c r="H27" s="381" t="n"/>
      <c r="I27" s="381" t="n"/>
      <c r="J27" s="381" t="n"/>
      <c r="K27" s="381" t="n"/>
      <c r="L27" s="96" t="n"/>
      <c r="M27" s="444" t="inlineStr">
        <is>
          <t>▼</t>
        </is>
      </c>
      <c r="N27" s="75" t="n"/>
    </row>
    <row r="28" ht="27.75" customFormat="1" customHeight="1" s="51">
      <c r="A28" s="64" t="inlineStr">
        <is>
          <t>3.2</t>
        </is>
      </c>
      <c r="B28" s="118" t="inlineStr">
        <is>
          <t>Se explicó el objetivo del proyecto IN Piura (recuperar ecosistemas y reducir riesgos naturales).</t>
        </is>
      </c>
      <c r="C28" s="381" t="n"/>
      <c r="D28" s="381" t="n"/>
      <c r="E28" s="381" t="n"/>
      <c r="F28" s="381" t="n"/>
      <c r="G28" s="381" t="n"/>
      <c r="H28" s="381" t="n"/>
      <c r="I28" s="381" t="n"/>
      <c r="J28" s="381" t="n"/>
      <c r="K28" s="381" t="n"/>
      <c r="L28" s="96" t="n"/>
      <c r="M28" s="444" t="inlineStr">
        <is>
          <t>▼</t>
        </is>
      </c>
      <c r="N28" s="75" t="n"/>
    </row>
    <row r="29" ht="27.75" customFormat="1" customHeight="1" s="51">
      <c r="A29" s="64" t="inlineStr">
        <is>
          <t>3.3</t>
        </is>
      </c>
      <c r="B29" s="118" t="inlineStr">
        <is>
          <t>Se explicó que el proyecto NO es una actividad minera ni extractiva.</t>
        </is>
      </c>
      <c r="C29" s="381" t="n"/>
      <c r="D29" s="381" t="n"/>
      <c r="E29" s="381" t="n"/>
      <c r="F29" s="381" t="n"/>
      <c r="G29" s="381" t="n"/>
      <c r="H29" s="381" t="n"/>
      <c r="I29" s="381" t="n"/>
      <c r="J29" s="381" t="n"/>
      <c r="K29" s="381" t="n"/>
      <c r="L29" s="96" t="n"/>
      <c r="M29" s="444" t="inlineStr">
        <is>
          <t>▼</t>
        </is>
      </c>
      <c r="N29" s="75" t="n"/>
    </row>
    <row r="30" ht="27.75" customFormat="1" customHeight="1" s="51">
      <c r="A30" s="64" t="inlineStr">
        <is>
          <t>3.4</t>
        </is>
      </c>
      <c r="B30" s="118" t="inlineStr">
        <is>
          <t>Se explicó qué medidas específicas podrían implementarse en el predio/bloque (revegetación, zanjas, terrazas, clausura temporal, etc.).</t>
        </is>
      </c>
      <c r="C30" s="381" t="n"/>
      <c r="D30" s="381" t="n"/>
      <c r="E30" s="381" t="n"/>
      <c r="F30" s="381" t="n"/>
      <c r="G30" s="381" t="n"/>
      <c r="H30" s="381" t="n"/>
      <c r="I30" s="381" t="n"/>
      <c r="J30" s="381" t="n"/>
      <c r="K30" s="381" t="n"/>
      <c r="L30" s="96" t="n"/>
      <c r="M30" s="444" t="inlineStr">
        <is>
          <t>▼</t>
        </is>
      </c>
      <c r="N30" s="75" t="n"/>
    </row>
    <row r="31" ht="27.75" customFormat="1" customHeight="1" s="51">
      <c r="A31" s="64" t="inlineStr">
        <is>
          <t>3.5</t>
        </is>
      </c>
      <c r="B31" s="118" t="inlineStr">
        <is>
          <t>Se explicó la temporalidad del proyecto (5 años de ejecución, 15 años de O&amp;M).</t>
        </is>
      </c>
      <c r="C31" s="381" t="n"/>
      <c r="D31" s="381" t="n"/>
      <c r="E31" s="381" t="n"/>
      <c r="F31" s="381" t="n"/>
      <c r="G31" s="381" t="n"/>
      <c r="H31" s="381" t="n"/>
      <c r="I31" s="381" t="n"/>
      <c r="J31" s="381" t="n"/>
      <c r="K31" s="381" t="n"/>
      <c r="L31" s="96" t="n"/>
      <c r="M31" s="444" t="inlineStr">
        <is>
          <t>▼</t>
        </is>
      </c>
      <c r="N31" s="75" t="n"/>
    </row>
    <row r="32" ht="27.75" customFormat="1" customHeight="1" s="51">
      <c r="A32" s="64" t="inlineStr">
        <is>
          <t>3.6</t>
        </is>
      </c>
      <c r="B32" s="118" t="inlineStr">
        <is>
          <t>Se explicó que la participación es voluntaria y puede retirarse sin consecuencias.</t>
        </is>
      </c>
      <c r="C32" s="381" t="n"/>
      <c r="D32" s="381" t="n"/>
      <c r="E32" s="381" t="n"/>
      <c r="F32" s="381" t="n"/>
      <c r="G32" s="381" t="n"/>
      <c r="H32" s="381" t="n"/>
      <c r="I32" s="381" t="n"/>
      <c r="J32" s="381" t="n"/>
      <c r="K32" s="381" t="n"/>
      <c r="L32" s="96" t="n"/>
      <c r="M32" s="444" t="inlineStr">
        <is>
          <t>▼</t>
        </is>
      </c>
      <c r="N32" s="75" t="n"/>
    </row>
    <row r="33" ht="27.75" customFormat="1" customHeight="1" s="51">
      <c r="A33" s="64" t="inlineStr">
        <is>
          <t>3.7</t>
        </is>
      </c>
      <c r="B33" s="118" t="inlineStr">
        <is>
          <t>Se explicó el derecho a recibir información actualizada durante todo el proceso.</t>
        </is>
      </c>
      <c r="C33" s="381" t="n"/>
      <c r="D33" s="381" t="n"/>
      <c r="E33" s="381" t="n"/>
      <c r="F33" s="381" t="n"/>
      <c r="G33" s="381" t="n"/>
      <c r="H33" s="381" t="n"/>
      <c r="I33" s="381" t="n"/>
      <c r="J33" s="381" t="n"/>
      <c r="K33" s="381" t="n"/>
      <c r="L33" s="96" t="n"/>
      <c r="M33" s="444" t="inlineStr">
        <is>
          <t>▼</t>
        </is>
      </c>
      <c r="N33" s="75" t="n"/>
    </row>
    <row r="34" ht="27.75" customFormat="1" customHeight="1" s="51">
      <c r="A34" s="64" t="inlineStr">
        <is>
          <t>3.8</t>
        </is>
      </c>
      <c r="B34" s="118" t="inlineStr">
        <is>
          <t>Se explicó que la información personal será tratada con confidencialidad según normativa de protección de datos.</t>
        </is>
      </c>
      <c r="C34" s="381" t="n"/>
      <c r="D34" s="381" t="n"/>
      <c r="E34" s="381" t="n"/>
      <c r="F34" s="381" t="n"/>
      <c r="G34" s="381" t="n"/>
      <c r="H34" s="381" t="n"/>
      <c r="I34" s="381" t="n"/>
      <c r="J34" s="381" t="n"/>
      <c r="K34" s="381" t="n"/>
      <c r="L34" s="96" t="n"/>
      <c r="M34" s="444" t="inlineStr">
        <is>
          <t>▼</t>
        </is>
      </c>
      <c r="N34" s="75" t="n"/>
    </row>
    <row r="35" ht="27.75" customFormat="1" customHeight="1" s="51">
      <c r="A35" s="64" t="inlineStr">
        <is>
          <t>3.9</t>
        </is>
      </c>
      <c r="B35" s="118" t="inlineStr">
        <is>
          <t>Se absolvieron todas las preguntas planteadas por el titular/representante.</t>
        </is>
      </c>
      <c r="C35" s="381" t="n"/>
      <c r="D35" s="381" t="n"/>
      <c r="E35" s="381" t="n"/>
      <c r="F35" s="381" t="n"/>
      <c r="G35" s="381" t="n"/>
      <c r="H35" s="381" t="n"/>
      <c r="I35" s="381" t="n"/>
      <c r="J35" s="381" t="n"/>
      <c r="K35" s="381" t="n"/>
      <c r="L35" s="96" t="n"/>
      <c r="M35" s="444" t="inlineStr">
        <is>
          <t>▼</t>
        </is>
      </c>
      <c r="N35" s="75" t="n"/>
    </row>
    <row r="36" ht="27.75" customFormat="1" customHeight="1" s="51" thickBot="1">
      <c r="A36" s="64" t="inlineStr">
        <is>
          <t>3.10</t>
        </is>
      </c>
      <c r="B36" s="118" t="inlineStr">
        <is>
          <t>Se entregó material informativo (tríptico, hoja resumen) al titular/representante.</t>
        </is>
      </c>
      <c r="C36" s="381" t="n"/>
      <c r="D36" s="381" t="n"/>
      <c r="E36" s="381" t="n"/>
      <c r="F36" s="381" t="n"/>
      <c r="G36" s="381" t="n"/>
      <c r="H36" s="381" t="n"/>
      <c r="I36" s="381" t="n"/>
      <c r="J36" s="381" t="n"/>
      <c r="K36" s="381" t="n"/>
      <c r="L36" s="96" t="n"/>
      <c r="M36" s="444" t="inlineStr">
        <is>
          <t>▼</t>
        </is>
      </c>
      <c r="N36" s="75" t="n"/>
    </row>
    <row r="37" ht="19.5" customFormat="1" customHeight="1" s="74">
      <c r="A37" s="322" t="inlineStr">
        <is>
          <t>4. MANIFESTACIÓN DE DISPOSICIÓN A PARTICIPAR</t>
        </is>
      </c>
    </row>
    <row r="38" ht="15" customFormat="1" customHeight="1" s="51">
      <c r="A38" s="310" t="inlineStr">
        <is>
          <t>4.1  Disposición general a participar (marcar UNA opción) *</t>
        </is>
      </c>
      <c r="B38" s="381" t="n"/>
      <c r="C38" s="381" t="n"/>
      <c r="D38" s="381" t="n"/>
      <c r="E38" s="381" t="n"/>
      <c r="F38" s="381" t="n"/>
      <c r="G38" s="381" t="n"/>
      <c r="H38" s="381" t="n"/>
      <c r="I38" s="381" t="n"/>
      <c r="J38" s="381" t="n"/>
      <c r="K38" s="381" t="n"/>
      <c r="L38" s="381" t="n"/>
      <c r="M38" s="381" t="n"/>
      <c r="N38" s="381" t="n"/>
      <c r="O38" s="393" t="inlineStr">
        <is>
          <t>▼</t>
        </is>
      </c>
    </row>
    <row r="39" ht="19.5" customFormat="1" customHeight="1" s="51">
      <c r="A39" s="75" t="n"/>
      <c r="B39" s="349" t="inlineStr">
        <is>
          <t>Totalmente dispuesto/a</t>
        </is>
      </c>
      <c r="C39" s="381" t="n"/>
      <c r="D39" s="381" t="n"/>
      <c r="E39" s="381" t="n"/>
      <c r="F39" s="381" t="n"/>
      <c r="G39" s="381" t="n"/>
      <c r="H39" s="121" t="inlineStr">
        <is>
          <t>→ Firma Acta de compromiso en la misma sesión.</t>
        </is>
      </c>
      <c r="I39" s="381" t="n"/>
      <c r="J39" s="381" t="n"/>
      <c r="K39" s="381" t="n"/>
      <c r="L39" s="381" t="n"/>
      <c r="M39" s="381" t="n"/>
      <c r="N39" s="381" t="n"/>
    </row>
    <row r="40" ht="19.5" customFormat="1" customHeight="1" s="51">
      <c r="A40" s="75" t="n"/>
      <c r="B40" s="349" t="inlineStr">
        <is>
          <t>Dispuesto/a con condiciones</t>
        </is>
      </c>
      <c r="C40" s="381" t="n"/>
      <c r="D40" s="381" t="n"/>
      <c r="E40" s="381" t="n"/>
      <c r="F40" s="381" t="n"/>
      <c r="G40" s="381" t="n"/>
      <c r="H40" s="121" t="inlineStr">
        <is>
          <t>→ Registrar condiciones plantadas abajo y dar seguimiento.</t>
        </is>
      </c>
      <c r="I40" s="381" t="n"/>
      <c r="J40" s="381" t="n"/>
      <c r="K40" s="381" t="n"/>
      <c r="L40" s="381" t="n"/>
      <c r="M40" s="381" t="n"/>
      <c r="N40" s="381" t="n"/>
    </row>
    <row r="41" ht="19.5" customFormat="1" customHeight="1" s="51">
      <c r="A41" s="75" t="n"/>
      <c r="B41" s="349" t="inlineStr">
        <is>
          <t>Requiere más información</t>
        </is>
      </c>
      <c r="C41" s="381" t="n"/>
      <c r="D41" s="381" t="n"/>
      <c r="E41" s="381" t="n"/>
      <c r="F41" s="381" t="n"/>
      <c r="G41" s="381" t="n"/>
      <c r="H41" s="121" t="inlineStr">
        <is>
          <t>→ Entregar material; coordinar nueva visita.</t>
        </is>
      </c>
      <c r="I41" s="381" t="n"/>
      <c r="J41" s="381" t="n"/>
      <c r="K41" s="381" t="n"/>
      <c r="L41" s="381" t="n"/>
      <c r="M41" s="381" t="n"/>
      <c r="N41" s="381" t="n"/>
    </row>
    <row r="42" ht="19.5" customFormat="1" customHeight="1" s="51">
      <c r="A42" s="75" t="n"/>
      <c r="B42" s="349" t="inlineStr">
        <is>
          <t>No dispuesto/a por el momento</t>
        </is>
      </c>
      <c r="C42" s="381" t="n"/>
      <c r="D42" s="381" t="n"/>
      <c r="E42" s="381" t="n"/>
      <c r="F42" s="381" t="n"/>
      <c r="G42" s="381" t="n"/>
      <c r="H42" s="121" t="inlineStr">
        <is>
          <t>→ Respetar decisión; dejar canal abierto para futuro.</t>
        </is>
      </c>
      <c r="I42" s="381" t="n"/>
      <c r="J42" s="381" t="n"/>
      <c r="K42" s="381" t="n"/>
      <c r="L42" s="381" t="n"/>
      <c r="M42" s="381" t="n"/>
      <c r="N42" s="381" t="n"/>
    </row>
    <row r="43" ht="19.5" customFormat="1" customHeight="1" s="51">
      <c r="A43" s="75" t="n"/>
      <c r="B43" s="349" t="inlineStr">
        <is>
          <t>No dispuesto/a rotundamente</t>
        </is>
      </c>
      <c r="C43" s="381" t="n"/>
      <c r="D43" s="381" t="n"/>
      <c r="E43" s="381" t="n"/>
      <c r="F43" s="381" t="n"/>
      <c r="G43" s="381" t="n"/>
      <c r="H43" s="121" t="inlineStr">
        <is>
          <t>→ Cerrar proceso respetuosamente; excluir el predio/bloque.</t>
        </is>
      </c>
      <c r="I43" s="381" t="n"/>
      <c r="J43" s="381" t="n"/>
      <c r="K43" s="381" t="n"/>
      <c r="L43" s="381" t="n"/>
      <c r="M43" s="381" t="n"/>
      <c r="N43" s="381" t="n"/>
    </row>
    <row r="44" ht="36" customFormat="1" customHeight="1" s="51" thickBot="1">
      <c r="A44" s="114" t="inlineStr">
        <is>
          <t>Condiciones o requisitos planteados</t>
        </is>
      </c>
      <c r="B44" s="381" t="n"/>
      <c r="C44" s="381" t="n"/>
      <c r="D44" s="381" t="n"/>
      <c r="E44" s="381" t="n"/>
      <c r="F44" s="118" t="n"/>
      <c r="G44" s="381" t="n"/>
      <c r="H44" s="381" t="n"/>
      <c r="I44" s="381" t="n"/>
      <c r="J44" s="381" t="n"/>
      <c r="K44" s="381" t="n"/>
      <c r="L44" s="381" t="n"/>
      <c r="M44" s="381" t="n"/>
      <c r="N44" s="381" t="n"/>
    </row>
    <row r="45" ht="15.75" customFormat="1" customHeight="1" s="51" thickBot="1">
      <c r="A45" s="114" t="inlineStr">
        <is>
          <t>¿Requiere consultar con familia/asamblea?</t>
        </is>
      </c>
      <c r="B45" s="381" t="n"/>
      <c r="C45" s="381" t="n"/>
      <c r="D45" s="381" t="n"/>
      <c r="E45" s="381" t="n"/>
      <c r="F45" s="381" t="n"/>
      <c r="G45" s="381" t="n"/>
      <c r="H45" s="97" t="n"/>
      <c r="I45" s="98" t="inlineStr">
        <is>
          <t>Sí</t>
        </is>
      </c>
      <c r="J45" s="70" t="n"/>
      <c r="K45" s="98" t="inlineStr">
        <is>
          <t>No</t>
        </is>
      </c>
      <c r="L45" s="99" t="n"/>
      <c r="M45" s="99" t="n"/>
      <c r="N45" s="99" t="n"/>
      <c r="O45" s="393" t="inlineStr">
        <is>
          <t>▼</t>
        </is>
      </c>
    </row>
    <row r="46" ht="18" customFormat="1" customHeight="1" s="51">
      <c r="A46" s="114" t="inlineStr">
        <is>
          <t>Plazo solicitado para respuesta definitiva (días)</t>
        </is>
      </c>
      <c r="B46" s="381" t="n"/>
      <c r="C46" s="381" t="n"/>
      <c r="D46" s="381" t="n"/>
      <c r="E46" s="381" t="n"/>
      <c r="F46" s="381" t="n"/>
      <c r="G46" s="381" t="n"/>
      <c r="H46" s="347" t="n"/>
      <c r="I46" s="404" t="n"/>
      <c r="J46" s="404" t="n"/>
      <c r="K46" s="404" t="n"/>
      <c r="L46" s="404" t="n"/>
      <c r="M46" s="404" t="n"/>
      <c r="N46" s="404" t="n"/>
    </row>
    <row r="47" ht="15.75" customFormat="1" customHeight="1" s="51">
      <c r="A47" s="114" t="inlineStr">
        <is>
          <t>¿Autoriza ingreso preliminar a medir/evaluar?</t>
        </is>
      </c>
      <c r="B47" s="381" t="n"/>
      <c r="C47" s="381" t="n"/>
      <c r="D47" s="381" t="n"/>
      <c r="E47" s="381" t="n"/>
      <c r="F47" s="381" t="n"/>
      <c r="G47" s="381" t="n"/>
      <c r="H47" s="70" t="n"/>
      <c r="I47" s="98" t="inlineStr">
        <is>
          <t>Sí</t>
        </is>
      </c>
      <c r="J47" s="70" t="n"/>
      <c r="K47" s="98" t="inlineStr">
        <is>
          <t>No</t>
        </is>
      </c>
      <c r="L47" s="99" t="n"/>
      <c r="M47" s="99" t="n"/>
      <c r="N47" s="99" t="n"/>
      <c r="O47" s="393" t="inlineStr">
        <is>
          <t>▼</t>
        </is>
      </c>
    </row>
    <row r="48" ht="15.75" customFormat="1" customHeight="1" s="51">
      <c r="A48" s="114" t="inlineStr">
        <is>
          <t>¿Autoriza toma de fotografías del predio?</t>
        </is>
      </c>
      <c r="B48" s="381" t="n"/>
      <c r="C48" s="381" t="n"/>
      <c r="D48" s="381" t="n"/>
      <c r="E48" s="381" t="n"/>
      <c r="F48" s="381" t="n"/>
      <c r="G48" s="381" t="n"/>
      <c r="H48" s="70" t="n"/>
      <c r="I48" s="98" t="inlineStr">
        <is>
          <t>Sí</t>
        </is>
      </c>
      <c r="J48" s="70" t="n"/>
      <c r="K48" s="98" t="inlineStr">
        <is>
          <t>No</t>
        </is>
      </c>
      <c r="L48" s="99" t="n"/>
      <c r="M48" s="99" t="n"/>
      <c r="N48" s="99" t="n"/>
      <c r="O48" s="393" t="inlineStr">
        <is>
          <t>▼</t>
        </is>
      </c>
    </row>
    <row r="49" ht="15.75" customFormat="1" customHeight="1" s="51">
      <c r="A49" s="114" t="inlineStr">
        <is>
          <t>¿Autoriza uso de su nombre en el expediente del proyecto?</t>
        </is>
      </c>
      <c r="B49" s="381" t="n"/>
      <c r="C49" s="381" t="n"/>
      <c r="D49" s="381" t="n"/>
      <c r="E49" s="381" t="n"/>
      <c r="F49" s="381" t="n"/>
      <c r="G49" s="381" t="n"/>
      <c r="H49" s="70" t="n"/>
      <c r="I49" s="98" t="inlineStr">
        <is>
          <t>Sí</t>
        </is>
      </c>
      <c r="J49" s="70" t="n"/>
      <c r="K49" s="98" t="inlineStr">
        <is>
          <t>No</t>
        </is>
      </c>
      <c r="L49" s="99" t="n"/>
      <c r="M49" s="99" t="n"/>
      <c r="N49" s="99" t="n"/>
      <c r="O49" s="393" t="inlineStr">
        <is>
          <t>▼</t>
        </is>
      </c>
    </row>
    <row r="50" ht="15.6" customFormat="1" customHeight="1" s="51"/>
    <row r="51" ht="19.5" customFormat="1" customHeight="1" s="74">
      <c r="A51" s="322" t="inlineStr">
        <is>
          <t>5. PREGUNTAS, PREOCUPACIONES Y COMPROMISOS MUTUOS</t>
        </is>
      </c>
    </row>
    <row r="52" ht="15" customFormat="1" customHeight="1" s="51">
      <c r="A52" s="114" t="inlineStr">
        <is>
          <t>5.1  Preguntas / preocupaciones principales planteadas por el titular/representante</t>
        </is>
      </c>
      <c r="B52" s="381" t="n"/>
      <c r="C52" s="381" t="n"/>
      <c r="D52" s="381" t="n"/>
      <c r="E52" s="381" t="n"/>
      <c r="F52" s="381" t="n"/>
      <c r="G52" s="381" t="n"/>
      <c r="H52" s="381" t="n"/>
      <c r="I52" s="381" t="n"/>
      <c r="J52" s="381" t="n"/>
      <c r="K52" s="381" t="n"/>
      <c r="L52" s="381" t="n"/>
      <c r="M52" s="381" t="n"/>
      <c r="N52" s="381" t="n"/>
    </row>
    <row r="53" ht="19.5" customFormat="1" customHeight="1" s="51">
      <c r="A53" s="314" t="n"/>
      <c r="B53" s="381" t="n"/>
      <c r="C53" s="381" t="n"/>
      <c r="D53" s="381" t="n"/>
      <c r="E53" s="381" t="n"/>
      <c r="F53" s="381" t="n"/>
      <c r="G53" s="381" t="n"/>
      <c r="H53" s="381" t="n"/>
      <c r="I53" s="381" t="n"/>
      <c r="J53" s="381" t="n"/>
      <c r="K53" s="381" t="n"/>
      <c r="L53" s="381" t="n"/>
      <c r="M53" s="381" t="n"/>
      <c r="N53" s="381" t="n"/>
    </row>
    <row r="54" ht="19.5" customFormat="1" customHeight="1" s="51">
      <c r="A54" s="314" t="n"/>
      <c r="B54" s="381" t="n"/>
      <c r="C54" s="381" t="n"/>
      <c r="D54" s="381" t="n"/>
      <c r="E54" s="381" t="n"/>
      <c r="F54" s="381" t="n"/>
      <c r="G54" s="381" t="n"/>
      <c r="H54" s="381" t="n"/>
      <c r="I54" s="381" t="n"/>
      <c r="J54" s="381" t="n"/>
      <c r="K54" s="381" t="n"/>
      <c r="L54" s="381" t="n"/>
      <c r="M54" s="381" t="n"/>
      <c r="N54" s="381" t="n"/>
    </row>
    <row r="55" ht="19.5" customFormat="1" customHeight="1" s="51">
      <c r="A55" s="314" t="n"/>
      <c r="B55" s="381" t="n"/>
      <c r="C55" s="381" t="n"/>
      <c r="D55" s="381" t="n"/>
      <c r="E55" s="381" t="n"/>
      <c r="F55" s="381" t="n"/>
      <c r="G55" s="381" t="n"/>
      <c r="H55" s="381" t="n"/>
      <c r="I55" s="381" t="n"/>
      <c r="J55" s="381" t="n"/>
      <c r="K55" s="381" t="n"/>
      <c r="L55" s="381" t="n"/>
      <c r="M55" s="381" t="n"/>
      <c r="N55" s="381" t="n"/>
    </row>
    <row r="56" ht="15" customFormat="1" customHeight="1" s="51">
      <c r="A56" s="114" t="inlineStr">
        <is>
          <t>5.2  Compromisos adquiridos por ANIN/SESDI</t>
        </is>
      </c>
      <c r="B56" s="381" t="n"/>
      <c r="C56" s="381" t="n"/>
      <c r="D56" s="381" t="n"/>
      <c r="E56" s="381" t="n"/>
      <c r="F56" s="381" t="n"/>
      <c r="G56" s="381" t="n"/>
      <c r="H56" s="381" t="n"/>
      <c r="I56" s="381" t="n"/>
      <c r="J56" s="381" t="n"/>
      <c r="K56" s="381" t="n"/>
      <c r="L56" s="381" t="n"/>
      <c r="M56" s="381" t="n"/>
      <c r="N56" s="381" t="n"/>
    </row>
    <row r="57" ht="19.5" customFormat="1" customHeight="1" s="51">
      <c r="A57" s="314" t="n"/>
      <c r="B57" s="381" t="n"/>
      <c r="C57" s="381" t="n"/>
      <c r="D57" s="381" t="n"/>
      <c r="E57" s="381" t="n"/>
      <c r="F57" s="381" t="n"/>
      <c r="G57" s="381" t="n"/>
      <c r="H57" s="381" t="n"/>
      <c r="I57" s="381" t="n"/>
      <c r="J57" s="381" t="n"/>
      <c r="K57" s="381" t="n"/>
      <c r="L57" s="381" t="n"/>
      <c r="M57" s="381" t="n"/>
      <c r="N57" s="381" t="n"/>
    </row>
    <row r="58" ht="19.5" customFormat="1" customHeight="1" s="51">
      <c r="A58" s="314" t="n"/>
      <c r="B58" s="381" t="n"/>
      <c r="C58" s="381" t="n"/>
      <c r="D58" s="381" t="n"/>
      <c r="E58" s="381" t="n"/>
      <c r="F58" s="381" t="n"/>
      <c r="G58" s="381" t="n"/>
      <c r="H58" s="381" t="n"/>
      <c r="I58" s="381" t="n"/>
      <c r="J58" s="381" t="n"/>
      <c r="K58" s="381" t="n"/>
      <c r="L58" s="381" t="n"/>
      <c r="M58" s="381" t="n"/>
      <c r="N58" s="381" t="n"/>
    </row>
    <row r="59" ht="19.5" customFormat="1" customHeight="1" s="51">
      <c r="A59" s="314" t="n"/>
      <c r="B59" s="381" t="n"/>
      <c r="C59" s="381" t="n"/>
      <c r="D59" s="381" t="n"/>
      <c r="E59" s="381" t="n"/>
      <c r="F59" s="381" t="n"/>
      <c r="G59" s="381" t="n"/>
      <c r="H59" s="381" t="n"/>
      <c r="I59" s="381" t="n"/>
      <c r="J59" s="381" t="n"/>
      <c r="K59" s="381" t="n"/>
      <c r="L59" s="381" t="n"/>
      <c r="M59" s="381" t="n"/>
      <c r="N59" s="381" t="n"/>
    </row>
    <row r="60" ht="19.5" customFormat="1" customHeight="1" s="74">
      <c r="A60" s="322" t="inlineStr">
        <is>
          <t>6. CONSENTIMIENTO Y FIRMAS</t>
        </is>
      </c>
    </row>
    <row r="61" ht="30" customHeight="1">
      <c r="A61" s="344" t="inlineStr">
        <is>
          <t>En señal de conformidad con la información provista y la disposición manifestada, se firma el presente registro en el lugar y fecha indicados al inicio. El titular/representante declara haber comprendido el contenido de este documento y haber recibido respuestas satisfactorias a sus preguntas.</t>
        </is>
      </c>
      <c r="B61" s="381" t="n"/>
      <c r="C61" s="381" t="n"/>
      <c r="D61" s="381" t="n"/>
      <c r="E61" s="381" t="n"/>
      <c r="F61" s="381" t="n"/>
      <c r="G61" s="381" t="n"/>
      <c r="H61" s="381" t="n"/>
      <c r="I61" s="381" t="n"/>
      <c r="J61" s="381" t="n"/>
      <c r="K61" s="381" t="n"/>
      <c r="L61" s="381" t="n"/>
      <c r="M61" s="381" t="n"/>
      <c r="N61" s="381" t="n"/>
    </row>
    <row r="62" ht="30" customHeight="1">
      <c r="A62" s="100" t="n"/>
      <c r="B62" s="100" t="n"/>
      <c r="C62" s="100" t="n"/>
      <c r="D62" s="100" t="n"/>
      <c r="E62" s="100" t="n"/>
      <c r="F62" s="100" t="n"/>
      <c r="G62" s="100" t="n"/>
      <c r="H62" s="100" t="n"/>
      <c r="I62" s="100" t="n"/>
      <c r="J62" s="100" t="n"/>
      <c r="K62" s="100" t="n"/>
      <c r="L62" s="100" t="n"/>
      <c r="M62" s="100" t="n"/>
      <c r="N62" s="100" t="n"/>
    </row>
    <row r="64" ht="27.75" customHeight="1">
      <c r="A64" s="305" t="inlineStr">
        <is>
          <t>Titular / Representante
(Firma / Huella digital)</t>
        </is>
      </c>
      <c r="H64" s="305" t="inlineStr">
        <is>
          <t>Facilitador/a SESDI
(Firma)</t>
        </is>
      </c>
    </row>
    <row r="65" ht="37.5" customHeight="1">
      <c r="A65" s="345" t="inlineStr">
        <is>
          <t>Nombre: ______________________________
DNI: __________________________________</t>
        </is>
      </c>
      <c r="H65" s="345" t="inlineStr">
        <is>
          <t>Nombre: ______________________________
DNI: __________________________________</t>
        </is>
      </c>
    </row>
    <row r="67" ht="21.75" customFormat="1" customHeight="1" s="5">
      <c r="A67" s="346" t="inlineStr">
        <is>
          <t>Testigo (Autoridad comunal / Ronda Campesina / Agente municipal) — OPCIONAL pero RECOMENDADO</t>
        </is>
      </c>
      <c r="B67" s="381" t="n"/>
      <c r="C67" s="381" t="n"/>
      <c r="D67" s="381" t="n"/>
      <c r="E67" s="381" t="n"/>
      <c r="F67" s="381" t="n"/>
      <c r="G67" s="381" t="n"/>
      <c r="H67" s="381" t="n"/>
      <c r="I67" s="381" t="n"/>
      <c r="J67" s="381" t="n"/>
      <c r="K67" s="381" t="n"/>
      <c r="L67" s="381" t="n"/>
      <c r="M67" s="381" t="n"/>
      <c r="N67" s="381" t="n"/>
    </row>
    <row r="68" ht="37.2" customHeight="1">
      <c r="A68" s="141" t="inlineStr">
        <is>
          <t>_________________________________________</t>
        </is>
      </c>
    </row>
    <row r="69" ht="21.75" customHeight="1">
      <c r="A69" s="142" t="inlineStr">
        <is>
          <t>Nombre: ______________________________   Cargo: ______________________________   DNI: ______________________________</t>
        </is>
      </c>
    </row>
  </sheetData>
  <mergeCells count="96">
    <mergeCell ref="A9:N9"/>
    <mergeCell ref="A22:G22"/>
    <mergeCell ref="H65:N65"/>
    <mergeCell ref="B30:K30"/>
    <mergeCell ref="A59:N59"/>
    <mergeCell ref="I12:N12"/>
    <mergeCell ref="I21:N21"/>
    <mergeCell ref="A61:N61"/>
    <mergeCell ref="F15:G15"/>
    <mergeCell ref="A48:G48"/>
    <mergeCell ref="H43:N43"/>
    <mergeCell ref="A37:N37"/>
    <mergeCell ref="A45:G45"/>
    <mergeCell ref="H41:N41"/>
    <mergeCell ref="A64:F64"/>
    <mergeCell ref="A46:G46"/>
    <mergeCell ref="A52:N52"/>
    <mergeCell ref="B12:G12"/>
    <mergeCell ref="A10:N10"/>
    <mergeCell ref="B28:K28"/>
    <mergeCell ref="B21:G21"/>
    <mergeCell ref="B39:G39"/>
    <mergeCell ref="A23:G23"/>
    <mergeCell ref="B13:G13"/>
    <mergeCell ref="B36:K36"/>
    <mergeCell ref="A1:N1"/>
    <mergeCell ref="A69:N69"/>
    <mergeCell ref="A14:C14"/>
    <mergeCell ref="A49:G49"/>
    <mergeCell ref="I20:N20"/>
    <mergeCell ref="B31:K31"/>
    <mergeCell ref="A3:N3"/>
    <mergeCell ref="A55:N55"/>
    <mergeCell ref="H40:N40"/>
    <mergeCell ref="J7:N7"/>
    <mergeCell ref="I13:N13"/>
    <mergeCell ref="B41:G41"/>
    <mergeCell ref="A57:N57"/>
    <mergeCell ref="A5:N5"/>
    <mergeCell ref="A15:C15"/>
    <mergeCell ref="A4:N4"/>
    <mergeCell ref="D15:E15"/>
    <mergeCell ref="A38:N38"/>
    <mergeCell ref="D14:H14"/>
    <mergeCell ref="A7:C7"/>
    <mergeCell ref="A16:C16"/>
    <mergeCell ref="A58:N58"/>
    <mergeCell ref="B11:G11"/>
    <mergeCell ref="A67:N67"/>
    <mergeCell ref="A24:N24"/>
    <mergeCell ref="A60:N60"/>
    <mergeCell ref="D7:F7"/>
    <mergeCell ref="H42:N42"/>
    <mergeCell ref="A6:N6"/>
    <mergeCell ref="A25:N25"/>
    <mergeCell ref="B40:G40"/>
    <mergeCell ref="F8:G8"/>
    <mergeCell ref="D17:N17"/>
    <mergeCell ref="A18:N18"/>
    <mergeCell ref="I19:N19"/>
    <mergeCell ref="D16:H16"/>
    <mergeCell ref="A2:N2"/>
    <mergeCell ref="H8:J8"/>
    <mergeCell ref="H46:N46"/>
    <mergeCell ref="H64:N64"/>
    <mergeCell ref="I11:N11"/>
    <mergeCell ref="B29:K29"/>
    <mergeCell ref="K8:N8"/>
    <mergeCell ref="B43:G43"/>
    <mergeCell ref="A44:E44"/>
    <mergeCell ref="G7:I7"/>
    <mergeCell ref="A47:G47"/>
    <mergeCell ref="A65:F65"/>
    <mergeCell ref="B42:G42"/>
    <mergeCell ref="J14:K14"/>
    <mergeCell ref="A51:N51"/>
    <mergeCell ref="B33:K33"/>
    <mergeCell ref="B19:G19"/>
    <mergeCell ref="B32:K32"/>
    <mergeCell ref="B26:K26"/>
    <mergeCell ref="A8:C8"/>
    <mergeCell ref="A54:N54"/>
    <mergeCell ref="B35:K35"/>
    <mergeCell ref="A17:C17"/>
    <mergeCell ref="A56:N56"/>
    <mergeCell ref="B20:G20"/>
    <mergeCell ref="B27:K27"/>
    <mergeCell ref="I15:J16"/>
    <mergeCell ref="H39:N39"/>
    <mergeCell ref="F44:N44"/>
    <mergeCell ref="D8:E8"/>
    <mergeCell ref="A53:N53"/>
    <mergeCell ref="M14:N14"/>
    <mergeCell ref="A68:N68"/>
    <mergeCell ref="B34:K34"/>
    <mergeCell ref="K15:N16"/>
  </mergeCells>
  <dataValidations count="10">
    <dataValidation sqref="O10" showDropDown="0" showInputMessage="0" showErrorMessage="0" allowBlank="1" type="list">
      <formula1>'_Listas'!$AF$2:$AF$7</formula1>
    </dataValidation>
    <dataValidation sqref="O15" showDropDown="0" showInputMessage="0" showErrorMessage="0" allowBlank="1" type="list">
      <formula1>"Hombre,Mujer,Otro / Pref. no decir"</formula1>
    </dataValidation>
    <dataValidation sqref="O38" showDropDown="0" showInputMessage="0" showErrorMessage="0" allowBlank="1" type="list">
      <formula1>'_Listas'!$AE$2:$AE$6</formula1>
    </dataValidation>
    <dataValidation sqref="M27 M28 M29 M30 M31 M32 M33 M34 M35 M36" showDropDown="0" showInputMessage="0" showErrorMessage="0" allowBlank="1" type="list">
      <formula1>'_Listas'!$A$2:$A$3</formula1>
    </dataValidation>
    <dataValidation sqref="O22" showDropDown="0" showInputMessage="0" showErrorMessage="0" allowBlank="1" type="list">
      <formula1>'_Listas'!$A$2:$A$3</formula1>
    </dataValidation>
    <dataValidation sqref="O23" showDropDown="0" showInputMessage="0" showErrorMessage="0" allowBlank="1" type="list">
      <formula1>'_Listas'!$A$2:$A$3</formula1>
    </dataValidation>
    <dataValidation sqref="O45" showDropDown="0" showInputMessage="0" showErrorMessage="0" allowBlank="1" type="list">
      <formula1>'_Listas'!$A$2:$A$3</formula1>
    </dataValidation>
    <dataValidation sqref="O47" showDropDown="0" showInputMessage="0" showErrorMessage="0" allowBlank="1" type="list">
      <formula1>'_Listas'!$A$2:$A$3</formula1>
    </dataValidation>
    <dataValidation sqref="O48" showDropDown="0" showInputMessage="0" showErrorMessage="0" allowBlank="1" type="list">
      <formula1>'_Listas'!$A$2:$A$3</formula1>
    </dataValidation>
    <dataValidation sqref="O49" showDropDown="0" showInputMessage="0" showErrorMessage="0" allowBlank="1" type="list">
      <formula1>'_Listas'!$A$2:$A$3</formula1>
    </dataValidation>
  </dataValidations>
  <printOptions horizontalCentered="1"/>
  <pageMargins left="0.15" right="0.15" top="0.15" bottom="0.15" header="0.511811023622047" footer="0.511811023622047"/>
  <pageSetup orientation="landscape" scale="75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3"/>
  <sheetViews>
    <sheetView zoomScaleNormal="100" workbookViewId="0">
      <pane ySplit="5" topLeftCell="A6" activePane="bottomLeft" state="frozen"/>
      <selection pane="bottomLeft" activeCell="H35" sqref="H35:J35"/>
    </sheetView>
  </sheetViews>
  <sheetFormatPr baseColWidth="10" defaultColWidth="8.6640625" defaultRowHeight="14.4"/>
  <cols>
    <col width="5" customWidth="1" min="1" max="1"/>
    <col width="18.77734375" customWidth="1" min="2" max="2"/>
    <col width="4" customWidth="1" min="3" max="3"/>
    <col width="13.88671875" customWidth="1" min="4" max="4"/>
    <col width="4" customWidth="1" min="5" max="5"/>
    <col width="14.109375" customWidth="1" min="6" max="6"/>
    <col width="4" customWidth="1" min="7" max="7"/>
    <col width="12.88671875" customWidth="1" min="8" max="8"/>
    <col width="4" customWidth="1" min="9" max="9"/>
    <col width="10.6640625" customWidth="1" min="10" max="10"/>
    <col width="4" customWidth="1" min="11" max="11"/>
    <col width="13.21875" customWidth="1" min="12" max="12"/>
    <col width="4" customWidth="1" min="13" max="13"/>
    <col width="19" customWidth="1" min="14" max="14"/>
  </cols>
  <sheetData>
    <row r="1" ht="19.5" customHeight="1">
      <c r="A1" s="122" t="inlineStr">
        <is>
          <t>AUTORIDAD NACIONAL DE INFRAESTRUCTURA — ANIN</t>
        </is>
      </c>
    </row>
    <row r="2" ht="15" customHeight="1">
      <c r="A2" s="123" t="inlineStr">
        <is>
          <t>DIME — Dirección de Intervenciones Multisectoriales y de Emergencia  |  SESDI — Subdirección de Estudios de Inversión</t>
        </is>
      </c>
    </row>
    <row r="3" ht="13.5" customHeight="1">
      <c r="A3" s="124" t="inlineStr">
        <is>
          <t>PROYECTO IN PIURA  |  CUI 2669244  |  Recuperación de servicios de regulación de riesgos naturales y regulación hídrica — Cuenca Alta del Río Piura</t>
        </is>
      </c>
    </row>
    <row r="4" ht="19.8" customHeight="1">
      <c r="A4" s="125" t="inlineStr">
        <is>
          <t>LEYENDA DE CÓDIGOS — LLENADO MANUAL DE CAMPO</t>
        </is>
      </c>
    </row>
    <row r="5" ht="17.4" customHeight="1">
      <c r="A5" s="126" t="inlineStr">
        <is>
          <t>Códigos de 1-2 letras para las matrices de actores (F-DS-02) y conflictos (F-DS-05). Consultar en campo antes de rellenar.</t>
        </is>
      </c>
    </row>
    <row r="6" ht="19.5" customHeight="1">
      <c r="A6" s="115" t="inlineStr">
        <is>
          <t>F-DS-02 — MAPEO DE ACTORES: CÓDIGOS A UTILIZAR</t>
        </is>
      </c>
    </row>
    <row r="7" ht="20.4" customHeight="1">
      <c r="A7" s="114" t="inlineStr">
        <is>
          <t>TIPO DE ACTOR</t>
        </is>
      </c>
      <c r="B7" s="381" t="n"/>
      <c r="C7" s="121" t="inlineStr">
        <is>
          <t>Escribir el código en la columna 'Tipo de actor' de la matriz</t>
        </is>
      </c>
      <c r="D7" s="381" t="n"/>
      <c r="E7" s="381" t="n"/>
      <c r="F7" s="381" t="n"/>
      <c r="G7" s="381" t="n"/>
      <c r="H7" s="381" t="n"/>
      <c r="I7" s="381" t="n"/>
      <c r="J7" s="381" t="n"/>
      <c r="K7" s="381" t="n"/>
      <c r="L7" s="381" t="n"/>
      <c r="M7" s="381" t="n"/>
      <c r="N7" s="381" t="n"/>
    </row>
    <row r="8" ht="30" customHeight="1">
      <c r="A8" s="112" t="inlineStr">
        <is>
          <t>GN</t>
        </is>
      </c>
      <c r="B8" s="381" t="n"/>
      <c r="C8" s="118" t="inlineStr">
        <is>
          <t>Gobierno Nacional</t>
        </is>
      </c>
      <c r="D8" s="381" t="n"/>
      <c r="E8" s="381" t="n"/>
      <c r="F8" s="112" t="inlineStr">
        <is>
          <t>GR</t>
        </is>
      </c>
      <c r="G8" s="381" t="n"/>
      <c r="H8" s="118" t="inlineStr">
        <is>
          <t>Gobierno Regional</t>
        </is>
      </c>
      <c r="I8" s="381" t="n"/>
      <c r="J8" s="381" t="n"/>
      <c r="K8" s="112" t="inlineStr">
        <is>
          <t>GL</t>
        </is>
      </c>
      <c r="L8" s="381" t="n"/>
      <c r="M8" s="118" t="inlineStr">
        <is>
          <t>Gobierno Local (Municipalidad)</t>
        </is>
      </c>
      <c r="N8" s="381" t="n"/>
    </row>
    <row r="9" ht="30" customHeight="1">
      <c r="A9" s="112" t="inlineStr">
        <is>
          <t>CC</t>
        </is>
      </c>
      <c r="B9" s="381" t="n"/>
      <c r="C9" s="118" t="inlineStr">
        <is>
          <t>Comunidad Campesina</t>
        </is>
      </c>
      <c r="D9" s="381" t="n"/>
      <c r="E9" s="381" t="n"/>
      <c r="F9" s="112" t="inlineStr">
        <is>
          <t>RC</t>
        </is>
      </c>
      <c r="G9" s="381" t="n"/>
      <c r="H9" s="118" t="inlineStr">
        <is>
          <t>Ronda Campesina</t>
        </is>
      </c>
      <c r="I9" s="381" t="n"/>
      <c r="J9" s="381" t="n"/>
      <c r="K9" s="112" t="inlineStr">
        <is>
          <t>JU</t>
        </is>
      </c>
      <c r="L9" s="381" t="n"/>
      <c r="M9" s="118" t="inlineStr">
        <is>
          <t>Junta de Usuarios de Agua (riego)</t>
        </is>
      </c>
      <c r="N9" s="381" t="n"/>
    </row>
    <row r="10" ht="30" customHeight="1">
      <c r="A10" s="112" t="inlineStr">
        <is>
          <t>JS</t>
        </is>
      </c>
      <c r="B10" s="381" t="n"/>
      <c r="C10" s="118" t="inlineStr">
        <is>
          <t>JASS (saneamiento)</t>
        </is>
      </c>
      <c r="D10" s="381" t="n"/>
      <c r="E10" s="381" t="n"/>
      <c r="F10" s="112" t="inlineStr">
        <is>
          <t>CG</t>
        </is>
      </c>
      <c r="G10" s="381" t="n"/>
      <c r="H10" s="118" t="inlineStr">
        <is>
          <t>Comité de Gestión de Cuenca</t>
        </is>
      </c>
      <c r="I10" s="381" t="n"/>
      <c r="J10" s="381" t="n"/>
      <c r="K10" s="112" t="inlineStr">
        <is>
          <t>ONG</t>
        </is>
      </c>
      <c r="L10" s="381" t="n"/>
      <c r="M10" s="118" t="inlineStr">
        <is>
          <t>ONG / Cooperación Internacional</t>
        </is>
      </c>
      <c r="N10" s="381" t="n"/>
    </row>
    <row r="11" ht="30" customHeight="1">
      <c r="A11" s="112" t="inlineStr">
        <is>
          <t>AC</t>
        </is>
      </c>
      <c r="B11" s="381" t="n"/>
      <c r="C11" s="118" t="inlineStr">
        <is>
          <t>Academia / Universidad</t>
        </is>
      </c>
      <c r="D11" s="381" t="n"/>
      <c r="E11" s="381" t="n"/>
      <c r="F11" s="112" t="inlineStr">
        <is>
          <t>EP</t>
        </is>
      </c>
      <c r="G11" s="381" t="n"/>
      <c r="H11" s="118" t="inlineStr">
        <is>
          <t>Empresa privada</t>
        </is>
      </c>
      <c r="I11" s="381" t="n"/>
      <c r="J11" s="381" t="n"/>
      <c r="K11" s="112" t="inlineStr">
        <is>
          <t>AP</t>
        </is>
      </c>
      <c r="L11" s="381" t="n"/>
      <c r="M11" s="118" t="inlineStr">
        <is>
          <t>Asociación de productores / Gremio</t>
        </is>
      </c>
      <c r="N11" s="381" t="n"/>
    </row>
    <row r="12" ht="30" customHeight="1">
      <c r="A12" s="112" t="inlineStr">
        <is>
          <t>IR</t>
        </is>
      </c>
      <c r="B12" s="381" t="n"/>
      <c r="C12" s="118" t="inlineStr">
        <is>
          <t>Institución religiosa</t>
        </is>
      </c>
      <c r="D12" s="381" t="n"/>
      <c r="E12" s="381" t="n"/>
      <c r="F12" s="112" t="inlineStr">
        <is>
          <t>LI</t>
        </is>
      </c>
      <c r="G12" s="381" t="n"/>
      <c r="H12" s="118" t="inlineStr">
        <is>
          <t>Líder / Autoridad comunal</t>
        </is>
      </c>
      <c r="I12" s="381" t="n"/>
      <c r="J12" s="381" t="n"/>
      <c r="K12" s="112" t="inlineStr">
        <is>
          <t>MC</t>
        </is>
      </c>
      <c r="L12" s="381" t="n"/>
      <c r="M12" s="118" t="inlineStr">
        <is>
          <t>Medios de comunicación local</t>
        </is>
      </c>
      <c r="N12" s="381" t="n"/>
    </row>
    <row r="13" ht="18" customHeight="1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</row>
    <row r="14" ht="25.05" customHeight="1">
      <c r="A14" s="114" t="inlineStr">
        <is>
          <t>NIVEL TERRITORIAL</t>
        </is>
      </c>
      <c r="B14" s="381" t="n"/>
      <c r="C14" s="121" t="inlineStr">
        <is>
          <t>Alcance del actor — columna 'Nivel territorial'</t>
        </is>
      </c>
      <c r="D14" s="381" t="n"/>
      <c r="E14" s="381" t="n"/>
      <c r="F14" s="381" t="n"/>
      <c r="G14" s="381" t="n"/>
      <c r="H14" s="381" t="n"/>
      <c r="I14" s="381" t="n"/>
      <c r="J14" s="381" t="n"/>
      <c r="K14" s="381" t="n"/>
      <c r="L14" s="381" t="n"/>
      <c r="M14" s="381" t="n"/>
      <c r="N14" s="381" t="n"/>
    </row>
    <row r="15" ht="19.2" customHeight="1">
      <c r="A15" s="112" t="inlineStr">
        <is>
          <t>N</t>
        </is>
      </c>
      <c r="B15" s="381" t="n"/>
      <c r="C15" s="118" t="inlineStr">
        <is>
          <t>Nacional</t>
        </is>
      </c>
      <c r="D15" s="381" t="n"/>
      <c r="E15" s="381" t="n"/>
      <c r="F15" s="112" t="inlineStr">
        <is>
          <t>R</t>
        </is>
      </c>
      <c r="G15" s="381" t="n"/>
      <c r="H15" s="118" t="inlineStr">
        <is>
          <t>Regional</t>
        </is>
      </c>
      <c r="I15" s="381" t="n"/>
      <c r="J15" s="381" t="n"/>
      <c r="K15" s="112" t="inlineStr">
        <is>
          <t>P</t>
        </is>
      </c>
      <c r="L15" s="381" t="n"/>
      <c r="M15" s="118" t="inlineStr">
        <is>
          <t>Provincial</t>
        </is>
      </c>
      <c r="N15" s="381" t="n"/>
    </row>
    <row r="16" ht="20.4" customHeight="1">
      <c r="A16" s="112" t="inlineStr">
        <is>
          <t>D</t>
        </is>
      </c>
      <c r="B16" s="381" t="n"/>
      <c r="C16" s="118" t="inlineStr">
        <is>
          <t>Distrital</t>
        </is>
      </c>
      <c r="D16" s="381" t="n"/>
      <c r="E16" s="381" t="n"/>
      <c r="F16" s="112" t="inlineStr">
        <is>
          <t>C</t>
        </is>
      </c>
      <c r="G16" s="381" t="n"/>
      <c r="H16" s="118" t="inlineStr">
        <is>
          <t>Comunal</t>
        </is>
      </c>
      <c r="I16" s="381" t="n"/>
      <c r="J16" s="381" t="n"/>
      <c r="K16" s="112" t="inlineStr">
        <is>
          <t>F</t>
        </is>
      </c>
      <c r="L16" s="381" t="n"/>
      <c r="M16" s="118" t="inlineStr">
        <is>
          <t>Familiar / Individual</t>
        </is>
      </c>
      <c r="N16" s="381" t="n"/>
    </row>
    <row r="17" ht="19.2" customHeight="1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</row>
    <row r="18" ht="25.05" customHeight="1">
      <c r="A18" s="120" t="inlineStr">
        <is>
          <t>INFLUENCIA / INTERÉS</t>
        </is>
      </c>
      <c r="B18" s="381" t="n"/>
      <c r="C18" s="121" t="inlineStr">
        <is>
          <t>Mismo código aplica a columnas 'Influencia' e 'Interés'</t>
        </is>
      </c>
      <c r="D18" s="381" t="n"/>
      <c r="E18" s="381" t="n"/>
      <c r="F18" s="381" t="n"/>
      <c r="G18" s="381" t="n"/>
      <c r="H18" s="381" t="n"/>
      <c r="I18" s="381" t="n"/>
      <c r="J18" s="381" t="n"/>
      <c r="K18" s="381" t="n"/>
      <c r="L18" s="381" t="n"/>
      <c r="M18" s="381" t="n"/>
      <c r="N18" s="381" t="n"/>
    </row>
    <row r="19" ht="21.6" customHeight="1">
      <c r="A19" s="112" t="inlineStr">
        <is>
          <t>A</t>
        </is>
      </c>
      <c r="B19" s="381" t="n"/>
      <c r="C19" s="118" t="inlineStr">
        <is>
          <t>Alto</t>
        </is>
      </c>
      <c r="D19" s="381" t="n"/>
      <c r="E19" s="381" t="n"/>
      <c r="F19" s="112" t="inlineStr">
        <is>
          <t>M</t>
        </is>
      </c>
      <c r="G19" s="381" t="n"/>
      <c r="H19" s="118" t="inlineStr">
        <is>
          <t>Medio</t>
        </is>
      </c>
      <c r="I19" s="381" t="n"/>
      <c r="J19" s="381" t="n"/>
      <c r="K19" s="112" t="inlineStr">
        <is>
          <t>B</t>
        </is>
      </c>
      <c r="L19" s="381" t="n"/>
      <c r="M19" s="118" t="inlineStr">
        <is>
          <t>Bajo</t>
        </is>
      </c>
      <c r="N19" s="381" t="n"/>
    </row>
    <row r="20" ht="19.8" customHeight="1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</row>
    <row r="21" ht="33" customHeight="1">
      <c r="A21" s="114" t="inlineStr">
        <is>
          <t>POSICIÓN FRENTE AL PROYECTO</t>
        </is>
      </c>
      <c r="B21" s="381" t="n"/>
      <c r="C21" s="121" t="inlineStr">
        <is>
          <t>Actitud del actor — columna 'Posición'</t>
        </is>
      </c>
      <c r="D21" s="381" t="n"/>
      <c r="E21" s="381" t="n"/>
      <c r="F21" s="381" t="n"/>
      <c r="G21" s="381" t="n"/>
      <c r="H21" s="381" t="n"/>
      <c r="I21" s="381" t="n"/>
      <c r="J21" s="381" t="n"/>
      <c r="K21" s="381" t="n"/>
      <c r="L21" s="381" t="n"/>
      <c r="M21" s="381" t="n"/>
      <c r="N21" s="381" t="n"/>
    </row>
    <row r="22" ht="25.05" customHeight="1">
      <c r="A22" s="112" t="inlineStr">
        <is>
          <t>F</t>
        </is>
      </c>
      <c r="B22" s="381" t="n"/>
      <c r="C22" s="118" t="inlineStr">
        <is>
          <t>A favor del proyecto</t>
        </is>
      </c>
      <c r="D22" s="381" t="n"/>
      <c r="E22" s="381" t="n"/>
      <c r="F22" s="112" t="inlineStr">
        <is>
          <t>N</t>
        </is>
      </c>
      <c r="G22" s="381" t="n"/>
      <c r="H22" s="118" t="inlineStr">
        <is>
          <t>Neutral / Sin posición definida</t>
        </is>
      </c>
      <c r="I22" s="381" t="n"/>
      <c r="J22" s="381" t="n"/>
      <c r="K22" s="112" t="inlineStr">
        <is>
          <t>R</t>
        </is>
      </c>
      <c r="L22" s="381" t="n"/>
      <c r="M22" s="118" t="inlineStr">
        <is>
          <t>Reticente (requiere persuasión)</t>
        </is>
      </c>
      <c r="N22" s="381" t="n"/>
    </row>
    <row r="23" ht="25.05" customHeight="1">
      <c r="A23" s="112" t="inlineStr">
        <is>
          <t>C</t>
        </is>
      </c>
      <c r="B23" s="381" t="n"/>
      <c r="C23" s="118" t="inlineStr">
        <is>
          <t>En contra del proyecto</t>
        </is>
      </c>
      <c r="D23" s="381" t="n"/>
      <c r="E23" s="381" t="n"/>
      <c r="F23" s="112" t="inlineStr">
        <is>
          <t>ND</t>
        </is>
      </c>
      <c r="G23" s="381" t="n"/>
      <c r="H23" s="118" t="inlineStr">
        <is>
          <t>No determinada</t>
        </is>
      </c>
      <c r="I23" s="381" t="n"/>
      <c r="J23" s="381" t="n"/>
      <c r="K23" s="119" t="n"/>
      <c r="L23" s="381" t="n"/>
      <c r="M23" s="119" t="n"/>
      <c r="N23" s="381" t="n"/>
    </row>
    <row r="24" ht="14.4" customHeight="1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</row>
    <row r="25" ht="17.4" customHeight="1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</row>
    <row r="26" ht="25.05" customHeight="1">
      <c r="A26" s="115" t="inlineStr">
        <is>
          <t>F-DS-05 — CONFLICTOS: CÓDIGOS A UTILIZAR</t>
        </is>
      </c>
    </row>
    <row r="27" ht="28.2" customHeight="1">
      <c r="A27" s="116" t="inlineStr">
        <is>
          <t>TIPO DE CONFLICTO</t>
        </is>
      </c>
      <c r="B27" s="399" t="n"/>
      <c r="C27" s="117" t="inlineStr">
        <is>
          <t>Columna 'Tipo de conflicto' de la matriz</t>
        </is>
      </c>
      <c r="D27" s="399" t="n"/>
      <c r="E27" s="399" t="n"/>
      <c r="F27" s="399" t="n"/>
      <c r="G27" s="399" t="n"/>
      <c r="H27" s="399" t="n"/>
      <c r="I27" s="399" t="n"/>
      <c r="J27" s="399" t="n"/>
      <c r="K27" s="399" t="n"/>
      <c r="L27" s="399" t="n"/>
      <c r="M27" s="399" t="n"/>
      <c r="N27" s="399" t="n"/>
    </row>
    <row r="28" ht="30" customHeight="1">
      <c r="A28" s="108" t="inlineStr">
        <is>
          <t>SM</t>
        </is>
      </c>
      <c r="B28" s="386" t="n"/>
      <c r="C28" s="109" t="inlineStr">
        <is>
          <t>Socioambiental minero</t>
        </is>
      </c>
      <c r="D28" s="385" t="n"/>
      <c r="E28" s="386" t="n"/>
      <c r="F28" s="108" t="inlineStr">
        <is>
          <t>SH</t>
        </is>
      </c>
      <c r="G28" s="386" t="n"/>
      <c r="H28" s="109" t="inlineStr">
        <is>
          <t>Socioambiental hídrico</t>
        </is>
      </c>
      <c r="I28" s="385" t="n"/>
      <c r="J28" s="386" t="n"/>
      <c r="K28" s="108" t="inlineStr">
        <is>
          <t>SF</t>
        </is>
      </c>
      <c r="L28" s="386" t="n"/>
      <c r="M28" s="109" t="inlineStr">
        <is>
          <t>Socioambiental forestal</t>
        </is>
      </c>
      <c r="N28" s="386" t="n"/>
    </row>
    <row r="29" ht="28.8" customHeight="1">
      <c r="A29" s="108" t="inlineStr">
        <is>
          <t>TL</t>
        </is>
      </c>
      <c r="B29" s="386" t="n"/>
      <c r="C29" s="109" t="inlineStr">
        <is>
          <t>Tenencia / Linderos de tierras</t>
        </is>
      </c>
      <c r="D29" s="385" t="n"/>
      <c r="E29" s="386" t="n"/>
      <c r="F29" s="108" t="inlineStr">
        <is>
          <t>UR</t>
        </is>
      </c>
      <c r="G29" s="386" t="n"/>
      <c r="H29" s="109" t="inlineStr">
        <is>
          <t>Uso de recursos naturales (bosque, pasto)</t>
        </is>
      </c>
      <c r="I29" s="385" t="n"/>
      <c r="J29" s="386" t="n"/>
      <c r="K29" s="108" t="inlineStr">
        <is>
          <t>PE</t>
        </is>
      </c>
      <c r="L29" s="386" t="n"/>
      <c r="M29" s="109" t="inlineStr">
        <is>
          <t>Proyecto extractivo en zona</t>
        </is>
      </c>
      <c r="N29" s="386" t="n"/>
    </row>
    <row r="30" ht="30.6" customHeight="1">
      <c r="A30" s="108" t="inlineStr">
        <is>
          <t>OP</t>
        </is>
      </c>
      <c r="B30" s="386" t="n"/>
      <c r="C30" s="109" t="inlineStr">
        <is>
          <t>Obras públicas / Expropiación</t>
        </is>
      </c>
      <c r="D30" s="385" t="n"/>
      <c r="E30" s="386" t="n"/>
      <c r="F30" s="108" t="inlineStr">
        <is>
          <t>CU</t>
        </is>
      </c>
      <c r="G30" s="386" t="n"/>
      <c r="H30" s="109" t="inlineStr">
        <is>
          <t>Cultural / Identidad</t>
        </is>
      </c>
      <c r="I30" s="385" t="n"/>
      <c r="J30" s="386" t="n"/>
      <c r="K30" s="108" t="inlineStr">
        <is>
          <t>LP</t>
        </is>
      </c>
      <c r="L30" s="386" t="n"/>
      <c r="M30" s="109" t="inlineStr">
        <is>
          <t>Liderazgo / Política local</t>
        </is>
      </c>
      <c r="N30" s="386" t="n"/>
    </row>
    <row r="31" ht="25.05" customHeight="1">
      <c r="A31" s="108" t="inlineStr">
        <is>
          <t>IF</t>
        </is>
      </c>
      <c r="B31" s="386" t="n"/>
      <c r="C31" s="109" t="inlineStr">
        <is>
          <t>Interpersonal / Familiar</t>
        </is>
      </c>
      <c r="D31" s="385" t="n"/>
      <c r="E31" s="386" t="n"/>
      <c r="F31" s="108" t="inlineStr">
        <is>
          <t>II</t>
        </is>
      </c>
      <c r="G31" s="386" t="n"/>
      <c r="H31" s="109" t="inlineStr">
        <is>
          <t>Interinstitucional</t>
        </is>
      </c>
      <c r="I31" s="385" t="n"/>
      <c r="J31" s="386" t="n"/>
      <c r="K31" s="108" t="inlineStr">
        <is>
          <t>OT</t>
        </is>
      </c>
      <c r="L31" s="386" t="n"/>
      <c r="M31" s="109" t="inlineStr">
        <is>
          <t>Otro</t>
        </is>
      </c>
      <c r="N31" s="386" t="n"/>
    </row>
    <row r="32" ht="18.6" customHeight="1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</row>
    <row r="33" ht="30" customHeight="1">
      <c r="A33" s="114" t="inlineStr">
        <is>
          <t>NIVEL / ESTADO ACTUAL</t>
        </is>
      </c>
      <c r="B33" s="381" t="n"/>
      <c r="C33" s="111" t="inlineStr">
        <is>
          <t>Columna 'Nivel / Estado actual' de la matriz</t>
        </is>
      </c>
      <c r="D33" s="385" t="n"/>
      <c r="E33" s="385" t="n"/>
      <c r="F33" s="385" t="n"/>
      <c r="G33" s="385" t="n"/>
      <c r="H33" s="385" t="n"/>
      <c r="I33" s="385" t="n"/>
      <c r="J33" s="385" t="n"/>
      <c r="K33" s="385" t="n"/>
      <c r="L33" s="385" t="n"/>
      <c r="M33" s="385" t="n"/>
      <c r="N33" s="386" t="n"/>
    </row>
    <row r="34" ht="39.6" customHeight="1">
      <c r="A34" s="112" t="inlineStr">
        <is>
          <t>LT</t>
        </is>
      </c>
      <c r="B34" s="381" t="n"/>
      <c r="C34" s="109" t="inlineStr">
        <is>
          <t>Latente (no manifiesto)</t>
        </is>
      </c>
      <c r="D34" s="385" t="n"/>
      <c r="E34" s="386" t="n"/>
      <c r="F34" s="108" t="inlineStr">
        <is>
          <t>ES</t>
        </is>
      </c>
      <c r="G34" s="386" t="n"/>
      <c r="H34" s="109" t="inlineStr">
        <is>
          <t>En escalada (manifestaciones aisladas)</t>
        </is>
      </c>
      <c r="I34" s="385" t="n"/>
      <c r="J34" s="386" t="n"/>
      <c r="K34" s="108" t="inlineStr">
        <is>
          <t>AC</t>
        </is>
      </c>
      <c r="L34" s="386" t="n"/>
      <c r="M34" s="109" t="inlineStr">
        <is>
          <t>Activo (movilizaciones o enfrentamientos)</t>
        </is>
      </c>
      <c r="N34" s="386" t="n"/>
    </row>
    <row r="35" ht="31.8" customHeight="1">
      <c r="A35" s="112" t="inlineStr">
        <is>
          <t>NG</t>
        </is>
      </c>
      <c r="B35" s="381" t="n"/>
      <c r="C35" s="109" t="inlineStr">
        <is>
          <t>En negociación / Mesa de diálogo</t>
        </is>
      </c>
      <c r="D35" s="385" t="n"/>
      <c r="E35" s="386" t="n"/>
      <c r="F35" s="108" t="inlineStr">
        <is>
          <t>RS</t>
        </is>
      </c>
      <c r="G35" s="386" t="n"/>
      <c r="H35" s="109" t="inlineStr">
        <is>
          <t>Resuelto / Inactivo</t>
        </is>
      </c>
      <c r="I35" s="385" t="n"/>
      <c r="J35" s="386" t="n"/>
      <c r="K35" s="113" t="n"/>
      <c r="L35" s="386" t="n"/>
      <c r="M35" s="113" t="n"/>
      <c r="N35" s="386" t="n"/>
    </row>
    <row r="36" ht="19.8" customHeight="1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</row>
    <row r="37" ht="25.05" customHeight="1">
      <c r="A37" s="110" t="inlineStr">
        <is>
          <t>ANTIGÜEDAD</t>
        </is>
      </c>
      <c r="B37" s="386" t="n"/>
      <c r="C37" s="111" t="inlineStr">
        <is>
          <t>Columna 'Antigüedad' de la matriz</t>
        </is>
      </c>
      <c r="D37" s="385" t="n"/>
      <c r="E37" s="385" t="n"/>
      <c r="F37" s="385" t="n"/>
      <c r="G37" s="385" t="n"/>
      <c r="H37" s="385" t="n"/>
      <c r="I37" s="385" t="n"/>
      <c r="J37" s="385" t="n"/>
      <c r="K37" s="385" t="n"/>
      <c r="L37" s="385" t="n"/>
      <c r="M37" s="385" t="n"/>
      <c r="N37" s="386" t="n"/>
    </row>
    <row r="38" ht="25.05" customHeight="1">
      <c r="A38" s="108" t="inlineStr">
        <is>
          <t>1</t>
        </is>
      </c>
      <c r="B38" s="386" t="n"/>
      <c r="C38" s="109" t="inlineStr">
        <is>
          <t>&lt;1 año</t>
        </is>
      </c>
      <c r="D38" s="385" t="n"/>
      <c r="E38" s="386" t="n"/>
      <c r="F38" s="108" t="inlineStr">
        <is>
          <t>2</t>
        </is>
      </c>
      <c r="G38" s="386" t="n"/>
      <c r="H38" s="109" t="inlineStr">
        <is>
          <t>1-3 años</t>
        </is>
      </c>
      <c r="I38" s="385" t="n"/>
      <c r="J38" s="386" t="n"/>
      <c r="K38" s="108" t="inlineStr">
        <is>
          <t>3</t>
        </is>
      </c>
      <c r="L38" s="386" t="n"/>
      <c r="M38" s="109" t="inlineStr">
        <is>
          <t>3-5 años</t>
        </is>
      </c>
      <c r="N38" s="386" t="n"/>
    </row>
    <row r="39" ht="24.6" customHeight="1">
      <c r="A39" s="108" t="inlineStr">
        <is>
          <t>4</t>
        </is>
      </c>
      <c r="B39" s="386" t="n"/>
      <c r="C39" s="109" t="inlineStr">
        <is>
          <t>5-10 años</t>
        </is>
      </c>
      <c r="D39" s="385" t="n"/>
      <c r="E39" s="386" t="n"/>
      <c r="F39" s="108" t="inlineStr">
        <is>
          <t>5</t>
        </is>
      </c>
      <c r="G39" s="386" t="n"/>
      <c r="H39" s="109" t="inlineStr">
        <is>
          <t>&gt;10 años</t>
        </is>
      </c>
      <c r="I39" s="385" t="n"/>
      <c r="J39" s="386" t="n"/>
      <c r="K39" s="108" t="inlineStr">
        <is>
          <t>6</t>
        </is>
      </c>
      <c r="L39" s="386" t="n"/>
      <c r="M39" s="109" t="inlineStr">
        <is>
          <t>Histórico (&gt;20 años)</t>
        </is>
      </c>
      <c r="N39" s="386" t="n"/>
    </row>
    <row r="40" ht="18" customHeight="1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28.2" customHeight="1">
      <c r="A41" s="110" t="inlineStr">
        <is>
          <t>POTENCIAL (Oportunidades)</t>
        </is>
      </c>
      <c r="B41" s="386" t="n"/>
      <c r="C41" s="111" t="inlineStr">
        <is>
          <t>Columna 'Potencial' de la tabla de oportunidades</t>
        </is>
      </c>
      <c r="D41" s="385" t="n"/>
      <c r="E41" s="385" t="n"/>
      <c r="F41" s="385" t="n"/>
      <c r="G41" s="385" t="n"/>
      <c r="H41" s="385" t="n"/>
      <c r="I41" s="385" t="n"/>
      <c r="J41" s="385" t="n"/>
      <c r="K41" s="385" t="n"/>
      <c r="L41" s="385" t="n"/>
      <c r="M41" s="385" t="n"/>
      <c r="N41" s="386" t="n"/>
    </row>
    <row r="42" ht="25.05" customHeight="1">
      <c r="A42" s="108" t="inlineStr">
        <is>
          <t>A</t>
        </is>
      </c>
      <c r="B42" s="386" t="n"/>
      <c r="C42" s="109" t="inlineStr">
        <is>
          <t>Alto</t>
        </is>
      </c>
      <c r="D42" s="385" t="n"/>
      <c r="E42" s="386" t="n"/>
      <c r="F42" s="108" t="inlineStr">
        <is>
          <t>M</t>
        </is>
      </c>
      <c r="G42" s="386" t="n"/>
      <c r="H42" s="109" t="inlineStr">
        <is>
          <t>Medio</t>
        </is>
      </c>
      <c r="I42" s="385" t="n"/>
      <c r="J42" s="386" t="n"/>
      <c r="K42" s="108" t="inlineStr">
        <is>
          <t>B</t>
        </is>
      </c>
      <c r="L42" s="386" t="n"/>
      <c r="M42" s="109" t="inlineStr">
        <is>
          <t>Bajo</t>
        </is>
      </c>
      <c r="N42" s="386" t="n"/>
    </row>
    <row r="43">
      <c r="A43" s="107" t="inlineStr">
        <is>
          <t>Esta hoja es una ayuda de memoria: IMPRIMIRLA JUNTO CON CADA FORMATO. En caso de duda sobre qué código aplicar, registrar el texto completo en la columna de Observaciones y codificar al digitalizar.</t>
        </is>
      </c>
    </row>
    <row r="44" ht="13.5" customHeight="1"/>
  </sheetData>
  <mergeCells count="138">
    <mergeCell ref="A15:B15"/>
    <mergeCell ref="F29:G29"/>
    <mergeCell ref="F16:G16"/>
    <mergeCell ref="C31:E31"/>
    <mergeCell ref="H11:J11"/>
    <mergeCell ref="C21:N21"/>
    <mergeCell ref="K35:L35"/>
    <mergeCell ref="M35:N35"/>
    <mergeCell ref="A7:B7"/>
    <mergeCell ref="F15:G15"/>
    <mergeCell ref="H22:J22"/>
    <mergeCell ref="A41:B41"/>
    <mergeCell ref="H19:J19"/>
    <mergeCell ref="M10:N10"/>
    <mergeCell ref="C23:E23"/>
    <mergeCell ref="A27:B27"/>
    <mergeCell ref="C7:N7"/>
    <mergeCell ref="M16:N16"/>
    <mergeCell ref="A26:N26"/>
    <mergeCell ref="A33:B33"/>
    <mergeCell ref="F23:G23"/>
    <mergeCell ref="H30:J30"/>
    <mergeCell ref="A42:B42"/>
    <mergeCell ref="K42:L42"/>
    <mergeCell ref="C18:N18"/>
    <mergeCell ref="C34:E34"/>
    <mergeCell ref="M8:N8"/>
    <mergeCell ref="A22:B22"/>
    <mergeCell ref="H29:J29"/>
    <mergeCell ref="A35:B35"/>
    <mergeCell ref="H38:J38"/>
    <mergeCell ref="C42:E42"/>
    <mergeCell ref="A19:B19"/>
    <mergeCell ref="A28:B28"/>
    <mergeCell ref="K28:L28"/>
    <mergeCell ref="H31:J31"/>
    <mergeCell ref="M19:N19"/>
    <mergeCell ref="A9:B9"/>
    <mergeCell ref="A39:B39"/>
    <mergeCell ref="A30:B30"/>
    <mergeCell ref="K30:L30"/>
    <mergeCell ref="F10:G10"/>
    <mergeCell ref="A11:B11"/>
    <mergeCell ref="K15:L15"/>
    <mergeCell ref="F19:G19"/>
    <mergeCell ref="C22:E22"/>
    <mergeCell ref="F34:G34"/>
    <mergeCell ref="C12:E12"/>
    <mergeCell ref="A1:N1"/>
    <mergeCell ref="H16:J16"/>
    <mergeCell ref="F30:G30"/>
    <mergeCell ref="C39:E39"/>
    <mergeCell ref="A37:B37"/>
    <mergeCell ref="F42:G42"/>
    <mergeCell ref="C38:E38"/>
    <mergeCell ref="A3:N3"/>
    <mergeCell ref="H42:J42"/>
    <mergeCell ref="F31:G31"/>
    <mergeCell ref="F28:G28"/>
    <mergeCell ref="H35:J35"/>
    <mergeCell ref="A5:N5"/>
    <mergeCell ref="A8:B8"/>
    <mergeCell ref="C15:E15"/>
    <mergeCell ref="F9:G9"/>
    <mergeCell ref="F39:G39"/>
    <mergeCell ref="C33:N33"/>
    <mergeCell ref="A4:N4"/>
    <mergeCell ref="A10:B10"/>
    <mergeCell ref="K10:L10"/>
    <mergeCell ref="K19:L19"/>
    <mergeCell ref="A43:N43"/>
    <mergeCell ref="C35:E35"/>
    <mergeCell ref="A34:B34"/>
    <mergeCell ref="C10:E10"/>
    <mergeCell ref="C16:E16"/>
    <mergeCell ref="K16:L16"/>
    <mergeCell ref="M34:N34"/>
    <mergeCell ref="C9:E9"/>
    <mergeCell ref="K9:L9"/>
    <mergeCell ref="M9:N9"/>
    <mergeCell ref="M39:N39"/>
    <mergeCell ref="K29:L29"/>
    <mergeCell ref="C11:E11"/>
    <mergeCell ref="A6:N6"/>
    <mergeCell ref="K11:L11"/>
    <mergeCell ref="M11:N11"/>
    <mergeCell ref="K31:L31"/>
    <mergeCell ref="M31:N31"/>
    <mergeCell ref="F8:G8"/>
    <mergeCell ref="A12:B12"/>
    <mergeCell ref="H15:J15"/>
    <mergeCell ref="A21:B21"/>
    <mergeCell ref="C28:E28"/>
    <mergeCell ref="M15:N15"/>
    <mergeCell ref="M12:N12"/>
    <mergeCell ref="K8:L8"/>
    <mergeCell ref="A2:N2"/>
    <mergeCell ref="C37:N37"/>
    <mergeCell ref="H8:J8"/>
    <mergeCell ref="A14:B14"/>
    <mergeCell ref="F22:G22"/>
    <mergeCell ref="A23:B23"/>
    <mergeCell ref="K23:L23"/>
    <mergeCell ref="C30:E30"/>
    <mergeCell ref="A38:B38"/>
    <mergeCell ref="H10:J10"/>
    <mergeCell ref="M29:N29"/>
    <mergeCell ref="M23:N23"/>
    <mergeCell ref="M38:N38"/>
    <mergeCell ref="H34:J34"/>
    <mergeCell ref="H9:J9"/>
    <mergeCell ref="H39:J39"/>
    <mergeCell ref="F11:G11"/>
    <mergeCell ref="K34:L34"/>
    <mergeCell ref="C41:N41"/>
    <mergeCell ref="F12:G12"/>
    <mergeCell ref="A16:B16"/>
    <mergeCell ref="H28:J28"/>
    <mergeCell ref="C27:N27"/>
    <mergeCell ref="C8:E8"/>
    <mergeCell ref="H12:J12"/>
    <mergeCell ref="A18:B18"/>
    <mergeCell ref="K22:L22"/>
    <mergeCell ref="M22:N22"/>
    <mergeCell ref="F35:G35"/>
    <mergeCell ref="M30:N30"/>
    <mergeCell ref="K12:L12"/>
    <mergeCell ref="C19:E19"/>
    <mergeCell ref="F38:G38"/>
    <mergeCell ref="H23:J23"/>
    <mergeCell ref="M28:N28"/>
    <mergeCell ref="M42:N42"/>
    <mergeCell ref="K39:L39"/>
    <mergeCell ref="A29:B29"/>
    <mergeCell ref="K38:L38"/>
    <mergeCell ref="C14:N14"/>
    <mergeCell ref="C29:E29"/>
    <mergeCell ref="A31:B31"/>
  </mergeCells>
  <printOptions horizontalCentered="1"/>
  <pageMargins left="0.15" right="0.15" top="0.1" bottom="0.1" header="0.511811023622047" footer="0.511811023622047"/>
  <pageSetup orientation="portrait" scale="74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8"/>
  <sheetViews>
    <sheetView zoomScaleNormal="100" workbookViewId="0">
      <selection activeCell="A1" sqref="A1"/>
    </sheetView>
  </sheetViews>
  <sheetFormatPr baseColWidth="10" defaultColWidth="8.6640625" defaultRowHeight="14.4"/>
  <cols>
    <col width="10" customWidth="1" min="1" max="1"/>
    <col width="22" customWidth="1" min="2" max="2"/>
    <col width="14" customWidth="1" min="3" max="3"/>
    <col width="26" customWidth="1" min="4" max="4"/>
    <col width="8" customWidth="1" min="5" max="5"/>
    <col width="12" customWidth="1" min="6" max="6"/>
    <col width="10" customWidth="1" min="8" max="8"/>
  </cols>
  <sheetData>
    <row r="1" ht="15" customHeight="1">
      <c r="A1" s="3" t="inlineStr">
        <is>
          <t>codigo</t>
        </is>
      </c>
      <c r="B1" s="3" t="inlineStr">
        <is>
          <t>microcuenca</t>
        </is>
      </c>
      <c r="C1" s="3" t="inlineStr">
        <is>
          <t>provincia</t>
        </is>
      </c>
      <c r="D1" s="3" t="inlineStr">
        <is>
          <t>distrito</t>
        </is>
      </c>
      <c r="E1" s="3" t="inlineStr">
        <is>
          <t>zona</t>
        </is>
      </c>
      <c r="F1" s="3" t="inlineStr">
        <is>
          <t>este_utm</t>
        </is>
      </c>
      <c r="G1" s="3" t="inlineStr">
        <is>
          <t>norte_utm</t>
        </is>
      </c>
      <c r="H1" s="3" t="inlineStr">
        <is>
          <t>area_ha</t>
        </is>
      </c>
    </row>
    <row r="2" ht="15" customHeight="1">
      <c r="A2" t="inlineStr">
        <is>
          <t>M9B1</t>
        </is>
      </c>
      <c r="B2" t="inlineStr">
        <is>
          <t>C1096-Q9545</t>
        </is>
      </c>
      <c r="C2" t="inlineStr">
        <is>
          <t>Morropon</t>
        </is>
      </c>
      <c r="D2" t="inlineStr">
        <is>
          <t>Chulucanas</t>
        </is>
      </c>
      <c r="E2" t="inlineStr">
        <is>
          <t>Z01</t>
        </is>
      </c>
      <c r="F2" t="n">
        <v>595552</v>
      </c>
      <c r="G2" t="n">
        <v>9451222</v>
      </c>
      <c r="H2" t="n">
        <v>355.36</v>
      </c>
    </row>
    <row r="3" ht="15" customHeight="1">
      <c r="A3" t="inlineStr">
        <is>
          <t>M10B4</t>
        </is>
      </c>
      <c r="B3" t="inlineStr">
        <is>
          <t>C1096-Q9547</t>
        </is>
      </c>
      <c r="C3" t="inlineStr">
        <is>
          <t>Morropon</t>
        </is>
      </c>
      <c r="D3" t="inlineStr">
        <is>
          <t>Chulucanas</t>
        </is>
      </c>
      <c r="E3" t="inlineStr">
        <is>
          <t>Z01</t>
        </is>
      </c>
      <c r="F3" t="n">
        <v>596773</v>
      </c>
      <c r="G3" t="n">
        <v>9448273</v>
      </c>
      <c r="H3" t="n">
        <v>68.89</v>
      </c>
    </row>
    <row r="4" ht="15" customHeight="1">
      <c r="A4" t="inlineStr">
        <is>
          <t>25</t>
        </is>
      </c>
      <c r="B4" t="inlineStr">
        <is>
          <t>C1096-Q9547</t>
        </is>
      </c>
      <c r="C4" t="inlineStr">
        <is>
          <t>Morropon</t>
        </is>
      </c>
      <c r="D4" t="inlineStr">
        <is>
          <t>Chulucanas</t>
        </is>
      </c>
      <c r="E4" t="inlineStr">
        <is>
          <t>Z01</t>
        </is>
      </c>
      <c r="F4" t="n">
        <v>596578</v>
      </c>
      <c r="G4" t="n">
        <v>9442453</v>
      </c>
      <c r="H4" t="n">
        <v>53.48</v>
      </c>
    </row>
    <row r="5" ht="15" customHeight="1">
      <c r="A5" t="inlineStr">
        <is>
          <t>32</t>
        </is>
      </c>
      <c r="B5" t="inlineStr">
        <is>
          <t>C1096-Q9556</t>
        </is>
      </c>
      <c r="C5" t="inlineStr">
        <is>
          <t>Morropon</t>
        </is>
      </c>
      <c r="D5" t="inlineStr">
        <is>
          <t>Chulucanas</t>
        </is>
      </c>
      <c r="E5" t="inlineStr">
        <is>
          <t>Z01</t>
        </is>
      </c>
      <c r="F5" t="n">
        <v>599927</v>
      </c>
      <c r="G5" t="n">
        <v>9442604</v>
      </c>
      <c r="H5" t="n">
        <v>35.83</v>
      </c>
    </row>
    <row r="6" ht="15" customHeight="1">
      <c r="A6" t="inlineStr">
        <is>
          <t>22</t>
        </is>
      </c>
      <c r="B6" t="inlineStr">
        <is>
          <t>C1096-Q9556</t>
        </is>
      </c>
      <c r="C6" t="inlineStr">
        <is>
          <t>Morropon</t>
        </is>
      </c>
      <c r="D6" t="inlineStr">
        <is>
          <t>Chulucanas</t>
        </is>
      </c>
      <c r="E6" t="inlineStr">
        <is>
          <t>Z01</t>
        </is>
      </c>
      <c r="F6" t="n">
        <v>601122</v>
      </c>
      <c r="G6" t="n">
        <v>9443651</v>
      </c>
      <c r="H6" t="n">
        <v>79.33</v>
      </c>
    </row>
    <row r="7" ht="15" customHeight="1">
      <c r="A7" t="inlineStr">
        <is>
          <t>M17B1</t>
        </is>
      </c>
      <c r="B7" t="inlineStr">
        <is>
          <t>C1096-Q9556</t>
        </is>
      </c>
      <c r="C7" t="inlineStr">
        <is>
          <t>Morropon</t>
        </is>
      </c>
      <c r="D7" t="inlineStr">
        <is>
          <t>Chulucanas</t>
        </is>
      </c>
      <c r="E7" t="inlineStr">
        <is>
          <t>Z01</t>
        </is>
      </c>
      <c r="F7" t="n">
        <v>600644</v>
      </c>
      <c r="G7" t="n">
        <v>9440436</v>
      </c>
      <c r="H7" t="n">
        <v>42.45</v>
      </c>
    </row>
    <row r="8" ht="15" customHeight="1">
      <c r="A8" t="inlineStr">
        <is>
          <t>2</t>
        </is>
      </c>
      <c r="B8" t="inlineStr">
        <is>
          <t>C1096-Q9558</t>
        </is>
      </c>
      <c r="C8" t="inlineStr">
        <is>
          <t>Morropon</t>
        </is>
      </c>
      <c r="D8" t="inlineStr">
        <is>
          <t>Chulucanas</t>
        </is>
      </c>
      <c r="E8" t="inlineStr">
        <is>
          <t>Z01</t>
        </is>
      </c>
      <c r="F8" t="n">
        <v>603653</v>
      </c>
      <c r="G8" t="n">
        <v>9439351</v>
      </c>
      <c r="H8" t="n">
        <v>330.6</v>
      </c>
    </row>
    <row r="9" ht="15" customHeight="1">
      <c r="A9" t="inlineStr">
        <is>
          <t>M17B4</t>
        </is>
      </c>
      <c r="B9" t="inlineStr">
        <is>
          <t>C1096-Q9556</t>
        </is>
      </c>
      <c r="C9" t="inlineStr">
        <is>
          <t>Morropon</t>
        </is>
      </c>
      <c r="D9" t="inlineStr">
        <is>
          <t>Chulucanas</t>
        </is>
      </c>
      <c r="E9" t="inlineStr">
        <is>
          <t>Z01</t>
        </is>
      </c>
      <c r="F9" t="n">
        <v>604926</v>
      </c>
      <c r="G9" t="n">
        <v>9444327</v>
      </c>
      <c r="H9" t="n">
        <v>124.71</v>
      </c>
    </row>
    <row r="10" ht="15" customHeight="1">
      <c r="A10" t="inlineStr">
        <is>
          <t>M27B1</t>
        </is>
      </c>
      <c r="B10" t="inlineStr">
        <is>
          <t>C1096-Q9557</t>
        </is>
      </c>
      <c r="C10" t="inlineStr">
        <is>
          <t>Morropon</t>
        </is>
      </c>
      <c r="D10" t="inlineStr">
        <is>
          <t>Chulucanas</t>
        </is>
      </c>
      <c r="E10" t="inlineStr">
        <is>
          <t>Z01</t>
        </is>
      </c>
      <c r="F10" t="n">
        <v>593246</v>
      </c>
      <c r="G10" t="n">
        <v>9430139</v>
      </c>
      <c r="H10" t="n">
        <v>448.8</v>
      </c>
    </row>
    <row r="11" ht="15" customHeight="1">
      <c r="A11" t="inlineStr">
        <is>
          <t>3</t>
        </is>
      </c>
      <c r="B11" t="inlineStr">
        <is>
          <t>C1096-Q9545</t>
        </is>
      </c>
      <c r="C11" t="inlineStr">
        <is>
          <t>Ayabaca</t>
        </is>
      </c>
      <c r="D11" t="inlineStr">
        <is>
          <t>Frias</t>
        </is>
      </c>
      <c r="E11" t="inlineStr">
        <is>
          <t>Z02</t>
        </is>
      </c>
      <c r="F11" t="n">
        <v>606816</v>
      </c>
      <c r="G11" t="n">
        <v>9458469</v>
      </c>
      <c r="H11" t="n">
        <v>459.29</v>
      </c>
    </row>
    <row r="12" ht="15" customHeight="1">
      <c r="A12" t="inlineStr">
        <is>
          <t>6</t>
        </is>
      </c>
      <c r="B12" t="inlineStr">
        <is>
          <t>C1096-Q9547</t>
        </is>
      </c>
      <c r="C12" t="inlineStr">
        <is>
          <t>Ayabaca</t>
        </is>
      </c>
      <c r="D12" t="inlineStr">
        <is>
          <t>Frias</t>
        </is>
      </c>
      <c r="E12" t="inlineStr">
        <is>
          <t>Z02</t>
        </is>
      </c>
      <c r="F12" t="n">
        <v>605636</v>
      </c>
      <c r="G12" t="n">
        <v>9455269</v>
      </c>
      <c r="H12" t="n">
        <v>168.41</v>
      </c>
    </row>
    <row r="13" ht="15" customHeight="1">
      <c r="A13" t="inlineStr">
        <is>
          <t>36</t>
        </is>
      </c>
      <c r="B13" t="inlineStr">
        <is>
          <t>C1096-Q9547</t>
        </is>
      </c>
      <c r="C13" t="inlineStr">
        <is>
          <t>Ayabaca</t>
        </is>
      </c>
      <c r="D13" t="inlineStr">
        <is>
          <t>Frias</t>
        </is>
      </c>
      <c r="E13" t="inlineStr">
        <is>
          <t>Z02</t>
        </is>
      </c>
      <c r="F13" t="n">
        <v>606468</v>
      </c>
      <c r="G13" t="n">
        <v>9454689</v>
      </c>
      <c r="H13" t="n">
        <v>24.84</v>
      </c>
    </row>
    <row r="14" ht="15" customHeight="1">
      <c r="A14" t="inlineStr">
        <is>
          <t>M17B7</t>
        </is>
      </c>
      <c r="B14" t="inlineStr">
        <is>
          <t>C1096-Q9556</t>
        </is>
      </c>
      <c r="C14" t="inlineStr">
        <is>
          <t>Ayabaca</t>
        </is>
      </c>
      <c r="D14" t="inlineStr">
        <is>
          <t>Frias</t>
        </is>
      </c>
      <c r="E14" t="inlineStr">
        <is>
          <t>Z02</t>
        </is>
      </c>
      <c r="F14" t="n">
        <v>608472</v>
      </c>
      <c r="G14" t="n">
        <v>9448056</v>
      </c>
      <c r="H14" t="n">
        <v>258.84</v>
      </c>
    </row>
    <row r="15" ht="15" customHeight="1">
      <c r="A15" t="inlineStr">
        <is>
          <t>M17B6</t>
        </is>
      </c>
      <c r="B15" t="inlineStr">
        <is>
          <t>C1096-Q9556</t>
        </is>
      </c>
      <c r="C15" t="inlineStr">
        <is>
          <t>Ayabaca</t>
        </is>
      </c>
      <c r="D15" t="inlineStr">
        <is>
          <t>Frias</t>
        </is>
      </c>
      <c r="E15" t="inlineStr">
        <is>
          <t>Z02</t>
        </is>
      </c>
      <c r="F15" t="n">
        <v>607036</v>
      </c>
      <c r="G15" t="n">
        <v>9446211</v>
      </c>
      <c r="H15" t="n">
        <v>106.54</v>
      </c>
    </row>
    <row r="16" ht="15" customHeight="1">
      <c r="A16" t="inlineStr">
        <is>
          <t>M17B10</t>
        </is>
      </c>
      <c r="B16" t="inlineStr">
        <is>
          <t>C1096-Q9556</t>
        </is>
      </c>
      <c r="C16" t="inlineStr">
        <is>
          <t>Ayabaca</t>
        </is>
      </c>
      <c r="D16" t="inlineStr">
        <is>
          <t>Frias</t>
        </is>
      </c>
      <c r="E16" t="inlineStr">
        <is>
          <t>Z02</t>
        </is>
      </c>
      <c r="F16" t="n">
        <v>606173</v>
      </c>
      <c r="G16" t="n">
        <v>9447361</v>
      </c>
      <c r="H16" t="n">
        <v>75.36</v>
      </c>
    </row>
    <row r="17" ht="15" customHeight="1">
      <c r="A17" t="inlineStr">
        <is>
          <t>M17B5</t>
        </is>
      </c>
      <c r="B17" t="inlineStr">
        <is>
          <t>C1096-Q9556</t>
        </is>
      </c>
      <c r="C17" t="inlineStr">
        <is>
          <t>Ayabaca</t>
        </is>
      </c>
      <c r="D17" t="inlineStr">
        <is>
          <t>Frias</t>
        </is>
      </c>
      <c r="E17" t="inlineStr">
        <is>
          <t>Z02</t>
        </is>
      </c>
      <c r="F17" t="n">
        <v>608800</v>
      </c>
      <c r="G17" t="n">
        <v>9445585</v>
      </c>
      <c r="H17" t="n">
        <v>74.03</v>
      </c>
    </row>
    <row r="18" ht="15" customHeight="1">
      <c r="A18" t="inlineStr">
        <is>
          <t>27</t>
        </is>
      </c>
      <c r="B18" t="inlineStr">
        <is>
          <t>C1096-Q9556</t>
        </is>
      </c>
      <c r="C18" t="inlineStr">
        <is>
          <t>Ayabaca</t>
        </is>
      </c>
      <c r="D18" t="inlineStr">
        <is>
          <t>Frias</t>
        </is>
      </c>
      <c r="E18" t="inlineStr">
        <is>
          <t>Z02</t>
        </is>
      </c>
      <c r="F18" t="n">
        <v>613302</v>
      </c>
      <c r="G18" t="n">
        <v>9450231</v>
      </c>
      <c r="H18" t="n">
        <v>78.15000000000001</v>
      </c>
    </row>
    <row r="19" ht="15" customHeight="1">
      <c r="A19" t="inlineStr">
        <is>
          <t>39</t>
        </is>
      </c>
      <c r="B19" t="inlineStr">
        <is>
          <t>C1096-Q9564</t>
        </is>
      </c>
      <c r="C19" t="inlineStr">
        <is>
          <t>Ayabaca</t>
        </is>
      </c>
      <c r="D19" t="inlineStr">
        <is>
          <t>Frias</t>
        </is>
      </c>
      <c r="E19" t="inlineStr">
        <is>
          <t>Z02</t>
        </is>
      </c>
      <c r="F19" t="n">
        <v>618523</v>
      </c>
      <c r="G19" t="n">
        <v>9448918</v>
      </c>
      <c r="H19" t="n">
        <v>68.56999999999999</v>
      </c>
    </row>
    <row r="20" ht="15" customHeight="1">
      <c r="A20" t="inlineStr">
        <is>
          <t>56</t>
        </is>
      </c>
      <c r="B20" t="inlineStr">
        <is>
          <t>C1096-Q9564</t>
        </is>
      </c>
      <c r="C20" t="inlineStr">
        <is>
          <t>Ayabaca</t>
        </is>
      </c>
      <c r="D20" t="inlineStr">
        <is>
          <t>Frias</t>
        </is>
      </c>
      <c r="E20" t="inlineStr">
        <is>
          <t>Z02</t>
        </is>
      </c>
      <c r="F20" t="n">
        <v>631723</v>
      </c>
      <c r="G20" t="n">
        <v>9439702</v>
      </c>
      <c r="H20" t="n">
        <v>77.67</v>
      </c>
    </row>
    <row r="21" ht="15" customHeight="1">
      <c r="A21" t="inlineStr">
        <is>
          <t>12</t>
        </is>
      </c>
      <c r="B21" t="inlineStr">
        <is>
          <t>C1086-Q9570</t>
        </is>
      </c>
      <c r="C21" t="inlineStr">
        <is>
          <t>Morropon</t>
        </is>
      </c>
      <c r="D21" t="inlineStr">
        <is>
          <t>Santo Domingo</t>
        </is>
      </c>
      <c r="E21" t="inlineStr">
        <is>
          <t>Z03</t>
        </is>
      </c>
      <c r="F21" t="n">
        <v>625419</v>
      </c>
      <c r="G21" t="n">
        <v>9444932</v>
      </c>
      <c r="H21" t="n">
        <v>119.54</v>
      </c>
    </row>
    <row r="22" ht="15" customHeight="1">
      <c r="A22" t="inlineStr">
        <is>
          <t>82</t>
        </is>
      </c>
      <c r="B22" t="inlineStr">
        <is>
          <t>C1086-Q9570</t>
        </is>
      </c>
      <c r="C22" t="inlineStr">
        <is>
          <t>Morropon</t>
        </is>
      </c>
      <c r="D22" t="inlineStr">
        <is>
          <t>Santo Domingo</t>
        </is>
      </c>
      <c r="E22" t="inlineStr">
        <is>
          <t>Z03</t>
        </is>
      </c>
      <c r="F22" t="n">
        <v>621452</v>
      </c>
      <c r="G22" t="n">
        <v>9443855</v>
      </c>
      <c r="H22" t="n">
        <v>35.66</v>
      </c>
    </row>
    <row r="23" ht="15" customHeight="1">
      <c r="A23" t="inlineStr">
        <is>
          <t>13</t>
        </is>
      </c>
      <c r="B23" t="inlineStr">
        <is>
          <t>C1096-Q9564</t>
        </is>
      </c>
      <c r="C23" t="inlineStr">
        <is>
          <t>Morropon</t>
        </is>
      </c>
      <c r="D23" t="inlineStr">
        <is>
          <t>Santo Domingo</t>
        </is>
      </c>
      <c r="E23" t="inlineStr">
        <is>
          <t>Z03</t>
        </is>
      </c>
      <c r="F23" t="n">
        <v>620263</v>
      </c>
      <c r="G23" t="n">
        <v>9442343</v>
      </c>
      <c r="H23" t="n">
        <v>100.51</v>
      </c>
    </row>
    <row r="24" ht="15" customHeight="1">
      <c r="A24" t="inlineStr">
        <is>
          <t>78</t>
        </is>
      </c>
      <c r="B24" t="inlineStr">
        <is>
          <t>C1086-Q9570</t>
        </is>
      </c>
      <c r="C24" t="inlineStr">
        <is>
          <t>Morropon</t>
        </is>
      </c>
      <c r="D24" t="inlineStr">
        <is>
          <t>Santo Domingo</t>
        </is>
      </c>
      <c r="E24" t="inlineStr">
        <is>
          <t>Z03</t>
        </is>
      </c>
      <c r="F24" t="n">
        <v>619630</v>
      </c>
      <c r="G24" t="n">
        <v>9440043</v>
      </c>
      <c r="H24" t="n">
        <v>35.1</v>
      </c>
    </row>
    <row r="25" ht="15" customHeight="1">
      <c r="A25" t="inlineStr">
        <is>
          <t>11</t>
        </is>
      </c>
      <c r="B25" t="inlineStr">
        <is>
          <t>C1086-Q9570</t>
        </is>
      </c>
      <c r="C25" t="inlineStr">
        <is>
          <t>Morropon</t>
        </is>
      </c>
      <c r="D25" t="inlineStr">
        <is>
          <t>Santo Domingo</t>
        </is>
      </c>
      <c r="E25" t="inlineStr">
        <is>
          <t>Z03</t>
        </is>
      </c>
      <c r="F25" t="n">
        <v>620759</v>
      </c>
      <c r="G25" t="n">
        <v>9439988</v>
      </c>
      <c r="H25" t="n">
        <v>103.95</v>
      </c>
    </row>
    <row r="26" ht="15" customHeight="1">
      <c r="A26" t="inlineStr">
        <is>
          <t>23</t>
        </is>
      </c>
      <c r="B26" t="inlineStr">
        <is>
          <t>C1086-Q9570</t>
        </is>
      </c>
      <c r="C26" t="inlineStr">
        <is>
          <t>Morropon</t>
        </is>
      </c>
      <c r="D26" t="inlineStr">
        <is>
          <t>Santo Domingo</t>
        </is>
      </c>
      <c r="E26" t="inlineStr">
        <is>
          <t>Z03</t>
        </is>
      </c>
      <c r="F26" t="n">
        <v>619939</v>
      </c>
      <c r="G26" t="n">
        <v>9438544</v>
      </c>
      <c r="H26" t="n">
        <v>81.78</v>
      </c>
    </row>
    <row r="27" ht="15" customHeight="1">
      <c r="A27" t="inlineStr">
        <is>
          <t>15</t>
        </is>
      </c>
      <c r="B27" t="inlineStr">
        <is>
          <t>C1086-Q9570</t>
        </is>
      </c>
      <c r="C27" t="inlineStr">
        <is>
          <t>Morropon</t>
        </is>
      </c>
      <c r="D27" t="inlineStr">
        <is>
          <t>Santo Domingo</t>
        </is>
      </c>
      <c r="E27" t="inlineStr">
        <is>
          <t>Z03</t>
        </is>
      </c>
      <c r="F27" t="n">
        <v>620200</v>
      </c>
      <c r="G27" t="n">
        <v>9437862</v>
      </c>
      <c r="H27" t="n">
        <v>86.15000000000001</v>
      </c>
    </row>
    <row r="28" ht="15" customHeight="1">
      <c r="A28" t="inlineStr">
        <is>
          <t>M19B7</t>
        </is>
      </c>
      <c r="B28" t="inlineStr">
        <is>
          <t>C1086-Q9570</t>
        </is>
      </c>
      <c r="C28" t="inlineStr">
        <is>
          <t>Morropon</t>
        </is>
      </c>
      <c r="D28" t="inlineStr">
        <is>
          <t>Santo Domingo</t>
        </is>
      </c>
      <c r="E28" t="inlineStr">
        <is>
          <t>Z03</t>
        </is>
      </c>
      <c r="F28" t="n">
        <v>620770</v>
      </c>
      <c r="G28" t="n">
        <v>9436562</v>
      </c>
      <c r="H28" t="n">
        <v>34.17</v>
      </c>
    </row>
    <row r="29" ht="15" customHeight="1">
      <c r="A29" t="inlineStr">
        <is>
          <t>17</t>
        </is>
      </c>
      <c r="B29" t="inlineStr">
        <is>
          <t>C1086-Q9570</t>
        </is>
      </c>
      <c r="C29" t="inlineStr">
        <is>
          <t>Morropon</t>
        </is>
      </c>
      <c r="D29" t="inlineStr">
        <is>
          <t>Santo Domingo</t>
        </is>
      </c>
      <c r="E29" t="inlineStr">
        <is>
          <t>Z03</t>
        </is>
      </c>
      <c r="F29" t="n">
        <v>618661</v>
      </c>
      <c r="G29" t="n">
        <v>9438267</v>
      </c>
      <c r="H29" t="n">
        <v>96.08</v>
      </c>
    </row>
    <row r="30" ht="15" customHeight="1">
      <c r="A30" t="inlineStr">
        <is>
          <t>M8B2</t>
        </is>
      </c>
      <c r="B30" t="inlineStr">
        <is>
          <t>C1096-Q9558</t>
        </is>
      </c>
      <c r="C30" t="inlineStr">
        <is>
          <t>Morropon</t>
        </is>
      </c>
      <c r="D30" t="inlineStr">
        <is>
          <t>Santo Domingo</t>
        </is>
      </c>
      <c r="E30" t="inlineStr">
        <is>
          <t>Z03</t>
        </is>
      </c>
      <c r="F30" t="n">
        <v>617596</v>
      </c>
      <c r="G30" t="n">
        <v>9436227</v>
      </c>
      <c r="H30" t="n">
        <v>35.35</v>
      </c>
    </row>
    <row r="31" ht="15" customHeight="1">
      <c r="A31" t="inlineStr">
        <is>
          <t>57</t>
        </is>
      </c>
      <c r="B31" t="inlineStr">
        <is>
          <t>C1086-Q9576</t>
        </is>
      </c>
      <c r="C31" t="inlineStr">
        <is>
          <t>Morropon</t>
        </is>
      </c>
      <c r="D31" t="inlineStr">
        <is>
          <t>Chalaco</t>
        </is>
      </c>
      <c r="E31" t="inlineStr">
        <is>
          <t>Z04</t>
        </is>
      </c>
      <c r="F31" t="n">
        <v>631195</v>
      </c>
      <c r="G31" t="n">
        <v>9441777</v>
      </c>
      <c r="H31" t="n">
        <v>25.67</v>
      </c>
    </row>
    <row r="32" ht="15" customHeight="1">
      <c r="A32" t="inlineStr">
        <is>
          <t>59</t>
        </is>
      </c>
      <c r="B32" t="inlineStr">
        <is>
          <t>C1086-Q9570</t>
        </is>
      </c>
      <c r="C32" t="inlineStr">
        <is>
          <t>Morropon</t>
        </is>
      </c>
      <c r="D32" t="inlineStr">
        <is>
          <t>Chalaco</t>
        </is>
      </c>
      <c r="E32" t="inlineStr">
        <is>
          <t>Z04</t>
        </is>
      </c>
      <c r="F32" t="n">
        <v>631195</v>
      </c>
      <c r="G32" t="n">
        <v>9441777</v>
      </c>
      <c r="H32" t="n">
        <v>13.55</v>
      </c>
    </row>
    <row r="33" ht="15" customHeight="1">
      <c r="A33" t="inlineStr">
        <is>
          <t>M36B2</t>
        </is>
      </c>
      <c r="B33" t="inlineStr">
        <is>
          <t>C1086-Q9576</t>
        </is>
      </c>
      <c r="C33" t="inlineStr">
        <is>
          <t>Morropon</t>
        </is>
      </c>
      <c r="D33" t="inlineStr">
        <is>
          <t>Santa Catalina De Mossa</t>
        </is>
      </c>
      <c r="E33" t="inlineStr">
        <is>
          <t>Z04</t>
        </is>
      </c>
      <c r="F33" t="n">
        <v>626438</v>
      </c>
      <c r="G33" t="n">
        <v>9435060</v>
      </c>
      <c r="H33" t="n">
        <v>28.19</v>
      </c>
    </row>
    <row r="34" ht="15" customHeight="1">
      <c r="A34" t="inlineStr">
        <is>
          <t>42</t>
        </is>
      </c>
      <c r="B34" t="inlineStr">
        <is>
          <t>C1086-Q9570</t>
        </is>
      </c>
      <c r="C34" t="inlineStr">
        <is>
          <t>Morropon</t>
        </is>
      </c>
      <c r="D34" t="inlineStr">
        <is>
          <t>Santa Catalina De Mossa</t>
        </is>
      </c>
      <c r="E34" t="inlineStr">
        <is>
          <t>Z04</t>
        </is>
      </c>
      <c r="F34" t="n">
        <v>625152</v>
      </c>
      <c r="G34" t="n">
        <v>9435011</v>
      </c>
      <c r="H34" t="n">
        <v>80.62</v>
      </c>
    </row>
    <row r="35" ht="15" customHeight="1">
      <c r="A35" t="inlineStr">
        <is>
          <t>14</t>
        </is>
      </c>
      <c r="B35" t="inlineStr">
        <is>
          <t>C1086-Q9570</t>
        </is>
      </c>
      <c r="C35" t="inlineStr">
        <is>
          <t>Morropon</t>
        </is>
      </c>
      <c r="D35" t="inlineStr">
        <is>
          <t>Santa Catalina De Mossa</t>
        </is>
      </c>
      <c r="E35" t="inlineStr">
        <is>
          <t>Z04</t>
        </is>
      </c>
      <c r="F35" t="n">
        <v>624397</v>
      </c>
      <c r="G35" t="n">
        <v>9437085</v>
      </c>
      <c r="H35" t="n">
        <v>92.90000000000001</v>
      </c>
    </row>
    <row r="36" ht="15" customHeight="1">
      <c r="A36" t="inlineStr">
        <is>
          <t>58</t>
        </is>
      </c>
      <c r="B36" t="inlineStr">
        <is>
          <t>C1086-Q9569</t>
        </is>
      </c>
      <c r="C36" t="inlineStr">
        <is>
          <t>Morropon</t>
        </is>
      </c>
      <c r="D36" t="inlineStr">
        <is>
          <t>Santa Catalina De Mossa</t>
        </is>
      </c>
      <c r="E36" t="inlineStr">
        <is>
          <t>Z04</t>
        </is>
      </c>
      <c r="F36" t="n">
        <v>619094</v>
      </c>
      <c r="G36" t="n">
        <v>9426406</v>
      </c>
      <c r="H36" t="n">
        <v>11.47</v>
      </c>
    </row>
    <row r="37" ht="15" customHeight="1">
      <c r="A37" t="inlineStr">
        <is>
          <t>M19B2</t>
        </is>
      </c>
      <c r="B37" t="inlineStr">
        <is>
          <t>C1086-Q9570</t>
        </is>
      </c>
      <c r="C37" t="inlineStr">
        <is>
          <t>Morropon</t>
        </is>
      </c>
      <c r="D37" t="inlineStr">
        <is>
          <t>Morropon</t>
        </is>
      </c>
      <c r="E37" t="inlineStr">
        <is>
          <t>Z05</t>
        </is>
      </c>
      <c r="F37" t="n">
        <v>617715</v>
      </c>
      <c r="G37" t="n">
        <v>9427284</v>
      </c>
      <c r="H37" t="n">
        <v>74.37</v>
      </c>
    </row>
    <row r="38" ht="15" customHeight="1">
      <c r="A38" t="inlineStr">
        <is>
          <t>M32B3</t>
        </is>
      </c>
      <c r="B38" t="inlineStr">
        <is>
          <t>C1086-Q9569</t>
        </is>
      </c>
      <c r="C38" t="inlineStr">
        <is>
          <t>Morropon</t>
        </is>
      </c>
      <c r="D38" t="inlineStr">
        <is>
          <t>Morropon</t>
        </is>
      </c>
      <c r="E38" t="inlineStr">
        <is>
          <t>Z05</t>
        </is>
      </c>
      <c r="F38" t="n">
        <v>618248</v>
      </c>
      <c r="G38" t="n">
        <v>9426493</v>
      </c>
      <c r="H38" t="n">
        <v>50.97</v>
      </c>
    </row>
    <row r="39" ht="15" customHeight="1">
      <c r="A39" t="inlineStr">
        <is>
          <t>M6B10</t>
        </is>
      </c>
      <c r="B39" t="inlineStr">
        <is>
          <t>C1077-Q9566</t>
        </is>
      </c>
      <c r="C39" t="inlineStr">
        <is>
          <t>Morropon</t>
        </is>
      </c>
      <c r="D39" t="inlineStr">
        <is>
          <t>Buenos Aires</t>
        </is>
      </c>
      <c r="E39" t="inlineStr">
        <is>
          <t>Z06</t>
        </is>
      </c>
      <c r="F39" t="n">
        <v>618299</v>
      </c>
      <c r="G39" t="n">
        <v>9423119</v>
      </c>
      <c r="H39" t="n">
        <v>249.89</v>
      </c>
    </row>
    <row r="40" ht="15" customHeight="1">
      <c r="A40" t="inlineStr">
        <is>
          <t>M6B2-3</t>
        </is>
      </c>
      <c r="B40" t="inlineStr">
        <is>
          <t>C1077-Q9566</t>
        </is>
      </c>
      <c r="C40" t="inlineStr">
        <is>
          <t>Morropon</t>
        </is>
      </c>
      <c r="D40" t="inlineStr">
        <is>
          <t>Buenos Aires</t>
        </is>
      </c>
      <c r="E40" t="inlineStr">
        <is>
          <t>Z06</t>
        </is>
      </c>
      <c r="F40" t="n">
        <v>611305</v>
      </c>
      <c r="G40" t="n">
        <v>9419274</v>
      </c>
      <c r="H40" t="n">
        <v>160.98</v>
      </c>
    </row>
    <row r="41" ht="15" customHeight="1">
      <c r="A41" t="inlineStr">
        <is>
          <t>M6B2-2</t>
        </is>
      </c>
      <c r="B41" t="inlineStr">
        <is>
          <t>C1077-Q9566</t>
        </is>
      </c>
      <c r="C41" t="inlineStr">
        <is>
          <t>Morropon</t>
        </is>
      </c>
      <c r="D41" t="inlineStr">
        <is>
          <t>Buenos Aires</t>
        </is>
      </c>
      <c r="E41" t="inlineStr">
        <is>
          <t>Z06</t>
        </is>
      </c>
      <c r="F41" t="n">
        <v>611196</v>
      </c>
      <c r="G41" t="n">
        <v>9416725</v>
      </c>
      <c r="H41" t="n">
        <v>333.01</v>
      </c>
    </row>
    <row r="42" ht="15" customHeight="1">
      <c r="A42" t="inlineStr">
        <is>
          <t>M6B2-1</t>
        </is>
      </c>
      <c r="B42" t="inlineStr">
        <is>
          <t>C1077-Q9566</t>
        </is>
      </c>
      <c r="C42" t="inlineStr">
        <is>
          <t>Morropon</t>
        </is>
      </c>
      <c r="D42" t="inlineStr">
        <is>
          <t>Buenos Aires</t>
        </is>
      </c>
      <c r="E42" t="inlineStr">
        <is>
          <t>Z06</t>
        </is>
      </c>
      <c r="F42" t="n">
        <v>612864</v>
      </c>
      <c r="G42" t="n">
        <v>9413345</v>
      </c>
      <c r="H42" t="n">
        <v>514.36</v>
      </c>
    </row>
    <row r="43" ht="15" customHeight="1">
      <c r="A43" t="inlineStr">
        <is>
          <t>5</t>
        </is>
      </c>
      <c r="B43" t="inlineStr">
        <is>
          <t>C1077-Q9566</t>
        </is>
      </c>
      <c r="C43" t="inlineStr">
        <is>
          <t>Morropon</t>
        </is>
      </c>
      <c r="D43" t="inlineStr">
        <is>
          <t>Buenos Aires</t>
        </is>
      </c>
      <c r="E43" t="inlineStr">
        <is>
          <t>Z06</t>
        </is>
      </c>
      <c r="F43" t="n">
        <v>617860</v>
      </c>
      <c r="G43" t="n">
        <v>9413182</v>
      </c>
      <c r="H43" t="n">
        <v>295.73</v>
      </c>
    </row>
    <row r="44" ht="15" customHeight="1">
      <c r="A44" t="inlineStr">
        <is>
          <t>M1B1</t>
        </is>
      </c>
      <c r="B44" t="inlineStr">
        <is>
          <t>C1077-Q9580</t>
        </is>
      </c>
      <c r="C44" t="inlineStr">
        <is>
          <t>Morropon</t>
        </is>
      </c>
      <c r="D44" t="inlineStr">
        <is>
          <t>Buenos Aires</t>
        </is>
      </c>
      <c r="E44" t="inlineStr">
        <is>
          <t>Z06</t>
        </is>
      </c>
      <c r="F44" t="n">
        <v>617695</v>
      </c>
      <c r="G44" t="n">
        <v>9409136</v>
      </c>
      <c r="H44" t="n">
        <v>188.8</v>
      </c>
    </row>
    <row r="45" ht="15" customHeight="1">
      <c r="A45" t="inlineStr">
        <is>
          <t>M18B1</t>
        </is>
      </c>
      <c r="B45" t="inlineStr">
        <is>
          <t>C1077-Q9579</t>
        </is>
      </c>
      <c r="C45" t="inlineStr">
        <is>
          <t>Morropon</t>
        </is>
      </c>
      <c r="D45" t="inlineStr">
        <is>
          <t>Buenos Aires</t>
        </is>
      </c>
      <c r="E45" t="inlineStr">
        <is>
          <t>Z06</t>
        </is>
      </c>
      <c r="F45" t="n">
        <v>621058</v>
      </c>
      <c r="G45" t="n">
        <v>9410427</v>
      </c>
      <c r="H45" t="n">
        <v>160.36</v>
      </c>
    </row>
    <row r="46" ht="15" customHeight="1">
      <c r="A46" t="inlineStr">
        <is>
          <t>M3B9</t>
        </is>
      </c>
      <c r="B46" t="inlineStr">
        <is>
          <t>C1081-Q9582</t>
        </is>
      </c>
      <c r="C46" t="inlineStr">
        <is>
          <t>Morropon</t>
        </is>
      </c>
      <c r="D46" t="inlineStr">
        <is>
          <t>Salitral</t>
        </is>
      </c>
      <c r="E46" t="inlineStr">
        <is>
          <t>Z07</t>
        </is>
      </c>
      <c r="F46" t="n">
        <v>629338</v>
      </c>
      <c r="G46" t="n">
        <v>9413305</v>
      </c>
      <c r="H46" t="n">
        <v>294.2</v>
      </c>
    </row>
    <row r="47" ht="15" customHeight="1">
      <c r="A47" t="inlineStr">
        <is>
          <t>M3B1</t>
        </is>
      </c>
      <c r="B47" t="inlineStr">
        <is>
          <t>C1081-Q9582</t>
        </is>
      </c>
      <c r="C47" t="inlineStr">
        <is>
          <t>Morropon</t>
        </is>
      </c>
      <c r="D47" t="inlineStr">
        <is>
          <t>Salitral</t>
        </is>
      </c>
      <c r="E47" t="inlineStr">
        <is>
          <t>Z07</t>
        </is>
      </c>
      <c r="F47" t="n">
        <v>630685</v>
      </c>
      <c r="G47" t="n">
        <v>9410800</v>
      </c>
      <c r="H47" t="n">
        <v>80.98</v>
      </c>
    </row>
    <row r="48" ht="15" customHeight="1">
      <c r="A48" t="inlineStr">
        <is>
          <t>M7B1</t>
        </is>
      </c>
      <c r="B48" t="inlineStr">
        <is>
          <t>C1076-Q9581</t>
        </is>
      </c>
      <c r="C48" t="inlineStr">
        <is>
          <t>Morropon</t>
        </is>
      </c>
      <c r="D48" t="inlineStr">
        <is>
          <t>Salitral</t>
        </is>
      </c>
      <c r="E48" t="inlineStr">
        <is>
          <t>Z07</t>
        </is>
      </c>
      <c r="F48" t="n">
        <v>629006</v>
      </c>
      <c r="G48" t="n">
        <v>9407536</v>
      </c>
      <c r="H48" t="n">
        <v>130.43</v>
      </c>
    </row>
    <row r="49" ht="15" customHeight="1">
      <c r="A49" t="inlineStr">
        <is>
          <t>M7B2</t>
        </is>
      </c>
      <c r="B49" t="inlineStr">
        <is>
          <t>C1076-Q9581</t>
        </is>
      </c>
      <c r="C49" t="inlineStr">
        <is>
          <t>Morropon</t>
        </is>
      </c>
      <c r="D49" t="inlineStr">
        <is>
          <t>Salitral</t>
        </is>
      </c>
      <c r="E49" t="inlineStr">
        <is>
          <t>Z07</t>
        </is>
      </c>
      <c r="F49" t="n">
        <v>631438</v>
      </c>
      <c r="G49" t="n">
        <v>9403547</v>
      </c>
      <c r="H49" t="n">
        <v>115.38</v>
      </c>
    </row>
    <row r="50" ht="15" customHeight="1">
      <c r="A50" t="inlineStr">
        <is>
          <t>M7B3</t>
        </is>
      </c>
      <c r="B50" t="inlineStr">
        <is>
          <t>C1076-Q9581</t>
        </is>
      </c>
      <c r="C50" t="inlineStr">
        <is>
          <t>Morropon</t>
        </is>
      </c>
      <c r="D50" t="inlineStr">
        <is>
          <t>Salitral</t>
        </is>
      </c>
      <c r="E50" t="inlineStr">
        <is>
          <t>Z07</t>
        </is>
      </c>
      <c r="F50" t="n">
        <v>633232</v>
      </c>
      <c r="G50" t="n">
        <v>9401227</v>
      </c>
      <c r="H50" t="n">
        <v>65.73999999999999</v>
      </c>
    </row>
    <row r="51" ht="15" customHeight="1">
      <c r="A51" t="inlineStr">
        <is>
          <t>M7B6</t>
        </is>
      </c>
      <c r="B51" t="inlineStr">
        <is>
          <t>C1076-Q9581</t>
        </is>
      </c>
      <c r="C51" t="inlineStr">
        <is>
          <t>Morropon</t>
        </is>
      </c>
      <c r="D51" t="inlineStr">
        <is>
          <t>Salitral</t>
        </is>
      </c>
      <c r="E51" t="inlineStr">
        <is>
          <t>Z07</t>
        </is>
      </c>
      <c r="F51" t="n">
        <v>635110</v>
      </c>
      <c r="G51" t="n">
        <v>9399092</v>
      </c>
      <c r="H51" t="n">
        <v>91.29000000000001</v>
      </c>
    </row>
    <row r="52" ht="15" customHeight="1">
      <c r="A52" t="inlineStr">
        <is>
          <t>M2B1</t>
        </is>
      </c>
      <c r="B52" t="inlineStr">
        <is>
          <t>C1076-Q9584</t>
        </is>
      </c>
      <c r="C52" t="inlineStr">
        <is>
          <t>Morropon</t>
        </is>
      </c>
      <c r="D52" t="inlineStr">
        <is>
          <t>Salitral</t>
        </is>
      </c>
      <c r="E52" t="inlineStr">
        <is>
          <t>Z07</t>
        </is>
      </c>
      <c r="F52" t="n">
        <v>635876</v>
      </c>
      <c r="G52" t="n">
        <v>9397941</v>
      </c>
      <c r="H52" t="n">
        <v>81.79000000000001</v>
      </c>
    </row>
    <row r="53" ht="15" customHeight="1">
      <c r="A53" t="inlineStr">
        <is>
          <t>7</t>
        </is>
      </c>
      <c r="B53" t="inlineStr">
        <is>
          <t>C1076-Q9584</t>
        </is>
      </c>
      <c r="C53" t="inlineStr">
        <is>
          <t>Morropon</t>
        </is>
      </c>
      <c r="D53" t="inlineStr">
        <is>
          <t>Salitral</t>
        </is>
      </c>
      <c r="E53" t="inlineStr">
        <is>
          <t>Z07</t>
        </is>
      </c>
      <c r="F53" t="n">
        <v>639728</v>
      </c>
      <c r="G53" t="n">
        <v>9396836</v>
      </c>
      <c r="H53" t="n">
        <v>173.43</v>
      </c>
    </row>
    <row r="54" ht="15" customHeight="1">
      <c r="A54" t="inlineStr">
        <is>
          <t>M2B5</t>
        </is>
      </c>
      <c r="B54" t="inlineStr">
        <is>
          <t>C1076-Q9584</t>
        </is>
      </c>
      <c r="C54" t="inlineStr">
        <is>
          <t>Morropon</t>
        </is>
      </c>
      <c r="D54" t="inlineStr">
        <is>
          <t>Salitral</t>
        </is>
      </c>
      <c r="E54" t="inlineStr">
        <is>
          <t>Z07</t>
        </is>
      </c>
      <c r="F54" t="n">
        <v>639987</v>
      </c>
      <c r="G54" t="n">
        <v>9394392</v>
      </c>
      <c r="H54" t="n">
        <v>30.91</v>
      </c>
    </row>
    <row r="55" ht="15" customHeight="1">
      <c r="A55" t="inlineStr">
        <is>
          <t>1</t>
        </is>
      </c>
      <c r="B55" t="inlineStr">
        <is>
          <t>C1076-Q9584</t>
        </is>
      </c>
      <c r="C55" t="inlineStr">
        <is>
          <t>Morropon</t>
        </is>
      </c>
      <c r="D55" t="inlineStr">
        <is>
          <t>Salitral</t>
        </is>
      </c>
      <c r="E55" t="inlineStr">
        <is>
          <t>Z07</t>
        </is>
      </c>
      <c r="F55" t="n">
        <v>645575</v>
      </c>
      <c r="G55" t="n">
        <v>9393500</v>
      </c>
      <c r="H55" t="n">
        <v>1370.96</v>
      </c>
    </row>
    <row r="56" ht="15" customHeight="1">
      <c r="A56" t="inlineStr">
        <is>
          <t>M18B3</t>
        </is>
      </c>
      <c r="B56" t="inlineStr">
        <is>
          <t>C1077-Q9579</t>
        </is>
      </c>
      <c r="C56" t="inlineStr">
        <is>
          <t>Morropon</t>
        </is>
      </c>
      <c r="D56" t="inlineStr">
        <is>
          <t>Salitral</t>
        </is>
      </c>
      <c r="E56" t="inlineStr">
        <is>
          <t>Z07</t>
        </is>
      </c>
      <c r="F56" t="n">
        <v>625311</v>
      </c>
      <c r="G56" t="n">
        <v>9412195</v>
      </c>
      <c r="H56" t="n">
        <v>373.81</v>
      </c>
    </row>
    <row r="57" ht="15" customHeight="1">
      <c r="A57" t="inlineStr">
        <is>
          <t>M18B5</t>
        </is>
      </c>
      <c r="B57" t="inlineStr">
        <is>
          <t>C1077-Q9579</t>
        </is>
      </c>
      <c r="C57" t="inlineStr">
        <is>
          <t>Morropon</t>
        </is>
      </c>
      <c r="D57" t="inlineStr">
        <is>
          <t>Salitral</t>
        </is>
      </c>
      <c r="E57" t="inlineStr">
        <is>
          <t>Z07</t>
        </is>
      </c>
      <c r="F57" t="n">
        <v>621551</v>
      </c>
      <c r="G57" t="n">
        <v>9412989</v>
      </c>
      <c r="H57" t="n">
        <v>197.35</v>
      </c>
    </row>
    <row r="58" ht="15" customHeight="1">
      <c r="A58" t="inlineStr">
        <is>
          <t>M3B7</t>
        </is>
      </c>
      <c r="B58" t="inlineStr">
        <is>
          <t>C1081-Q9582</t>
        </is>
      </c>
      <c r="C58" t="inlineStr">
        <is>
          <t>Morropon</t>
        </is>
      </c>
      <c r="D58" t="inlineStr">
        <is>
          <t>San Juan De Bigote</t>
        </is>
      </c>
      <c r="E58" t="inlineStr">
        <is>
          <t>Z08</t>
        </is>
      </c>
      <c r="F58" t="n">
        <v>638309</v>
      </c>
      <c r="G58" t="n">
        <v>9415217</v>
      </c>
      <c r="H58" t="n">
        <v>122.95</v>
      </c>
    </row>
    <row r="59" ht="15" customHeight="1">
      <c r="A59" t="inlineStr">
        <is>
          <t>M3B6</t>
        </is>
      </c>
      <c r="B59" t="inlineStr">
        <is>
          <t>C1081-Q9582</t>
        </is>
      </c>
      <c r="C59" t="inlineStr">
        <is>
          <t>Morropon</t>
        </is>
      </c>
      <c r="D59" t="inlineStr">
        <is>
          <t>San Juan De Bigote</t>
        </is>
      </c>
      <c r="E59" t="inlineStr">
        <is>
          <t>Z08</t>
        </is>
      </c>
      <c r="F59" t="n">
        <v>637918</v>
      </c>
      <c r="G59" t="n">
        <v>9412134</v>
      </c>
      <c r="H59" t="n">
        <v>60.35</v>
      </c>
    </row>
    <row r="60" ht="15" customHeight="1">
      <c r="A60" t="inlineStr">
        <is>
          <t>77</t>
        </is>
      </c>
      <c r="B60" t="inlineStr">
        <is>
          <t>C1081-Q9583</t>
        </is>
      </c>
      <c r="C60" t="inlineStr">
        <is>
          <t>Morropon</t>
        </is>
      </c>
      <c r="D60" t="inlineStr">
        <is>
          <t>San Juan De Bigote</t>
        </is>
      </c>
      <c r="E60" t="inlineStr">
        <is>
          <t>Z08</t>
        </is>
      </c>
      <c r="F60" t="n">
        <v>638648</v>
      </c>
      <c r="G60" t="n">
        <v>9411370</v>
      </c>
      <c r="H60" t="n">
        <v>17.82</v>
      </c>
    </row>
    <row r="61" ht="15" customHeight="1">
      <c r="A61" t="inlineStr">
        <is>
          <t>M3B5</t>
        </is>
      </c>
      <c r="B61" t="inlineStr">
        <is>
          <t>C1081-Q9582</t>
        </is>
      </c>
      <c r="C61" t="inlineStr">
        <is>
          <t>Morropon</t>
        </is>
      </c>
      <c r="D61" t="inlineStr">
        <is>
          <t>San Juan De Bigote</t>
        </is>
      </c>
      <c r="E61" t="inlineStr">
        <is>
          <t>Z08</t>
        </is>
      </c>
      <c r="F61" t="n">
        <v>635887</v>
      </c>
      <c r="G61" t="n">
        <v>9411738</v>
      </c>
      <c r="H61" t="n">
        <v>52.74</v>
      </c>
    </row>
    <row r="62" ht="15" customHeight="1">
      <c r="A62" t="inlineStr">
        <is>
          <t>M3B3</t>
        </is>
      </c>
      <c r="B62" t="inlineStr">
        <is>
          <t>C1081-Q9582</t>
        </is>
      </c>
      <c r="C62" t="inlineStr">
        <is>
          <t>Morropon</t>
        </is>
      </c>
      <c r="D62" t="inlineStr">
        <is>
          <t>San Juan De Bigote</t>
        </is>
      </c>
      <c r="E62" t="inlineStr">
        <is>
          <t>Z08</t>
        </is>
      </c>
      <c r="F62" t="n">
        <v>633015</v>
      </c>
      <c r="G62" t="n">
        <v>9411483</v>
      </c>
      <c r="H62" t="n">
        <v>84.81999999999999</v>
      </c>
    </row>
    <row r="63" ht="15" customHeight="1">
      <c r="A63" t="inlineStr">
        <is>
          <t>M3B8</t>
        </is>
      </c>
      <c r="B63" t="inlineStr">
        <is>
          <t>C1081-Q9582</t>
        </is>
      </c>
      <c r="C63" t="inlineStr">
        <is>
          <t>Morropon</t>
        </is>
      </c>
      <c r="D63" t="inlineStr">
        <is>
          <t>San Juan De Bigote</t>
        </is>
      </c>
      <c r="E63" t="inlineStr">
        <is>
          <t>Z08</t>
        </is>
      </c>
      <c r="F63" t="n">
        <v>632119</v>
      </c>
      <c r="G63" t="n">
        <v>9415141</v>
      </c>
      <c r="H63" t="n">
        <v>565.58</v>
      </c>
    </row>
    <row r="64" ht="15" customHeight="1">
      <c r="A64" t="inlineStr">
        <is>
          <t>M11B3</t>
        </is>
      </c>
      <c r="B64" t="inlineStr">
        <is>
          <t>C1081-Q9583</t>
        </is>
      </c>
      <c r="C64" t="inlineStr">
        <is>
          <t>Morropon</t>
        </is>
      </c>
      <c r="D64" t="inlineStr">
        <is>
          <t>San Juan De Bigote</t>
        </is>
      </c>
      <c r="E64" t="inlineStr">
        <is>
          <t>Z08</t>
        </is>
      </c>
      <c r="F64" t="n">
        <v>642079</v>
      </c>
      <c r="G64" t="n">
        <v>9413823</v>
      </c>
      <c r="H64" t="n">
        <v>106.03</v>
      </c>
    </row>
    <row r="65" ht="15" customHeight="1">
      <c r="A65" t="inlineStr">
        <is>
          <t>55</t>
        </is>
      </c>
      <c r="B65" t="inlineStr">
        <is>
          <t>C1086-Q9575</t>
        </is>
      </c>
      <c r="C65" t="inlineStr">
        <is>
          <t>Morropon</t>
        </is>
      </c>
      <c r="D65" t="inlineStr">
        <is>
          <t>Yamango</t>
        </is>
      </c>
      <c r="E65" t="inlineStr">
        <is>
          <t>Z09</t>
        </is>
      </c>
      <c r="F65" t="n">
        <v>642690</v>
      </c>
      <c r="G65" t="n">
        <v>9438409</v>
      </c>
      <c r="H65" t="n">
        <v>0.86</v>
      </c>
    </row>
    <row r="66" ht="15" customHeight="1">
      <c r="A66" t="inlineStr">
        <is>
          <t>49</t>
        </is>
      </c>
      <c r="B66" t="inlineStr">
        <is>
          <t>C1086-Q9575</t>
        </is>
      </c>
      <c r="C66" t="inlineStr">
        <is>
          <t>Morropon</t>
        </is>
      </c>
      <c r="D66" t="inlineStr">
        <is>
          <t>Yamango</t>
        </is>
      </c>
      <c r="E66" t="inlineStr">
        <is>
          <t>Z09</t>
        </is>
      </c>
      <c r="F66" t="n">
        <v>642334</v>
      </c>
      <c r="G66" t="n">
        <v>9438263</v>
      </c>
      <c r="H66" t="n">
        <v>15.84</v>
      </c>
    </row>
    <row r="67" ht="15" customHeight="1">
      <c r="A67" t="inlineStr">
        <is>
          <t>52</t>
        </is>
      </c>
      <c r="B67" t="inlineStr">
        <is>
          <t>C1086-Q9575</t>
        </is>
      </c>
      <c r="C67" t="inlineStr">
        <is>
          <t>Morropon</t>
        </is>
      </c>
      <c r="D67" t="inlineStr">
        <is>
          <t>Yamango</t>
        </is>
      </c>
      <c r="E67" t="inlineStr">
        <is>
          <t>Z09</t>
        </is>
      </c>
      <c r="F67" t="n">
        <v>641522</v>
      </c>
      <c r="G67" t="n">
        <v>9438064</v>
      </c>
      <c r="H67" t="n">
        <v>11.06</v>
      </c>
    </row>
    <row r="68" ht="15" customHeight="1">
      <c r="A68" t="inlineStr">
        <is>
          <t>48</t>
        </is>
      </c>
      <c r="B68" t="inlineStr">
        <is>
          <t>C1086-Q9575</t>
        </is>
      </c>
      <c r="C68" t="inlineStr">
        <is>
          <t>Morropon</t>
        </is>
      </c>
      <c r="D68" t="inlineStr">
        <is>
          <t>Yamango</t>
        </is>
      </c>
      <c r="E68" t="inlineStr">
        <is>
          <t>Z09</t>
        </is>
      </c>
      <c r="F68" t="n">
        <v>639496</v>
      </c>
      <c r="G68" t="n">
        <v>9433679</v>
      </c>
      <c r="H68" t="n">
        <v>5.75</v>
      </c>
    </row>
    <row r="69" ht="15" customHeight="1">
      <c r="A69" t="inlineStr">
        <is>
          <t>46</t>
        </is>
      </c>
      <c r="B69" t="inlineStr">
        <is>
          <t>C1086-Q9575</t>
        </is>
      </c>
      <c r="C69" t="inlineStr">
        <is>
          <t>Morropon</t>
        </is>
      </c>
      <c r="D69" t="inlineStr">
        <is>
          <t>Yamango</t>
        </is>
      </c>
      <c r="E69" t="inlineStr">
        <is>
          <t>Z09</t>
        </is>
      </c>
      <c r="F69" t="n">
        <v>638751</v>
      </c>
      <c r="G69" t="n">
        <v>9433236</v>
      </c>
      <c r="H69" t="n">
        <v>18.87</v>
      </c>
    </row>
    <row r="70" ht="15" customHeight="1">
      <c r="A70" t="inlineStr">
        <is>
          <t>M28B2</t>
        </is>
      </c>
      <c r="B70" t="inlineStr">
        <is>
          <t>C1086-Q9575</t>
        </is>
      </c>
      <c r="C70" t="inlineStr">
        <is>
          <t>Morropon</t>
        </is>
      </c>
      <c r="D70" t="inlineStr">
        <is>
          <t>Yamango</t>
        </is>
      </c>
      <c r="E70" t="inlineStr">
        <is>
          <t>Z09</t>
        </is>
      </c>
      <c r="F70" t="n">
        <v>636249</v>
      </c>
      <c r="G70" t="n">
        <v>9425665</v>
      </c>
      <c r="H70" t="n">
        <v>90.2</v>
      </c>
    </row>
    <row r="71" ht="15" customHeight="1">
      <c r="A71" t="inlineStr">
        <is>
          <t>M28B3</t>
        </is>
      </c>
      <c r="B71" t="inlineStr">
        <is>
          <t>C1086-Q9575</t>
        </is>
      </c>
      <c r="C71" t="inlineStr">
        <is>
          <t>Morropon</t>
        </is>
      </c>
      <c r="D71" t="inlineStr">
        <is>
          <t>Yamango</t>
        </is>
      </c>
      <c r="E71" t="inlineStr">
        <is>
          <t>Z09</t>
        </is>
      </c>
      <c r="F71" t="n">
        <v>634061</v>
      </c>
      <c r="G71" t="n">
        <v>9426778</v>
      </c>
      <c r="H71" t="n">
        <v>58.29</v>
      </c>
    </row>
    <row r="72" ht="15" customHeight="1">
      <c r="A72" t="inlineStr">
        <is>
          <t>M28B4</t>
        </is>
      </c>
      <c r="B72" t="inlineStr">
        <is>
          <t>C1086-Q9575</t>
        </is>
      </c>
      <c r="C72" t="inlineStr">
        <is>
          <t>Morropon</t>
        </is>
      </c>
      <c r="D72" t="inlineStr">
        <is>
          <t>Yamango</t>
        </is>
      </c>
      <c r="E72" t="inlineStr">
        <is>
          <t>Z09</t>
        </is>
      </c>
      <c r="F72" t="n">
        <v>626078</v>
      </c>
      <c r="G72" t="n">
        <v>9427110</v>
      </c>
      <c r="H72" t="n">
        <v>283.43</v>
      </c>
    </row>
    <row r="73" ht="15" customHeight="1">
      <c r="A73" t="inlineStr">
        <is>
          <t>33</t>
        </is>
      </c>
      <c r="B73" t="inlineStr">
        <is>
          <t>C1081-Q9590</t>
        </is>
      </c>
      <c r="C73" t="inlineStr">
        <is>
          <t>Huancabamba</t>
        </is>
      </c>
      <c r="D73" t="inlineStr">
        <is>
          <t>Lalaquiz</t>
        </is>
      </c>
      <c r="E73" t="inlineStr">
        <is>
          <t>Z10</t>
        </is>
      </c>
      <c r="F73" t="n">
        <v>646466</v>
      </c>
      <c r="G73" t="n">
        <v>9431126</v>
      </c>
      <c r="H73" t="n">
        <v>29.68</v>
      </c>
    </row>
    <row r="74" ht="15" customHeight="1">
      <c r="A74" t="inlineStr">
        <is>
          <t>38</t>
        </is>
      </c>
      <c r="B74" t="inlineStr">
        <is>
          <t>C1081-Q9590</t>
        </is>
      </c>
      <c r="C74" t="inlineStr">
        <is>
          <t>Huancabamba</t>
        </is>
      </c>
      <c r="D74" t="inlineStr">
        <is>
          <t>Lalaquiz</t>
        </is>
      </c>
      <c r="E74" t="inlineStr">
        <is>
          <t>Z10</t>
        </is>
      </c>
      <c r="F74" t="n">
        <v>647123</v>
      </c>
      <c r="G74" t="n">
        <v>9427602</v>
      </c>
      <c r="H74" t="n">
        <v>44.2</v>
      </c>
    </row>
    <row r="75" ht="15" customHeight="1">
      <c r="A75" t="inlineStr">
        <is>
          <t>50</t>
        </is>
      </c>
      <c r="B75" t="inlineStr">
        <is>
          <t>C1081-Q9590</t>
        </is>
      </c>
      <c r="C75" t="inlineStr">
        <is>
          <t>Huancabamba</t>
        </is>
      </c>
      <c r="D75" t="inlineStr">
        <is>
          <t>Lalaquiz</t>
        </is>
      </c>
      <c r="E75" t="inlineStr">
        <is>
          <t>Z10</t>
        </is>
      </c>
      <c r="F75" t="n">
        <v>647350</v>
      </c>
      <c r="G75" t="n">
        <v>9427252</v>
      </c>
      <c r="H75" t="n">
        <v>19.27</v>
      </c>
    </row>
    <row r="76" ht="15" customHeight="1">
      <c r="A76" t="inlineStr">
        <is>
          <t>34</t>
        </is>
      </c>
      <c r="B76" t="inlineStr">
        <is>
          <t>C1081-Q9590</t>
        </is>
      </c>
      <c r="C76" t="inlineStr">
        <is>
          <t>Huancabamba</t>
        </is>
      </c>
      <c r="D76" t="inlineStr">
        <is>
          <t>Lalaquiz</t>
        </is>
      </c>
      <c r="E76" t="inlineStr">
        <is>
          <t>Z10</t>
        </is>
      </c>
      <c r="F76" t="n">
        <v>646483</v>
      </c>
      <c r="G76" t="n">
        <v>9426305</v>
      </c>
      <c r="H76" t="n">
        <v>28.45</v>
      </c>
    </row>
    <row r="77" ht="15" customHeight="1">
      <c r="A77" t="inlineStr">
        <is>
          <t>61</t>
        </is>
      </c>
      <c r="B77" t="inlineStr">
        <is>
          <t>C1081-Q9590</t>
        </is>
      </c>
      <c r="C77" t="inlineStr">
        <is>
          <t>Huancabamba</t>
        </is>
      </c>
      <c r="D77" t="inlineStr">
        <is>
          <t>Lalaquiz</t>
        </is>
      </c>
      <c r="E77" t="inlineStr">
        <is>
          <t>Z10</t>
        </is>
      </c>
      <c r="F77" t="n">
        <v>646236</v>
      </c>
      <c r="G77" t="n">
        <v>9425052</v>
      </c>
      <c r="H77" t="n">
        <v>26.83</v>
      </c>
    </row>
    <row r="78" ht="15" customHeight="1">
      <c r="A78" t="inlineStr">
        <is>
          <t>37</t>
        </is>
      </c>
      <c r="B78" t="inlineStr">
        <is>
          <t>C1081-Q9591</t>
        </is>
      </c>
      <c r="C78" t="inlineStr">
        <is>
          <t>Huancabamba</t>
        </is>
      </c>
      <c r="D78" t="inlineStr">
        <is>
          <t>Lalaquiz</t>
        </is>
      </c>
      <c r="E78" t="inlineStr">
        <is>
          <t>Z10</t>
        </is>
      </c>
      <c r="F78" t="n">
        <v>649081</v>
      </c>
      <c r="G78" t="n">
        <v>9424506</v>
      </c>
      <c r="H78" t="n">
        <v>35.49</v>
      </c>
    </row>
    <row r="79" ht="15" customHeight="1">
      <c r="A79" t="inlineStr">
        <is>
          <t>26</t>
        </is>
      </c>
      <c r="B79" t="inlineStr">
        <is>
          <t>C1081-Q9591</t>
        </is>
      </c>
      <c r="C79" t="inlineStr">
        <is>
          <t>Huancabamba</t>
        </is>
      </c>
      <c r="D79" t="inlineStr">
        <is>
          <t>Lalaquiz</t>
        </is>
      </c>
      <c r="E79" t="inlineStr">
        <is>
          <t>Z10</t>
        </is>
      </c>
      <c r="F79" t="n">
        <v>649472</v>
      </c>
      <c r="G79" t="n">
        <v>9425705</v>
      </c>
      <c r="H79" t="n">
        <v>46.96</v>
      </c>
    </row>
    <row r="80" ht="15" customHeight="1">
      <c r="A80" t="inlineStr">
        <is>
          <t>64</t>
        </is>
      </c>
      <c r="B80" t="inlineStr">
        <is>
          <t>C1081-Q9591</t>
        </is>
      </c>
      <c r="C80" t="inlineStr">
        <is>
          <t>Huancabamba</t>
        </is>
      </c>
      <c r="D80" t="inlineStr">
        <is>
          <t>Huancabamba</t>
        </is>
      </c>
      <c r="E80" t="inlineStr">
        <is>
          <t>Z11</t>
        </is>
      </c>
      <c r="F80" t="n">
        <v>657819</v>
      </c>
      <c r="G80" t="n">
        <v>9428541</v>
      </c>
      <c r="H80" t="n">
        <v>35.77</v>
      </c>
    </row>
    <row r="81" ht="15" customHeight="1">
      <c r="A81" t="inlineStr">
        <is>
          <t>54</t>
        </is>
      </c>
      <c r="B81" t="inlineStr">
        <is>
          <t>C1081-Q9591 (inferida)</t>
        </is>
      </c>
      <c r="C81" t="inlineStr">
        <is>
          <t>Huancabamba</t>
        </is>
      </c>
      <c r="D81" t="inlineStr">
        <is>
          <t>Huancabamba</t>
        </is>
      </c>
      <c r="E81" t="inlineStr">
        <is>
          <t>Z11</t>
        </is>
      </c>
      <c r="F81" t="n">
        <v>656897</v>
      </c>
      <c r="G81" t="n">
        <v>9426033</v>
      </c>
      <c r="H81" t="n">
        <v>40.26</v>
      </c>
    </row>
    <row r="82" ht="15" customHeight="1">
      <c r="A82" t="inlineStr">
        <is>
          <t>M30B5</t>
        </is>
      </c>
      <c r="B82" t="inlineStr">
        <is>
          <t>C1081-Q9591</t>
        </is>
      </c>
      <c r="C82" t="inlineStr">
        <is>
          <t>Huancabamba</t>
        </is>
      </c>
      <c r="D82" t="inlineStr">
        <is>
          <t>Huancabamba</t>
        </is>
      </c>
      <c r="E82" t="inlineStr">
        <is>
          <t>Z11</t>
        </is>
      </c>
      <c r="F82" t="n">
        <v>655263</v>
      </c>
      <c r="G82" t="n">
        <v>9427340</v>
      </c>
      <c r="H82" t="n">
        <v>90.90000000000001</v>
      </c>
    </row>
    <row r="83" ht="15" customHeight="1">
      <c r="A83" t="inlineStr">
        <is>
          <t>60</t>
        </is>
      </c>
      <c r="B83" t="inlineStr">
        <is>
          <t>C1081-Q9591</t>
        </is>
      </c>
      <c r="C83" t="inlineStr">
        <is>
          <t>Huancabamba</t>
        </is>
      </c>
      <c r="D83" t="inlineStr">
        <is>
          <t>Canchaque</t>
        </is>
      </c>
      <c r="E83" t="inlineStr">
        <is>
          <t>Z11</t>
        </is>
      </c>
      <c r="F83" t="n">
        <v>653850</v>
      </c>
      <c r="G83" t="n">
        <v>9426236</v>
      </c>
      <c r="H83" t="n">
        <v>40.13</v>
      </c>
    </row>
    <row r="84" ht="15" customHeight="1">
      <c r="A84" t="inlineStr">
        <is>
          <t>40</t>
        </is>
      </c>
      <c r="B84" t="inlineStr">
        <is>
          <t>C1081-Q9591</t>
        </is>
      </c>
      <c r="C84" t="inlineStr">
        <is>
          <t>Huancabamba</t>
        </is>
      </c>
      <c r="D84" t="inlineStr">
        <is>
          <t>Canchaque</t>
        </is>
      </c>
      <c r="E84" t="inlineStr">
        <is>
          <t>Z11</t>
        </is>
      </c>
      <c r="F84" t="n">
        <v>654137</v>
      </c>
      <c r="G84" t="n">
        <v>9424425</v>
      </c>
      <c r="H84" t="n">
        <v>28.52</v>
      </c>
    </row>
    <row r="85" ht="15" customHeight="1">
      <c r="A85" t="inlineStr">
        <is>
          <t>30</t>
        </is>
      </c>
      <c r="B85" t="inlineStr">
        <is>
          <t>C1081-Q9591</t>
        </is>
      </c>
      <c r="C85" t="inlineStr">
        <is>
          <t>Huancabamba</t>
        </is>
      </c>
      <c r="D85" t="inlineStr">
        <is>
          <t>Canchaque</t>
        </is>
      </c>
      <c r="E85" t="inlineStr">
        <is>
          <t>Z11</t>
        </is>
      </c>
      <c r="F85" t="n">
        <v>652758</v>
      </c>
      <c r="G85" t="n">
        <v>9424380</v>
      </c>
      <c r="H85" t="n">
        <v>34.87</v>
      </c>
    </row>
    <row r="86" ht="15" customHeight="1">
      <c r="A86" t="inlineStr">
        <is>
          <t>28</t>
        </is>
      </c>
      <c r="B86" t="inlineStr">
        <is>
          <t>C1081-Q9591</t>
        </is>
      </c>
      <c r="C86" t="inlineStr">
        <is>
          <t>Huancabamba</t>
        </is>
      </c>
      <c r="D86" t="inlineStr">
        <is>
          <t>Canchaque</t>
        </is>
      </c>
      <c r="E86" t="inlineStr">
        <is>
          <t>Z11</t>
        </is>
      </c>
      <c r="F86" t="n">
        <v>654188</v>
      </c>
      <c r="G86" t="n">
        <v>9422849</v>
      </c>
      <c r="H86" t="n">
        <v>52.97</v>
      </c>
    </row>
    <row r="87" ht="15" customHeight="1">
      <c r="A87" t="inlineStr">
        <is>
          <t>62</t>
        </is>
      </c>
      <c r="B87" t="inlineStr">
        <is>
          <t>C1081-Q9591</t>
        </is>
      </c>
      <c r="C87" t="inlineStr">
        <is>
          <t>Huancabamba</t>
        </is>
      </c>
      <c r="D87" t="inlineStr">
        <is>
          <t>Canchaque</t>
        </is>
      </c>
      <c r="E87" t="inlineStr">
        <is>
          <t>Z11</t>
        </is>
      </c>
      <c r="F87" t="n">
        <v>655046</v>
      </c>
      <c r="G87" t="n">
        <v>9420450</v>
      </c>
      <c r="H87" t="n">
        <v>73.81999999999999</v>
      </c>
    </row>
    <row r="88" ht="15" customHeight="1">
      <c r="A88" t="inlineStr">
        <is>
          <t>65</t>
        </is>
      </c>
      <c r="B88" t="inlineStr">
        <is>
          <t>C1081-Q9591 (inferida)</t>
        </is>
      </c>
      <c r="C88" t="inlineStr">
        <is>
          <t>Huancabamba</t>
        </is>
      </c>
      <c r="D88" t="inlineStr">
        <is>
          <t>Canchaque</t>
        </is>
      </c>
      <c r="E88" t="inlineStr">
        <is>
          <t>Z11</t>
        </is>
      </c>
      <c r="F88" t="n">
        <v>657541</v>
      </c>
      <c r="G88" t="n">
        <v>9421083</v>
      </c>
      <c r="H88" t="n">
        <v>53.93</v>
      </c>
    </row>
    <row r="89" ht="15" customHeight="1">
      <c r="A89" t="inlineStr">
        <is>
          <t>21</t>
        </is>
      </c>
      <c r="B89" t="inlineStr">
        <is>
          <t>C1081-Q9591</t>
        </is>
      </c>
      <c r="C89" t="inlineStr">
        <is>
          <t>Huancabamba</t>
        </is>
      </c>
      <c r="D89" t="inlineStr">
        <is>
          <t>Canchaque</t>
        </is>
      </c>
      <c r="E89" t="inlineStr">
        <is>
          <t>Z11</t>
        </is>
      </c>
      <c r="F89" t="n">
        <v>654604</v>
      </c>
      <c r="G89" t="n">
        <v>9417736</v>
      </c>
      <c r="H89" t="n">
        <v>84.23</v>
      </c>
    </row>
    <row r="90" ht="15" customHeight="1">
      <c r="A90" t="inlineStr">
        <is>
          <t>66</t>
        </is>
      </c>
      <c r="B90" t="inlineStr">
        <is>
          <t>C1081-Q9591</t>
        </is>
      </c>
      <c r="C90" t="inlineStr">
        <is>
          <t>Huancabamba</t>
        </is>
      </c>
      <c r="D90" t="inlineStr">
        <is>
          <t>Canchaque</t>
        </is>
      </c>
      <c r="E90" t="inlineStr">
        <is>
          <t>Z11</t>
        </is>
      </c>
      <c r="F90" t="n">
        <v>652566</v>
      </c>
      <c r="G90" t="n">
        <v>9417311</v>
      </c>
      <c r="H90" t="n">
        <v>102.34</v>
      </c>
    </row>
    <row r="91" ht="15" customHeight="1">
      <c r="A91" t="inlineStr">
        <is>
          <t>24</t>
        </is>
      </c>
      <c r="B91" t="inlineStr">
        <is>
          <t>C1081-Q9583</t>
        </is>
      </c>
      <c r="C91" t="inlineStr">
        <is>
          <t>Huancabamba</t>
        </is>
      </c>
      <c r="D91" t="inlineStr">
        <is>
          <t>Canchaque</t>
        </is>
      </c>
      <c r="E91" t="inlineStr">
        <is>
          <t>Z11</t>
        </is>
      </c>
      <c r="F91" t="n">
        <v>652191</v>
      </c>
      <c r="G91" t="n">
        <v>9414358</v>
      </c>
      <c r="H91" t="n">
        <v>90.16</v>
      </c>
    </row>
    <row r="92" ht="15" customHeight="1">
      <c r="A92" t="inlineStr">
        <is>
          <t>63</t>
        </is>
      </c>
      <c r="B92" t="inlineStr">
        <is>
          <t>C1081-Q9583</t>
        </is>
      </c>
      <c r="C92" t="inlineStr">
        <is>
          <t>Huancabamba</t>
        </is>
      </c>
      <c r="D92" t="inlineStr">
        <is>
          <t>Canchaque</t>
        </is>
      </c>
      <c r="E92" t="inlineStr">
        <is>
          <t>Z11</t>
        </is>
      </c>
      <c r="F92" t="n">
        <v>655059</v>
      </c>
      <c r="G92" t="n">
        <v>9413845</v>
      </c>
      <c r="H92" t="n">
        <v>50.46</v>
      </c>
    </row>
    <row r="93" ht="15" customHeight="1">
      <c r="A93" t="inlineStr">
        <is>
          <t>79</t>
        </is>
      </c>
      <c r="B93" t="inlineStr">
        <is>
          <t>C1076-Q9587</t>
        </is>
      </c>
      <c r="C93" t="inlineStr">
        <is>
          <t>Huancabamba</t>
        </is>
      </c>
      <c r="D93" t="inlineStr">
        <is>
          <t>Canchaque</t>
        </is>
      </c>
      <c r="E93" t="inlineStr">
        <is>
          <t>Z11</t>
        </is>
      </c>
      <c r="F93" t="n">
        <v>650305</v>
      </c>
      <c r="G93" t="n">
        <v>9402785</v>
      </c>
      <c r="H93" t="n">
        <v>94.81</v>
      </c>
    </row>
    <row r="94" ht="15" customHeight="1">
      <c r="A94" t="inlineStr">
        <is>
          <t>81</t>
        </is>
      </c>
      <c r="B94" t="inlineStr">
        <is>
          <t>C1076-Q9585</t>
        </is>
      </c>
      <c r="C94" t="inlineStr">
        <is>
          <t>Huancabamba</t>
        </is>
      </c>
      <c r="D94" t="inlineStr">
        <is>
          <t>Canchaque</t>
        </is>
      </c>
      <c r="E94" t="inlineStr">
        <is>
          <t>Z11</t>
        </is>
      </c>
      <c r="F94" t="n">
        <v>641538</v>
      </c>
      <c r="G94" t="n">
        <v>9401360</v>
      </c>
      <c r="H94" t="n">
        <v>8.93</v>
      </c>
    </row>
    <row r="95" ht="15" customHeight="1">
      <c r="A95" t="inlineStr">
        <is>
          <t>M22B1</t>
        </is>
      </c>
      <c r="B95" t="inlineStr">
        <is>
          <t>C1076-Q9586</t>
        </is>
      </c>
      <c r="C95" t="inlineStr">
        <is>
          <t>Huancabamba</t>
        </is>
      </c>
      <c r="D95" t="inlineStr">
        <is>
          <t>San Miguel De El Faique</t>
        </is>
      </c>
      <c r="E95" t="inlineStr">
        <is>
          <t>Z12</t>
        </is>
      </c>
      <c r="F95" t="n">
        <v>664082</v>
      </c>
      <c r="G95" t="n">
        <v>9404172</v>
      </c>
      <c r="H95" t="n">
        <v>55.17</v>
      </c>
    </row>
    <row r="96" ht="15" customHeight="1">
      <c r="A96" t="inlineStr">
        <is>
          <t>44</t>
        </is>
      </c>
      <c r="B96" t="inlineStr">
        <is>
          <t>C1076-Q9586</t>
        </is>
      </c>
      <c r="C96" t="inlineStr">
        <is>
          <t>Huancabamba</t>
        </is>
      </c>
      <c r="D96" t="inlineStr">
        <is>
          <t>San Miguel De El Faique</t>
        </is>
      </c>
      <c r="E96" t="inlineStr">
        <is>
          <t>Z12</t>
        </is>
      </c>
      <c r="F96" t="n">
        <v>663637</v>
      </c>
      <c r="G96" t="n">
        <v>9400618</v>
      </c>
      <c r="H96" t="n">
        <v>28.23</v>
      </c>
    </row>
    <row r="97" ht="15" customHeight="1">
      <c r="A97" t="inlineStr">
        <is>
          <t>47</t>
        </is>
      </c>
      <c r="B97" t="inlineStr">
        <is>
          <t>C1076-Q9586</t>
        </is>
      </c>
      <c r="C97" t="inlineStr">
        <is>
          <t>Huancabamba</t>
        </is>
      </c>
      <c r="D97" t="inlineStr">
        <is>
          <t>San Miguel De El Faique</t>
        </is>
      </c>
      <c r="E97" t="inlineStr">
        <is>
          <t>Z12</t>
        </is>
      </c>
      <c r="F97" t="n">
        <v>659649</v>
      </c>
      <c r="G97" t="n">
        <v>9401436</v>
      </c>
      <c r="H97" t="n">
        <v>13.55</v>
      </c>
    </row>
    <row r="98" ht="15" customHeight="1">
      <c r="A98" t="inlineStr">
        <is>
          <t>75</t>
        </is>
      </c>
      <c r="B98" t="inlineStr">
        <is>
          <t>C1076-Q9587</t>
        </is>
      </c>
      <c r="C98" t="inlineStr">
        <is>
          <t>Huancabamba</t>
        </is>
      </c>
      <c r="D98" t="inlineStr">
        <is>
          <t>San Miguel De El Faique</t>
        </is>
      </c>
      <c r="E98" t="inlineStr">
        <is>
          <t>Z12</t>
        </is>
      </c>
      <c r="F98" t="n">
        <v>657722</v>
      </c>
      <c r="G98" t="n">
        <v>9401669</v>
      </c>
      <c r="H98" t="n">
        <v>15.18</v>
      </c>
    </row>
    <row r="99" ht="15" customHeight="1">
      <c r="A99" t="inlineStr">
        <is>
          <t>9</t>
        </is>
      </c>
      <c r="B99" t="inlineStr">
        <is>
          <t>C1076-Q9586</t>
        </is>
      </c>
      <c r="C99" t="inlineStr">
        <is>
          <t>Huancabamba</t>
        </is>
      </c>
      <c r="D99" t="inlineStr">
        <is>
          <t>San Miguel De El Faique</t>
        </is>
      </c>
      <c r="E99" t="inlineStr">
        <is>
          <t>Z12</t>
        </is>
      </c>
      <c r="F99" t="n">
        <v>656578</v>
      </c>
      <c r="G99" t="n">
        <v>9397762</v>
      </c>
      <c r="H99" t="n">
        <v>109.86</v>
      </c>
    </row>
    <row r="100" ht="15" customHeight="1">
      <c r="A100" t="inlineStr">
        <is>
          <t>43</t>
        </is>
      </c>
      <c r="B100" t="inlineStr">
        <is>
          <t>C1076-Q9586</t>
        </is>
      </c>
      <c r="C100" t="inlineStr">
        <is>
          <t>Huancabamba</t>
        </is>
      </c>
      <c r="D100" t="inlineStr">
        <is>
          <t>San Miguel De El Faique</t>
        </is>
      </c>
      <c r="E100" t="inlineStr">
        <is>
          <t>Z12</t>
        </is>
      </c>
      <c r="F100" t="n">
        <v>656489</v>
      </c>
      <c r="G100" t="n">
        <v>9395403</v>
      </c>
      <c r="H100" t="n">
        <v>23.17</v>
      </c>
    </row>
    <row r="101" ht="15" customHeight="1">
      <c r="A101" t="inlineStr">
        <is>
          <t>35</t>
        </is>
      </c>
      <c r="B101" t="inlineStr">
        <is>
          <t>C1076-Q9586</t>
        </is>
      </c>
      <c r="C101" t="inlineStr">
        <is>
          <t>Huancabamba</t>
        </is>
      </c>
      <c r="D101" t="inlineStr">
        <is>
          <t>San Miguel De El Faique</t>
        </is>
      </c>
      <c r="E101" t="inlineStr">
        <is>
          <t>Z12</t>
        </is>
      </c>
      <c r="F101" t="n">
        <v>654607</v>
      </c>
      <c r="G101" t="n">
        <v>9395038</v>
      </c>
      <c r="H101" t="n">
        <v>30.8</v>
      </c>
    </row>
    <row r="102" ht="15" customHeight="1">
      <c r="A102" t="inlineStr">
        <is>
          <t>67</t>
        </is>
      </c>
      <c r="B102" t="inlineStr">
        <is>
          <t>C1076-Q9586</t>
        </is>
      </c>
      <c r="C102" t="inlineStr">
        <is>
          <t>Huancabamba</t>
        </is>
      </c>
      <c r="D102" t="inlineStr">
        <is>
          <t>San Miguel De El Faique</t>
        </is>
      </c>
      <c r="E102" t="inlineStr">
        <is>
          <t>Z12</t>
        </is>
      </c>
      <c r="F102" t="n">
        <v>654207</v>
      </c>
      <c r="G102" t="n">
        <v>9394210</v>
      </c>
      <c r="H102" t="n">
        <v>13.18</v>
      </c>
    </row>
    <row r="103" ht="15" customHeight="1">
      <c r="A103" t="inlineStr">
        <is>
          <t>M20B1</t>
        </is>
      </c>
      <c r="B103" t="inlineStr">
        <is>
          <t>C1076-Q9585</t>
        </is>
      </c>
      <c r="C103" t="inlineStr">
        <is>
          <t>Huancabamba</t>
        </is>
      </c>
      <c r="D103" t="inlineStr">
        <is>
          <t>San Miguel De El Faique</t>
        </is>
      </c>
      <c r="E103" t="inlineStr">
        <is>
          <t>Z12</t>
        </is>
      </c>
      <c r="F103" t="n">
        <v>641196</v>
      </c>
      <c r="G103" t="n">
        <v>9398710</v>
      </c>
      <c r="H103" t="n">
        <v>279.68</v>
      </c>
    </row>
    <row r="104" ht="15" customHeight="1">
      <c r="A104" t="inlineStr">
        <is>
          <t>M2B8</t>
        </is>
      </c>
      <c r="B104" t="inlineStr">
        <is>
          <t>C1076-Q9584</t>
        </is>
      </c>
      <c r="C104" t="inlineStr">
        <is>
          <t>Huancabamba</t>
        </is>
      </c>
      <c r="D104" t="inlineStr">
        <is>
          <t>San Miguel De El Faique</t>
        </is>
      </c>
      <c r="E104" t="inlineStr">
        <is>
          <t>Z12</t>
        </is>
      </c>
      <c r="F104" t="n">
        <v>639059</v>
      </c>
      <c r="G104" t="n">
        <v>9398295</v>
      </c>
      <c r="H104" t="n">
        <v>116.1</v>
      </c>
    </row>
    <row r="105" ht="15" customHeight="1">
      <c r="A105" t="inlineStr">
        <is>
          <t>29</t>
        </is>
      </c>
      <c r="B105" t="inlineStr">
        <is>
          <t>C1076-Q9592</t>
        </is>
      </c>
      <c r="C105" t="inlineStr">
        <is>
          <t>Huancabamba</t>
        </is>
      </c>
      <c r="D105" t="inlineStr">
        <is>
          <t>Huarmaca</t>
        </is>
      </c>
      <c r="E105" t="inlineStr">
        <is>
          <t>Z13</t>
        </is>
      </c>
      <c r="F105" t="n">
        <v>662123</v>
      </c>
      <c r="G105" t="n">
        <v>9397575</v>
      </c>
      <c r="H105" t="n">
        <v>40.1</v>
      </c>
    </row>
    <row r="106" ht="15" customHeight="1">
      <c r="A106" t="inlineStr">
        <is>
          <t>68</t>
        </is>
      </c>
      <c r="B106" t="inlineStr">
        <is>
          <t>C1076-Q9592</t>
        </is>
      </c>
      <c r="C106" t="inlineStr">
        <is>
          <t>Huancabamba</t>
        </is>
      </c>
      <c r="D106" t="inlineStr">
        <is>
          <t>Huarmaca</t>
        </is>
      </c>
      <c r="E106" t="inlineStr">
        <is>
          <t>Z13</t>
        </is>
      </c>
      <c r="F106" t="n">
        <v>664225</v>
      </c>
      <c r="G106" t="n">
        <v>9396339</v>
      </c>
      <c r="H106" t="n">
        <v>21.29</v>
      </c>
    </row>
    <row r="107" ht="15" customHeight="1">
      <c r="A107" t="inlineStr">
        <is>
          <t>53</t>
        </is>
      </c>
      <c r="B107" t="inlineStr">
        <is>
          <t>C1076-Q9592</t>
        </is>
      </c>
      <c r="C107" t="inlineStr">
        <is>
          <t>Huancabamba</t>
        </is>
      </c>
      <c r="D107" t="inlineStr">
        <is>
          <t>Huarmaca</t>
        </is>
      </c>
      <c r="E107" t="inlineStr">
        <is>
          <t>Z13</t>
        </is>
      </c>
      <c r="F107" t="n">
        <v>666537</v>
      </c>
      <c r="G107" t="n">
        <v>9395918</v>
      </c>
      <c r="H107" t="n">
        <v>13.06</v>
      </c>
    </row>
    <row r="108" ht="15" customHeight="1">
      <c r="A108" t="inlineStr">
        <is>
          <t>70</t>
        </is>
      </c>
      <c r="B108" t="inlineStr">
        <is>
          <t>C1076-Q9592</t>
        </is>
      </c>
      <c r="C108" t="inlineStr">
        <is>
          <t>Huancabamba</t>
        </is>
      </c>
      <c r="D108" t="inlineStr">
        <is>
          <t>Huarmaca</t>
        </is>
      </c>
      <c r="E108" t="inlineStr">
        <is>
          <t>Z13</t>
        </is>
      </c>
      <c r="F108" t="n">
        <v>666781</v>
      </c>
      <c r="G108" t="n">
        <v>9395573</v>
      </c>
      <c r="H108" t="n">
        <v>22.39</v>
      </c>
    </row>
    <row r="109" ht="15" customHeight="1">
      <c r="A109" t="inlineStr">
        <is>
          <t>31</t>
        </is>
      </c>
      <c r="B109" t="inlineStr">
        <is>
          <t>C1076-Q9592</t>
        </is>
      </c>
      <c r="C109" t="inlineStr">
        <is>
          <t>Huancabamba</t>
        </is>
      </c>
      <c r="D109" t="inlineStr">
        <is>
          <t>Huarmaca</t>
        </is>
      </c>
      <c r="E109" t="inlineStr">
        <is>
          <t>Z13</t>
        </is>
      </c>
      <c r="F109" t="n">
        <v>663334</v>
      </c>
      <c r="G109" t="n">
        <v>9392820</v>
      </c>
      <c r="H109" t="n">
        <v>47.58</v>
      </c>
    </row>
    <row r="110" ht="15" customHeight="1">
      <c r="A110" t="inlineStr">
        <is>
          <t>69</t>
        </is>
      </c>
      <c r="B110" t="inlineStr">
        <is>
          <t>C1076-Q9592</t>
        </is>
      </c>
      <c r="C110" t="inlineStr">
        <is>
          <t>Huancabamba</t>
        </is>
      </c>
      <c r="D110" t="inlineStr">
        <is>
          <t>Huarmaca</t>
        </is>
      </c>
      <c r="E110" t="inlineStr">
        <is>
          <t>Z13</t>
        </is>
      </c>
      <c r="F110" t="n">
        <v>663291</v>
      </c>
      <c r="G110" t="n">
        <v>9392332</v>
      </c>
      <c r="H110" t="n">
        <v>19.43</v>
      </c>
    </row>
    <row r="111" ht="15" customHeight="1">
      <c r="A111" t="inlineStr">
        <is>
          <t>72</t>
        </is>
      </c>
      <c r="B111" t="inlineStr">
        <is>
          <t>C1076-Q9592</t>
        </is>
      </c>
      <c r="C111" t="inlineStr">
        <is>
          <t>Huancabamba</t>
        </is>
      </c>
      <c r="D111" t="inlineStr">
        <is>
          <t>Huarmaca</t>
        </is>
      </c>
      <c r="E111" t="inlineStr">
        <is>
          <t>Z13</t>
        </is>
      </c>
      <c r="F111" t="n">
        <v>662236</v>
      </c>
      <c r="G111" t="n">
        <v>9391211</v>
      </c>
      <c r="H111" t="n">
        <v>12.4</v>
      </c>
    </row>
    <row r="112" ht="15" customHeight="1">
      <c r="A112" t="inlineStr">
        <is>
          <t>41</t>
        </is>
      </c>
      <c r="B112" t="inlineStr">
        <is>
          <t>C1076-Q9592</t>
        </is>
      </c>
      <c r="C112" t="inlineStr">
        <is>
          <t>Huancabamba</t>
        </is>
      </c>
      <c r="D112" t="inlineStr">
        <is>
          <t>Huarmaca</t>
        </is>
      </c>
      <c r="E112" t="inlineStr">
        <is>
          <t>Z13</t>
        </is>
      </c>
      <c r="F112" t="n">
        <v>660525</v>
      </c>
      <c r="G112" t="n">
        <v>9394327</v>
      </c>
      <c r="H112" t="n">
        <v>64.92</v>
      </c>
    </row>
    <row r="113" ht="15" customHeight="1">
      <c r="A113" t="inlineStr">
        <is>
          <t>73</t>
        </is>
      </c>
      <c r="B113" t="inlineStr">
        <is>
          <t>C1076-Q9592</t>
        </is>
      </c>
      <c r="C113" t="inlineStr">
        <is>
          <t>Huancabamba</t>
        </is>
      </c>
      <c r="D113" t="inlineStr">
        <is>
          <t>Huarmaca</t>
        </is>
      </c>
      <c r="E113" t="inlineStr">
        <is>
          <t>Z13</t>
        </is>
      </c>
      <c r="F113" t="n">
        <v>658547</v>
      </c>
      <c r="G113" t="n">
        <v>9395594</v>
      </c>
      <c r="H113" t="n">
        <v>54.29</v>
      </c>
    </row>
    <row r="114" ht="15" customHeight="1">
      <c r="A114" t="inlineStr">
        <is>
          <t>18</t>
        </is>
      </c>
      <c r="B114" t="inlineStr">
        <is>
          <t>C1076-Q9592</t>
        </is>
      </c>
      <c r="C114" t="inlineStr">
        <is>
          <t>Huancabamba</t>
        </is>
      </c>
      <c r="D114" t="inlineStr">
        <is>
          <t>Huarmaca</t>
        </is>
      </c>
      <c r="E114" t="inlineStr">
        <is>
          <t>Z13</t>
        </is>
      </c>
      <c r="F114" t="n">
        <v>656445</v>
      </c>
      <c r="G114" t="n">
        <v>9393180</v>
      </c>
      <c r="H114" t="n">
        <v>103.62</v>
      </c>
    </row>
    <row r="115" ht="15" customHeight="1">
      <c r="A115" t="inlineStr">
        <is>
          <t>74</t>
        </is>
      </c>
      <c r="B115" t="inlineStr">
        <is>
          <t>C1076-Q9588</t>
        </is>
      </c>
      <c r="C115" t="inlineStr">
        <is>
          <t>Huancabamba</t>
        </is>
      </c>
      <c r="D115" t="inlineStr">
        <is>
          <t>Huarmaca</t>
        </is>
      </c>
      <c r="E115" t="inlineStr">
        <is>
          <t>Z13</t>
        </is>
      </c>
      <c r="F115" t="n">
        <v>652449</v>
      </c>
      <c r="G115" t="n">
        <v>9389179</v>
      </c>
      <c r="H115" t="n">
        <v>29.23</v>
      </c>
    </row>
    <row r="116" ht="15" customHeight="1">
      <c r="A116" t="inlineStr">
        <is>
          <t>M12B1</t>
        </is>
      </c>
      <c r="B116" t="inlineStr">
        <is>
          <t>C1076-Q9588</t>
        </is>
      </c>
      <c r="C116" t="inlineStr">
        <is>
          <t>Huancabamba</t>
        </is>
      </c>
      <c r="D116" t="inlineStr">
        <is>
          <t>Huarmaca</t>
        </is>
      </c>
      <c r="E116" t="inlineStr">
        <is>
          <t>Z13</t>
        </is>
      </c>
      <c r="F116" t="n">
        <v>644546</v>
      </c>
      <c r="G116" t="n">
        <v>9389106</v>
      </c>
      <c r="H116" t="n">
        <v>268.39</v>
      </c>
    </row>
    <row r="117" ht="15" customHeight="1">
      <c r="A117" t="inlineStr">
        <is>
          <t>19</t>
        </is>
      </c>
      <c r="B117" t="inlineStr">
        <is>
          <t>C1076-Q9592</t>
        </is>
      </c>
      <c r="C117" t="inlineStr">
        <is>
          <t>Huancabamba</t>
        </is>
      </c>
      <c r="D117" t="inlineStr">
        <is>
          <t>Huarmaca</t>
        </is>
      </c>
      <c r="E117" t="inlineStr">
        <is>
          <t>Z13</t>
        </is>
      </c>
      <c r="F117" t="n">
        <v>665942</v>
      </c>
      <c r="G117" t="n">
        <v>9391144</v>
      </c>
      <c r="H117" t="n">
        <v>82.09</v>
      </c>
    </row>
    <row r="118" ht="15" customHeight="1">
      <c r="A118" t="inlineStr">
        <is>
          <t>M4B4</t>
        </is>
      </c>
      <c r="B118" t="inlineStr">
        <is>
          <t>C1076-Q9589</t>
        </is>
      </c>
      <c r="C118" t="inlineStr">
        <is>
          <t>Huancabamba</t>
        </is>
      </c>
      <c r="D118" t="inlineStr">
        <is>
          <t>Huarmaca</t>
        </is>
      </c>
      <c r="E118" t="inlineStr">
        <is>
          <t>Z14</t>
        </is>
      </c>
      <c r="F118" t="n">
        <v>642775</v>
      </c>
      <c r="G118" t="n">
        <v>9388574</v>
      </c>
      <c r="H118" t="n">
        <v>289.91</v>
      </c>
    </row>
    <row r="119" ht="15" customHeight="1">
      <c r="A119" t="inlineStr">
        <is>
          <t>M4B3</t>
        </is>
      </c>
      <c r="B119" t="inlineStr">
        <is>
          <t>C1076-Q9589</t>
        </is>
      </c>
      <c r="C119" t="inlineStr">
        <is>
          <t>Huancabamba</t>
        </is>
      </c>
      <c r="D119" t="inlineStr">
        <is>
          <t>Huarmaca</t>
        </is>
      </c>
      <c r="E119" t="inlineStr">
        <is>
          <t>Z14</t>
        </is>
      </c>
      <c r="F119" t="n">
        <v>643474</v>
      </c>
      <c r="G119" t="n">
        <v>9385620</v>
      </c>
      <c r="H119" t="n">
        <v>234.07</v>
      </c>
    </row>
    <row r="120" ht="15" customHeight="1">
      <c r="A120" t="inlineStr">
        <is>
          <t>10</t>
        </is>
      </c>
      <c r="B120" t="inlineStr">
        <is>
          <t>C1076-Q9593</t>
        </is>
      </c>
      <c r="C120" t="inlineStr">
        <is>
          <t>Huancabamba</t>
        </is>
      </c>
      <c r="D120" t="inlineStr">
        <is>
          <t>Huarmaca</t>
        </is>
      </c>
      <c r="E120" t="inlineStr">
        <is>
          <t>Z14</t>
        </is>
      </c>
      <c r="F120" t="n">
        <v>650830</v>
      </c>
      <c r="G120" t="n">
        <v>9382303</v>
      </c>
      <c r="H120" t="n">
        <v>150.21</v>
      </c>
    </row>
    <row r="121" ht="15" customHeight="1">
      <c r="A121" t="inlineStr">
        <is>
          <t>16</t>
        </is>
      </c>
      <c r="B121" t="inlineStr">
        <is>
          <t>C1076-Q9593</t>
        </is>
      </c>
      <c r="C121" t="inlineStr">
        <is>
          <t>Huancabamba</t>
        </is>
      </c>
      <c r="D121" t="inlineStr">
        <is>
          <t>Huarmaca</t>
        </is>
      </c>
      <c r="E121" t="inlineStr">
        <is>
          <t>Z14</t>
        </is>
      </c>
      <c r="F121" t="n">
        <v>652939</v>
      </c>
      <c r="G121" t="n">
        <v>9382105</v>
      </c>
      <c r="H121" t="n">
        <v>83.33</v>
      </c>
    </row>
    <row r="122" ht="15" customHeight="1">
      <c r="A122" t="inlineStr">
        <is>
          <t>4</t>
        </is>
      </c>
      <c r="B122" t="inlineStr">
        <is>
          <t>C1076-Q9588</t>
        </is>
      </c>
      <c r="C122" t="inlineStr">
        <is>
          <t>Huancabamba</t>
        </is>
      </c>
      <c r="D122" t="inlineStr">
        <is>
          <t>Huarmaca</t>
        </is>
      </c>
      <c r="E122" t="inlineStr">
        <is>
          <t>Z14</t>
        </is>
      </c>
      <c r="F122" t="n">
        <v>656549</v>
      </c>
      <c r="G122" t="n">
        <v>9382009</v>
      </c>
      <c r="H122" t="n">
        <v>230.1</v>
      </c>
    </row>
    <row r="123" ht="15" customHeight="1">
      <c r="A123" t="inlineStr">
        <is>
          <t>51</t>
        </is>
      </c>
      <c r="B123" t="inlineStr">
        <is>
          <t>C1076-Q9593</t>
        </is>
      </c>
      <c r="C123" t="inlineStr">
        <is>
          <t>Huancabamba</t>
        </is>
      </c>
      <c r="D123" t="inlineStr">
        <is>
          <t>Huarmaca</t>
        </is>
      </c>
      <c r="E123" t="inlineStr">
        <is>
          <t>Z14</t>
        </is>
      </c>
      <c r="F123" t="n">
        <v>656291</v>
      </c>
      <c r="G123" t="n">
        <v>9379096</v>
      </c>
      <c r="H123" t="n">
        <v>22.93</v>
      </c>
    </row>
    <row r="124" ht="15" customHeight="1">
      <c r="A124" t="inlineStr">
        <is>
          <t>76</t>
        </is>
      </c>
      <c r="B124" t="inlineStr">
        <is>
          <t>C1076-Q9593</t>
        </is>
      </c>
      <c r="C124" t="inlineStr">
        <is>
          <t>Huancabamba</t>
        </is>
      </c>
      <c r="D124" t="inlineStr">
        <is>
          <t>Huarmaca</t>
        </is>
      </c>
      <c r="E124" t="inlineStr">
        <is>
          <t>Z14</t>
        </is>
      </c>
      <c r="F124" t="n">
        <v>657922</v>
      </c>
      <c r="G124" t="n">
        <v>9377477</v>
      </c>
      <c r="H124" t="n">
        <v>19.62</v>
      </c>
    </row>
    <row r="125" ht="15" customHeight="1">
      <c r="A125" t="inlineStr">
        <is>
          <t>80</t>
        </is>
      </c>
      <c r="B125" t="inlineStr">
        <is>
          <t>C1076-Q9593</t>
        </is>
      </c>
      <c r="C125" t="inlineStr">
        <is>
          <t>Huancabamba</t>
        </is>
      </c>
      <c r="D125" t="inlineStr">
        <is>
          <t>Huarmaca</t>
        </is>
      </c>
      <c r="E125" t="inlineStr">
        <is>
          <t>Z14</t>
        </is>
      </c>
      <c r="F125" t="n">
        <v>657160</v>
      </c>
      <c r="G125" t="n">
        <v>9373050</v>
      </c>
      <c r="H125" t="n">
        <v>28.83</v>
      </c>
    </row>
    <row r="126" ht="15" customHeight="1">
      <c r="A126" t="inlineStr">
        <is>
          <t>71</t>
        </is>
      </c>
      <c r="B126" t="inlineStr">
        <is>
          <t>C1076-Q9593</t>
        </is>
      </c>
      <c r="C126" t="inlineStr">
        <is>
          <t>Huancabamba</t>
        </is>
      </c>
      <c r="D126" t="inlineStr">
        <is>
          <t>Huarmaca</t>
        </is>
      </c>
      <c r="E126" t="inlineStr">
        <is>
          <t>Z14</t>
        </is>
      </c>
      <c r="F126" t="n">
        <v>652104</v>
      </c>
      <c r="G126" t="n">
        <v>9373045</v>
      </c>
      <c r="H126" t="n">
        <v>10.67</v>
      </c>
    </row>
    <row r="127" ht="15" customHeight="1">
      <c r="A127" t="inlineStr">
        <is>
          <t>8</t>
        </is>
      </c>
      <c r="B127" t="inlineStr">
        <is>
          <t>C1076-Q9593</t>
        </is>
      </c>
      <c r="C127" t="inlineStr">
        <is>
          <t>Huancabamba</t>
        </is>
      </c>
      <c r="D127" t="inlineStr">
        <is>
          <t>Huarmaca</t>
        </is>
      </c>
      <c r="E127" t="inlineStr">
        <is>
          <t>Z14</t>
        </is>
      </c>
      <c r="F127" t="n">
        <v>651673</v>
      </c>
      <c r="G127" t="n">
        <v>9373383</v>
      </c>
      <c r="H127" t="n">
        <v>126.95</v>
      </c>
    </row>
    <row r="128" ht="15" customHeight="1">
      <c r="A128" t="inlineStr">
        <is>
          <t>20</t>
        </is>
      </c>
      <c r="B128" t="inlineStr">
        <is>
          <t>C1076-Q9593</t>
        </is>
      </c>
      <c r="C128" t="inlineStr">
        <is>
          <t>Huancabamba</t>
        </is>
      </c>
      <c r="D128" t="inlineStr">
        <is>
          <t>Huarmaca</t>
        </is>
      </c>
      <c r="E128" t="inlineStr">
        <is>
          <t>Z14</t>
        </is>
      </c>
      <c r="F128" t="n">
        <v>649847</v>
      </c>
      <c r="G128" t="n">
        <v>9376260</v>
      </c>
      <c r="H128" t="n">
        <v>81.33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18"/>
  <sheetViews>
    <sheetView zoomScaleNormal="100" workbookViewId="0">
      <selection activeCell="A1" sqref="A1"/>
    </sheetView>
  </sheetViews>
  <sheetFormatPr baseColWidth="10" defaultColWidth="8.6640625" defaultRowHeight="14.4"/>
  <cols>
    <col width="45" customWidth="1" min="1" max="1"/>
  </cols>
  <sheetData>
    <row r="1" ht="15" customHeight="1">
      <c r="A1" s="4" t="inlineStr">
        <is>
          <t>L_SINO</t>
        </is>
      </c>
      <c r="B1" s="4" t="inlineStr">
        <is>
          <t>L_SINONA</t>
        </is>
      </c>
      <c r="C1" s="4" t="inlineStr">
        <is>
          <t>L_SINOPARCIAL</t>
        </is>
      </c>
      <c r="D1" s="4" t="inlineStr">
        <is>
          <t>L_ABC</t>
        </is>
      </c>
      <c r="E1" s="4" t="inlineStr">
        <is>
          <t>L_BRM</t>
        </is>
      </c>
      <c r="F1" s="4" t="inlineStr">
        <is>
          <t>L_ORG_COMUNAL</t>
        </is>
      </c>
      <c r="G1" s="4" t="inlineStr">
        <is>
          <t>L_IDIOMA</t>
        </is>
      </c>
      <c r="H1" s="4" t="inlineStr">
        <is>
          <t>L_NIV_EDU</t>
        </is>
      </c>
      <c r="I1" s="4" t="inlineStr">
        <is>
          <t>L_MIG_DEST</t>
        </is>
      </c>
      <c r="J1" s="4" t="inlineStr">
        <is>
          <t>L_PERIODIC</t>
        </is>
      </c>
      <c r="K1" s="4" t="inlineStr">
        <is>
          <t>L_TENENCIA</t>
        </is>
      </c>
      <c r="L1" s="4" t="inlineStr">
        <is>
          <t>L_REG_TIT</t>
        </is>
      </c>
      <c r="M1" s="4" t="inlineStr">
        <is>
          <t>L_AGUA</t>
        </is>
      </c>
      <c r="N1" s="4" t="inlineStr">
        <is>
          <t>L_SANEA</t>
        </is>
      </c>
      <c r="O1" s="4" t="inlineStr">
        <is>
          <t>L_ENERG</t>
        </is>
      </c>
      <c r="P1" s="4" t="inlineStr">
        <is>
          <t>L_TELECOM</t>
        </is>
      </c>
      <c r="Q1" s="4" t="inlineStr">
        <is>
          <t>L_CAT_EESS</t>
        </is>
      </c>
      <c r="R1" s="4" t="inlineStr">
        <is>
          <t>L_NIV_EDU_IE</t>
        </is>
      </c>
      <c r="S1" s="4" t="inlineStr">
        <is>
          <t>L_ACTIV</t>
        </is>
      </c>
      <c r="T1" s="4" t="inlineStr">
        <is>
          <t>L_DESTINO</t>
        </is>
      </c>
      <c r="U1" s="4" t="inlineStr">
        <is>
          <t>L_TIPO_ACTOR</t>
        </is>
      </c>
      <c r="V1" s="4" t="inlineStr">
        <is>
          <t>L_NIV_TERR</t>
        </is>
      </c>
      <c r="W1" s="4" t="inlineStr">
        <is>
          <t>L_POSICION</t>
        </is>
      </c>
      <c r="X1" s="4" t="inlineStr">
        <is>
          <t>L_TIPO_CONFL</t>
        </is>
      </c>
      <c r="Y1" s="4" t="inlineStr">
        <is>
          <t>L_NIVEL_CONFL</t>
        </is>
      </c>
      <c r="Z1" s="4" t="inlineStr">
        <is>
          <t>L_ANTIG_CONFL</t>
        </is>
      </c>
      <c r="AA1" s="4" t="inlineStr">
        <is>
          <t>L_PELIGRO_OBS</t>
        </is>
      </c>
      <c r="AB1" s="4" t="inlineStr">
        <is>
          <t>L_FRECUENCIA</t>
        </is>
      </c>
      <c r="AC1" s="4" t="inlineStr">
        <is>
          <t>L_TENDENCIA_CC</t>
        </is>
      </c>
      <c r="AD1" s="4" t="inlineStr">
        <is>
          <t>L_CAMBIO_CLIMA</t>
        </is>
      </c>
      <c r="AE1" s="4" t="inlineStr">
        <is>
          <t>L_DISPOSICION</t>
        </is>
      </c>
      <c r="AF1" s="4" t="inlineStr">
        <is>
          <t>L_TIPO_PROPIETARIO</t>
        </is>
      </c>
      <c r="AG1" s="4" t="inlineStr">
        <is>
          <t>L_TIPO_SABER</t>
        </is>
      </c>
      <c r="AH1" s="4" t="inlineStr">
        <is>
          <t>L_VIG_SABER</t>
        </is>
      </c>
    </row>
    <row r="2" ht="15" customHeight="1">
      <c r="A2" t="inlineStr">
        <is>
          <t>Sí</t>
        </is>
      </c>
      <c r="B2" t="inlineStr">
        <is>
          <t>Sí</t>
        </is>
      </c>
      <c r="C2" t="inlineStr">
        <is>
          <t>Sí</t>
        </is>
      </c>
      <c r="D2" t="inlineStr">
        <is>
          <t>Alto</t>
        </is>
      </c>
      <c r="E2" t="inlineStr">
        <is>
          <t>Bueno</t>
        </is>
      </c>
      <c r="F2" t="inlineStr">
        <is>
          <t>Comunidad Campesina reconocida (con título)</t>
        </is>
      </c>
      <c r="G2" t="inlineStr">
        <is>
          <t>Español</t>
        </is>
      </c>
      <c r="H2" t="inlineStr">
        <is>
          <t>Sin instrucción</t>
        </is>
      </c>
      <c r="I2" t="inlineStr">
        <is>
          <t>Ciudad de Piura</t>
        </is>
      </c>
      <c r="J2" t="inlineStr">
        <is>
          <t>Semanal</t>
        </is>
      </c>
      <c r="K2" t="inlineStr">
        <is>
          <t>Comunal (tierras comunales)</t>
        </is>
      </c>
      <c r="L2" t="inlineStr">
        <is>
          <t>COFOPRI</t>
        </is>
      </c>
      <c r="M2" t="inlineStr">
        <is>
          <t>Red pública domiciliaria</t>
        </is>
      </c>
      <c r="N2" t="inlineStr">
        <is>
          <t>Red pública (alcantarillado)</t>
        </is>
      </c>
      <c r="O2" t="inlineStr">
        <is>
          <t>Red pública</t>
        </is>
      </c>
      <c r="P2" t="inlineStr">
        <is>
          <t>Celular + Internet</t>
        </is>
      </c>
      <c r="Q2" t="inlineStr">
        <is>
          <t>I-1</t>
        </is>
      </c>
      <c r="R2" t="inlineStr">
        <is>
          <t>Solo inicial</t>
        </is>
      </c>
      <c r="S2" t="inlineStr">
        <is>
          <t>Agricultura de secano</t>
        </is>
      </c>
      <c r="T2" t="inlineStr">
        <is>
          <t>100% Autoconsumo</t>
        </is>
      </c>
      <c r="U2" t="inlineStr">
        <is>
          <t>Gobierno Nacional</t>
        </is>
      </c>
      <c r="V2" t="inlineStr">
        <is>
          <t>Nacional</t>
        </is>
      </c>
      <c r="W2" t="inlineStr">
        <is>
          <t>A favor del proyecto</t>
        </is>
      </c>
      <c r="X2" t="inlineStr">
        <is>
          <t>Socioambiental minero</t>
        </is>
      </c>
      <c r="Y2" t="inlineStr">
        <is>
          <t>Latente (no manifiesto)</t>
        </is>
      </c>
      <c r="Z2" t="inlineStr">
        <is>
          <t>&lt;1 año</t>
        </is>
      </c>
      <c r="AA2" t="inlineStr">
        <is>
          <t>Movimientos en masa (deslizamientos)</t>
        </is>
      </c>
      <c r="AB2" t="inlineStr">
        <is>
          <t>Muy frecuente (varias veces al año)</t>
        </is>
      </c>
      <c r="AC2" t="inlineStr">
        <is>
          <t>Aumentando</t>
        </is>
      </c>
      <c r="AD2" t="inlineStr">
        <is>
          <t>Lluvias más intensas</t>
        </is>
      </c>
      <c r="AE2" t="inlineStr">
        <is>
          <t>Totalmente dispuesto/a</t>
        </is>
      </c>
      <c r="AF2" t="inlineStr">
        <is>
          <t>Titular individual del predio</t>
        </is>
      </c>
      <c r="AG2" t="inlineStr">
        <is>
          <t>Manejo agroforestal tradicional</t>
        </is>
      </c>
      <c r="AH2" t="inlineStr">
        <is>
          <t>Plenamente vigente (practicado por todos)</t>
        </is>
      </c>
    </row>
    <row r="3" ht="15" customHeight="1">
      <c r="A3" t="inlineStr">
        <is>
          <t>No</t>
        </is>
      </c>
      <c r="B3" t="inlineStr">
        <is>
          <t>No</t>
        </is>
      </c>
      <c r="C3" t="inlineStr">
        <is>
          <t>Parcial</t>
        </is>
      </c>
      <c r="D3" t="inlineStr">
        <is>
          <t>Medio</t>
        </is>
      </c>
      <c r="E3" t="inlineStr">
        <is>
          <t>Regular</t>
        </is>
      </c>
      <c r="F3" t="inlineStr">
        <is>
          <t>Comunidad Campesina sin título</t>
        </is>
      </c>
      <c r="G3" t="inlineStr">
        <is>
          <t>Quechua (variante Cañaris)</t>
        </is>
      </c>
      <c r="H3" t="inlineStr">
        <is>
          <t>Primaria incompleta</t>
        </is>
      </c>
      <c r="I3" t="inlineStr">
        <is>
          <t>Chulucanas / Morropón</t>
        </is>
      </c>
      <c r="J3" t="inlineStr">
        <is>
          <t>Quincenal</t>
        </is>
      </c>
      <c r="K3" t="inlineStr">
        <is>
          <t>Individual titulada (COFOPRI/SUNARP)</t>
        </is>
      </c>
      <c r="L3" t="inlineStr">
        <is>
          <t>Dirección Regional de Agricultura</t>
        </is>
      </c>
      <c r="M3" t="inlineStr">
        <is>
          <t>Pilón público</t>
        </is>
      </c>
      <c r="N3" t="inlineStr">
        <is>
          <t>Letrina con arrastre</t>
        </is>
      </c>
      <c r="O3" t="inlineStr">
        <is>
          <t>Panel solar domiciliario</t>
        </is>
      </c>
      <c r="P3" t="inlineStr">
        <is>
          <t>Solo celular</t>
        </is>
      </c>
      <c r="Q3" t="inlineStr">
        <is>
          <t>I-2</t>
        </is>
      </c>
      <c r="R3" t="inlineStr">
        <is>
          <t>Inicial + Primaria</t>
        </is>
      </c>
      <c r="S3" t="inlineStr">
        <is>
          <t>Agricultura bajo riego</t>
        </is>
      </c>
      <c r="T3" t="inlineStr">
        <is>
          <t>Mayormente autoconsumo (&gt;70%)</t>
        </is>
      </c>
      <c r="U3" t="inlineStr">
        <is>
          <t>Gobierno Regional</t>
        </is>
      </c>
      <c r="V3" t="inlineStr">
        <is>
          <t>Regional</t>
        </is>
      </c>
      <c r="W3" t="inlineStr">
        <is>
          <t>Neutral / Sin posición definida</t>
        </is>
      </c>
      <c r="X3" t="inlineStr">
        <is>
          <t>Socioambiental hídrico</t>
        </is>
      </c>
      <c r="Y3" t="inlineStr">
        <is>
          <t>En escalada (manifestaciones aisladas)</t>
        </is>
      </c>
      <c r="Z3" t="inlineStr">
        <is>
          <t>1-3 años</t>
        </is>
      </c>
      <c r="AA3" t="inlineStr">
        <is>
          <t>Huaycos / Flujos de detritos</t>
        </is>
      </c>
      <c r="AB3" t="inlineStr">
        <is>
          <t>Frecuente (cada año)</t>
        </is>
      </c>
      <c r="AC3" t="inlineStr">
        <is>
          <t>Disminuyendo</t>
        </is>
      </c>
      <c r="AD3" t="inlineStr">
        <is>
          <t>Lluvias más escasas</t>
        </is>
      </c>
      <c r="AE3" t="inlineStr">
        <is>
          <t>Dispuesto/a con condiciones</t>
        </is>
      </c>
      <c r="AF3" t="inlineStr">
        <is>
          <t>Posesionario (sin título)</t>
        </is>
      </c>
      <c r="AG3" t="inlineStr">
        <is>
          <t>Uso medicinal de plantas nativas</t>
        </is>
      </c>
      <c r="AH3" t="inlineStr">
        <is>
          <t>Vigente parcialmente (solo adultos mayores)</t>
        </is>
      </c>
    </row>
    <row r="4" ht="15" customHeight="1">
      <c r="B4" t="inlineStr">
        <is>
          <t>No aplica</t>
        </is>
      </c>
      <c r="C4" t="inlineStr">
        <is>
          <t>No</t>
        </is>
      </c>
      <c r="D4" t="inlineStr">
        <is>
          <t>Bajo</t>
        </is>
      </c>
      <c r="E4" t="inlineStr">
        <is>
          <t>Malo</t>
        </is>
      </c>
      <c r="F4" t="inlineStr">
        <is>
          <t>Caserío / Anexo</t>
        </is>
      </c>
      <c r="G4" t="inlineStr">
        <is>
          <t>Quechua (variante Chachapoyas)</t>
        </is>
      </c>
      <c r="H4" t="inlineStr">
        <is>
          <t>Primaria completa</t>
        </is>
      </c>
      <c r="I4" t="inlineStr">
        <is>
          <t>Huancabamba / Ayabaca (capital provincial)</t>
        </is>
      </c>
      <c r="J4" t="inlineStr">
        <is>
          <t>Mensual</t>
        </is>
      </c>
      <c r="K4" t="inlineStr">
        <is>
          <t>Individual en trámite</t>
        </is>
      </c>
      <c r="L4" t="inlineStr">
        <is>
          <t>SUNARP</t>
        </is>
      </c>
      <c r="M4" t="inlineStr">
        <is>
          <t>JASS / Sistema local</t>
        </is>
      </c>
      <c r="N4" t="inlineStr">
        <is>
          <t>Letrina seca</t>
        </is>
      </c>
      <c r="O4" t="inlineStr">
        <is>
          <t>Grupo electrógeno comunal</t>
        </is>
      </c>
      <c r="P4" t="inlineStr">
        <is>
          <t>Parcial intermitente</t>
        </is>
      </c>
      <c r="Q4" t="inlineStr">
        <is>
          <t>I-3</t>
        </is>
      </c>
      <c r="R4" t="inlineStr">
        <is>
          <t>Primaria</t>
        </is>
      </c>
      <c r="S4" t="inlineStr">
        <is>
          <t>Ganadería vacuna</t>
        </is>
      </c>
      <c r="T4" t="inlineStr">
        <is>
          <t>Mixto autoconsumo/mercado (30-70%)</t>
        </is>
      </c>
      <c r="U4" t="inlineStr">
        <is>
          <t>Gobierno Local (Municipalidad)</t>
        </is>
      </c>
      <c r="V4" t="inlineStr">
        <is>
          <t>Provincial</t>
        </is>
      </c>
      <c r="W4" t="inlineStr">
        <is>
          <t>Reticente (requiere persuasión)</t>
        </is>
      </c>
      <c r="X4" t="inlineStr">
        <is>
          <t>Socioambiental forestal</t>
        </is>
      </c>
      <c r="Y4" t="inlineStr">
        <is>
          <t>Activo (movilizaciones o enfrentamientos)</t>
        </is>
      </c>
      <c r="Z4" t="inlineStr">
        <is>
          <t>3-5 años</t>
        </is>
      </c>
      <c r="AA4" t="inlineStr">
        <is>
          <t>Erosión hídrica (cárcavas)</t>
        </is>
      </c>
      <c r="AB4" t="inlineStr">
        <is>
          <t>Ocasional (cada 2-5 años)</t>
        </is>
      </c>
      <c r="AC4" t="inlineStr">
        <is>
          <t>Estable</t>
        </is>
      </c>
      <c r="AD4" t="inlineStr">
        <is>
          <t>Temporadas más largas sin lluvia</t>
        </is>
      </c>
      <c r="AE4" t="inlineStr">
        <is>
          <t>Requiere más información</t>
        </is>
      </c>
      <c r="AF4" t="inlineStr">
        <is>
          <t>Junta Directiva Comunal (predio comunal)</t>
        </is>
      </c>
      <c r="AG4" t="inlineStr">
        <is>
          <t>Prácticas de conservación de suelos</t>
        </is>
      </c>
      <c r="AH4" t="inlineStr">
        <is>
          <t>En riesgo de pérdida</t>
        </is>
      </c>
    </row>
    <row r="5" ht="15" customHeight="1">
      <c r="F5" t="inlineStr">
        <is>
          <t>Centro poblado menor</t>
        </is>
      </c>
      <c r="G5" t="inlineStr">
        <is>
          <t>Bilingüe español-quechua</t>
        </is>
      </c>
      <c r="H5" t="inlineStr">
        <is>
          <t>Secundaria incompleta</t>
        </is>
      </c>
      <c r="I5" t="inlineStr">
        <is>
          <t>Lima / Callao</t>
        </is>
      </c>
      <c r="J5" t="inlineStr">
        <is>
          <t>Bimensual</t>
        </is>
      </c>
      <c r="K5" t="inlineStr">
        <is>
          <t>Individual sin titular / Posesión</t>
        </is>
      </c>
      <c r="L5" t="inlineStr">
        <is>
          <t>Comunidad (autónomo)</t>
        </is>
      </c>
      <c r="M5" t="inlineStr">
        <is>
          <t>Manantial / Quebrada directa</t>
        </is>
      </c>
      <c r="N5" t="inlineStr">
        <is>
          <t>Pozo séptico</t>
        </is>
      </c>
      <c r="O5" t="inlineStr">
        <is>
          <t>Minihidroeléctrica</t>
        </is>
      </c>
      <c r="P5" t="inlineStr">
        <is>
          <t>Sin cobertura</t>
        </is>
      </c>
      <c r="Q5" t="inlineStr">
        <is>
          <t>I-4</t>
        </is>
      </c>
      <c r="R5" t="inlineStr">
        <is>
          <t>Primaria + Secundaria</t>
        </is>
      </c>
      <c r="S5" t="inlineStr">
        <is>
          <t>Ganadería caprina/ovina</t>
        </is>
      </c>
      <c r="T5" t="inlineStr">
        <is>
          <t>Mayormente mercado (&gt;70%)</t>
        </is>
      </c>
      <c r="U5" t="inlineStr">
        <is>
          <t>Comunidad Campesina</t>
        </is>
      </c>
      <c r="V5" t="inlineStr">
        <is>
          <t>Distrital</t>
        </is>
      </c>
      <c r="W5" t="inlineStr">
        <is>
          <t>En contra del proyecto</t>
        </is>
      </c>
      <c r="X5" t="inlineStr">
        <is>
          <t>Tenencia / Linderos de tierras</t>
        </is>
      </c>
      <c r="Y5" t="inlineStr">
        <is>
          <t>En negociación / Mesa de diálogo</t>
        </is>
      </c>
      <c r="Z5" t="inlineStr">
        <is>
          <t>5-10 años</t>
        </is>
      </c>
      <c r="AA5" t="inlineStr">
        <is>
          <t>Inundación / Desborde</t>
        </is>
      </c>
      <c r="AB5" t="inlineStr">
        <is>
          <t>Rara (&gt;5 años)</t>
        </is>
      </c>
      <c r="AC5" t="inlineStr">
        <is>
          <t>Irregular / Impredecible</t>
        </is>
      </c>
      <c r="AD5" t="inlineStr">
        <is>
          <t>Temperaturas más altas</t>
        </is>
      </c>
      <c r="AE5" t="inlineStr">
        <is>
          <t>No dispuesto/a por el momento</t>
        </is>
      </c>
      <c r="AF5" t="inlineStr">
        <is>
          <t>Asamblea comunal (representación)</t>
        </is>
      </c>
      <c r="AG5" t="inlineStr">
        <is>
          <t>Manejo de agua (siembra y cosecha)</t>
        </is>
      </c>
      <c r="AH5" t="inlineStr">
        <is>
          <t>Casi extinto (solo memoria)</t>
        </is>
      </c>
    </row>
    <row r="6" ht="15" customHeight="1">
      <c r="F6" t="inlineStr">
        <is>
          <t>Centro poblado mayor</t>
        </is>
      </c>
      <c r="G6" t="inlineStr">
        <is>
          <t>Otro (especificar)</t>
        </is>
      </c>
      <c r="H6" t="inlineStr">
        <is>
          <t>Secundaria completa</t>
        </is>
      </c>
      <c r="I6" t="inlineStr">
        <is>
          <t>Lambayeque / Chiclayo</t>
        </is>
      </c>
      <c r="J6" t="inlineStr">
        <is>
          <t>Trimestral</t>
        </is>
      </c>
      <c r="K6" t="inlineStr">
        <is>
          <t>Mixto (comunal + individual)</t>
        </is>
      </c>
      <c r="L6" t="inlineStr">
        <is>
          <t>Otro</t>
        </is>
      </c>
      <c r="M6" t="inlineStr">
        <is>
          <t>Cisterna / Camión</t>
        </is>
      </c>
      <c r="N6" t="inlineStr">
        <is>
          <t>Biodigestor</t>
        </is>
      </c>
      <c r="O6" t="inlineStr">
        <is>
          <t>Sin electrificación</t>
        </is>
      </c>
      <c r="Q6" t="inlineStr">
        <is>
          <t>II-1</t>
        </is>
      </c>
      <c r="R6" t="inlineStr">
        <is>
          <t>Secundaria</t>
        </is>
      </c>
      <c r="S6" t="inlineStr">
        <is>
          <t>Ganadería porcina</t>
        </is>
      </c>
      <c r="T6" t="inlineStr">
        <is>
          <t>100% Mercado</t>
        </is>
      </c>
      <c r="U6" t="inlineStr">
        <is>
          <t>Ronda Campesina</t>
        </is>
      </c>
      <c r="V6" t="inlineStr">
        <is>
          <t>Comunal</t>
        </is>
      </c>
      <c r="W6" t="inlineStr">
        <is>
          <t>No determinada</t>
        </is>
      </c>
      <c r="X6" t="inlineStr">
        <is>
          <t>Uso de recursos naturales (bosque, pasto)</t>
        </is>
      </c>
      <c r="Y6" t="inlineStr">
        <is>
          <t>Resuelto / Inactivo</t>
        </is>
      </c>
      <c r="Z6" t="inlineStr">
        <is>
          <t>&gt;10 años</t>
        </is>
      </c>
      <c r="AA6" t="inlineStr">
        <is>
          <t>Sequía / Déficit hídrico</t>
        </is>
      </c>
      <c r="AB6" t="inlineStr">
        <is>
          <t>Sin registro reciente</t>
        </is>
      </c>
      <c r="AC6" t="inlineStr">
        <is>
          <t>No sabe</t>
        </is>
      </c>
      <c r="AD6" t="inlineStr">
        <is>
          <t>Heladas más frecuentes</t>
        </is>
      </c>
      <c r="AE6" t="inlineStr">
        <is>
          <t>No dispuesto/a rotundamente</t>
        </is>
      </c>
      <c r="AF6" t="inlineStr">
        <is>
          <t>Heredero en trámite</t>
        </is>
      </c>
      <c r="AG6" t="inlineStr">
        <is>
          <t>Calendario agrícola tradicional</t>
        </is>
      </c>
      <c r="AH6" t="inlineStr">
        <is>
          <t>Recuperado recientemente</t>
        </is>
      </c>
    </row>
    <row r="7" ht="15" customHeight="1">
      <c r="F7" t="inlineStr">
        <is>
          <t>Capital de distrito</t>
        </is>
      </c>
      <c r="H7" t="inlineStr">
        <is>
          <t>Superior técnico</t>
        </is>
      </c>
      <c r="I7" t="inlineStr">
        <is>
          <t>Trujillo / La Libertad</t>
        </is>
      </c>
      <c r="J7" t="inlineStr">
        <is>
          <t>Solo por convocatoria</t>
        </is>
      </c>
      <c r="K7" t="inlineStr">
        <is>
          <t>Estatal</t>
        </is>
      </c>
      <c r="L7" t="inlineStr">
        <is>
          <t>Sin registro</t>
        </is>
      </c>
      <c r="M7" t="inlineStr">
        <is>
          <t>Acarreo (cántaros)</t>
        </is>
      </c>
      <c r="N7" t="inlineStr">
        <is>
          <t>Sin saneamiento (campo abierto)</t>
        </is>
      </c>
      <c r="O7" t="inlineStr">
        <is>
          <t>Otro</t>
        </is>
      </c>
      <c r="Q7" t="inlineStr">
        <is>
          <t>II-2</t>
        </is>
      </c>
      <c r="R7" t="inlineStr">
        <is>
          <t>Superior</t>
        </is>
      </c>
      <c r="S7" t="inlineStr">
        <is>
          <t>Ganadería menor (aves, cuyes)</t>
        </is>
      </c>
      <c r="U7" t="inlineStr">
        <is>
          <t>Junta de Usuarios de Agua (riego)</t>
        </is>
      </c>
      <c r="V7" t="inlineStr">
        <is>
          <t>Familiar / Individual</t>
        </is>
      </c>
      <c r="X7" t="inlineStr">
        <is>
          <t>Proyecto extractivo en zona</t>
        </is>
      </c>
      <c r="Z7" t="inlineStr">
        <is>
          <t>Histórico (&gt;20 años)</t>
        </is>
      </c>
      <c r="AA7" t="inlineStr">
        <is>
          <t>Heladas / Friaje</t>
        </is>
      </c>
      <c r="AD7" t="inlineStr">
        <is>
          <t>Aparición de nuevas plagas</t>
        </is>
      </c>
      <c r="AF7" t="inlineStr">
        <is>
          <t>Otro</t>
        </is>
      </c>
      <c r="AG7" t="inlineStr">
        <is>
          <t>Control biológico tradicional</t>
        </is>
      </c>
    </row>
    <row r="8" ht="15" customHeight="1">
      <c r="F8" t="inlineStr">
        <is>
          <t>Sector rural / Paraje</t>
        </is>
      </c>
      <c r="H8" t="inlineStr">
        <is>
          <t>Superior universitario</t>
        </is>
      </c>
      <c r="I8" t="inlineStr">
        <is>
          <t>Ecuador</t>
        </is>
      </c>
      <c r="J8" t="inlineStr">
        <is>
          <t>No se realizan</t>
        </is>
      </c>
      <c r="K8" t="inlineStr">
        <is>
          <t>Otro</t>
        </is>
      </c>
      <c r="M8" t="inlineStr">
        <is>
          <t>Sin acceso formal</t>
        </is>
      </c>
      <c r="Q8" t="inlineStr">
        <is>
          <t>III</t>
        </is>
      </c>
      <c r="R8" t="inlineStr">
        <is>
          <t>No hay IE</t>
        </is>
      </c>
      <c r="S8" t="inlineStr">
        <is>
          <t>Apicultura</t>
        </is>
      </c>
      <c r="U8" t="inlineStr">
        <is>
          <t>JASS (saneamiento)</t>
        </is>
      </c>
      <c r="X8" t="inlineStr">
        <is>
          <t>Obras públicas / Expropiación</t>
        </is>
      </c>
      <c r="AA8" t="inlineStr">
        <is>
          <t>Incendios forestales</t>
        </is>
      </c>
      <c r="AD8" t="inlineStr">
        <is>
          <t>Pérdida de manantiales</t>
        </is>
      </c>
      <c r="AG8" t="inlineStr">
        <is>
          <t>Pastoreo rotacional ancestral</t>
        </is>
      </c>
    </row>
    <row r="9" ht="15" customHeight="1">
      <c r="F9" t="inlineStr">
        <is>
          <t>No organizada formalmente</t>
        </is>
      </c>
      <c r="I9" t="inlineStr">
        <is>
          <t>Selva</t>
        </is>
      </c>
      <c r="M9" t="inlineStr">
        <is>
          <t>Otro</t>
        </is>
      </c>
      <c r="Q9" t="inlineStr">
        <is>
          <t>No hay</t>
        </is>
      </c>
      <c r="S9" t="inlineStr">
        <is>
          <t>Forestería / Extracción de leña</t>
        </is>
      </c>
      <c r="U9" t="inlineStr">
        <is>
          <t>Comité de Gestión de Cuenca</t>
        </is>
      </c>
      <c r="X9" t="inlineStr">
        <is>
          <t>Cultural / Identidad</t>
        </is>
      </c>
      <c r="AA9" t="inlineStr">
        <is>
          <t>Caída de rocas</t>
        </is>
      </c>
      <c r="AD9" t="inlineStr">
        <is>
          <t>Otro</t>
        </is>
      </c>
      <c r="AG9" t="inlineStr">
        <is>
          <t>Rituales / Ceremonias ambientales</t>
        </is>
      </c>
    </row>
    <row r="10" ht="15" customHeight="1">
      <c r="I10" t="inlineStr">
        <is>
          <t>No hay migración significativa</t>
        </is>
      </c>
      <c r="S10" t="inlineStr">
        <is>
          <t>Carbón vegetal (producción)</t>
        </is>
      </c>
      <c r="U10" t="inlineStr">
        <is>
          <t>ONG / Cooperación Internacional</t>
        </is>
      </c>
      <c r="X10" t="inlineStr">
        <is>
          <t>Liderazgo / Política local</t>
        </is>
      </c>
      <c r="AA10" t="inlineStr">
        <is>
          <t>Plagas agrícolas</t>
        </is>
      </c>
      <c r="AG10" t="inlineStr">
        <is>
          <t>Sistemas de alerta climática tradicional</t>
        </is>
      </c>
    </row>
    <row r="11" ht="15" customHeight="1">
      <c r="I11" t="inlineStr">
        <is>
          <t>Otro</t>
        </is>
      </c>
      <c r="S11" t="inlineStr">
        <is>
          <t>Artesanía</t>
        </is>
      </c>
      <c r="U11" t="inlineStr">
        <is>
          <t>Academia / Universidad</t>
        </is>
      </c>
      <c r="X11" t="inlineStr">
        <is>
          <t>Interpersonal / Familiar</t>
        </is>
      </c>
      <c r="AA11" t="inlineStr">
        <is>
          <t>Pérdida de biodiversidad</t>
        </is>
      </c>
      <c r="AG11" t="inlineStr">
        <is>
          <t>Artesanía con fibras nativas</t>
        </is>
      </c>
    </row>
    <row r="12" ht="15" customHeight="1">
      <c r="S12" t="inlineStr">
        <is>
          <t>Turismo / Servicios</t>
        </is>
      </c>
      <c r="U12" t="inlineStr">
        <is>
          <t>Empresa privada</t>
        </is>
      </c>
      <c r="X12" t="inlineStr">
        <is>
          <t>Interinstitucional</t>
        </is>
      </c>
      <c r="AA12" t="inlineStr">
        <is>
          <t>Contaminación de agua</t>
        </is>
      </c>
      <c r="AG12" t="inlineStr">
        <is>
          <t>Otro</t>
        </is>
      </c>
    </row>
    <row r="13" ht="15" customHeight="1">
      <c r="S13" t="inlineStr">
        <is>
          <t>Comercio local</t>
        </is>
      </c>
      <c r="U13" t="inlineStr">
        <is>
          <t>Asociación de productores / Gremio</t>
        </is>
      </c>
      <c r="X13" t="inlineStr">
        <is>
          <t>Otro</t>
        </is>
      </c>
      <c r="AA13" t="inlineStr">
        <is>
          <t>Otro</t>
        </is>
      </c>
    </row>
    <row r="14" ht="15" customHeight="1">
      <c r="S14" t="inlineStr">
        <is>
          <t>Trabajo asalariado externo</t>
        </is>
      </c>
      <c r="U14" t="inlineStr">
        <is>
          <t>Institución religiosa</t>
        </is>
      </c>
    </row>
    <row r="15" ht="15" customHeight="1">
      <c r="S15" t="inlineStr">
        <is>
          <t>Pesca artesanal (ríos/reservorios)</t>
        </is>
      </c>
      <c r="U15" t="inlineStr">
        <is>
          <t>Líder / Autoridad comunal</t>
        </is>
      </c>
    </row>
    <row r="16" ht="15" customHeight="1">
      <c r="S16" t="inlineStr">
        <is>
          <t>Minería artesanal / informal</t>
        </is>
      </c>
      <c r="U16" t="inlineStr">
        <is>
          <t>Medios de comunicación local</t>
        </is>
      </c>
    </row>
    <row r="17" ht="15" customHeight="1">
      <c r="S17" t="inlineStr">
        <is>
          <t>Jornalero agrícola</t>
        </is>
      </c>
    </row>
    <row r="18" ht="15" customHeight="1">
      <c r="S18" t="inlineStr">
        <is>
          <t>Otro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2026-04-21T17:29:03Z</dcterms:created>
  <dcterms:modified xmlns:dcterms="http://purl.org/dc/terms/" xmlns:xsi="http://www.w3.org/2001/XMLSchema-instance" xsi:type="dcterms:W3CDTF">2026-04-26T12:45:35Z</dcterms:modified>
  <cp:lastModifiedBy>Hector Salomón Cahuas Miller</cp:lastModifiedBy>
  <cp:revision>0</cp:revision>
  <cp:lastPrinted>2026-04-23T22:52:25Z</cp:lastPrinted>
</cp:coreProperties>
</file>