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Bloque 10" sheetId="1" state="visible" r:id="rId1"/>
    <sheet xmlns:r="http://schemas.openxmlformats.org/officeDocument/2006/relationships" name="Cobertura MSAVI-NDVI" sheetId="2" state="visible" r:id="rId2"/>
    <sheet xmlns:r="http://schemas.openxmlformats.org/officeDocument/2006/relationships" name="Estaciones fotográficas" sheetId="3" state="visible" r:id="rId3"/>
    <sheet xmlns:r="http://schemas.openxmlformats.org/officeDocument/2006/relationships" name="Microcuenca C1076-Q9593" sheetId="4" state="visible" r:id="rId4"/>
    <sheet xmlns:r="http://schemas.openxmlformats.org/officeDocument/2006/relationships" name="F-DT-01" sheetId="5" state="visible" r:id="rId5"/>
    <sheet xmlns:r="http://schemas.openxmlformats.org/officeDocument/2006/relationships" name="F-DT-02" sheetId="6" state="visible" r:id="rId6"/>
    <sheet xmlns:r="http://schemas.openxmlformats.org/officeDocument/2006/relationships" name="F-DT-03" sheetId="7" state="visible" r:id="rId7"/>
    <sheet xmlns:r="http://schemas.openxmlformats.org/officeDocument/2006/relationships" name="F-DT-04" sheetId="8" state="visible" r:id="rId8"/>
    <sheet xmlns:r="http://schemas.openxmlformats.org/officeDocument/2006/relationships" name="F-DT-05" sheetId="9" state="visible" r:id="rId9"/>
    <sheet xmlns:r="http://schemas.openxmlformats.org/officeDocument/2006/relationships" name="Bloques V4" sheetId="10" state="visible" r:id="rId10"/>
    <sheet xmlns:r="http://schemas.openxmlformats.org/officeDocument/2006/relationships" name="_Listas" sheetId="11" state="visible"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4">'F-DT-01'!$1:$6</definedName>
    <definedName name="_xlnm.Print_Titles" localSheetId="5">'F-DT-02'!$1:$6</definedName>
    <definedName name="_xlnm.Print_Titles" localSheetId="6">'F-DT-03'!$1:$6</definedName>
    <definedName name="_xlnm.Print_Titles" localSheetId="7">'F-DT-04'!$1:$6</definedName>
    <definedName name="_xlnm.Print_Titles" localSheetId="8">'F-DT-05'!$1:$6</definedName>
  </definedNames>
  <calcPr calcId="191029" fullCalcOnLoad="1"/>
</workbook>
</file>

<file path=xl/styles.xml><?xml version="1.0" encoding="utf-8"?>
<styleSheet xmlns="http://schemas.openxmlformats.org/spreadsheetml/2006/main">
  <numFmts count="2">
    <numFmt numFmtId="164" formatCode="#,##0.000"/>
    <numFmt numFmtId="165" formatCode="0.0000"/>
  </numFmts>
  <fonts count="24">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1"/>
    </font>
    <font>
      <name val="Arial"/>
      <color rgb="00FFFFFF"/>
      <sz val="9"/>
    </font>
    <font>
      <name val="Arial"/>
      <color rgb="001B4F72"/>
      <sz val="9"/>
    </font>
    <font>
      <name val="Arial"/>
      <b val="1"/>
      <color rgb="001B4F72"/>
      <sz val="11"/>
    </font>
    <font>
      <name val="Arial"/>
      <b val="1"/>
      <color rgb="00FFFFFF"/>
      <sz val="9"/>
    </font>
    <font>
      <name val="Arial"/>
      <sz val="9"/>
    </font>
    <font>
      <name val="Arial"/>
      <b val="1"/>
      <sz val="9"/>
    </font>
    <font>
      <name val="Arial"/>
      <b val="1"/>
      <color rgb="001B4F72"/>
      <sz val="10"/>
    </font>
    <font>
      <name val="Arial"/>
      <b val="1"/>
      <color rgb="001B4D2E"/>
      <sz val="9"/>
    </font>
    <font>
      <name val="Arial"/>
      <i val="1"/>
      <sz val="8"/>
    </font>
  </fonts>
  <fills count="13">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1B4F72"/>
      </patternFill>
    </fill>
    <fill>
      <patternFill patternType="solid">
        <fgColor rgb="00F2F2F2"/>
      </patternFill>
    </fill>
    <fill>
      <patternFill patternType="solid">
        <fgColor rgb="00D9E2D9"/>
      </patternFill>
    </fill>
    <fill>
      <patternFill patternType="solid">
        <fgColor rgb="00E2EFD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4">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9" borderId="0"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18" fillId="8" borderId="11" applyAlignment="1" pivotButton="0" quotePrefix="0" xfId="0">
      <alignment horizontal="center" vertical="center" wrapText="1"/>
    </xf>
    <xf numFmtId="0" fontId="20" fillId="0" borderId="11" applyAlignment="1" pivotButton="0" quotePrefix="0" xfId="0">
      <alignment vertical="center"/>
    </xf>
    <xf numFmtId="4" fontId="19" fillId="0" borderId="11" applyAlignment="1" pivotButton="0" quotePrefix="0" xfId="0">
      <alignment vertical="center"/>
    </xf>
    <xf numFmtId="0" fontId="19" fillId="0" borderId="11" applyAlignment="1" pivotButton="0" quotePrefix="0" xfId="0">
      <alignment vertical="center"/>
    </xf>
    <xf numFmtId="0" fontId="19" fillId="0" borderId="11" applyAlignment="1" pivotButton="0" quotePrefix="0" xfId="0">
      <alignment vertical="center" wrapText="1"/>
    </xf>
    <xf numFmtId="0" fontId="20" fillId="10" borderId="11" applyAlignment="1" pivotButton="0" quotePrefix="0" xfId="0">
      <alignment vertical="center"/>
    </xf>
    <xf numFmtId="4" fontId="19" fillId="10" borderId="11" applyAlignment="1" pivotButton="0" quotePrefix="0" xfId="0">
      <alignment vertical="center"/>
    </xf>
    <xf numFmtId="0" fontId="19" fillId="10" borderId="11" applyAlignment="1" pivotButton="0" quotePrefix="0" xfId="0">
      <alignment vertical="center"/>
    </xf>
    <xf numFmtId="0" fontId="19" fillId="10" borderId="11" applyAlignment="1" pivotButton="0" quotePrefix="0" xfId="0">
      <alignment vertical="center" wrapText="1"/>
    </xf>
    <xf numFmtId="0" fontId="21" fillId="0" borderId="0" pivotButton="0" quotePrefix="0" xfId="0"/>
    <xf numFmtId="2" fontId="19" fillId="0" borderId="11" applyAlignment="1" pivotButton="0" quotePrefix="0" xfId="0">
      <alignment vertical="center"/>
    </xf>
    <xf numFmtId="4" fontId="19" fillId="0" borderId="11" applyAlignment="1" pivotButton="0" quotePrefix="0" xfId="0">
      <alignment vertical="center" wrapText="1"/>
    </xf>
    <xf numFmtId="2" fontId="19" fillId="10" borderId="11" applyAlignment="1" pivotButton="0" quotePrefix="0" xfId="0">
      <alignment vertical="center"/>
    </xf>
    <xf numFmtId="4" fontId="19" fillId="10" borderId="11" applyAlignment="1" pivotButton="0" quotePrefix="0" xfId="0">
      <alignment vertical="center" wrapText="1"/>
    </xf>
    <xf numFmtId="0" fontId="20" fillId="11" borderId="11" applyAlignment="1" pivotButton="0" quotePrefix="0" xfId="0">
      <alignment vertical="center"/>
    </xf>
    <xf numFmtId="2" fontId="20" fillId="11" borderId="11" applyAlignment="1" pivotButton="0" quotePrefix="0" xfId="0">
      <alignment vertical="center"/>
    </xf>
    <xf numFmtId="4" fontId="20" fillId="11" borderId="11" applyAlignment="1" pivotButton="0" quotePrefix="0" xfId="0">
      <alignment vertical="center" wrapText="1"/>
    </xf>
    <xf numFmtId="0" fontId="22" fillId="0" borderId="0" pivotButton="0" quotePrefix="0" xfId="0"/>
    <xf numFmtId="0" fontId="23" fillId="0" borderId="0" pivotButton="0" quotePrefix="0" xfId="0"/>
    <xf numFmtId="3" fontId="19" fillId="0" borderId="11" applyAlignment="1" pivotButton="0" quotePrefix="0" xfId="0">
      <alignment vertical="center"/>
    </xf>
    <xf numFmtId="3" fontId="19" fillId="10" borderId="11" applyAlignment="1" pivotButton="0" quotePrefix="0" xfId="0">
      <alignment vertical="center"/>
    </xf>
    <xf numFmtId="0" fontId="22" fillId="12" borderId="11" applyAlignment="1" pivotButton="0" quotePrefix="0" xfId="0">
      <alignment vertical="center"/>
    </xf>
    <xf numFmtId="164" fontId="22" fillId="12" borderId="11" applyAlignment="1" pivotButton="0" quotePrefix="0" xfId="0">
      <alignment vertical="center"/>
    </xf>
    <xf numFmtId="2" fontId="22" fillId="12" borderId="11" applyAlignment="1" pivotButton="0" quotePrefix="0" xfId="0">
      <alignment vertical="center"/>
    </xf>
    <xf numFmtId="165" fontId="22" fillId="12" borderId="11" applyAlignment="1" pivotButton="0" quotePrefix="0" xfId="0">
      <alignment vertical="center"/>
    </xf>
    <xf numFmtId="2" fontId="22" fillId="12" borderId="11" applyAlignment="1" pivotButton="0" quotePrefix="0" xfId="0">
      <alignment vertical="center" wrapText="1"/>
    </xf>
    <xf numFmtId="164" fontId="19" fillId="10" borderId="11" applyAlignment="1" pivotButton="0" quotePrefix="0" xfId="0">
      <alignment vertical="center"/>
    </xf>
    <xf numFmtId="165" fontId="19" fillId="10" borderId="11" applyAlignment="1" pivotButton="0" quotePrefix="0" xfId="0">
      <alignment vertical="center"/>
    </xf>
    <xf numFmtId="2" fontId="19" fillId="10" borderId="11" applyAlignment="1" pivotButton="0" quotePrefix="0" xfId="0">
      <alignment vertical="center" wrapText="1"/>
    </xf>
    <xf numFmtId="164" fontId="19" fillId="0" borderId="11" applyAlignment="1" pivotButton="0" quotePrefix="0" xfId="0">
      <alignment vertical="center"/>
    </xf>
    <xf numFmtId="165" fontId="19" fillId="0" borderId="11" applyAlignment="1" pivotButton="0" quotePrefix="0" xfId="0">
      <alignment vertical="center"/>
    </xf>
    <xf numFmtId="2" fontId="19" fillId="0" borderId="11" applyAlignment="1" pivotButton="0" quotePrefix="0" xfId="0">
      <alignment vertical="center" wrapText="1"/>
    </xf>
    <xf numFmtId="164" fontId="20" fillId="11" borderId="11" applyAlignment="1" pivotButton="0" quotePrefix="0" xfId="0">
      <alignment vertical="center"/>
    </xf>
    <xf numFmtId="165" fontId="20" fillId="11" borderId="11" applyAlignment="1" pivotButton="0" quotePrefix="0" xfId="0">
      <alignment vertical="center"/>
    </xf>
    <xf numFmtId="2" fontId="20" fillId="11" borderId="1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7" topLeftCell="A8" activePane="bottomLeft" state="frozen"/>
      <selection pane="bottomLeft" activeCell="A1" sqref="A1"/>
    </sheetView>
  </sheetViews>
  <sheetFormatPr baseColWidth="8" defaultRowHeight="15"/>
  <cols>
    <col width="46" customWidth="1" style="17" min="1" max="1"/>
    <col width="34" customWidth="1" style="17" min="2" max="2"/>
    <col width="14" customWidth="1" style="17" min="3" max="3"/>
    <col width="42" customWidth="1" style="17" min="4" max="4"/>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RESUMEN EJECUTIVO — BLOQUE 10 · Microcuenca C1076-Q9593 · Huarmaca, Huancabamba</t>
        </is>
      </c>
    </row>
    <row r="7" ht="30" customHeight="1" s="17">
      <c r="A7" s="39" t="inlineStr">
        <is>
          <t>Parámetro</t>
        </is>
      </c>
      <c r="B7" s="39" t="inlineStr">
        <is>
          <t>Valor</t>
        </is>
      </c>
      <c r="C7" s="39" t="inlineStr">
        <is>
          <t>Unidad</t>
        </is>
      </c>
      <c r="D7" s="39" t="inlineStr">
        <is>
          <t>Fuente</t>
        </is>
      </c>
    </row>
    <row r="8">
      <c r="A8" s="40" t="inlineStr">
        <is>
          <t>Código del bloque</t>
        </is>
      </c>
      <c r="B8" s="41" t="inlineStr">
        <is>
          <t>10</t>
        </is>
      </c>
      <c r="C8" s="42" t="inlineStr">
        <is>
          <t>—</t>
        </is>
      </c>
      <c r="D8" s="43" t="inlineStr">
        <is>
          <t>Catálogo Bloques V5</t>
        </is>
      </c>
    </row>
    <row r="9">
      <c r="A9" s="44" t="inlineStr">
        <is>
          <t>Rótulo cartográfico en plano temático</t>
        </is>
      </c>
      <c r="B9" s="45" t="inlineStr">
        <is>
          <t>B4_2</t>
        </is>
      </c>
      <c r="C9" s="46" t="inlineStr">
        <is>
          <t>—</t>
        </is>
      </c>
      <c r="D9" s="47" t="inlineStr">
        <is>
          <t>Plano MSAVI 2024</t>
        </is>
      </c>
    </row>
    <row r="10">
      <c r="A10" s="40" t="inlineStr">
        <is>
          <t>Microcuenca</t>
        </is>
      </c>
      <c r="B10" s="41" t="inlineStr">
        <is>
          <t>C1076-Q9593</t>
        </is>
      </c>
      <c r="C10" s="42" t="inlineStr">
        <is>
          <t>—</t>
        </is>
      </c>
      <c r="D10" s="43" t="inlineStr">
        <is>
          <t>Catálogo Bloques V5</t>
        </is>
      </c>
    </row>
    <row r="11">
      <c r="A11" s="44" t="inlineStr">
        <is>
          <t>Zona de planificación</t>
        </is>
      </c>
      <c r="B11" s="45" t="inlineStr">
        <is>
          <t>Z14</t>
        </is>
      </c>
      <c r="C11" s="46" t="inlineStr">
        <is>
          <t>—</t>
        </is>
      </c>
      <c r="D11" s="47" t="inlineStr">
        <is>
          <t>Catálogo Bloques V4</t>
        </is>
      </c>
    </row>
    <row r="12">
      <c r="A12" s="40" t="inlineStr">
        <is>
          <t>Departamento / Provincia / Distrito</t>
        </is>
      </c>
      <c r="B12" s="41" t="inlineStr">
        <is>
          <t>Piura / Huancabamba / Huarmaca</t>
        </is>
      </c>
      <c r="C12" s="42" t="inlineStr">
        <is>
          <t>—</t>
        </is>
      </c>
      <c r="D12" s="43" t="inlineStr">
        <is>
          <t>Catálogo Bloques V5</t>
        </is>
      </c>
    </row>
    <row r="13">
      <c r="A13" s="44" t="inlineStr">
        <is>
          <t>Centro poblado asociado</t>
        </is>
      </c>
      <c r="B13" s="45" t="inlineStr">
        <is>
          <t>La Peña · Peña Grande (rótulo en plano)</t>
        </is>
      </c>
      <c r="C13" s="46" t="inlineStr">
        <is>
          <t>—</t>
        </is>
      </c>
      <c r="D13" s="47" t="inlineStr">
        <is>
          <t>CP´s y Bloques V5</t>
        </is>
      </c>
    </row>
    <row r="14">
      <c r="A14" s="40" t="inlineStr">
        <is>
          <t>Superficie oficial</t>
        </is>
      </c>
      <c r="B14" s="41" t="n">
        <v>150.214</v>
      </c>
      <c r="C14" s="42" t="inlineStr">
        <is>
          <t>ha</t>
        </is>
      </c>
      <c r="D14" s="43" t="inlineStr">
        <is>
          <t>Catálogo Bloques V5</t>
        </is>
      </c>
    </row>
    <row r="15">
      <c r="A15" s="44" t="inlineStr">
        <is>
          <t>Superficie (CP´s y Bloques V5)</t>
        </is>
      </c>
      <c r="B15" s="45" t="n">
        <v>150.25</v>
      </c>
      <c r="C15" s="46" t="inlineStr">
        <is>
          <t>ha</t>
        </is>
      </c>
      <c r="D15" s="47" t="inlineStr">
        <is>
          <t>CP´s y Bloques V5</t>
        </is>
      </c>
    </row>
    <row r="16">
      <c r="A16" s="40" t="inlineStr">
        <is>
          <t>Superficie planimétrica sobre plano</t>
        </is>
      </c>
      <c r="B16" s="41" t="n">
        <v>153.8</v>
      </c>
      <c r="C16" s="42" t="inlineStr">
        <is>
          <t>ha</t>
        </is>
      </c>
      <c r="D16" s="43" t="inlineStr">
        <is>
          <t>Planimetría digital</t>
        </is>
      </c>
    </row>
    <row r="17">
      <c r="A17" s="44" t="inlineStr">
        <is>
          <t>Centroide — ESTE (catálogo)</t>
        </is>
      </c>
      <c r="B17" s="45" t="n">
        <v>650830</v>
      </c>
      <c r="C17" s="46" t="inlineStr">
        <is>
          <t>m</t>
        </is>
      </c>
      <c r="D17" s="47" t="inlineStr">
        <is>
          <t>Catálogo Bloques V4</t>
        </is>
      </c>
    </row>
    <row r="18">
      <c r="A18" s="40" t="inlineStr">
        <is>
          <t>Centroide — NORTE (catálogo)</t>
        </is>
      </c>
      <c r="B18" s="41" t="n">
        <v>9382303</v>
      </c>
      <c r="C18" s="42" t="inlineStr">
        <is>
          <t>m</t>
        </is>
      </c>
      <c r="D18" s="43" t="inlineStr">
        <is>
          <t>Catálogo Bloques V4</t>
        </is>
      </c>
    </row>
    <row r="19">
      <c r="A19" s="44" t="inlineStr">
        <is>
          <t>Centroide — ESTE (medido sobre plano)</t>
        </is>
      </c>
      <c r="B19" s="45" t="n">
        <v>650853</v>
      </c>
      <c r="C19" s="46" t="inlineStr">
        <is>
          <t>m</t>
        </is>
      </c>
      <c r="D19" s="47" t="inlineStr">
        <is>
          <t>Planimetría digital</t>
        </is>
      </c>
    </row>
    <row r="20">
      <c r="A20" s="40" t="inlineStr">
        <is>
          <t>Centroide — NORTE (medido sobre plano)</t>
        </is>
      </c>
      <c r="B20" s="41" t="n">
        <v>9382330</v>
      </c>
      <c r="C20" s="42" t="inlineStr">
        <is>
          <t>m</t>
        </is>
      </c>
      <c r="D20" s="43" t="inlineStr">
        <is>
          <t>Planimetría digital</t>
        </is>
      </c>
    </row>
    <row r="21">
      <c r="A21" s="44" t="inlineStr">
        <is>
          <t>Extensión E–O</t>
        </is>
      </c>
      <c r="B21" s="45" t="n">
        <v>1375</v>
      </c>
      <c r="C21" s="46" t="inlineStr">
        <is>
          <t>m</t>
        </is>
      </c>
      <c r="D21" s="47" t="inlineStr">
        <is>
          <t>Planimetría digital</t>
        </is>
      </c>
    </row>
    <row r="22">
      <c r="A22" s="40" t="inlineStr">
        <is>
          <t>Extensión N–S</t>
        </is>
      </c>
      <c r="B22" s="41" t="n">
        <v>2202</v>
      </c>
      <c r="C22" s="42" t="inlineStr">
        <is>
          <t>m</t>
        </is>
      </c>
      <c r="D22" s="43" t="inlineStr">
        <is>
          <t>Planimetría digital</t>
        </is>
      </c>
    </row>
    <row r="23">
      <c r="A23" s="44" t="inlineStr">
        <is>
          <t>Altitud mínima</t>
        </is>
      </c>
      <c r="B23" s="45" t="n">
        <v>912</v>
      </c>
      <c r="C23" s="46" t="inlineStr">
        <is>
          <t>msnm</t>
        </is>
      </c>
      <c r="D23" s="47" t="inlineStr">
        <is>
          <t>Estadística zonal MDE</t>
        </is>
      </c>
    </row>
    <row r="24">
      <c r="A24" s="40" t="inlineStr">
        <is>
          <t>Altitud máxima</t>
        </is>
      </c>
      <c r="B24" s="41" t="n">
        <v>1510</v>
      </c>
      <c r="C24" s="42" t="inlineStr">
        <is>
          <t>msnm</t>
        </is>
      </c>
      <c r="D24" s="43" t="inlineStr">
        <is>
          <t>Estadística zonal MDE</t>
        </is>
      </c>
    </row>
    <row r="25">
      <c r="A25" s="44" t="inlineStr">
        <is>
          <t>Amplitud altitudinal</t>
        </is>
      </c>
      <c r="B25" s="45" t="n">
        <v>598</v>
      </c>
      <c r="C25" s="46" t="inlineStr">
        <is>
          <t>m</t>
        </is>
      </c>
      <c r="D25" s="47" t="inlineStr">
        <is>
          <t>Calculado</t>
        </is>
      </c>
    </row>
    <row r="26">
      <c r="A26" s="40" t="inlineStr">
        <is>
          <t>Pendiente promedio</t>
        </is>
      </c>
      <c r="B26" s="41" t="n">
        <v>27.39</v>
      </c>
      <c r="C26" s="42" t="inlineStr">
        <is>
          <t>%</t>
        </is>
      </c>
      <c r="D26" s="43" t="inlineStr">
        <is>
          <t>Estadística zonal MDE</t>
        </is>
      </c>
    </row>
    <row r="27">
      <c r="A27" s="44" t="inlineStr">
        <is>
          <t>MSAVI 2024 (media)</t>
        </is>
      </c>
      <c r="B27" s="45" t="n">
        <v>0.5465</v>
      </c>
      <c r="C27" s="46" t="inlineStr">
        <is>
          <t>—</t>
        </is>
      </c>
      <c r="D27" s="47" t="inlineStr">
        <is>
          <t>Reporte Bloques V5</t>
        </is>
      </c>
    </row>
    <row r="28">
      <c r="A28" s="40" t="inlineStr">
        <is>
          <t>Superficie bajo umbral MSAVI 0.4976</t>
        </is>
      </c>
      <c r="B28" s="41" t="n">
        <v>40.5</v>
      </c>
      <c r="C28" s="42" t="inlineStr">
        <is>
          <t>ha</t>
        </is>
      </c>
      <c r="D28" s="43" t="inlineStr">
        <is>
          <t>Planimetría digital</t>
        </is>
      </c>
    </row>
    <row r="29">
      <c r="A29" s="44" t="inlineStr">
        <is>
          <t>Proporción bajo umbral MSAVI 0.4976</t>
        </is>
      </c>
      <c r="B29" s="45" t="n">
        <v>26.96</v>
      </c>
      <c r="C29" s="46" t="inlineStr">
        <is>
          <t>%</t>
        </is>
      </c>
      <c r="D29" s="47" t="inlineStr">
        <is>
          <t>Planimetría digital</t>
        </is>
      </c>
    </row>
    <row r="30">
      <c r="A30" s="40" t="inlineStr">
        <is>
          <t>Fecha de reconocimiento</t>
        </is>
      </c>
      <c r="B30" s="41" t="inlineStr">
        <is>
          <t>12-08-2026</t>
        </is>
      </c>
      <c r="C30" s="42" t="inlineStr">
        <is>
          <t>—</t>
        </is>
      </c>
      <c r="D30" s="43" t="inlineStr">
        <is>
          <t>Registro fotográfico</t>
        </is>
      </c>
    </row>
    <row r="31">
      <c r="A31" s="44" t="inlineStr">
        <is>
          <t>Horario de reconocimiento</t>
        </is>
      </c>
      <c r="B31" s="45" t="inlineStr">
        <is>
          <t>12:40 – 14:22 h</t>
        </is>
      </c>
      <c r="C31" s="46" t="inlineStr">
        <is>
          <t>—</t>
        </is>
      </c>
      <c r="D31" s="47" t="inlineStr">
        <is>
          <t>Registro fotográfico</t>
        </is>
      </c>
    </row>
    <row r="32">
      <c r="A32" s="40" t="inlineStr">
        <is>
          <t>Estaciones fotográficas registradas</t>
        </is>
      </c>
      <c r="B32" s="41" t="n">
        <v>6</v>
      </c>
      <c r="C32" s="42" t="inlineStr">
        <is>
          <t>N°</t>
        </is>
      </c>
      <c r="D32" s="43" t="inlineStr">
        <is>
          <t>Registro fotográfico</t>
        </is>
      </c>
    </row>
    <row r="33">
      <c r="A33" s="44" t="inlineStr">
        <is>
          <t>Fichas F-DT diligenciadas en campo</t>
        </is>
      </c>
      <c r="B33" s="45" t="inlineStr">
        <is>
          <t>Ninguna</t>
        </is>
      </c>
      <c r="C33" s="46" t="inlineStr">
        <is>
          <t>—</t>
        </is>
      </c>
      <c r="D33" s="47" t="inlineStr">
        <is>
          <t>Verificación documental</t>
        </is>
      </c>
    </row>
    <row r="34">
      <c r="A34" s="40" t="inlineStr">
        <is>
          <t>Ecosistema (preliminar)</t>
        </is>
      </c>
      <c r="B34" s="41" t="inlineStr">
        <is>
          <t>Bes-cm</t>
        </is>
      </c>
      <c r="C34" s="42" t="inlineStr">
        <is>
          <t>—</t>
        </is>
      </c>
      <c r="D34" s="43" t="inlineStr">
        <is>
          <t>Fotointerpretación</t>
        </is>
      </c>
    </row>
    <row r="35">
      <c r="A35" s="44" t="inlineStr">
        <is>
          <t>Peligro integrado preliminar</t>
        </is>
      </c>
      <c r="B35" s="45" t="inlineStr">
        <is>
          <t>ALTO</t>
        </is>
      </c>
      <c r="C35" s="46" t="inlineStr">
        <is>
          <t>—</t>
        </is>
      </c>
      <c r="D35" s="47" t="inlineStr">
        <is>
          <t>Síntesis AdR-CCC preliminar</t>
        </is>
      </c>
    </row>
    <row r="36">
      <c r="A36" s="40" t="inlineStr">
        <is>
          <t>Prioridad de intervención</t>
        </is>
      </c>
      <c r="B36" s="41" t="inlineStr">
        <is>
          <t>ALTA</t>
        </is>
      </c>
      <c r="C36" s="42" t="inlineStr">
        <is>
          <t>—</t>
        </is>
      </c>
      <c r="D36" s="43" t="inlineStr">
        <is>
          <t>Síntesis AdR-CCC preliminar</t>
        </is>
      </c>
    </row>
  </sheetData>
  <mergeCells count="5">
    <mergeCell ref="A1:D1"/>
    <mergeCell ref="A5:D5"/>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8" topLeftCell="A9" activePane="bottomLeft" state="frozen"/>
      <selection pane="bottomLeft" activeCell="A1" sqref="A1"/>
    </sheetView>
  </sheetViews>
  <sheetFormatPr baseColWidth="8" defaultRowHeight="15"/>
  <cols>
    <col width="24" customWidth="1" style="17" min="1" max="1"/>
    <col width="42" customWidth="1" style="17" min="2" max="2"/>
    <col width="16" customWidth="1" style="17" min="3" max="3"/>
    <col width="18" customWidth="1" style="17" min="4" max="4"/>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COBERTURA VEGETAL — BLOQUE 10 · MSAVI 2024 y NDVI mediana 2025</t>
        </is>
      </c>
    </row>
    <row r="7">
      <c r="A7" s="48" t="inlineStr">
        <is>
          <t>MSAVI_Piura_2024 — Banda 1 (Gray)</t>
        </is>
      </c>
    </row>
    <row r="8" ht="30" customHeight="1" s="17">
      <c r="A8" s="39" t="inlineStr">
        <is>
          <t>Clase MSAVI 2024</t>
        </is>
      </c>
      <c r="B8" s="39" t="inlineStr">
        <is>
          <t>Interpretación</t>
        </is>
      </c>
      <c r="C8" s="39" t="inlineStr">
        <is>
          <t>% del bloque</t>
        </is>
      </c>
      <c r="D8" s="39" t="inlineStr">
        <is>
          <t>Superficie (ha)</t>
        </is>
      </c>
    </row>
    <row r="9">
      <c r="A9" s="42" t="inlineStr">
        <is>
          <t>&gt; 0.6139</t>
        </is>
      </c>
      <c r="B9" s="42" t="inlineStr">
        <is>
          <t>Cobertura densa y vigorosa</t>
        </is>
      </c>
      <c r="C9" s="49" t="n">
        <v>24.93</v>
      </c>
      <c r="D9" s="50" t="n">
        <v>37.45</v>
      </c>
    </row>
    <row r="10">
      <c r="A10" s="46" t="inlineStr">
        <is>
          <t>0.4976 – 0.6139</t>
        </is>
      </c>
      <c r="B10" s="46" t="inlineStr">
        <is>
          <t>Cobertura moderada a alta</t>
        </is>
      </c>
      <c r="C10" s="51" t="n">
        <v>48.11</v>
      </c>
      <c r="D10" s="52" t="n">
        <v>72.26000000000001</v>
      </c>
    </row>
    <row r="11">
      <c r="A11" s="42" t="inlineStr">
        <is>
          <t>0.3813 – 0.4976</t>
        </is>
      </c>
      <c r="B11" s="42" t="inlineStr">
        <is>
          <t>Cobertura escasa</t>
        </is>
      </c>
      <c r="C11" s="49" t="n">
        <v>23.1</v>
      </c>
      <c r="D11" s="50" t="n">
        <v>34.7</v>
      </c>
    </row>
    <row r="12">
      <c r="A12" s="46" t="inlineStr">
        <is>
          <t>0.2650 – 0.3813</t>
        </is>
      </c>
      <c r="B12" s="46" t="inlineStr">
        <is>
          <t>Cobertura muy escasa</t>
        </is>
      </c>
      <c r="C12" s="51" t="n">
        <v>3.09</v>
      </c>
      <c r="D12" s="52" t="n">
        <v>4.64</v>
      </c>
    </row>
    <row r="13">
      <c r="A13" s="42" t="inlineStr">
        <is>
          <t>≤ 0.2650</t>
        </is>
      </c>
      <c r="B13" s="42" t="inlineStr">
        <is>
          <t>Suelo desnudo / degradación crítica</t>
        </is>
      </c>
      <c r="C13" s="49" t="n">
        <v>0.77</v>
      </c>
      <c r="D13" s="50" t="n">
        <v>1.16</v>
      </c>
    </row>
    <row r="14">
      <c r="A14" s="53" t="inlineStr">
        <is>
          <t>TOTAL CLASIFICADO</t>
        </is>
      </c>
      <c r="B14" s="53" t="inlineStr"/>
      <c r="C14" s="54">
        <f>SUM(C9:C13)</f>
        <v/>
      </c>
      <c r="D14" s="55">
        <f>SUM(D9:D13)</f>
        <v/>
      </c>
    </row>
    <row r="16">
      <c r="A16" s="48" t="inlineStr">
        <is>
          <t>NDVI mediana 2025 — Banda 1 (Gray)</t>
        </is>
      </c>
    </row>
    <row r="17" ht="30" customHeight="1" s="17">
      <c r="A17" s="39" t="inlineStr">
        <is>
          <t>Clase NDVI 2025</t>
        </is>
      </c>
      <c r="B17" s="39" t="inlineStr">
        <is>
          <t>Interpretación</t>
        </is>
      </c>
      <c r="C17" s="39" t="inlineStr">
        <is>
          <t>% del bloque</t>
        </is>
      </c>
      <c r="D17" s="39" t="inlineStr">
        <is>
          <t>Superficie (ha)</t>
        </is>
      </c>
    </row>
    <row r="18">
      <c r="A18" s="42" t="inlineStr">
        <is>
          <t>Vegetación alta</t>
        </is>
      </c>
      <c r="B18" s="42" t="inlineStr"/>
      <c r="C18" s="49" t="n">
        <v>86.79000000000001</v>
      </c>
      <c r="D18" s="50" t="n">
        <v>130.37</v>
      </c>
    </row>
    <row r="19">
      <c r="A19" s="46" t="inlineStr">
        <is>
          <t>Vegetación mediana</t>
        </is>
      </c>
      <c r="B19" s="46" t="inlineStr"/>
      <c r="C19" s="51" t="n">
        <v>11.4</v>
      </c>
      <c r="D19" s="52" t="n">
        <v>17.12</v>
      </c>
    </row>
    <row r="20">
      <c r="A20" s="42" t="inlineStr">
        <is>
          <t>Vegetación ligera</t>
        </is>
      </c>
      <c r="B20" s="42" t="inlineStr"/>
      <c r="C20" s="49" t="n">
        <v>1.31</v>
      </c>
      <c r="D20" s="50" t="n">
        <v>1.97</v>
      </c>
    </row>
    <row r="21">
      <c r="A21" s="46" t="inlineStr">
        <is>
          <t>Tierra desnuda</t>
        </is>
      </c>
      <c r="B21" s="46" t="inlineStr"/>
      <c r="C21" s="51" t="n">
        <v>0.49</v>
      </c>
      <c r="D21" s="52" t="n">
        <v>0.74</v>
      </c>
    </row>
    <row r="22">
      <c r="A22" s="42" t="inlineStr">
        <is>
          <t>Clase no vegetal</t>
        </is>
      </c>
      <c r="B22" s="42" t="inlineStr"/>
      <c r="C22" s="49" t="n">
        <v>0</v>
      </c>
      <c r="D22" s="50" t="n">
        <v>0</v>
      </c>
    </row>
    <row r="23">
      <c r="A23" s="53" t="inlineStr">
        <is>
          <t>TOTAL CLASIFICADO</t>
        </is>
      </c>
      <c r="B23" s="53" t="inlineStr"/>
      <c r="C23" s="54">
        <f>SUM(C18:C22)</f>
        <v/>
      </c>
      <c r="D23" s="55">
        <f>SUM(D18:D22)</f>
        <v/>
      </c>
    </row>
    <row r="25">
      <c r="A25" s="56" t="inlineStr">
        <is>
          <t>INDICADOR DE BRECHA: 26.96 % del bloque (40.50 ha) bajo el umbral MSAVI de 0.4976 — referencia para la R.M. N° 00213-2024-MINAM.</t>
        </is>
      </c>
    </row>
    <row r="26">
      <c r="A26" s="57" t="inlineStr">
        <is>
          <t>Clases obtenidas por planimetría digital sobre los planos temáticos georreferenciados (clasificación por color de leyenda dentro del polígono). Tolerancia estimada ±2 % por oclusión de curvas de nivel, grilla y red vial. Se adopta el MSAVI como lectura preferente por corregir el efecto del suelo de fondo. Ambas escenas corresponden a años y estaciones distintos: su contraste no constituye serie temporal.</t>
        </is>
      </c>
    </row>
  </sheetData>
  <mergeCells count="5">
    <mergeCell ref="A1:D1"/>
    <mergeCell ref="A5:D5"/>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10" customWidth="1" style="17" min="1" max="1"/>
    <col width="12" customWidth="1" style="17" min="2" max="2"/>
    <col width="14" customWidth="1" style="17" min="3" max="3"/>
    <col width="14" customWidth="1" style="17" min="4" max="4"/>
    <col width="34" customWidth="1" style="17" min="5" max="5"/>
    <col width="78" customWidth="1" style="17" min="6" max="6"/>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ESTACIONES FOTOGRÁFICAS GEORREFERENCIADAS — BLOQUE 10 · 12-08-2026</t>
        </is>
      </c>
    </row>
    <row r="7" ht="30" customHeight="1" s="17">
      <c r="A7" s="39" t="inlineStr">
        <is>
          <t>Código</t>
        </is>
      </c>
      <c r="B7" s="39" t="inlineStr">
        <is>
          <t>Hora</t>
        </is>
      </c>
      <c r="C7" s="39" t="inlineStr">
        <is>
          <t>UTM ESTE</t>
        </is>
      </c>
      <c r="D7" s="39" t="inlineStr">
        <is>
          <t>UTM NORTE</t>
        </is>
      </c>
      <c r="E7" s="39" t="inlineStr">
        <is>
          <t>Posición respecto al polígono</t>
        </is>
      </c>
      <c r="F7" s="39" t="inlineStr">
        <is>
          <t>Contenido</t>
        </is>
      </c>
    </row>
    <row r="8">
      <c r="A8" s="42" t="inlineStr">
        <is>
          <t>E-01</t>
        </is>
      </c>
      <c r="B8" s="42" t="inlineStr">
        <is>
          <t>12:40:27</t>
        </is>
      </c>
      <c r="C8" s="58" t="n"/>
      <c r="D8" s="58" t="n"/>
      <c r="E8" s="42" t="inlineStr">
        <is>
          <t>Sin sello UTM</t>
        </is>
      </c>
      <c r="F8" s="43" t="inlineStr">
        <is>
          <t>Vivienda rural sobre plataforma de corte reciente junto a trocha; zanja de drenaje incipiente, suelo desnudo continuo y arbustos plantados (compatible con café) en el talud</t>
        </is>
      </c>
    </row>
    <row r="9">
      <c r="A9" s="46" t="inlineStr">
        <is>
          <t>E-02</t>
        </is>
      </c>
      <c r="B9" s="46" t="inlineStr">
        <is>
          <t>14:05:08</t>
        </is>
      </c>
      <c r="C9" s="59" t="n">
        <v>651184</v>
      </c>
      <c r="D9" s="59" t="n">
        <v>9382309</v>
      </c>
      <c r="E9" s="46" t="inlineStr">
        <is>
          <t>DENTRO (~253 m del borde)</t>
        </is>
      </c>
      <c r="F9" s="47" t="inlineStr">
        <is>
          <t>Panorámica hacia laderas con mosaico de parcelas agrícolas sobre matorral y bosque seco de montaña</t>
        </is>
      </c>
    </row>
    <row r="10">
      <c r="A10" s="42" t="inlineStr">
        <is>
          <t>E-03</t>
        </is>
      </c>
      <c r="B10" s="42" t="inlineStr">
        <is>
          <t>14:05:16</t>
        </is>
      </c>
      <c r="C10" s="58" t="n">
        <v>651187</v>
      </c>
      <c r="D10" s="58" t="n">
        <v>9382311</v>
      </c>
      <c r="E10" s="42" t="inlineStr">
        <is>
          <t>DENTRO (~249 m del borde)</t>
        </is>
      </c>
      <c r="F10" s="43" t="inlineStr">
        <is>
          <t>Panorámica de la vertiente y crestas rocosas superiores; parcelas de cultivo en fuerte pendiente</t>
        </is>
      </c>
    </row>
    <row r="11">
      <c r="A11" s="46" t="inlineStr">
        <is>
          <t>E-04</t>
        </is>
      </c>
      <c r="B11" s="46" t="inlineStr">
        <is>
          <t>14:12:18</t>
        </is>
      </c>
      <c r="C11" s="59" t="n">
        <v>650922</v>
      </c>
      <c r="D11" s="59" t="n">
        <v>9382733</v>
      </c>
      <c r="E11" s="46" t="inlineStr">
        <is>
          <t>DENTRO (~302 m del borde)</t>
        </is>
      </c>
      <c r="F11" s="47" t="inlineStr">
        <is>
          <t>Ladera con dosel semidenso y crestón rocoso fracturado; contacto matorral–bosque seco</t>
        </is>
      </c>
    </row>
    <row r="12">
      <c r="A12" s="42" t="inlineStr">
        <is>
          <t>E-05</t>
        </is>
      </c>
      <c r="B12" s="42" t="inlineStr">
        <is>
          <t>14:12:51</t>
        </is>
      </c>
      <c r="C12" s="58" t="n">
        <v>650922</v>
      </c>
      <c r="D12" s="58" t="n">
        <v>9382733</v>
      </c>
      <c r="E12" s="42" t="inlineStr">
        <is>
          <t>DENTRO (~302 m del borde)</t>
        </is>
      </c>
      <c r="F12" s="43" t="inlineStr">
        <is>
          <t>Vertiente de exposición este con cobertura arbustiva continua a contraluz</t>
        </is>
      </c>
    </row>
    <row r="13">
      <c r="A13" s="46" t="inlineStr">
        <is>
          <t>E-06</t>
        </is>
      </c>
      <c r="B13" s="46" t="inlineStr">
        <is>
          <t>14:22:29</t>
        </is>
      </c>
      <c r="C13" s="59" t="n">
        <v>651857</v>
      </c>
      <c r="D13" s="59" t="n">
        <v>9383235</v>
      </c>
      <c r="E13" s="46" t="inlineStr">
        <is>
          <t>FUERA (~570 m al NE)</t>
        </is>
      </c>
      <c r="F13" s="47" t="inlineStr">
        <is>
          <t>Panorámica del corredor vial: trocha de corte a media ladera y conjunto de edificaciones de techo claro compatible con campamento de obra (por confirmar)</t>
        </is>
      </c>
    </row>
    <row r="15">
      <c r="A15" s="57" t="inlineStr">
        <is>
          <t>Sistema de referencia: UTM WGS 84 Zona 17 S (EPSG:32717). Distancias medidas sobre el plano temático georreferenciado, tolerancia ±10-15 m.</t>
        </is>
      </c>
    </row>
  </sheetData>
  <mergeCells count="5">
    <mergeCell ref="A2:F2"/>
    <mergeCell ref="A1:F1"/>
    <mergeCell ref="A5:F5"/>
    <mergeCell ref="A4:F4"/>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2" customWidth="1" style="17" min="1" max="1"/>
    <col width="14" customWidth="1" style="17" min="2" max="2"/>
    <col width="16" customWidth="1" style="17" min="3" max="3"/>
    <col width="14" customWidth="1" style="17" min="4" max="4"/>
    <col width="22" customWidth="1" style="17" min="5" max="5"/>
    <col width="20" customWidth="1" style="17" min="6" max="6"/>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CONTEXTO INTRAMICROCUENCA C1076-Q9593 · Distrito de Huarmaca</t>
        </is>
      </c>
    </row>
    <row r="7" ht="30" customHeight="1" s="17">
      <c r="A7" s="39" t="inlineStr">
        <is>
          <t>Bloque</t>
        </is>
      </c>
      <c r="B7" s="39" t="inlineStr">
        <is>
          <t>Área (ha)</t>
        </is>
      </c>
      <c r="C7" s="39" t="inlineStr">
        <is>
          <t>% microcuenca</t>
        </is>
      </c>
      <c r="D7" s="39" t="inlineStr">
        <is>
          <t>MSAVI 2024</t>
        </is>
      </c>
      <c r="E7" s="39" t="inlineStr">
        <is>
          <t>Altitud (msnm)</t>
        </is>
      </c>
      <c r="F7" s="39" t="inlineStr">
        <is>
          <t>Pendiente prom. (%)</t>
        </is>
      </c>
    </row>
    <row r="8">
      <c r="A8" s="60" t="inlineStr">
        <is>
          <t>10</t>
        </is>
      </c>
      <c r="B8" s="61" t="n">
        <v>150.214</v>
      </c>
      <c r="C8" s="62" t="n">
        <v>28.67</v>
      </c>
      <c r="D8" s="63" t="n">
        <v>0.5465</v>
      </c>
      <c r="E8" s="60" t="inlineStr">
        <is>
          <t>912 – 1510</t>
        </is>
      </c>
      <c r="F8" s="64" t="n">
        <v>27.39</v>
      </c>
    </row>
    <row r="9">
      <c r="A9" s="46" t="inlineStr">
        <is>
          <t>8</t>
        </is>
      </c>
      <c r="B9" s="65" t="n">
        <v>126.952</v>
      </c>
      <c r="C9" s="51" t="n">
        <v>24.23</v>
      </c>
      <c r="D9" s="66" t="n">
        <v>0.5548</v>
      </c>
      <c r="E9" s="46" t="inlineStr">
        <is>
          <t>1504 – 1970</t>
        </is>
      </c>
      <c r="F9" s="67" t="n">
        <v>29.85</v>
      </c>
    </row>
    <row r="10">
      <c r="A10" s="42" t="inlineStr">
        <is>
          <t>16</t>
        </is>
      </c>
      <c r="B10" s="68" t="n">
        <v>83.327</v>
      </c>
      <c r="C10" s="49" t="n">
        <v>15.91</v>
      </c>
      <c r="D10" s="69" t="n">
        <v>0.6284</v>
      </c>
      <c r="E10" s="42" t="inlineStr">
        <is>
          <t>1349 – 1746</t>
        </is>
      </c>
      <c r="F10" s="70" t="n">
        <v>22.34</v>
      </c>
    </row>
    <row r="11">
      <c r="A11" s="46" t="inlineStr">
        <is>
          <t>20</t>
        </is>
      </c>
      <c r="B11" s="65" t="n">
        <v>81.334</v>
      </c>
      <c r="C11" s="51" t="n">
        <v>15.53</v>
      </c>
      <c r="D11" s="66" t="n">
        <v>0.4851</v>
      </c>
      <c r="E11" s="46" t="inlineStr">
        <is>
          <t>1217 – 1607</t>
        </is>
      </c>
      <c r="F11" s="67" t="n">
        <v>24.54</v>
      </c>
    </row>
    <row r="12">
      <c r="A12" s="42" t="inlineStr">
        <is>
          <t>80</t>
        </is>
      </c>
      <c r="B12" s="68" t="n">
        <v>28.83</v>
      </c>
      <c r="C12" s="49" t="n">
        <v>5.5</v>
      </c>
      <c r="D12" s="69" t="n">
        <v>0.5931</v>
      </c>
      <c r="E12" s="42" t="inlineStr">
        <is>
          <t>2180 – 2491</t>
        </is>
      </c>
      <c r="F12" s="70" t="n">
        <v>32.9</v>
      </c>
    </row>
    <row r="13">
      <c r="A13" s="46" t="inlineStr">
        <is>
          <t>51</t>
        </is>
      </c>
      <c r="B13" s="65" t="n">
        <v>22.927</v>
      </c>
      <c r="C13" s="51" t="n">
        <v>4.38</v>
      </c>
      <c r="D13" s="66" t="n">
        <v>0.5238</v>
      </c>
      <c r="E13" s="46" t="inlineStr">
        <is>
          <t>1734 – 2018</t>
        </is>
      </c>
      <c r="F13" s="67" t="n">
        <v>31.74</v>
      </c>
    </row>
    <row r="14">
      <c r="A14" s="42" t="inlineStr">
        <is>
          <t>76</t>
        </is>
      </c>
      <c r="B14" s="68" t="n">
        <v>19.615</v>
      </c>
      <c r="C14" s="49" t="n">
        <v>3.74</v>
      </c>
      <c r="D14" s="69" t="n">
        <v>0.4925</v>
      </c>
      <c r="E14" s="42" t="inlineStr">
        <is>
          <t>1647 – 1838</t>
        </is>
      </c>
      <c r="F14" s="70" t="n">
        <v>26.25</v>
      </c>
    </row>
    <row r="15">
      <c r="A15" s="46" t="inlineStr">
        <is>
          <t>71</t>
        </is>
      </c>
      <c r="B15" s="65" t="n">
        <v>10.673</v>
      </c>
      <c r="C15" s="51" t="n">
        <v>2.04</v>
      </c>
      <c r="D15" s="66" t="n">
        <v>0.5571</v>
      </c>
      <c r="E15" s="46" t="inlineStr">
        <is>
          <t>1478 – 1609</t>
        </is>
      </c>
      <c r="F15" s="67" t="n">
        <v>29.45</v>
      </c>
    </row>
    <row r="16">
      <c r="A16" s="53" t="inlineStr">
        <is>
          <t>TOTAL / prom.</t>
        </is>
      </c>
      <c r="B16" s="71">
        <f>SUM(B8:B15)</f>
        <v/>
      </c>
      <c r="C16" s="54">
        <f>SUM(C8:C15)</f>
        <v/>
      </c>
      <c r="D16" s="72">
        <f>AVERAGE(D8:D15)</f>
        <v/>
      </c>
      <c r="E16" s="53" t="inlineStr">
        <is>
          <t>912 – 2 491</t>
        </is>
      </c>
      <c r="F16" s="73">
        <f>AVERAGE(F8:F15)</f>
        <v/>
      </c>
    </row>
  </sheetData>
  <mergeCells count="5">
    <mergeCell ref="A2:F2"/>
    <mergeCell ref="A1:F1"/>
    <mergeCell ref="A5:F5"/>
    <mergeCell ref="A4:F4"/>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12-08-2026</t>
        </is>
      </c>
      <c r="C8" s="13" t="n"/>
      <c r="D8" s="14" t="n"/>
      <c r="E8" s="31" t="inlineStr">
        <is>
          <t>Hora de registro</t>
        </is>
      </c>
      <c r="F8" s="15" t="inlineStr">
        <is>
          <t>12:40 – 14:22 h</t>
        </is>
      </c>
      <c r="G8" s="13" t="n"/>
      <c r="H8" s="14" t="n"/>
    </row>
    <row r="9" ht="19.5" customHeight="1" s="17">
      <c r="A9" s="31" t="inlineStr">
        <is>
          <t>Brigada / Responsable *</t>
        </is>
      </c>
      <c r="B9" s="15" t="inlineStr">
        <is>
          <t>Brigada SESDI — IN Piura</t>
        </is>
      </c>
      <c r="C9" s="13" t="n"/>
      <c r="D9" s="14" t="n"/>
      <c r="E9" s="31" t="inlineStr">
        <is>
          <t>Ficha N° (correlativo)</t>
        </is>
      </c>
      <c r="F9" s="15" t="inlineStr">
        <is>
          <t>F-DT-01-B10-2026</t>
        </is>
      </c>
      <c r="G9" s="13" t="n"/>
      <c r="H9" s="14" t="n"/>
    </row>
    <row r="10" ht="19.5" customHeight="1" s="17">
      <c r="A10" s="31" t="inlineStr">
        <is>
          <t>Código del Bloque *</t>
        </is>
      </c>
      <c r="B10" s="15" t="inlineStr">
        <is>
          <t>10</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651184</v>
      </c>
      <c r="C13" s="13" t="n"/>
      <c r="D13" s="14" t="n"/>
      <c r="E13" s="31" t="inlineStr">
        <is>
          <t>UTM NORTE punto de muestreo (m) *</t>
        </is>
      </c>
      <c r="F13" s="15" t="n">
        <v>9382309</v>
      </c>
      <c r="G13" s="13" t="n"/>
      <c r="H13" s="14" t="n"/>
    </row>
    <row r="14" ht="19.5" customHeight="1" s="17">
      <c r="A14" s="31" t="inlineStr">
        <is>
          <t>Altitud GPS (msnm) *</t>
        </is>
      </c>
      <c r="B14" s="15" t="inlineStr">
        <is>
          <t>Por determinar</t>
        </is>
      </c>
      <c r="C14" s="13" t="n"/>
      <c r="D14" s="14" t="n"/>
      <c r="E14" s="31" t="inlineStr">
        <is>
          <t>Centro poblado más cercano</t>
        </is>
      </c>
      <c r="F14" s="15" t="inlineStr">
        <is>
          <t>La Peña · Peña Grande (rótulo en plano)</t>
        </is>
      </c>
      <c r="G14" s="13" t="n"/>
      <c r="H14" s="14" t="n"/>
    </row>
    <row r="15" ht="19.5" customHeight="1" s="17">
      <c r="A15" s="31" t="inlineStr">
        <is>
          <t>Comunidad Campesina (si aplica)</t>
        </is>
      </c>
      <c r="B15" s="15" t="inlineStr">
        <is>
          <t>Por determinar</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Montañoso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media</t>
        </is>
      </c>
      <c r="C20" s="13" t="n"/>
      <c r="D20" s="13" t="n"/>
      <c r="E20" s="13" t="n"/>
      <c r="F20" s="13" t="n"/>
      <c r="G20" s="13" t="n"/>
      <c r="H20" s="14" t="n"/>
    </row>
    <row r="21" ht="19.5" customHeight="1" s="17">
      <c r="A21" s="31" t="inlineStr">
        <is>
          <t>Exposición / Orientación dominante *</t>
        </is>
      </c>
      <c r="B21" s="15" t="inlineStr">
        <is>
          <t>Este</t>
        </is>
      </c>
      <c r="C21" s="13" t="n"/>
      <c r="D21" s="13" t="n"/>
      <c r="E21" s="13" t="n"/>
      <c r="F21" s="13" t="n"/>
      <c r="G21" s="13" t="n"/>
      <c r="H21" s="14" t="n"/>
    </row>
    <row r="22" ht="19.5" customHeight="1" s="17">
      <c r="A22" s="31" t="inlineStr">
        <is>
          <t>Rango altitudinal del bloque *</t>
        </is>
      </c>
      <c r="B22" s="15" t="inlineStr">
        <is>
          <t>1000-1500 m (Quechua baja)</t>
        </is>
      </c>
      <c r="C22" s="13" t="n"/>
      <c r="D22" s="13" t="n"/>
      <c r="E22" s="13" t="n"/>
      <c r="F22" s="13" t="n"/>
      <c r="G22" s="13" t="n"/>
      <c r="H22" s="14" t="n"/>
    </row>
    <row r="23" ht="19.5" customHeight="1" s="17">
      <c r="A23" s="31" t="inlineStr">
        <is>
          <t>Paisaje dominante (descripción libre)</t>
        </is>
      </c>
      <c r="B23" s="15" t="inlineStr">
        <is>
          <t>Laderas tributarias de la quebrada Q9593 entre 912 y 1510 msnm (amplitud 598 m), pendiente promedio 27.39 % (MDE). Mosaico de bosque estacionalmente seco de colina y montaña, matorral con cactáceas columnares y faique, pastizal seco y parcelas agrícolas en fuerte pendiente.</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Sí</t>
        </is>
      </c>
      <c r="C26" s="13" t="n"/>
      <c r="D26" s="13" t="n"/>
      <c r="E26" s="13" t="n"/>
      <c r="F26" s="13" t="n"/>
      <c r="G26" s="13" t="n"/>
      <c r="H26" s="14" t="n"/>
    </row>
    <row r="27" ht="19.5" customHeight="1" s="17">
      <c r="A27" s="31" t="inlineStr">
        <is>
          <t>Presencia de escarpes activos *</t>
        </is>
      </c>
      <c r="B27" s="15" t="inlineStr">
        <is>
          <t>Sí</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PRELLENADO DE GABINETE. Reconocimiento del 12-08-2026 mediante recorrido vehicular con registro fotográfico georreferenciado; la ficha NO fue diligenciada en campo. Altitud GPS no registrada. Rango altitudinal y pendiente proceden de estadística zonal sobre el MDE. Cuatro de las cinco estaciones georreferenciadas se ubican DENTRO del polígono (249-302 m del borde); la restante, a ~570 m al NE. Los indicadores no cuantificados se rotulan «Por determinar» y no fueron inferidos.</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12-08-2026</t>
        </is>
      </c>
      <c r="E8" s="13" t="n"/>
      <c r="F8" s="14" t="n"/>
      <c r="G8" s="31" t="inlineStr">
        <is>
          <t>Responsable *</t>
        </is>
      </c>
      <c r="H8" s="13" t="n"/>
      <c r="I8" s="14" t="n"/>
      <c r="J8" s="15" t="inlineStr">
        <is>
          <t>Brigada SESDI — IN Piura</t>
        </is>
      </c>
      <c r="K8" s="13" t="n"/>
      <c r="L8" s="14" t="n"/>
    </row>
    <row r="9" ht="19.5" customHeight="1" s="17">
      <c r="A9" s="31" t="inlineStr">
        <is>
          <t>Código del Bloque *</t>
        </is>
      </c>
      <c r="B9" s="13" t="n"/>
      <c r="C9" s="14" t="n"/>
      <c r="D9" s="15" t="inlineStr">
        <is>
          <t>10</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inlineStr">
        <is>
          <t>Por determinar</t>
        </is>
      </c>
      <c r="K10" s="13" t="n"/>
      <c r="L10" s="14" t="n"/>
    </row>
    <row r="11" ht="19.5" customHeight="1" s="17">
      <c r="A11" s="31" t="inlineStr">
        <is>
          <t>UTM ESTE punto de muestreo *</t>
        </is>
      </c>
      <c r="B11" s="13" t="n"/>
      <c r="C11" s="14" t="n"/>
      <c r="D11" s="15" t="n">
        <v>651184</v>
      </c>
      <c r="E11" s="13" t="n"/>
      <c r="F11" s="14" t="n"/>
      <c r="G11" s="31" t="inlineStr">
        <is>
          <t>UTM NORTE punto de muestreo *</t>
        </is>
      </c>
      <c r="H11" s="13" t="n"/>
      <c r="I11" s="14" t="n"/>
      <c r="J11" s="15" t="n">
        <v>9382309</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inlineStr">
        <is>
          <t>Por determinar</t>
        </is>
      </c>
      <c r="E14" s="13" t="n"/>
      <c r="F14" s="13" t="n"/>
      <c r="G14" s="13" t="n"/>
      <c r="H14" s="13" t="n"/>
      <c r="I14" s="13" t="n"/>
      <c r="J14" s="13" t="n"/>
      <c r="K14" s="13" t="n"/>
      <c r="L14" s="14" t="n"/>
    </row>
    <row r="15" ht="19.5" customHeight="1" s="17">
      <c r="A15" s="31" t="inlineStr">
        <is>
          <t>¿Compactación por pisoteo de ganado?</t>
        </is>
      </c>
      <c r="B15" s="13" t="n"/>
      <c r="C15" s="14" t="n"/>
      <c r="D15" s="15" t="inlineStr">
        <is>
          <t>Por determinar</t>
        </is>
      </c>
      <c r="E15" s="13" t="n"/>
      <c r="F15" s="13" t="n"/>
      <c r="G15" s="13" t="n"/>
      <c r="H15" s="13" t="n"/>
      <c r="I15" s="13" t="n"/>
      <c r="J15" s="13" t="n"/>
      <c r="K15" s="13" t="n"/>
      <c r="L15" s="14" t="n"/>
    </row>
    <row r="16" ht="19.5" customHeight="1" s="17">
      <c r="A16" s="31" t="inlineStr">
        <is>
          <t>¿Raíces expuestas en superficie?</t>
        </is>
      </c>
      <c r="B16" s="13" t="n"/>
      <c r="C16" s="14" t="n"/>
      <c r="D16" s="15" t="inlineStr">
        <is>
          <t>Por determinar</t>
        </is>
      </c>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15" t="inlineStr">
        <is>
          <t>Por determinar</t>
        </is>
      </c>
      <c r="E35" s="13" t="n"/>
      <c r="F35" s="14" t="n"/>
      <c r="G35" s="31" t="inlineStr">
        <is>
          <t>Longitud total de cárcavas (m)</t>
        </is>
      </c>
      <c r="H35" s="13" t="n"/>
      <c r="I35" s="14" t="n"/>
      <c r="J35" s="15" t="inlineStr">
        <is>
          <t>Por determinar</t>
        </is>
      </c>
      <c r="K35" s="13" t="n"/>
      <c r="L35" s="14" t="n"/>
    </row>
    <row r="36" ht="19.5" customHeight="1" s="17">
      <c r="A36" s="31" t="inlineStr">
        <is>
          <t>% del bloque afectado por cárcavas</t>
        </is>
      </c>
      <c r="B36" s="13" t="n"/>
      <c r="C36" s="14" t="n"/>
      <c r="D36" s="15" t="inlineStr">
        <is>
          <t>Por determinar</t>
        </is>
      </c>
      <c r="E36" s="13" t="n"/>
      <c r="F36" s="14" t="n"/>
      <c r="G36" s="31" t="inlineStr">
        <is>
          <t>Erosión laminar observada (%)</t>
        </is>
      </c>
      <c r="H36" s="13" t="n"/>
      <c r="I36" s="14" t="n"/>
      <c r="J36" s="15" t="inlineStr">
        <is>
          <t>Por determinar</t>
        </is>
      </c>
      <c r="K36" s="13" t="n"/>
      <c r="L36" s="14" t="n"/>
    </row>
    <row r="37" ht="19.5" customHeight="1" s="17">
      <c r="A37" s="31" t="inlineStr">
        <is>
          <t>Patrón de cárcavas dominante</t>
        </is>
      </c>
      <c r="B37" s="13" t="n"/>
      <c r="C37" s="14" t="n"/>
      <c r="D37" s="15" t="inlineStr">
        <is>
          <t>Lineal</t>
        </is>
      </c>
      <c r="E37" s="13" t="n"/>
      <c r="F37" s="13" t="n"/>
      <c r="G37" s="13" t="n"/>
      <c r="H37" s="13" t="n"/>
      <c r="I37" s="13" t="n"/>
      <c r="J37" s="13" t="n"/>
      <c r="K37" s="13" t="n"/>
      <c r="L37" s="14" t="n"/>
    </row>
    <row r="38" ht="19.5" customHeight="1" s="17">
      <c r="A38" s="31" t="inlineStr">
        <is>
          <t>Presencia de socavamiento de cauce</t>
        </is>
      </c>
      <c r="B38" s="13" t="n"/>
      <c r="C38" s="14" t="n"/>
      <c r="D38" s="15" t="inlineStr">
        <is>
          <t>Por determinar</t>
        </is>
      </c>
      <c r="E38" s="13" t="n"/>
      <c r="F38" s="13" t="n"/>
      <c r="G38" s="13" t="n"/>
      <c r="H38" s="13" t="n"/>
      <c r="I38" s="13" t="n"/>
      <c r="J38" s="13" t="n"/>
      <c r="K38" s="13" t="n"/>
      <c r="L38" s="14" t="n"/>
    </row>
    <row r="39" ht="19.5" customHeight="1" s="17">
      <c r="A39" s="31" t="inlineStr">
        <is>
          <t>Urgencia de control</t>
        </is>
      </c>
      <c r="B39" s="13" t="n"/>
      <c r="C39" s="14" t="n"/>
      <c r="D39" s="15" t="inlineStr">
        <is>
          <t>Alta</t>
        </is>
      </c>
      <c r="E39" s="13" t="n"/>
      <c r="F39" s="13" t="n"/>
      <c r="G39" s="13" t="n"/>
      <c r="H39" s="13" t="n"/>
      <c r="I39" s="13" t="n"/>
      <c r="J39" s="13" t="n"/>
      <c r="K39" s="13" t="n"/>
      <c r="L39" s="14" t="n"/>
    </row>
    <row r="41" ht="21.75" customHeight="1" s="17">
      <c r="A41" s="19" t="inlineStr">
        <is>
          <t>OBSERVACIONES</t>
        </is>
      </c>
    </row>
    <row r="42" ht="27.75" customHeight="1" s="17">
      <c r="A42" s="23" t="inlineStr">
        <is>
          <t xml:space="preserve">FICHA NO LEVANTADA EN CAMPO — INVENTARIO DE CÁRCAVAS NO EJECUTADO. La ausencia de registros no equivale a ausencia verificada. Síntesis de gabinete a partir del registro fotográfico y de la clasificación MSAVI. Evidencia: plataforma de corte con suelo desnudo continuo, zanja de drenaje incipiente y acanaladuras sobre la trocha que atraviesa el bloque (E-01); superficies bajo umbral MSAVI concentradas en el sector centro-occidental y en el entorno del C.P. Peña Grande. </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4" t="n"/>
      <c r="E8" s="31" t="inlineStr">
        <is>
          <t>Responsable *</t>
        </is>
      </c>
      <c r="F8" s="14" t="n"/>
      <c r="G8" s="15" t="inlineStr">
        <is>
          <t>Brigada SESDI — IN Piura</t>
        </is>
      </c>
      <c r="H8" s="13" t="n"/>
      <c r="I8" s="14" t="n"/>
    </row>
    <row r="9" ht="19.5" customHeight="1" s="17">
      <c r="A9" s="31" t="inlineStr">
        <is>
          <t>Código del Bloque *</t>
        </is>
      </c>
      <c r="B9" s="14" t="n"/>
      <c r="C9" s="15" t="inlineStr">
        <is>
          <t>10</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inlineStr">
        <is>
          <t>No instalada</t>
        </is>
      </c>
      <c r="H10" s="13" t="n"/>
      <c r="I10" s="14" t="n"/>
    </row>
    <row r="11" ht="19.5" customHeight="1" s="17">
      <c r="A11" s="31" t="inlineStr">
        <is>
          <t>Dimensiones de parcela (m × m)</t>
        </is>
      </c>
      <c r="B11" s="14" t="n"/>
      <c r="C11" s="15" t="inlineStr">
        <is>
          <t>No aplica</t>
        </is>
      </c>
      <c r="D11" s="14" t="n"/>
      <c r="E11" s="31" t="inlineStr">
        <is>
          <t>Altitud (msnm)</t>
        </is>
      </c>
      <c r="F11" s="14" t="n"/>
      <c r="G11" s="15" t="inlineStr">
        <is>
          <t>Por determinar</t>
        </is>
      </c>
      <c r="H11" s="13" t="n"/>
      <c r="I11" s="14" t="n"/>
    </row>
    <row r="12" ht="19.5" customHeight="1" s="17">
      <c r="A12" s="31" t="inlineStr">
        <is>
          <t>Pendiente promedio de la parcela (%)</t>
        </is>
      </c>
      <c r="B12" s="14" t="n"/>
      <c r="C12" s="15" t="n">
        <v>27.39</v>
      </c>
      <c r="D12" s="14" t="n"/>
      <c r="E12" s="31" t="inlineStr">
        <is>
          <t>Cobertura vegetal total estimada (%) *</t>
        </is>
      </c>
      <c r="F12" s="14" t="n"/>
      <c r="G12" s="15" t="inlineStr">
        <is>
          <t>Por determinar</t>
        </is>
      </c>
      <c r="H12" s="13" t="n"/>
      <c r="I12" s="14" t="n"/>
    </row>
    <row r="13" ht="19.5" customHeight="1" s="17">
      <c r="A13" s="31" t="inlineStr">
        <is>
          <t>UTM ESTE esquina inferior *</t>
        </is>
      </c>
      <c r="B13" s="14" t="n"/>
      <c r="C13" s="15" t="n">
        <v>651184</v>
      </c>
      <c r="D13" s="14" t="n"/>
      <c r="E13" s="31" t="inlineStr">
        <is>
          <t>UTM NORTE esquina inferior *</t>
        </is>
      </c>
      <c r="F13" s="14" t="n"/>
      <c r="G13" s="15" t="n">
        <v>9382309</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inlineStr">
        <is>
          <t>Por determinar</t>
        </is>
      </c>
      <c r="D17" s="13" t="n"/>
      <c r="E17" s="13" t="n"/>
      <c r="F17" s="13" t="n"/>
      <c r="G17" s="13" t="n"/>
      <c r="H17" s="13" t="n"/>
      <c r="I17" s="14" t="n"/>
    </row>
    <row r="18" ht="19.5" customHeight="1" s="17">
      <c r="A18" s="31" t="inlineStr">
        <is>
          <t>Estado de conservación general *</t>
        </is>
      </c>
      <c r="B18" s="14" t="n"/>
      <c r="C18" s="15" t="inlineStr">
        <is>
          <t>Alterado (intervención marcada)</t>
        </is>
      </c>
      <c r="D18" s="13" t="n"/>
      <c r="E18" s="13" t="n"/>
      <c r="F18" s="13" t="n"/>
      <c r="G18" s="13" t="n"/>
      <c r="H18" s="13" t="n"/>
      <c r="I18" s="14" t="n"/>
    </row>
    <row r="19" ht="19.5" customHeight="1" s="17">
      <c r="A19" s="31" t="inlineStr">
        <is>
          <t>Uso actual dominante del suelo *</t>
        </is>
      </c>
      <c r="B19" s="14" t="n"/>
      <c r="C19" s="15" t="inlineStr">
        <is>
          <t>Uso mixto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inlineStr">
        <is>
          <t>Por determinar</t>
        </is>
      </c>
      <c r="D22" s="14" t="n"/>
      <c r="E22" s="31" t="inlineStr">
        <is>
          <t>Por determinar</t>
        </is>
      </c>
      <c r="F22" s="14" t="n"/>
      <c r="G22" s="15" t="n"/>
      <c r="H22" s="13" t="n"/>
      <c r="I22" s="14" t="n"/>
    </row>
    <row r="23" ht="19.5" customHeight="1" s="17">
      <c r="A23" s="31" t="inlineStr">
        <is>
          <t>Cobertura herbácea-graminoide (%)</t>
        </is>
      </c>
      <c r="B23" s="14" t="n"/>
      <c r="C23" s="15" t="inlineStr">
        <is>
          <t>Por determinar</t>
        </is>
      </c>
      <c r="D23" s="14" t="n"/>
      <c r="E23" s="31" t="inlineStr">
        <is>
          <t>Por determinar</t>
        </is>
      </c>
      <c r="F23" s="14" t="n"/>
      <c r="G23" s="15" t="n"/>
      <c r="H23" s="13" t="n"/>
      <c r="I23" s="14" t="n"/>
    </row>
    <row r="24" ht="19.5" customHeight="1" s="17">
      <c r="A24" s="31" t="inlineStr">
        <is>
          <t>Cobertura de suelo desnudo (%)</t>
        </is>
      </c>
      <c r="B24" s="14" t="n"/>
      <c r="C24" s="15" t="inlineStr">
        <is>
          <t>Por determinar</t>
        </is>
      </c>
      <c r="D24" s="14" t="n"/>
      <c r="E24" s="31" t="inlineStr">
        <is>
          <t>Por determinar</t>
        </is>
      </c>
      <c r="F24" s="14" t="n"/>
      <c r="G24" s="15" t="n"/>
      <c r="H24" s="13" t="n"/>
      <c r="I24" s="14" t="n"/>
    </row>
    <row r="25" ht="19.5" customHeight="1" s="17">
      <c r="A25" s="31" t="inlineStr">
        <is>
          <t>Altura máxima observada (m)</t>
        </is>
      </c>
      <c r="B25" s="14" t="n"/>
      <c r="C25" s="15" t="inlineStr">
        <is>
          <t>Por determinar</t>
        </is>
      </c>
      <c r="D25" s="14" t="n"/>
      <c r="E25" s="31" t="inlineStr">
        <is>
          <t>Por determinar</t>
        </is>
      </c>
      <c r="F25" s="14" t="n"/>
      <c r="G25" s="15" t="n"/>
      <c r="H25" s="13" t="n"/>
      <c r="I25" s="14" t="n"/>
    </row>
    <row r="26" ht="19.5" customHeight="1" s="17">
      <c r="A26" s="31" t="inlineStr">
        <is>
          <t>Regeneración natural observada *</t>
        </is>
      </c>
      <c r="B26" s="14" t="n"/>
      <c r="C26" s="15" t="inlineStr">
        <is>
          <t>Por determinar</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Mixto / Mosaico</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Frecuente (5-20%)</t>
        </is>
      </c>
      <c r="H35" s="3" t="inlineStr">
        <is>
          <t>Por determinar</t>
        </is>
      </c>
      <c r="I35" s="3" t="inlineStr">
        <is>
          <t>Por determinar</t>
        </is>
      </c>
    </row>
    <row r="36" ht="18" customHeight="1" s="17">
      <c r="A36" s="5" t="n">
        <v>2</v>
      </c>
      <c r="B36" s="4" t="inlineStr">
        <is>
          <t>Cactácea columnar</t>
        </is>
      </c>
      <c r="C36" s="4" t="inlineStr">
        <is>
          <t>Armatocereus sp. / Neoraimondia sp.</t>
        </is>
      </c>
      <c r="D36" s="4" t="inlineStr">
        <is>
          <t>Cactaceae</t>
        </is>
      </c>
      <c r="E36" s="3" t="inlineStr">
        <is>
          <t>Arbustivo alto (1.5-4 m)</t>
        </is>
      </c>
      <c r="F36" s="3" t="inlineStr">
        <is>
          <t>Nativa</t>
        </is>
      </c>
      <c r="G36" s="3" t="inlineStr">
        <is>
          <t>Ocasional (1-5%)</t>
        </is>
      </c>
      <c r="H36" s="3" t="inlineStr">
        <is>
          <t>Por determinar</t>
        </is>
      </c>
      <c r="I36" s="3" t="inlineStr">
        <is>
          <t>Por determinar</t>
        </is>
      </c>
    </row>
    <row r="37" ht="18" customHeight="1" s="17">
      <c r="A37" s="5" t="n">
        <v>3</v>
      </c>
      <c r="B37" s="4" t="inlineStr">
        <is>
          <t>Arbustivas de bosque estacionalmente seco</t>
        </is>
      </c>
      <c r="C37" s="4" t="inlineStr">
        <is>
          <t>Por determinar</t>
        </is>
      </c>
      <c r="D37" s="4" t="inlineStr">
        <is>
          <t>Por determinar</t>
        </is>
      </c>
      <c r="E37" s="3" t="inlineStr">
        <is>
          <t>Arbustivo alto (1.5-4 m)</t>
        </is>
      </c>
      <c r="F37" s="3" t="inlineStr">
        <is>
          <t>Nativa</t>
        </is>
      </c>
      <c r="G37" s="3" t="inlineStr">
        <is>
          <t>Abundante (20-40%)</t>
        </is>
      </c>
      <c r="H37" s="3" t="inlineStr">
        <is>
          <t>Por determinar</t>
        </is>
      </c>
      <c r="I37" s="3" t="inlineStr">
        <is>
          <t>Por determinar</t>
        </is>
      </c>
    </row>
    <row r="38" ht="18" customHeight="1" s="17">
      <c r="A38" s="5" t="n">
        <v>4</v>
      </c>
      <c r="B38" s="4" t="inlineStr">
        <is>
          <t>Arbusto de flor blanca</t>
        </is>
      </c>
      <c r="C38" s="4" t="inlineStr">
        <is>
          <t>Asteraceae por determinar</t>
        </is>
      </c>
      <c r="D38" s="4" t="inlineStr">
        <is>
          <t>Asteraceae</t>
        </is>
      </c>
      <c r="E38" s="3" t="inlineStr">
        <is>
          <t>Arbustivo alto (1.5-4 m)</t>
        </is>
      </c>
      <c r="F38" s="3" t="inlineStr">
        <is>
          <t>Nativa</t>
        </is>
      </c>
      <c r="G38" s="3" t="inlineStr">
        <is>
          <t>Frecuente (5-20%)</t>
        </is>
      </c>
      <c r="H38" s="3" t="inlineStr">
        <is>
          <t>Por determinar</t>
        </is>
      </c>
      <c r="I38" s="3" t="inlineStr">
        <is>
          <t>Por determinar</t>
        </is>
      </c>
    </row>
    <row r="39" ht="18" customHeight="1" s="17">
      <c r="A39" s="5" t="n">
        <v>5</v>
      </c>
      <c r="B39" s="4" t="inlineStr">
        <is>
          <t>Gramíneas / pastos naturales</t>
        </is>
      </c>
      <c r="C39" s="4" t="inlineStr">
        <is>
          <t>Poaceae por determinar</t>
        </is>
      </c>
      <c r="D39" s="4" t="inlineStr">
        <is>
          <t>Poaceae</t>
        </is>
      </c>
      <c r="E39" s="3" t="inlineStr">
        <is>
          <t>Herbáceo (&lt;0.5 m)</t>
        </is>
      </c>
      <c r="F39" s="3" t="inlineStr">
        <is>
          <t>Nativa</t>
        </is>
      </c>
      <c r="G39" s="3" t="inlineStr">
        <is>
          <t>Frecuente (5-20%)</t>
        </is>
      </c>
      <c r="H39" s="3" t="inlineStr">
        <is>
          <t>Por determinar</t>
        </is>
      </c>
      <c r="I39" s="3" t="inlineStr">
        <is>
          <t>Por determinar</t>
        </is>
      </c>
    </row>
    <row r="40" ht="18" customHeight="1" s="17">
      <c r="A40" s="5" t="n">
        <v>6</v>
      </c>
      <c r="B40" s="4" t="inlineStr">
        <is>
          <t>Café bajo sombra (cultivo)</t>
        </is>
      </c>
      <c r="C40" s="4" t="inlineStr">
        <is>
          <t>Coffea arabica</t>
        </is>
      </c>
      <c r="D40" s="4" t="inlineStr">
        <is>
          <t>Rubiaceae</t>
        </is>
      </c>
      <c r="E40" s="3" t="inlineStr">
        <is>
          <t>Arbustivo alto (1.5-4 m)</t>
        </is>
      </c>
      <c r="F40" s="3" t="inlineStr">
        <is>
          <t>Introducida</t>
        </is>
      </c>
      <c r="G40" s="3" t="inlineStr">
        <is>
          <t>Ocasional (1-5%)</t>
        </is>
      </c>
      <c r="H40" s="3" t="inlineStr">
        <is>
          <t>Por determinar</t>
        </is>
      </c>
      <c r="I40" s="3" t="inlineStr">
        <is>
          <t>Por determinar</t>
        </is>
      </c>
    </row>
    <row r="41" ht="18" customHeight="1" s="17">
      <c r="A41" s="5" t="n">
        <v>7</v>
      </c>
      <c r="B41" s="4" t="inlineStr">
        <is>
          <t>Plátano (cultivo)</t>
        </is>
      </c>
      <c r="C41" s="4" t="inlineStr">
        <is>
          <t>Musa × paradisiaca</t>
        </is>
      </c>
      <c r="D41" s="4" t="inlineStr">
        <is>
          <t>Musaceae</t>
        </is>
      </c>
      <c r="E41" s="3" t="inlineStr">
        <is>
          <t>Arbóreo bajo (4-8 m)</t>
        </is>
      </c>
      <c r="F41" s="3" t="inlineStr">
        <is>
          <t>Introducida</t>
        </is>
      </c>
      <c r="G41" s="3" t="inlineStr">
        <is>
          <t>Ocasional (1-5%)</t>
        </is>
      </c>
      <c r="H41" s="3" t="inlineStr">
        <is>
          <t>Por determinar</t>
        </is>
      </c>
      <c r="I41" s="3" t="inlineStr">
        <is>
          <t>Por determinar</t>
        </is>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Cactáceas columnares (Cactaceae)</t>
        </is>
      </c>
      <c r="C53" s="4" t="inlineStr">
        <is>
          <t>Indicadora de perturbación</t>
        </is>
      </c>
      <c r="D53" s="4" t="inlineStr">
        <is>
          <t>NE — No Evaluado</t>
        </is>
      </c>
      <c r="E53" s="3" t="n"/>
      <c r="F53" s="3" t="n"/>
      <c r="G53" s="3" t="n"/>
      <c r="H53" s="3" t="n"/>
      <c r="I53" s="4" t="inlineStr">
        <is>
          <t>Determinación específica indispensable frente al D.S. 043-2006-AG</t>
        </is>
      </c>
    </row>
    <row r="54" ht="18" customHeight="1" s="17">
      <c r="A54" s="5" t="n">
        <v>2</v>
      </c>
      <c r="B54" s="4" t="inlineStr">
        <is>
          <t>Vachellia macracantha (faique)</t>
        </is>
      </c>
      <c r="C54" s="4" t="inlineStr">
        <is>
          <t>Indicadora de buen estado</t>
        </is>
      </c>
      <c r="D54" s="4" t="inlineStr">
        <is>
          <t>LC — Preocupación Menor</t>
        </is>
      </c>
      <c r="E54" s="3" t="n"/>
      <c r="F54" s="3" t="n"/>
      <c r="G54" s="3" t="n"/>
      <c r="H54" s="3" t="n"/>
      <c r="I54" s="4" t="inlineStr">
        <is>
          <t>Especie estructurante del Bes-cm; fijadora de nitrógeno, apta para revegetación</t>
        </is>
      </c>
    </row>
    <row r="55" ht="18" customHeight="1" s="17">
      <c r="A55" s="5" t="n">
        <v>3</v>
      </c>
      <c r="B55" s="4" t="n"/>
      <c r="C55" s="4" t="n"/>
      <c r="D55" s="4" t="n"/>
      <c r="E55" s="3" t="n"/>
      <c r="F55" s="3" t="n"/>
      <c r="G55" s="3" t="n"/>
      <c r="H55" s="3" t="n"/>
      <c r="I55" s="4" t="n"/>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REGISTRO FLORÍSTICO INCOMPLETO: 7 taxones frente al mínimo de 15 exigido por la ficha. Las tres primeras entradas proceden de la declaración de campo (faique, cactáceas columnares y arbustivas de bosque estacionalmente seco de colina y montaña); las restantes, de fotointerpretación y quedan sujetas a confirmación. Ningún binomio ha sido confirmado taxonómicamente. No se instalaron parcelas de muestreo ni se ejecutó colecta botánica o medición dasométrica.</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3" t="n"/>
      <c r="E8" s="13" t="n"/>
      <c r="F8" s="13" t="n"/>
      <c r="G8" s="14" t="n"/>
    </row>
    <row r="9" ht="19.5" customHeight="1" s="17">
      <c r="A9" s="31" t="inlineStr">
        <is>
          <t>Responsable *</t>
        </is>
      </c>
      <c r="B9" s="14" t="n"/>
      <c r="C9" s="15" t="inlineStr">
        <is>
          <t>Brigada SESDI — IN Piura</t>
        </is>
      </c>
      <c r="D9" s="13" t="n"/>
      <c r="E9" s="13" t="n"/>
      <c r="F9" s="13" t="n"/>
      <c r="G9" s="14" t="n"/>
    </row>
    <row r="10" ht="19.5" customHeight="1" s="17">
      <c r="A10" s="31" t="inlineStr">
        <is>
          <t>Código del Bloque *</t>
        </is>
      </c>
      <c r="B10" s="14" t="n"/>
      <c r="C10" s="15" t="inlineStr">
        <is>
          <t>10</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Ligera</t>
        </is>
      </c>
      <c r="E15" s="3" t="inlineStr">
        <is>
          <t>Por determinar</t>
        </is>
      </c>
      <c r="F15" s="3" t="inlineStr">
        <is>
          <t>Por determinar</t>
        </is>
      </c>
      <c r="G15" s="4" t="inlineStr">
        <is>
          <t>Indicios de pastoreo extensivo; carga no cuantificada</t>
        </is>
      </c>
    </row>
    <row r="16" ht="18" customHeight="1" s="17">
      <c r="A16" s="5" t="n">
        <v>2</v>
      </c>
      <c r="B16" s="7" t="inlineStr">
        <is>
          <t>Tala para leña</t>
        </is>
      </c>
      <c r="C16" s="3" t="inlineStr">
        <is>
          <t>Por determinar</t>
        </is>
      </c>
      <c r="D16" s="3" t="n"/>
      <c r="E16" s="3" t="n"/>
      <c r="F16" s="3" t="n"/>
      <c r="G16" s="4" t="n"/>
    </row>
    <row r="17" ht="18" customHeight="1" s="17">
      <c r="A17" s="5" t="n">
        <v>3</v>
      </c>
      <c r="B17" s="7" t="inlineStr">
        <is>
          <t>Tala para carbón</t>
        </is>
      </c>
      <c r="C17" s="3" t="inlineStr">
        <is>
          <t>Por determinar</t>
        </is>
      </c>
      <c r="D17" s="3" t="n"/>
      <c r="E17" s="3" t="n"/>
      <c r="F17" s="3" t="n"/>
      <c r="G17" s="4" t="n"/>
    </row>
    <row r="18" ht="18" customHeight="1" s="17">
      <c r="A18" s="5" t="n">
        <v>4</v>
      </c>
      <c r="B18" s="7" t="inlineStr">
        <is>
          <t>Tala para madera</t>
        </is>
      </c>
      <c r="C18" s="3" t="inlineStr">
        <is>
          <t>Por determinar</t>
        </is>
      </c>
      <c r="D18" s="3" t="n"/>
      <c r="E18" s="3" t="n"/>
      <c r="F18" s="3" t="n"/>
      <c r="G18" s="4" t="n"/>
    </row>
    <row r="19" ht="18" customHeight="1" s="17">
      <c r="A19" s="5" t="n">
        <v>5</v>
      </c>
      <c r="B19" s="7" t="inlineStr">
        <is>
          <t>Quema (renovación de pastos)</t>
        </is>
      </c>
      <c r="C19" s="3" t="inlineStr">
        <is>
          <t>Por determinar</t>
        </is>
      </c>
      <c r="D19" s="3" t="n"/>
      <c r="E19" s="3" t="n"/>
      <c r="F19" s="3" t="n"/>
      <c r="G19" s="4" t="n"/>
    </row>
    <row r="20" ht="18" customHeight="1" s="17">
      <c r="A20" s="5" t="n">
        <v>6</v>
      </c>
      <c r="B20" s="7" t="inlineStr">
        <is>
          <t>Quema accidental / Incendio</t>
        </is>
      </c>
      <c r="C20" s="3" t="inlineStr">
        <is>
          <t>Por determinar</t>
        </is>
      </c>
      <c r="D20" s="3" t="n"/>
      <c r="E20" s="3" t="n"/>
      <c r="F20" s="3" t="n"/>
      <c r="G20" s="4" t="n"/>
    </row>
    <row r="21" ht="18" customHeight="1" s="17">
      <c r="A21" s="5" t="n">
        <v>7</v>
      </c>
      <c r="B21" s="7" t="inlineStr">
        <is>
          <t>Cambio de uso a agricultura</t>
        </is>
      </c>
      <c r="C21" s="3" t="inlineStr">
        <is>
          <t>Sí</t>
        </is>
      </c>
      <c r="D21" s="3" t="inlineStr">
        <is>
          <t>Moderada</t>
        </is>
      </c>
      <c r="E21" s="3" t="inlineStr">
        <is>
          <t>Por determinar</t>
        </is>
      </c>
      <c r="F21" s="3" t="inlineStr">
        <is>
          <t>Por determinar</t>
        </is>
      </c>
      <c r="G21" s="4" t="inlineStr">
        <is>
          <t>Mosaico de parcelas de cultivo en fuerte pendiente sobre las vertientes (E-02, E-03); café y plátano en el entorno del C.P. Peña Grande</t>
        </is>
      </c>
    </row>
    <row r="22" ht="18" customHeight="1" s="17">
      <c r="A22" s="5" t="n">
        <v>8</v>
      </c>
      <c r="B22" s="7" t="inlineStr">
        <is>
          <t>Cambio de uso a pastoreo</t>
        </is>
      </c>
      <c r="C22" s="3" t="inlineStr">
        <is>
          <t>Sí</t>
        </is>
      </c>
      <c r="D22" s="3" t="inlineStr">
        <is>
          <t>Ligera</t>
        </is>
      </c>
      <c r="E22" s="3" t="inlineStr">
        <is>
          <t>Por determinar</t>
        </is>
      </c>
      <c r="F22" s="3" t="inlineStr">
        <is>
          <t>Por determinar</t>
        </is>
      </c>
      <c r="G22" s="4" t="inlineStr">
        <is>
          <t>Pastizal seco en aristas y laderas de mayor insolación</t>
        </is>
      </c>
    </row>
    <row r="23" ht="18" customHeight="1" s="17">
      <c r="A23" s="5" t="n">
        <v>9</v>
      </c>
      <c r="B23" s="7" t="inlineStr">
        <is>
          <t>Expansión urbana / vial</t>
        </is>
      </c>
      <c r="C23" s="3" t="inlineStr">
        <is>
          <t>Sí</t>
        </is>
      </c>
      <c r="D23" s="3" t="inlineStr">
        <is>
          <t>Fuerte</t>
        </is>
      </c>
      <c r="E23" s="3" t="inlineStr">
        <is>
          <t>Por determinar</t>
        </is>
      </c>
      <c r="F23" s="3" t="inlineStr">
        <is>
          <t>&lt; 5</t>
        </is>
      </c>
      <c r="G23" s="4" t="inlineStr">
        <is>
          <t>CAUSA DOMINANTE. Trocha carrozable que atraviesa el bloque de norte a sur hasta el C.P. Peña Grande; plataforma de corte con suelo desnudo continuo (E-01) y corredor vial de corte a media ladera con posible campamento de obra al NE (E-06)</t>
        </is>
      </c>
    </row>
    <row r="24" ht="18" customHeight="1" s="17">
      <c r="A24" s="5" t="n">
        <v>10</v>
      </c>
      <c r="B24" s="7" t="inlineStr">
        <is>
          <t>Minería informal</t>
        </is>
      </c>
      <c r="C24" s="3" t="inlineStr">
        <is>
          <t>Por determinar</t>
        </is>
      </c>
      <c r="D24" s="3" t="n"/>
      <c r="E24" s="3" t="n"/>
      <c r="F24" s="3" t="n"/>
      <c r="G24" s="4" t="n"/>
    </row>
    <row r="25" ht="18" customHeight="1" s="17">
      <c r="A25" s="5" t="n">
        <v>11</v>
      </c>
      <c r="B25" s="7" t="inlineStr">
        <is>
          <t>Extracción de áridos (cauces)</t>
        </is>
      </c>
      <c r="C25" s="3" t="inlineStr">
        <is>
          <t>Por determinar</t>
        </is>
      </c>
      <c r="D25" s="3" t="n"/>
      <c r="E25" s="3" t="n"/>
      <c r="F25" s="3" t="n"/>
      <c r="G25" s="4" t="n"/>
    </row>
    <row r="26" ht="18" customHeight="1" s="17">
      <c r="A26" s="5" t="n">
        <v>12</v>
      </c>
      <c r="B26" s="7" t="inlineStr">
        <is>
          <t>Especies invasoras</t>
        </is>
      </c>
      <c r="C26" s="3" t="inlineStr">
        <is>
          <t>Por determinar</t>
        </is>
      </c>
      <c r="D26" s="3" t="n"/>
      <c r="E26" s="3" t="n"/>
      <c r="F26" s="3" t="n"/>
      <c r="G26" s="4" t="n"/>
    </row>
    <row r="27" ht="18" customHeight="1" s="17">
      <c r="A27" s="5" t="n">
        <v>13</v>
      </c>
      <c r="B27" s="7" t="inlineStr">
        <is>
          <t>Erosión natural severa</t>
        </is>
      </c>
      <c r="C27" s="3" t="inlineStr">
        <is>
          <t>Sí</t>
        </is>
      </c>
      <c r="D27" s="3" t="inlineStr">
        <is>
          <t>Moderada</t>
        </is>
      </c>
      <c r="E27" s="3" t="inlineStr">
        <is>
          <t>Por determinar</t>
        </is>
      </c>
      <c r="F27" s="3" t="inlineStr">
        <is>
          <t>Por determinar</t>
        </is>
      </c>
      <c r="G27" s="4" t="inlineStr">
        <is>
          <t>Superficies bajo umbral MSAVI en el sector centro-occidental (parche crítico de ~0.5 ha en 650 663 E / 9 382 556 N) y en el entorno del centro poblado</t>
        </is>
      </c>
    </row>
    <row r="28" ht="18" customHeight="1" s="17">
      <c r="A28" s="5" t="n">
        <v>14</v>
      </c>
      <c r="B28" s="7" t="inlineStr">
        <is>
          <t>Sequía prolongada / CC</t>
        </is>
      </c>
      <c r="C28" s="3" t="inlineStr">
        <is>
          <t>Por determinar</t>
        </is>
      </c>
      <c r="D28" s="3" t="n"/>
      <c r="E28" s="3" t="n"/>
      <c r="F28" s="3" t="n"/>
      <c r="G28" s="4" t="n"/>
    </row>
    <row r="29" ht="18" customHeight="1" s="17">
      <c r="A29" s="5" t="n">
        <v>15</v>
      </c>
      <c r="B29" s="7" t="inlineStr">
        <is>
          <t>Plagas o enfermedades forestales</t>
        </is>
      </c>
      <c r="C29" s="3" t="inlineStr">
        <is>
          <t>Por determinar</t>
        </is>
      </c>
      <c r="D29" s="3" t="n"/>
      <c r="E29" s="3" t="n"/>
      <c r="F29" s="3" t="n"/>
      <c r="G29" s="4" t="n"/>
    </row>
    <row r="30" ht="18" customHeight="1" s="17">
      <c r="A30" s="5" t="n">
        <v>16</v>
      </c>
      <c r="B30" s="7" t="inlineStr">
        <is>
          <t>Otro</t>
        </is>
      </c>
      <c r="C30" s="3" t="inlineStr">
        <is>
          <t>Por determinar</t>
        </is>
      </c>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inlineStr">
        <is>
          <t>Por determinar</t>
        </is>
      </c>
      <c r="E35" s="4" t="inlineStr">
        <is>
          <t>No cuantificado en campo</t>
        </is>
      </c>
      <c r="F35" s="7" t="inlineStr">
        <is>
          <t>&gt;60% bueno; 30-60% medio; &lt;30% malo</t>
        </is>
      </c>
      <c r="G35" s="3" t="n"/>
    </row>
    <row r="36" ht="21.75" customHeight="1" s="17">
      <c r="A36" s="5" t="n">
        <v>2</v>
      </c>
      <c r="B36" s="7" t="inlineStr">
        <is>
          <t>Porcentaje de suelo desnudo</t>
        </is>
      </c>
      <c r="C36" s="5" t="inlineStr">
        <is>
          <t>%</t>
        </is>
      </c>
      <c r="D36" s="3" t="inlineStr">
        <is>
          <t>Por determinar</t>
        </is>
      </c>
      <c r="E36" s="4" t="inlineStr">
        <is>
          <t>No cuantificado en campo</t>
        </is>
      </c>
      <c r="F36" s="7" t="inlineStr">
        <is>
          <t>&lt;10% bueno; 10-30% medio; &gt;30% malo</t>
        </is>
      </c>
      <c r="G36" s="3" t="n"/>
    </row>
    <row r="37" ht="21.75" customHeight="1" s="17">
      <c r="A37" s="5" t="n">
        <v>3</v>
      </c>
      <c r="B37" s="7" t="inlineStr">
        <is>
          <t>Densidad de cárcavas</t>
        </is>
      </c>
      <c r="C37" s="5" t="inlineStr">
        <is>
          <t>N°/ha</t>
        </is>
      </c>
      <c r="D37" s="3" t="inlineStr">
        <is>
          <t>Por determinar</t>
        </is>
      </c>
      <c r="E37" s="4" t="inlineStr">
        <is>
          <t>No cuantificado en campo</t>
        </is>
      </c>
      <c r="F37" s="7" t="inlineStr">
        <is>
          <t>0 nulo; 1-3 medio; &gt;3 alto</t>
        </is>
      </c>
      <c r="G37" s="3" t="n"/>
    </row>
    <row r="38" ht="21.75" customHeight="1" s="17">
      <c r="A38" s="5" t="n">
        <v>4</v>
      </c>
      <c r="B38" s="7" t="inlineStr">
        <is>
          <t>Presencia de especies invasoras</t>
        </is>
      </c>
      <c r="C38" s="5" t="inlineStr">
        <is>
          <t>% área</t>
        </is>
      </c>
      <c r="D38" s="3" t="inlineStr">
        <is>
          <t>Por determinar</t>
        </is>
      </c>
      <c r="E38" s="4" t="inlineStr">
        <is>
          <t>No cuantificado en campo</t>
        </is>
      </c>
      <c r="F38" s="7" t="inlineStr">
        <is>
          <t>&lt;5% bueno; 5-20% medio; &gt;20% alto</t>
        </is>
      </c>
      <c r="G38" s="3" t="n"/>
    </row>
    <row r="39" ht="21.75" customHeight="1" s="17">
      <c r="A39" s="5" t="n">
        <v>5</v>
      </c>
      <c r="B39" s="7" t="inlineStr">
        <is>
          <t>Carga ganadera estimada</t>
        </is>
      </c>
      <c r="C39" s="5" t="inlineStr">
        <is>
          <t>UA/ha</t>
        </is>
      </c>
      <c r="D39" s="3" t="inlineStr">
        <is>
          <t>Por determinar</t>
        </is>
      </c>
      <c r="E39" s="4" t="inlineStr">
        <is>
          <t>No cuantificado en campo</t>
        </is>
      </c>
      <c r="F39" s="7" t="inlineStr">
        <is>
          <t>Según tipo de ecosistema</t>
        </is>
      </c>
      <c r="G39" s="3" t="n"/>
    </row>
    <row r="40" ht="21.75" customHeight="1" s="17">
      <c r="A40" s="5" t="n">
        <v>6</v>
      </c>
      <c r="B40" s="7" t="inlineStr">
        <is>
          <t>Frecuencia de quemas últimos 5 años</t>
        </is>
      </c>
      <c r="C40" s="5" t="inlineStr">
        <is>
          <t>N°</t>
        </is>
      </c>
      <c r="D40" s="3" t="inlineStr">
        <is>
          <t>Por determinar</t>
        </is>
      </c>
      <c r="E40" s="4" t="inlineStr">
        <is>
          <t>No cuantificado en campo</t>
        </is>
      </c>
      <c r="F40" s="7" t="inlineStr">
        <is>
          <t>0 nulo; 1-2 medio; &gt;2 alto</t>
        </is>
      </c>
      <c r="G40" s="3" t="n"/>
    </row>
    <row r="41" ht="21.75" customHeight="1" s="17">
      <c r="A41" s="5" t="n">
        <v>7</v>
      </c>
      <c r="B41" s="7" t="inlineStr">
        <is>
          <t>% área con pendiente &gt;50%</t>
        </is>
      </c>
      <c r="C41" s="5" t="inlineStr">
        <is>
          <t>%</t>
        </is>
      </c>
      <c r="D41" s="3" t="inlineStr">
        <is>
          <t>Por determinar</t>
        </is>
      </c>
      <c r="E41" s="4" t="inlineStr">
        <is>
          <t>No cuantificado en campo</t>
        </is>
      </c>
      <c r="F41" s="7" t="inlineStr">
        <is>
          <t>Factor de susceptibilidad</t>
        </is>
      </c>
      <c r="G41" s="3" t="n"/>
    </row>
    <row r="42" ht="21.75" customHeight="1" s="17">
      <c r="A42" s="5" t="n">
        <v>8</v>
      </c>
      <c r="B42" s="7" t="inlineStr">
        <is>
          <t>Distancia a vía vecinal más cercana</t>
        </is>
      </c>
      <c r="C42" s="5" t="inlineStr">
        <is>
          <t>m</t>
        </is>
      </c>
      <c r="D42" s="3" t="inlineStr">
        <is>
          <t>Por determinar</t>
        </is>
      </c>
      <c r="E42" s="4" t="inlineStr">
        <is>
          <t>La trocha atraviesa el polígono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Expansión vial (trocha que atraviesa el bloque) y cambio de uso a agricultura en fuerte pendiente, con erosión asociada a los cortes y a las superficies desnudas del corredor.</t>
        </is>
      </c>
      <c r="D45" s="13" t="n"/>
      <c r="E45" s="13" t="n"/>
      <c r="F45" s="13" t="n"/>
      <c r="G45" s="14" t="n"/>
    </row>
    <row r="46" ht="19.5" customHeight="1" s="17">
      <c r="A46" s="31" t="inlineStr">
        <is>
          <t>Principal causa subyacente (motor)</t>
        </is>
      </c>
      <c r="B46" s="14" t="n"/>
      <c r="C46" s="15" t="inlineStr">
        <is>
          <t>Ocupación y habilitación vial del interior del bloque sin instrumento de manejo, sobre laderas con aptitud forestal de protección.</t>
        </is>
      </c>
      <c r="D46" s="13" t="n"/>
      <c r="E46" s="13" t="n"/>
      <c r="F46" s="13" t="n"/>
      <c r="G46" s="14" t="n"/>
    </row>
    <row r="47" ht="19.5" customHeight="1" s="17">
      <c r="A47" s="31" t="inlineStr">
        <is>
          <t>Velocidad de degradación percibida</t>
        </is>
      </c>
      <c r="B47" s="14" t="n"/>
      <c r="C47" s="15" t="inlineStr">
        <is>
          <t>Moderada</t>
        </is>
      </c>
      <c r="D47" s="13" t="n"/>
      <c r="E47" s="13" t="n"/>
      <c r="F47" s="13" t="n"/>
      <c r="G47" s="14" t="n"/>
    </row>
    <row r="48" ht="19.5" customHeight="1" s="17">
      <c r="A48" s="31" t="inlineStr">
        <is>
          <t>Reversibilidad técnica</t>
        </is>
      </c>
      <c r="B48" s="14" t="n"/>
      <c r="C48" s="15" t="inlineStr">
        <is>
          <t>Parcialmente reversible</t>
        </is>
      </c>
      <c r="D48" s="13" t="n"/>
      <c r="E48" s="13" t="n"/>
      <c r="F48" s="13" t="n"/>
      <c r="G48" s="14" t="n"/>
    </row>
    <row r="49" ht="19.5" customHeight="1" s="17">
      <c r="A49" s="31" t="inlineStr">
        <is>
          <t>Urgencia de intervención</t>
        </is>
      </c>
      <c r="B49" s="14" t="n"/>
      <c r="C49" s="15" t="inlineStr">
        <is>
          <t>Alta</t>
        </is>
      </c>
      <c r="D49" s="13" t="n"/>
      <c r="E49" s="13" t="n"/>
      <c r="F49" s="13" t="n"/>
      <c r="G49" s="14" t="n"/>
    </row>
    <row r="51" ht="21.75" customHeight="1" s="17">
      <c r="A51" s="19" t="inlineStr">
        <is>
          <t>OBSERVACIONES</t>
        </is>
      </c>
    </row>
    <row r="52" ht="27.75" customHeight="1" s="17">
      <c r="A52" s="23" t="inlineStr">
        <is>
          <t>Indicador de brecha (R.M. N° 00213-2024-MINAM): 26.96 % del bloque (40.50 ha) bajo el umbral MSAVI 2024 de 0.4976. MSAVI medio del bloque 0.5465 frente a 0.5477 de la microcuenca C1076-Q9593. Clases de cobertura obtenidas por planimetría digital sobre los planos temáticos georreferenciados (tolerancia estimada ±2 %); requieren confirmación con estadística zonal directa sobre el ráster.</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9.xml><?xml version="1.0" encoding="utf-8"?>
<worksheet xmlns="http://schemas.openxmlformats.org/spreadsheetml/2006/main">
  <sheetPr>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12-08-2026</t>
        </is>
      </c>
      <c r="D8" s="14" t="n"/>
      <c r="E8" s="31" t="inlineStr">
        <is>
          <t>Responsable *</t>
        </is>
      </c>
      <c r="F8" s="14" t="n"/>
      <c r="G8" s="15" t="inlineStr">
        <is>
          <t>Brigada SESDI — IN Piura</t>
        </is>
      </c>
      <c r="H8" s="14" t="n"/>
    </row>
    <row r="9" ht="19.5" customHeight="1" s="17">
      <c r="A9" s="31" t="inlineStr">
        <is>
          <t>Código del Bloque *</t>
        </is>
      </c>
      <c r="B9" s="14" t="n"/>
      <c r="C9" s="15" t="inlineStr">
        <is>
          <t>10</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inlineStr">
        <is>
          <t>Quebrada estacional</t>
        </is>
      </c>
      <c r="C15" s="3" t="inlineStr">
        <is>
          <t>Por determinar</t>
        </is>
      </c>
      <c r="D15" s="3" t="inlineStr">
        <is>
          <t>Por determinar</t>
        </is>
      </c>
      <c r="E15" s="3" t="inlineStr">
        <is>
          <t>Estacional (lluvias)</t>
        </is>
      </c>
      <c r="F15" s="3" t="inlineStr">
        <is>
          <t>No evaluable</t>
        </is>
      </c>
      <c r="G15" s="3" t="inlineStr">
        <is>
          <t>Por determinar</t>
        </is>
      </c>
      <c r="H15" s="4" t="inlineStr">
        <is>
          <t>Red de vaguadas tributarias de la quebrada Q9593; sin inventario georreferenciado</t>
        </is>
      </c>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inlineStr">
        <is>
          <t>Por determinar</t>
        </is>
      </c>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inlineStr">
        <is>
          <t>Por determinar</t>
        </is>
      </c>
      <c r="D30" s="13" t="n"/>
      <c r="E30" s="13" t="n"/>
      <c r="F30" s="13" t="n"/>
      <c r="G30" s="13" t="n"/>
      <c r="H30" s="14" t="n"/>
    </row>
    <row r="31" ht="19.5" customHeight="1" s="17">
      <c r="A31" s="31" t="inlineStr">
        <is>
          <t>Nombre de la JASS o captación asociada</t>
        </is>
      </c>
      <c r="B31" s="14" t="n"/>
      <c r="C31" s="15" t="inlineStr">
        <is>
          <t>Por determinar</t>
        </is>
      </c>
      <c r="D31" s="13" t="n"/>
      <c r="E31" s="13" t="n"/>
      <c r="F31" s="13" t="n"/>
      <c r="G31" s="13" t="n"/>
      <c r="H31" s="14" t="n"/>
    </row>
    <row r="32" ht="19.5" customHeight="1" s="17">
      <c r="A32" s="31" t="inlineStr">
        <is>
          <t>¿Interferencia con obras de riego?</t>
        </is>
      </c>
      <c r="B32" s="14" t="n"/>
      <c r="C32" s="15" t="inlineStr">
        <is>
          <t>Por determinar</t>
        </is>
      </c>
      <c r="D32" s="13" t="n"/>
      <c r="E32" s="13" t="n"/>
      <c r="F32" s="13" t="n"/>
      <c r="G32" s="13" t="n"/>
      <c r="H32" s="14" t="n"/>
    </row>
    <row r="33" ht="19.5" customHeight="1" s="17">
      <c r="A33" s="31" t="inlineStr">
        <is>
          <t>Nombre del sistema de riego (si aplica)</t>
        </is>
      </c>
      <c r="B33" s="14" t="n"/>
      <c r="C33" s="15" t="inlineStr">
        <is>
          <t>Por determinar</t>
        </is>
      </c>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4x4 hasta el bloque</t>
        </is>
      </c>
      <c r="D36" s="13" t="n"/>
      <c r="E36" s="13" t="n"/>
      <c r="F36" s="13" t="n"/>
      <c r="G36" s="13" t="n"/>
      <c r="H36" s="14" t="n"/>
    </row>
    <row r="37" ht="19.5" customHeight="1" s="17">
      <c r="A37" s="31" t="inlineStr">
        <is>
          <t>Vía principal de acceso (PE-/PI-/trocha) *</t>
        </is>
      </c>
      <c r="B37" s="14" t="n"/>
      <c r="C37" s="15" t="inlineStr">
        <is>
          <t>Trocha carrozable de acceso al C.P. Peña Grande (sin código MTC verificado)</t>
        </is>
      </c>
      <c r="D37" s="13" t="n"/>
      <c r="E37" s="13" t="n"/>
      <c r="F37" s="13" t="n"/>
      <c r="G37" s="13" t="n"/>
      <c r="H37" s="14" t="n"/>
    </row>
    <row r="38" ht="19.5" customHeight="1" s="17">
      <c r="A38" s="31" t="inlineStr">
        <is>
          <t>Tipo de vía final</t>
        </is>
      </c>
      <c r="B38" s="14" t="n"/>
      <c r="C38" s="15" t="inlineStr">
        <is>
          <t>Trocha carrozable</t>
        </is>
      </c>
      <c r="D38" s="13" t="n"/>
      <c r="E38" s="13" t="n"/>
      <c r="F38" s="13" t="n"/>
      <c r="G38" s="13" t="n"/>
      <c r="H38" s="14" t="n"/>
    </row>
    <row r="39" ht="19.5" customHeight="1" s="17">
      <c r="A39" s="31" t="inlineStr">
        <is>
          <t>Estado transitabilidad — época seca</t>
        </is>
      </c>
      <c r="B39" s="14" t="n"/>
      <c r="C39" s="15" t="inlineStr">
        <is>
          <t>Medio</t>
        </is>
      </c>
      <c r="D39" s="13" t="n"/>
      <c r="E39" s="13" t="n"/>
      <c r="F39" s="13" t="n"/>
      <c r="G39" s="13" t="n"/>
      <c r="H39" s="14" t="n"/>
    </row>
    <row r="40" ht="19.5" customHeight="1" s="17">
      <c r="A40" s="31" t="inlineStr">
        <is>
          <t>Estado transitabilidad — época lluviosa</t>
        </is>
      </c>
      <c r="B40" s="14" t="n"/>
      <c r="C40" s="15" t="inlineStr">
        <is>
          <t>Bajo</t>
        </is>
      </c>
      <c r="D40" s="13" t="n"/>
      <c r="E40" s="13" t="n"/>
      <c r="F40" s="13" t="n"/>
      <c r="G40" s="13" t="n"/>
      <c r="H40" s="14" t="n"/>
    </row>
    <row r="41" ht="19.5" customHeight="1" s="17">
      <c r="A41" s="31" t="inlineStr">
        <is>
          <t>Tiempo desde capital distrital (min)</t>
        </is>
      </c>
      <c r="B41" s="14" t="n"/>
      <c r="C41" s="15" t="inlineStr">
        <is>
          <t>Por determinar</t>
        </is>
      </c>
      <c r="D41" s="14" t="n"/>
      <c r="E41" s="31" t="inlineStr">
        <is>
          <t>Por determinar</t>
        </is>
      </c>
      <c r="F41" s="14" t="n"/>
      <c r="G41" s="15" t="n"/>
      <c r="H41" s="14" t="n"/>
    </row>
    <row r="42" ht="19.5" customHeight="1" s="17">
      <c r="A42" s="31" t="inlineStr">
        <is>
          <t>Señal celular</t>
        </is>
      </c>
      <c r="B42" s="14" t="n"/>
      <c r="C42" s="15" t="inlineStr">
        <is>
          <t>Por determinar</t>
        </is>
      </c>
      <c r="D42" s="13" t="n"/>
      <c r="E42" s="13" t="n"/>
      <c r="F42" s="13" t="n"/>
      <c r="G42" s="13" t="n"/>
      <c r="H42" s="14" t="n"/>
    </row>
    <row r="43" ht="19.5" customHeight="1" s="17">
      <c r="A43" s="31" t="inlineStr">
        <is>
          <t>Operador celular dominante</t>
        </is>
      </c>
      <c r="B43" s="14" t="n"/>
      <c r="C43" s="15" t="inlineStr">
        <is>
          <t>Por determinar</t>
        </is>
      </c>
      <c r="D43" s="13" t="n"/>
      <c r="E43" s="13" t="n"/>
      <c r="F43" s="13" t="n"/>
      <c r="G43" s="13" t="n"/>
      <c r="H43" s="14" t="n"/>
    </row>
    <row r="44" ht="19.5" customHeight="1" s="17">
      <c r="A44" s="31" t="inlineStr">
        <is>
          <t>Alojamiento rural disponible</t>
        </is>
      </c>
      <c r="B44" s="14" t="n"/>
      <c r="C44" s="15" t="inlineStr">
        <is>
          <t>Por determinar</t>
        </is>
      </c>
      <c r="D44" s="13" t="n"/>
      <c r="E44" s="13" t="n"/>
      <c r="F44" s="13" t="n"/>
      <c r="G44" s="13" t="n"/>
      <c r="H44" s="14" t="n"/>
    </row>
    <row r="45" ht="19.5" customHeight="1" s="17">
      <c r="A45" s="31" t="inlineStr">
        <is>
          <t>¿Requiere autorización de Ronda Campesina? *</t>
        </is>
      </c>
      <c r="B45" s="14" t="n"/>
      <c r="C45" s="15" t="inlineStr">
        <is>
          <t>Por determinar</t>
        </is>
      </c>
      <c r="D45" s="13" t="n"/>
      <c r="E45" s="13" t="n"/>
      <c r="F45" s="13" t="n"/>
      <c r="G45" s="13" t="n"/>
      <c r="H45" s="14" t="n"/>
    </row>
    <row r="46" ht="19.5" customHeight="1" s="17">
      <c r="A46" s="31" t="inlineStr">
        <is>
          <t>Nombre / Contacto responsable de Ronda</t>
        </is>
      </c>
      <c r="B46" s="14" t="n"/>
      <c r="C46" s="15" t="inlineStr">
        <is>
          <t>Por determinar</t>
        </is>
      </c>
      <c r="D46" s="13" t="n"/>
      <c r="E46" s="13" t="n"/>
      <c r="F46" s="13" t="n"/>
      <c r="G46" s="13" t="n"/>
      <c r="H46" s="14" t="n"/>
    </row>
    <row r="48" ht="21.75" customHeight="1" s="17">
      <c r="A48" s="19" t="inlineStr">
        <is>
          <t>OBSERVACIONES</t>
        </is>
      </c>
    </row>
    <row r="49" ht="27.75" customHeight="1" s="17">
      <c r="A49" s="23" t="inlineStr">
        <is>
          <t xml:space="preserve">FICHA PARCIAL. Sin inventario de manantiales con GPS, JASS, captación poblacional, señal celular, tiempos de viaje ni contacto de Ronda Campesina. El bloque se declara en zona de recarga hídrica por su posición en la cabecera del drenaje de la quebrada Q9593 (zona de origen del PGI). El acceso vehicular llega al interior del bloque: la trocha lo atraviesa. </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10.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11.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2026-09-01T12:25:18Z</dcterms:modified>
  <cp:lastModifiedBy>Hector Salomón Cahuas Miller</cp:lastModifiedBy>
  <cp:revision>0</cp:revision>
</cp:coreProperties>
</file>