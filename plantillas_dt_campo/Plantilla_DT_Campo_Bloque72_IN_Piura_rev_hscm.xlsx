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IN PIURA\04_Diagnostico Territorial\DIAGNOSTICO BLOQUE 72\"/>
    </mc:Choice>
  </mc:AlternateContent>
  <xr:revisionPtr revIDLastSave="0" documentId="13_ncr:1_{F24E2713-7631-41B5-B6D8-E59B1B18AA5F}"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<sst xmlns="http://schemas.openxmlformats.org/spreadsheetml/2006/main" count="1395" uniqueCount="738">
  <si>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</si>
  <si>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</si>
  <si>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</si>
  <si>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</si>
  <si>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</si>
  <si>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</si>
  <si>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</si>
  <si>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</si>
  <si>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01-08-2026</t>
  </si>
  <si>
    <t>Hora de registro</t>
  </si>
  <si>
    <t>11:20 – 12:05 h (aprox.)</t>
  </si>
  <si>
    <t>Brigada / Responsable *</t>
  </si>
  <si>
    <t>Ing. Héctor S. Cahuas Miller</t>
  </si>
  <si>
    <t>Ficha N° (correlativo)</t>
  </si>
  <si>
    <t>F-DT-01/B72-2026</t>
  </si>
  <si>
    <t>Código del Bloque *</t>
  </si>
  <si>
    <t>72</t>
  </si>
  <si>
    <t>Código de Microcuenca</t>
  </si>
  <si>
    <t>Provincia (auto)</t>
  </si>
  <si>
    <t>Distrito (auto)</t>
  </si>
  <si>
    <t>Zona del bloque (auto)</t>
  </si>
  <si>
    <t>Área del bloque (ha) — auto</t>
  </si>
  <si>
    <t>UTM ESTE punto de muestreo (m) *</t>
  </si>
  <si>
    <t>UTM NORTE punto de muestreo (m) *</t>
  </si>
  <si>
    <t>Altitud GPS (msnm) *</t>
  </si>
  <si>
    <t>≈1 640 (interpolado de curvas de nivel; sin GPS instrumental)</t>
  </si>
  <si>
    <t>Centro poblado más cercano</t>
  </si>
  <si>
    <t>Ramón Castilla</t>
  </si>
  <si>
    <t>Comunidad Campesina (si aplica)</t>
  </si>
  <si>
    <t>Por verificar</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</si>
  <si>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</si>
  <si>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</si>
  <si>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</si>
  <si>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</si>
  <si>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</si>
  <si>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</si>
  <si>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</si>
  <si>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</si>
  <si>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Suroeste</t>
  </si>
  <si>
    <t>Rango altitudinal del bloque *</t>
  </si>
  <si>
    <t>1500-2000 m (Quechua media)</t>
  </si>
  <si>
    <t>Paisaje dominante (descripción libre)</t>
  </si>
  <si>
    <t>Ladera media de montaña con mosaico de matorral andino semiárido y parcelas agrícolas de subsistencia, disectada por una quebrada tributaria de la microcuenca C1076-Q9592. Afloramientos rocosos dispersos y cumbre rocosa al NE. Red densa de caminos de herradura; viviendas y trocha carrozable en el borde inferior (SO), colindante al caserío Ramón Castilla.</t>
  </si>
  <si>
    <t>3. INDICIOS DE REMOCIÓN EN MASA E INESTABILIDAD</t>
  </si>
  <si>
    <t>Presencia de afloramientos rocosos</t>
  </si>
  <si>
    <t>Sí</t>
  </si>
  <si>
    <t>Presencia de escarpes activos *</t>
  </si>
  <si>
    <t>¿Reptación de suelo observada? *</t>
  </si>
  <si>
    <t>¿Deslizamientos antiguos observados?</t>
  </si>
  <si>
    <t>No</t>
  </si>
  <si>
    <t>¿Remociones en masa activas? *</t>
  </si>
  <si>
    <t>OBSERVACIONES</t>
  </si>
  <si>
    <t>PARÁMETROS DE GABINETE (fuente: "Rango de altitud y Pendiente Promedio por Bloque", DEM). Rango altitudinal del bloque: 1 538 – 1 742 msnm (amplitud 204 m). Pendiente promedio: 28,25 %. Área: 12,398 ha. MSAVI 2024 (media): 0,5185. Microcuenca C1076-Q9592, Zona Z13. Centroide (Bloques V4): 662 236 m E · 9 391 211 m N — UTM WGS84 17S. || MODALIDAD DE VERIFICACIÓN: vuelo de dron del 01-08-2026 (sin recorrido pedestre interior). Completitud física estimada &lt;10 %. || POR VERIFICAR: altitud GPS instrumental; nombre de la comunidad campesina; origen de las lineaciones subhorizontales tipo terraceta observadas en ladera (reptación vs. pisoteo de ganado vs. terraceo agrícola antiguo) — DJI_0306, DJI_0304. || D-01: el Bloque 72 NO figura en Centroides_Bloques.xls (catálogo restringido a bloques de código M); el centroide se toma de la tabla auxiliar "Bloques V4". || D-05: las fotografías de dron entregadas carecen de metadatos EXIF/GPS, por lo que no es posible asignar cada fotograma al polígono ni georreferenciar rasgos. El panel fotográfico se trata como registro de SECTOR, no de punto.</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</si>
  <si>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</si>
  <si>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</si>
  <si>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</si>
  <si>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</si>
  <si>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</si>
  <si>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</si>
  <si>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≈1 640 (interpolado)</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</si>
  <si>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</si>
  <si>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</si>
  <si>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</si>
  <si>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</si>
  <si>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</si>
  <si>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</si>
  <si>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</si>
  <si>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Fuerte (cárcavas incipientes)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</si>
  <si>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</si>
  <si>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</si>
  <si>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</si>
  <si>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</si>
  <si>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</si>
  <si>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</si>
  <si>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</si>
  <si>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</si>
  <si>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</si>
  <si>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</si>
  <si>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</si>
  <si>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</si>
  <si>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</si>
  <si>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</si>
  <si>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C-01</t>
  </si>
  <si>
    <t>Cárcava incipiente (30-50 cm)</t>
  </si>
  <si>
    <t>Activa</t>
  </si>
  <si>
    <t>Caminos / huellas de ganado</t>
  </si>
  <si>
    <t>DJI_0285</t>
  </si>
  <si>
    <t>C-02</t>
  </si>
  <si>
    <t>Cárcava somera (0.5-2 m)</t>
  </si>
  <si>
    <t>Semi-activa</t>
  </si>
  <si>
    <t>Socavamiento de cauce</t>
  </si>
  <si>
    <t>DJI_0302</t>
  </si>
  <si>
    <t>C-03</t>
  </si>
  <si>
    <t>Concentración natural de escorrentía</t>
  </si>
  <si>
    <t>DJI_0300</t>
  </si>
  <si>
    <t>C-04</t>
  </si>
  <si>
    <t>Surco (&lt;30 cm)</t>
  </si>
  <si>
    <t>DJI_0288</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</si>
  <si>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</si>
  <si>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</si>
  <si>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</si>
  <si>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</si>
  <si>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</si>
  <si>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</si>
  <si>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</si>
  <si>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Mixto</t>
  </si>
  <si>
    <t>Presencia de socavamiento de cauce</t>
  </si>
  <si>
    <t>Urgencia de control</t>
  </si>
  <si>
    <t>Media</t>
  </si>
  <si>
    <t>La erosión observada desde vuelo de dron es de tipo lineal y se concentra en (i) el eje de la quebrada tributaria, con escarpes de cabecera y socavamiento de márgenes (DJI_0300, DJI_0302), y (ii) la red de caminos de herradura que secciona la ladera en sentido transversal a la pendiente, con surcos y desprendimientos en los cortes (DJI_0285, DJI_0288, DJI_0297). Se observan además afloramientos rocosos y bloques desprendidos en el fondo de quebrada. || POR VERIFICAR (levantamiento instrumental a cargo del especialista de Infraestructura Marrón): coordenadas UTM de inicio/fin de cada rasgo, longitud, profundidad y ancho medio; longitud total de cárcavas; % del bloque afectado; % de erosión laminar; densidad de cárcavas por hectárea. || El inventario registrado (4 rasgos) NO es exhaustivo: corresponde a los rasgos discernibles en los fotogramas disponibles y no a un barrido sistemático del polígono. || D-05: sin EXIF/GPS en las fotografías, las columnas de coordenadas se dejan en blanco antes que consignar valores estimados.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</si>
  <si>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</si>
  <si>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</si>
  <si>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</si>
  <si>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</si>
  <si>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</si>
  <si>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aplica — verificación por vuelo de dron (sin parcela instalada)</t>
  </si>
  <si>
    <t>Dimensiones de parcela (m × m)</t>
  </si>
  <si>
    <t>No aplica</t>
  </si>
  <si>
    <t>Pendiente promedio de la parcela (%)</t>
  </si>
  <si>
    <t>Cobertura vegetal total estimada (%) *</t>
  </si>
  <si>
    <t>UTM ESTE esquina inferior *</t>
  </si>
  <si>
    <t>UTM NORTE esquina inferior *</t>
  </si>
  <si>
    <t>2. CLASIFICACIÓN DEL ECOSISTEMA (UP)</t>
  </si>
  <si>
    <t>Tipo de ecosistema MINAM (dominante) *</t>
  </si>
  <si>
    <t>Matorral Andino semiárido</t>
  </si>
  <si>
    <t>Superficie del ecosistema en el bloque (ha)</t>
  </si>
  <si>
    <t>Por verificar — Reporte de Ecosistemas por Bloques V5 no disponible para el Bloque 72</t>
  </si>
  <si>
    <t>Estado de conservación general *</t>
  </si>
  <si>
    <t>Medianamente alterado</t>
  </si>
  <si>
    <t>Uso actual dominante del suelo *</t>
  </si>
  <si>
    <t>Uso mixto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</si>
  <si>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</si>
  <si>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</si>
  <si>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</si>
  <si>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</si>
  <si>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</si>
  <si>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</si>
  <si>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</si>
  <si>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</si>
  <si>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</si>
  <si>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</si>
  <si>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Estado sanitario general del dosel *</t>
  </si>
  <si>
    <t>Sano</t>
  </si>
  <si>
    <t>Presencia de epífitas (cualitativa)</t>
  </si>
  <si>
    <t>Fenología dominante (época de visita)</t>
  </si>
  <si>
    <t>Latencia / Estrés hídrico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</si>
  <si>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</si>
  <si>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</si>
  <si>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</si>
  <si>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</si>
  <si>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</si>
  <si>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</si>
  <si>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</si>
  <si>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</si>
  <si>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</si>
  <si>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</si>
  <si>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</si>
  <si>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</si>
  <si>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</si>
  <si>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Eucalipto</t>
  </si>
  <si>
    <t>Eucalyptus globulus</t>
  </si>
  <si>
    <t>Myrtaceae</t>
  </si>
  <si>
    <t>Arbóreo medio (8-15 m)</t>
  </si>
  <si>
    <t>Introducida</t>
  </si>
  <si>
    <t>Ocasional (1-5%)</t>
  </si>
  <si>
    <t>Pacae</t>
  </si>
  <si>
    <t>Inga feuillei</t>
  </si>
  <si>
    <t>Fabaceae</t>
  </si>
  <si>
    <t>Arbóreo bajo (4-8 m)</t>
  </si>
  <si>
    <t>Nativa</t>
  </si>
  <si>
    <t>Faique</t>
  </si>
  <si>
    <t>Vachellia macracantha</t>
  </si>
  <si>
    <t>Frecuente (5-20%)</t>
  </si>
  <si>
    <t>Higuerón</t>
  </si>
  <si>
    <t>Ficus sp.</t>
  </si>
  <si>
    <t>Moraceae</t>
  </si>
  <si>
    <t>Rara (&lt;1%)</t>
  </si>
  <si>
    <t>Cactácea columnar</t>
  </si>
  <si>
    <t>Armatocereus sp. / Espostoa sp.</t>
  </si>
  <si>
    <t>Cactaceae</t>
  </si>
  <si>
    <t>Arbustivo alto (1.5-4 m)</t>
  </si>
  <si>
    <t>Caña Guayaquil / bambú</t>
  </si>
  <si>
    <t>Guadua angustifolia</t>
  </si>
  <si>
    <t>Poaceae</t>
  </si>
  <si>
    <t>Plátano</t>
  </si>
  <si>
    <t>Musa × paradisiaca</t>
  </si>
  <si>
    <t>Musaceae</t>
  </si>
  <si>
    <t>Café</t>
  </si>
  <si>
    <t>Coffea arabica</t>
  </si>
  <si>
    <t>Rubiaceae</t>
  </si>
  <si>
    <t>Maíz</t>
  </si>
  <si>
    <t>Zea mays</t>
  </si>
  <si>
    <t>Arbustivo bajo (0.5-1.5 m)</t>
  </si>
  <si>
    <t>Pastos cultivados</t>
  </si>
  <si>
    <t>Poaceae (indet.)</t>
  </si>
  <si>
    <t>Herbáceo (&lt;0.5 m)</t>
  </si>
  <si>
    <t>5. ESPECIES CLAVE / INDICADORAS</t>
  </si>
  <si>
    <t>Nombre científico o común</t>
  </si>
  <si>
    <t>Categoría</t>
  </si>
  <si>
    <t>Estado UICN / D.S. 043</t>
  </si>
  <si>
    <t>UTM ESTE</t>
  </si>
  <si>
    <t>UTM NORTE</t>
  </si>
  <si>
    <t>N° indiv.</t>
  </si>
  <si>
    <t>Foto N°</t>
  </si>
  <si>
    <t>Observación</t>
  </si>
  <si>
    <t>Faique (Vachellia macracantha)</t>
  </si>
  <si>
    <t>Indicadora de perturbación</t>
  </si>
  <si>
    <t>LC — Preocupación Menor</t>
  </si>
  <si>
    <t>Colonizadora de laderas intervenidas; nativa del bosque seco. Frecuente en todo el bloque.</t>
  </si>
  <si>
    <t>Cactácea columnar (Armatocereus sp. / Espostoa sp.)</t>
  </si>
  <si>
    <t>Indicadora de condiciones semiáridas. Categoría D.S. 043-2006-AG POR DETERMINAR: varias Cactaceae columnares del norte peruano están listadas. Requiere colecta y determinación específica (Biól. A. Aucasime).</t>
  </si>
  <si>
    <t>Caña Guayaquil (Guadua angustifolia)</t>
  </si>
  <si>
    <t>Clave cultural</t>
  </si>
  <si>
    <t>Nativa. Indicadora de humedad edáfica PERMANENTE en fondo de quebrada; uso local en construcción. Delimita el corredor ripario del bloque.</t>
  </si>
  <si>
    <t>Higuerón (Ficus sp.)</t>
  </si>
  <si>
    <t>Indicadora de buen estado</t>
  </si>
  <si>
    <t>Asociado a fondos de quebrada con humedad. Determinación específica pendiente.</t>
  </si>
  <si>
    <t>INVENTARIO FLORÍSTICO PRELIMINAR — 10 taxones. NO se alcanza el mínimo de 15 especies de la ficha: la identificación se realizó exclusivamente desde vuelo de dron (01-08-2026), técnica que sólo resuelve taxones de copa o porte distintivo. Los nombres científicos son HIPÓTESIS DE TRABAJO sujetas a colecta y determinación botánica formal (Biól. Abel Aucasime Orihuela); en particular Inga sp., Ficus sp., la cactácea columnar y los pastos cultivados. || NO EVALUABLE desde vuelo de dron y por tanto EN BLANCO: regeneración natural, presencia de epífitas, altura del estrato dominante, altura máxima, DAP y cobertura de hojarasca. || La pendiente consignada (28,25 %) es el PROMEDIO DEL BLOQUE derivado del DEM, no de una parcela; no se instaló parcela de muestreo. || D-04: la lectura de campo asigna el ecosistema dominante a MATORRAL ANDINO SEMIÁRIDO (fisonomía arbustiva-herbácea, cactáceas columnares, faique, ausencia de dosel cerrado), mientras que los bloques vecinos de la misma microcuenca C1076-Q9592 (p. ej. Bloque 18) están catalogados como Bes-cm. Requiere consulta al Reporte de Ecosistemas por Bloques V5 y decisión de la Subdirección. || D-02: divergencia entre índices. MSAVI 2024 (media 0,5185) muestra clases 0,3813–0,4976 en una fracción amplia del polígono, mientras que el NDVI mediana 2025 clasifica prácticamente todo el bloque como "Vegetación alta". El contraste es atribuible a la fecha de las escenas, a la estacionalidad del estrato herbáceo (agosto = estiaje) y a la corrección de fondo de suelo del MSAVI. No debe interpretarse como recuperación de cobertura sin verificación adicional.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</si>
  <si>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</si>
  <si>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</si>
  <si>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</si>
  <si>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</si>
  <si>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</si>
  <si>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</si>
  <si>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</si>
  <si>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</si>
  <si>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</si>
  <si>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</si>
  <si>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</si>
  <si>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Ligera</t>
  </si>
  <si>
    <t>Pastos cultivados en manchas y red de sendas transversales a la ladera. Sin ganado visible en los fotogramas; carga ganadera POR VERIFICAR.</t>
  </si>
  <si>
    <t>Tala para leña</t>
  </si>
  <si>
    <t>No observada desde vuelo de dron.</t>
  </si>
  <si>
    <t>Tala para carbón</t>
  </si>
  <si>
    <t>No observada.</t>
  </si>
  <si>
    <t>Tala para madera</t>
  </si>
  <si>
    <t>Quema (renovación de pastos)</t>
  </si>
  <si>
    <t>Sin cicatrices de quema visibles en los fotogramas del 01-08-2026.</t>
  </si>
  <si>
    <t>Quema accidental / Incendio</t>
  </si>
  <si>
    <t>Cambio de uso a agricultura</t>
  </si>
  <si>
    <t>Fuerte</t>
  </si>
  <si>
    <t>Parcelas de plátano, café, maíz y pastos cultivados en fondos de quebrada y rellanos de ladera (DJI_0281, DJI_0285, DJI_0286, DJI_0288). Es la causa directa dominante.</t>
  </si>
  <si>
    <t>Cambio de uso a pastoreo</t>
  </si>
  <si>
    <t>Pastos cultivados en reemplazo de matorral en sectores de ladera media.</t>
  </si>
  <si>
    <t>Expansión urbana / vial</t>
  </si>
  <si>
    <t>Moderada</t>
  </si>
  <si>
    <t>Viviendas y trocha carrozable en el borde inferior (SO), colindantes al caserío Ramón Castilla (DJI_0281, DJI_0265). Red densa de caminos de herradura al interior, con cortes y surcos asociados.</t>
  </si>
  <si>
    <t>Minería informal</t>
  </si>
  <si>
    <t>Extracción de áridos (cauces)</t>
  </si>
  <si>
    <t>Especies invasoras</t>
  </si>
  <si>
    <t>No se identifican invasoras formales. Se registra Eucalyptus globulus (introducida) en rodales dispersos: evaluar competencia hídrica en cabecera.</t>
  </si>
  <si>
    <t>Erosión natural severa</t>
  </si>
  <si>
    <t>La erosión es antrópicamente inducida (caminos y cambio de uso), no natural severa. Ver F-DT-02.</t>
  </si>
  <si>
    <t>Sequía prolongada / CC</t>
  </si>
  <si>
    <t>POR VERIFICAR — requiere serie climática SENAMHI y análisis de tendencia (TAU/NDVI). El estrato herbáceo seco del 01-08-2026 responde a estacionalidad de estiaje, no necesariamente a tendencia climática.</t>
  </si>
  <si>
    <t>Plagas o enfermedades forestales</t>
  </si>
  <si>
    <t>No observadas.</t>
  </si>
  <si>
    <t>Otro</t>
  </si>
  <si>
    <t>Sin otras causas identificadas desde vuelo de dron.</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</si>
  <si>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</si>
  <si>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</si>
  <si>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</si>
  <si>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</si>
  <si>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</si>
  <si>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</si>
  <si>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</si>
  <si>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</si>
  <si>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</si>
  <si>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</si>
  <si>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visual sobre fotogramas de dron 01-08-2026 + NDVI mediana 2025</t>
  </si>
  <si>
    <t>&gt;60% bueno; 30-60% medio; &lt;30% malo</t>
  </si>
  <si>
    <t>Alto</t>
  </si>
  <si>
    <t>Porcentaje de suelo desnudo</t>
  </si>
  <si>
    <t>Estimación visual sobre fotogramas de dron 01-08-2026</t>
  </si>
  <si>
    <t>&lt;10% bueno; 10-30% medio; &gt;30% malo</t>
  </si>
  <si>
    <t>Densidad de cárcavas</t>
  </si>
  <si>
    <t>N°/ha</t>
  </si>
  <si>
    <t>Requiere levantamiento instrumental (Infraestructura Marrón)</t>
  </si>
  <si>
    <t>0 nulo; 1-3 medio; &gt;3 alto</t>
  </si>
  <si>
    <t>Presencia de especies invasoras</t>
  </si>
  <si>
    <t>% área</t>
  </si>
  <si>
    <t>No se identifican especies invasoras formales; Eucalyptus globulus por cuantificar</t>
  </si>
  <si>
    <t>&lt;5% bueno; 5-20% medio; &gt;20% alto</t>
  </si>
  <si>
    <t>Carga ganadera estimada</t>
  </si>
  <si>
    <t>UA/ha</t>
  </si>
  <si>
    <t>Requiere censo pecuario / entrevista comunal</t>
  </si>
  <si>
    <t>Según tipo de ecosistema</t>
  </si>
  <si>
    <t>Frecuencia de quemas últimos 5 años</t>
  </si>
  <si>
    <t>Requiere serie de focos de calor (MODIS/VIIRS) y entrevista comunal</t>
  </si>
  <si>
    <t>0 nulo; 1-2 medio; &gt;2 alto</t>
  </si>
  <si>
    <t>% área con pendiente &gt;50%</t>
  </si>
  <si>
    <t>Sólo se dispone de la pendiente PROMEDIO del bloque (28,25 %, DEM); falta el histograma de pendientes</t>
  </si>
  <si>
    <t>Factor de susceptibilidad</t>
  </si>
  <si>
    <t>Distancia a vía vecinal más cercana</t>
  </si>
  <si>
    <t>m</t>
  </si>
  <si>
    <t>≈400</t>
  </si>
  <si>
    <t>Estimación cartográfica sobre mapa MSAVI 2024 (red vial al SO, fuera del polígono); por verificar en gabinete GIS</t>
  </si>
  <si>
    <t>A menor distancia → mayor presión</t>
  </si>
  <si>
    <t>Medio</t>
  </si>
  <si>
    <t>4. SÍNTESIS DIAGNÓSTICA DE LA DEGRADACIÓN</t>
  </si>
  <si>
    <t>Principales causas directas (texto libre)</t>
  </si>
  <si>
    <t>Causa directa dominante: cambio de uso a agricultura de subsistencia (plátano, café, maíz, pastos cultivados) sobre laderas de 25–50 % sin prácticas de conservación de suelos. Causas concurrentes: densificación de la red de caminos de herradura (erosión lineal) y expansión de viviendas y trocha carrozable en el borde inferior del bloque.</t>
  </si>
  <si>
    <t>Principal causa subyacente (motor)</t>
  </si>
  <si>
    <t>Presión demográfica y dependencia de la agricultura de subsistencia en un caserío sin alternativas productivas ni asistencia técnica en conservación de suelos (Ramón Castilla). Motor por corroborar con el Diagnóstico Social (F-DS-01 a F-DS-07).</t>
  </si>
  <si>
    <t>Velocidad de degradación percibida</t>
  </si>
  <si>
    <t>Reversibilidad técnica</t>
  </si>
  <si>
    <t>Parcialmente reversible</t>
  </si>
  <si>
    <t>Urgencia de intervención</t>
  </si>
  <si>
    <t>La matriz se construye únicamente con evidencia visual del vuelo de dron del 01-08-2026. Las columnas EXTENSIÓN (% bloque) y ANTIGÜEDAD (años) se dejan EN BLANCO en todas las filas: no son derivables de imagen aérea sin cartografía de uso actual del suelo ni entrevistas comunales. || D-06 (ELEVAR A SUBDIRECCIÓN): el polígono y su entorno inmediato registran viviendas, trocha carrozable y cultivos permanentes (café, plátano). Debe verificarse (i) la compatibilidad con el criterio de exclusión de áreas agrícolas del tamizaje predial (Paso 5 de la metodología de microlocalización) y (ii) si el bloque califica como ecosistema degradado conforme a la R.M. N.° 00213-2024-MINAM, dado el nivel de cobertura observado (NDVI 2025 predominantemente "Vegetación alta"). Se recomienda tamizaje predial específico y, de corresponder, redelimitación del polígono excluyendo el sector agrícola-habitacional del SO.</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</si>
  <si>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</si>
  <si>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</si>
  <si>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</si>
  <si>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</si>
  <si>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</si>
  <si>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</si>
  <si>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</si>
  <si>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</si>
  <si>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</si>
  <si>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</si>
  <si>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</si>
  <si>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Quebrada tributaria que drena el bloque en sentido NE–SO hacia la microcuenca C1076-Q9592. Cauce encañonado con bloques rocosos y socavamiento de márgenes (DJI_0300, DJI_0302). Régimen y coordenadas POR VERIFICAR.</t>
  </si>
  <si>
    <t>Permanente</t>
  </si>
  <si>
    <t>Zonas de humedad edáfica permanente en el fondo de quebrada, evidenciadas por rodales de Guadua angustifolia (caña Guayaquil) y vegetación ripariana de mayor vigor. Tipo exacto (afloramiento difuso / manantial) y coordenadas POR VERIFICAR mediante recorrido pedestre.</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</si>
  <si>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</si>
  <si>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</si>
  <si>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</si>
  <si>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</si>
  <si>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</si>
  <si>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</si>
  <si>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Por verificar — JASS de Ramón Castilla no identificada</t>
  </si>
  <si>
    <t>¿Interferencia con obras de riego?</t>
  </si>
  <si>
    <t>Nombre del sistema de riego (si aplica)</t>
  </si>
  <si>
    <t>4. ACCESIBILIDAD Y LOGÍSTICA</t>
  </si>
  <si>
    <t>Modalidad de acceso al bloque *</t>
  </si>
  <si>
    <t>Vehicular + caminata &lt;30 min</t>
  </si>
  <si>
    <t>Vía principal de acceso (PE-/PI-/trocha) *</t>
  </si>
  <si>
    <t>Trocha carrozable de acceso al caserío Ramón Castilla (código de ruta por verificar); ingreso al polígono por camino de herradura</t>
  </si>
  <si>
    <t>Tipo de vía final</t>
  </si>
  <si>
    <t>Camino de herradura</t>
  </si>
  <si>
    <t>Estado transitabilidad — época seca</t>
  </si>
  <si>
    <t>Estado transitabilidad — época lluviosa</t>
  </si>
  <si>
    <t>Bajo</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</si>
  <si>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</si>
  <si>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</si>
  <si>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</si>
  <si>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</si>
  <si>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</si>
  <si>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</si>
  <si>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</si>
  <si>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Por verificar — Ronda Campesina de Ramón Castilla no contactada</t>
  </si>
  <si>
    <t>El bloque se ubica en ZONA DE ORIGEN Y RECARGA de la microcuenca C1076-Q9592 (cotas 1 538–1 742 msnm). Las coordenadas de las fuentes se dejan EN BLANCO por ausencia de EXIF/GPS en las fotografías (D-05). || ACCESIBILIDAD: la red vial cartografiada (mapa MSAVI 2024) NO intercepta el polígono; el segmento más cercano se sitúa al SO, fuera del bloque (≈400 m, por verificar). El acceso interior es exclusivamente por camino de herradura, lo que condiciona la logística de las MRR-CCC (acarreo manual o con acémila de plantones e insumos). || POR VERIFICAR: distancia y ubicación de la captación poblacional, nombre y directiva de la JASS, existencia de sistemas de riego, tiempos de viaje desde Huarmaca y Huancabamba, señal celular y operador, alojamiento rural, y autorización/contacto de la Ronda Campesina de Ramón Castilla. || NOTA DE IDONEIDAD OPERATIVA: la alta aptitud ecológica del sitio (zona de recarga con humedad permanente) coexiste con una BAJA aptitud operativa por acceso restringido y presencia de predios en uso agrícola y viviendas en el borde. Ambas dimensiones deben reportarse por separado en el Perfil. || Los campos "Alojamiento rural disponible" y "¿Requiere autorización de Ronda Campesina?" se dejan EN BLANCO por tratarse de listas cerradas Sí/No sin verificación en campo; ambos quedan POR VERIFICAR.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</si>
  <si>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</si>
  <si>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</si>
  <si>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</si>
  <si>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</si>
  <si>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</si>
  <si>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</si>
  <si>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</si>
  <si>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</si>
  <si>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</si>
  <si>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</si>
  <si>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</si>
  <si>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</si>
  <si>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</si>
  <si>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</si>
  <si>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</si>
  <si>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</si>
  <si>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</si>
  <si>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</si>
  <si>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</si>
  <si>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</si>
  <si>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</si>
  <si>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</si>
  <si>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</si>
  <si>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</si>
  <si>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</si>
  <si>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</si>
  <si>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</si>
  <si>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</si>
  <si>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</si>
  <si>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</si>
  <si>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</si>
  <si>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</si>
  <si>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</si>
  <si>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</si>
  <si>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</si>
  <si>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</si>
  <si>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</si>
  <si>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</si>
  <si>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</si>
  <si>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</si>
  <si>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</si>
  <si>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</si>
  <si>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</si>
  <si>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</si>
  <si>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</si>
  <si>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</si>
  <si>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</si>
  <si>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</si>
  <si>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</si>
  <si>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</si>
  <si>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</si>
  <si>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</si>
  <si>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</si>
  <si>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</si>
  <si>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</si>
  <si>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</si>
  <si>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</si>
  <si>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</si>
  <si>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</si>
  <si>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</si>
  <si>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</si>
  <si>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</si>
  <si>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</si>
  <si>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</si>
  <si>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</si>
  <si>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</si>
  <si>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</si>
  <si>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</si>
  <si>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</si>
  <si>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</si>
  <si>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</si>
  <si>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</si>
  <si>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</si>
  <si>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</si>
  <si>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</si>
  <si>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</si>
  <si>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</si>
  <si>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</si>
  <si>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</si>
  <si>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</si>
  <si>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</si>
  <si>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</si>
  <si>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</si>
  <si>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</si>
  <si>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</si>
  <si>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</si>
  <si>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</si>
  <si>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</si>
  <si>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</si>
  <si>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</si>
  <si>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</si>
  <si>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</si>
  <si>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</si>
  <si>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</si>
  <si>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</si>
  <si>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</si>
  <si>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</si>
  <si>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</si>
  <si>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</si>
  <si>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</si>
  <si>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</si>
  <si>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</si>
  <si>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</si>
  <si>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</si>
  <si>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</si>
  <si>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</si>
  <si>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</si>
  <si>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</si>
  <si>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</si>
  <si>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</si>
  <si>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</si>
  <si>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</si>
  <si>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</si>
  <si>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</si>
  <si>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</si>
  <si>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</si>
  <si>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</si>
  <si>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</si>
  <si>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</si>
  <si>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</si>
  <si>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</si>
  <si>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</si>
  <si>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</si>
  <si>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</si>
  <si>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</si>
  <si>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</si>
  <si>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</si>
  <si>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</si>
  <si>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</si>
  <si>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</si>
  <si>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</si>
  <si>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</si>
  <si>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</si>
  <si>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</si>
  <si>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</si>
  <si>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</si>
  <si>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</si>
  <si>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</si>
  <si>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</si>
  <si>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</si>
  <si>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</si>
  <si>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</si>
  <si>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</si>
  <si>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</si>
  <si>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</si>
  <si>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</si>
  <si>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</si>
  <si>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</si>
  <si>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</si>
  <si>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</si>
  <si>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</si>
  <si>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</si>
  <si>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</si>
  <si>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</si>
  <si>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</si>
  <si>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</si>
  <si>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</si>
  <si>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</si>
  <si>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</si>
  <si>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</si>
  <si>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</si>
  <si>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</si>
  <si>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</si>
  <si>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</si>
  <si>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</si>
  <si>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</si>
  <si>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</si>
  <si>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</si>
  <si>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</si>
  <si>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</si>
  <si>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</si>
  <si>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</si>
  <si>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</si>
  <si>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</si>
  <si>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</si>
  <si>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</si>
  <si>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</si>
  <si>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</si>
  <si>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</si>
  <si>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</si>
  <si>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</si>
  <si>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</si>
  <si>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</si>
  <si>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</si>
  <si>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</si>
  <si>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</si>
  <si>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</si>
  <si>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</si>
  <si>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</si>
  <si>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</si>
  <si>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</si>
  <si>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</si>
  <si>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</si>
  <si>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</si>
  <si>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</si>
  <si>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</si>
  <si>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</si>
  <si>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</si>
  <si>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</si>
  <si>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</si>
  <si>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</si>
  <si>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</si>
  <si>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</si>
  <si>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</si>
  <si>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</si>
  <si>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</si>
  <si>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</si>
  <si>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</si>
  <si>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</si>
  <si>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</si>
  <si>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</si>
  <si>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</si>
  <si>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</si>
  <si>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</si>
  <si>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</si>
  <si>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</si>
  <si>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</si>
  <si>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</si>
  <si>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</si>
  <si>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</si>
  <si>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</si>
  <si>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</si>
  <si>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</si>
  <si>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</si>
  <si>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</si>
  <si>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</si>
  <si>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</si>
  <si>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</si>
  <si>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</si>
  <si>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</si>
  <si>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</si>
  <si>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</si>
  <si>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</si>
  <si>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</si>
  <si>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</si>
  <si>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Sobrepastoreo</t>
  </si>
  <si>
    <t>Dendrítico</t>
  </si>
  <si>
    <t>Crítica</t>
  </si>
  <si>
    <t>Páramo</t>
  </si>
  <si>
    <t>Conservado (sin intervención evidente)</t>
  </si>
  <si>
    <t>Forestal protección</t>
  </si>
  <si>
    <t>Abundante (&gt;50 pl./100m²)</t>
  </si>
  <si>
    <t>Vegetativo</t>
  </si>
  <si>
    <t>Bosque denso (&gt;70%)</t>
  </si>
  <si>
    <t>Arbóreo superior (&gt;15 m)</t>
  </si>
  <si>
    <t>Dominante (&gt;40%)</t>
  </si>
  <si>
    <t>EX — Extinto</t>
  </si>
  <si>
    <t>Muy rápida</t>
  </si>
  <si>
    <t>Totalmente reversible</t>
  </si>
  <si>
    <t>Manantial / Puquio</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</si>
  <si>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</si>
  <si>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</si>
  <si>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</si>
  <si>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</si>
  <si>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</si>
  <si>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</si>
  <si>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</si>
  <si>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</si>
  <si>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</si>
  <si>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</si>
  <si>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</si>
  <si>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Tala / pérdida de cobertura</t>
  </si>
  <si>
    <t>Paralelo</t>
  </si>
  <si>
    <t>Alta</t>
  </si>
  <si>
    <t>Bosque Relicto Montano V. Occidental (BMVO)</t>
  </si>
  <si>
    <t>Levemente alterado</t>
  </si>
  <si>
    <t>Forestal producción</t>
  </si>
  <si>
    <t>Regular (10-50 pl./100m²)</t>
  </si>
  <si>
    <t>Enfermo (plaga)</t>
  </si>
  <si>
    <t>Floración</t>
  </si>
  <si>
    <t>Bosque ralo (30-70%)</t>
  </si>
  <si>
    <t>Endémica</t>
  </si>
  <si>
    <t>Abundante (20-40%)</t>
  </si>
  <si>
    <t>EW — Extinto en Estado Silvestre</t>
  </si>
  <si>
    <t>Rápida</t>
  </si>
  <si>
    <t>Quebrada permanente</t>
  </si>
  <si>
    <t>Regular (ligeramente turbia o con sedimentos)</t>
  </si>
  <si>
    <t>Nacional afirmada</t>
  </si>
  <si>
    <t>Parcial</t>
  </si>
  <si>
    <t>Claro</t>
  </si>
  <si>
    <t>Colinoso</t>
  </si>
  <si>
    <t>15-25% (Fuert. inclinado)</t>
  </si>
  <si>
    <t>Este</t>
  </si>
  <si>
    <t>Moderada (surcos)</t>
  </si>
  <si>
    <t>Estabilizada con vegetación</t>
  </si>
  <si>
    <t>Quema</t>
  </si>
  <si>
    <t>Lineal</t>
  </si>
  <si>
    <t>Bosque Estacionalmente Seco Colina/Montaña (Bes-cm)</t>
  </si>
  <si>
    <t>Pastoreo extensivo</t>
  </si>
  <si>
    <t>Escasa (&lt;10 pl./100m²)</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</si>
  <si>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</si>
  <si>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</si>
  <si>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</si>
  <si>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</si>
  <si>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</si>
  <si>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</si>
  <si>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</si>
  <si>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</si>
  <si>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</si>
  <si>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</si>
  <si>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</si>
  <si>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</si>
  <si>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</si>
  <si>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</si>
  <si>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</si>
  <si>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</si>
  <si>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</si>
  <si>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</si>
  <si>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</si>
  <si>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</si>
  <si>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</si>
  <si>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</si>
  <si>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</si>
  <si>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</si>
  <si>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</si>
  <si>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</si>
  <si>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</si>
  <si>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</si>
  <si>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</si>
  <si>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</si>
  <si>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</si>
  <si>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</si>
  <si>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</si>
  <si>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</si>
  <si>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</si>
  <si>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</si>
  <si>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</si>
  <si>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</si>
  <si>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</si>
  <si>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</si>
  <si>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</si>
  <si>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</si>
  <si>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</si>
  <si>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</si>
  <si>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</si>
  <si>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</si>
  <si>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Bosque Estacionalmente Seco Ribereño (Bes-rb)</t>
  </si>
  <si>
    <t>Muy alterado / Degradado</t>
  </si>
  <si>
    <t>Agricultura secano</t>
  </si>
  <si>
    <t>Muerto en pie</t>
  </si>
  <si>
    <t>Pastizal natural</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</si>
  <si>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</si>
  <si>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</si>
  <si>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</si>
  <si>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</si>
  <si>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</si>
  <si>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</si>
  <si>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</si>
  <si>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</si>
  <si>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</si>
  <si>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</si>
  <si>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</si>
  <si>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</si>
  <si>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</si>
  <si>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Matorral Andino árido</t>
  </si>
  <si>
    <t>En restauración / Recuperación</t>
  </si>
  <si>
    <t>Agricultura bajo riego</t>
  </si>
  <si>
    <t>Rebrote vigoroso</t>
  </si>
  <si>
    <t>Pastizal cultivado</t>
  </si>
  <si>
    <t>NT — Casi Amenazado</t>
  </si>
  <si>
    <t>Reservorio / Represa</t>
  </si>
  <si>
    <t>Inaccesible en lluvias</t>
  </si>
  <si>
    <t>Trocha carrozable</t>
  </si>
  <si>
    <t>Cauce / Ribera</t>
  </si>
  <si>
    <t>Sureste</t>
  </si>
  <si>
    <t>&gt;3500 m (Puna/Jalca)</t>
  </si>
  <si>
    <t>Sin uso aparente / Abandonado</t>
  </si>
  <si>
    <t>Cultivo anual</t>
  </si>
  <si>
    <t>Epífito</t>
  </si>
  <si>
    <t>Laguna / Humedal</t>
  </si>
  <si>
    <t>Llanura / Pampa</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</si>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</sst>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8" fillId="5"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10" fillId="7" borderId="1" xfId="0" applyFont="1" applyFill="1" applyBorder="1" applyAlignment="1">
      <alignment horizontal="left" vertical="center" wrapText="1"/>
    </xf>
    <xf numFmtId="0" fontId="0" fillId="0" borderId="1" xfId="0" applyBorder="1"/>
    <xf numFmtId="0" fontId="9" fillId="6" borderId="1" xfId="0" applyFont="1" applyFill="1" applyBorder="1" applyAlignment="1">
      <alignment horizontal="left" vertical="center" wrapText="1"/>
    </xf>
    <xf numFmtId="0" fontId="0" fillId="0" borderId="3" xfId="0" applyBorder="1"/>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21" t="s">
        <v>0</v>
      </c>
      <c r="B1" s="21"/>
      <c r="C1" s="21"/>
      <c r="D1" s="21"/>
      <c r="E1" s="21"/>
      <c r="F1" s="21"/>
      <c r="G1" s="21"/>
      <c r="H1" s="21"/>
    </row>
    <row r="2" spans="1:8" ht="18" customHeight="1" x14ac:dyDescent="0.3">
      <c r="A2" s="22" t="s">
        <v>1</v>
      </c>
      <c r="B2" s="22"/>
      <c r="C2" s="22"/>
      <c r="D2" s="22"/>
      <c r="E2" s="22"/>
      <c r="F2" s="22"/>
      <c r="G2" s="22"/>
      <c r="H2" s="22"/>
    </row>
    <row r="3" spans="1:8" ht="30" customHeight="1" x14ac:dyDescent="0.3">
      <c r="A3" s="22" t="s">
        <v>2</v>
      </c>
      <c r="B3" s="22"/>
      <c r="C3" s="22"/>
      <c r="D3" s="22"/>
      <c r="E3" s="22"/>
      <c r="F3" s="22"/>
      <c r="G3" s="22"/>
      <c r="H3" s="22"/>
    </row>
    <row r="4" spans="1:8" ht="27.75" customHeight="1" x14ac:dyDescent="0.3">
      <c r="A4" s="23" t="s">
        <v>3</v>
      </c>
      <c r="B4" s="23"/>
      <c r="C4" s="23"/>
      <c r="D4" s="23"/>
      <c r="E4" s="23"/>
      <c r="F4" s="23"/>
      <c r="G4" s="23"/>
      <c r="H4" s="23"/>
    </row>
    <row r="5" spans="1:8" ht="27.75" customHeight="1" x14ac:dyDescent="0.3">
      <c r="A5" s="24" t="s">
        <v>4</v>
      </c>
      <c r="B5" s="24"/>
      <c r="C5" s="24"/>
      <c r="D5" s="24"/>
      <c r="E5" s="24"/>
      <c r="F5" s="24"/>
      <c r="G5" s="24"/>
      <c r="H5" s="24"/>
    </row>
    <row r="6" spans="1:8" ht="24" customHeight="1" x14ac:dyDescent="0.3">
      <c r="A6" s="20" t="s">
        <v>5</v>
      </c>
      <c r="B6" s="20"/>
      <c r="C6" s="20"/>
      <c r="D6" s="20"/>
      <c r="E6" s="20"/>
      <c r="F6" s="20"/>
      <c r="G6" s="20"/>
      <c r="H6" s="20"/>
    </row>
    <row r="7" spans="1:8" ht="21.75" customHeight="1" x14ac:dyDescent="0.3">
      <c r="A7" s="15" t="s">
        <v>6</v>
      </c>
      <c r="B7" s="15"/>
      <c r="C7" s="15"/>
      <c r="D7" s="15"/>
      <c r="E7" s="15"/>
      <c r="F7" s="15"/>
      <c r="G7" s="15"/>
      <c r="H7" s="15"/>
    </row>
    <row r="8" spans="1:8" ht="19.5" customHeight="1" x14ac:dyDescent="0.3">
      <c r="A8" s="1" t="s">
        <v>7</v>
      </c>
      <c r="B8" s="14" t="s">
        <v>8</v>
      </c>
      <c r="C8" s="14"/>
      <c r="D8" s="14"/>
      <c r="E8" s="1" t="s">
        <v>9</v>
      </c>
      <c r="F8" s="14" t="s">
        <v>10</v>
      </c>
      <c r="G8" s="14"/>
      <c r="H8" s="14"/>
    </row>
    <row r="9" spans="1:8" ht="19.5" customHeight="1" x14ac:dyDescent="0.3">
      <c r="A9" s="1" t="s">
        <v>11</v>
      </c>
      <c r="B9" s="14" t="s">
        <v>12</v>
      </c>
      <c r="C9" s="14"/>
      <c r="D9" s="14"/>
      <c r="E9" s="1" t="s">
        <v>13</v>
      </c>
      <c r="F9" s="14" t="s">
        <v>14</v>
      </c>
      <c r="G9" s="14"/>
      <c r="H9" s="14"/>
    </row>
    <row r="10" spans="1:8" ht="19.5" customHeight="1" x14ac:dyDescent="0.3">
      <c r="A10" s="1" t="s">
        <v>15</v>
      </c>
      <c r="B10" s="14" t="s">
        <v>16</v>
      </c>
      <c r="C10" s="14"/>
      <c r="D10" s="14"/>
      <c r="E10" s="1" t="s">
        <v>17</v>
      </c>
      <c r="F10" s="18" t="str">
        <f>IFERROR(VLOOKUP($B$10,tbl_Bloques,2,FALSE()),"")</f>
        <v>C1076-Q9592</v>
      </c>
      <c r="G10" s="18"/>
      <c r="H10" s="18"/>
    </row>
    <row r="11" spans="1:8" ht="19.5" customHeight="1" x14ac:dyDescent="0.3">
      <c r="A11" s="1" t="s">
        <v>18</v>
      </c>
      <c r="B11" s="18" t="str">
        <f>IFERROR(VLOOKUP($B$10,tbl_Bloques,3,FALSE()),"")</f>
        <v>Huancabamba</v>
      </c>
      <c r="C11" s="18"/>
      <c r="D11" s="18"/>
      <c r="E11" s="1" t="s">
        <v>19</v>
      </c>
      <c r="F11" s="18" t="str">
        <f>IFERROR(VLOOKUP($B$10,tbl_Bloques,4,FALSE()),"")</f>
        <v>Huarmaca</v>
      </c>
      <c r="G11" s="18"/>
      <c r="H11" s="18"/>
    </row>
    <row r="12" spans="1:8" ht="19.5" customHeight="1" x14ac:dyDescent="0.3">
      <c r="A12" s="1" t="s">
        <v>20</v>
      </c>
      <c r="B12" s="18" t="str">
        <f>IFERROR(VLOOKUP($B$10,tbl_Bloques,5,FALSE()),"")</f>
        <v>Z13</v>
      </c>
      <c r="C12" s="18"/>
      <c r="D12" s="18"/>
      <c r="E12" s="1" t="s">
        <v>21</v>
      </c>
      <c r="F12" s="18">
        <f>IFERROR(VLOOKUP($B$10,tbl_Bloques,8,FALSE()),"")</f>
        <v>12.4</v>
      </c>
      <c r="G12" s="18"/>
      <c r="H12" s="18"/>
    </row>
    <row r="13" spans="1:8" ht="19.5" customHeight="1" x14ac:dyDescent="0.3">
      <c r="A13" s="1" t="s">
        <v>22</v>
      </c>
      <c r="B13" s="14">
        <v>662236</v>
      </c>
      <c r="C13" s="14"/>
      <c r="D13" s="14"/>
      <c r="E13" s="1" t="s">
        <v>23</v>
      </c>
      <c r="F13" s="14">
        <v>9391211</v>
      </c>
      <c r="G13" s="14"/>
      <c r="H13" s="14"/>
    </row>
    <row r="14" spans="1:8" ht="19.5" customHeight="1" x14ac:dyDescent="0.3">
      <c r="A14" s="1" t="s">
        <v>24</v>
      </c>
      <c r="B14" s="14" t="s">
        <v>25</v>
      </c>
      <c r="C14" s="14"/>
      <c r="D14" s="14"/>
      <c r="E14" s="1" t="s">
        <v>26</v>
      </c>
      <c r="F14" s="14" t="s">
        <v>27</v>
      </c>
      <c r="G14" s="14"/>
      <c r="H14" s="14"/>
    </row>
    <row r="15" spans="1:8" ht="19.5" customHeight="1" x14ac:dyDescent="0.3">
      <c r="A15" s="1" t="s">
        <v>28</v>
      </c>
      <c r="B15" s="14" t="s">
        <v>29</v>
      </c>
      <c r="C15" s="14"/>
      <c r="D15" s="14"/>
      <c r="E15" s="14"/>
      <c r="F15" s="14"/>
      <c r="G15" s="14"/>
      <c r="H15" s="14"/>
    </row>
    <row r="17" spans="1:8" ht="21.75" customHeight="1" x14ac:dyDescent="0.3">
      <c r="A17" s="15" t="s">
        <v>30</v>
      </c>
      <c r="B17" s="15"/>
      <c r="C17" s="15"/>
      <c r="D17" s="15"/>
      <c r="E17" s="15"/>
      <c r="F17" s="15"/>
      <c r="G17" s="15"/>
      <c r="H17" s="15"/>
    </row>
    <row r="18" spans="1:8" ht="19.5" customHeight="1" x14ac:dyDescent="0.3">
      <c r="A18" s="1" t="s">
        <v>31</v>
      </c>
      <c r="B18" s="14" t="s">
        <v>32</v>
      </c>
      <c r="C18" s="14"/>
      <c r="D18" s="14"/>
      <c r="E18" s="14"/>
      <c r="F18" s="14"/>
      <c r="G18" s="14"/>
      <c r="H18" s="14"/>
    </row>
    <row r="19" spans="1:8" ht="19.5" customHeight="1" x14ac:dyDescent="0.3">
      <c r="A19" s="1" t="s">
        <v>33</v>
      </c>
      <c r="B19" s="14" t="s">
        <v>34</v>
      </c>
      <c r="C19" s="14"/>
      <c r="D19" s="14"/>
      <c r="E19" s="14"/>
      <c r="F19" s="14"/>
      <c r="G19" s="14"/>
      <c r="H19" s="14"/>
    </row>
    <row r="20" spans="1:8" ht="19.5" customHeight="1" x14ac:dyDescent="0.3">
      <c r="A20" s="1" t="s">
        <v>35</v>
      </c>
      <c r="B20" s="14" t="s">
        <v>36</v>
      </c>
      <c r="C20" s="14"/>
      <c r="D20" s="14"/>
      <c r="E20" s="14"/>
      <c r="F20" s="14"/>
      <c r="G20" s="14"/>
      <c r="H20" s="14"/>
    </row>
    <row r="21" spans="1:8" ht="19.5" customHeight="1" x14ac:dyDescent="0.3">
      <c r="A21" s="1" t="s">
        <v>37</v>
      </c>
      <c r="B21" s="14" t="s">
        <v>38</v>
      </c>
      <c r="C21" s="14"/>
      <c r="D21" s="14"/>
      <c r="E21" s="14"/>
      <c r="F21" s="14"/>
      <c r="G21" s="14"/>
      <c r="H21" s="14"/>
    </row>
    <row r="22" spans="1:8" ht="19.5" customHeight="1" x14ac:dyDescent="0.3">
      <c r="A22" s="1" t="s">
        <v>39</v>
      </c>
      <c r="B22" s="14" t="s">
        <v>40</v>
      </c>
      <c r="C22" s="14"/>
      <c r="D22" s="14"/>
      <c r="E22" s="14"/>
      <c r="F22" s="14"/>
      <c r="G22" s="14"/>
      <c r="H22" s="14"/>
    </row>
    <row r="23" spans="1:8" ht="19.5" customHeight="1" x14ac:dyDescent="0.3">
      <c r="A23" s="1" t="s">
        <v>41</v>
      </c>
      <c r="B23" s="14" t="s">
        <v>42</v>
      </c>
      <c r="C23" s="14"/>
      <c r="D23" s="14"/>
      <c r="E23" s="14"/>
      <c r="F23" s="14"/>
      <c r="G23" s="14"/>
      <c r="H23" s="14"/>
    </row>
    <row r="25" spans="1:8" ht="21.75" customHeight="1" x14ac:dyDescent="0.3">
      <c r="A25" s="15" t="s">
        <v>43</v>
      </c>
      <c r="B25" s="15"/>
      <c r="C25" s="15"/>
      <c r="D25" s="15"/>
      <c r="E25" s="15"/>
      <c r="F25" s="15"/>
      <c r="G25" s="15"/>
      <c r="H25" s="15"/>
    </row>
    <row r="26" spans="1:8" ht="19.5" customHeight="1" x14ac:dyDescent="0.3">
      <c r="A26" s="1" t="s">
        <v>44</v>
      </c>
      <c r="B26" s="14" t="s">
        <v>45</v>
      </c>
      <c r="C26" s="14"/>
      <c r="D26" s="14"/>
      <c r="E26" s="14"/>
      <c r="F26" s="14"/>
      <c r="G26" s="14"/>
      <c r="H26" s="14"/>
    </row>
    <row r="27" spans="1:8" ht="19.5" customHeight="1" x14ac:dyDescent="0.3">
      <c r="A27" s="1" t="s">
        <v>46</v>
      </c>
      <c r="B27" s="14" t="s">
        <v>45</v>
      </c>
      <c r="C27" s="14"/>
      <c r="D27" s="14"/>
      <c r="E27" s="14"/>
      <c r="F27" s="14"/>
      <c r="G27" s="14"/>
      <c r="H27" s="14"/>
    </row>
    <row r="28" spans="1:8" ht="19.5" customHeight="1" x14ac:dyDescent="0.3">
      <c r="A28" s="1" t="s">
        <v>47</v>
      </c>
      <c r="B28" s="14" t="s">
        <v>45</v>
      </c>
      <c r="C28" s="14"/>
      <c r="D28" s="14"/>
      <c r="E28" s="14"/>
      <c r="F28" s="14"/>
      <c r="G28" s="14"/>
      <c r="H28" s="14"/>
    </row>
    <row r="29" spans="1:8" ht="19.5" customHeight="1" x14ac:dyDescent="0.3">
      <c r="A29" s="1" t="s">
        <v>48</v>
      </c>
      <c r="B29" s="14" t="s">
        <v>49</v>
      </c>
      <c r="C29" s="14"/>
      <c r="D29" s="14"/>
      <c r="E29" s="14"/>
      <c r="F29" s="14"/>
      <c r="G29" s="14"/>
      <c r="H29" s="14"/>
    </row>
    <row r="30" spans="1:8" ht="19.5" customHeight="1" x14ac:dyDescent="0.3">
      <c r="A30" s="1" t="s">
        <v>50</v>
      </c>
      <c r="B30" s="14" t="s">
        <v>49</v>
      </c>
      <c r="C30" s="14"/>
      <c r="D30" s="14"/>
      <c r="E30" s="14"/>
      <c r="F30" s="14"/>
      <c r="G30" s="14"/>
      <c r="H30" s="14"/>
    </row>
    <row r="32" spans="1:8" ht="21.75" customHeight="1" x14ac:dyDescent="0.3">
      <c r="A32" s="15" t="s">
        <v>51</v>
      </c>
      <c r="B32" s="15"/>
      <c r="C32" s="15"/>
      <c r="D32" s="15"/>
      <c r="E32" s="15"/>
      <c r="F32" s="15"/>
      <c r="G32" s="15"/>
      <c r="H32" s="15"/>
    </row>
    <row r="33" spans="1:8" ht="27.75" customHeight="1" x14ac:dyDescent="0.3">
      <c r="A33" s="12" t="s">
        <v>52</v>
      </c>
      <c r="B33" s="12"/>
      <c r="C33" s="12"/>
      <c r="D33" s="12"/>
      <c r="E33" s="12"/>
      <c r="F33" s="12"/>
      <c r="G33" s="12"/>
      <c r="H33" s="12"/>
    </row>
    <row r="34" spans="1:8" ht="27.75" customHeight="1" x14ac:dyDescent="0.3">
      <c r="A34" s="12"/>
      <c r="B34" s="12"/>
      <c r="C34" s="12"/>
      <c r="D34" s="12"/>
      <c r="E34" s="12"/>
      <c r="F34" s="12"/>
      <c r="G34" s="12"/>
      <c r="H34" s="12"/>
    </row>
    <row r="35" spans="1:8" ht="27.75" customHeight="1" x14ac:dyDescent="0.3">
      <c r="A35" s="12"/>
      <c r="B35" s="12"/>
      <c r="C35" s="12"/>
      <c r="D35" s="12"/>
      <c r="E35" s="12"/>
      <c r="F35" s="12"/>
      <c r="G35" s="12"/>
      <c r="H35" s="12"/>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18" activePane="bottomLeft" state="frozen"/>
      <selection pane="bottomLeft" activeCell="K22" sqref="K22:K25"/>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21" t="s">
        <v>0</v>
      </c>
      <c r="B1" s="21"/>
      <c r="C1" s="21"/>
      <c r="D1" s="21"/>
      <c r="E1" s="21"/>
      <c r="F1" s="21"/>
      <c r="G1" s="21"/>
      <c r="H1" s="21"/>
      <c r="I1" s="21"/>
      <c r="J1" s="21"/>
      <c r="K1" s="21"/>
      <c r="L1" s="21"/>
    </row>
    <row r="2" spans="1:12" ht="18" customHeight="1" x14ac:dyDescent="0.3">
      <c r="A2" s="22" t="s">
        <v>1</v>
      </c>
      <c r="B2" s="22"/>
      <c r="C2" s="22"/>
      <c r="D2" s="22"/>
      <c r="E2" s="22"/>
      <c r="F2" s="22"/>
      <c r="G2" s="22"/>
      <c r="H2" s="22"/>
      <c r="I2" s="22"/>
      <c r="J2" s="22"/>
      <c r="K2" s="22"/>
      <c r="L2" s="22"/>
    </row>
    <row r="3" spans="1:12" ht="30" customHeight="1" x14ac:dyDescent="0.3">
      <c r="A3" s="22" t="s">
        <v>2</v>
      </c>
      <c r="B3" s="22"/>
      <c r="C3" s="22"/>
      <c r="D3" s="22"/>
      <c r="E3" s="22"/>
      <c r="F3" s="22"/>
      <c r="G3" s="22"/>
      <c r="H3" s="22"/>
      <c r="I3" s="22"/>
      <c r="J3" s="22"/>
      <c r="K3" s="22"/>
      <c r="L3" s="22"/>
    </row>
    <row r="4" spans="1:12" ht="27.75" customHeight="1" x14ac:dyDescent="0.3">
      <c r="A4" s="23" t="s">
        <v>53</v>
      </c>
      <c r="B4" s="23"/>
      <c r="C4" s="23"/>
      <c r="D4" s="23"/>
      <c r="E4" s="23"/>
      <c r="F4" s="23"/>
      <c r="G4" s="23"/>
      <c r="H4" s="23"/>
      <c r="I4" s="23"/>
      <c r="J4" s="23"/>
      <c r="K4" s="23"/>
      <c r="L4" s="23"/>
    </row>
    <row r="5" spans="1:12" ht="27.75" customHeight="1" x14ac:dyDescent="0.3">
      <c r="A5" s="24" t="s">
        <v>54</v>
      </c>
      <c r="B5" s="24"/>
      <c r="C5" s="24"/>
      <c r="D5" s="24"/>
      <c r="E5" s="24"/>
      <c r="F5" s="24"/>
      <c r="G5" s="24"/>
      <c r="H5" s="24"/>
      <c r="I5" s="24"/>
      <c r="J5" s="24"/>
      <c r="K5" s="24"/>
      <c r="L5" s="24"/>
    </row>
    <row r="6" spans="1:12" ht="24" customHeight="1" x14ac:dyDescent="0.3">
      <c r="A6" s="20" t="s">
        <v>5</v>
      </c>
      <c r="B6" s="20"/>
      <c r="C6" s="20"/>
      <c r="D6" s="20"/>
      <c r="E6" s="20"/>
      <c r="F6" s="20"/>
      <c r="G6" s="20"/>
      <c r="H6" s="20"/>
      <c r="I6" s="20"/>
      <c r="J6" s="20"/>
      <c r="K6" s="20"/>
      <c r="L6" s="20"/>
    </row>
    <row r="7" spans="1:12" ht="21.75" customHeight="1" x14ac:dyDescent="0.3">
      <c r="A7" s="15" t="s">
        <v>55</v>
      </c>
      <c r="B7" s="15"/>
      <c r="C7" s="15"/>
      <c r="D7" s="15"/>
      <c r="E7" s="15"/>
      <c r="F7" s="15"/>
      <c r="G7" s="15"/>
      <c r="H7" s="15"/>
      <c r="I7" s="15"/>
      <c r="J7" s="15"/>
      <c r="K7" s="15"/>
      <c r="L7" s="15"/>
    </row>
    <row r="8" spans="1:12" ht="19.5" customHeight="1" x14ac:dyDescent="0.3">
      <c r="A8" s="13" t="s">
        <v>7</v>
      </c>
      <c r="B8" s="13"/>
      <c r="C8" s="13"/>
      <c r="D8" s="14" t="s">
        <v>8</v>
      </c>
      <c r="E8" s="14"/>
      <c r="F8" s="14"/>
      <c r="G8" s="13" t="s">
        <v>56</v>
      </c>
      <c r="H8" s="13"/>
      <c r="I8" s="13"/>
      <c r="J8" s="14" t="s">
        <v>12</v>
      </c>
      <c r="K8" s="14"/>
      <c r="L8" s="14"/>
    </row>
    <row r="9" spans="1:12" ht="19.5" customHeight="1" x14ac:dyDescent="0.3">
      <c r="A9" s="13" t="s">
        <v>15</v>
      </c>
      <c r="B9" s="13"/>
      <c r="C9" s="13"/>
      <c r="D9" s="14" t="s">
        <v>16</v>
      </c>
      <c r="E9" s="14"/>
      <c r="F9" s="14"/>
      <c r="G9" s="13" t="s">
        <v>57</v>
      </c>
      <c r="H9" s="13"/>
      <c r="I9" s="13"/>
      <c r="J9" s="18" t="str">
        <f>IFERROR(VLOOKUP($D$9,tbl_Bloques,2,FALSE()),"")</f>
        <v>C1076-Q9592</v>
      </c>
      <c r="K9" s="18"/>
      <c r="L9" s="18"/>
    </row>
    <row r="10" spans="1:12" ht="19.5" customHeight="1" x14ac:dyDescent="0.3">
      <c r="A10" s="13" t="s">
        <v>19</v>
      </c>
      <c r="B10" s="13"/>
      <c r="C10" s="13"/>
      <c r="D10" s="18" t="str">
        <f>IFERROR(VLOOKUP($D$9,tbl_Bloques,4,FALSE()),"")</f>
        <v>Huarmaca</v>
      </c>
      <c r="E10" s="18"/>
      <c r="F10" s="18"/>
      <c r="G10" s="13" t="s">
        <v>58</v>
      </c>
      <c r="H10" s="13"/>
      <c r="I10" s="13"/>
      <c r="J10" s="14" t="s">
        <v>59</v>
      </c>
      <c r="K10" s="14"/>
      <c r="L10" s="14"/>
    </row>
    <row r="11" spans="1:12" ht="19.5" customHeight="1" x14ac:dyDescent="0.3">
      <c r="A11" s="13" t="s">
        <v>60</v>
      </c>
      <c r="B11" s="13"/>
      <c r="C11" s="13"/>
      <c r="D11" s="14">
        <v>662236</v>
      </c>
      <c r="E11" s="14"/>
      <c r="F11" s="14"/>
      <c r="G11" s="13" t="s">
        <v>61</v>
      </c>
      <c r="H11" s="13"/>
      <c r="I11" s="13"/>
      <c r="J11" s="14">
        <v>9391211</v>
      </c>
      <c r="K11" s="14"/>
      <c r="L11" s="14"/>
    </row>
    <row r="13" spans="1:12" ht="21.75" customHeight="1" x14ac:dyDescent="0.3">
      <c r="A13" s="15" t="s">
        <v>62</v>
      </c>
      <c r="B13" s="15"/>
      <c r="C13" s="15"/>
      <c r="D13" s="15"/>
      <c r="E13" s="15"/>
      <c r="F13" s="15"/>
      <c r="G13" s="15"/>
      <c r="H13" s="15"/>
      <c r="I13" s="15"/>
      <c r="J13" s="15"/>
      <c r="K13" s="15"/>
      <c r="L13" s="15"/>
    </row>
    <row r="14" spans="1:12" ht="19.5" customHeight="1" x14ac:dyDescent="0.3">
      <c r="A14" s="13" t="s">
        <v>63</v>
      </c>
      <c r="B14" s="13"/>
      <c r="C14" s="13"/>
      <c r="D14" s="14" t="s">
        <v>45</v>
      </c>
      <c r="E14" s="14"/>
      <c r="F14" s="14"/>
      <c r="G14" s="14"/>
      <c r="H14" s="14"/>
      <c r="I14" s="14"/>
      <c r="J14" s="14"/>
      <c r="K14" s="14"/>
      <c r="L14" s="14"/>
    </row>
    <row r="15" spans="1:12" ht="19.5" customHeight="1" x14ac:dyDescent="0.3">
      <c r="A15" s="13" t="s">
        <v>64</v>
      </c>
      <c r="B15" s="13"/>
      <c r="C15" s="13"/>
      <c r="D15" s="14" t="s">
        <v>45</v>
      </c>
      <c r="E15" s="14"/>
      <c r="F15" s="14"/>
      <c r="G15" s="14"/>
      <c r="H15" s="14"/>
      <c r="I15" s="14"/>
      <c r="J15" s="14"/>
      <c r="K15" s="14"/>
      <c r="L15" s="14"/>
    </row>
    <row r="16" spans="1:12" ht="19.5" customHeight="1" x14ac:dyDescent="0.3">
      <c r="A16" s="13" t="s">
        <v>65</v>
      </c>
      <c r="B16" s="13"/>
      <c r="C16" s="13"/>
      <c r="D16" s="14" t="s">
        <v>45</v>
      </c>
      <c r="E16" s="14"/>
      <c r="F16" s="14"/>
      <c r="G16" s="14"/>
      <c r="H16" s="14"/>
      <c r="I16" s="14"/>
      <c r="J16" s="14"/>
      <c r="K16" s="14"/>
      <c r="L16" s="14"/>
    </row>
    <row r="17" spans="1:12" ht="19.5" customHeight="1" x14ac:dyDescent="0.3">
      <c r="A17" s="13" t="s">
        <v>66</v>
      </c>
      <c r="B17" s="13"/>
      <c r="C17" s="13"/>
      <c r="D17" s="14" t="s">
        <v>67</v>
      </c>
      <c r="E17" s="14"/>
      <c r="F17" s="14"/>
      <c r="G17" s="14"/>
      <c r="H17" s="14"/>
      <c r="I17" s="14"/>
      <c r="J17" s="14"/>
      <c r="K17" s="14"/>
      <c r="L17" s="14"/>
    </row>
    <row r="19" spans="1:12" ht="21.75" customHeight="1" x14ac:dyDescent="0.3">
      <c r="A19" s="15" t="s">
        <v>68</v>
      </c>
      <c r="B19" s="15"/>
      <c r="C19" s="15"/>
      <c r="D19" s="15"/>
      <c r="E19" s="15"/>
      <c r="F19" s="15"/>
      <c r="G19" s="15"/>
      <c r="H19" s="15"/>
      <c r="I19" s="15"/>
      <c r="J19" s="15"/>
      <c r="K19" s="15"/>
      <c r="L19" s="15"/>
    </row>
    <row r="20" spans="1:12" ht="25.5" customHeight="1" x14ac:dyDescent="0.3">
      <c r="A20" s="16" t="s">
        <v>69</v>
      </c>
      <c r="B20" s="16"/>
      <c r="C20" s="16"/>
      <c r="D20" s="16"/>
      <c r="E20" s="16"/>
      <c r="F20" s="16"/>
      <c r="G20" s="16"/>
      <c r="H20" s="16"/>
      <c r="I20" s="16"/>
      <c r="J20" s="16"/>
      <c r="K20" s="16"/>
      <c r="L20" s="16"/>
    </row>
    <row r="21" spans="1:12" ht="31.5" customHeight="1" x14ac:dyDescent="0.3">
      <c r="A21" s="2" t="s">
        <v>70</v>
      </c>
      <c r="B21" s="2" t="s">
        <v>71</v>
      </c>
      <c r="C21" s="2" t="s">
        <v>72</v>
      </c>
      <c r="D21" s="2" t="s">
        <v>73</v>
      </c>
      <c r="E21" s="2" t="s">
        <v>74</v>
      </c>
      <c r="F21" s="2" t="s">
        <v>75</v>
      </c>
      <c r="G21" s="2" t="s">
        <v>76</v>
      </c>
      <c r="H21" s="2" t="s">
        <v>77</v>
      </c>
      <c r="I21" s="2" t="s">
        <v>78</v>
      </c>
      <c r="J21" s="2" t="s">
        <v>79</v>
      </c>
      <c r="K21" s="2" t="s">
        <v>80</v>
      </c>
      <c r="L21" s="2" t="s">
        <v>81</v>
      </c>
    </row>
    <row r="22" spans="1:12" ht="19.5" customHeight="1" x14ac:dyDescent="0.3">
      <c r="A22" s="3" t="s">
        <v>82</v>
      </c>
      <c r="B22" s="3" t="s">
        <v>83</v>
      </c>
      <c r="C22" s="3"/>
      <c r="D22" s="3"/>
      <c r="E22" s="3"/>
      <c r="F22" s="3"/>
      <c r="G22" s="3"/>
      <c r="H22" s="3"/>
      <c r="I22" s="3"/>
      <c r="J22" s="3" t="s">
        <v>84</v>
      </c>
      <c r="K22" s="4" t="s">
        <v>85</v>
      </c>
      <c r="L22" s="3" t="s">
        <v>86</v>
      </c>
    </row>
    <row r="23" spans="1:12" ht="19.5" customHeight="1" x14ac:dyDescent="0.3">
      <c r="A23" s="3" t="s">
        <v>87</v>
      </c>
      <c r="B23" s="3" t="s">
        <v>88</v>
      </c>
      <c r="C23" s="3"/>
      <c r="D23" s="3"/>
      <c r="E23" s="3"/>
      <c r="F23" s="3"/>
      <c r="G23" s="3"/>
      <c r="H23" s="3"/>
      <c r="I23" s="3"/>
      <c r="J23" s="3" t="s">
        <v>89</v>
      </c>
      <c r="K23" s="4" t="s">
        <v>90</v>
      </c>
      <c r="L23" s="3" t="s">
        <v>91</v>
      </c>
    </row>
    <row r="24" spans="1:12" ht="19.5" customHeight="1" x14ac:dyDescent="0.3">
      <c r="A24" s="3" t="s">
        <v>92</v>
      </c>
      <c r="B24" s="3" t="s">
        <v>83</v>
      </c>
      <c r="C24" s="3"/>
      <c r="D24" s="3"/>
      <c r="E24" s="3"/>
      <c r="F24" s="3"/>
      <c r="G24" s="3"/>
      <c r="H24" s="3"/>
      <c r="I24" s="3"/>
      <c r="J24" s="3" t="s">
        <v>84</v>
      </c>
      <c r="K24" s="4" t="s">
        <v>93</v>
      </c>
      <c r="L24" s="3" t="s">
        <v>94</v>
      </c>
    </row>
    <row r="25" spans="1:12" ht="19.5" customHeight="1" x14ac:dyDescent="0.3">
      <c r="A25" s="3" t="s">
        <v>95</v>
      </c>
      <c r="B25" s="3" t="s">
        <v>96</v>
      </c>
      <c r="C25" s="3"/>
      <c r="D25" s="3"/>
      <c r="E25" s="3"/>
      <c r="F25" s="3"/>
      <c r="G25" s="3"/>
      <c r="H25" s="3"/>
      <c r="I25" s="3"/>
      <c r="J25" s="3" t="s">
        <v>84</v>
      </c>
      <c r="K25" s="4" t="s">
        <v>85</v>
      </c>
      <c r="L25" s="3" t="s">
        <v>97</v>
      </c>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5" t="s">
        <v>98</v>
      </c>
      <c r="B33" s="15"/>
      <c r="C33" s="15"/>
      <c r="D33" s="15"/>
      <c r="E33" s="15"/>
      <c r="F33" s="15"/>
      <c r="G33" s="15"/>
      <c r="H33" s="15"/>
      <c r="I33" s="15"/>
      <c r="J33" s="15"/>
      <c r="K33" s="15"/>
      <c r="L33" s="15"/>
    </row>
    <row r="34" spans="1:12" ht="19.5" customHeight="1" x14ac:dyDescent="0.3">
      <c r="A34" s="13" t="s">
        <v>99</v>
      </c>
      <c r="B34" s="13"/>
      <c r="C34" s="13"/>
      <c r="D34" s="14" t="s">
        <v>67</v>
      </c>
      <c r="E34" s="14"/>
      <c r="F34" s="14"/>
      <c r="G34" s="14"/>
      <c r="H34" s="14"/>
      <c r="I34" s="14"/>
      <c r="J34" s="14"/>
      <c r="K34" s="14"/>
      <c r="L34" s="14"/>
    </row>
    <row r="35" spans="1:12" ht="19.5" customHeight="1" x14ac:dyDescent="0.3">
      <c r="A35" s="13" t="s">
        <v>100</v>
      </c>
      <c r="B35" s="13"/>
      <c r="C35" s="13"/>
      <c r="D35" s="14">
        <v>4</v>
      </c>
      <c r="E35" s="14"/>
      <c r="F35" s="14"/>
      <c r="G35" s="13" t="s">
        <v>101</v>
      </c>
      <c r="H35" s="13"/>
      <c r="I35" s="13"/>
      <c r="J35" s="14"/>
      <c r="K35" s="14"/>
      <c r="L35" s="14"/>
    </row>
    <row r="36" spans="1:12" ht="19.5" customHeight="1" x14ac:dyDescent="0.3">
      <c r="A36" s="13" t="s">
        <v>102</v>
      </c>
      <c r="B36" s="13"/>
      <c r="C36" s="13"/>
      <c r="D36" s="14"/>
      <c r="E36" s="14"/>
      <c r="F36" s="14"/>
      <c r="G36" s="13" t="s">
        <v>103</v>
      </c>
      <c r="H36" s="13"/>
      <c r="I36" s="13"/>
      <c r="J36" s="14"/>
      <c r="K36" s="14"/>
      <c r="L36" s="14"/>
    </row>
    <row r="37" spans="1:12" ht="19.5" customHeight="1" x14ac:dyDescent="0.3">
      <c r="A37" s="13" t="s">
        <v>104</v>
      </c>
      <c r="B37" s="13"/>
      <c r="C37" s="13"/>
      <c r="D37" s="14" t="s">
        <v>105</v>
      </c>
      <c r="E37" s="14"/>
      <c r="F37" s="14"/>
      <c r="G37" s="14"/>
      <c r="H37" s="14"/>
      <c r="I37" s="14"/>
      <c r="J37" s="14"/>
      <c r="K37" s="14"/>
      <c r="L37" s="14"/>
    </row>
    <row r="38" spans="1:12" ht="19.5" customHeight="1" x14ac:dyDescent="0.3">
      <c r="A38" s="13" t="s">
        <v>106</v>
      </c>
      <c r="B38" s="13"/>
      <c r="C38" s="13"/>
      <c r="D38" s="14" t="s">
        <v>45</v>
      </c>
      <c r="E38" s="14"/>
      <c r="F38" s="14"/>
      <c r="G38" s="14"/>
      <c r="H38" s="14"/>
      <c r="I38" s="14"/>
      <c r="J38" s="14"/>
      <c r="K38" s="14"/>
      <c r="L38" s="14"/>
    </row>
    <row r="39" spans="1:12" ht="19.5" customHeight="1" x14ac:dyDescent="0.3">
      <c r="A39" s="13" t="s">
        <v>107</v>
      </c>
      <c r="B39" s="13"/>
      <c r="C39" s="13"/>
      <c r="D39" s="14" t="s">
        <v>108</v>
      </c>
      <c r="E39" s="14"/>
      <c r="F39" s="14"/>
      <c r="G39" s="14"/>
      <c r="H39" s="14"/>
      <c r="I39" s="14"/>
      <c r="J39" s="14"/>
      <c r="K39" s="14"/>
      <c r="L39" s="14"/>
    </row>
    <row r="41" spans="1:12" ht="21.75" customHeight="1" x14ac:dyDescent="0.3">
      <c r="A41" s="15" t="s">
        <v>51</v>
      </c>
      <c r="B41" s="15"/>
      <c r="C41" s="15"/>
      <c r="D41" s="15"/>
      <c r="E41" s="15"/>
      <c r="F41" s="15"/>
      <c r="G41" s="15"/>
      <c r="H41" s="15"/>
      <c r="I41" s="15"/>
      <c r="J41" s="15"/>
      <c r="K41" s="15"/>
      <c r="L41" s="15"/>
    </row>
    <row r="42" spans="1:12" ht="27.75" customHeight="1" x14ac:dyDescent="0.3">
      <c r="A42" s="12" t="s">
        <v>109</v>
      </c>
      <c r="B42" s="12"/>
      <c r="C42" s="12"/>
      <c r="D42" s="12"/>
      <c r="E42" s="12"/>
      <c r="F42" s="12"/>
      <c r="G42" s="12"/>
      <c r="H42" s="12"/>
      <c r="I42" s="12"/>
      <c r="J42" s="12"/>
      <c r="K42" s="12"/>
      <c r="L42" s="12"/>
    </row>
    <row r="43" spans="1:12" ht="27.75" customHeight="1" x14ac:dyDescent="0.3">
      <c r="A43" s="12"/>
      <c r="B43" s="12"/>
      <c r="C43" s="12"/>
      <c r="D43" s="12"/>
      <c r="E43" s="12"/>
      <c r="F43" s="12"/>
      <c r="G43" s="12"/>
      <c r="H43" s="12"/>
      <c r="I43" s="12"/>
      <c r="J43" s="12"/>
      <c r="K43" s="12"/>
      <c r="L43" s="12"/>
    </row>
    <row r="44" spans="1:12" ht="27.75" customHeight="1" x14ac:dyDescent="0.3">
      <c r="A44" s="12"/>
      <c r="B44" s="12"/>
      <c r="C44" s="12"/>
      <c r="D44" s="12"/>
      <c r="E44" s="12"/>
      <c r="F44" s="12"/>
      <c r="G44" s="12"/>
      <c r="H44" s="12"/>
      <c r="I44" s="12"/>
      <c r="J44" s="12"/>
      <c r="K44" s="12"/>
      <c r="L44" s="12"/>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1" activePane="bottomLeft" state="frozen"/>
      <selection pane="bottomLeft" activeCell="D53" sqref="D53"/>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21" t="s">
        <v>0</v>
      </c>
      <c r="B1" s="21"/>
      <c r="C1" s="21"/>
      <c r="D1" s="21"/>
      <c r="E1" s="21"/>
      <c r="F1" s="21"/>
      <c r="G1" s="21"/>
      <c r="H1" s="21"/>
      <c r="I1" s="21"/>
    </row>
    <row r="2" spans="1:9" ht="18" customHeight="1" x14ac:dyDescent="0.3">
      <c r="A2" s="22" t="s">
        <v>1</v>
      </c>
      <c r="B2" s="22"/>
      <c r="C2" s="22"/>
      <c r="D2" s="22"/>
      <c r="E2" s="22"/>
      <c r="F2" s="22"/>
      <c r="G2" s="22"/>
      <c r="H2" s="22"/>
      <c r="I2" s="22"/>
    </row>
    <row r="3" spans="1:9" ht="30" customHeight="1" x14ac:dyDescent="0.3">
      <c r="A3" s="22" t="s">
        <v>2</v>
      </c>
      <c r="B3" s="22"/>
      <c r="C3" s="22"/>
      <c r="D3" s="22"/>
      <c r="E3" s="22"/>
      <c r="F3" s="22"/>
      <c r="G3" s="22"/>
      <c r="H3" s="22"/>
      <c r="I3" s="22"/>
    </row>
    <row r="4" spans="1:9" ht="27.75" customHeight="1" x14ac:dyDescent="0.3">
      <c r="A4" s="23" t="s">
        <v>110</v>
      </c>
      <c r="B4" s="23"/>
      <c r="C4" s="23"/>
      <c r="D4" s="23"/>
      <c r="E4" s="23"/>
      <c r="F4" s="23"/>
      <c r="G4" s="23"/>
      <c r="H4" s="23"/>
      <c r="I4" s="23"/>
    </row>
    <row r="5" spans="1:9" ht="27.75" customHeight="1" x14ac:dyDescent="0.3">
      <c r="A5" s="24" t="s">
        <v>111</v>
      </c>
      <c r="B5" s="24"/>
      <c r="C5" s="24"/>
      <c r="D5" s="24"/>
      <c r="E5" s="24"/>
      <c r="F5" s="24"/>
      <c r="G5" s="24"/>
      <c r="H5" s="24"/>
      <c r="I5" s="24"/>
    </row>
    <row r="6" spans="1:9" ht="24" customHeight="1" x14ac:dyDescent="0.3">
      <c r="A6" s="20" t="s">
        <v>5</v>
      </c>
      <c r="B6" s="20"/>
      <c r="C6" s="20"/>
      <c r="D6" s="20"/>
      <c r="E6" s="20"/>
      <c r="F6" s="20"/>
      <c r="G6" s="20"/>
      <c r="H6" s="20"/>
      <c r="I6" s="20"/>
    </row>
    <row r="7" spans="1:9" ht="21.75" customHeight="1" x14ac:dyDescent="0.3">
      <c r="A7" s="15" t="s">
        <v>55</v>
      </c>
      <c r="B7" s="15"/>
      <c r="C7" s="15"/>
      <c r="D7" s="15"/>
      <c r="E7" s="15"/>
      <c r="F7" s="15"/>
      <c r="G7" s="15"/>
      <c r="H7" s="15"/>
      <c r="I7" s="15"/>
    </row>
    <row r="8" spans="1:9" ht="19.5" customHeight="1" x14ac:dyDescent="0.3">
      <c r="A8" s="13" t="s">
        <v>112</v>
      </c>
      <c r="B8" s="13"/>
      <c r="C8" s="14" t="s">
        <v>8</v>
      </c>
      <c r="D8" s="14"/>
      <c r="E8" s="13" t="s">
        <v>56</v>
      </c>
      <c r="F8" s="13"/>
      <c r="G8" s="14" t="s">
        <v>12</v>
      </c>
      <c r="H8" s="14"/>
      <c r="I8" s="14"/>
    </row>
    <row r="9" spans="1:9" ht="19.5" customHeight="1" x14ac:dyDescent="0.3">
      <c r="A9" s="13" t="s">
        <v>15</v>
      </c>
      <c r="B9" s="13"/>
      <c r="C9" s="14" t="s">
        <v>16</v>
      </c>
      <c r="D9" s="14"/>
      <c r="E9" s="13" t="s">
        <v>113</v>
      </c>
      <c r="F9" s="13"/>
      <c r="G9" s="18" t="str">
        <f>IFERROR(VLOOKUP($C$9,tbl_Bloques,2,FALSE()),"")</f>
        <v>C1076-Q9592</v>
      </c>
      <c r="H9" s="18"/>
      <c r="I9" s="18"/>
    </row>
    <row r="10" spans="1:9" ht="19.5" customHeight="1" x14ac:dyDescent="0.3">
      <c r="A10" s="13" t="s">
        <v>19</v>
      </c>
      <c r="B10" s="13"/>
      <c r="C10" s="18" t="str">
        <f>IFERROR(VLOOKUP($C$9,tbl_Bloques,4,FALSE()),"")</f>
        <v>Huarmaca</v>
      </c>
      <c r="D10" s="18"/>
      <c r="E10" s="13" t="s">
        <v>114</v>
      </c>
      <c r="F10" s="13"/>
      <c r="G10" s="14" t="s">
        <v>115</v>
      </c>
      <c r="H10" s="14"/>
      <c r="I10" s="14"/>
    </row>
    <row r="11" spans="1:9" ht="19.5" customHeight="1" x14ac:dyDescent="0.3">
      <c r="A11" s="13" t="s">
        <v>116</v>
      </c>
      <c r="B11" s="13"/>
      <c r="C11" s="14" t="s">
        <v>117</v>
      </c>
      <c r="D11" s="14"/>
      <c r="E11" s="13" t="s">
        <v>58</v>
      </c>
      <c r="F11" s="13"/>
      <c r="G11" s="14" t="s">
        <v>59</v>
      </c>
      <c r="H11" s="14"/>
      <c r="I11" s="14"/>
    </row>
    <row r="12" spans="1:9" ht="19.5" customHeight="1" x14ac:dyDescent="0.3">
      <c r="A12" s="13" t="s">
        <v>118</v>
      </c>
      <c r="B12" s="13"/>
      <c r="C12" s="14">
        <v>28.25</v>
      </c>
      <c r="D12" s="14"/>
      <c r="E12" s="13" t="s">
        <v>119</v>
      </c>
      <c r="F12" s="13"/>
      <c r="G12" s="14">
        <v>85</v>
      </c>
      <c r="H12" s="14"/>
      <c r="I12" s="14"/>
    </row>
    <row r="13" spans="1:9" ht="19.5" customHeight="1" x14ac:dyDescent="0.3">
      <c r="A13" s="13" t="s">
        <v>120</v>
      </c>
      <c r="B13" s="13"/>
      <c r="C13" s="14">
        <v>662236</v>
      </c>
      <c r="D13" s="14"/>
      <c r="E13" s="13" t="s">
        <v>121</v>
      </c>
      <c r="F13" s="13"/>
      <c r="G13" s="14">
        <v>9391211</v>
      </c>
      <c r="H13" s="14"/>
      <c r="I13" s="14"/>
    </row>
    <row r="15" spans="1:9" ht="21.75" customHeight="1" x14ac:dyDescent="0.3">
      <c r="A15" s="15" t="s">
        <v>122</v>
      </c>
      <c r="B15" s="15"/>
      <c r="C15" s="15"/>
      <c r="D15" s="15"/>
      <c r="E15" s="15"/>
      <c r="F15" s="15"/>
      <c r="G15" s="15"/>
      <c r="H15" s="15"/>
      <c r="I15" s="15"/>
    </row>
    <row r="16" spans="1:9" ht="19.5" customHeight="1" x14ac:dyDescent="0.3">
      <c r="A16" s="13" t="s">
        <v>123</v>
      </c>
      <c r="B16" s="13"/>
      <c r="C16" s="14" t="s">
        <v>124</v>
      </c>
      <c r="D16" s="14"/>
      <c r="E16" s="14"/>
      <c r="F16" s="14"/>
      <c r="G16" s="14"/>
      <c r="H16" s="14"/>
      <c r="I16" s="14"/>
    </row>
    <row r="17" spans="1:9" ht="19.5" customHeight="1" x14ac:dyDescent="0.3">
      <c r="A17" s="13" t="s">
        <v>125</v>
      </c>
      <c r="B17" s="13"/>
      <c r="C17" s="14" t="s">
        <v>126</v>
      </c>
      <c r="D17" s="14"/>
      <c r="E17" s="14"/>
      <c r="F17" s="14"/>
      <c r="G17" s="14"/>
      <c r="H17" s="14"/>
      <c r="I17" s="14"/>
    </row>
    <row r="18" spans="1:9" ht="19.5" customHeight="1" x14ac:dyDescent="0.3">
      <c r="A18" s="13" t="s">
        <v>127</v>
      </c>
      <c r="B18" s="13"/>
      <c r="C18" s="14" t="s">
        <v>128</v>
      </c>
      <c r="D18" s="14"/>
      <c r="E18" s="14"/>
      <c r="F18" s="14"/>
      <c r="G18" s="14"/>
      <c r="H18" s="14"/>
      <c r="I18" s="14"/>
    </row>
    <row r="19" spans="1:9" ht="19.5" customHeight="1" x14ac:dyDescent="0.3">
      <c r="A19" s="13" t="s">
        <v>129</v>
      </c>
      <c r="B19" s="13"/>
      <c r="C19" s="14" t="s">
        <v>130</v>
      </c>
      <c r="D19" s="14"/>
      <c r="E19" s="14"/>
      <c r="F19" s="14"/>
      <c r="G19" s="14"/>
      <c r="H19" s="14"/>
      <c r="I19" s="14"/>
    </row>
    <row r="21" spans="1:9" ht="21.75" customHeight="1" x14ac:dyDescent="0.3">
      <c r="A21" s="15" t="s">
        <v>131</v>
      </c>
      <c r="B21" s="15"/>
      <c r="C21" s="15"/>
      <c r="D21" s="15"/>
      <c r="E21" s="15"/>
      <c r="F21" s="15"/>
      <c r="G21" s="15"/>
      <c r="H21" s="15"/>
      <c r="I21" s="15"/>
    </row>
    <row r="22" spans="1:9" ht="19.5" customHeight="1" x14ac:dyDescent="0.3">
      <c r="A22" s="13" t="s">
        <v>132</v>
      </c>
      <c r="B22" s="13"/>
      <c r="C22" s="14">
        <v>10</v>
      </c>
      <c r="D22" s="14"/>
      <c r="E22" s="13" t="s">
        <v>133</v>
      </c>
      <c r="F22" s="13"/>
      <c r="G22" s="14">
        <v>45</v>
      </c>
      <c r="H22" s="14"/>
      <c r="I22" s="14"/>
    </row>
    <row r="23" spans="1:9" ht="19.5" customHeight="1" x14ac:dyDescent="0.3">
      <c r="A23" s="13" t="s">
        <v>134</v>
      </c>
      <c r="B23" s="13"/>
      <c r="C23" s="14">
        <v>30</v>
      </c>
      <c r="D23" s="14"/>
      <c r="E23" s="13" t="s">
        <v>135</v>
      </c>
      <c r="F23" s="13"/>
      <c r="G23" s="14" t="s">
        <v>29</v>
      </c>
      <c r="H23" s="14"/>
      <c r="I23" s="14"/>
    </row>
    <row r="24" spans="1:9" ht="19.5" customHeight="1" x14ac:dyDescent="0.3">
      <c r="A24" s="13" t="s">
        <v>136</v>
      </c>
      <c r="B24" s="13"/>
      <c r="C24" s="14">
        <v>8</v>
      </c>
      <c r="D24" s="14"/>
      <c r="E24" s="13" t="s">
        <v>137</v>
      </c>
      <c r="F24" s="13"/>
      <c r="G24" s="14" t="s">
        <v>29</v>
      </c>
      <c r="H24" s="14"/>
      <c r="I24" s="14"/>
    </row>
    <row r="25" spans="1:9" ht="19.5" customHeight="1" x14ac:dyDescent="0.3">
      <c r="A25" s="13" t="s">
        <v>138</v>
      </c>
      <c r="B25" s="13"/>
      <c r="C25" s="14" t="s">
        <v>29</v>
      </c>
      <c r="D25" s="14"/>
      <c r="E25" s="13" t="s">
        <v>139</v>
      </c>
      <c r="F25" s="13"/>
      <c r="G25" s="14" t="s">
        <v>29</v>
      </c>
      <c r="H25" s="14"/>
      <c r="I25" s="14"/>
    </row>
    <row r="26" spans="1:9" ht="19.5" customHeight="1" x14ac:dyDescent="0.3">
      <c r="A26" s="13" t="s">
        <v>140</v>
      </c>
      <c r="B26" s="13"/>
      <c r="C26" s="14"/>
      <c r="D26" s="14"/>
      <c r="E26" s="14"/>
      <c r="F26" s="14"/>
      <c r="G26" s="14"/>
      <c r="H26" s="14"/>
      <c r="I26" s="14"/>
    </row>
    <row r="27" spans="1:9" ht="19.5" customHeight="1" x14ac:dyDescent="0.3">
      <c r="A27" s="13" t="s">
        <v>141</v>
      </c>
      <c r="B27" s="13"/>
      <c r="C27" s="14" t="s">
        <v>142</v>
      </c>
      <c r="D27" s="14"/>
      <c r="E27" s="14"/>
      <c r="F27" s="14"/>
      <c r="G27" s="14"/>
      <c r="H27" s="14"/>
      <c r="I27" s="14"/>
    </row>
    <row r="28" spans="1:9" ht="19.5" customHeight="1" x14ac:dyDescent="0.3">
      <c r="A28" s="13" t="s">
        <v>143</v>
      </c>
      <c r="B28" s="13"/>
      <c r="C28" s="14"/>
      <c r="D28" s="14"/>
      <c r="E28" s="14"/>
      <c r="F28" s="14"/>
      <c r="G28" s="14"/>
      <c r="H28" s="14"/>
      <c r="I28" s="14"/>
    </row>
    <row r="29" spans="1:9" ht="19.5" customHeight="1" x14ac:dyDescent="0.3">
      <c r="A29" s="13" t="s">
        <v>144</v>
      </c>
      <c r="B29" s="13"/>
      <c r="C29" s="14" t="s">
        <v>145</v>
      </c>
      <c r="D29" s="14"/>
      <c r="E29" s="14"/>
      <c r="F29" s="14"/>
      <c r="G29" s="14"/>
      <c r="H29" s="14"/>
      <c r="I29" s="14"/>
    </row>
    <row r="30" spans="1:9" ht="19.5" customHeight="1" x14ac:dyDescent="0.3">
      <c r="A30" s="13" t="s">
        <v>146</v>
      </c>
      <c r="B30" s="13"/>
      <c r="C30" s="14" t="s">
        <v>147</v>
      </c>
      <c r="D30" s="14"/>
      <c r="E30" s="14"/>
      <c r="F30" s="14"/>
      <c r="G30" s="14"/>
      <c r="H30" s="14"/>
      <c r="I30" s="14"/>
    </row>
    <row r="32" spans="1:9" ht="21.75" customHeight="1" x14ac:dyDescent="0.3">
      <c r="A32" s="15" t="s">
        <v>148</v>
      </c>
      <c r="B32" s="15"/>
      <c r="C32" s="15"/>
      <c r="D32" s="15"/>
      <c r="E32" s="15"/>
      <c r="F32" s="15"/>
      <c r="G32" s="15"/>
      <c r="H32" s="15"/>
      <c r="I32" s="15"/>
    </row>
    <row r="33" spans="1:9" ht="43.5" customHeight="1" x14ac:dyDescent="0.3">
      <c r="A33" s="16" t="s">
        <v>149</v>
      </c>
      <c r="B33" s="16"/>
      <c r="C33" s="16"/>
      <c r="D33" s="16"/>
      <c r="E33" s="16"/>
      <c r="F33" s="16"/>
      <c r="G33" s="16"/>
      <c r="H33" s="16"/>
      <c r="I33" s="16"/>
    </row>
    <row r="34" spans="1:9" ht="31.5" customHeight="1" x14ac:dyDescent="0.3">
      <c r="A34" s="2" t="s">
        <v>150</v>
      </c>
      <c r="B34" s="2" t="s">
        <v>151</v>
      </c>
      <c r="C34" s="2" t="s">
        <v>152</v>
      </c>
      <c r="D34" s="2" t="s">
        <v>153</v>
      </c>
      <c r="E34" s="2" t="s">
        <v>154</v>
      </c>
      <c r="F34" s="2" t="s">
        <v>155</v>
      </c>
      <c r="G34" s="2" t="s">
        <v>156</v>
      </c>
      <c r="H34" s="2" t="s">
        <v>157</v>
      </c>
      <c r="I34" s="2" t="s">
        <v>158</v>
      </c>
    </row>
    <row r="35" spans="1:9" ht="18" customHeight="1" x14ac:dyDescent="0.3">
      <c r="A35" s="5">
        <v>1</v>
      </c>
      <c r="B35" s="4" t="s">
        <v>159</v>
      </c>
      <c r="C35" s="4" t="s">
        <v>160</v>
      </c>
      <c r="D35" s="4" t="s">
        <v>161</v>
      </c>
      <c r="E35" s="3" t="s">
        <v>595</v>
      </c>
      <c r="F35" s="3" t="s">
        <v>163</v>
      </c>
      <c r="G35" s="3" t="s">
        <v>164</v>
      </c>
      <c r="H35" s="3"/>
      <c r="I35" s="3"/>
    </row>
    <row r="36" spans="1:9" ht="18" customHeight="1" x14ac:dyDescent="0.3">
      <c r="A36" s="5">
        <v>2</v>
      </c>
      <c r="B36" s="4" t="s">
        <v>165</v>
      </c>
      <c r="C36" s="4" t="s">
        <v>166</v>
      </c>
      <c r="D36" s="4" t="s">
        <v>167</v>
      </c>
      <c r="E36" s="3" t="s">
        <v>168</v>
      </c>
      <c r="F36" s="3" t="s">
        <v>169</v>
      </c>
      <c r="G36" s="3" t="s">
        <v>164</v>
      </c>
      <c r="H36" s="3"/>
      <c r="I36" s="3"/>
    </row>
    <row r="37" spans="1:9" ht="18" customHeight="1" x14ac:dyDescent="0.3">
      <c r="A37" s="5">
        <v>3</v>
      </c>
      <c r="B37" s="4" t="s">
        <v>170</v>
      </c>
      <c r="C37" s="4" t="s">
        <v>171</v>
      </c>
      <c r="D37" s="4" t="s">
        <v>167</v>
      </c>
      <c r="E37" s="3" t="s">
        <v>168</v>
      </c>
      <c r="F37" s="3" t="s">
        <v>169</v>
      </c>
      <c r="G37" s="3" t="s">
        <v>172</v>
      </c>
      <c r="H37" s="3"/>
      <c r="I37" s="3"/>
    </row>
    <row r="38" spans="1:9" ht="18" customHeight="1" x14ac:dyDescent="0.3">
      <c r="A38" s="5">
        <v>4</v>
      </c>
      <c r="B38" s="4" t="s">
        <v>173</v>
      </c>
      <c r="C38" s="4" t="s">
        <v>174</v>
      </c>
      <c r="D38" s="4" t="s">
        <v>175</v>
      </c>
      <c r="E38" s="3" t="s">
        <v>162</v>
      </c>
      <c r="F38" s="3" t="s">
        <v>169</v>
      </c>
      <c r="G38" s="3" t="s">
        <v>176</v>
      </c>
      <c r="H38" s="3"/>
      <c r="I38" s="3"/>
    </row>
    <row r="39" spans="1:9" ht="18" customHeight="1" x14ac:dyDescent="0.3">
      <c r="A39" s="5">
        <v>5</v>
      </c>
      <c r="B39" s="4" t="s">
        <v>177</v>
      </c>
      <c r="C39" s="4" t="s">
        <v>178</v>
      </c>
      <c r="D39" s="4" t="s">
        <v>179</v>
      </c>
      <c r="E39" s="3" t="s">
        <v>180</v>
      </c>
      <c r="F39" s="3" t="s">
        <v>169</v>
      </c>
      <c r="G39" s="3" t="s">
        <v>164</v>
      </c>
      <c r="H39" s="3"/>
      <c r="I39" s="3"/>
    </row>
    <row r="40" spans="1:9" ht="18" customHeight="1" x14ac:dyDescent="0.3">
      <c r="A40" s="5">
        <v>6</v>
      </c>
      <c r="B40" s="4" t="s">
        <v>181</v>
      </c>
      <c r="C40" s="4" t="s">
        <v>182</v>
      </c>
      <c r="D40" s="4" t="s">
        <v>183</v>
      </c>
      <c r="E40" s="3" t="s">
        <v>168</v>
      </c>
      <c r="F40" s="3" t="s">
        <v>169</v>
      </c>
      <c r="G40" s="3" t="s">
        <v>164</v>
      </c>
      <c r="H40" s="3"/>
      <c r="I40" s="3"/>
    </row>
    <row r="41" spans="1:9" ht="18" customHeight="1" x14ac:dyDescent="0.3">
      <c r="A41" s="5">
        <v>7</v>
      </c>
      <c r="B41" s="4" t="s">
        <v>184</v>
      </c>
      <c r="C41" s="4" t="s">
        <v>185</v>
      </c>
      <c r="D41" s="4" t="s">
        <v>186</v>
      </c>
      <c r="E41" s="3" t="s">
        <v>180</v>
      </c>
      <c r="F41" s="3" t="s">
        <v>163</v>
      </c>
      <c r="G41" s="3" t="s">
        <v>164</v>
      </c>
      <c r="H41" s="3"/>
      <c r="I41" s="3"/>
    </row>
    <row r="42" spans="1:9" ht="18" customHeight="1" x14ac:dyDescent="0.3">
      <c r="A42" s="5">
        <v>8</v>
      </c>
      <c r="B42" s="4" t="s">
        <v>187</v>
      </c>
      <c r="C42" s="4" t="s">
        <v>188</v>
      </c>
      <c r="D42" s="4" t="s">
        <v>189</v>
      </c>
      <c r="E42" s="3" t="s">
        <v>180</v>
      </c>
      <c r="F42" s="3" t="s">
        <v>163</v>
      </c>
      <c r="G42" s="3" t="s">
        <v>164</v>
      </c>
      <c r="H42" s="3"/>
      <c r="I42" s="3"/>
    </row>
    <row r="43" spans="1:9" ht="18" customHeight="1" x14ac:dyDescent="0.3">
      <c r="A43" s="5">
        <v>9</v>
      </c>
      <c r="B43" s="4" t="s">
        <v>190</v>
      </c>
      <c r="C43" s="4" t="s">
        <v>191</v>
      </c>
      <c r="D43" s="4" t="s">
        <v>183</v>
      </c>
      <c r="E43" s="3" t="s">
        <v>192</v>
      </c>
      <c r="F43" s="3" t="s">
        <v>163</v>
      </c>
      <c r="G43" s="3" t="s">
        <v>164</v>
      </c>
      <c r="H43" s="3"/>
      <c r="I43" s="3"/>
    </row>
    <row r="44" spans="1:9" ht="18" customHeight="1" x14ac:dyDescent="0.3">
      <c r="A44" s="5">
        <v>10</v>
      </c>
      <c r="B44" s="4" t="s">
        <v>193</v>
      </c>
      <c r="C44" s="4" t="s">
        <v>194</v>
      </c>
      <c r="D44" s="4" t="s">
        <v>183</v>
      </c>
      <c r="E44" s="3" t="s">
        <v>195</v>
      </c>
      <c r="F44" s="3" t="s">
        <v>163</v>
      </c>
      <c r="G44" s="3" t="s">
        <v>172</v>
      </c>
      <c r="H44" s="3"/>
      <c r="I44" s="3"/>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15" t="s">
        <v>196</v>
      </c>
      <c r="B51" s="15"/>
      <c r="C51" s="15"/>
      <c r="D51" s="15"/>
      <c r="E51" s="15"/>
      <c r="F51" s="15"/>
      <c r="G51" s="15"/>
      <c r="H51" s="15"/>
      <c r="I51" s="15"/>
    </row>
    <row r="52" spans="1:9" ht="30" customHeight="1" x14ac:dyDescent="0.3">
      <c r="A52" s="2" t="s">
        <v>150</v>
      </c>
      <c r="B52" s="2" t="s">
        <v>197</v>
      </c>
      <c r="C52" s="2" t="s">
        <v>198</v>
      </c>
      <c r="D52" s="2" t="s">
        <v>199</v>
      </c>
      <c r="E52" s="2" t="s">
        <v>200</v>
      </c>
      <c r="F52" s="2" t="s">
        <v>201</v>
      </c>
      <c r="G52" s="2" t="s">
        <v>202</v>
      </c>
      <c r="H52" s="2" t="s">
        <v>203</v>
      </c>
      <c r="I52" s="2" t="s">
        <v>204</v>
      </c>
    </row>
    <row r="53" spans="1:9" ht="18" customHeight="1" x14ac:dyDescent="0.3">
      <c r="A53" s="5">
        <v>1</v>
      </c>
      <c r="B53" s="4" t="s">
        <v>205</v>
      </c>
      <c r="C53" s="4" t="s">
        <v>206</v>
      </c>
      <c r="D53" s="4" t="s">
        <v>207</v>
      </c>
      <c r="E53" s="3"/>
      <c r="F53" s="3"/>
      <c r="G53" s="3"/>
      <c r="H53" s="3"/>
      <c r="I53" s="4" t="s">
        <v>208</v>
      </c>
    </row>
    <row r="54" spans="1:9" ht="18" customHeight="1" x14ac:dyDescent="0.3">
      <c r="A54" s="5">
        <v>2</v>
      </c>
      <c r="B54" s="4" t="s">
        <v>209</v>
      </c>
      <c r="C54" s="4"/>
      <c r="D54" s="4"/>
      <c r="E54" s="3"/>
      <c r="F54" s="3"/>
      <c r="G54" s="3"/>
      <c r="H54" s="3"/>
      <c r="I54" s="4" t="s">
        <v>210</v>
      </c>
    </row>
    <row r="55" spans="1:9" ht="18" customHeight="1" x14ac:dyDescent="0.3">
      <c r="A55" s="5">
        <v>3</v>
      </c>
      <c r="B55" s="4" t="s">
        <v>211</v>
      </c>
      <c r="C55" s="4" t="s">
        <v>212</v>
      </c>
      <c r="D55" s="4"/>
      <c r="E55" s="3"/>
      <c r="F55" s="3"/>
      <c r="G55" s="3"/>
      <c r="H55" s="3"/>
      <c r="I55" s="4" t="s">
        <v>213</v>
      </c>
    </row>
    <row r="56" spans="1:9" ht="18" customHeight="1" x14ac:dyDescent="0.3">
      <c r="A56" s="5">
        <v>4</v>
      </c>
      <c r="B56" s="4" t="s">
        <v>214</v>
      </c>
      <c r="C56" s="4" t="s">
        <v>215</v>
      </c>
      <c r="D56" s="4"/>
      <c r="E56" s="3"/>
      <c r="F56" s="3"/>
      <c r="G56" s="3"/>
      <c r="H56" s="3"/>
      <c r="I56" s="4" t="s">
        <v>216</v>
      </c>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5" t="s">
        <v>51</v>
      </c>
      <c r="B64" s="15"/>
      <c r="C64" s="15"/>
      <c r="D64" s="15"/>
      <c r="E64" s="15"/>
      <c r="F64" s="15"/>
      <c r="G64" s="15"/>
      <c r="H64" s="15"/>
      <c r="I64" s="15"/>
    </row>
    <row r="65" spans="1:9" ht="27.75" customHeight="1" x14ac:dyDescent="0.3">
      <c r="A65" s="12" t="s">
        <v>217</v>
      </c>
      <c r="B65" s="12"/>
      <c r="C65" s="12"/>
      <c r="D65" s="12"/>
      <c r="E65" s="12"/>
      <c r="F65" s="12"/>
      <c r="G65" s="12"/>
      <c r="H65" s="12"/>
      <c r="I65" s="12"/>
    </row>
    <row r="66" spans="1:9" ht="27.75" customHeight="1" x14ac:dyDescent="0.3">
      <c r="A66" s="12"/>
      <c r="B66" s="12"/>
      <c r="C66" s="12"/>
      <c r="D66" s="12"/>
      <c r="E66" s="12"/>
      <c r="F66" s="12"/>
      <c r="G66" s="12"/>
      <c r="H66" s="12"/>
      <c r="I66" s="12"/>
    </row>
    <row r="67" spans="1:9" ht="27.75" customHeight="1" x14ac:dyDescent="0.3">
      <c r="A67" s="12"/>
      <c r="B67" s="12"/>
      <c r="C67" s="12"/>
      <c r="D67" s="12"/>
      <c r="E67" s="12"/>
      <c r="F67" s="12"/>
      <c r="G67" s="12"/>
      <c r="H67" s="12"/>
      <c r="I67" s="12"/>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48" activePane="bottomLeft" state="frozen"/>
      <selection pane="bottomLeft" activeCell="A52" sqref="A52:G54"/>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21" t="s">
        <v>0</v>
      </c>
      <c r="B1" s="21"/>
      <c r="C1" s="21"/>
      <c r="D1" s="21"/>
      <c r="E1" s="21"/>
      <c r="F1" s="21"/>
      <c r="G1" s="21"/>
    </row>
    <row r="2" spans="1:7" ht="18" customHeight="1" x14ac:dyDescent="0.3">
      <c r="A2" s="22" t="s">
        <v>1</v>
      </c>
      <c r="B2" s="22"/>
      <c r="C2" s="22"/>
      <c r="D2" s="22"/>
      <c r="E2" s="22"/>
      <c r="F2" s="22"/>
      <c r="G2" s="22"/>
    </row>
    <row r="3" spans="1:7" ht="30" customHeight="1" x14ac:dyDescent="0.3">
      <c r="A3" s="22" t="s">
        <v>2</v>
      </c>
      <c r="B3" s="22"/>
      <c r="C3" s="22"/>
      <c r="D3" s="22"/>
      <c r="E3" s="22"/>
      <c r="F3" s="22"/>
      <c r="G3" s="22"/>
    </row>
    <row r="4" spans="1:7" ht="27.75" customHeight="1" x14ac:dyDescent="0.3">
      <c r="A4" s="23" t="s">
        <v>218</v>
      </c>
      <c r="B4" s="23"/>
      <c r="C4" s="23"/>
      <c r="D4" s="23"/>
      <c r="E4" s="23"/>
      <c r="F4" s="23"/>
      <c r="G4" s="23"/>
    </row>
    <row r="5" spans="1:7" ht="27.75" customHeight="1" x14ac:dyDescent="0.3">
      <c r="A5" s="24" t="s">
        <v>219</v>
      </c>
      <c r="B5" s="24"/>
      <c r="C5" s="24"/>
      <c r="D5" s="24"/>
      <c r="E5" s="24"/>
      <c r="F5" s="24"/>
      <c r="G5" s="24"/>
    </row>
    <row r="6" spans="1:7" ht="24" customHeight="1" x14ac:dyDescent="0.3">
      <c r="A6" s="20" t="s">
        <v>5</v>
      </c>
      <c r="B6" s="20"/>
      <c r="C6" s="20"/>
      <c r="D6" s="20"/>
      <c r="E6" s="20"/>
      <c r="F6" s="20"/>
      <c r="G6" s="20"/>
    </row>
    <row r="7" spans="1:7" ht="21.75" customHeight="1" x14ac:dyDescent="0.3">
      <c r="A7" s="15" t="s">
        <v>55</v>
      </c>
      <c r="B7" s="15"/>
      <c r="C7" s="15"/>
      <c r="D7" s="15"/>
      <c r="E7" s="15"/>
      <c r="F7" s="15"/>
      <c r="G7" s="15"/>
    </row>
    <row r="8" spans="1:7" ht="19.5" customHeight="1" x14ac:dyDescent="0.3">
      <c r="A8" s="13" t="s">
        <v>112</v>
      </c>
      <c r="B8" s="13"/>
      <c r="C8" s="14" t="s">
        <v>8</v>
      </c>
      <c r="D8" s="14"/>
      <c r="E8" s="14"/>
      <c r="F8" s="14"/>
      <c r="G8" s="14"/>
    </row>
    <row r="9" spans="1:7" ht="19.5" customHeight="1" x14ac:dyDescent="0.3">
      <c r="A9" s="13" t="s">
        <v>56</v>
      </c>
      <c r="B9" s="13"/>
      <c r="C9" s="14" t="s">
        <v>12</v>
      </c>
      <c r="D9" s="14"/>
      <c r="E9" s="14"/>
      <c r="F9" s="14"/>
      <c r="G9" s="14"/>
    </row>
    <row r="10" spans="1:7" ht="19.5" customHeight="1" x14ac:dyDescent="0.3">
      <c r="A10" s="13" t="s">
        <v>15</v>
      </c>
      <c r="B10" s="13"/>
      <c r="C10" s="14" t="s">
        <v>16</v>
      </c>
      <c r="D10" s="14"/>
      <c r="E10" s="14"/>
      <c r="F10" s="14"/>
      <c r="G10" s="14"/>
    </row>
    <row r="11" spans="1:7" ht="19.5" customHeight="1" x14ac:dyDescent="0.3">
      <c r="A11" s="13" t="s">
        <v>113</v>
      </c>
      <c r="B11" s="13"/>
      <c r="C11" s="18" t="str">
        <f>IFERROR(VLOOKUP($C$10,tbl_Bloques,2,FALSE()),"")</f>
        <v>C1076-Q9592</v>
      </c>
      <c r="D11" s="18"/>
      <c r="E11" s="18"/>
      <c r="F11" s="18"/>
      <c r="G11" s="18"/>
    </row>
    <row r="12" spans="1:7" ht="21.75" customHeight="1" x14ac:dyDescent="0.3">
      <c r="A12" s="6" t="s">
        <v>220</v>
      </c>
      <c r="B12" s="7"/>
      <c r="C12" s="19"/>
      <c r="D12" s="19"/>
      <c r="E12" s="19"/>
      <c r="F12" s="19"/>
      <c r="G12" s="19"/>
    </row>
    <row r="13" spans="1:7" ht="27.75" customHeight="1" x14ac:dyDescent="0.3">
      <c r="A13" s="16" t="s">
        <v>221</v>
      </c>
      <c r="B13" s="16"/>
      <c r="C13" s="17"/>
      <c r="D13" s="17"/>
      <c r="E13" s="17"/>
      <c r="F13" s="17"/>
      <c r="G13" s="17"/>
    </row>
    <row r="14" spans="1:7" ht="31.5" customHeight="1" x14ac:dyDescent="0.3">
      <c r="A14" s="2" t="s">
        <v>150</v>
      </c>
      <c r="B14" s="2" t="s">
        <v>222</v>
      </c>
      <c r="C14" s="2" t="s">
        <v>223</v>
      </c>
      <c r="D14" s="2" t="s">
        <v>224</v>
      </c>
      <c r="E14" s="2" t="s">
        <v>225</v>
      </c>
      <c r="F14" s="2" t="s">
        <v>226</v>
      </c>
      <c r="G14" s="2" t="s">
        <v>227</v>
      </c>
    </row>
    <row r="15" spans="1:7" ht="18" customHeight="1" x14ac:dyDescent="0.3">
      <c r="A15" s="5">
        <v>1</v>
      </c>
      <c r="B15" s="8" t="s">
        <v>228</v>
      </c>
      <c r="C15" s="3" t="s">
        <v>45</v>
      </c>
      <c r="D15" s="3" t="s">
        <v>229</v>
      </c>
      <c r="E15" s="3"/>
      <c r="F15" s="3"/>
      <c r="G15" s="4" t="s">
        <v>230</v>
      </c>
    </row>
    <row r="16" spans="1:7" ht="18" customHeight="1" x14ac:dyDescent="0.3">
      <c r="A16" s="5">
        <v>2</v>
      </c>
      <c r="B16" s="8" t="s">
        <v>231</v>
      </c>
      <c r="C16" s="3" t="s">
        <v>49</v>
      </c>
      <c r="D16" s="3"/>
      <c r="E16" s="3"/>
      <c r="F16" s="3"/>
      <c r="G16" s="4" t="s">
        <v>232</v>
      </c>
    </row>
    <row r="17" spans="1:7" ht="18" customHeight="1" x14ac:dyDescent="0.3">
      <c r="A17" s="5">
        <v>3</v>
      </c>
      <c r="B17" s="8" t="s">
        <v>233</v>
      </c>
      <c r="C17" s="3" t="s">
        <v>49</v>
      </c>
      <c r="D17" s="3"/>
      <c r="E17" s="3"/>
      <c r="F17" s="3"/>
      <c r="G17" s="4" t="s">
        <v>234</v>
      </c>
    </row>
    <row r="18" spans="1:7" ht="18" customHeight="1" x14ac:dyDescent="0.3">
      <c r="A18" s="5">
        <v>4</v>
      </c>
      <c r="B18" s="8" t="s">
        <v>235</v>
      </c>
      <c r="C18" s="3" t="s">
        <v>49</v>
      </c>
      <c r="D18" s="3"/>
      <c r="E18" s="3"/>
      <c r="F18" s="3"/>
      <c r="G18" s="4" t="s">
        <v>234</v>
      </c>
    </row>
    <row r="19" spans="1:7" ht="18" customHeight="1" x14ac:dyDescent="0.3">
      <c r="A19" s="5">
        <v>5</v>
      </c>
      <c r="B19" s="8" t="s">
        <v>236</v>
      </c>
      <c r="C19" s="3" t="s">
        <v>49</v>
      </c>
      <c r="D19" s="3"/>
      <c r="E19" s="3"/>
      <c r="F19" s="3"/>
      <c r="G19" s="4" t="s">
        <v>237</v>
      </c>
    </row>
    <row r="20" spans="1:7" ht="18" customHeight="1" x14ac:dyDescent="0.3">
      <c r="A20" s="5">
        <v>6</v>
      </c>
      <c r="B20" s="8" t="s">
        <v>238</v>
      </c>
      <c r="C20" s="3" t="s">
        <v>49</v>
      </c>
      <c r="D20" s="3"/>
      <c r="E20" s="3"/>
      <c r="F20" s="3"/>
      <c r="G20" s="4" t="s">
        <v>234</v>
      </c>
    </row>
    <row r="21" spans="1:7" ht="18" customHeight="1" x14ac:dyDescent="0.3">
      <c r="A21" s="5">
        <v>7</v>
      </c>
      <c r="B21" s="8" t="s">
        <v>239</v>
      </c>
      <c r="C21" s="3" t="s">
        <v>45</v>
      </c>
      <c r="D21" s="3" t="s">
        <v>240</v>
      </c>
      <c r="E21" s="3"/>
      <c r="F21" s="3"/>
      <c r="G21" s="4" t="s">
        <v>241</v>
      </c>
    </row>
    <row r="22" spans="1:7" ht="18" customHeight="1" x14ac:dyDescent="0.3">
      <c r="A22" s="5">
        <v>8</v>
      </c>
      <c r="B22" s="8" t="s">
        <v>242</v>
      </c>
      <c r="C22" s="3" t="s">
        <v>45</v>
      </c>
      <c r="D22" s="3" t="s">
        <v>229</v>
      </c>
      <c r="E22" s="3"/>
      <c r="F22" s="3"/>
      <c r="G22" s="4" t="s">
        <v>243</v>
      </c>
    </row>
    <row r="23" spans="1:7" ht="18" customHeight="1" x14ac:dyDescent="0.3">
      <c r="A23" s="5">
        <v>9</v>
      </c>
      <c r="B23" s="8" t="s">
        <v>244</v>
      </c>
      <c r="C23" s="3" t="s">
        <v>45</v>
      </c>
      <c r="D23" s="3" t="s">
        <v>245</v>
      </c>
      <c r="E23" s="3"/>
      <c r="F23" s="3"/>
      <c r="G23" s="4" t="s">
        <v>246</v>
      </c>
    </row>
    <row r="24" spans="1:7" ht="18" customHeight="1" x14ac:dyDescent="0.3">
      <c r="A24" s="5">
        <v>10</v>
      </c>
      <c r="B24" s="8" t="s">
        <v>247</v>
      </c>
      <c r="C24" s="3" t="s">
        <v>49</v>
      </c>
      <c r="D24" s="3"/>
      <c r="E24" s="3"/>
      <c r="F24" s="3"/>
      <c r="G24" s="4" t="s">
        <v>234</v>
      </c>
    </row>
    <row r="25" spans="1:7" ht="18" customHeight="1" x14ac:dyDescent="0.3">
      <c r="A25" s="5">
        <v>11</v>
      </c>
      <c r="B25" s="8" t="s">
        <v>248</v>
      </c>
      <c r="C25" s="3" t="s">
        <v>49</v>
      </c>
      <c r="D25" s="3"/>
      <c r="E25" s="3"/>
      <c r="F25" s="3"/>
      <c r="G25" s="4" t="s">
        <v>234</v>
      </c>
    </row>
    <row r="26" spans="1:7" ht="18" customHeight="1" x14ac:dyDescent="0.3">
      <c r="A26" s="5">
        <v>12</v>
      </c>
      <c r="B26" s="8" t="s">
        <v>249</v>
      </c>
      <c r="C26" s="3" t="s">
        <v>49</v>
      </c>
      <c r="D26" s="3"/>
      <c r="E26" s="3"/>
      <c r="F26" s="3"/>
      <c r="G26" s="4" t="s">
        <v>250</v>
      </c>
    </row>
    <row r="27" spans="1:7" ht="18" customHeight="1" x14ac:dyDescent="0.3">
      <c r="A27" s="5">
        <v>13</v>
      </c>
      <c r="B27" s="8" t="s">
        <v>251</v>
      </c>
      <c r="C27" s="3" t="s">
        <v>49</v>
      </c>
      <c r="D27" s="3"/>
      <c r="E27" s="3"/>
      <c r="F27" s="3"/>
      <c r="G27" s="4" t="s">
        <v>252</v>
      </c>
    </row>
    <row r="28" spans="1:7" ht="18" customHeight="1" x14ac:dyDescent="0.3">
      <c r="A28" s="5">
        <v>14</v>
      </c>
      <c r="B28" s="8" t="s">
        <v>253</v>
      </c>
      <c r="C28" s="3"/>
      <c r="D28" s="3"/>
      <c r="E28" s="3"/>
      <c r="F28" s="3"/>
      <c r="G28" s="4" t="s">
        <v>254</v>
      </c>
    </row>
    <row r="29" spans="1:7" ht="18" customHeight="1" x14ac:dyDescent="0.3">
      <c r="A29" s="5">
        <v>15</v>
      </c>
      <c r="B29" s="8" t="s">
        <v>255</v>
      </c>
      <c r="C29" s="3" t="s">
        <v>49</v>
      </c>
      <c r="D29" s="3"/>
      <c r="E29" s="3"/>
      <c r="F29" s="3"/>
      <c r="G29" s="4" t="s">
        <v>256</v>
      </c>
    </row>
    <row r="30" spans="1:7" ht="18" customHeight="1" x14ac:dyDescent="0.3">
      <c r="A30" s="5">
        <v>16</v>
      </c>
      <c r="B30" s="8" t="s">
        <v>257</v>
      </c>
      <c r="C30" s="3" t="s">
        <v>49</v>
      </c>
      <c r="D30" s="3"/>
      <c r="E30" s="3"/>
      <c r="F30" s="3"/>
      <c r="G30" s="4" t="s">
        <v>258</v>
      </c>
    </row>
    <row r="32" spans="1:7" ht="21.75" customHeight="1" x14ac:dyDescent="0.3">
      <c r="A32" s="15" t="s">
        <v>259</v>
      </c>
      <c r="B32" s="15"/>
      <c r="C32" s="15"/>
      <c r="D32" s="15"/>
      <c r="E32" s="15"/>
      <c r="F32" s="15"/>
      <c r="G32" s="15"/>
    </row>
    <row r="33" spans="1:7" ht="25.5" customHeight="1" x14ac:dyDescent="0.3">
      <c r="A33" s="16" t="s">
        <v>260</v>
      </c>
      <c r="B33" s="16"/>
      <c r="C33" s="16"/>
      <c r="D33" s="16"/>
      <c r="E33" s="16"/>
      <c r="F33" s="16"/>
      <c r="G33" s="16"/>
    </row>
    <row r="34" spans="1:7" ht="27.75" customHeight="1" x14ac:dyDescent="0.3">
      <c r="A34" s="2" t="s">
        <v>150</v>
      </c>
      <c r="B34" s="2" t="s">
        <v>261</v>
      </c>
      <c r="C34" s="2" t="s">
        <v>262</v>
      </c>
      <c r="D34" s="2" t="s">
        <v>263</v>
      </c>
      <c r="E34" s="2" t="s">
        <v>264</v>
      </c>
      <c r="F34" s="2" t="s">
        <v>265</v>
      </c>
      <c r="G34" s="2" t="s">
        <v>266</v>
      </c>
    </row>
    <row r="35" spans="1:7" ht="21.75" customHeight="1" x14ac:dyDescent="0.3">
      <c r="A35" s="5">
        <v>1</v>
      </c>
      <c r="B35" s="8" t="s">
        <v>267</v>
      </c>
      <c r="C35" s="5" t="s">
        <v>268</v>
      </c>
      <c r="D35" s="3">
        <v>85</v>
      </c>
      <c r="E35" s="4" t="s">
        <v>269</v>
      </c>
      <c r="F35" s="8" t="s">
        <v>270</v>
      </c>
      <c r="G35" s="3" t="s">
        <v>271</v>
      </c>
    </row>
    <row r="36" spans="1:7" ht="21.75" customHeight="1" x14ac:dyDescent="0.3">
      <c r="A36" s="5">
        <v>2</v>
      </c>
      <c r="B36" s="8" t="s">
        <v>272</v>
      </c>
      <c r="C36" s="5" t="s">
        <v>268</v>
      </c>
      <c r="D36" s="3">
        <v>8</v>
      </c>
      <c r="E36" s="4" t="s">
        <v>273</v>
      </c>
      <c r="F36" s="8" t="s">
        <v>274</v>
      </c>
      <c r="G36" s="3" t="s">
        <v>271</v>
      </c>
    </row>
    <row r="37" spans="1:7" ht="21.75" customHeight="1" x14ac:dyDescent="0.3">
      <c r="A37" s="5">
        <v>3</v>
      </c>
      <c r="B37" s="8" t="s">
        <v>275</v>
      </c>
      <c r="C37" s="5" t="s">
        <v>276</v>
      </c>
      <c r="D37" s="3" t="s">
        <v>29</v>
      </c>
      <c r="E37" s="4" t="s">
        <v>277</v>
      </c>
      <c r="F37" s="8" t="s">
        <v>278</v>
      </c>
      <c r="G37" s="3"/>
    </row>
    <row r="38" spans="1:7" ht="21.75" customHeight="1" x14ac:dyDescent="0.3">
      <c r="A38" s="5">
        <v>4</v>
      </c>
      <c r="B38" s="8" t="s">
        <v>279</v>
      </c>
      <c r="C38" s="5" t="s">
        <v>280</v>
      </c>
      <c r="D38" s="3" t="s">
        <v>29</v>
      </c>
      <c r="E38" s="4" t="s">
        <v>281</v>
      </c>
      <c r="F38" s="8" t="s">
        <v>282</v>
      </c>
      <c r="G38" s="3"/>
    </row>
    <row r="39" spans="1:7" ht="21.75" customHeight="1" x14ac:dyDescent="0.3">
      <c r="A39" s="5">
        <v>5</v>
      </c>
      <c r="B39" s="8" t="s">
        <v>283</v>
      </c>
      <c r="C39" s="5" t="s">
        <v>284</v>
      </c>
      <c r="D39" s="3" t="s">
        <v>29</v>
      </c>
      <c r="E39" s="4" t="s">
        <v>285</v>
      </c>
      <c r="F39" s="8" t="s">
        <v>286</v>
      </c>
      <c r="G39" s="3"/>
    </row>
    <row r="40" spans="1:7" ht="21.75" customHeight="1" x14ac:dyDescent="0.3">
      <c r="A40" s="5">
        <v>6</v>
      </c>
      <c r="B40" s="8" t="s">
        <v>287</v>
      </c>
      <c r="C40" s="5" t="s">
        <v>150</v>
      </c>
      <c r="D40" s="3" t="s">
        <v>29</v>
      </c>
      <c r="E40" s="4" t="s">
        <v>288</v>
      </c>
      <c r="F40" s="8" t="s">
        <v>289</v>
      </c>
      <c r="G40" s="3"/>
    </row>
    <row r="41" spans="1:7" ht="21.75" customHeight="1" x14ac:dyDescent="0.3">
      <c r="A41" s="5">
        <v>7</v>
      </c>
      <c r="B41" s="8" t="s">
        <v>290</v>
      </c>
      <c r="C41" s="5" t="s">
        <v>268</v>
      </c>
      <c r="D41" s="3" t="s">
        <v>29</v>
      </c>
      <c r="E41" s="4" t="s">
        <v>291</v>
      </c>
      <c r="F41" s="8" t="s">
        <v>292</v>
      </c>
      <c r="G41" s="3"/>
    </row>
    <row r="42" spans="1:7" ht="21.75" customHeight="1" x14ac:dyDescent="0.3">
      <c r="A42" s="5">
        <v>8</v>
      </c>
      <c r="B42" s="8" t="s">
        <v>293</v>
      </c>
      <c r="C42" s="5" t="s">
        <v>294</v>
      </c>
      <c r="D42" s="3" t="s">
        <v>295</v>
      </c>
      <c r="E42" s="4" t="s">
        <v>296</v>
      </c>
      <c r="F42" s="8" t="s">
        <v>297</v>
      </c>
      <c r="G42" s="3" t="s">
        <v>298</v>
      </c>
    </row>
    <row r="44" spans="1:7" ht="21.75" customHeight="1" x14ac:dyDescent="0.3">
      <c r="A44" s="15" t="s">
        <v>299</v>
      </c>
      <c r="B44" s="15"/>
      <c r="C44" s="15"/>
      <c r="D44" s="15"/>
      <c r="E44" s="15"/>
      <c r="F44" s="15"/>
      <c r="G44" s="15"/>
    </row>
    <row r="45" spans="1:7" ht="19.5" customHeight="1" x14ac:dyDescent="0.3">
      <c r="A45" s="13" t="s">
        <v>300</v>
      </c>
      <c r="B45" s="13"/>
      <c r="C45" s="14" t="s">
        <v>301</v>
      </c>
      <c r="D45" s="14"/>
      <c r="E45" s="14"/>
      <c r="F45" s="14"/>
      <c r="G45" s="14"/>
    </row>
    <row r="46" spans="1:7" ht="19.5" customHeight="1" x14ac:dyDescent="0.3">
      <c r="A46" s="13" t="s">
        <v>302</v>
      </c>
      <c r="B46" s="13"/>
      <c r="C46" s="14" t="s">
        <v>303</v>
      </c>
      <c r="D46" s="14"/>
      <c r="E46" s="14"/>
      <c r="F46" s="14"/>
      <c r="G46" s="14"/>
    </row>
    <row r="47" spans="1:7" ht="19.5" customHeight="1" x14ac:dyDescent="0.3">
      <c r="A47" s="13" t="s">
        <v>304</v>
      </c>
      <c r="B47" s="13"/>
      <c r="C47" s="14" t="s">
        <v>245</v>
      </c>
      <c r="D47" s="14"/>
      <c r="E47" s="14"/>
      <c r="F47" s="14"/>
      <c r="G47" s="14"/>
    </row>
    <row r="48" spans="1:7" ht="19.5" customHeight="1" x14ac:dyDescent="0.3">
      <c r="A48" s="13" t="s">
        <v>305</v>
      </c>
      <c r="B48" s="13"/>
      <c r="C48" s="14" t="s">
        <v>306</v>
      </c>
      <c r="D48" s="14"/>
      <c r="E48" s="14"/>
      <c r="F48" s="14"/>
      <c r="G48" s="14"/>
    </row>
    <row r="49" spans="1:7" ht="19.5" customHeight="1" x14ac:dyDescent="0.3">
      <c r="A49" s="13" t="s">
        <v>307</v>
      </c>
      <c r="B49" s="13"/>
      <c r="C49" s="14" t="s">
        <v>108</v>
      </c>
      <c r="D49" s="14"/>
      <c r="E49" s="14"/>
      <c r="F49" s="14"/>
      <c r="G49" s="14"/>
    </row>
    <row r="51" spans="1:7" ht="21.75" customHeight="1" x14ac:dyDescent="0.3">
      <c r="A51" s="15" t="s">
        <v>51</v>
      </c>
      <c r="B51" s="15"/>
      <c r="C51" s="15"/>
      <c r="D51" s="15"/>
      <c r="E51" s="15"/>
      <c r="F51" s="15"/>
      <c r="G51" s="15"/>
    </row>
    <row r="52" spans="1:7" ht="27.75" customHeight="1" x14ac:dyDescent="0.3">
      <c r="A52" s="12" t="s">
        <v>308</v>
      </c>
      <c r="B52" s="12"/>
      <c r="C52" s="12"/>
      <c r="D52" s="12"/>
      <c r="E52" s="12"/>
      <c r="F52" s="12"/>
      <c r="G52" s="12"/>
    </row>
    <row r="53" spans="1:7" ht="27.75" customHeight="1" x14ac:dyDescent="0.3">
      <c r="A53" s="12"/>
      <c r="B53" s="12"/>
      <c r="C53" s="12"/>
      <c r="D53" s="12"/>
      <c r="E53" s="12"/>
      <c r="F53" s="12"/>
      <c r="G53" s="12"/>
    </row>
    <row r="54" spans="1:7" ht="27.75" customHeight="1" x14ac:dyDescent="0.3">
      <c r="A54" s="12"/>
      <c r="B54" s="12"/>
      <c r="C54" s="12"/>
      <c r="D54" s="12"/>
      <c r="E54" s="12"/>
      <c r="F54" s="12"/>
      <c r="G54" s="12"/>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9" activePane="bottomLeft" state="frozen"/>
      <selection pane="bottomLeft" activeCell="B15" sqref="B15:H1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21" t="s">
        <v>0</v>
      </c>
      <c r="B1" s="21"/>
      <c r="C1" s="21"/>
      <c r="D1" s="21"/>
      <c r="E1" s="21"/>
      <c r="F1" s="21"/>
      <c r="G1" s="21"/>
      <c r="H1" s="21"/>
    </row>
    <row r="2" spans="1:8" ht="18" customHeight="1" x14ac:dyDescent="0.3">
      <c r="A2" s="22" t="s">
        <v>1</v>
      </c>
      <c r="B2" s="22"/>
      <c r="C2" s="22"/>
      <c r="D2" s="22"/>
      <c r="E2" s="22"/>
      <c r="F2" s="22"/>
      <c r="G2" s="22"/>
      <c r="H2" s="22"/>
    </row>
    <row r="3" spans="1:8" ht="30" customHeight="1" x14ac:dyDescent="0.3">
      <c r="A3" s="22" t="s">
        <v>2</v>
      </c>
      <c r="B3" s="22"/>
      <c r="C3" s="22"/>
      <c r="D3" s="22"/>
      <c r="E3" s="22"/>
      <c r="F3" s="22"/>
      <c r="G3" s="22"/>
      <c r="H3" s="22"/>
    </row>
    <row r="4" spans="1:8" ht="27.75" customHeight="1" x14ac:dyDescent="0.3">
      <c r="A4" s="23" t="s">
        <v>309</v>
      </c>
      <c r="B4" s="23"/>
      <c r="C4" s="23"/>
      <c r="D4" s="23"/>
      <c r="E4" s="23"/>
      <c r="F4" s="23"/>
      <c r="G4" s="23"/>
      <c r="H4" s="23"/>
    </row>
    <row r="5" spans="1:8" ht="27.75" customHeight="1" x14ac:dyDescent="0.3">
      <c r="A5" s="24" t="s">
        <v>310</v>
      </c>
      <c r="B5" s="24"/>
      <c r="C5" s="24"/>
      <c r="D5" s="24"/>
      <c r="E5" s="24"/>
      <c r="F5" s="24"/>
      <c r="G5" s="24"/>
      <c r="H5" s="24"/>
    </row>
    <row r="6" spans="1:8" ht="24" customHeight="1" x14ac:dyDescent="0.3">
      <c r="A6" s="20" t="s">
        <v>5</v>
      </c>
      <c r="B6" s="20"/>
      <c r="C6" s="20"/>
      <c r="D6" s="20"/>
      <c r="E6" s="20"/>
      <c r="F6" s="20"/>
      <c r="G6" s="20"/>
      <c r="H6" s="20"/>
    </row>
    <row r="7" spans="1:8" ht="21.75" customHeight="1" x14ac:dyDescent="0.3">
      <c r="A7" s="15" t="s">
        <v>55</v>
      </c>
      <c r="B7" s="15"/>
      <c r="C7" s="15"/>
      <c r="D7" s="15"/>
      <c r="E7" s="15"/>
      <c r="F7" s="15"/>
      <c r="G7" s="15"/>
      <c r="H7" s="15"/>
    </row>
    <row r="8" spans="1:8" ht="19.5" customHeight="1" x14ac:dyDescent="0.3">
      <c r="A8" s="13" t="s">
        <v>7</v>
      </c>
      <c r="B8" s="13"/>
      <c r="C8" s="14" t="s">
        <v>8</v>
      </c>
      <c r="D8" s="14"/>
      <c r="E8" s="13" t="s">
        <v>56</v>
      </c>
      <c r="F8" s="13"/>
      <c r="G8" s="14" t="s">
        <v>12</v>
      </c>
      <c r="H8" s="14"/>
    </row>
    <row r="9" spans="1:8" ht="19.5" customHeight="1" x14ac:dyDescent="0.3">
      <c r="A9" s="13" t="s">
        <v>15</v>
      </c>
      <c r="B9" s="13"/>
      <c r="C9" s="14" t="s">
        <v>16</v>
      </c>
      <c r="D9" s="14"/>
      <c r="E9" s="13" t="s">
        <v>113</v>
      </c>
      <c r="F9" s="13"/>
      <c r="G9" s="18" t="str">
        <f>IFERROR(VLOOKUP($C$9,tbl_Bloques,2,FALSE()),"")</f>
        <v>C1076-Q9592</v>
      </c>
      <c r="H9" s="18"/>
    </row>
    <row r="10" spans="1:8" ht="19.5" customHeight="1" x14ac:dyDescent="0.3">
      <c r="A10" s="13" t="s">
        <v>19</v>
      </c>
      <c r="B10" s="13"/>
      <c r="C10" s="18" t="str">
        <f>IFERROR(VLOOKUP($C$9,tbl_Bloques,4,FALSE()),"")</f>
        <v>Huarmaca</v>
      </c>
      <c r="D10" s="18"/>
      <c r="E10" s="13" t="s">
        <v>18</v>
      </c>
      <c r="F10" s="13"/>
      <c r="G10" s="18" t="str">
        <f>IFERROR(VLOOKUP($C$9,tbl_Bloques,3,FALSE()),"")</f>
        <v>Huancabamba</v>
      </c>
      <c r="H10" s="18"/>
    </row>
    <row r="12" spans="1:8" ht="21.75" customHeight="1" x14ac:dyDescent="0.3">
      <c r="A12" s="15" t="s">
        <v>311</v>
      </c>
      <c r="B12" s="15"/>
      <c r="C12" s="15"/>
      <c r="D12" s="15"/>
      <c r="E12" s="15"/>
      <c r="F12" s="15"/>
      <c r="G12" s="15"/>
      <c r="H12" s="15"/>
    </row>
    <row r="13" spans="1:8" ht="27.75" customHeight="1" x14ac:dyDescent="0.3">
      <c r="A13" s="16" t="s">
        <v>312</v>
      </c>
      <c r="B13" s="16"/>
      <c r="C13" s="16"/>
      <c r="D13" s="16"/>
      <c r="E13" s="16"/>
      <c r="F13" s="16"/>
      <c r="G13" s="16"/>
      <c r="H13" s="16"/>
    </row>
    <row r="14" spans="1:8" ht="30" customHeight="1" x14ac:dyDescent="0.3">
      <c r="A14" s="2" t="s">
        <v>150</v>
      </c>
      <c r="B14" s="2" t="s">
        <v>313</v>
      </c>
      <c r="C14" s="2" t="s">
        <v>200</v>
      </c>
      <c r="D14" s="2" t="s">
        <v>201</v>
      </c>
      <c r="E14" s="2" t="s">
        <v>314</v>
      </c>
      <c r="F14" s="2" t="s">
        <v>315</v>
      </c>
      <c r="G14" s="2" t="s">
        <v>316</v>
      </c>
      <c r="H14" s="2" t="s">
        <v>317</v>
      </c>
    </row>
    <row r="15" spans="1:8" ht="19.5" customHeight="1" x14ac:dyDescent="0.3">
      <c r="A15" s="5">
        <v>1</v>
      </c>
      <c r="B15" s="3" t="s">
        <v>318</v>
      </c>
      <c r="C15" s="3"/>
      <c r="D15" s="3"/>
      <c r="E15" s="3" t="s">
        <v>319</v>
      </c>
      <c r="F15" s="3"/>
      <c r="G15" s="3"/>
      <c r="H15" s="4" t="s">
        <v>320</v>
      </c>
    </row>
    <row r="16" spans="1:8" ht="19.5" customHeight="1" x14ac:dyDescent="0.3">
      <c r="A16" s="5">
        <v>2</v>
      </c>
      <c r="B16" s="3" t="s">
        <v>257</v>
      </c>
      <c r="C16" s="3"/>
      <c r="D16" s="3"/>
      <c r="E16" s="3" t="s">
        <v>321</v>
      </c>
      <c r="F16" s="3"/>
      <c r="G16" s="3"/>
      <c r="H16" s="4" t="s">
        <v>322</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5" t="s">
        <v>323</v>
      </c>
      <c r="B26" s="15"/>
      <c r="C26" s="15"/>
      <c r="D26" s="15"/>
      <c r="E26" s="15"/>
      <c r="F26" s="15"/>
      <c r="G26" s="15"/>
      <c r="H26" s="15"/>
    </row>
    <row r="27" spans="1:8" ht="19.5" customHeight="1" x14ac:dyDescent="0.3">
      <c r="A27" s="13" t="s">
        <v>324</v>
      </c>
      <c r="B27" s="13"/>
      <c r="C27" s="14" t="s">
        <v>45</v>
      </c>
      <c r="D27" s="14"/>
      <c r="E27" s="14"/>
      <c r="F27" s="14"/>
      <c r="G27" s="14"/>
      <c r="H27" s="14"/>
    </row>
    <row r="28" spans="1:8" ht="19.5" customHeight="1" x14ac:dyDescent="0.3">
      <c r="A28" s="13" t="s">
        <v>325</v>
      </c>
      <c r="B28" s="13"/>
      <c r="C28" s="14" t="s">
        <v>45</v>
      </c>
      <c r="D28" s="14"/>
      <c r="E28" s="14"/>
      <c r="F28" s="14"/>
      <c r="G28" s="14"/>
      <c r="H28" s="14"/>
    </row>
    <row r="29" spans="1:8" ht="19.5" customHeight="1" x14ac:dyDescent="0.3">
      <c r="A29" s="13" t="s">
        <v>326</v>
      </c>
      <c r="B29" s="13"/>
      <c r="C29" s="14" t="s">
        <v>45</v>
      </c>
      <c r="D29" s="14"/>
      <c r="E29" s="14"/>
      <c r="F29" s="14"/>
      <c r="G29" s="14"/>
      <c r="H29" s="14"/>
    </row>
    <row r="30" spans="1:8" ht="19.5" customHeight="1" x14ac:dyDescent="0.3">
      <c r="A30" s="13" t="s">
        <v>327</v>
      </c>
      <c r="B30" s="13"/>
      <c r="C30" s="14" t="s">
        <v>29</v>
      </c>
      <c r="D30" s="14"/>
      <c r="E30" s="14"/>
      <c r="F30" s="14"/>
      <c r="G30" s="14"/>
      <c r="H30" s="14"/>
    </row>
    <row r="31" spans="1:8" ht="19.5" customHeight="1" x14ac:dyDescent="0.3">
      <c r="A31" s="13" t="s">
        <v>328</v>
      </c>
      <c r="B31" s="13"/>
      <c r="C31" s="14" t="s">
        <v>329</v>
      </c>
      <c r="D31" s="14"/>
      <c r="E31" s="14"/>
      <c r="F31" s="14"/>
      <c r="G31" s="14"/>
      <c r="H31" s="14"/>
    </row>
    <row r="32" spans="1:8" ht="19.5" customHeight="1" x14ac:dyDescent="0.3">
      <c r="A32" s="13" t="s">
        <v>330</v>
      </c>
      <c r="B32" s="13"/>
      <c r="C32" s="14"/>
      <c r="D32" s="14"/>
      <c r="E32" s="14"/>
      <c r="F32" s="14"/>
      <c r="G32" s="14"/>
      <c r="H32" s="14"/>
    </row>
    <row r="33" spans="1:8" ht="19.5" customHeight="1" x14ac:dyDescent="0.3">
      <c r="A33" s="13" t="s">
        <v>331</v>
      </c>
      <c r="B33" s="13"/>
      <c r="C33" s="14" t="s">
        <v>29</v>
      </c>
      <c r="D33" s="14"/>
      <c r="E33" s="14"/>
      <c r="F33" s="14"/>
      <c r="G33" s="14"/>
      <c r="H33" s="14"/>
    </row>
    <row r="35" spans="1:8" ht="21.75" customHeight="1" x14ac:dyDescent="0.3">
      <c r="A35" s="15" t="s">
        <v>332</v>
      </c>
      <c r="B35" s="15"/>
      <c r="C35" s="15"/>
      <c r="D35" s="15"/>
      <c r="E35" s="15"/>
      <c r="F35" s="15"/>
      <c r="G35" s="15"/>
      <c r="H35" s="15"/>
    </row>
    <row r="36" spans="1:8" ht="19.5" customHeight="1" x14ac:dyDescent="0.3">
      <c r="A36" s="13" t="s">
        <v>333</v>
      </c>
      <c r="B36" s="13"/>
      <c r="C36" s="14" t="s">
        <v>334</v>
      </c>
      <c r="D36" s="14"/>
      <c r="E36" s="14"/>
      <c r="F36" s="14"/>
      <c r="G36" s="14"/>
      <c r="H36" s="14"/>
    </row>
    <row r="37" spans="1:8" ht="19.5" customHeight="1" x14ac:dyDescent="0.3">
      <c r="A37" s="13" t="s">
        <v>335</v>
      </c>
      <c r="B37" s="13"/>
      <c r="C37" s="14" t="s">
        <v>336</v>
      </c>
      <c r="D37" s="14"/>
      <c r="E37" s="14"/>
      <c r="F37" s="14"/>
      <c r="G37" s="14"/>
      <c r="H37" s="14"/>
    </row>
    <row r="38" spans="1:8" ht="19.5" customHeight="1" x14ac:dyDescent="0.3">
      <c r="A38" s="13" t="s">
        <v>337</v>
      </c>
      <c r="B38" s="13"/>
      <c r="C38" s="14" t="s">
        <v>338</v>
      </c>
      <c r="D38" s="14"/>
      <c r="E38" s="14"/>
      <c r="F38" s="14"/>
      <c r="G38" s="14"/>
      <c r="H38" s="14"/>
    </row>
    <row r="39" spans="1:8" ht="19.5" customHeight="1" x14ac:dyDescent="0.3">
      <c r="A39" s="13" t="s">
        <v>339</v>
      </c>
      <c r="B39" s="13"/>
      <c r="C39" s="14" t="s">
        <v>271</v>
      </c>
      <c r="D39" s="14"/>
      <c r="E39" s="14"/>
      <c r="F39" s="14"/>
      <c r="G39" s="14"/>
      <c r="H39" s="14"/>
    </row>
    <row r="40" spans="1:8" ht="19.5" customHeight="1" x14ac:dyDescent="0.3">
      <c r="A40" s="13" t="s">
        <v>340</v>
      </c>
      <c r="B40" s="13"/>
      <c r="C40" s="14" t="s">
        <v>341</v>
      </c>
      <c r="D40" s="14"/>
      <c r="E40" s="14"/>
      <c r="F40" s="14"/>
      <c r="G40" s="14"/>
      <c r="H40" s="14"/>
    </row>
    <row r="41" spans="1:8" ht="19.5" customHeight="1" x14ac:dyDescent="0.3">
      <c r="A41" s="13" t="s">
        <v>342</v>
      </c>
      <c r="B41" s="13"/>
      <c r="C41" s="14" t="s">
        <v>29</v>
      </c>
      <c r="D41" s="14"/>
      <c r="E41" s="13" t="s">
        <v>343</v>
      </c>
      <c r="F41" s="13"/>
      <c r="G41" s="14" t="s">
        <v>29</v>
      </c>
      <c r="H41" s="14"/>
    </row>
    <row r="42" spans="1:8" ht="19.5" customHeight="1" x14ac:dyDescent="0.3">
      <c r="A42" s="13" t="s">
        <v>344</v>
      </c>
      <c r="B42" s="13"/>
      <c r="C42" s="14"/>
      <c r="D42" s="14"/>
      <c r="E42" s="14"/>
      <c r="F42" s="14"/>
      <c r="G42" s="14"/>
      <c r="H42" s="14"/>
    </row>
    <row r="43" spans="1:8" ht="19.5" customHeight="1" x14ac:dyDescent="0.3">
      <c r="A43" s="13" t="s">
        <v>345</v>
      </c>
      <c r="B43" s="13"/>
      <c r="C43" s="14"/>
      <c r="D43" s="14"/>
      <c r="E43" s="14"/>
      <c r="F43" s="14"/>
      <c r="G43" s="14"/>
      <c r="H43" s="14"/>
    </row>
    <row r="44" spans="1:8" ht="19.5" customHeight="1" x14ac:dyDescent="0.3">
      <c r="A44" s="13" t="s">
        <v>346</v>
      </c>
      <c r="B44" s="13"/>
      <c r="C44" s="14"/>
      <c r="D44" s="14"/>
      <c r="E44" s="14"/>
      <c r="F44" s="14"/>
      <c r="G44" s="14"/>
      <c r="H44" s="14"/>
    </row>
    <row r="45" spans="1:8" ht="19.5" customHeight="1" x14ac:dyDescent="0.3">
      <c r="A45" s="13" t="s">
        <v>347</v>
      </c>
      <c r="B45" s="13"/>
      <c r="C45" s="14"/>
      <c r="D45" s="14"/>
      <c r="E45" s="14"/>
      <c r="F45" s="14"/>
      <c r="G45" s="14"/>
      <c r="H45" s="14"/>
    </row>
    <row r="46" spans="1:8" ht="19.5" customHeight="1" x14ac:dyDescent="0.3">
      <c r="A46" s="13" t="s">
        <v>348</v>
      </c>
      <c r="B46" s="13"/>
      <c r="C46" s="14" t="s">
        <v>349</v>
      </c>
      <c r="D46" s="14"/>
      <c r="E46" s="14"/>
      <c r="F46" s="14"/>
      <c r="G46" s="14"/>
      <c r="H46" s="14"/>
    </row>
    <row r="48" spans="1:8" ht="21.75" customHeight="1" x14ac:dyDescent="0.3">
      <c r="A48" s="15" t="s">
        <v>51</v>
      </c>
      <c r="B48" s="15"/>
      <c r="C48" s="15"/>
      <c r="D48" s="15"/>
      <c r="E48" s="15"/>
      <c r="F48" s="15"/>
      <c r="G48" s="15"/>
      <c r="H48" s="15"/>
    </row>
    <row r="49" spans="1:8" ht="27.75" customHeight="1" x14ac:dyDescent="0.3">
      <c r="A49" s="12" t="s">
        <v>350</v>
      </c>
      <c r="B49" s="12"/>
      <c r="C49" s="12"/>
      <c r="D49" s="12"/>
      <c r="E49" s="12"/>
      <c r="F49" s="12"/>
      <c r="G49" s="12"/>
      <c r="H49" s="12"/>
    </row>
    <row r="50" spans="1:8" ht="27.75" customHeight="1" x14ac:dyDescent="0.3">
      <c r="A50" s="12"/>
      <c r="B50" s="12"/>
      <c r="C50" s="12"/>
      <c r="D50" s="12"/>
      <c r="E50" s="12"/>
      <c r="F50" s="12"/>
      <c r="G50" s="12"/>
      <c r="H50" s="12"/>
    </row>
    <row r="51" spans="1:8" ht="27.75" customHeight="1" x14ac:dyDescent="0.3">
      <c r="A51" s="12"/>
      <c r="B51" s="12"/>
      <c r="C51" s="12"/>
      <c r="D51" s="12"/>
      <c r="E51" s="12"/>
      <c r="F51" s="12"/>
      <c r="G51" s="12"/>
      <c r="H51" s="12"/>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351</v>
      </c>
      <c r="B1" s="2" t="s">
        <v>352</v>
      </c>
      <c r="C1" s="2" t="s">
        <v>353</v>
      </c>
      <c r="D1" s="2" t="s">
        <v>354</v>
      </c>
      <c r="E1" s="2" t="s">
        <v>355</v>
      </c>
      <c r="F1" s="2" t="s">
        <v>356</v>
      </c>
      <c r="G1" s="2" t="s">
        <v>357</v>
      </c>
      <c r="H1" s="2" t="s">
        <v>358</v>
      </c>
    </row>
    <row r="2" spans="1:8" ht="15" customHeight="1" x14ac:dyDescent="0.3">
      <c r="A2" s="9" t="s">
        <v>359</v>
      </c>
      <c r="B2" s="9" t="s">
        <v>360</v>
      </c>
      <c r="C2" s="9" t="s">
        <v>361</v>
      </c>
      <c r="D2" s="9" t="s">
        <v>362</v>
      </c>
      <c r="E2" s="9" t="s">
        <v>363</v>
      </c>
      <c r="F2" s="10">
        <v>595552</v>
      </c>
      <c r="G2" s="10">
        <v>9451222</v>
      </c>
      <c r="H2" s="11">
        <v>355.36</v>
      </c>
    </row>
    <row r="3" spans="1:8" ht="15" customHeight="1" x14ac:dyDescent="0.3">
      <c r="A3" s="9" t="s">
        <v>364</v>
      </c>
      <c r="B3" s="9" t="s">
        <v>365</v>
      </c>
      <c r="C3" s="9" t="s">
        <v>361</v>
      </c>
      <c r="D3" s="9" t="s">
        <v>362</v>
      </c>
      <c r="E3" s="9" t="s">
        <v>363</v>
      </c>
      <c r="F3" s="10">
        <v>596773</v>
      </c>
      <c r="G3" s="10">
        <v>9448273</v>
      </c>
      <c r="H3" s="11">
        <v>68.89</v>
      </c>
    </row>
    <row r="4" spans="1:8" ht="15" customHeight="1" x14ac:dyDescent="0.3">
      <c r="A4" s="9" t="s">
        <v>366</v>
      </c>
      <c r="B4" s="9" t="s">
        <v>365</v>
      </c>
      <c r="C4" s="9" t="s">
        <v>361</v>
      </c>
      <c r="D4" s="9" t="s">
        <v>362</v>
      </c>
      <c r="E4" s="9" t="s">
        <v>363</v>
      </c>
      <c r="F4" s="10">
        <v>596578</v>
      </c>
      <c r="G4" s="10">
        <v>9442453</v>
      </c>
      <c r="H4" s="11">
        <v>53.48</v>
      </c>
    </row>
    <row r="5" spans="1:8" ht="15" customHeight="1" x14ac:dyDescent="0.3">
      <c r="A5" s="9" t="s">
        <v>367</v>
      </c>
      <c r="B5" s="9" t="s">
        <v>368</v>
      </c>
      <c r="C5" s="9" t="s">
        <v>361</v>
      </c>
      <c r="D5" s="9" t="s">
        <v>362</v>
      </c>
      <c r="E5" s="9" t="s">
        <v>363</v>
      </c>
      <c r="F5" s="10">
        <v>599927</v>
      </c>
      <c r="G5" s="10">
        <v>9442604</v>
      </c>
      <c r="H5" s="11">
        <v>35.83</v>
      </c>
    </row>
    <row r="6" spans="1:8" ht="15" customHeight="1" x14ac:dyDescent="0.3">
      <c r="A6" s="9" t="s">
        <v>369</v>
      </c>
      <c r="B6" s="9" t="s">
        <v>368</v>
      </c>
      <c r="C6" s="9" t="s">
        <v>361</v>
      </c>
      <c r="D6" s="9" t="s">
        <v>362</v>
      </c>
      <c r="E6" s="9" t="s">
        <v>363</v>
      </c>
      <c r="F6" s="10">
        <v>601122</v>
      </c>
      <c r="G6" s="10">
        <v>9443651</v>
      </c>
      <c r="H6" s="11">
        <v>79.33</v>
      </c>
    </row>
    <row r="7" spans="1:8" ht="15" customHeight="1" x14ac:dyDescent="0.3">
      <c r="A7" s="9" t="s">
        <v>370</v>
      </c>
      <c r="B7" s="9" t="s">
        <v>368</v>
      </c>
      <c r="C7" s="9" t="s">
        <v>361</v>
      </c>
      <c r="D7" s="9" t="s">
        <v>362</v>
      </c>
      <c r="E7" s="9" t="s">
        <v>363</v>
      </c>
      <c r="F7" s="10">
        <v>600644</v>
      </c>
      <c r="G7" s="10">
        <v>9440436</v>
      </c>
      <c r="H7" s="11">
        <v>42.45</v>
      </c>
    </row>
    <row r="8" spans="1:8" ht="15" customHeight="1" x14ac:dyDescent="0.3">
      <c r="A8" s="9" t="s">
        <v>371</v>
      </c>
      <c r="B8" s="9" t="s">
        <v>372</v>
      </c>
      <c r="C8" s="9" t="s">
        <v>361</v>
      </c>
      <c r="D8" s="9" t="s">
        <v>362</v>
      </c>
      <c r="E8" s="9" t="s">
        <v>363</v>
      </c>
      <c r="F8" s="10">
        <v>603653</v>
      </c>
      <c r="G8" s="10">
        <v>9439351</v>
      </c>
      <c r="H8" s="11">
        <v>330.6</v>
      </c>
    </row>
    <row r="9" spans="1:8" ht="15" customHeight="1" x14ac:dyDescent="0.3">
      <c r="A9" s="9" t="s">
        <v>373</v>
      </c>
      <c r="B9" s="9" t="s">
        <v>368</v>
      </c>
      <c r="C9" s="9" t="s">
        <v>361</v>
      </c>
      <c r="D9" s="9" t="s">
        <v>362</v>
      </c>
      <c r="E9" s="9" t="s">
        <v>363</v>
      </c>
      <c r="F9" s="10">
        <v>604926</v>
      </c>
      <c r="G9" s="10">
        <v>9444327</v>
      </c>
      <c r="H9" s="11">
        <v>124.71</v>
      </c>
    </row>
    <row r="10" spans="1:8" ht="15" customHeight="1" x14ac:dyDescent="0.3">
      <c r="A10" s="9" t="s">
        <v>374</v>
      </c>
      <c r="B10" s="9" t="s">
        <v>375</v>
      </c>
      <c r="C10" s="9" t="s">
        <v>361</v>
      </c>
      <c r="D10" s="9" t="s">
        <v>362</v>
      </c>
      <c r="E10" s="9" t="s">
        <v>363</v>
      </c>
      <c r="F10" s="10">
        <v>593246</v>
      </c>
      <c r="G10" s="10">
        <v>9430139</v>
      </c>
      <c r="H10" s="11">
        <v>448.8</v>
      </c>
    </row>
    <row r="11" spans="1:8" ht="15" customHeight="1" x14ac:dyDescent="0.3">
      <c r="A11" s="9" t="s">
        <v>376</v>
      </c>
      <c r="B11" s="9" t="s">
        <v>360</v>
      </c>
      <c r="C11" s="9" t="s">
        <v>377</v>
      </c>
      <c r="D11" s="9" t="s">
        <v>378</v>
      </c>
      <c r="E11" s="9" t="s">
        <v>379</v>
      </c>
      <c r="F11" s="10">
        <v>606816</v>
      </c>
      <c r="G11" s="10">
        <v>9458469</v>
      </c>
      <c r="H11" s="11">
        <v>459.29</v>
      </c>
    </row>
    <row r="12" spans="1:8" ht="15" customHeight="1" x14ac:dyDescent="0.3">
      <c r="A12" s="9" t="s">
        <v>380</v>
      </c>
      <c r="B12" s="9" t="s">
        <v>365</v>
      </c>
      <c r="C12" s="9" t="s">
        <v>377</v>
      </c>
      <c r="D12" s="9" t="s">
        <v>378</v>
      </c>
      <c r="E12" s="9" t="s">
        <v>379</v>
      </c>
      <c r="F12" s="10">
        <v>605636</v>
      </c>
      <c r="G12" s="10">
        <v>9455269</v>
      </c>
      <c r="H12" s="11">
        <v>168.41</v>
      </c>
    </row>
    <row r="13" spans="1:8" ht="15" customHeight="1" x14ac:dyDescent="0.3">
      <c r="A13" s="9" t="s">
        <v>381</v>
      </c>
      <c r="B13" s="9" t="s">
        <v>365</v>
      </c>
      <c r="C13" s="9" t="s">
        <v>377</v>
      </c>
      <c r="D13" s="9" t="s">
        <v>378</v>
      </c>
      <c r="E13" s="9" t="s">
        <v>379</v>
      </c>
      <c r="F13" s="10">
        <v>606468</v>
      </c>
      <c r="G13" s="10">
        <v>9454689</v>
      </c>
      <c r="H13" s="11">
        <v>24.84</v>
      </c>
    </row>
    <row r="14" spans="1:8" ht="15" customHeight="1" x14ac:dyDescent="0.3">
      <c r="A14" s="9" t="s">
        <v>382</v>
      </c>
      <c r="B14" s="9" t="s">
        <v>368</v>
      </c>
      <c r="C14" s="9" t="s">
        <v>377</v>
      </c>
      <c r="D14" s="9" t="s">
        <v>378</v>
      </c>
      <c r="E14" s="9" t="s">
        <v>379</v>
      </c>
      <c r="F14" s="10">
        <v>608472</v>
      </c>
      <c r="G14" s="10">
        <v>9448056</v>
      </c>
      <c r="H14" s="11">
        <v>258.83999999999997</v>
      </c>
    </row>
    <row r="15" spans="1:8" ht="15" customHeight="1" x14ac:dyDescent="0.3">
      <c r="A15" s="9" t="s">
        <v>383</v>
      </c>
      <c r="B15" s="9" t="s">
        <v>368</v>
      </c>
      <c r="C15" s="9" t="s">
        <v>377</v>
      </c>
      <c r="D15" s="9" t="s">
        <v>378</v>
      </c>
      <c r="E15" s="9" t="s">
        <v>379</v>
      </c>
      <c r="F15" s="10">
        <v>607036</v>
      </c>
      <c r="G15" s="10">
        <v>9446211</v>
      </c>
      <c r="H15" s="11">
        <v>106.54</v>
      </c>
    </row>
    <row r="16" spans="1:8" ht="15" customHeight="1" x14ac:dyDescent="0.3">
      <c r="A16" s="9" t="s">
        <v>384</v>
      </c>
      <c r="B16" s="9" t="s">
        <v>368</v>
      </c>
      <c r="C16" s="9" t="s">
        <v>377</v>
      </c>
      <c r="D16" s="9" t="s">
        <v>378</v>
      </c>
      <c r="E16" s="9" t="s">
        <v>379</v>
      </c>
      <c r="F16" s="10">
        <v>606173</v>
      </c>
      <c r="G16" s="10">
        <v>9447361</v>
      </c>
      <c r="H16" s="11">
        <v>75.36</v>
      </c>
    </row>
    <row r="17" spans="1:8" ht="15" customHeight="1" x14ac:dyDescent="0.3">
      <c r="A17" s="9" t="s">
        <v>385</v>
      </c>
      <c r="B17" s="9" t="s">
        <v>368</v>
      </c>
      <c r="C17" s="9" t="s">
        <v>377</v>
      </c>
      <c r="D17" s="9" t="s">
        <v>378</v>
      </c>
      <c r="E17" s="9" t="s">
        <v>379</v>
      </c>
      <c r="F17" s="10">
        <v>608800</v>
      </c>
      <c r="G17" s="10">
        <v>9445585</v>
      </c>
      <c r="H17" s="11">
        <v>74.03</v>
      </c>
    </row>
    <row r="18" spans="1:8" ht="15" customHeight="1" x14ac:dyDescent="0.3">
      <c r="A18" s="9" t="s">
        <v>386</v>
      </c>
      <c r="B18" s="9" t="s">
        <v>368</v>
      </c>
      <c r="C18" s="9" t="s">
        <v>377</v>
      </c>
      <c r="D18" s="9" t="s">
        <v>378</v>
      </c>
      <c r="E18" s="9" t="s">
        <v>379</v>
      </c>
      <c r="F18" s="10">
        <v>613302</v>
      </c>
      <c r="G18" s="10">
        <v>9450231</v>
      </c>
      <c r="H18" s="11">
        <v>78.150000000000006</v>
      </c>
    </row>
    <row r="19" spans="1:8" ht="15" customHeight="1" x14ac:dyDescent="0.3">
      <c r="A19" s="9" t="s">
        <v>387</v>
      </c>
      <c r="B19" s="9" t="s">
        <v>388</v>
      </c>
      <c r="C19" s="9" t="s">
        <v>377</v>
      </c>
      <c r="D19" s="9" t="s">
        <v>378</v>
      </c>
      <c r="E19" s="9" t="s">
        <v>379</v>
      </c>
      <c r="F19" s="10">
        <v>618523</v>
      </c>
      <c r="G19" s="10">
        <v>9448918</v>
      </c>
      <c r="H19" s="11">
        <v>68.569999999999993</v>
      </c>
    </row>
    <row r="20" spans="1:8" ht="15" customHeight="1" x14ac:dyDescent="0.3">
      <c r="A20" s="9" t="s">
        <v>389</v>
      </c>
      <c r="B20" s="9" t="s">
        <v>388</v>
      </c>
      <c r="C20" s="9" t="s">
        <v>377</v>
      </c>
      <c r="D20" s="9" t="s">
        <v>378</v>
      </c>
      <c r="E20" s="9" t="s">
        <v>379</v>
      </c>
      <c r="F20" s="10">
        <v>631723</v>
      </c>
      <c r="G20" s="10">
        <v>9439702</v>
      </c>
      <c r="H20" s="11">
        <v>77.67</v>
      </c>
    </row>
    <row r="21" spans="1:8" ht="15" customHeight="1" x14ac:dyDescent="0.3">
      <c r="A21" s="9" t="s">
        <v>390</v>
      </c>
      <c r="B21" s="9" t="s">
        <v>391</v>
      </c>
      <c r="C21" s="9" t="s">
        <v>361</v>
      </c>
      <c r="D21" s="9" t="s">
        <v>392</v>
      </c>
      <c r="E21" s="9" t="s">
        <v>393</v>
      </c>
      <c r="F21" s="10">
        <v>625419</v>
      </c>
      <c r="G21" s="10">
        <v>9444932</v>
      </c>
      <c r="H21" s="11">
        <v>119.54</v>
      </c>
    </row>
    <row r="22" spans="1:8" ht="15" customHeight="1" x14ac:dyDescent="0.3">
      <c r="A22" s="9" t="s">
        <v>394</v>
      </c>
      <c r="B22" s="9" t="s">
        <v>391</v>
      </c>
      <c r="C22" s="9" t="s">
        <v>361</v>
      </c>
      <c r="D22" s="9" t="s">
        <v>392</v>
      </c>
      <c r="E22" s="9" t="s">
        <v>393</v>
      </c>
      <c r="F22" s="10">
        <v>621452</v>
      </c>
      <c r="G22" s="10">
        <v>9443855</v>
      </c>
      <c r="H22" s="11">
        <v>35.659999999999997</v>
      </c>
    </row>
    <row r="23" spans="1:8" ht="15" customHeight="1" x14ac:dyDescent="0.3">
      <c r="A23" s="9" t="s">
        <v>395</v>
      </c>
      <c r="B23" s="9" t="s">
        <v>388</v>
      </c>
      <c r="C23" s="9" t="s">
        <v>361</v>
      </c>
      <c r="D23" s="9" t="s">
        <v>392</v>
      </c>
      <c r="E23" s="9" t="s">
        <v>393</v>
      </c>
      <c r="F23" s="10">
        <v>620263</v>
      </c>
      <c r="G23" s="10">
        <v>9442343</v>
      </c>
      <c r="H23" s="11">
        <v>100.51</v>
      </c>
    </row>
    <row r="24" spans="1:8" ht="15" customHeight="1" x14ac:dyDescent="0.3">
      <c r="A24" s="9" t="s">
        <v>396</v>
      </c>
      <c r="B24" s="9" t="s">
        <v>391</v>
      </c>
      <c r="C24" s="9" t="s">
        <v>361</v>
      </c>
      <c r="D24" s="9" t="s">
        <v>392</v>
      </c>
      <c r="E24" s="9" t="s">
        <v>393</v>
      </c>
      <c r="F24" s="10">
        <v>619630</v>
      </c>
      <c r="G24" s="10">
        <v>9440043</v>
      </c>
      <c r="H24" s="11">
        <v>35.1</v>
      </c>
    </row>
    <row r="25" spans="1:8" ht="15" customHeight="1" x14ac:dyDescent="0.3">
      <c r="A25" s="9" t="s">
        <v>397</v>
      </c>
      <c r="B25" s="9" t="s">
        <v>391</v>
      </c>
      <c r="C25" s="9" t="s">
        <v>361</v>
      </c>
      <c r="D25" s="9" t="s">
        <v>392</v>
      </c>
      <c r="E25" s="9" t="s">
        <v>393</v>
      </c>
      <c r="F25" s="10">
        <v>620759</v>
      </c>
      <c r="G25" s="10">
        <v>9439988</v>
      </c>
      <c r="H25" s="11">
        <v>103.95</v>
      </c>
    </row>
    <row r="26" spans="1:8" ht="15" customHeight="1" x14ac:dyDescent="0.3">
      <c r="A26" s="9" t="s">
        <v>398</v>
      </c>
      <c r="B26" s="9" t="s">
        <v>391</v>
      </c>
      <c r="C26" s="9" t="s">
        <v>361</v>
      </c>
      <c r="D26" s="9" t="s">
        <v>392</v>
      </c>
      <c r="E26" s="9" t="s">
        <v>393</v>
      </c>
      <c r="F26" s="10">
        <v>619939</v>
      </c>
      <c r="G26" s="10">
        <v>9438544</v>
      </c>
      <c r="H26" s="11">
        <v>81.78</v>
      </c>
    </row>
    <row r="27" spans="1:8" ht="15" customHeight="1" x14ac:dyDescent="0.3">
      <c r="A27" s="9" t="s">
        <v>399</v>
      </c>
      <c r="B27" s="9" t="s">
        <v>391</v>
      </c>
      <c r="C27" s="9" t="s">
        <v>361</v>
      </c>
      <c r="D27" s="9" t="s">
        <v>392</v>
      </c>
      <c r="E27" s="9" t="s">
        <v>393</v>
      </c>
      <c r="F27" s="10">
        <v>620200</v>
      </c>
      <c r="G27" s="10">
        <v>9437862</v>
      </c>
      <c r="H27" s="11">
        <v>86.15</v>
      </c>
    </row>
    <row r="28" spans="1:8" ht="15" customHeight="1" x14ac:dyDescent="0.3">
      <c r="A28" s="9" t="s">
        <v>400</v>
      </c>
      <c r="B28" s="9" t="s">
        <v>391</v>
      </c>
      <c r="C28" s="9" t="s">
        <v>361</v>
      </c>
      <c r="D28" s="9" t="s">
        <v>392</v>
      </c>
      <c r="E28" s="9" t="s">
        <v>393</v>
      </c>
      <c r="F28" s="10">
        <v>620770</v>
      </c>
      <c r="G28" s="10">
        <v>9436562</v>
      </c>
      <c r="H28" s="11">
        <v>34.17</v>
      </c>
    </row>
    <row r="29" spans="1:8" ht="15" customHeight="1" x14ac:dyDescent="0.3">
      <c r="A29" s="9" t="s">
        <v>401</v>
      </c>
      <c r="B29" s="9" t="s">
        <v>391</v>
      </c>
      <c r="C29" s="9" t="s">
        <v>361</v>
      </c>
      <c r="D29" s="9" t="s">
        <v>392</v>
      </c>
      <c r="E29" s="9" t="s">
        <v>393</v>
      </c>
      <c r="F29" s="10">
        <v>618661</v>
      </c>
      <c r="G29" s="10">
        <v>9438267</v>
      </c>
      <c r="H29" s="11">
        <v>96.08</v>
      </c>
    </row>
    <row r="30" spans="1:8" ht="15" customHeight="1" x14ac:dyDescent="0.3">
      <c r="A30" s="9" t="s">
        <v>402</v>
      </c>
      <c r="B30" s="9" t="s">
        <v>372</v>
      </c>
      <c r="C30" s="9" t="s">
        <v>361</v>
      </c>
      <c r="D30" s="9" t="s">
        <v>392</v>
      </c>
      <c r="E30" s="9" t="s">
        <v>393</v>
      </c>
      <c r="F30" s="10">
        <v>617596</v>
      </c>
      <c r="G30" s="10">
        <v>9436227</v>
      </c>
      <c r="H30" s="11">
        <v>35.35</v>
      </c>
    </row>
    <row r="31" spans="1:8" ht="15" customHeight="1" x14ac:dyDescent="0.3">
      <c r="A31" s="9" t="s">
        <v>403</v>
      </c>
      <c r="B31" s="9" t="s">
        <v>404</v>
      </c>
      <c r="C31" s="9" t="s">
        <v>361</v>
      </c>
      <c r="D31" s="9" t="s">
        <v>405</v>
      </c>
      <c r="E31" s="9" t="s">
        <v>406</v>
      </c>
      <c r="F31" s="10">
        <v>631195</v>
      </c>
      <c r="G31" s="10">
        <v>9441777</v>
      </c>
      <c r="H31" s="11">
        <v>25.67</v>
      </c>
    </row>
    <row r="32" spans="1:8" ht="15" customHeight="1" x14ac:dyDescent="0.3">
      <c r="A32" s="9" t="s">
        <v>407</v>
      </c>
      <c r="B32" s="9" t="s">
        <v>391</v>
      </c>
      <c r="C32" s="9" t="s">
        <v>361</v>
      </c>
      <c r="D32" s="9" t="s">
        <v>405</v>
      </c>
      <c r="E32" s="9" t="s">
        <v>406</v>
      </c>
      <c r="F32" s="10">
        <v>631195</v>
      </c>
      <c r="G32" s="10">
        <v>9441777</v>
      </c>
      <c r="H32" s="11">
        <v>13.55</v>
      </c>
    </row>
    <row r="33" spans="1:8" ht="15" customHeight="1" x14ac:dyDescent="0.3">
      <c r="A33" s="9" t="s">
        <v>408</v>
      </c>
      <c r="B33" s="9" t="s">
        <v>404</v>
      </c>
      <c r="C33" s="9" t="s">
        <v>361</v>
      </c>
      <c r="D33" s="9" t="s">
        <v>409</v>
      </c>
      <c r="E33" s="9" t="s">
        <v>406</v>
      </c>
      <c r="F33" s="10">
        <v>626438</v>
      </c>
      <c r="G33" s="10">
        <v>9435060</v>
      </c>
      <c r="H33" s="11">
        <v>28.19</v>
      </c>
    </row>
    <row r="34" spans="1:8" ht="15" customHeight="1" x14ac:dyDescent="0.3">
      <c r="A34" s="9" t="s">
        <v>410</v>
      </c>
      <c r="B34" s="9" t="s">
        <v>391</v>
      </c>
      <c r="C34" s="9" t="s">
        <v>361</v>
      </c>
      <c r="D34" s="9" t="s">
        <v>409</v>
      </c>
      <c r="E34" s="9" t="s">
        <v>406</v>
      </c>
      <c r="F34" s="10">
        <v>625152</v>
      </c>
      <c r="G34" s="10">
        <v>9435011</v>
      </c>
      <c r="H34" s="11">
        <v>80.62</v>
      </c>
    </row>
    <row r="35" spans="1:8" ht="15" customHeight="1" x14ac:dyDescent="0.3">
      <c r="A35" s="9" t="s">
        <v>411</v>
      </c>
      <c r="B35" s="9" t="s">
        <v>391</v>
      </c>
      <c r="C35" s="9" t="s">
        <v>361</v>
      </c>
      <c r="D35" s="9" t="s">
        <v>409</v>
      </c>
      <c r="E35" s="9" t="s">
        <v>406</v>
      </c>
      <c r="F35" s="10">
        <v>624397</v>
      </c>
      <c r="G35" s="10">
        <v>9437085</v>
      </c>
      <c r="H35" s="11">
        <v>92.9</v>
      </c>
    </row>
    <row r="36" spans="1:8" ht="15" customHeight="1" x14ac:dyDescent="0.3">
      <c r="A36" s="9" t="s">
        <v>412</v>
      </c>
      <c r="B36" s="9" t="s">
        <v>413</v>
      </c>
      <c r="C36" s="9" t="s">
        <v>361</v>
      </c>
      <c r="D36" s="9" t="s">
        <v>409</v>
      </c>
      <c r="E36" s="9" t="s">
        <v>406</v>
      </c>
      <c r="F36" s="10">
        <v>619094</v>
      </c>
      <c r="G36" s="10">
        <v>9426406</v>
      </c>
      <c r="H36" s="11">
        <v>11.47</v>
      </c>
    </row>
    <row r="37" spans="1:8" ht="15" customHeight="1" x14ac:dyDescent="0.3">
      <c r="A37" s="9" t="s">
        <v>414</v>
      </c>
      <c r="B37" s="9" t="s">
        <v>391</v>
      </c>
      <c r="C37" s="9" t="s">
        <v>361</v>
      </c>
      <c r="D37" s="9" t="s">
        <v>361</v>
      </c>
      <c r="E37" s="9" t="s">
        <v>415</v>
      </c>
      <c r="F37" s="10">
        <v>617715</v>
      </c>
      <c r="G37" s="10">
        <v>9427284</v>
      </c>
      <c r="H37" s="11">
        <v>74.37</v>
      </c>
    </row>
    <row r="38" spans="1:8" ht="15" customHeight="1" x14ac:dyDescent="0.3">
      <c r="A38" s="9" t="s">
        <v>416</v>
      </c>
      <c r="B38" s="9" t="s">
        <v>413</v>
      </c>
      <c r="C38" s="9" t="s">
        <v>361</v>
      </c>
      <c r="D38" s="9" t="s">
        <v>361</v>
      </c>
      <c r="E38" s="9" t="s">
        <v>415</v>
      </c>
      <c r="F38" s="10">
        <v>618248</v>
      </c>
      <c r="G38" s="10">
        <v>9426493</v>
      </c>
      <c r="H38" s="11">
        <v>50.97</v>
      </c>
    </row>
    <row r="39" spans="1:8" ht="15" customHeight="1" x14ac:dyDescent="0.3">
      <c r="A39" s="9" t="s">
        <v>417</v>
      </c>
      <c r="B39" s="9" t="s">
        <v>418</v>
      </c>
      <c r="C39" s="9" t="s">
        <v>361</v>
      </c>
      <c r="D39" s="9" t="s">
        <v>419</v>
      </c>
      <c r="E39" s="9" t="s">
        <v>420</v>
      </c>
      <c r="F39" s="10">
        <v>618299</v>
      </c>
      <c r="G39" s="10">
        <v>9423119</v>
      </c>
      <c r="H39" s="11">
        <v>249.89</v>
      </c>
    </row>
    <row r="40" spans="1:8" ht="15" customHeight="1" x14ac:dyDescent="0.3">
      <c r="A40" s="9" t="s">
        <v>421</v>
      </c>
      <c r="B40" s="9" t="s">
        <v>418</v>
      </c>
      <c r="C40" s="9" t="s">
        <v>361</v>
      </c>
      <c r="D40" s="9" t="s">
        <v>419</v>
      </c>
      <c r="E40" s="9" t="s">
        <v>420</v>
      </c>
      <c r="F40" s="10">
        <v>611305</v>
      </c>
      <c r="G40" s="10">
        <v>9419274</v>
      </c>
      <c r="H40" s="11">
        <v>160.97999999999999</v>
      </c>
    </row>
    <row r="41" spans="1:8" ht="15" customHeight="1" x14ac:dyDescent="0.3">
      <c r="A41" s="9" t="s">
        <v>422</v>
      </c>
      <c r="B41" s="9" t="s">
        <v>418</v>
      </c>
      <c r="C41" s="9" t="s">
        <v>361</v>
      </c>
      <c r="D41" s="9" t="s">
        <v>419</v>
      </c>
      <c r="E41" s="9" t="s">
        <v>420</v>
      </c>
      <c r="F41" s="10">
        <v>611196</v>
      </c>
      <c r="G41" s="10">
        <v>9416725</v>
      </c>
      <c r="H41" s="11">
        <v>333.01</v>
      </c>
    </row>
    <row r="42" spans="1:8" ht="15" customHeight="1" x14ac:dyDescent="0.3">
      <c r="A42" s="9" t="s">
        <v>423</v>
      </c>
      <c r="B42" s="9" t="s">
        <v>418</v>
      </c>
      <c r="C42" s="9" t="s">
        <v>361</v>
      </c>
      <c r="D42" s="9" t="s">
        <v>419</v>
      </c>
      <c r="E42" s="9" t="s">
        <v>420</v>
      </c>
      <c r="F42" s="10">
        <v>612864</v>
      </c>
      <c r="G42" s="10">
        <v>9413345</v>
      </c>
      <c r="H42" s="11">
        <v>514.36</v>
      </c>
    </row>
    <row r="43" spans="1:8" ht="15" customHeight="1" x14ac:dyDescent="0.3">
      <c r="A43" s="9" t="s">
        <v>424</v>
      </c>
      <c r="B43" s="9" t="s">
        <v>418</v>
      </c>
      <c r="C43" s="9" t="s">
        <v>361</v>
      </c>
      <c r="D43" s="9" t="s">
        <v>419</v>
      </c>
      <c r="E43" s="9" t="s">
        <v>420</v>
      </c>
      <c r="F43" s="10">
        <v>617860</v>
      </c>
      <c r="G43" s="10">
        <v>9413182</v>
      </c>
      <c r="H43" s="11">
        <v>295.73</v>
      </c>
    </row>
    <row r="44" spans="1:8" ht="15" customHeight="1" x14ac:dyDescent="0.3">
      <c r="A44" s="9" t="s">
        <v>425</v>
      </c>
      <c r="B44" s="9" t="s">
        <v>426</v>
      </c>
      <c r="C44" s="9" t="s">
        <v>361</v>
      </c>
      <c r="D44" s="9" t="s">
        <v>419</v>
      </c>
      <c r="E44" s="9" t="s">
        <v>420</v>
      </c>
      <c r="F44" s="10">
        <v>617695</v>
      </c>
      <c r="G44" s="10">
        <v>9409136</v>
      </c>
      <c r="H44" s="11">
        <v>188.8</v>
      </c>
    </row>
    <row r="45" spans="1:8" ht="15" customHeight="1" x14ac:dyDescent="0.3">
      <c r="A45" s="9" t="s">
        <v>427</v>
      </c>
      <c r="B45" s="9" t="s">
        <v>428</v>
      </c>
      <c r="C45" s="9" t="s">
        <v>361</v>
      </c>
      <c r="D45" s="9" t="s">
        <v>419</v>
      </c>
      <c r="E45" s="9" t="s">
        <v>420</v>
      </c>
      <c r="F45" s="10">
        <v>621058</v>
      </c>
      <c r="G45" s="10">
        <v>9410427</v>
      </c>
      <c r="H45" s="11">
        <v>160.36000000000001</v>
      </c>
    </row>
    <row r="46" spans="1:8" ht="15" customHeight="1" x14ac:dyDescent="0.3">
      <c r="A46" s="9" t="s">
        <v>429</v>
      </c>
      <c r="B46" s="9" t="s">
        <v>430</v>
      </c>
      <c r="C46" s="9" t="s">
        <v>361</v>
      </c>
      <c r="D46" s="9" t="s">
        <v>431</v>
      </c>
      <c r="E46" s="9" t="s">
        <v>432</v>
      </c>
      <c r="F46" s="10">
        <v>629338</v>
      </c>
      <c r="G46" s="10">
        <v>9413305</v>
      </c>
      <c r="H46" s="11">
        <v>294.2</v>
      </c>
    </row>
    <row r="47" spans="1:8" ht="15" customHeight="1" x14ac:dyDescent="0.3">
      <c r="A47" s="9" t="s">
        <v>433</v>
      </c>
      <c r="B47" s="9" t="s">
        <v>430</v>
      </c>
      <c r="C47" s="9" t="s">
        <v>361</v>
      </c>
      <c r="D47" s="9" t="s">
        <v>431</v>
      </c>
      <c r="E47" s="9" t="s">
        <v>432</v>
      </c>
      <c r="F47" s="10">
        <v>630685</v>
      </c>
      <c r="G47" s="10">
        <v>9410800</v>
      </c>
      <c r="H47" s="11">
        <v>80.98</v>
      </c>
    </row>
    <row r="48" spans="1:8" ht="15" customHeight="1" x14ac:dyDescent="0.3">
      <c r="A48" s="9" t="s">
        <v>434</v>
      </c>
      <c r="B48" s="9" t="s">
        <v>435</v>
      </c>
      <c r="C48" s="9" t="s">
        <v>361</v>
      </c>
      <c r="D48" s="9" t="s">
        <v>431</v>
      </c>
      <c r="E48" s="9" t="s">
        <v>432</v>
      </c>
      <c r="F48" s="10">
        <v>629006</v>
      </c>
      <c r="G48" s="10">
        <v>9407536</v>
      </c>
      <c r="H48" s="11">
        <v>130.43</v>
      </c>
    </row>
    <row r="49" spans="1:8" ht="15" customHeight="1" x14ac:dyDescent="0.3">
      <c r="A49" s="9" t="s">
        <v>436</v>
      </c>
      <c r="B49" s="9" t="s">
        <v>435</v>
      </c>
      <c r="C49" s="9" t="s">
        <v>361</v>
      </c>
      <c r="D49" s="9" t="s">
        <v>431</v>
      </c>
      <c r="E49" s="9" t="s">
        <v>432</v>
      </c>
      <c r="F49" s="10">
        <v>631438</v>
      </c>
      <c r="G49" s="10">
        <v>9403547</v>
      </c>
      <c r="H49" s="11">
        <v>115.38</v>
      </c>
    </row>
    <row r="50" spans="1:8" ht="15" customHeight="1" x14ac:dyDescent="0.3">
      <c r="A50" s="9" t="s">
        <v>437</v>
      </c>
      <c r="B50" s="9" t="s">
        <v>435</v>
      </c>
      <c r="C50" s="9" t="s">
        <v>361</v>
      </c>
      <c r="D50" s="9" t="s">
        <v>431</v>
      </c>
      <c r="E50" s="9" t="s">
        <v>432</v>
      </c>
      <c r="F50" s="10">
        <v>633232</v>
      </c>
      <c r="G50" s="10">
        <v>9401227</v>
      </c>
      <c r="H50" s="11">
        <v>65.739999999999995</v>
      </c>
    </row>
    <row r="51" spans="1:8" ht="15" customHeight="1" x14ac:dyDescent="0.3">
      <c r="A51" s="9" t="s">
        <v>438</v>
      </c>
      <c r="B51" s="9" t="s">
        <v>435</v>
      </c>
      <c r="C51" s="9" t="s">
        <v>361</v>
      </c>
      <c r="D51" s="9" t="s">
        <v>431</v>
      </c>
      <c r="E51" s="9" t="s">
        <v>432</v>
      </c>
      <c r="F51" s="10">
        <v>635110</v>
      </c>
      <c r="G51" s="10">
        <v>9399092</v>
      </c>
      <c r="H51" s="11">
        <v>91.29</v>
      </c>
    </row>
    <row r="52" spans="1:8" ht="15" customHeight="1" x14ac:dyDescent="0.3">
      <c r="A52" s="9" t="s">
        <v>439</v>
      </c>
      <c r="B52" s="9" t="s">
        <v>440</v>
      </c>
      <c r="C52" s="9" t="s">
        <v>361</v>
      </c>
      <c r="D52" s="9" t="s">
        <v>431</v>
      </c>
      <c r="E52" s="9" t="s">
        <v>432</v>
      </c>
      <c r="F52" s="10">
        <v>635876</v>
      </c>
      <c r="G52" s="10">
        <v>9397941</v>
      </c>
      <c r="H52" s="11">
        <v>81.790000000000006</v>
      </c>
    </row>
    <row r="53" spans="1:8" ht="15" customHeight="1" x14ac:dyDescent="0.3">
      <c r="A53" s="9" t="s">
        <v>441</v>
      </c>
      <c r="B53" s="9" t="s">
        <v>440</v>
      </c>
      <c r="C53" s="9" t="s">
        <v>361</v>
      </c>
      <c r="D53" s="9" t="s">
        <v>431</v>
      </c>
      <c r="E53" s="9" t="s">
        <v>432</v>
      </c>
      <c r="F53" s="10">
        <v>639728</v>
      </c>
      <c r="G53" s="10">
        <v>9396836</v>
      </c>
      <c r="H53" s="11">
        <v>173.43</v>
      </c>
    </row>
    <row r="54" spans="1:8" ht="15" customHeight="1" x14ac:dyDescent="0.3">
      <c r="A54" s="9" t="s">
        <v>442</v>
      </c>
      <c r="B54" s="9" t="s">
        <v>440</v>
      </c>
      <c r="C54" s="9" t="s">
        <v>361</v>
      </c>
      <c r="D54" s="9" t="s">
        <v>431</v>
      </c>
      <c r="E54" s="9" t="s">
        <v>432</v>
      </c>
      <c r="F54" s="10">
        <v>639987</v>
      </c>
      <c r="G54" s="10">
        <v>9394392</v>
      </c>
      <c r="H54" s="11">
        <v>30.91</v>
      </c>
    </row>
    <row r="55" spans="1:8" ht="15" customHeight="1" x14ac:dyDescent="0.3">
      <c r="A55" s="9" t="s">
        <v>443</v>
      </c>
      <c r="B55" s="9" t="s">
        <v>440</v>
      </c>
      <c r="C55" s="9" t="s">
        <v>361</v>
      </c>
      <c r="D55" s="9" t="s">
        <v>431</v>
      </c>
      <c r="E55" s="9" t="s">
        <v>432</v>
      </c>
      <c r="F55" s="10">
        <v>645575</v>
      </c>
      <c r="G55" s="10">
        <v>9393500</v>
      </c>
      <c r="H55" s="11">
        <v>1370.96</v>
      </c>
    </row>
    <row r="56" spans="1:8" ht="15" customHeight="1" x14ac:dyDescent="0.3">
      <c r="A56" s="9" t="s">
        <v>444</v>
      </c>
      <c r="B56" s="9" t="s">
        <v>428</v>
      </c>
      <c r="C56" s="9" t="s">
        <v>361</v>
      </c>
      <c r="D56" s="9" t="s">
        <v>431</v>
      </c>
      <c r="E56" s="9" t="s">
        <v>432</v>
      </c>
      <c r="F56" s="10">
        <v>625311</v>
      </c>
      <c r="G56" s="10">
        <v>9412195</v>
      </c>
      <c r="H56" s="11">
        <v>373.81</v>
      </c>
    </row>
    <row r="57" spans="1:8" ht="15" customHeight="1" x14ac:dyDescent="0.3">
      <c r="A57" s="9" t="s">
        <v>445</v>
      </c>
      <c r="B57" s="9" t="s">
        <v>428</v>
      </c>
      <c r="C57" s="9" t="s">
        <v>361</v>
      </c>
      <c r="D57" s="9" t="s">
        <v>431</v>
      </c>
      <c r="E57" s="9" t="s">
        <v>432</v>
      </c>
      <c r="F57" s="10">
        <v>621551</v>
      </c>
      <c r="G57" s="10">
        <v>9412989</v>
      </c>
      <c r="H57" s="11">
        <v>197.35</v>
      </c>
    </row>
    <row r="58" spans="1:8" ht="15" customHeight="1" x14ac:dyDescent="0.3">
      <c r="A58" s="9" t="s">
        <v>446</v>
      </c>
      <c r="B58" s="9" t="s">
        <v>430</v>
      </c>
      <c r="C58" s="9" t="s">
        <v>361</v>
      </c>
      <c r="D58" s="9" t="s">
        <v>447</v>
      </c>
      <c r="E58" s="9" t="s">
        <v>448</v>
      </c>
      <c r="F58" s="10">
        <v>638309</v>
      </c>
      <c r="G58" s="10">
        <v>9415217</v>
      </c>
      <c r="H58" s="11">
        <v>122.95</v>
      </c>
    </row>
    <row r="59" spans="1:8" ht="15" customHeight="1" x14ac:dyDescent="0.3">
      <c r="A59" s="9" t="s">
        <v>449</v>
      </c>
      <c r="B59" s="9" t="s">
        <v>430</v>
      </c>
      <c r="C59" s="9" t="s">
        <v>361</v>
      </c>
      <c r="D59" s="9" t="s">
        <v>447</v>
      </c>
      <c r="E59" s="9" t="s">
        <v>448</v>
      </c>
      <c r="F59" s="10">
        <v>637918</v>
      </c>
      <c r="G59" s="10">
        <v>9412134</v>
      </c>
      <c r="H59" s="11">
        <v>60.35</v>
      </c>
    </row>
    <row r="60" spans="1:8" ht="15" customHeight="1" x14ac:dyDescent="0.3">
      <c r="A60" s="9" t="s">
        <v>450</v>
      </c>
      <c r="B60" s="9" t="s">
        <v>451</v>
      </c>
      <c r="C60" s="9" t="s">
        <v>361</v>
      </c>
      <c r="D60" s="9" t="s">
        <v>447</v>
      </c>
      <c r="E60" s="9" t="s">
        <v>448</v>
      </c>
      <c r="F60" s="10">
        <v>638648</v>
      </c>
      <c r="G60" s="10">
        <v>9411370</v>
      </c>
      <c r="H60" s="11">
        <v>17.82</v>
      </c>
    </row>
    <row r="61" spans="1:8" ht="15" customHeight="1" x14ac:dyDescent="0.3">
      <c r="A61" s="9" t="s">
        <v>452</v>
      </c>
      <c r="B61" s="9" t="s">
        <v>430</v>
      </c>
      <c r="C61" s="9" t="s">
        <v>361</v>
      </c>
      <c r="D61" s="9" t="s">
        <v>447</v>
      </c>
      <c r="E61" s="9" t="s">
        <v>448</v>
      </c>
      <c r="F61" s="10">
        <v>635887</v>
      </c>
      <c r="G61" s="10">
        <v>9411738</v>
      </c>
      <c r="H61" s="11">
        <v>52.74</v>
      </c>
    </row>
    <row r="62" spans="1:8" ht="15" customHeight="1" x14ac:dyDescent="0.3">
      <c r="A62" s="9" t="s">
        <v>453</v>
      </c>
      <c r="B62" s="9" t="s">
        <v>430</v>
      </c>
      <c r="C62" s="9" t="s">
        <v>361</v>
      </c>
      <c r="D62" s="9" t="s">
        <v>447</v>
      </c>
      <c r="E62" s="9" t="s">
        <v>448</v>
      </c>
      <c r="F62" s="10">
        <v>633015</v>
      </c>
      <c r="G62" s="10">
        <v>9411483</v>
      </c>
      <c r="H62" s="11">
        <v>84.82</v>
      </c>
    </row>
    <row r="63" spans="1:8" ht="15" customHeight="1" x14ac:dyDescent="0.3">
      <c r="A63" s="9" t="s">
        <v>454</v>
      </c>
      <c r="B63" s="9" t="s">
        <v>430</v>
      </c>
      <c r="C63" s="9" t="s">
        <v>361</v>
      </c>
      <c r="D63" s="9" t="s">
        <v>447</v>
      </c>
      <c r="E63" s="9" t="s">
        <v>448</v>
      </c>
      <c r="F63" s="10">
        <v>632119</v>
      </c>
      <c r="G63" s="10">
        <v>9415141</v>
      </c>
      <c r="H63" s="11">
        <v>565.58000000000004</v>
      </c>
    </row>
    <row r="64" spans="1:8" ht="15" customHeight="1" x14ac:dyDescent="0.3">
      <c r="A64" s="9" t="s">
        <v>455</v>
      </c>
      <c r="B64" s="9" t="s">
        <v>451</v>
      </c>
      <c r="C64" s="9" t="s">
        <v>361</v>
      </c>
      <c r="D64" s="9" t="s">
        <v>447</v>
      </c>
      <c r="E64" s="9" t="s">
        <v>448</v>
      </c>
      <c r="F64" s="10">
        <v>642079</v>
      </c>
      <c r="G64" s="10">
        <v>9413823</v>
      </c>
      <c r="H64" s="11">
        <v>106.03</v>
      </c>
    </row>
    <row r="65" spans="1:8" ht="15" customHeight="1" x14ac:dyDescent="0.3">
      <c r="A65" s="9" t="s">
        <v>456</v>
      </c>
      <c r="B65" s="9" t="s">
        <v>457</v>
      </c>
      <c r="C65" s="9" t="s">
        <v>361</v>
      </c>
      <c r="D65" s="9" t="s">
        <v>458</v>
      </c>
      <c r="E65" s="9" t="s">
        <v>459</v>
      </c>
      <c r="F65" s="10">
        <v>642690</v>
      </c>
      <c r="G65" s="10">
        <v>9438409</v>
      </c>
      <c r="H65" s="11">
        <v>0.86</v>
      </c>
    </row>
    <row r="66" spans="1:8" ht="15" customHeight="1" x14ac:dyDescent="0.3">
      <c r="A66" s="9" t="s">
        <v>460</v>
      </c>
      <c r="B66" s="9" t="s">
        <v>457</v>
      </c>
      <c r="C66" s="9" t="s">
        <v>361</v>
      </c>
      <c r="D66" s="9" t="s">
        <v>458</v>
      </c>
      <c r="E66" s="9" t="s">
        <v>459</v>
      </c>
      <c r="F66" s="10">
        <v>642334</v>
      </c>
      <c r="G66" s="10">
        <v>9438263</v>
      </c>
      <c r="H66" s="11">
        <v>15.84</v>
      </c>
    </row>
    <row r="67" spans="1:8" ht="15" customHeight="1" x14ac:dyDescent="0.3">
      <c r="A67" s="9" t="s">
        <v>461</v>
      </c>
      <c r="B67" s="9" t="s">
        <v>457</v>
      </c>
      <c r="C67" s="9" t="s">
        <v>361</v>
      </c>
      <c r="D67" s="9" t="s">
        <v>458</v>
      </c>
      <c r="E67" s="9" t="s">
        <v>459</v>
      </c>
      <c r="F67" s="10">
        <v>641522</v>
      </c>
      <c r="G67" s="10">
        <v>9438064</v>
      </c>
      <c r="H67" s="11">
        <v>11.06</v>
      </c>
    </row>
    <row r="68" spans="1:8" ht="15" customHeight="1" x14ac:dyDescent="0.3">
      <c r="A68" s="9" t="s">
        <v>462</v>
      </c>
      <c r="B68" s="9" t="s">
        <v>457</v>
      </c>
      <c r="C68" s="9" t="s">
        <v>361</v>
      </c>
      <c r="D68" s="9" t="s">
        <v>458</v>
      </c>
      <c r="E68" s="9" t="s">
        <v>459</v>
      </c>
      <c r="F68" s="10">
        <v>639496</v>
      </c>
      <c r="G68" s="10">
        <v>9433679</v>
      </c>
      <c r="H68" s="11">
        <v>5.75</v>
      </c>
    </row>
    <row r="69" spans="1:8" ht="15" customHeight="1" x14ac:dyDescent="0.3">
      <c r="A69" s="9" t="s">
        <v>463</v>
      </c>
      <c r="B69" s="9" t="s">
        <v>457</v>
      </c>
      <c r="C69" s="9" t="s">
        <v>361</v>
      </c>
      <c r="D69" s="9" t="s">
        <v>458</v>
      </c>
      <c r="E69" s="9" t="s">
        <v>459</v>
      </c>
      <c r="F69" s="10">
        <v>638751</v>
      </c>
      <c r="G69" s="10">
        <v>9433236</v>
      </c>
      <c r="H69" s="11">
        <v>18.87</v>
      </c>
    </row>
    <row r="70" spans="1:8" ht="15" customHeight="1" x14ac:dyDescent="0.3">
      <c r="A70" s="9" t="s">
        <v>464</v>
      </c>
      <c r="B70" s="9" t="s">
        <v>457</v>
      </c>
      <c r="C70" s="9" t="s">
        <v>361</v>
      </c>
      <c r="D70" s="9" t="s">
        <v>458</v>
      </c>
      <c r="E70" s="9" t="s">
        <v>459</v>
      </c>
      <c r="F70" s="10">
        <v>636249</v>
      </c>
      <c r="G70" s="10">
        <v>9425665</v>
      </c>
      <c r="H70" s="11">
        <v>90.2</v>
      </c>
    </row>
    <row r="71" spans="1:8" ht="15" customHeight="1" x14ac:dyDescent="0.3">
      <c r="A71" s="9" t="s">
        <v>465</v>
      </c>
      <c r="B71" s="9" t="s">
        <v>457</v>
      </c>
      <c r="C71" s="9" t="s">
        <v>361</v>
      </c>
      <c r="D71" s="9" t="s">
        <v>458</v>
      </c>
      <c r="E71" s="9" t="s">
        <v>459</v>
      </c>
      <c r="F71" s="10">
        <v>634061</v>
      </c>
      <c r="G71" s="10">
        <v>9426778</v>
      </c>
      <c r="H71" s="11">
        <v>58.29</v>
      </c>
    </row>
    <row r="72" spans="1:8" ht="15" customHeight="1" x14ac:dyDescent="0.3">
      <c r="A72" s="9" t="s">
        <v>466</v>
      </c>
      <c r="B72" s="9" t="s">
        <v>457</v>
      </c>
      <c r="C72" s="9" t="s">
        <v>361</v>
      </c>
      <c r="D72" s="9" t="s">
        <v>458</v>
      </c>
      <c r="E72" s="9" t="s">
        <v>459</v>
      </c>
      <c r="F72" s="10">
        <v>626078</v>
      </c>
      <c r="G72" s="10">
        <v>9427110</v>
      </c>
      <c r="H72" s="11">
        <v>283.43</v>
      </c>
    </row>
    <row r="73" spans="1:8" ht="15" customHeight="1" x14ac:dyDescent="0.3">
      <c r="A73" s="9" t="s">
        <v>467</v>
      </c>
      <c r="B73" s="9" t="s">
        <v>468</v>
      </c>
      <c r="C73" s="9" t="s">
        <v>469</v>
      </c>
      <c r="D73" s="9" t="s">
        <v>470</v>
      </c>
      <c r="E73" s="9" t="s">
        <v>471</v>
      </c>
      <c r="F73" s="10">
        <v>646466</v>
      </c>
      <c r="G73" s="10">
        <v>9431126</v>
      </c>
      <c r="H73" s="11">
        <v>29.68</v>
      </c>
    </row>
    <row r="74" spans="1:8" ht="15" customHeight="1" x14ac:dyDescent="0.3">
      <c r="A74" s="9" t="s">
        <v>472</v>
      </c>
      <c r="B74" s="9" t="s">
        <v>468</v>
      </c>
      <c r="C74" s="9" t="s">
        <v>469</v>
      </c>
      <c r="D74" s="9" t="s">
        <v>470</v>
      </c>
      <c r="E74" s="9" t="s">
        <v>471</v>
      </c>
      <c r="F74" s="10">
        <v>647123</v>
      </c>
      <c r="G74" s="10">
        <v>9427602</v>
      </c>
      <c r="H74" s="11">
        <v>44.2</v>
      </c>
    </row>
    <row r="75" spans="1:8" ht="15" customHeight="1" x14ac:dyDescent="0.3">
      <c r="A75" s="9" t="s">
        <v>473</v>
      </c>
      <c r="B75" s="9" t="s">
        <v>468</v>
      </c>
      <c r="C75" s="9" t="s">
        <v>469</v>
      </c>
      <c r="D75" s="9" t="s">
        <v>470</v>
      </c>
      <c r="E75" s="9" t="s">
        <v>471</v>
      </c>
      <c r="F75" s="10">
        <v>647350</v>
      </c>
      <c r="G75" s="10">
        <v>9427252</v>
      </c>
      <c r="H75" s="11">
        <v>19.27</v>
      </c>
    </row>
    <row r="76" spans="1:8" ht="15" customHeight="1" x14ac:dyDescent="0.3">
      <c r="A76" s="9" t="s">
        <v>474</v>
      </c>
      <c r="B76" s="9" t="s">
        <v>468</v>
      </c>
      <c r="C76" s="9" t="s">
        <v>469</v>
      </c>
      <c r="D76" s="9" t="s">
        <v>470</v>
      </c>
      <c r="E76" s="9" t="s">
        <v>471</v>
      </c>
      <c r="F76" s="10">
        <v>646483</v>
      </c>
      <c r="G76" s="10">
        <v>9426305</v>
      </c>
      <c r="H76" s="11">
        <v>28.45</v>
      </c>
    </row>
    <row r="77" spans="1:8" ht="15" customHeight="1" x14ac:dyDescent="0.3">
      <c r="A77" s="9" t="s">
        <v>475</v>
      </c>
      <c r="B77" s="9" t="s">
        <v>468</v>
      </c>
      <c r="C77" s="9" t="s">
        <v>469</v>
      </c>
      <c r="D77" s="9" t="s">
        <v>470</v>
      </c>
      <c r="E77" s="9" t="s">
        <v>471</v>
      </c>
      <c r="F77" s="10">
        <v>646236</v>
      </c>
      <c r="G77" s="10">
        <v>9425052</v>
      </c>
      <c r="H77" s="11">
        <v>26.83</v>
      </c>
    </row>
    <row r="78" spans="1:8" ht="15" customHeight="1" x14ac:dyDescent="0.3">
      <c r="A78" s="9" t="s">
        <v>476</v>
      </c>
      <c r="B78" s="9" t="s">
        <v>477</v>
      </c>
      <c r="C78" s="9" t="s">
        <v>469</v>
      </c>
      <c r="D78" s="9" t="s">
        <v>470</v>
      </c>
      <c r="E78" s="9" t="s">
        <v>471</v>
      </c>
      <c r="F78" s="10">
        <v>649081</v>
      </c>
      <c r="G78" s="10">
        <v>9424506</v>
      </c>
      <c r="H78" s="11">
        <v>35.49</v>
      </c>
    </row>
    <row r="79" spans="1:8" ht="15" customHeight="1" x14ac:dyDescent="0.3">
      <c r="A79" s="9" t="s">
        <v>478</v>
      </c>
      <c r="B79" s="9" t="s">
        <v>477</v>
      </c>
      <c r="C79" s="9" t="s">
        <v>469</v>
      </c>
      <c r="D79" s="9" t="s">
        <v>470</v>
      </c>
      <c r="E79" s="9" t="s">
        <v>471</v>
      </c>
      <c r="F79" s="10">
        <v>649472</v>
      </c>
      <c r="G79" s="10">
        <v>9425705</v>
      </c>
      <c r="H79" s="11">
        <v>46.96</v>
      </c>
    </row>
    <row r="80" spans="1:8" ht="15" customHeight="1" x14ac:dyDescent="0.3">
      <c r="A80" s="9" t="s">
        <v>479</v>
      </c>
      <c r="B80" s="9" t="s">
        <v>477</v>
      </c>
      <c r="C80" s="9" t="s">
        <v>469</v>
      </c>
      <c r="D80" s="9" t="s">
        <v>469</v>
      </c>
      <c r="E80" s="9" t="s">
        <v>480</v>
      </c>
      <c r="F80" s="10">
        <v>657819</v>
      </c>
      <c r="G80" s="10">
        <v>9428541</v>
      </c>
      <c r="H80" s="11">
        <v>35.770000000000003</v>
      </c>
    </row>
    <row r="81" spans="1:8" ht="21.75" customHeight="1" x14ac:dyDescent="0.3">
      <c r="A81" s="9" t="s">
        <v>481</v>
      </c>
      <c r="B81" s="9" t="s">
        <v>482</v>
      </c>
      <c r="C81" s="9" t="s">
        <v>469</v>
      </c>
      <c r="D81" s="9" t="s">
        <v>469</v>
      </c>
      <c r="E81" s="9" t="s">
        <v>480</v>
      </c>
      <c r="F81" s="10">
        <v>656897</v>
      </c>
      <c r="G81" s="10">
        <v>9426033</v>
      </c>
      <c r="H81" s="11">
        <v>40.26</v>
      </c>
    </row>
    <row r="82" spans="1:8" ht="15" customHeight="1" x14ac:dyDescent="0.3">
      <c r="A82" s="9" t="s">
        <v>483</v>
      </c>
      <c r="B82" s="9" t="s">
        <v>477</v>
      </c>
      <c r="C82" s="9" t="s">
        <v>469</v>
      </c>
      <c r="D82" s="9" t="s">
        <v>469</v>
      </c>
      <c r="E82" s="9" t="s">
        <v>480</v>
      </c>
      <c r="F82" s="10">
        <v>655263</v>
      </c>
      <c r="G82" s="10">
        <v>9427340</v>
      </c>
      <c r="H82" s="11">
        <v>90.9</v>
      </c>
    </row>
    <row r="83" spans="1:8" ht="15" customHeight="1" x14ac:dyDescent="0.3">
      <c r="A83" s="9" t="s">
        <v>484</v>
      </c>
      <c r="B83" s="9" t="s">
        <v>477</v>
      </c>
      <c r="C83" s="9" t="s">
        <v>469</v>
      </c>
      <c r="D83" s="9" t="s">
        <v>485</v>
      </c>
      <c r="E83" s="9" t="s">
        <v>480</v>
      </c>
      <c r="F83" s="10">
        <v>653850</v>
      </c>
      <c r="G83" s="10">
        <v>9426236</v>
      </c>
      <c r="H83" s="11">
        <v>40.130000000000003</v>
      </c>
    </row>
    <row r="84" spans="1:8" ht="15" customHeight="1" x14ac:dyDescent="0.3">
      <c r="A84" s="9" t="s">
        <v>486</v>
      </c>
      <c r="B84" s="9" t="s">
        <v>477</v>
      </c>
      <c r="C84" s="9" t="s">
        <v>469</v>
      </c>
      <c r="D84" s="9" t="s">
        <v>485</v>
      </c>
      <c r="E84" s="9" t="s">
        <v>480</v>
      </c>
      <c r="F84" s="10">
        <v>654137</v>
      </c>
      <c r="G84" s="10">
        <v>9424425</v>
      </c>
      <c r="H84" s="11">
        <v>28.52</v>
      </c>
    </row>
    <row r="85" spans="1:8" ht="15" customHeight="1" x14ac:dyDescent="0.3">
      <c r="A85" s="9" t="s">
        <v>487</v>
      </c>
      <c r="B85" s="9" t="s">
        <v>477</v>
      </c>
      <c r="C85" s="9" t="s">
        <v>469</v>
      </c>
      <c r="D85" s="9" t="s">
        <v>485</v>
      </c>
      <c r="E85" s="9" t="s">
        <v>480</v>
      </c>
      <c r="F85" s="10">
        <v>652758</v>
      </c>
      <c r="G85" s="10">
        <v>9424380</v>
      </c>
      <c r="H85" s="11">
        <v>34.869999999999997</v>
      </c>
    </row>
    <row r="86" spans="1:8" ht="15" customHeight="1" x14ac:dyDescent="0.3">
      <c r="A86" s="9" t="s">
        <v>488</v>
      </c>
      <c r="B86" s="9" t="s">
        <v>477</v>
      </c>
      <c r="C86" s="9" t="s">
        <v>469</v>
      </c>
      <c r="D86" s="9" t="s">
        <v>485</v>
      </c>
      <c r="E86" s="9" t="s">
        <v>480</v>
      </c>
      <c r="F86" s="10">
        <v>654188</v>
      </c>
      <c r="G86" s="10">
        <v>9422849</v>
      </c>
      <c r="H86" s="11">
        <v>52.97</v>
      </c>
    </row>
    <row r="87" spans="1:8" ht="15" customHeight="1" x14ac:dyDescent="0.3">
      <c r="A87" s="9" t="s">
        <v>489</v>
      </c>
      <c r="B87" s="9" t="s">
        <v>477</v>
      </c>
      <c r="C87" s="9" t="s">
        <v>469</v>
      </c>
      <c r="D87" s="9" t="s">
        <v>485</v>
      </c>
      <c r="E87" s="9" t="s">
        <v>480</v>
      </c>
      <c r="F87" s="10">
        <v>655046</v>
      </c>
      <c r="G87" s="10">
        <v>9420450</v>
      </c>
      <c r="H87" s="11">
        <v>73.819999999999993</v>
      </c>
    </row>
    <row r="88" spans="1:8" ht="21.75" customHeight="1" x14ac:dyDescent="0.3">
      <c r="A88" s="9" t="s">
        <v>490</v>
      </c>
      <c r="B88" s="9" t="s">
        <v>482</v>
      </c>
      <c r="C88" s="9" t="s">
        <v>469</v>
      </c>
      <c r="D88" s="9" t="s">
        <v>485</v>
      </c>
      <c r="E88" s="9" t="s">
        <v>480</v>
      </c>
      <c r="F88" s="10">
        <v>657541</v>
      </c>
      <c r="G88" s="10">
        <v>9421083</v>
      </c>
      <c r="H88" s="11">
        <v>53.93</v>
      </c>
    </row>
    <row r="89" spans="1:8" ht="15" customHeight="1" x14ac:dyDescent="0.3">
      <c r="A89" s="9" t="s">
        <v>491</v>
      </c>
      <c r="B89" s="9" t="s">
        <v>477</v>
      </c>
      <c r="C89" s="9" t="s">
        <v>469</v>
      </c>
      <c r="D89" s="9" t="s">
        <v>485</v>
      </c>
      <c r="E89" s="9" t="s">
        <v>480</v>
      </c>
      <c r="F89" s="10">
        <v>654604</v>
      </c>
      <c r="G89" s="10">
        <v>9417736</v>
      </c>
      <c r="H89" s="11">
        <v>84.23</v>
      </c>
    </row>
    <row r="90" spans="1:8" ht="15" customHeight="1" x14ac:dyDescent="0.3">
      <c r="A90" s="9" t="s">
        <v>492</v>
      </c>
      <c r="B90" s="9" t="s">
        <v>477</v>
      </c>
      <c r="C90" s="9" t="s">
        <v>469</v>
      </c>
      <c r="D90" s="9" t="s">
        <v>485</v>
      </c>
      <c r="E90" s="9" t="s">
        <v>480</v>
      </c>
      <c r="F90" s="10">
        <v>652566</v>
      </c>
      <c r="G90" s="10">
        <v>9417311</v>
      </c>
      <c r="H90" s="11">
        <v>102.34</v>
      </c>
    </row>
    <row r="91" spans="1:8" ht="15" customHeight="1" x14ac:dyDescent="0.3">
      <c r="A91" s="9" t="s">
        <v>493</v>
      </c>
      <c r="B91" s="9" t="s">
        <v>451</v>
      </c>
      <c r="C91" s="9" t="s">
        <v>469</v>
      </c>
      <c r="D91" s="9" t="s">
        <v>485</v>
      </c>
      <c r="E91" s="9" t="s">
        <v>480</v>
      </c>
      <c r="F91" s="10">
        <v>652191</v>
      </c>
      <c r="G91" s="10">
        <v>9414358</v>
      </c>
      <c r="H91" s="11">
        <v>90.16</v>
      </c>
    </row>
    <row r="92" spans="1:8" ht="15" customHeight="1" x14ac:dyDescent="0.3">
      <c r="A92" s="9" t="s">
        <v>494</v>
      </c>
      <c r="B92" s="9" t="s">
        <v>451</v>
      </c>
      <c r="C92" s="9" t="s">
        <v>469</v>
      </c>
      <c r="D92" s="9" t="s">
        <v>485</v>
      </c>
      <c r="E92" s="9" t="s">
        <v>480</v>
      </c>
      <c r="F92" s="10">
        <v>655059</v>
      </c>
      <c r="G92" s="10">
        <v>9413845</v>
      </c>
      <c r="H92" s="11">
        <v>50.46</v>
      </c>
    </row>
    <row r="93" spans="1:8" ht="15" customHeight="1" x14ac:dyDescent="0.3">
      <c r="A93" s="9" t="s">
        <v>495</v>
      </c>
      <c r="B93" s="9" t="s">
        <v>496</v>
      </c>
      <c r="C93" s="9" t="s">
        <v>469</v>
      </c>
      <c r="D93" s="9" t="s">
        <v>485</v>
      </c>
      <c r="E93" s="9" t="s">
        <v>480</v>
      </c>
      <c r="F93" s="10">
        <v>650305</v>
      </c>
      <c r="G93" s="10">
        <v>9402785</v>
      </c>
      <c r="H93" s="11">
        <v>94.81</v>
      </c>
    </row>
    <row r="94" spans="1:8" ht="15" customHeight="1" x14ac:dyDescent="0.3">
      <c r="A94" s="9" t="s">
        <v>497</v>
      </c>
      <c r="B94" s="9" t="s">
        <v>498</v>
      </c>
      <c r="C94" s="9" t="s">
        <v>469</v>
      </c>
      <c r="D94" s="9" t="s">
        <v>485</v>
      </c>
      <c r="E94" s="9" t="s">
        <v>480</v>
      </c>
      <c r="F94" s="10">
        <v>641538</v>
      </c>
      <c r="G94" s="10">
        <v>9401360</v>
      </c>
      <c r="H94" s="11">
        <v>8.93</v>
      </c>
    </row>
    <row r="95" spans="1:8" ht="15" customHeight="1" x14ac:dyDescent="0.3">
      <c r="A95" s="9" t="s">
        <v>499</v>
      </c>
      <c r="B95" s="9" t="s">
        <v>500</v>
      </c>
      <c r="C95" s="9" t="s">
        <v>469</v>
      </c>
      <c r="D95" s="9" t="s">
        <v>501</v>
      </c>
      <c r="E95" s="9" t="s">
        <v>502</v>
      </c>
      <c r="F95" s="10">
        <v>664082</v>
      </c>
      <c r="G95" s="10">
        <v>9404172</v>
      </c>
      <c r="H95" s="11">
        <v>55.17</v>
      </c>
    </row>
    <row r="96" spans="1:8" ht="15" customHeight="1" x14ac:dyDescent="0.3">
      <c r="A96" s="9" t="s">
        <v>503</v>
      </c>
      <c r="B96" s="9" t="s">
        <v>500</v>
      </c>
      <c r="C96" s="9" t="s">
        <v>469</v>
      </c>
      <c r="D96" s="9" t="s">
        <v>501</v>
      </c>
      <c r="E96" s="9" t="s">
        <v>502</v>
      </c>
      <c r="F96" s="10">
        <v>663637</v>
      </c>
      <c r="G96" s="10">
        <v>9400618</v>
      </c>
      <c r="H96" s="11">
        <v>28.23</v>
      </c>
    </row>
    <row r="97" spans="1:8" ht="15" customHeight="1" x14ac:dyDescent="0.3">
      <c r="A97" s="9" t="s">
        <v>504</v>
      </c>
      <c r="B97" s="9" t="s">
        <v>500</v>
      </c>
      <c r="C97" s="9" t="s">
        <v>469</v>
      </c>
      <c r="D97" s="9" t="s">
        <v>501</v>
      </c>
      <c r="E97" s="9" t="s">
        <v>502</v>
      </c>
      <c r="F97" s="10">
        <v>659649</v>
      </c>
      <c r="G97" s="10">
        <v>9401436</v>
      </c>
      <c r="H97" s="11">
        <v>13.55</v>
      </c>
    </row>
    <row r="98" spans="1:8" ht="15" customHeight="1" x14ac:dyDescent="0.3">
      <c r="A98" s="9" t="s">
        <v>505</v>
      </c>
      <c r="B98" s="9" t="s">
        <v>496</v>
      </c>
      <c r="C98" s="9" t="s">
        <v>469</v>
      </c>
      <c r="D98" s="9" t="s">
        <v>501</v>
      </c>
      <c r="E98" s="9" t="s">
        <v>502</v>
      </c>
      <c r="F98" s="10">
        <v>657722</v>
      </c>
      <c r="G98" s="10">
        <v>9401669</v>
      </c>
      <c r="H98" s="11">
        <v>15.18</v>
      </c>
    </row>
    <row r="99" spans="1:8" ht="15" customHeight="1" x14ac:dyDescent="0.3">
      <c r="A99" s="9" t="s">
        <v>506</v>
      </c>
      <c r="B99" s="9" t="s">
        <v>500</v>
      </c>
      <c r="C99" s="9" t="s">
        <v>469</v>
      </c>
      <c r="D99" s="9" t="s">
        <v>501</v>
      </c>
      <c r="E99" s="9" t="s">
        <v>502</v>
      </c>
      <c r="F99" s="10">
        <v>656578</v>
      </c>
      <c r="G99" s="10">
        <v>9397762</v>
      </c>
      <c r="H99" s="11">
        <v>109.86</v>
      </c>
    </row>
    <row r="100" spans="1:8" ht="15" customHeight="1" x14ac:dyDescent="0.3">
      <c r="A100" s="9" t="s">
        <v>507</v>
      </c>
      <c r="B100" s="9" t="s">
        <v>500</v>
      </c>
      <c r="C100" s="9" t="s">
        <v>469</v>
      </c>
      <c r="D100" s="9" t="s">
        <v>501</v>
      </c>
      <c r="E100" s="9" t="s">
        <v>502</v>
      </c>
      <c r="F100" s="10">
        <v>656489</v>
      </c>
      <c r="G100" s="10">
        <v>9395403</v>
      </c>
      <c r="H100" s="11">
        <v>23.17</v>
      </c>
    </row>
    <row r="101" spans="1:8" ht="15" customHeight="1" x14ac:dyDescent="0.3">
      <c r="A101" s="9" t="s">
        <v>508</v>
      </c>
      <c r="B101" s="9" t="s">
        <v>500</v>
      </c>
      <c r="C101" s="9" t="s">
        <v>469</v>
      </c>
      <c r="D101" s="9" t="s">
        <v>501</v>
      </c>
      <c r="E101" s="9" t="s">
        <v>502</v>
      </c>
      <c r="F101" s="10">
        <v>654607</v>
      </c>
      <c r="G101" s="10">
        <v>9395038</v>
      </c>
      <c r="H101" s="11">
        <v>30.8</v>
      </c>
    </row>
    <row r="102" spans="1:8" ht="15" customHeight="1" x14ac:dyDescent="0.3">
      <c r="A102" s="9" t="s">
        <v>509</v>
      </c>
      <c r="B102" s="9" t="s">
        <v>500</v>
      </c>
      <c r="C102" s="9" t="s">
        <v>469</v>
      </c>
      <c r="D102" s="9" t="s">
        <v>501</v>
      </c>
      <c r="E102" s="9" t="s">
        <v>502</v>
      </c>
      <c r="F102" s="10">
        <v>654207</v>
      </c>
      <c r="G102" s="10">
        <v>9394210</v>
      </c>
      <c r="H102" s="11">
        <v>13.18</v>
      </c>
    </row>
    <row r="103" spans="1:8" ht="15" customHeight="1" x14ac:dyDescent="0.3">
      <c r="A103" s="9" t="s">
        <v>510</v>
      </c>
      <c r="B103" s="9" t="s">
        <v>498</v>
      </c>
      <c r="C103" s="9" t="s">
        <v>469</v>
      </c>
      <c r="D103" s="9" t="s">
        <v>501</v>
      </c>
      <c r="E103" s="9" t="s">
        <v>502</v>
      </c>
      <c r="F103" s="10">
        <v>641196</v>
      </c>
      <c r="G103" s="10">
        <v>9398710</v>
      </c>
      <c r="H103" s="11">
        <v>279.68</v>
      </c>
    </row>
    <row r="104" spans="1:8" ht="15" customHeight="1" x14ac:dyDescent="0.3">
      <c r="A104" s="9" t="s">
        <v>511</v>
      </c>
      <c r="B104" s="9" t="s">
        <v>440</v>
      </c>
      <c r="C104" s="9" t="s">
        <v>469</v>
      </c>
      <c r="D104" s="9" t="s">
        <v>501</v>
      </c>
      <c r="E104" s="9" t="s">
        <v>502</v>
      </c>
      <c r="F104" s="10">
        <v>639059</v>
      </c>
      <c r="G104" s="10">
        <v>9398295</v>
      </c>
      <c r="H104" s="11">
        <v>116.1</v>
      </c>
    </row>
    <row r="105" spans="1:8" ht="15" customHeight="1" x14ac:dyDescent="0.3">
      <c r="A105" s="9" t="s">
        <v>512</v>
      </c>
      <c r="B105" s="9" t="s">
        <v>513</v>
      </c>
      <c r="C105" s="9" t="s">
        <v>469</v>
      </c>
      <c r="D105" s="9" t="s">
        <v>514</v>
      </c>
      <c r="E105" s="9" t="s">
        <v>515</v>
      </c>
      <c r="F105" s="10">
        <v>662123</v>
      </c>
      <c r="G105" s="10">
        <v>9397575</v>
      </c>
      <c r="H105" s="11">
        <v>40.1</v>
      </c>
    </row>
    <row r="106" spans="1:8" ht="15" customHeight="1" x14ac:dyDescent="0.3">
      <c r="A106" s="9" t="s">
        <v>516</v>
      </c>
      <c r="B106" s="9" t="s">
        <v>513</v>
      </c>
      <c r="C106" s="9" t="s">
        <v>469</v>
      </c>
      <c r="D106" s="9" t="s">
        <v>514</v>
      </c>
      <c r="E106" s="9" t="s">
        <v>515</v>
      </c>
      <c r="F106" s="10">
        <v>664225</v>
      </c>
      <c r="G106" s="10">
        <v>9396339</v>
      </c>
      <c r="H106" s="11">
        <v>21.29</v>
      </c>
    </row>
    <row r="107" spans="1:8" ht="15" customHeight="1" x14ac:dyDescent="0.3">
      <c r="A107" s="9" t="s">
        <v>517</v>
      </c>
      <c r="B107" s="9" t="s">
        <v>513</v>
      </c>
      <c r="C107" s="9" t="s">
        <v>469</v>
      </c>
      <c r="D107" s="9" t="s">
        <v>514</v>
      </c>
      <c r="E107" s="9" t="s">
        <v>515</v>
      </c>
      <c r="F107" s="10">
        <v>666537</v>
      </c>
      <c r="G107" s="10">
        <v>9395918</v>
      </c>
      <c r="H107" s="11">
        <v>13.06</v>
      </c>
    </row>
    <row r="108" spans="1:8" ht="15" customHeight="1" x14ac:dyDescent="0.3">
      <c r="A108" s="9" t="s">
        <v>518</v>
      </c>
      <c r="B108" s="9" t="s">
        <v>513</v>
      </c>
      <c r="C108" s="9" t="s">
        <v>469</v>
      </c>
      <c r="D108" s="9" t="s">
        <v>514</v>
      </c>
      <c r="E108" s="9" t="s">
        <v>515</v>
      </c>
      <c r="F108" s="10">
        <v>666781</v>
      </c>
      <c r="G108" s="10">
        <v>9395573</v>
      </c>
      <c r="H108" s="11">
        <v>22.39</v>
      </c>
    </row>
    <row r="109" spans="1:8" ht="15" customHeight="1" x14ac:dyDescent="0.3">
      <c r="A109" s="9" t="s">
        <v>519</v>
      </c>
      <c r="B109" s="9" t="s">
        <v>513</v>
      </c>
      <c r="C109" s="9" t="s">
        <v>469</v>
      </c>
      <c r="D109" s="9" t="s">
        <v>514</v>
      </c>
      <c r="E109" s="9" t="s">
        <v>515</v>
      </c>
      <c r="F109" s="10">
        <v>663334</v>
      </c>
      <c r="G109" s="10">
        <v>9392820</v>
      </c>
      <c r="H109" s="11">
        <v>47.58</v>
      </c>
    </row>
    <row r="110" spans="1:8" ht="15" customHeight="1" x14ac:dyDescent="0.3">
      <c r="A110" s="9" t="s">
        <v>520</v>
      </c>
      <c r="B110" s="9" t="s">
        <v>513</v>
      </c>
      <c r="C110" s="9" t="s">
        <v>469</v>
      </c>
      <c r="D110" s="9" t="s">
        <v>514</v>
      </c>
      <c r="E110" s="9" t="s">
        <v>515</v>
      </c>
      <c r="F110" s="10">
        <v>663291</v>
      </c>
      <c r="G110" s="10">
        <v>9392332</v>
      </c>
      <c r="H110" s="11">
        <v>19.43</v>
      </c>
    </row>
    <row r="111" spans="1:8" ht="15" customHeight="1" x14ac:dyDescent="0.3">
      <c r="A111" s="9" t="s">
        <v>16</v>
      </c>
      <c r="B111" s="9" t="s">
        <v>513</v>
      </c>
      <c r="C111" s="9" t="s">
        <v>469</v>
      </c>
      <c r="D111" s="9" t="s">
        <v>514</v>
      </c>
      <c r="E111" s="9" t="s">
        <v>515</v>
      </c>
      <c r="F111" s="10">
        <v>662236</v>
      </c>
      <c r="G111" s="10">
        <v>9391211</v>
      </c>
      <c r="H111" s="11">
        <v>12.4</v>
      </c>
    </row>
    <row r="112" spans="1:8" ht="15" customHeight="1" x14ac:dyDescent="0.3">
      <c r="A112" s="9" t="s">
        <v>521</v>
      </c>
      <c r="B112" s="9" t="s">
        <v>513</v>
      </c>
      <c r="C112" s="9" t="s">
        <v>469</v>
      </c>
      <c r="D112" s="9" t="s">
        <v>514</v>
      </c>
      <c r="E112" s="9" t="s">
        <v>515</v>
      </c>
      <c r="F112" s="10">
        <v>660525</v>
      </c>
      <c r="G112" s="10">
        <v>9394327</v>
      </c>
      <c r="H112" s="11">
        <v>64.92</v>
      </c>
    </row>
    <row r="113" spans="1:8" ht="15" customHeight="1" x14ac:dyDescent="0.3">
      <c r="A113" s="9" t="s">
        <v>522</v>
      </c>
      <c r="B113" s="9" t="s">
        <v>513</v>
      </c>
      <c r="C113" s="9" t="s">
        <v>469</v>
      </c>
      <c r="D113" s="9" t="s">
        <v>514</v>
      </c>
      <c r="E113" s="9" t="s">
        <v>515</v>
      </c>
      <c r="F113" s="10">
        <v>658547</v>
      </c>
      <c r="G113" s="10">
        <v>9395594</v>
      </c>
      <c r="H113" s="11">
        <v>54.29</v>
      </c>
    </row>
    <row r="114" spans="1:8" ht="15" customHeight="1" x14ac:dyDescent="0.3">
      <c r="A114" s="9" t="s">
        <v>523</v>
      </c>
      <c r="B114" s="9" t="s">
        <v>513</v>
      </c>
      <c r="C114" s="9" t="s">
        <v>469</v>
      </c>
      <c r="D114" s="9" t="s">
        <v>514</v>
      </c>
      <c r="E114" s="9" t="s">
        <v>515</v>
      </c>
      <c r="F114" s="10">
        <v>656445</v>
      </c>
      <c r="G114" s="10">
        <v>9393180</v>
      </c>
      <c r="H114" s="11">
        <v>103.62</v>
      </c>
    </row>
    <row r="115" spans="1:8" ht="15" customHeight="1" x14ac:dyDescent="0.3">
      <c r="A115" s="9" t="s">
        <v>524</v>
      </c>
      <c r="B115" s="9" t="s">
        <v>525</v>
      </c>
      <c r="C115" s="9" t="s">
        <v>469</v>
      </c>
      <c r="D115" s="9" t="s">
        <v>514</v>
      </c>
      <c r="E115" s="9" t="s">
        <v>515</v>
      </c>
      <c r="F115" s="10">
        <v>652449</v>
      </c>
      <c r="G115" s="10">
        <v>9389179</v>
      </c>
      <c r="H115" s="11">
        <v>29.23</v>
      </c>
    </row>
    <row r="116" spans="1:8" ht="15" customHeight="1" x14ac:dyDescent="0.3">
      <c r="A116" s="9" t="s">
        <v>526</v>
      </c>
      <c r="B116" s="9" t="s">
        <v>525</v>
      </c>
      <c r="C116" s="9" t="s">
        <v>469</v>
      </c>
      <c r="D116" s="9" t="s">
        <v>514</v>
      </c>
      <c r="E116" s="9" t="s">
        <v>515</v>
      </c>
      <c r="F116" s="10">
        <v>644546</v>
      </c>
      <c r="G116" s="10">
        <v>9389106</v>
      </c>
      <c r="H116" s="11">
        <v>268.39</v>
      </c>
    </row>
    <row r="117" spans="1:8" ht="15" customHeight="1" x14ac:dyDescent="0.3">
      <c r="A117" s="9" t="s">
        <v>527</v>
      </c>
      <c r="B117" s="9" t="s">
        <v>513</v>
      </c>
      <c r="C117" s="9" t="s">
        <v>469</v>
      </c>
      <c r="D117" s="9" t="s">
        <v>514</v>
      </c>
      <c r="E117" s="9" t="s">
        <v>515</v>
      </c>
      <c r="F117" s="10">
        <v>665942</v>
      </c>
      <c r="G117" s="10">
        <v>9391144</v>
      </c>
      <c r="H117" s="11">
        <v>82.09</v>
      </c>
    </row>
    <row r="118" spans="1:8" ht="15" customHeight="1" x14ac:dyDescent="0.3">
      <c r="A118" s="9" t="s">
        <v>528</v>
      </c>
      <c r="B118" s="9" t="s">
        <v>529</v>
      </c>
      <c r="C118" s="9" t="s">
        <v>469</v>
      </c>
      <c r="D118" s="9" t="s">
        <v>514</v>
      </c>
      <c r="E118" s="9" t="s">
        <v>530</v>
      </c>
      <c r="F118" s="10">
        <v>642775</v>
      </c>
      <c r="G118" s="10">
        <v>9388574</v>
      </c>
      <c r="H118" s="11">
        <v>289.91000000000003</v>
      </c>
    </row>
    <row r="119" spans="1:8" ht="15" customHeight="1" x14ac:dyDescent="0.3">
      <c r="A119" s="9" t="s">
        <v>531</v>
      </c>
      <c r="B119" s="9" t="s">
        <v>529</v>
      </c>
      <c r="C119" s="9" t="s">
        <v>469</v>
      </c>
      <c r="D119" s="9" t="s">
        <v>514</v>
      </c>
      <c r="E119" s="9" t="s">
        <v>530</v>
      </c>
      <c r="F119" s="10">
        <v>643474</v>
      </c>
      <c r="G119" s="10">
        <v>9385620</v>
      </c>
      <c r="H119" s="11">
        <v>234.07</v>
      </c>
    </row>
    <row r="120" spans="1:8" ht="15" customHeight="1" x14ac:dyDescent="0.3">
      <c r="A120" s="9" t="s">
        <v>532</v>
      </c>
      <c r="B120" s="9" t="s">
        <v>533</v>
      </c>
      <c r="C120" s="9" t="s">
        <v>469</v>
      </c>
      <c r="D120" s="9" t="s">
        <v>514</v>
      </c>
      <c r="E120" s="9" t="s">
        <v>530</v>
      </c>
      <c r="F120" s="10">
        <v>650830</v>
      </c>
      <c r="G120" s="10">
        <v>9382303</v>
      </c>
      <c r="H120" s="11">
        <v>150.21</v>
      </c>
    </row>
    <row r="121" spans="1:8" ht="15" customHeight="1" x14ac:dyDescent="0.3">
      <c r="A121" s="9" t="s">
        <v>534</v>
      </c>
      <c r="B121" s="9" t="s">
        <v>533</v>
      </c>
      <c r="C121" s="9" t="s">
        <v>469</v>
      </c>
      <c r="D121" s="9" t="s">
        <v>514</v>
      </c>
      <c r="E121" s="9" t="s">
        <v>530</v>
      </c>
      <c r="F121" s="10">
        <v>652939</v>
      </c>
      <c r="G121" s="10">
        <v>9382105</v>
      </c>
      <c r="H121" s="11">
        <v>83.33</v>
      </c>
    </row>
    <row r="122" spans="1:8" ht="15" customHeight="1" x14ac:dyDescent="0.3">
      <c r="A122" s="9" t="s">
        <v>535</v>
      </c>
      <c r="B122" s="9" t="s">
        <v>525</v>
      </c>
      <c r="C122" s="9" t="s">
        <v>469</v>
      </c>
      <c r="D122" s="9" t="s">
        <v>514</v>
      </c>
      <c r="E122" s="9" t="s">
        <v>530</v>
      </c>
      <c r="F122" s="10">
        <v>656549</v>
      </c>
      <c r="G122" s="10">
        <v>9382009</v>
      </c>
      <c r="H122" s="11">
        <v>230.1</v>
      </c>
    </row>
    <row r="123" spans="1:8" ht="15" customHeight="1" x14ac:dyDescent="0.3">
      <c r="A123" s="9" t="s">
        <v>536</v>
      </c>
      <c r="B123" s="9" t="s">
        <v>533</v>
      </c>
      <c r="C123" s="9" t="s">
        <v>469</v>
      </c>
      <c r="D123" s="9" t="s">
        <v>514</v>
      </c>
      <c r="E123" s="9" t="s">
        <v>530</v>
      </c>
      <c r="F123" s="10">
        <v>656291</v>
      </c>
      <c r="G123" s="10">
        <v>9379096</v>
      </c>
      <c r="H123" s="11">
        <v>22.93</v>
      </c>
    </row>
    <row r="124" spans="1:8" ht="15" customHeight="1" x14ac:dyDescent="0.3">
      <c r="A124" s="9" t="s">
        <v>537</v>
      </c>
      <c r="B124" s="9" t="s">
        <v>533</v>
      </c>
      <c r="C124" s="9" t="s">
        <v>469</v>
      </c>
      <c r="D124" s="9" t="s">
        <v>514</v>
      </c>
      <c r="E124" s="9" t="s">
        <v>530</v>
      </c>
      <c r="F124" s="10">
        <v>657922</v>
      </c>
      <c r="G124" s="10">
        <v>9377477</v>
      </c>
      <c r="H124" s="11">
        <v>19.62</v>
      </c>
    </row>
    <row r="125" spans="1:8" ht="15" customHeight="1" x14ac:dyDescent="0.3">
      <c r="A125" s="9" t="s">
        <v>538</v>
      </c>
      <c r="B125" s="9" t="s">
        <v>533</v>
      </c>
      <c r="C125" s="9" t="s">
        <v>469</v>
      </c>
      <c r="D125" s="9" t="s">
        <v>514</v>
      </c>
      <c r="E125" s="9" t="s">
        <v>530</v>
      </c>
      <c r="F125" s="10">
        <v>657160</v>
      </c>
      <c r="G125" s="10">
        <v>9373050</v>
      </c>
      <c r="H125" s="11">
        <v>28.83</v>
      </c>
    </row>
    <row r="126" spans="1:8" ht="15" customHeight="1" x14ac:dyDescent="0.3">
      <c r="A126" s="9" t="s">
        <v>539</v>
      </c>
      <c r="B126" s="9" t="s">
        <v>533</v>
      </c>
      <c r="C126" s="9" t="s">
        <v>469</v>
      </c>
      <c r="D126" s="9" t="s">
        <v>514</v>
      </c>
      <c r="E126" s="9" t="s">
        <v>530</v>
      </c>
      <c r="F126" s="10">
        <v>652104</v>
      </c>
      <c r="G126" s="10">
        <v>9373045</v>
      </c>
      <c r="H126" s="11">
        <v>10.67</v>
      </c>
    </row>
    <row r="127" spans="1:8" ht="15" customHeight="1" x14ac:dyDescent="0.3">
      <c r="A127" s="9" t="s">
        <v>540</v>
      </c>
      <c r="B127" s="9" t="s">
        <v>533</v>
      </c>
      <c r="C127" s="9" t="s">
        <v>469</v>
      </c>
      <c r="D127" s="9" t="s">
        <v>514</v>
      </c>
      <c r="E127" s="9" t="s">
        <v>530</v>
      </c>
      <c r="F127" s="10">
        <v>651673</v>
      </c>
      <c r="G127" s="10">
        <v>9373383</v>
      </c>
      <c r="H127" s="11">
        <v>126.95</v>
      </c>
    </row>
    <row r="128" spans="1:8" ht="15" customHeight="1" x14ac:dyDescent="0.3">
      <c r="A128" s="9" t="s">
        <v>541</v>
      </c>
      <c r="B128" s="9" t="s">
        <v>533</v>
      </c>
      <c r="C128" s="9" t="s">
        <v>469</v>
      </c>
      <c r="D128" s="9" t="s">
        <v>514</v>
      </c>
      <c r="E128" s="9" t="s">
        <v>530</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542</v>
      </c>
      <c r="B1" s="25"/>
      <c r="C1" s="25"/>
      <c r="D1" s="25"/>
      <c r="E1" s="25"/>
      <c r="F1" s="25"/>
      <c r="G1" s="25"/>
      <c r="H1" s="25"/>
    </row>
    <row r="3" spans="1:37" ht="15" customHeight="1" x14ac:dyDescent="0.3">
      <c r="A3" s="2" t="s">
        <v>543</v>
      </c>
      <c r="B3" s="2" t="s">
        <v>544</v>
      </c>
      <c r="C3" s="2" t="s">
        <v>545</v>
      </c>
      <c r="D3" s="2" t="s">
        <v>546</v>
      </c>
      <c r="E3" s="2" t="s">
        <v>547</v>
      </c>
      <c r="F3" s="2" t="s">
        <v>548</v>
      </c>
      <c r="G3" s="2" t="s">
        <v>549</v>
      </c>
      <c r="H3" s="2" t="s">
        <v>550</v>
      </c>
      <c r="I3" s="2" t="s">
        <v>551</v>
      </c>
      <c r="J3" s="2" t="s">
        <v>552</v>
      </c>
      <c r="K3" s="2" t="s">
        <v>553</v>
      </c>
      <c r="L3" s="2" t="s">
        <v>554</v>
      </c>
      <c r="M3" s="2" t="s">
        <v>555</v>
      </c>
      <c r="N3" s="2" t="s">
        <v>556</v>
      </c>
      <c r="O3" s="2" t="s">
        <v>557</v>
      </c>
      <c r="P3" s="2" t="s">
        <v>558</v>
      </c>
      <c r="Q3" s="2" t="s">
        <v>559</v>
      </c>
      <c r="R3" s="2" t="s">
        <v>560</v>
      </c>
      <c r="S3" s="2" t="s">
        <v>561</v>
      </c>
      <c r="T3" s="2" t="s">
        <v>562</v>
      </c>
      <c r="U3" s="2" t="s">
        <v>563</v>
      </c>
      <c r="V3" s="2" t="s">
        <v>564</v>
      </c>
      <c r="W3" s="2" t="s">
        <v>565</v>
      </c>
      <c r="X3" s="2" t="s">
        <v>566</v>
      </c>
      <c r="Y3" s="2" t="s">
        <v>567</v>
      </c>
      <c r="Z3" s="2" t="s">
        <v>568</v>
      </c>
      <c r="AA3" s="2" t="s">
        <v>569</v>
      </c>
      <c r="AB3" s="2" t="s">
        <v>570</v>
      </c>
      <c r="AC3" s="2" t="s">
        <v>571</v>
      </c>
      <c r="AD3" s="2" t="s">
        <v>572</v>
      </c>
      <c r="AE3" s="2" t="s">
        <v>573</v>
      </c>
      <c r="AF3" s="2" t="s">
        <v>574</v>
      </c>
      <c r="AG3" s="2" t="s">
        <v>575</v>
      </c>
      <c r="AH3" s="2" t="s">
        <v>576</v>
      </c>
      <c r="AI3" s="2" t="s">
        <v>577</v>
      </c>
      <c r="AJ3" s="2" t="s">
        <v>578</v>
      </c>
      <c r="AK3" s="2" t="s">
        <v>579</v>
      </c>
    </row>
    <row r="4" spans="1:37" ht="15" customHeight="1" x14ac:dyDescent="0.3">
      <c r="A4" s="9" t="s">
        <v>580</v>
      </c>
      <c r="B4" s="9" t="s">
        <v>581</v>
      </c>
      <c r="C4" s="9" t="s">
        <v>582</v>
      </c>
      <c r="D4" s="9" t="s">
        <v>583</v>
      </c>
      <c r="E4" s="9" t="s">
        <v>584</v>
      </c>
      <c r="F4" s="9" t="s">
        <v>585</v>
      </c>
      <c r="G4" s="9" t="s">
        <v>96</v>
      </c>
      <c r="H4" s="9" t="s">
        <v>84</v>
      </c>
      <c r="I4" s="9" t="s">
        <v>586</v>
      </c>
      <c r="J4" s="9" t="s">
        <v>587</v>
      </c>
      <c r="K4" s="9" t="s">
        <v>588</v>
      </c>
      <c r="L4" s="9" t="s">
        <v>589</v>
      </c>
      <c r="M4" s="9" t="s">
        <v>590</v>
      </c>
      <c r="N4" s="9" t="s">
        <v>591</v>
      </c>
      <c r="O4" s="9" t="s">
        <v>592</v>
      </c>
      <c r="P4" s="9" t="s">
        <v>142</v>
      </c>
      <c r="Q4" s="9" t="s">
        <v>593</v>
      </c>
      <c r="R4" s="9" t="s">
        <v>594</v>
      </c>
      <c r="S4" s="9" t="s">
        <v>595</v>
      </c>
      <c r="T4" s="9" t="s">
        <v>169</v>
      </c>
      <c r="U4" s="9" t="s">
        <v>596</v>
      </c>
      <c r="V4" s="9" t="s">
        <v>215</v>
      </c>
      <c r="W4" s="9" t="s">
        <v>597</v>
      </c>
      <c r="X4" s="9" t="s">
        <v>585</v>
      </c>
      <c r="Y4" s="9" t="s">
        <v>271</v>
      </c>
      <c r="Z4" s="9" t="s">
        <v>598</v>
      </c>
      <c r="AA4" s="9" t="s">
        <v>599</v>
      </c>
      <c r="AB4" s="9" t="s">
        <v>600</v>
      </c>
      <c r="AC4" s="9" t="s">
        <v>321</v>
      </c>
      <c r="AD4" s="9" t="s">
        <v>601</v>
      </c>
      <c r="AE4" s="9" t="s">
        <v>602</v>
      </c>
      <c r="AF4" s="9" t="s">
        <v>603</v>
      </c>
      <c r="AG4" s="9" t="s">
        <v>271</v>
      </c>
      <c r="AH4" s="9" t="s">
        <v>604</v>
      </c>
      <c r="AI4" s="9" t="s">
        <v>605</v>
      </c>
      <c r="AJ4" s="9" t="s">
        <v>45</v>
      </c>
      <c r="AK4" s="9" t="s">
        <v>45</v>
      </c>
    </row>
    <row r="5" spans="1:37" ht="15" customHeight="1" x14ac:dyDescent="0.3">
      <c r="A5" s="9" t="s">
        <v>606</v>
      </c>
      <c r="B5" s="9" t="s">
        <v>607</v>
      </c>
      <c r="C5" s="9" t="s">
        <v>608</v>
      </c>
      <c r="D5" s="9" t="s">
        <v>609</v>
      </c>
      <c r="E5" s="9" t="s">
        <v>610</v>
      </c>
      <c r="F5" s="9" t="s">
        <v>611</v>
      </c>
      <c r="G5" s="9" t="s">
        <v>83</v>
      </c>
      <c r="H5" s="9" t="s">
        <v>89</v>
      </c>
      <c r="I5" s="9" t="s">
        <v>612</v>
      </c>
      <c r="J5" s="9" t="s">
        <v>613</v>
      </c>
      <c r="K5" s="9" t="s">
        <v>614</v>
      </c>
      <c r="L5" s="9" t="s">
        <v>615</v>
      </c>
      <c r="M5" s="9" t="s">
        <v>616</v>
      </c>
      <c r="N5" s="9" t="s">
        <v>617</v>
      </c>
      <c r="O5" s="9" t="s">
        <v>618</v>
      </c>
      <c r="P5" s="9" t="s">
        <v>619</v>
      </c>
      <c r="Q5" s="9" t="s">
        <v>620</v>
      </c>
      <c r="R5" s="9" t="s">
        <v>621</v>
      </c>
      <c r="S5" s="9" t="s">
        <v>162</v>
      </c>
      <c r="T5" s="9" t="s">
        <v>622</v>
      </c>
      <c r="U5" s="9" t="s">
        <v>623</v>
      </c>
      <c r="V5" s="9" t="s">
        <v>206</v>
      </c>
      <c r="W5" s="9" t="s">
        <v>624</v>
      </c>
      <c r="X5" s="9" t="s">
        <v>229</v>
      </c>
      <c r="Y5" s="9" t="s">
        <v>298</v>
      </c>
      <c r="Z5" s="9" t="s">
        <v>625</v>
      </c>
      <c r="AA5" s="9" t="s">
        <v>306</v>
      </c>
      <c r="AB5" s="9" t="s">
        <v>626</v>
      </c>
      <c r="AC5" s="9" t="s">
        <v>319</v>
      </c>
      <c r="AD5" s="9" t="s">
        <v>627</v>
      </c>
      <c r="AE5" s="9" t="s">
        <v>334</v>
      </c>
      <c r="AF5" s="9" t="s">
        <v>628</v>
      </c>
      <c r="AG5" s="9" t="s">
        <v>298</v>
      </c>
      <c r="AH5" s="9" t="s">
        <v>629</v>
      </c>
      <c r="AI5" s="9" t="s">
        <v>630</v>
      </c>
      <c r="AJ5" s="9" t="s">
        <v>49</v>
      </c>
      <c r="AK5" s="9" t="s">
        <v>49</v>
      </c>
    </row>
    <row r="6" spans="1:37" ht="15" customHeight="1" x14ac:dyDescent="0.3">
      <c r="A6" s="9" t="s">
        <v>631</v>
      </c>
      <c r="B6" s="9" t="s">
        <v>632</v>
      </c>
      <c r="C6" s="9" t="s">
        <v>36</v>
      </c>
      <c r="D6" s="9" t="s">
        <v>633</v>
      </c>
      <c r="E6" s="9" t="s">
        <v>40</v>
      </c>
      <c r="F6" s="9" t="s">
        <v>634</v>
      </c>
      <c r="G6" s="9" t="s">
        <v>88</v>
      </c>
      <c r="H6" s="9" t="s">
        <v>635</v>
      </c>
      <c r="I6" s="9" t="s">
        <v>636</v>
      </c>
      <c r="J6" s="9" t="s">
        <v>637</v>
      </c>
      <c r="K6" s="9" t="s">
        <v>108</v>
      </c>
      <c r="L6" s="9" t="s">
        <v>638</v>
      </c>
      <c r="M6" s="9" t="s">
        <v>128</v>
      </c>
      <c r="N6" s="9" t="s">
        <v>639</v>
      </c>
      <c r="O6" s="9" t="s">
        <v>640</v>
      </c>
      <c r="P6" s="9" t="s">
        <v>641</v>
      </c>
      <c r="Q6" s="9" t="s">
        <v>642</v>
      </c>
      <c r="R6" s="9" t="s">
        <v>643</v>
      </c>
      <c r="S6" s="9" t="s">
        <v>168</v>
      </c>
      <c r="T6" s="9" t="s">
        <v>163</v>
      </c>
      <c r="U6" s="9" t="s">
        <v>172</v>
      </c>
      <c r="V6" s="9" t="s">
        <v>644</v>
      </c>
      <c r="W6" s="9" t="s">
        <v>645</v>
      </c>
      <c r="X6" s="9" t="s">
        <v>245</v>
      </c>
      <c r="Y6" s="9" t="s">
        <v>341</v>
      </c>
      <c r="Z6" s="9" t="s">
        <v>245</v>
      </c>
      <c r="AA6" s="9" t="s">
        <v>646</v>
      </c>
      <c r="AB6" s="9" t="s">
        <v>318</v>
      </c>
      <c r="AC6" s="9" t="s">
        <v>647</v>
      </c>
      <c r="AD6" s="9" t="s">
        <v>648</v>
      </c>
      <c r="AE6" s="9" t="s">
        <v>649</v>
      </c>
      <c r="AF6" s="9" t="s">
        <v>650</v>
      </c>
      <c r="AG6" s="9" t="s">
        <v>341</v>
      </c>
      <c r="AH6" s="9" t="s">
        <v>647</v>
      </c>
      <c r="AI6" s="9" t="s">
        <v>651</v>
      </c>
      <c r="AK6" s="9" t="s">
        <v>117</v>
      </c>
    </row>
    <row r="7" spans="1:37" ht="15" customHeight="1" x14ac:dyDescent="0.3">
      <c r="A7" s="9" t="s">
        <v>32</v>
      </c>
      <c r="B7" s="9" t="s">
        <v>34</v>
      </c>
      <c r="C7" s="9" t="s">
        <v>652</v>
      </c>
      <c r="D7" s="9" t="s">
        <v>653</v>
      </c>
      <c r="E7" s="9" t="s">
        <v>654</v>
      </c>
      <c r="F7" s="9" t="s">
        <v>67</v>
      </c>
      <c r="G7" s="9" t="s">
        <v>655</v>
      </c>
      <c r="H7" s="9" t="s">
        <v>656</v>
      </c>
      <c r="I7" s="9" t="s">
        <v>657</v>
      </c>
      <c r="J7" s="9" t="s">
        <v>658</v>
      </c>
      <c r="K7" s="9" t="s">
        <v>659</v>
      </c>
      <c r="L7" s="9" t="s">
        <v>660</v>
      </c>
      <c r="M7" s="9" t="s">
        <v>661</v>
      </c>
      <c r="N7" s="9" t="s">
        <v>662</v>
      </c>
      <c r="O7" s="9" t="s">
        <v>663</v>
      </c>
      <c r="P7" s="9" t="s">
        <v>664</v>
      </c>
      <c r="Q7" s="9" t="s">
        <v>665</v>
      </c>
      <c r="R7" s="9" t="s">
        <v>666</v>
      </c>
      <c r="S7" s="9" t="s">
        <v>180</v>
      </c>
      <c r="T7" s="9" t="s">
        <v>667</v>
      </c>
      <c r="U7" s="9" t="s">
        <v>164</v>
      </c>
      <c r="V7" s="9" t="s">
        <v>668</v>
      </c>
      <c r="W7" s="9" t="s">
        <v>669</v>
      </c>
      <c r="X7" s="9" t="s">
        <v>240</v>
      </c>
      <c r="Z7" s="9" t="s">
        <v>670</v>
      </c>
      <c r="AA7" s="9" t="s">
        <v>671</v>
      </c>
      <c r="AB7" s="9" t="s">
        <v>672</v>
      </c>
      <c r="AC7" s="9" t="s">
        <v>673</v>
      </c>
      <c r="AD7" s="9" t="s">
        <v>674</v>
      </c>
      <c r="AE7" s="9" t="s">
        <v>675</v>
      </c>
      <c r="AF7" s="9" t="s">
        <v>676</v>
      </c>
      <c r="AH7" s="9" t="s">
        <v>677</v>
      </c>
      <c r="AI7" s="9" t="s">
        <v>678</v>
      </c>
    </row>
    <row r="8" spans="1:37" ht="15" customHeight="1" x14ac:dyDescent="0.3">
      <c r="A8" s="9" t="s">
        <v>679</v>
      </c>
      <c r="B8" s="9" t="s">
        <v>680</v>
      </c>
      <c r="C8" s="9" t="s">
        <v>681</v>
      </c>
      <c r="D8" s="9" t="s">
        <v>682</v>
      </c>
      <c r="E8" s="9" t="s">
        <v>683</v>
      </c>
      <c r="F8" s="9" t="s">
        <v>684</v>
      </c>
      <c r="G8" s="9" t="s">
        <v>685</v>
      </c>
      <c r="H8" s="9" t="s">
        <v>686</v>
      </c>
      <c r="I8" s="9" t="s">
        <v>85</v>
      </c>
      <c r="J8" s="9" t="s">
        <v>105</v>
      </c>
      <c r="L8" s="9" t="s">
        <v>687</v>
      </c>
      <c r="M8" s="9" t="s">
        <v>688</v>
      </c>
      <c r="N8" s="9" t="s">
        <v>689</v>
      </c>
      <c r="P8" s="9" t="s">
        <v>690</v>
      </c>
      <c r="Q8" s="9" t="s">
        <v>145</v>
      </c>
      <c r="R8" s="9" t="s">
        <v>691</v>
      </c>
      <c r="S8" s="9" t="s">
        <v>192</v>
      </c>
      <c r="U8" s="9" t="s">
        <v>176</v>
      </c>
      <c r="V8" s="9" t="s">
        <v>692</v>
      </c>
      <c r="W8" s="9" t="s">
        <v>693</v>
      </c>
      <c r="X8" s="9" t="s">
        <v>694</v>
      </c>
      <c r="Z8" s="9" t="s">
        <v>695</v>
      </c>
      <c r="AB8" s="9" t="s">
        <v>696</v>
      </c>
      <c r="AC8" s="9" t="s">
        <v>663</v>
      </c>
      <c r="AD8" s="9" t="s">
        <v>697</v>
      </c>
      <c r="AE8" s="9" t="s">
        <v>698</v>
      </c>
      <c r="AF8" s="9" t="s">
        <v>699</v>
      </c>
      <c r="AI8" s="9" t="s">
        <v>257</v>
      </c>
    </row>
    <row r="9" spans="1:37" ht="15" customHeight="1" x14ac:dyDescent="0.3">
      <c r="B9" s="9" t="s">
        <v>700</v>
      </c>
      <c r="C9" s="9" t="s">
        <v>701</v>
      </c>
      <c r="D9" s="9" t="s">
        <v>702</v>
      </c>
      <c r="E9" s="9" t="s">
        <v>703</v>
      </c>
      <c r="F9" s="9" t="s">
        <v>704</v>
      </c>
      <c r="I9" s="9" t="s">
        <v>93</v>
      </c>
      <c r="L9" s="9" t="s">
        <v>705</v>
      </c>
      <c r="M9" s="9" t="s">
        <v>706</v>
      </c>
      <c r="N9" s="9" t="s">
        <v>707</v>
      </c>
      <c r="P9" s="9" t="s">
        <v>708</v>
      </c>
      <c r="R9" s="9" t="s">
        <v>709</v>
      </c>
      <c r="S9" s="9" t="s">
        <v>195</v>
      </c>
      <c r="V9" s="9" t="s">
        <v>212</v>
      </c>
      <c r="W9" s="9" t="s">
        <v>710</v>
      </c>
      <c r="AB9" s="9" t="s">
        <v>711</v>
      </c>
      <c r="AE9" s="9" t="s">
        <v>712</v>
      </c>
      <c r="AF9" s="9" t="s">
        <v>713</v>
      </c>
      <c r="AI9" s="9" t="s">
        <v>677</v>
      </c>
    </row>
    <row r="10" spans="1:37" ht="15" customHeight="1" x14ac:dyDescent="0.3">
      <c r="C10" s="9" t="s">
        <v>714</v>
      </c>
      <c r="D10" s="9" t="s">
        <v>715</v>
      </c>
      <c r="E10" s="9" t="s">
        <v>716</v>
      </c>
      <c r="I10" s="9" t="s">
        <v>90</v>
      </c>
      <c r="L10" s="9" t="s">
        <v>124</v>
      </c>
      <c r="N10" s="9" t="s">
        <v>717</v>
      </c>
      <c r="R10" s="9" t="s">
        <v>718</v>
      </c>
      <c r="S10" s="9" t="s">
        <v>719</v>
      </c>
      <c r="W10" s="9" t="s">
        <v>207</v>
      </c>
      <c r="AB10" s="9" t="s">
        <v>720</v>
      </c>
      <c r="AF10" s="9" t="s">
        <v>338</v>
      </c>
    </row>
    <row r="11" spans="1:37" ht="15" customHeight="1" x14ac:dyDescent="0.3">
      <c r="C11" s="9" t="s">
        <v>721</v>
      </c>
      <c r="D11" s="9" t="s">
        <v>38</v>
      </c>
      <c r="I11" s="9" t="s">
        <v>722</v>
      </c>
      <c r="L11" s="9" t="s">
        <v>723</v>
      </c>
      <c r="N11" s="9" t="s">
        <v>130</v>
      </c>
      <c r="R11" s="9" t="s">
        <v>724</v>
      </c>
      <c r="S11" s="9" t="s">
        <v>725</v>
      </c>
      <c r="W11" s="9" t="s">
        <v>726</v>
      </c>
      <c r="AB11" s="9" t="s">
        <v>727</v>
      </c>
    </row>
    <row r="12" spans="1:37" ht="15" customHeight="1" x14ac:dyDescent="0.3">
      <c r="C12" s="9" t="s">
        <v>728</v>
      </c>
      <c r="D12" s="9" t="s">
        <v>729</v>
      </c>
      <c r="I12" s="9" t="s">
        <v>257</v>
      </c>
      <c r="L12" s="9" t="s">
        <v>730</v>
      </c>
      <c r="N12" s="9" t="s">
        <v>257</v>
      </c>
      <c r="R12" s="9" t="s">
        <v>731</v>
      </c>
      <c r="W12" s="9" t="s">
        <v>732</v>
      </c>
      <c r="AB12" s="9" t="s">
        <v>733</v>
      </c>
    </row>
    <row r="13" spans="1:37" ht="15" customHeight="1" x14ac:dyDescent="0.3">
      <c r="L13" s="9" t="s">
        <v>734</v>
      </c>
      <c r="R13" s="9" t="s">
        <v>735</v>
      </c>
      <c r="W13" s="9" t="s">
        <v>117</v>
      </c>
      <c r="AB13" s="9" t="s">
        <v>257</v>
      </c>
    </row>
    <row r="14" spans="1:37" ht="15" customHeight="1" x14ac:dyDescent="0.3">
      <c r="L14" s="9" t="s">
        <v>736</v>
      </c>
      <c r="R14" s="9" t="s">
        <v>147</v>
      </c>
    </row>
    <row r="15" spans="1:37" ht="15" customHeight="1" x14ac:dyDescent="0.3">
      <c r="L15" s="9" t="s">
        <v>737</v>
      </c>
    </row>
    <row r="16" spans="1:37" ht="15" customHeight="1" x14ac:dyDescent="0.3">
      <c r="L16" s="9" t="s">
        <v>257</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2026-08-28T03:22:22Z</dcterms:modified>
  <dc:language>en-US</dc:language>
</cp:coreProperties>
</file>