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-DT-01" sheetId="1" state="visible" r:id="rId3"/>
    <sheet name="F-DT-02" sheetId="2" state="visible" r:id="rId4"/>
    <sheet name="F-DT-03" sheetId="3" state="visible" r:id="rId5"/>
    <sheet name="F-DT-04" sheetId="4" state="visible" r:id="rId6"/>
    <sheet name="F-DT-05" sheetId="5" state="visible" r:id="rId7"/>
    <sheet name="Bloques V4" sheetId="6" state="visible" r:id="rId8"/>
    <sheet name="_Listas" sheetId="7" state="visible" r:id="rId9"/>
  </sheets>
  <definedNames>
    <definedName function="false" hidden="false" localSheetId="0" name="_xlnm.Print_Titles" vbProcedure="false">'F-DT-01'!$1:$6</definedName>
    <definedName function="false" hidden="false" localSheetId="1" name="_xlnm.Print_Titles" vbProcedure="false">'F-DT-02'!$1:$6</definedName>
    <definedName function="false" hidden="false" localSheetId="2" name="_xlnm.Print_Titles" vbProcedure="false">'F-DT-03'!$1:$6</definedName>
    <definedName function="false" hidden="false" localSheetId="3" name="_xlnm.Print_Titles" vbProcedure="false">'F-DT-04'!$1:$6</definedName>
    <definedName function="false" hidden="false" localSheetId="4" name="_xlnm.Print_Titles" vbProcedure="false">'F-DT-05'!$1:$6</definedName>
    <definedName function="false" hidden="false" name="lst_Abundancia" vbProcedure="false">_Listas!$U$4:$U$8</definedName>
    <definedName function="false" hidden="false" name="lst_CalidadAgua" vbProcedure="false">_Listas!$AD$4:$AD$8</definedName>
    <definedName function="false" hidden="false" name="lst_CategoriaIndicadora" vbProcedure="false">_Listas!$V$4:$V$9</definedName>
    <definedName function="false" hidden="false" name="lst_CausaCarcava" vbProcedure="false">_Listas!$I$4:$I$12</definedName>
    <definedName function="false" hidden="false" name="lst_CodigoBloque" vbProcedure="false">'Bloques V4'!$A$2:$A$128</definedName>
    <definedName function="false" hidden="false" name="lst_EstadoCarcava" vbProcedure="false">_Listas!$H$4:$H$8</definedName>
    <definedName function="false" hidden="false" name="lst_EstadoConservacion" vbProcedure="false">_Listas!$M$4:$M$9</definedName>
    <definedName function="false" hidden="false" name="lst_EstadoSanitario" vbProcedure="false">_Listas!$P$4:$P$9</definedName>
    <definedName function="false" hidden="false" name="lst_EstadoUICN" vbProcedure="false">_Listas!$W$4:$W$13</definedName>
    <definedName function="false" hidden="false" name="lst_Estrato" vbProcedure="false">_Listas!$S$4:$S$11</definedName>
    <definedName function="false" hidden="false" name="lst_Exposicion" vbProcedure="false">_Listas!$D$4:$D$12</definedName>
    <definedName function="false" hidden="false" name="lst_Fenologia" vbProcedure="false">_Listas!$Q$4:$Q$8</definedName>
    <definedName function="false" hidden="false" name="lst_FormaTerreno" vbProcedure="false">_Listas!$A$4:$A$8</definedName>
    <definedName function="false" hidden="false" name="lst_Intensidad" vbProcedure="false">_Listas!$X$4:$X$8</definedName>
    <definedName function="false" hidden="false" name="lst_ModalidadAcceso" vbProcedure="false">_Listas!$AE$4:$AE$9</definedName>
    <definedName function="false" hidden="false" name="lst_NivelErosion" vbProcedure="false">_Listas!$F$4:$F$9</definedName>
    <definedName function="false" hidden="false" name="lst_NivelInd" vbProcedure="false">_Listas!$Y$4:$Y$6</definedName>
    <definedName function="false" hidden="false" name="lst_NivelTransitabilidad" vbProcedure="false">_Listas!$AG$4:$AG$6</definedName>
    <definedName function="false" hidden="false" name="lst_Operador" vbProcedure="false">_Listas!$AI$4:$AI$9</definedName>
    <definedName function="false" hidden="false" name="lst_Origen" vbProcedure="false">_Listas!$T$4:$T$7</definedName>
    <definedName function="false" hidden="false" name="lst_PatronCarcavas" vbProcedure="false">_Listas!$J$4:$J$8</definedName>
    <definedName function="false" hidden="false" name="lst_PosicionFisio" vbProcedure="false">_Listas!$C$4:$C$12</definedName>
    <definedName function="false" hidden="false" name="lst_RangoAltitud" vbProcedure="false">_Listas!$E$4:$E$10</definedName>
    <definedName function="false" hidden="false" name="lst_RangoPendiente" vbProcedure="false">_Listas!$B$4:$B$9</definedName>
    <definedName function="false" hidden="false" name="lst_Regeneracion" vbProcedure="false">_Listas!$O$4:$O$7</definedName>
    <definedName function="false" hidden="false" name="lst_RegimenHidrico" vbProcedure="false">_Listas!$AC$4:$AC$8</definedName>
    <definedName function="false" hidden="false" name="lst_Reversibilidad" vbProcedure="false">_Listas!$AA$4:$AA$7</definedName>
    <definedName function="false" hidden="false" name="lst_SenalCelular" vbProcedure="false">_Listas!$AH$4:$AH$7</definedName>
    <definedName function="false" hidden="false" name="lst_SiNo" vbProcedure="false">_Listas!$AJ$4:$AJ$5</definedName>
    <definedName function="false" hidden="false" name="lst_SiNoNA" vbProcedure="false">_Listas!$AK$4:$AK$6</definedName>
    <definedName function="false" hidden="false" name="lst_TipoCarcava" vbProcedure="false">_Listas!$G$4:$G$8</definedName>
    <definedName function="false" hidden="false" name="lst_TipoCobertura" vbProcedure="false">_Listas!$R$4:$R$14</definedName>
    <definedName function="false" hidden="false" name="lst_TipoEcosistema" vbProcedure="false">_Listas!$L$4:$L$16</definedName>
    <definedName function="false" hidden="false" name="lst_TipoFuente" vbProcedure="false">_Listas!$AB$4:$AB$13</definedName>
    <definedName function="false" hidden="false" name="lst_TipoVia" vbProcedure="false">_Listas!$AF$4:$AF$10</definedName>
    <definedName function="false" hidden="false" name="lst_Urgencia" vbProcedure="false">_Listas!$K$4:$K$7</definedName>
    <definedName function="false" hidden="false" name="lst_UsoSueloDom" vbProcedure="false">_Listas!$N$4:$N$12</definedName>
    <definedName function="false" hidden="false" name="lst_Velocidad" vbProcedure="false">_Listas!$Z$4:$Z$8</definedName>
    <definedName function="false" hidden="false" name="tbl_Bloques" vbProcedure="false">'Bloques V4'!$A$2:$H$128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<sst xmlns="http://schemas.openxmlformats.org/spreadsheetml/2006/main" count="1392" uniqueCount="734">
  <si>
    <t xml:space="preserve">AUTORIDAD NACIONAL DE INFRAESTRUCTURA — ANIN</t>
  </si>
  <si>
    <t xml:space="preserve">DIME — Dirección de Intervenciones Multisectoriales y de Emergencia  |  SESDI — Subdirección de Estudios de Inversión</t>
  </si>
  <si>
    <t xml:space="preserve">PROYECTO IN PIURA  |  CUI 2669244  |  Recuperación de servicios de regulación de riesgos naturales y regulación hídrica — Cuenca Alta del Río Piura</t>
  </si>
  <si>
    <t xml:space="preserve">F-DT-01: DATOS GENERALES Y FISIOGRAFÍA DEL BLOQUE</t>
  </si>
  <si>
    <t xml:space="preserve">Identificación del bloque e inventario rápido de parámetros fisiográficos observados a escala del bloque. Base para todos los formatos F-DT siguientes.</t>
  </si>
  <si>
    <t xml:space="preserve">★ Campos obligatorios marcados con *  |  Celdas naranjas = ingreso manual  |  Celdas grises = autocalculadas (NO modificar)  |  Despliegue las flechas para elegir opciones de las listas.</t>
  </si>
  <si>
    <t xml:space="preserve">1. DATOS GENERALES Y LOCALIZACIÓN</t>
  </si>
  <si>
    <t xml:space="preserve">Fecha (dd-mm-aaaa) *</t>
  </si>
  <si>
    <t xml:space="preserve">20-07-2026</t>
  </si>
  <si>
    <t xml:space="preserve">Hora de registro</t>
  </si>
  <si>
    <t xml:space="preserve">11:43–12:15</t>
  </si>
  <si>
    <t xml:space="preserve">Brigada / Responsable *</t>
  </si>
  <si>
    <t xml:space="preserve">Ing. Héctor S. Cahuas Miller</t>
  </si>
  <si>
    <t xml:space="preserve">Ficha N° (correlativo)</t>
  </si>
  <si>
    <t xml:space="preserve">Código del Bloque *</t>
  </si>
  <si>
    <t xml:space="preserve">81</t>
  </si>
  <si>
    <t xml:space="preserve">Código de Microcuenca</t>
  </si>
  <si>
    <t xml:space="preserve">Provincia (auto)</t>
  </si>
  <si>
    <t xml:space="preserve">Distrito (auto)</t>
  </si>
  <si>
    <t xml:space="preserve">Zona del bloque (auto)</t>
  </si>
  <si>
    <t xml:space="preserve">Área del bloque (ha) — auto</t>
  </si>
  <si>
    <t xml:space="preserve">UTM ESTE punto de muestreo (m) *</t>
  </si>
  <si>
    <t xml:space="preserve">UTM NORTE punto de muestreo (m) *</t>
  </si>
  <si>
    <t xml:space="preserve">Altitud GPS (msnm) *</t>
  </si>
  <si>
    <t xml:space="preserve">Por verificar</t>
  </si>
  <si>
    <t xml:space="preserve">Centro poblado más cercano</t>
  </si>
  <si>
    <t xml:space="preserve">Hualtacal</t>
  </si>
  <si>
    <t xml:space="preserve">Comunidad Campesina (si aplica)</t>
  </si>
  <si>
    <t xml:space="preserve">Comunidad Campesina de Andanjo</t>
  </si>
  <si>
    <t xml:space="preserve">2. CARACTERIZACIÓN FISIOGRÁFICA DEL BLOQUE</t>
  </si>
  <si>
    <t xml:space="preserve">Forma predominante del terreno *</t>
  </si>
  <si>
    <t xml:space="preserve">Colinoso</t>
  </si>
  <si>
    <t xml:space="preserve">Rango de pendiente dominante *</t>
  </si>
  <si>
    <t xml:space="preserve">15-25% (Fuert. inclinado)</t>
  </si>
  <si>
    <t xml:space="preserve">Posición fisiográfica *</t>
  </si>
  <si>
    <t xml:space="preserve">Ladera media</t>
  </si>
  <si>
    <t xml:space="preserve">Exposición / Orientación dominante *</t>
  </si>
  <si>
    <t xml:space="preserve">Noreste</t>
  </si>
  <si>
    <t xml:space="preserve">Rango altitudinal del bloque *</t>
  </si>
  <si>
    <t xml:space="preserve">&lt;1000 m (Yunga)</t>
  </si>
  <si>
    <t xml:space="preserve">Paisaje dominante (descripción libre)</t>
  </si>
  <si>
    <t xml:space="preserve">Bosque estacionalmente seco de colina, dosel abierto con emergentes de Ceibo y Algarrobo; laderas sobre corredor de quebrada y canal de riego.</t>
  </si>
  <si>
    <t xml:space="preserve">3. INDICIOS DE REMOCIÓN EN MASA E INESTABILIDAD</t>
  </si>
  <si>
    <t xml:space="preserve">Presencia de afloramientos rocosos</t>
  </si>
  <si>
    <t xml:space="preserve">Sí</t>
  </si>
  <si>
    <t xml:space="preserve">Presencia de escarpes activos *</t>
  </si>
  <si>
    <t xml:space="preserve">No</t>
  </si>
  <si>
    <t xml:space="preserve">¿Reptación de suelo observada? *</t>
  </si>
  <si>
    <t xml:space="preserve">¿Deslizamientos antiguos observados?</t>
  </si>
  <si>
    <t xml:space="preserve">¿Remociones en masa activas? *</t>
  </si>
  <si>
    <t xml:space="preserve">OBSERVACIONES</t>
  </si>
  <si>
    <t xml:space="preserve">Terreno de propiedad de la Comunidad Campesina de Andanjo. En el bloque opera el Vivero Forestal Hualtacal (Proyecto Pusmalca). Altitud de referencia (Google Earth) ≈ 267–344 msnm; altitud GPS de campo por verificar.</t>
  </si>
  <si>
    <t xml:space="preserve">F-DT-02: SUELO Y PROCESOS EROSIVOS (INCL. INVENTARIO DE CÁRCAVAS)</t>
  </si>
  <si>
    <t xml:space="preserve">Caracterización de procesos erosivos del suelo a escala de bloque + inventario georreferenciado de cárcavas/surcos. Insumo para diseño de obras de control de erosión.</t>
  </si>
  <si>
    <t xml:space="preserve">1. DATOS GENERALES</t>
  </si>
  <si>
    <t xml:space="preserve">Responsable *</t>
  </si>
  <si>
    <t xml:space="preserve">Código de Microcuenca (auto)</t>
  </si>
  <si>
    <t xml:space="preserve">Altitud (msnm)</t>
  </si>
  <si>
    <t xml:space="preserve">UTM ESTE punto de muestreo *</t>
  </si>
  <si>
    <t xml:space="preserve">UTM NORTE punto de muestreo *</t>
  </si>
  <si>
    <t xml:space="preserve">2. DESCRIPCIÓN DE PROCESOS EROSIVOS DEL SUELO</t>
  </si>
  <si>
    <t xml:space="preserve">Sellamiento / Costra superficial</t>
  </si>
  <si>
    <t xml:space="preserve">¿Compactación por pisoteo de ganado?</t>
  </si>
  <si>
    <t xml:space="preserve">¿Raíces expuestas en superficie?</t>
  </si>
  <si>
    <t xml:space="preserve">Nivel general de erosión observado *</t>
  </si>
  <si>
    <t xml:space="preserve">Moderada (surcos)</t>
  </si>
  <si>
    <t xml:space="preserve">3. INVENTARIO GEORREFERENCIADO DE CÁRCAVAS / SURCOS</t>
  </si>
  <si>
    <t xml:space="preserve">Registre una fila por cárcava o grupo de surcos homogéneos. Use los desplegables en columnas Tipo, Estado y Causa principal.</t>
  </si>
  <si>
    <t xml:space="preserve">Código
cárcava</t>
  </si>
  <si>
    <t xml:space="preserve">Tipo</t>
  </si>
  <si>
    <t xml:space="preserve">UTM ESTE
(inicio)</t>
  </si>
  <si>
    <t xml:space="preserve">UTM NORTE
(inicio)</t>
  </si>
  <si>
    <t xml:space="preserve">UTM ESTE
(fin)</t>
  </si>
  <si>
    <t xml:space="preserve">UTM NORTE
(fin)</t>
  </si>
  <si>
    <t xml:space="preserve">Long.
(m)</t>
  </si>
  <si>
    <t xml:space="preserve">Prof.
med. (m)</t>
  </si>
  <si>
    <t xml:space="preserve">Ancho
med. (m)</t>
  </si>
  <si>
    <t xml:space="preserve">Estado /
Actividad</t>
  </si>
  <si>
    <t xml:space="preserve">Causa
principal</t>
  </si>
  <si>
    <t xml:space="preserve">Cód.
Fotografía</t>
  </si>
  <si>
    <t xml:space="preserve">E-01</t>
  </si>
  <si>
    <t xml:space="preserve">Surco (&lt;30 cm)</t>
  </si>
  <si>
    <t xml:space="preserve">Activa</t>
  </si>
  <si>
    <t xml:space="preserve">Caminos / huellas de ganado</t>
  </si>
  <si>
    <t xml:space="preserve">F-14</t>
  </si>
  <si>
    <t xml:space="preserve">E-02</t>
  </si>
  <si>
    <t xml:space="preserve">Cárcava incipiente (30-50 cm)</t>
  </si>
  <si>
    <t xml:space="preserve">Semi-activa</t>
  </si>
  <si>
    <t xml:space="preserve">Socavamiento de cauce</t>
  </si>
  <si>
    <t xml:space="preserve">F-15</t>
  </si>
  <si>
    <t xml:space="preserve">4. SÍNTESIS DE PROCESOS EROSIVOS DEL BLOQUE</t>
  </si>
  <si>
    <t xml:space="preserve">Nivel general de erosión (síntesis) *</t>
  </si>
  <si>
    <t xml:space="preserve">N° total de cárcavas registradas</t>
  </si>
  <si>
    <t xml:space="preserve">Longitud total de cárcavas (m)</t>
  </si>
  <si>
    <t xml:space="preserve">% del bloque afectado por cárcavas</t>
  </si>
  <si>
    <t xml:space="preserve">Erosión laminar observada (%)</t>
  </si>
  <si>
    <t xml:space="preserve">Patrón de cárcavas dominante</t>
  </si>
  <si>
    <t xml:space="preserve">Aislado</t>
  </si>
  <si>
    <t xml:space="preserve">Presencia de socavamiento de cauce</t>
  </si>
  <si>
    <t xml:space="preserve">Urgencia de control</t>
  </si>
  <si>
    <t xml:space="preserve">Media</t>
  </si>
  <si>
    <t xml:space="preserve">Dimensiones instrumentales de surcos/cárcavas (longitud, profundidad, ancho) no medidas en campo; pendientes de levantamiento detallado. Talud de corte de la trocha con afloramiento rocoso registrado en F-DT-01 (F-08).</t>
  </si>
  <si>
    <t xml:space="preserve">F-DT-03: ECOSISTEMA: COMPOSICIÓN, ESTRUCTURA Y VALOR ECOLÓGICO</t>
  </si>
  <si>
    <t xml:space="preserve">Caracterización ecológica del bloque: tipo de ecosistema, estado de conservación, estructura vertical, composición florística rápida y registro de especies clave/indicadoras.</t>
  </si>
  <si>
    <t xml:space="preserve">Fecha *</t>
  </si>
  <si>
    <t xml:space="preserve">Microcuenca (auto)</t>
  </si>
  <si>
    <t xml:space="preserve">Parcela de muestreo</t>
  </si>
  <si>
    <t xml:space="preserve">Dimensiones de parcela (m × m)</t>
  </si>
  <si>
    <t xml:space="preserve">Pendiente promedio de la parcela (%)</t>
  </si>
  <si>
    <t xml:space="preserve">Cobertura vegetal total estimada (%) *</t>
  </si>
  <si>
    <t xml:space="preserve">UTM ESTE esquina inferior *</t>
  </si>
  <si>
    <t xml:space="preserve">2. CLASIFICACIÓN DEL ECOSISTEMA (UP)</t>
  </si>
  <si>
    <t xml:space="preserve">Tipo de ecosistema MINAM (dominante) *</t>
  </si>
  <si>
    <t xml:space="preserve">Bosque Estacionalmente Seco Colina/Montaña (Bes-cm)</t>
  </si>
  <si>
    <t xml:space="preserve">Superficie del ecosistema en el bloque (ha)</t>
  </si>
  <si>
    <t xml:space="preserve">Estado de conservación general *</t>
  </si>
  <si>
    <t xml:space="preserve">Medianamente alterado</t>
  </si>
  <si>
    <t xml:space="preserve">Uso actual dominante del suelo *</t>
  </si>
  <si>
    <t xml:space="preserve">Uso mixto</t>
  </si>
  <si>
    <t xml:space="preserve">3. ESTRUCTURA DEL ECOSISTEMA</t>
  </si>
  <si>
    <t xml:space="preserve">Cobertura del dosel arbóreo (%)</t>
  </si>
  <si>
    <t xml:space="preserve">Cobertura arbustiva (%)</t>
  </si>
  <si>
    <t xml:space="preserve">Cobertura herbácea-graminoide (%)</t>
  </si>
  <si>
    <t xml:space="preserve">Cobertura de hojarasca (%)</t>
  </si>
  <si>
    <t xml:space="preserve">Cobertura de suelo desnudo (%)</t>
  </si>
  <si>
    <t xml:space="preserve">Altura promedio estrato dominante (m)</t>
  </si>
  <si>
    <t xml:space="preserve">Altura máxima observada (m)</t>
  </si>
  <si>
    <t xml:space="preserve">DAP promedio árboles DAP≥10 cm (cm)</t>
  </si>
  <si>
    <t xml:space="preserve">Regeneración natural observada *</t>
  </si>
  <si>
    <t xml:space="preserve">Regular (10-50 pl./100m²)</t>
  </si>
  <si>
    <t xml:space="preserve">Estado sanitario general del dosel *</t>
  </si>
  <si>
    <t xml:space="preserve">Sano</t>
  </si>
  <si>
    <t xml:space="preserve">Presencia de epífitas (cualitativa)</t>
  </si>
  <si>
    <t xml:space="preserve">Fenología dominante (época de visita)</t>
  </si>
  <si>
    <t xml:space="preserve">Caducifolio (hojas caídas)</t>
  </si>
  <si>
    <t xml:space="preserve">Tipo de cobertura vegetal dominante *</t>
  </si>
  <si>
    <t xml:space="preserve">Bosque ralo (30-70%)</t>
  </si>
  <si>
    <t xml:space="preserve">4. COMPOSICIÓN FLORÍSTICA — Registro rápido por estrato (mín. 15 especies)</t>
  </si>
  <si>
    <t xml:space="preserve"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</si>
  <si>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 xml:space="preserve">N°</t>
  </si>
  <si>
    <t xml:space="preserve">Nombre común/local</t>
  </si>
  <si>
    <t xml:space="preserve">Nombre científico
(preliminar)</t>
  </si>
  <si>
    <t xml:space="preserve">Familia</t>
  </si>
  <si>
    <t xml:space="preserve">Estrato</t>
  </si>
  <si>
    <t xml:space="preserve">Origen</t>
  </si>
  <si>
    <t xml:space="preserve">Abundancia</t>
  </si>
  <si>
    <t xml:space="preserve">DAP (cm)
[árboles]</t>
  </si>
  <si>
    <t xml:space="preserve">Altura (m)</t>
  </si>
  <si>
    <t xml:space="preserve">Ceibo</t>
  </si>
  <si>
    <t xml:space="preserve">Ceiba trichistandra</t>
  </si>
  <si>
    <t xml:space="preserve">Malvaceae</t>
  </si>
  <si>
    <t xml:space="preserve">Arbóreo superior (&gt;15 m)</t>
  </si>
  <si>
    <t xml:space="preserve">Nativa</t>
  </si>
  <si>
    <t xml:space="preserve">Algarrobo</t>
  </si>
  <si>
    <t xml:space="preserve">Prosopis pallida</t>
  </si>
  <si>
    <t xml:space="preserve">Fabaceae</t>
  </si>
  <si>
    <t xml:space="preserve">Arbóreo medio (8-15 m)</t>
  </si>
  <si>
    <t xml:space="preserve">Faique</t>
  </si>
  <si>
    <t xml:space="preserve">Vachellia macracantha</t>
  </si>
  <si>
    <t xml:space="preserve">Arbóreo bajo (4-8 m)</t>
  </si>
  <si>
    <t xml:space="preserve">Hualtaco</t>
  </si>
  <si>
    <t xml:space="preserve">Loxopterygium huasango</t>
  </si>
  <si>
    <t xml:space="preserve">Anacardiaceae</t>
  </si>
  <si>
    <t xml:space="preserve">Palo Santo</t>
  </si>
  <si>
    <t xml:space="preserve">Bursera graveolens</t>
  </si>
  <si>
    <t xml:space="preserve">Burseraceae</t>
  </si>
  <si>
    <t xml:space="preserve">Sapote</t>
  </si>
  <si>
    <t xml:space="preserve">Colicodendron scabridum</t>
  </si>
  <si>
    <t xml:space="preserve">Capparaceae</t>
  </si>
  <si>
    <t xml:space="preserve">Overo</t>
  </si>
  <si>
    <t xml:space="preserve">Cordia lutea</t>
  </si>
  <si>
    <t xml:space="preserve">Cordiaceae</t>
  </si>
  <si>
    <t xml:space="preserve">Arbustivo alto (1.5-4 m)</t>
  </si>
  <si>
    <t xml:space="preserve">Pacae</t>
  </si>
  <si>
    <t xml:space="preserve">Inga sp.</t>
  </si>
  <si>
    <t xml:space="preserve">Frejolillo</t>
  </si>
  <si>
    <t xml:space="preserve">Erythrina edulis</t>
  </si>
  <si>
    <t xml:space="preserve">Barbasco</t>
  </si>
  <si>
    <t xml:space="preserve">Por determinar</t>
  </si>
  <si>
    <t xml:space="preserve">Borrachera</t>
  </si>
  <si>
    <t xml:space="preserve">Ipomoea sp.</t>
  </si>
  <si>
    <t xml:space="preserve">Convolvulaceae</t>
  </si>
  <si>
    <t xml:space="preserve">Arbustivo bajo (0.5-1.5 m)</t>
  </si>
  <si>
    <t xml:space="preserve">Bambú / Caña</t>
  </si>
  <si>
    <t xml:space="preserve">Guadua / Bambusa sp.</t>
  </si>
  <si>
    <t xml:space="preserve">Poaceae</t>
  </si>
  <si>
    <t xml:space="preserve">Mango</t>
  </si>
  <si>
    <t xml:space="preserve">Mangifera indica</t>
  </si>
  <si>
    <t xml:space="preserve">Introducida</t>
  </si>
  <si>
    <t xml:space="preserve">Malváceas</t>
  </si>
  <si>
    <t xml:space="preserve">Malvaceae (indet.)</t>
  </si>
  <si>
    <t xml:space="preserve">5. ESPECIES CLAVE / INDICADORAS</t>
  </si>
  <si>
    <t xml:space="preserve">Nombre científico o común</t>
  </si>
  <si>
    <t xml:space="preserve">Categoría</t>
  </si>
  <si>
    <t xml:space="preserve">Estado UICN / D.S. 043</t>
  </si>
  <si>
    <t xml:space="preserve">UTM ESTE</t>
  </si>
  <si>
    <t xml:space="preserve">UTM NORTE</t>
  </si>
  <si>
    <t xml:space="preserve">N° indiv.</t>
  </si>
  <si>
    <t xml:space="preserve">Foto N°</t>
  </si>
  <si>
    <t xml:space="preserve">Observación</t>
  </si>
  <si>
    <t xml:space="preserve">Algarrobo (Prosopis pallida)</t>
  </si>
  <si>
    <t xml:space="preserve">Amenazada (D.S. 043-2006-AG)</t>
  </si>
  <si>
    <t xml:space="preserve">VU — Vulnerable</t>
  </si>
  <si>
    <t xml:space="preserve">F-18</t>
  </si>
  <si>
    <t xml:space="preserve">Individuo de gran porte en el borde del bloque</t>
  </si>
  <si>
    <t xml:space="preserve">Hualtaco (Loxopterygium huasango)</t>
  </si>
  <si>
    <t xml:space="preserve">CR — En Peligro Crítico</t>
  </si>
  <si>
    <t xml:space="preserve">Reportado en el bloque; ubicación puntual por verificar</t>
  </si>
  <si>
    <t xml:space="preserve">Palo Santo (Bursera graveolens)</t>
  </si>
  <si>
    <t xml:space="preserve">Reportado en el bloque; por verificar</t>
  </si>
  <si>
    <t xml:space="preserve">Sapote (Colicodendron scabridum)</t>
  </si>
  <si>
    <t xml:space="preserve">Faique (Vachellia macracantha)</t>
  </si>
  <si>
    <t xml:space="preserve">NT — Casi Amenazado</t>
  </si>
  <si>
    <t xml:space="preserve">Regeneración regular; por verificar</t>
  </si>
  <si>
    <t xml:space="preserve">F-DT-04: CAUSAS E INDICADORES DE DEGRADACIÓN DEL ECOSISTEMA</t>
  </si>
  <si>
    <t xml:space="preserve">Identificación y ponderación de causas directas de degradación (antrópicas y naturales) y registro de indicadores cuantitativos. Permite priorizar medidas de mitigación y gobernanza.</t>
  </si>
  <si>
    <t xml:space="preserve">2. MATRIZ DE CAUSAS DE DEGRADACIÓN</t>
  </si>
  <si>
    <t xml:space="preserve">PRESENCIA: Sí / No  |  INTENSIDAD: Nula / Ligera / Moderada / Fuerte / Muy fuerte  |  EXTENSIÓN: % del bloque afectado  |  ANTIGÜEDAD: años aproximados.</t>
  </si>
  <si>
    <t xml:space="preserve">Causa / Factor de degradación</t>
  </si>
  <si>
    <t xml:space="preserve">Presencia</t>
  </si>
  <si>
    <t xml:space="preserve">Intensidad</t>
  </si>
  <si>
    <t xml:space="preserve">Extensión
(% bloque)</t>
  </si>
  <si>
    <t xml:space="preserve">Antigüedad
(años aprox.)</t>
  </si>
  <si>
    <t xml:space="preserve">Evidencia observada / Descripción</t>
  </si>
  <si>
    <t xml:space="preserve">Sobrepastoreo (caprino/vacuno)</t>
  </si>
  <si>
    <t xml:space="preserve">Moderada</t>
  </si>
  <si>
    <t xml:space="preserve">≈35</t>
  </si>
  <si>
    <t xml:space="preserve">Cercos, sendas y suelo pisoteado (F-14, F-17)</t>
  </si>
  <si>
    <t xml:space="preserve">Tala para leña</t>
  </si>
  <si>
    <t xml:space="preserve">≈40</t>
  </si>
  <si>
    <t xml:space="preserve">Acopios de leña al pie de ladera (F-08, F-12)</t>
  </si>
  <si>
    <t xml:space="preserve">Tala para carbón</t>
  </si>
  <si>
    <t xml:space="preserve">Tala para madera</t>
  </si>
  <si>
    <t xml:space="preserve">Ligera</t>
  </si>
  <si>
    <t xml:space="preserve">Extracción selectiva puntual (por verificar)</t>
  </si>
  <si>
    <t xml:space="preserve">Quema (renovación de pastos)</t>
  </si>
  <si>
    <t xml:space="preserve">Quema accidental / Incendio</t>
  </si>
  <si>
    <t xml:space="preserve">Cambio de uso a agricultura</t>
  </si>
  <si>
    <t xml:space="preserve">≈20</t>
  </si>
  <si>
    <t xml:space="preserve">Canal de riego y parcelas agrícolas colindantes (F-07)</t>
  </si>
  <si>
    <t xml:space="preserve">Cambio de uso a pastoreo</t>
  </si>
  <si>
    <t xml:space="preserve">≈15</t>
  </si>
  <si>
    <t xml:space="preserve">Cercos vivos y áreas de pastoreo</t>
  </si>
  <si>
    <t xml:space="preserve">Expansión urbana / vial</t>
  </si>
  <si>
    <t xml:space="preserve">≈10</t>
  </si>
  <si>
    <t xml:space="preserve">Talud de corte de la trocha carrozable (F-08)</t>
  </si>
  <si>
    <t xml:space="preserve">Minería informal</t>
  </si>
  <si>
    <t xml:space="preserve">Extracción de áridos (cauces)</t>
  </si>
  <si>
    <t xml:space="preserve">Especies invasoras</t>
  </si>
  <si>
    <t xml:space="preserve">Erosión natural severa</t>
  </si>
  <si>
    <t xml:space="preserve">Sequía prolongada / CC</t>
  </si>
  <si>
    <t xml:space="preserve">Plagas o enfermedades forestales</t>
  </si>
  <si>
    <t xml:space="preserve">Otro</t>
  </si>
  <si>
    <t xml:space="preserve">3. INDICADORES CUANTITATIVOS DE DEGRADACIÓN</t>
  </si>
  <si>
    <t xml:space="preserve">Combina observación directa con información de gabinete (MSAVI, NDVI, Theil-Sen). NIVEL: Alto / Medio / Bajo según umbrales.</t>
  </si>
  <si>
    <t xml:space="preserve">Indicador</t>
  </si>
  <si>
    <t xml:space="preserve">Unidad</t>
  </si>
  <si>
    <t xml:space="preserve">Valor</t>
  </si>
  <si>
    <t xml:space="preserve">Fuente</t>
  </si>
  <si>
    <t xml:space="preserve">Umbral / Referencia</t>
  </si>
  <si>
    <t xml:space="preserve">Nivel</t>
  </si>
  <si>
    <t xml:space="preserve">Cobertura vegetal total</t>
  </si>
  <si>
    <t xml:space="preserve">%</t>
  </si>
  <si>
    <t xml:space="preserve">MSAVI 2024 + estimación ocular</t>
  </si>
  <si>
    <t xml:space="preserve">&gt;60% bueno; 30-60% medio; &lt;30% malo</t>
  </si>
  <si>
    <t xml:space="preserve">Alto</t>
  </si>
  <si>
    <t xml:space="preserve">Porcentaje de suelo desnudo</t>
  </si>
  <si>
    <t xml:space="preserve">Estimación ocular de campo</t>
  </si>
  <si>
    <t xml:space="preserve">&lt;10% bueno; 10-30% medio; &gt;30% malo</t>
  </si>
  <si>
    <t xml:space="preserve">Medio</t>
  </si>
  <si>
    <t xml:space="preserve">Densidad de cárcavas</t>
  </si>
  <si>
    <t xml:space="preserve">N°/ha</t>
  </si>
  <si>
    <t xml:space="preserve">No cuantificado en campo</t>
  </si>
  <si>
    <t xml:space="preserve">0 nulo; 1-3 medio; &gt;3 alto</t>
  </si>
  <si>
    <t xml:space="preserve">Presencia de especies invasoras</t>
  </si>
  <si>
    <t xml:space="preserve">% área</t>
  </si>
  <si>
    <t xml:space="preserve">&lt;5% bueno; 5-20% medio; &gt;20% alto</t>
  </si>
  <si>
    <t xml:space="preserve">Carga ganadera estimada</t>
  </si>
  <si>
    <t xml:space="preserve">UA/ha</t>
  </si>
  <si>
    <t xml:space="preserve">Según tipo de ecosistema</t>
  </si>
  <si>
    <t xml:space="preserve">Frecuencia de quemas últimos 5 años</t>
  </si>
  <si>
    <t xml:space="preserve">0 nulo; 1-2 medio; &gt;2 alto</t>
  </si>
  <si>
    <t xml:space="preserve">% área con pendiente &gt;50%</t>
  </si>
  <si>
    <t xml:space="preserve">&lt;5</t>
  </si>
  <si>
    <t xml:space="preserve">Perfil de elevación Google Earth (máx. 40,3%)</t>
  </si>
  <si>
    <t xml:space="preserve">Factor de susceptibilidad</t>
  </si>
  <si>
    <t xml:space="preserve">Bajo</t>
  </si>
  <si>
    <t xml:space="preserve">Distancia a vía vecinal más cercana</t>
  </si>
  <si>
    <t xml:space="preserve">m</t>
  </si>
  <si>
    <t xml:space="preserve">Trocha carrozable bordea el bloque</t>
  </si>
  <si>
    <t xml:space="preserve">A menor distancia → mayor presión</t>
  </si>
  <si>
    <t xml:space="preserve">4. SÍNTESIS DIAGNÓSTICA DE LA DEGRADACIÓN</t>
  </si>
  <si>
    <t xml:space="preserve">Principales causas directas (texto libre)</t>
  </si>
  <si>
    <t xml:space="preserve">Extracción de leña (principal), sobrepastoreo caprino/vacuno, cambio de uso agrícola asociado al canal de riego y desestabilización de taludes por la trocha carrozable.</t>
  </si>
  <si>
    <t xml:space="preserve">Principal causa subyacente (motor)</t>
  </si>
  <si>
    <t xml:space="preserve">Demanda de leña y presión agropecuaria comunal sobre el bosque seco, sin prácticas de manejo y conservación de suelos.</t>
  </si>
  <si>
    <t xml:space="preserve">Velocidad de degradación percibida</t>
  </si>
  <si>
    <t xml:space="preserve">Reversibilidad técnica</t>
  </si>
  <si>
    <t xml:space="preserve">Parcialmente reversible</t>
  </si>
  <si>
    <t xml:space="preserve">Urgencia de intervención</t>
  </si>
  <si>
    <t xml:space="preserve">Oportunidad de articulación: el bloque es propiedad de la C.C. de Andanjo y alberga el Vivero Forestal Hualtacal (Proyecto Pusmalca), que ejecuta reforestación para regulación hídrica con el Gobierno Regional de Piura (fase de culminación). Volumen de leña, carga ganadera y frecuencia de quemas no cuantificados en campo.</t>
  </si>
  <si>
    <t xml:space="preserve">F-DT-05: RECURSOS HÍDRICOS Y ACCESIBILIDAD</t>
  </si>
  <si>
    <t xml:space="preserve">Inventario rápido de fuentes de agua dentro o colindantes al bloque + condiciones logísticas de acceso y seguridad. Insumo para diseño hidráulico y planificación operativa de campo.</t>
  </si>
  <si>
    <t xml:space="preserve">2. INVENTARIO DE FUENTES DE AGUA (dentro o hasta 500 m del bloque)</t>
  </si>
  <si>
    <t xml:space="preserve">Use los desplegables en columnas Tipo de fuente, Régimen y Calidad aparente. DISTANCIA: medida en metros desde el límite del bloque a la fuente.</t>
  </si>
  <si>
    <t xml:space="preserve">Tipo de fuente</t>
  </si>
  <si>
    <t xml:space="preserve">Régimen</t>
  </si>
  <si>
    <t xml:space="preserve">Calidad
aparente</t>
  </si>
  <si>
    <t xml:space="preserve">Distancia
bloque (m)</t>
  </si>
  <si>
    <t xml:space="preserve">Uso observado / Observaciones</t>
  </si>
  <si>
    <t xml:space="preserve">Quebrada permanente</t>
  </si>
  <si>
    <t xml:space="preserve">Permanente</t>
  </si>
  <si>
    <t xml:space="preserve">Regular (ligeramente turbia o con sedimentos)</t>
  </si>
  <si>
    <t xml:space="preserve">Discurre por el borde del bloque; agua presente en estiaje (jul); régimen anual por verificar (F-15, F-16).</t>
  </si>
  <si>
    <t xml:space="preserve">Canal de riego</t>
  </si>
  <si>
    <t xml:space="preserve">Canal revestido en operación; circunda el área; uso de riego (F-07).</t>
  </si>
  <si>
    <t xml:space="preserve">3. ANÁLISIS HÍDRICO PRELIMINAR</t>
  </si>
  <si>
    <t xml:space="preserve">¿Bloque en zona de recarga hídrica?</t>
  </si>
  <si>
    <t xml:space="preserve">¿Zonas de humedad persistente observadas?</t>
  </si>
  <si>
    <t xml:space="preserve">¿Escorrentía concentrada observada?</t>
  </si>
  <si>
    <t xml:space="preserve">Distancia a captación poblacional más cercana (m)</t>
  </si>
  <si>
    <t xml:space="preserve">Nombre de la JASS o captación asociada</t>
  </si>
  <si>
    <t xml:space="preserve">¿Interferencia con obras de riego?</t>
  </si>
  <si>
    <t xml:space="preserve">Nombre del sistema de riego (si aplica)</t>
  </si>
  <si>
    <t xml:space="preserve">Canal de riego de Hualtacal (nombre exacto por verificar)</t>
  </si>
  <si>
    <t xml:space="preserve">4. ACCESIBILIDAD Y LOGÍSTICA</t>
  </si>
  <si>
    <t xml:space="preserve">Modalidad de acceso al bloque *</t>
  </si>
  <si>
    <t xml:space="preserve">Vehicular + caminata &lt;30 min</t>
  </si>
  <si>
    <t xml:space="preserve">Vía principal de acceso (PE-/PI-/trocha) *</t>
  </si>
  <si>
    <t xml:space="preserve">Trocha carrozable desde Canchaque, vía caserío Hualtacal</t>
  </si>
  <si>
    <t xml:space="preserve">Tipo de vía final</t>
  </si>
  <si>
    <t xml:space="preserve">Trocha carrozable</t>
  </si>
  <si>
    <t xml:space="preserve">Estado transitabilidad — época seca</t>
  </si>
  <si>
    <t xml:space="preserve">Estado transitabilidad — época lluviosa</t>
  </si>
  <si>
    <t xml:space="preserve">Tiempo desde capital distrital (min)</t>
  </si>
  <si>
    <t xml:space="preserve">Tiempo desde capital provincial (min)</t>
  </si>
  <si>
    <t xml:space="preserve">Señal celular</t>
  </si>
  <si>
    <t xml:space="preserve">Operador celular dominante</t>
  </si>
  <si>
    <t xml:space="preserve">Alojamiento rural disponible</t>
  </si>
  <si>
    <t xml:space="preserve">¿Requiere autorización de Ronda Campesina? *</t>
  </si>
  <si>
    <t xml:space="preserve">Nombre / Contacto responsable de Ronda</t>
  </si>
  <si>
    <t xml:space="preserve">Acceso no restringido durante la visita; coordinación formal con la C.C. de Andanjo por confirmar. Señal/operador celular, tiempos de viaje y captación/JASS por verificar. Presencia del Vivero Forestal Hualtacal (F-09, F-10, F-11).</t>
  </si>
  <si>
    <t xml:space="preserve">codigo</t>
  </si>
  <si>
    <t xml:space="preserve">microcuenca</t>
  </si>
  <si>
    <t xml:space="preserve">provincia</t>
  </si>
  <si>
    <t xml:space="preserve">distrito</t>
  </si>
  <si>
    <t xml:space="preserve">zona</t>
  </si>
  <si>
    <t xml:space="preserve">este_utm</t>
  </si>
  <si>
    <t xml:space="preserve">norte_utm</t>
  </si>
  <si>
    <t xml:space="preserve">area_ha</t>
  </si>
  <si>
    <t xml:space="preserve">M9B1</t>
  </si>
  <si>
    <t xml:space="preserve">C1096-Q9545</t>
  </si>
  <si>
    <t xml:space="preserve">Morropon</t>
  </si>
  <si>
    <t xml:space="preserve">Chulucanas</t>
  </si>
  <si>
    <t xml:space="preserve">Z01</t>
  </si>
  <si>
    <t xml:space="preserve">M10B4</t>
  </si>
  <si>
    <t xml:space="preserve">C1096-Q9547</t>
  </si>
  <si>
    <t xml:space="preserve">25</t>
  </si>
  <si>
    <t xml:space="preserve">32</t>
  </si>
  <si>
    <t xml:space="preserve">C1096-Q9556</t>
  </si>
  <si>
    <t xml:space="preserve">22</t>
  </si>
  <si>
    <t xml:space="preserve">M17B1</t>
  </si>
  <si>
    <t xml:space="preserve">2</t>
  </si>
  <si>
    <t xml:space="preserve">C1096-Q9558</t>
  </si>
  <si>
    <t xml:space="preserve">M17B4</t>
  </si>
  <si>
    <t xml:space="preserve">M27B1</t>
  </si>
  <si>
    <t xml:space="preserve">C1096-Q9557</t>
  </si>
  <si>
    <t xml:space="preserve">3</t>
  </si>
  <si>
    <t xml:space="preserve">Ayabaca</t>
  </si>
  <si>
    <t xml:space="preserve">Frias</t>
  </si>
  <si>
    <t xml:space="preserve">Z02</t>
  </si>
  <si>
    <t xml:space="preserve">6</t>
  </si>
  <si>
    <t xml:space="preserve">36</t>
  </si>
  <si>
    <t xml:space="preserve">M17B7</t>
  </si>
  <si>
    <t xml:space="preserve">M17B6</t>
  </si>
  <si>
    <t xml:space="preserve">M17B10</t>
  </si>
  <si>
    <t xml:space="preserve">M17B5</t>
  </si>
  <si>
    <t xml:space="preserve">27</t>
  </si>
  <si>
    <t xml:space="preserve">39</t>
  </si>
  <si>
    <t xml:space="preserve">C1096-Q9564</t>
  </si>
  <si>
    <t xml:space="preserve">56</t>
  </si>
  <si>
    <t xml:space="preserve">12</t>
  </si>
  <si>
    <t xml:space="preserve">C1086-Q9570</t>
  </si>
  <si>
    <t xml:space="preserve">Santo Domingo</t>
  </si>
  <si>
    <t xml:space="preserve">Z03</t>
  </si>
  <si>
    <t xml:space="preserve">82</t>
  </si>
  <si>
    <t xml:space="preserve">13</t>
  </si>
  <si>
    <t xml:space="preserve">78</t>
  </si>
  <si>
    <t xml:space="preserve">11</t>
  </si>
  <si>
    <t xml:space="preserve">23</t>
  </si>
  <si>
    <t xml:space="preserve">15</t>
  </si>
  <si>
    <t xml:space="preserve">M19B7</t>
  </si>
  <si>
    <t xml:space="preserve">17</t>
  </si>
  <si>
    <t xml:space="preserve">M8B2</t>
  </si>
  <si>
    <t xml:space="preserve">57</t>
  </si>
  <si>
    <t xml:space="preserve">C1086-Q9576</t>
  </si>
  <si>
    <t xml:space="preserve">Chalaco</t>
  </si>
  <si>
    <t xml:space="preserve">Z04</t>
  </si>
  <si>
    <t xml:space="preserve">59</t>
  </si>
  <si>
    <t xml:space="preserve">M36B2</t>
  </si>
  <si>
    <t xml:space="preserve">Santa Catalina de Mossa</t>
  </si>
  <si>
    <t xml:space="preserve">42</t>
  </si>
  <si>
    <t xml:space="preserve">14</t>
  </si>
  <si>
    <t xml:space="preserve">58</t>
  </si>
  <si>
    <t xml:space="preserve">C1086-Q9569</t>
  </si>
  <si>
    <t xml:space="preserve">M19B2</t>
  </si>
  <si>
    <t xml:space="preserve">Z05</t>
  </si>
  <si>
    <t xml:space="preserve">M32B3</t>
  </si>
  <si>
    <t xml:space="preserve">M6B10</t>
  </si>
  <si>
    <t xml:space="preserve">C1077-Q9566</t>
  </si>
  <si>
    <t xml:space="preserve">Buenos Aires</t>
  </si>
  <si>
    <t xml:space="preserve">Z06</t>
  </si>
  <si>
    <t xml:space="preserve">M6B2-3</t>
  </si>
  <si>
    <t xml:space="preserve">M6B2-2</t>
  </si>
  <si>
    <t xml:space="preserve">M6B2-1</t>
  </si>
  <si>
    <t xml:space="preserve">5</t>
  </si>
  <si>
    <t xml:space="preserve">M1B1</t>
  </si>
  <si>
    <t xml:space="preserve">C1077-Q9580</t>
  </si>
  <si>
    <t xml:space="preserve">M18B1</t>
  </si>
  <si>
    <t xml:space="preserve">C1077-Q9579</t>
  </si>
  <si>
    <t xml:space="preserve">M3B9</t>
  </si>
  <si>
    <t xml:space="preserve">C1081-Q9582</t>
  </si>
  <si>
    <t xml:space="preserve">Salitral</t>
  </si>
  <si>
    <t xml:space="preserve">Z07</t>
  </si>
  <si>
    <t xml:space="preserve">M3B1</t>
  </si>
  <si>
    <t xml:space="preserve">M7B1</t>
  </si>
  <si>
    <t xml:space="preserve">C1076-Q9581</t>
  </si>
  <si>
    <t xml:space="preserve">M7B2</t>
  </si>
  <si>
    <t xml:space="preserve">M7B3</t>
  </si>
  <si>
    <t xml:space="preserve">M7B6</t>
  </si>
  <si>
    <t xml:space="preserve">M2B1</t>
  </si>
  <si>
    <t xml:space="preserve">C1076-Q9584</t>
  </si>
  <si>
    <t xml:space="preserve">7</t>
  </si>
  <si>
    <t xml:space="preserve">M2B5</t>
  </si>
  <si>
    <t xml:space="preserve">1</t>
  </si>
  <si>
    <t xml:space="preserve">M18B3</t>
  </si>
  <si>
    <t xml:space="preserve">M18B5</t>
  </si>
  <si>
    <t xml:space="preserve">M3B7</t>
  </si>
  <si>
    <t xml:space="preserve">San Juan de Bigote</t>
  </si>
  <si>
    <t xml:space="preserve">Z08</t>
  </si>
  <si>
    <t xml:space="preserve">M3B6</t>
  </si>
  <si>
    <t xml:space="preserve">77</t>
  </si>
  <si>
    <t xml:space="preserve">C1081-Q9583</t>
  </si>
  <si>
    <t xml:space="preserve">M3B5</t>
  </si>
  <si>
    <t xml:space="preserve">M3B3</t>
  </si>
  <si>
    <t xml:space="preserve">M3B8</t>
  </si>
  <si>
    <t xml:space="preserve">M11B3</t>
  </si>
  <si>
    <t xml:space="preserve">55</t>
  </si>
  <si>
    <t xml:space="preserve">C1086-Q9575</t>
  </si>
  <si>
    <t xml:space="preserve">Yamango</t>
  </si>
  <si>
    <t xml:space="preserve">Z09</t>
  </si>
  <si>
    <t xml:space="preserve">49</t>
  </si>
  <si>
    <t xml:space="preserve">52</t>
  </si>
  <si>
    <t xml:space="preserve">48</t>
  </si>
  <si>
    <t xml:space="preserve">46</t>
  </si>
  <si>
    <t xml:space="preserve">M28B2</t>
  </si>
  <si>
    <t xml:space="preserve">M28B3</t>
  </si>
  <si>
    <t xml:space="preserve">M28B4</t>
  </si>
  <si>
    <t xml:space="preserve">33</t>
  </si>
  <si>
    <t xml:space="preserve">C1081-Q9590</t>
  </si>
  <si>
    <t xml:space="preserve">Huancabamba</t>
  </si>
  <si>
    <t xml:space="preserve">Lalaquiz</t>
  </si>
  <si>
    <t xml:space="preserve">Z10</t>
  </si>
  <si>
    <t xml:space="preserve">38</t>
  </si>
  <si>
    <t xml:space="preserve">50</t>
  </si>
  <si>
    <t xml:space="preserve">34</t>
  </si>
  <si>
    <t xml:space="preserve">61</t>
  </si>
  <si>
    <t xml:space="preserve">37</t>
  </si>
  <si>
    <t xml:space="preserve">C1081-Q9591</t>
  </si>
  <si>
    <t xml:space="preserve">26</t>
  </si>
  <si>
    <t xml:space="preserve">64</t>
  </si>
  <si>
    <t xml:space="preserve">Z11</t>
  </si>
  <si>
    <t xml:space="preserve">54</t>
  </si>
  <si>
    <t xml:space="preserve">C1081-Q9591 (inferida)</t>
  </si>
  <si>
    <t xml:space="preserve">M30B5</t>
  </si>
  <si>
    <t xml:space="preserve">60</t>
  </si>
  <si>
    <t xml:space="preserve">Canchaque</t>
  </si>
  <si>
    <t xml:space="preserve">40</t>
  </si>
  <si>
    <t xml:space="preserve">30</t>
  </si>
  <si>
    <t xml:space="preserve">28</t>
  </si>
  <si>
    <t xml:space="preserve">62</t>
  </si>
  <si>
    <t xml:space="preserve">65</t>
  </si>
  <si>
    <t xml:space="preserve">21</t>
  </si>
  <si>
    <t xml:space="preserve">66</t>
  </si>
  <si>
    <t xml:space="preserve">24</t>
  </si>
  <si>
    <t xml:space="preserve">63</t>
  </si>
  <si>
    <t xml:space="preserve">79</t>
  </si>
  <si>
    <t xml:space="preserve">C1076-Q9587</t>
  </si>
  <si>
    <t xml:space="preserve">C1076-Q9585</t>
  </si>
  <si>
    <t xml:space="preserve">M22B1</t>
  </si>
  <si>
    <t xml:space="preserve">C1076-Q9586</t>
  </si>
  <si>
    <t xml:space="preserve">San Miguel de El Faique</t>
  </si>
  <si>
    <t xml:space="preserve">Z12</t>
  </si>
  <si>
    <t xml:space="preserve">44</t>
  </si>
  <si>
    <t xml:space="preserve">47</t>
  </si>
  <si>
    <t xml:space="preserve">75</t>
  </si>
  <si>
    <t xml:space="preserve">9</t>
  </si>
  <si>
    <t xml:space="preserve">43</t>
  </si>
  <si>
    <t xml:space="preserve">35</t>
  </si>
  <si>
    <t xml:space="preserve">67</t>
  </si>
  <si>
    <t xml:space="preserve">M20B1</t>
  </si>
  <si>
    <t xml:space="preserve">M2B8</t>
  </si>
  <si>
    <t xml:space="preserve">29</t>
  </si>
  <si>
    <t xml:space="preserve">C1076-Q9592</t>
  </si>
  <si>
    <t xml:space="preserve">Huarmaca</t>
  </si>
  <si>
    <t xml:space="preserve">Z13</t>
  </si>
  <si>
    <t xml:space="preserve">68</t>
  </si>
  <si>
    <t xml:space="preserve">53</t>
  </si>
  <si>
    <t xml:space="preserve">70</t>
  </si>
  <si>
    <t xml:space="preserve">31</t>
  </si>
  <si>
    <t xml:space="preserve">69</t>
  </si>
  <si>
    <t xml:space="preserve">72</t>
  </si>
  <si>
    <t xml:space="preserve">41</t>
  </si>
  <si>
    <t xml:space="preserve">73</t>
  </si>
  <si>
    <t xml:space="preserve">18</t>
  </si>
  <si>
    <t xml:space="preserve">74</t>
  </si>
  <si>
    <t xml:space="preserve">C1076-Q9588</t>
  </si>
  <si>
    <t xml:space="preserve">M12B1</t>
  </si>
  <si>
    <t xml:space="preserve">19</t>
  </si>
  <si>
    <t xml:space="preserve">M4B4</t>
  </si>
  <si>
    <t xml:space="preserve">C1076-Q9589</t>
  </si>
  <si>
    <t xml:space="preserve">Z14</t>
  </si>
  <si>
    <t xml:space="preserve">M4B3</t>
  </si>
  <si>
    <t xml:space="preserve">10</t>
  </si>
  <si>
    <t xml:space="preserve">C1076-Q9593</t>
  </si>
  <si>
    <t xml:space="preserve">16</t>
  </si>
  <si>
    <t xml:space="preserve">4</t>
  </si>
  <si>
    <t xml:space="preserve">51</t>
  </si>
  <si>
    <t xml:space="preserve">76</t>
  </si>
  <si>
    <t xml:space="preserve">80</t>
  </si>
  <si>
    <t xml:space="preserve">71</t>
  </si>
  <si>
    <t xml:space="preserve">8</t>
  </si>
  <si>
    <t xml:space="preserve">20</t>
  </si>
  <si>
    <t xml:space="preserve">Listas de opciones para validación de datos — IN Piura | Cada columna es un rango nombrado.</t>
  </si>
  <si>
    <t xml:space="preserve">lst_FormaTerreno</t>
  </si>
  <si>
    <t xml:space="preserve">lst_RangoPendiente</t>
  </si>
  <si>
    <t xml:space="preserve">lst_PosicionFisio</t>
  </si>
  <si>
    <t xml:space="preserve">lst_Exposicion</t>
  </si>
  <si>
    <t xml:space="preserve">lst_RangoAltitud</t>
  </si>
  <si>
    <t xml:space="preserve">lst_NivelErosion</t>
  </si>
  <si>
    <t xml:space="preserve">lst_TipoCarcava</t>
  </si>
  <si>
    <t xml:space="preserve">lst_EstadoCarcava</t>
  </si>
  <si>
    <t xml:space="preserve">lst_CausaCarcava</t>
  </si>
  <si>
    <t xml:space="preserve">lst_PatronCarcavas</t>
  </si>
  <si>
    <t xml:space="preserve">lst_Urgencia</t>
  </si>
  <si>
    <t xml:space="preserve">lst_TipoEcosistema</t>
  </si>
  <si>
    <t xml:space="preserve">lst_EstadoConservacion</t>
  </si>
  <si>
    <t xml:space="preserve">lst_UsoSueloDom</t>
  </si>
  <si>
    <t xml:space="preserve">lst_Regeneracion</t>
  </si>
  <si>
    <t xml:space="preserve">lst_EstadoSanitario</t>
  </si>
  <si>
    <t xml:space="preserve">lst_Fenologia</t>
  </si>
  <si>
    <t xml:space="preserve">lst_TipoCobertura</t>
  </si>
  <si>
    <t xml:space="preserve">lst_Estrato</t>
  </si>
  <si>
    <t xml:space="preserve">lst_Origen</t>
  </si>
  <si>
    <t xml:space="preserve">lst_Abundancia</t>
  </si>
  <si>
    <t xml:space="preserve">lst_CategoriaIndicadora</t>
  </si>
  <si>
    <t xml:space="preserve">lst_EstadoUICN</t>
  </si>
  <si>
    <t xml:space="preserve">lst_Intensidad</t>
  </si>
  <si>
    <t xml:space="preserve">lst_NivelInd</t>
  </si>
  <si>
    <t xml:space="preserve">lst_Velocidad</t>
  </si>
  <si>
    <t xml:space="preserve">lst_Reversibilidad</t>
  </si>
  <si>
    <t xml:space="preserve">lst_TipoFuente</t>
  </si>
  <si>
    <t xml:space="preserve">lst_RegimenHidrico</t>
  </si>
  <si>
    <t xml:space="preserve">lst_CalidadAgua</t>
  </si>
  <si>
    <t xml:space="preserve">lst_ModalidadAcceso</t>
  </si>
  <si>
    <t xml:space="preserve">lst_TipoVia</t>
  </si>
  <si>
    <t xml:space="preserve">lst_NivelTransitabilidad</t>
  </si>
  <si>
    <t xml:space="preserve">lst_SenalCelular</t>
  </si>
  <si>
    <t xml:space="preserve">lst_Operador</t>
  </si>
  <si>
    <t xml:space="preserve">lst_SiNo</t>
  </si>
  <si>
    <t xml:space="preserve">lst_SiNoNA</t>
  </si>
  <si>
    <t xml:space="preserve">Plano</t>
  </si>
  <si>
    <t xml:space="preserve">0-8% (Plano-lig. inclinado)</t>
  </si>
  <si>
    <t xml:space="preserve">Cresta / Divortium</t>
  </si>
  <si>
    <t xml:space="preserve">Norte</t>
  </si>
  <si>
    <t xml:space="preserve">Nula</t>
  </si>
  <si>
    <t xml:space="preserve">Sobrepastoreo</t>
  </si>
  <si>
    <t xml:space="preserve">Dendrítico</t>
  </si>
  <si>
    <t xml:space="preserve">Crítica</t>
  </si>
  <si>
    <t xml:space="preserve">Páramo</t>
  </si>
  <si>
    <t xml:space="preserve">Conservado (sin intervención evidente)</t>
  </si>
  <si>
    <t xml:space="preserve">Forestal protección</t>
  </si>
  <si>
    <t xml:space="preserve">Abundante (&gt;50 pl./100m²)</t>
  </si>
  <si>
    <t xml:space="preserve">Vegetativo</t>
  </si>
  <si>
    <t xml:space="preserve">Bosque denso (&gt;70%)</t>
  </si>
  <si>
    <t xml:space="preserve">Dominante (&gt;40%)</t>
  </si>
  <si>
    <t xml:space="preserve">Indicadora de buen estado</t>
  </si>
  <si>
    <t xml:space="preserve">EX — Extinto</t>
  </si>
  <si>
    <t xml:space="preserve">Muy rápida</t>
  </si>
  <si>
    <t xml:space="preserve">Totalmente reversible</t>
  </si>
  <si>
    <t xml:space="preserve">Manantial / Puquio</t>
  </si>
  <si>
    <t xml:space="preserve">Buena (clara, sin olor, sin sedimentos)</t>
  </si>
  <si>
    <t xml:space="preserve">Vehicular 4x4 hasta el bloque</t>
  </si>
  <si>
    <t xml:space="preserve">Nacional asfaltada</t>
  </si>
  <si>
    <t xml:space="preserve">Completa</t>
  </si>
  <si>
    <t xml:space="preserve">Movistar</t>
  </si>
  <si>
    <t xml:space="preserve">Ondulado</t>
  </si>
  <si>
    <t xml:space="preserve">8-15% (Mod. inclinado)</t>
  </si>
  <si>
    <t xml:space="preserve">Ladera alta</t>
  </si>
  <si>
    <t xml:space="preserve">Sur</t>
  </si>
  <si>
    <t xml:space="preserve">1000-1500 m (Quechua baja)</t>
  </si>
  <si>
    <t xml:space="preserve">Ligera (laminar)</t>
  </si>
  <si>
    <t xml:space="preserve">Tala / pérdida de cobertura</t>
  </si>
  <si>
    <t xml:space="preserve">Paralelo</t>
  </si>
  <si>
    <t xml:space="preserve">Alta</t>
  </si>
  <si>
    <t xml:space="preserve">Bosque Relicto Montano V. Occidental (BMVO)</t>
  </si>
  <si>
    <t xml:space="preserve">Levemente alterado</t>
  </si>
  <si>
    <t xml:space="preserve">Forestal producción</t>
  </si>
  <si>
    <t xml:space="preserve">Enfermo (plaga)</t>
  </si>
  <si>
    <t xml:space="preserve">Floración</t>
  </si>
  <si>
    <t xml:space="preserve">Endémica</t>
  </si>
  <si>
    <t xml:space="preserve">Abundante (20-40%)</t>
  </si>
  <si>
    <t xml:space="preserve">Indicadora de perturbación</t>
  </si>
  <si>
    <t xml:space="preserve">EW — Extinto en Estado Silvestre</t>
  </si>
  <si>
    <t xml:space="preserve">Rápida</t>
  </si>
  <si>
    <t xml:space="preserve">Estacional (lluvias)</t>
  </si>
  <si>
    <t xml:space="preserve">Nacional afirmada</t>
  </si>
  <si>
    <t xml:space="preserve">Parcial</t>
  </si>
  <si>
    <t xml:space="preserve">Claro</t>
  </si>
  <si>
    <t xml:space="preserve">Este</t>
  </si>
  <si>
    <t xml:space="preserve">1500-2000 m (Quechua media)</t>
  </si>
  <si>
    <t xml:space="preserve">Cárcava somera (0.5-2 m)</t>
  </si>
  <si>
    <t xml:space="preserve">Estabilizada con vegetación</t>
  </si>
  <si>
    <t xml:space="preserve">Quema</t>
  </si>
  <si>
    <t xml:space="preserve">Lineal</t>
  </si>
  <si>
    <t xml:space="preserve">Pastoreo extensivo</t>
  </si>
  <si>
    <t xml:space="preserve">Escasa (&lt;10 pl./100m²)</t>
  </si>
  <si>
    <t xml:space="preserve">Enfermo (hongo)</t>
  </si>
  <si>
    <t xml:space="preserve">Fructificación</t>
  </si>
  <si>
    <t xml:space="preserve">Matorral denso</t>
  </si>
  <si>
    <t xml:space="preserve">Frecuente (5-20%)</t>
  </si>
  <si>
    <t xml:space="preserve">Endémica del Perú</t>
  </si>
  <si>
    <t xml:space="preserve">Difícilmente reversible</t>
  </si>
  <si>
    <t xml:space="preserve">Quebrada estacional</t>
  </si>
  <si>
    <t xml:space="preserve">Intermitente</t>
  </si>
  <si>
    <t xml:space="preserve">Mala (turbia, con olor o color)</t>
  </si>
  <si>
    <t xml:space="preserve">Vehicular + caminata 30-90 min</t>
  </si>
  <si>
    <t xml:space="preserve">Departamental asfaltada</t>
  </si>
  <si>
    <t xml:space="preserve">Entel</t>
  </si>
  <si>
    <t xml:space="preserve">No aplica</t>
  </si>
  <si>
    <t xml:space="preserve">Montañoso</t>
  </si>
  <si>
    <t xml:space="preserve">25-50% (Mod. escarpado)</t>
  </si>
  <si>
    <t xml:space="preserve">Ladera baja</t>
  </si>
  <si>
    <t xml:space="preserve">Oeste</t>
  </si>
  <si>
    <t xml:space="preserve">2000-2500 m (Quechua alta)</t>
  </si>
  <si>
    <t xml:space="preserve">Fuerte (cárcavas incipientes)</t>
  </si>
  <si>
    <t xml:space="preserve">Cárcava profunda (2-5 m)</t>
  </si>
  <si>
    <t xml:space="preserve">Estabilizada con obras</t>
  </si>
  <si>
    <t xml:space="preserve">Surcos de labranza en pendiente</t>
  </si>
  <si>
    <t xml:space="preserve">Baja</t>
  </si>
  <si>
    <t xml:space="preserve">Bosque Estacionalmente Seco Llanura (Bes-ll)</t>
  </si>
  <si>
    <t xml:space="preserve">Alterado (intervención marcada)</t>
  </si>
  <si>
    <t xml:space="preserve">Pastoreo intensivo</t>
  </si>
  <si>
    <t xml:space="preserve">Ausente</t>
  </si>
  <si>
    <t xml:space="preserve">Daño mecánico</t>
  </si>
  <si>
    <t xml:space="preserve">Matorral ralo</t>
  </si>
  <si>
    <t xml:space="preserve">Invasora</t>
  </si>
  <si>
    <t xml:space="preserve">Ocasional (1-5%)</t>
  </si>
  <si>
    <t xml:space="preserve">Endémica norte / Piura</t>
  </si>
  <si>
    <t xml:space="preserve">EN — En Peligro</t>
  </si>
  <si>
    <t xml:space="preserve">Fuerte</t>
  </si>
  <si>
    <t xml:space="preserve">Lenta</t>
  </si>
  <si>
    <t xml:space="preserve">En recuperación</t>
  </si>
  <si>
    <t xml:space="preserve">Río</t>
  </si>
  <si>
    <t xml:space="preserve">Efímero</t>
  </si>
  <si>
    <t xml:space="preserve">Muy mala (contaminación evidente)</t>
  </si>
  <si>
    <t xml:space="preserve">Vehicular + caminata &gt;90 min</t>
  </si>
  <si>
    <t xml:space="preserve">Departamental afirmada</t>
  </si>
  <si>
    <t xml:space="preserve">Sin señal</t>
  </si>
  <si>
    <t xml:space="preserve">Bitel</t>
  </si>
  <si>
    <t xml:space="preserve">Muy escarpado</t>
  </si>
  <si>
    <t xml:space="preserve">50-75% (Escarpado)</t>
  </si>
  <si>
    <t xml:space="preserve">Pie de ladera</t>
  </si>
  <si>
    <t xml:space="preserve">2500-3000 m (Suni)</t>
  </si>
  <si>
    <t xml:space="preserve">Severa (cárcavas activas)</t>
  </si>
  <si>
    <t xml:space="preserve">Cárcava muy profunda (&gt;5 m)</t>
  </si>
  <si>
    <t xml:space="preserve">Inactiva</t>
  </si>
  <si>
    <t xml:space="preserve">Mixto</t>
  </si>
  <si>
    <t xml:space="preserve">Bosque Estacionalmente Seco Ribereño (Bes-rb)</t>
  </si>
  <si>
    <t xml:space="preserve">Muy alterado / Degradado</t>
  </si>
  <si>
    <t xml:space="preserve">Agricultura secano</t>
  </si>
  <si>
    <t xml:space="preserve">Muerto en pie</t>
  </si>
  <si>
    <t xml:space="preserve">Latencia / Estrés hídrico</t>
  </si>
  <si>
    <t xml:space="preserve">Pastizal natural</t>
  </si>
  <si>
    <t xml:space="preserve">Rara (&lt;1%)</t>
  </si>
  <si>
    <t xml:space="preserve">Muy fuerte</t>
  </si>
  <si>
    <t xml:space="preserve">Estable</t>
  </si>
  <si>
    <t xml:space="preserve">No evaluable</t>
  </si>
  <si>
    <t xml:space="preserve">Requiere acémila (páramo/jalca)</t>
  </si>
  <si>
    <t xml:space="preserve">Vecinal afirmada</t>
  </si>
  <si>
    <t xml:space="preserve">&gt;75% (Muy escarpado)</t>
  </si>
  <si>
    <t xml:space="preserve">Terraza aluvial</t>
  </si>
  <si>
    <t xml:space="preserve">Noroeste</t>
  </si>
  <si>
    <t xml:space="preserve">3000-3500 m (Puna baja)</t>
  </si>
  <si>
    <t xml:space="preserve">Extrema</t>
  </si>
  <si>
    <t xml:space="preserve">Concentración natural de escorrentía</t>
  </si>
  <si>
    <t xml:space="preserve">Matorral Andino árido</t>
  </si>
  <si>
    <t xml:space="preserve">En restauración / Recuperación</t>
  </si>
  <si>
    <t xml:space="preserve">Agricultura bajo riego</t>
  </si>
  <si>
    <t xml:space="preserve">Rebrote vigoroso</t>
  </si>
  <si>
    <t xml:space="preserve">Pastizal cultivado</t>
  </si>
  <si>
    <t xml:space="preserve">Herbáceo (&lt;0.5 m)</t>
  </si>
  <si>
    <t xml:space="preserve">Clave cultural</t>
  </si>
  <si>
    <t xml:space="preserve">Reservorio / Represa</t>
  </si>
  <si>
    <t xml:space="preserve">Inaccesible en lluvias</t>
  </si>
  <si>
    <t xml:space="preserve">Cauce / Ribera</t>
  </si>
  <si>
    <t xml:space="preserve">Sureste</t>
  </si>
  <si>
    <t xml:space="preserve">&gt;3500 m (Puna/Jalca)</t>
  </si>
  <si>
    <t xml:space="preserve">Matorral Andino semiárido</t>
  </si>
  <si>
    <t xml:space="preserve">Sin uso aparente / Abandonado</t>
  </si>
  <si>
    <t xml:space="preserve">Cultivo anual</t>
  </si>
  <si>
    <t xml:space="preserve">Epífito</t>
  </si>
  <si>
    <t xml:space="preserve">LC — Preocupación Menor</t>
  </si>
  <si>
    <t xml:space="preserve">Laguna / Humedal</t>
  </si>
  <si>
    <t xml:space="preserve">Camino de herradura</t>
  </si>
  <si>
    <t xml:space="preserve">Llanura / Pampa</t>
  </si>
  <si>
    <t xml:space="preserve">Suroeste</t>
  </si>
  <si>
    <t xml:space="preserve">Cambio de uso del suelo</t>
  </si>
  <si>
    <t xml:space="preserve">Matorral Andino subhúmedo</t>
  </si>
  <si>
    <t xml:space="preserve">Cultivo permanente</t>
  </si>
  <si>
    <t xml:space="preserve">Trepador</t>
  </si>
  <si>
    <t xml:space="preserve">DD — Datos Insuficientes</t>
  </si>
  <si>
    <t xml:space="preserve">Pozo / Galería filtrante</t>
  </si>
  <si>
    <t xml:space="preserve">Cima (sin exp.)</t>
  </si>
  <si>
    <t xml:space="preserve">Cima (sin dom.)</t>
  </si>
  <si>
    <t xml:space="preserve">Matorral Andino húmedo</t>
  </si>
  <si>
    <t xml:space="preserve">Suelo desnudo</t>
  </si>
  <si>
    <t xml:space="preserve">NE — No Evaluado</t>
  </si>
  <si>
    <t xml:space="preserve">Bofedal</t>
  </si>
  <si>
    <t xml:space="preserve">Pastizal andino / Jalca</t>
  </si>
  <si>
    <t xml:space="preserve">Afloramiento rocoso</t>
  </si>
  <si>
    <t xml:space="preserve">Agroecosistema / Mosaico</t>
  </si>
  <si>
    <t xml:space="preserve">Mixto / Mosaico</t>
  </si>
  <si>
    <t xml:space="preserve">Área urbana / rural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</si>
</sst>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B4D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8" t="s">
        <v>8</v>
      </c>
      <c r="C8" s="8"/>
      <c r="D8" s="8"/>
      <c r="E8" s="7" t="s">
        <v>9</v>
      </c>
      <c r="F8" s="8" t="s">
        <v>10</v>
      </c>
      <c r="G8" s="8"/>
      <c r="H8" s="8"/>
    </row>
    <row r="9" customFormat="false" ht="19.5" hidden="false" customHeight="true" outlineLevel="0" collapsed="false">
      <c r="A9" s="7" t="s">
        <v>11</v>
      </c>
      <c r="B9" s="8" t="s">
        <v>12</v>
      </c>
      <c r="C9" s="8"/>
      <c r="D9" s="8"/>
      <c r="E9" s="7" t="s">
        <v>13</v>
      </c>
      <c r="F9" s="8"/>
      <c r="G9" s="8"/>
      <c r="H9" s="8"/>
    </row>
    <row r="10" customFormat="false" ht="19.5" hidden="false" customHeight="true" outlineLevel="0" collapsed="false">
      <c r="A10" s="7" t="s">
        <v>14</v>
      </c>
      <c r="B10" s="9" t="s">
        <v>15</v>
      </c>
      <c r="C10" s="9"/>
      <c r="D10" s="9"/>
      <c r="E10" s="7" t="s">
        <v>16</v>
      </c>
      <c r="F10" s="10" t="str">
        <f aca="false">IFERROR(VLOOKUP($B$10,tbl_Bloques,2,FALSE()),"")</f>
        <v>C1076-Q9585</v>
      </c>
      <c r="G10" s="10"/>
      <c r="H10" s="10"/>
    </row>
    <row r="11" customFormat="false" ht="19.5" hidden="false" customHeight="true" outlineLevel="0" collapsed="false">
      <c r="A11" s="7" t="s">
        <v>17</v>
      </c>
      <c r="B11" s="10" t="str">
        <f aca="false">IFERROR(VLOOKUP($B$10,tbl_Bloques,3,FALSE()),"")</f>
        <v>Huancabamba</v>
      </c>
      <c r="C11" s="10"/>
      <c r="D11" s="10"/>
      <c r="E11" s="7" t="s">
        <v>18</v>
      </c>
      <c r="F11" s="10" t="str">
        <f aca="false">IFERROR(VLOOKUP($B$10,tbl_Bloques,4,FALSE()),"")</f>
        <v>Canchaque</v>
      </c>
      <c r="G11" s="10"/>
      <c r="H11" s="10"/>
    </row>
    <row r="12" customFormat="false" ht="19.5" hidden="false" customHeight="true" outlineLevel="0" collapsed="false">
      <c r="A12" s="7" t="s">
        <v>19</v>
      </c>
      <c r="B12" s="10" t="str">
        <f aca="false">IFERROR(VLOOKUP($B$10,tbl_Bloques,5,FALSE()),"")</f>
        <v>Z11</v>
      </c>
      <c r="C12" s="10"/>
      <c r="D12" s="10"/>
      <c r="E12" s="7" t="s">
        <v>20</v>
      </c>
      <c r="F12" s="10" t="n">
        <f aca="false">IFERROR(VLOOKUP($B$10,tbl_Bloques,8,FALSE()),"")</f>
        <v>8.93</v>
      </c>
      <c r="G12" s="10"/>
      <c r="H12" s="10"/>
    </row>
    <row r="13" customFormat="false" ht="19.5" hidden="false" customHeight="true" outlineLevel="0" collapsed="false">
      <c r="A13" s="7" t="s">
        <v>21</v>
      </c>
      <c r="B13" s="8" t="n">
        <v>641368</v>
      </c>
      <c r="C13" s="8"/>
      <c r="D13" s="8"/>
      <c r="E13" s="7" t="s">
        <v>22</v>
      </c>
      <c r="F13" s="8" t="n">
        <v>9401094</v>
      </c>
      <c r="G13" s="8"/>
      <c r="H13" s="8"/>
    </row>
    <row r="14" customFormat="false" ht="19.5" hidden="false" customHeight="true" outlineLevel="0" collapsed="false">
      <c r="A14" s="7" t="s">
        <v>23</v>
      </c>
      <c r="B14" s="8" t="s">
        <v>24</v>
      </c>
      <c r="C14" s="8"/>
      <c r="D14" s="8"/>
      <c r="E14" s="7" t="s">
        <v>25</v>
      </c>
      <c r="F14" s="8" t="s">
        <v>26</v>
      </c>
      <c r="G14" s="8"/>
      <c r="H14" s="8"/>
    </row>
    <row r="15" customFormat="false" ht="19.5" hidden="false" customHeight="true" outlineLevel="0" collapsed="false">
      <c r="A15" s="7" t="s">
        <v>27</v>
      </c>
      <c r="B15" s="8" t="s">
        <v>28</v>
      </c>
      <c r="C15" s="8"/>
      <c r="D15" s="8"/>
      <c r="E15" s="8"/>
      <c r="F15" s="8"/>
      <c r="G15" s="8"/>
      <c r="H15" s="8"/>
    </row>
    <row r="17" customFormat="false" ht="21.75" hidden="false" customHeight="true" outlineLevel="0" collapsed="false">
      <c r="A17" s="6" t="s">
        <v>29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</row>
    <row r="20" customFormat="false" ht="19.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8"/>
      <c r="H20" s="8"/>
    </row>
    <row r="21" customFormat="false" ht="19.5" hidden="false" customHeight="true" outlineLevel="0" collapsed="false">
      <c r="A21" s="7" t="s">
        <v>36</v>
      </c>
      <c r="B21" s="8" t="s">
        <v>37</v>
      </c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7" t="s">
        <v>38</v>
      </c>
      <c r="B22" s="8" t="s">
        <v>39</v>
      </c>
      <c r="C22" s="8"/>
      <c r="D22" s="8"/>
      <c r="E22" s="8"/>
      <c r="F22" s="8"/>
      <c r="G22" s="8"/>
      <c r="H22" s="8"/>
    </row>
    <row r="23" customFormat="false" ht="19.5" hidden="false" customHeight="true" outlineLevel="0" collapsed="false">
      <c r="A23" s="7" t="s">
        <v>40</v>
      </c>
      <c r="B23" s="8" t="s">
        <v>41</v>
      </c>
      <c r="C23" s="8"/>
      <c r="D23" s="8"/>
      <c r="E23" s="8"/>
      <c r="F23" s="8"/>
      <c r="G23" s="8"/>
      <c r="H23" s="8"/>
    </row>
    <row r="25" customFormat="false" ht="21.75" hidden="false" customHeight="true" outlineLevel="0" collapsed="false">
      <c r="A25" s="6" t="s">
        <v>42</v>
      </c>
      <c r="B25" s="6"/>
      <c r="C25" s="6"/>
      <c r="D25" s="6"/>
      <c r="E25" s="6"/>
      <c r="F25" s="6"/>
      <c r="G25" s="6"/>
      <c r="H25" s="6"/>
    </row>
    <row r="26" customFormat="false" ht="19.5" hidden="false" customHeight="true" outlineLevel="0" collapsed="false">
      <c r="A26" s="7" t="s">
        <v>43</v>
      </c>
      <c r="B26" s="8" t="s">
        <v>44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45</v>
      </c>
      <c r="B27" s="8" t="s">
        <v>46</v>
      </c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47</v>
      </c>
      <c r="B28" s="8" t="s">
        <v>46</v>
      </c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48</v>
      </c>
      <c r="B29" s="8" t="s">
        <v>46</v>
      </c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49</v>
      </c>
      <c r="B30" s="8" t="s">
        <v>46</v>
      </c>
      <c r="C30" s="8"/>
      <c r="D30" s="8"/>
      <c r="E30" s="8"/>
      <c r="F30" s="8"/>
      <c r="G30" s="8"/>
      <c r="H30" s="8"/>
    </row>
    <row r="32" customFormat="false" ht="21.75" hidden="false" customHeight="true" outlineLevel="0" collapsed="false">
      <c r="A32" s="6" t="s">
        <v>50</v>
      </c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11" t="s">
        <v>51</v>
      </c>
      <c r="B33" s="11"/>
      <c r="C33" s="11"/>
      <c r="D33" s="11"/>
      <c r="E33" s="11"/>
      <c r="F33" s="11"/>
      <c r="G33" s="11"/>
      <c r="H33" s="11"/>
    </row>
    <row r="34" customFormat="false" ht="27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27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B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Forma predominante del terreno" showDropDown="false" showErrorMessage="false" showInputMessage="false" sqref="B18" type="list">
      <formula1>lst_FormaTerreno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de pendiente dominante *" showDropDown="false" showErrorMessage="false" showInputMessage="false" sqref="B19" type="list">
      <formula1>lst_RangoPendiente</formula1>
      <formula2>0</formula2>
    </dataValidation>
    <dataValidation allowBlank="true" error="Seleccione un valor de la lista desplegable." errorStyle="stop" errorTitle="Valor no válido" operator="between" prompt="Elija una opción de la lista." promptTitle="Posición fisiográfica *" showDropDown="false" showErrorMessage="false" showInputMessage="false" sqref="B20" type="list">
      <formula1>lst_PosicionFisio</formula1>
      <formula2>0</formula2>
    </dataValidation>
    <dataValidation allowBlank="true" error="Seleccione un valor de la lista desplegable." errorStyle="stop" errorTitle="Valor no válido" operator="between" prompt="Elija una opción de la lista." promptTitle="Exposición / Orientación domin" showDropDown="false" showErrorMessage="false" showInputMessage="false" sqref="B21" type="list">
      <formula1>lst_Exposicion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altitudinal del bloque *" showDropDown="false" showErrorMessage="false" showInputMessage="false" sqref="B22" type="list">
      <formula1>lst_RangoAltitud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afloramientos roc" showDropDown="false" showErrorMessage="false" showInputMessage="false" sqref="B2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scarpes activos " showDropDown="false" showErrorMessage="false" showInputMessage="false" sqref="B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ptación de suelo observada?" showDropDown="false" showErrorMessage="false" showInputMessage="false" sqref="B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Deslizamientos antiguos obser" showDropDown="false" showErrorMessage="false" showInputMessage="false" sqref="B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mociones en masa activas? *" showDropDown="false" showErrorMessage="false" showInputMessage="false" sqref="B30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4" activeCellId="0" sqref="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53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9.5" hidden="false" customHeight="true" outlineLevel="0" collapsed="false">
      <c r="A8" s="7" t="s">
        <v>7</v>
      </c>
      <c r="B8" s="7"/>
      <c r="C8" s="7"/>
      <c r="D8" s="8" t="s">
        <v>8</v>
      </c>
      <c r="E8" s="8"/>
      <c r="F8" s="8"/>
      <c r="G8" s="7" t="s">
        <v>55</v>
      </c>
      <c r="H8" s="7"/>
      <c r="I8" s="7"/>
      <c r="J8" s="8" t="s">
        <v>12</v>
      </c>
      <c r="K8" s="8"/>
      <c r="L8" s="8"/>
    </row>
    <row r="9" customFormat="false" ht="19.5" hidden="false" customHeight="true" outlineLevel="0" collapsed="false">
      <c r="A9" s="7" t="s">
        <v>14</v>
      </c>
      <c r="B9" s="7"/>
      <c r="C9" s="7"/>
      <c r="D9" s="9" t="s">
        <v>15</v>
      </c>
      <c r="E9" s="9"/>
      <c r="F9" s="9"/>
      <c r="G9" s="7" t="s">
        <v>56</v>
      </c>
      <c r="H9" s="7"/>
      <c r="I9" s="7"/>
      <c r="J9" s="10" t="str">
        <f aca="false">IFERROR(VLOOKUP($D$9,tbl_Bloques,2,FALSE()),"")</f>
        <v>C1076-Q9585</v>
      </c>
      <c r="K9" s="10"/>
      <c r="L9" s="10"/>
    </row>
    <row r="10" customFormat="false" ht="19.5" hidden="false" customHeight="true" outlineLevel="0" collapsed="false">
      <c r="A10" s="7" t="s">
        <v>18</v>
      </c>
      <c r="B10" s="7"/>
      <c r="C10" s="7"/>
      <c r="D10" s="10" t="str">
        <f aca="false">IFERROR(VLOOKUP($D$9,tbl_Bloques,4,FALSE()),"")</f>
        <v>Canchaque</v>
      </c>
      <c r="E10" s="10"/>
      <c r="F10" s="10"/>
      <c r="G10" s="7" t="s">
        <v>57</v>
      </c>
      <c r="H10" s="7"/>
      <c r="I10" s="7"/>
      <c r="J10" s="8" t="s">
        <v>24</v>
      </c>
      <c r="K10" s="8"/>
      <c r="L10" s="8"/>
    </row>
    <row r="11" customFormat="false" ht="19.5" hidden="false" customHeight="true" outlineLevel="0" collapsed="false">
      <c r="A11" s="7" t="s">
        <v>58</v>
      </c>
      <c r="B11" s="7"/>
      <c r="C11" s="7"/>
      <c r="D11" s="8" t="n">
        <v>641368</v>
      </c>
      <c r="E11" s="8"/>
      <c r="F11" s="8"/>
      <c r="G11" s="7" t="s">
        <v>59</v>
      </c>
      <c r="H11" s="7"/>
      <c r="I11" s="7"/>
      <c r="J11" s="8" t="n">
        <v>9401094</v>
      </c>
      <c r="K11" s="8"/>
      <c r="L11" s="8"/>
    </row>
    <row r="13" customFormat="false" ht="21.75" hidden="false" customHeight="true" outlineLevel="0" collapsed="false">
      <c r="A13" s="6" t="s">
        <v>60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9.5" hidden="false" customHeight="true" outlineLevel="0" collapsed="false">
      <c r="A14" s="7" t="s">
        <v>61</v>
      </c>
      <c r="B14" s="7"/>
      <c r="C14" s="7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9.5" hidden="false" customHeight="true" outlineLevel="0" collapsed="false">
      <c r="A15" s="7" t="s">
        <v>62</v>
      </c>
      <c r="B15" s="7"/>
      <c r="C15" s="7"/>
      <c r="D15" s="8" t="s">
        <v>44</v>
      </c>
      <c r="E15" s="8"/>
      <c r="F15" s="8"/>
      <c r="G15" s="8"/>
      <c r="H15" s="8"/>
      <c r="I15" s="8"/>
      <c r="J15" s="8"/>
      <c r="K15" s="8"/>
      <c r="L15" s="8"/>
    </row>
    <row r="16" customFormat="false" ht="19.5" hidden="false" customHeight="true" outlineLevel="0" collapsed="false">
      <c r="A16" s="7" t="s">
        <v>63</v>
      </c>
      <c r="B16" s="7"/>
      <c r="C16" s="7"/>
      <c r="D16" s="8" t="s">
        <v>44</v>
      </c>
      <c r="E16" s="8"/>
      <c r="F16" s="8"/>
      <c r="G16" s="8"/>
      <c r="H16" s="8"/>
      <c r="I16" s="8"/>
      <c r="J16" s="8"/>
      <c r="K16" s="8"/>
      <c r="L16" s="8"/>
    </row>
    <row r="17" customFormat="false" ht="19.5" hidden="false" customHeight="true" outlineLevel="0" collapsed="false">
      <c r="A17" s="7" t="s">
        <v>64</v>
      </c>
      <c r="B17" s="7"/>
      <c r="C17" s="7"/>
      <c r="D17" s="8" t="s">
        <v>65</v>
      </c>
      <c r="E17" s="8"/>
      <c r="F17" s="8"/>
      <c r="G17" s="8"/>
      <c r="H17" s="8"/>
      <c r="I17" s="8"/>
      <c r="J17" s="8"/>
      <c r="K17" s="8"/>
      <c r="L17" s="8"/>
    </row>
    <row r="19" customFormat="false" ht="21.75" hidden="false" customHeight="true" outlineLevel="0" collapsed="false">
      <c r="A19" s="6" t="s">
        <v>66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12" t="s">
        <v>67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customFormat="false" ht="31.5" hidden="false" customHeight="true" outlineLevel="0" collapsed="false">
      <c r="A21" s="13" t="s">
        <v>68</v>
      </c>
      <c r="B21" s="13" t="s">
        <v>69</v>
      </c>
      <c r="C21" s="13" t="s">
        <v>70</v>
      </c>
      <c r="D21" s="13" t="s">
        <v>71</v>
      </c>
      <c r="E21" s="13" t="s">
        <v>72</v>
      </c>
      <c r="F21" s="13" t="s">
        <v>73</v>
      </c>
      <c r="G21" s="13" t="s">
        <v>74</v>
      </c>
      <c r="H21" s="13" t="s">
        <v>75</v>
      </c>
      <c r="I21" s="13" t="s">
        <v>76</v>
      </c>
      <c r="J21" s="13" t="s">
        <v>77</v>
      </c>
      <c r="K21" s="13" t="s">
        <v>78</v>
      </c>
      <c r="L21" s="13" t="s">
        <v>79</v>
      </c>
    </row>
    <row r="22" customFormat="false" ht="19.5" hidden="false" customHeight="true" outlineLevel="0" collapsed="false">
      <c r="A22" s="14" t="s">
        <v>80</v>
      </c>
      <c r="B22" s="14" t="s">
        <v>81</v>
      </c>
      <c r="C22" s="14" t="n">
        <v>641368</v>
      </c>
      <c r="D22" s="14" t="n">
        <v>9401094</v>
      </c>
      <c r="E22" s="14"/>
      <c r="F22" s="14"/>
      <c r="G22" s="14"/>
      <c r="H22" s="14"/>
      <c r="I22" s="14"/>
      <c r="J22" s="14" t="s">
        <v>82</v>
      </c>
      <c r="K22" s="15" t="s">
        <v>83</v>
      </c>
      <c r="L22" s="14" t="s">
        <v>84</v>
      </c>
    </row>
    <row r="23" customFormat="false" ht="19.5" hidden="false" customHeight="true" outlineLevel="0" collapsed="false">
      <c r="A23" s="14" t="s">
        <v>85</v>
      </c>
      <c r="B23" s="14" t="s">
        <v>86</v>
      </c>
      <c r="C23" s="14" t="n">
        <v>641365</v>
      </c>
      <c r="D23" s="14" t="n">
        <v>9401097</v>
      </c>
      <c r="E23" s="14"/>
      <c r="F23" s="14"/>
      <c r="G23" s="14"/>
      <c r="H23" s="14"/>
      <c r="I23" s="14"/>
      <c r="J23" s="14" t="s">
        <v>87</v>
      </c>
      <c r="K23" s="15" t="s">
        <v>88</v>
      </c>
      <c r="L23" s="14" t="s">
        <v>89</v>
      </c>
    </row>
    <row r="24" customFormat="false" ht="19.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4"/>
    </row>
    <row r="25" customFormat="false" ht="19.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14"/>
    </row>
    <row r="26" customFormat="false" ht="19.5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14"/>
    </row>
    <row r="27" customFormat="false" ht="19.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14"/>
    </row>
    <row r="28" customFormat="false" ht="19.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14"/>
    </row>
    <row r="29" customFormat="false" ht="19.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14"/>
    </row>
    <row r="30" customFormat="false" ht="19.5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14"/>
    </row>
    <row r="31" customFormat="false" ht="19.5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4"/>
    </row>
    <row r="33" customFormat="false" ht="21.75" hidden="false" customHeight="true" outlineLevel="0" collapsed="false">
      <c r="A33" s="6" t="s">
        <v>90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9.5" hidden="false" customHeight="true" outlineLevel="0" collapsed="false">
      <c r="A34" s="7" t="s">
        <v>91</v>
      </c>
      <c r="B34" s="7"/>
      <c r="C34" s="7"/>
      <c r="D34" s="8" t="s">
        <v>65</v>
      </c>
      <c r="E34" s="8"/>
      <c r="F34" s="8"/>
      <c r="G34" s="8"/>
      <c r="H34" s="8"/>
      <c r="I34" s="8"/>
      <c r="J34" s="8"/>
      <c r="K34" s="8"/>
      <c r="L34" s="8"/>
    </row>
    <row r="35" customFormat="false" ht="19.5" hidden="false" customHeight="true" outlineLevel="0" collapsed="false">
      <c r="A35" s="7" t="s">
        <v>92</v>
      </c>
      <c r="B35" s="7"/>
      <c r="C35" s="7"/>
      <c r="D35" s="8" t="n">
        <v>2</v>
      </c>
      <c r="E35" s="8"/>
      <c r="F35" s="8"/>
      <c r="G35" s="7" t="s">
        <v>93</v>
      </c>
      <c r="H35" s="7"/>
      <c r="I35" s="7"/>
      <c r="J35" s="8" t="s">
        <v>24</v>
      </c>
      <c r="K35" s="8"/>
      <c r="L35" s="8"/>
    </row>
    <row r="36" customFormat="false" ht="19.5" hidden="false" customHeight="true" outlineLevel="0" collapsed="false">
      <c r="A36" s="7" t="s">
        <v>94</v>
      </c>
      <c r="B36" s="7"/>
      <c r="C36" s="7"/>
      <c r="D36" s="8" t="s">
        <v>24</v>
      </c>
      <c r="E36" s="8"/>
      <c r="F36" s="8"/>
      <c r="G36" s="7" t="s">
        <v>95</v>
      </c>
      <c r="H36" s="7"/>
      <c r="I36" s="7"/>
      <c r="J36" s="8" t="s">
        <v>24</v>
      </c>
      <c r="K36" s="8"/>
      <c r="L36" s="8"/>
    </row>
    <row r="37" customFormat="false" ht="19.5" hidden="false" customHeight="true" outlineLevel="0" collapsed="false">
      <c r="A37" s="7" t="s">
        <v>96</v>
      </c>
      <c r="B37" s="7"/>
      <c r="C37" s="7"/>
      <c r="D37" s="8" t="s">
        <v>97</v>
      </c>
      <c r="E37" s="8"/>
      <c r="F37" s="8"/>
      <c r="G37" s="8"/>
      <c r="H37" s="8"/>
      <c r="I37" s="8"/>
      <c r="J37" s="8"/>
      <c r="K37" s="8"/>
      <c r="L37" s="8"/>
    </row>
    <row r="38" customFormat="false" ht="19.5" hidden="false" customHeight="true" outlineLevel="0" collapsed="false">
      <c r="A38" s="7" t="s">
        <v>98</v>
      </c>
      <c r="B38" s="7"/>
      <c r="C38" s="7"/>
      <c r="D38" s="8" t="s">
        <v>44</v>
      </c>
      <c r="E38" s="8"/>
      <c r="F38" s="8"/>
      <c r="G38" s="8"/>
      <c r="H38" s="8"/>
      <c r="I38" s="8"/>
      <c r="J38" s="8"/>
      <c r="K38" s="8"/>
      <c r="L38" s="8"/>
    </row>
    <row r="39" customFormat="false" ht="19.5" hidden="false" customHeight="true" outlineLevel="0" collapsed="false">
      <c r="A39" s="7" t="s">
        <v>99</v>
      </c>
      <c r="B39" s="7"/>
      <c r="C39" s="7"/>
      <c r="D39" s="8" t="s">
        <v>100</v>
      </c>
      <c r="E39" s="8"/>
      <c r="F39" s="8"/>
      <c r="G39" s="8"/>
      <c r="H39" s="8"/>
      <c r="I39" s="8"/>
      <c r="J39" s="8"/>
      <c r="K39" s="8"/>
      <c r="L39" s="8"/>
    </row>
    <row r="41" customFormat="false" ht="21.75" hidden="false" customHeight="true" outlineLevel="0" collapsed="false">
      <c r="A41" s="6" t="s">
        <v>50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27.75" hidden="false" customHeight="true" outlineLevel="0" collapsed="false">
      <c r="A42" s="11" t="s">
        <v>101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27.7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customFormat="false" ht="27.7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38:C38"/>
    <mergeCell ref="D38:L38"/>
    <mergeCell ref="A39:C39"/>
    <mergeCell ref="D39:L39"/>
    <mergeCell ref="A41:L41"/>
    <mergeCell ref="A42:L44"/>
  </mergeCells>
  <dataValidations count="12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D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Sellamiento / Costra superfici" showDropDown="false" showErrorMessage="false" showInputMessage="false" sqref="D1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Compactación por pisoteo de g" showDropDown="false" showErrorMessage="false" showInputMessage="false" sqref="D15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aíces expuestas en superfici" showDropDown="false" showErrorMessage="false" showInputMessage="false" sqref="D1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obser" showDropDown="false" showErrorMessage="false" showInputMessage="false" sqref="D17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árcava" showDropDown="false" showErrorMessage="false" showInputMessage="false" sqref="B22:B31" type="list">
      <formula1>lst_TipoCarcava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/ Actividad" showDropDown="false" showErrorMessage="false" showInputMessage="false" sqref="J22:J31" type="list">
      <formula1>lst_EstadoCarcava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Causa principal" showDropDown="false" showErrorMessage="false" showInputMessage="false" sqref="K22:K31" type="list">
      <formula1>lst_CausaCarcava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(sínt" showDropDown="false" showErrorMessage="false" showInputMessage="false" sqref="D34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Patrón de cárcavas dominante" showDropDown="false" showErrorMessage="false" showInputMessage="false" sqref="D37" type="list">
      <formula1>lst_PatronCarcavas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socavamiento de c" showDropDown="false" showErrorMessage="false" showInputMessage="false" sqref="D3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control" showDropDown="false" showErrorMessage="false" showInputMessage="false" sqref="D3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7.75" hidden="false" customHeight="true" outlineLevel="0" collapsed="false">
      <c r="A4" s="3" t="s">
        <v>102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103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</row>
    <row r="8" customFormat="false" ht="19.5" hidden="false" customHeight="true" outlineLevel="0" collapsed="false">
      <c r="A8" s="7" t="s">
        <v>104</v>
      </c>
      <c r="B8" s="7"/>
      <c r="C8" s="8" t="s">
        <v>8</v>
      </c>
      <c r="D8" s="8"/>
      <c r="E8" s="7" t="s">
        <v>55</v>
      </c>
      <c r="F8" s="7"/>
      <c r="G8" s="8" t="s">
        <v>12</v>
      </c>
      <c r="H8" s="8"/>
      <c r="I8" s="8"/>
    </row>
    <row r="9" customFormat="false" ht="19.5" hidden="false" customHeight="true" outlineLevel="0" collapsed="false">
      <c r="A9" s="7" t="s">
        <v>14</v>
      </c>
      <c r="B9" s="7"/>
      <c r="C9" s="9" t="s">
        <v>15</v>
      </c>
      <c r="D9" s="9"/>
      <c r="E9" s="7" t="s">
        <v>105</v>
      </c>
      <c r="F9" s="7"/>
      <c r="G9" s="10" t="str">
        <f aca="false">IFERROR(VLOOKUP($C$9,tbl_Bloques,2,FALSE()),"")</f>
        <v>C1076-Q9585</v>
      </c>
      <c r="H9" s="10"/>
      <c r="I9" s="10"/>
    </row>
    <row r="10" customFormat="false" ht="19.5" hidden="false" customHeight="true" outlineLevel="0" collapsed="false">
      <c r="A10" s="7" t="s">
        <v>18</v>
      </c>
      <c r="B10" s="7"/>
      <c r="C10" s="10" t="str">
        <f aca="false">IFERROR(VLOOKUP($C$9,tbl_Bloques,4,FALSE()),"")</f>
        <v>Canchaque</v>
      </c>
      <c r="D10" s="10"/>
      <c r="E10" s="7" t="s">
        <v>106</v>
      </c>
      <c r="F10" s="7"/>
      <c r="G10" s="8"/>
      <c r="H10" s="8"/>
      <c r="I10" s="8"/>
    </row>
    <row r="11" customFormat="false" ht="19.5" hidden="false" customHeight="true" outlineLevel="0" collapsed="false">
      <c r="A11" s="7" t="s">
        <v>107</v>
      </c>
      <c r="B11" s="7"/>
      <c r="C11" s="8"/>
      <c r="D11" s="8"/>
      <c r="E11" s="7" t="s">
        <v>57</v>
      </c>
      <c r="F11" s="7"/>
      <c r="G11" s="8"/>
      <c r="H11" s="8"/>
      <c r="I11" s="8"/>
    </row>
    <row r="12" customFormat="false" ht="19.5" hidden="false" customHeight="true" outlineLevel="0" collapsed="false">
      <c r="A12" s="7" t="s">
        <v>108</v>
      </c>
      <c r="B12" s="7"/>
      <c r="C12" s="8"/>
      <c r="D12" s="8"/>
      <c r="E12" s="7" t="s">
        <v>109</v>
      </c>
      <c r="F12" s="7"/>
      <c r="G12" s="8" t="n">
        <v>70</v>
      </c>
      <c r="H12" s="8"/>
      <c r="I12" s="8"/>
    </row>
    <row r="13" customFormat="false" ht="19.5" hidden="false" customHeight="true" outlineLevel="0" collapsed="false">
      <c r="A13" s="7" t="s">
        <v>110</v>
      </c>
      <c r="B13" s="7"/>
      <c r="C13" s="8" t="n">
        <v>641716</v>
      </c>
      <c r="D13" s="8"/>
      <c r="E13" s="7" t="n">
        <v>9401039</v>
      </c>
      <c r="F13" s="7"/>
      <c r="G13" s="8"/>
      <c r="H13" s="8"/>
      <c r="I13" s="8"/>
    </row>
    <row r="15" customFormat="false" ht="21.75" hidden="false" customHeight="true" outlineLevel="0" collapsed="false">
      <c r="A15" s="6" t="s">
        <v>111</v>
      </c>
      <c r="B15" s="6"/>
      <c r="C15" s="6"/>
      <c r="D15" s="6"/>
      <c r="E15" s="6"/>
      <c r="F15" s="6"/>
      <c r="G15" s="6"/>
      <c r="H15" s="6"/>
      <c r="I15" s="6"/>
    </row>
    <row r="16" customFormat="false" ht="19.5" hidden="false" customHeight="true" outlineLevel="0" collapsed="false">
      <c r="A16" s="7" t="s">
        <v>112</v>
      </c>
      <c r="B16" s="7"/>
      <c r="C16" s="8" t="s">
        <v>113</v>
      </c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7" t="s">
        <v>114</v>
      </c>
      <c r="B17" s="7"/>
      <c r="C17" s="8" t="n">
        <v>8.93</v>
      </c>
      <c r="D17" s="8"/>
      <c r="E17" s="8"/>
      <c r="F17" s="8"/>
      <c r="G17" s="8"/>
      <c r="H17" s="8"/>
      <c r="I17" s="8"/>
    </row>
    <row r="18" customFormat="false" ht="19.5" hidden="false" customHeight="true" outlineLevel="0" collapsed="false">
      <c r="A18" s="7" t="s">
        <v>115</v>
      </c>
      <c r="B18" s="7"/>
      <c r="C18" s="8" t="s">
        <v>116</v>
      </c>
      <c r="D18" s="8"/>
      <c r="E18" s="8"/>
      <c r="F18" s="8"/>
      <c r="G18" s="8"/>
      <c r="H18" s="8"/>
      <c r="I18" s="8"/>
    </row>
    <row r="19" customFormat="false" ht="19.5" hidden="false" customHeight="true" outlineLevel="0" collapsed="false">
      <c r="A19" s="7" t="s">
        <v>117</v>
      </c>
      <c r="B19" s="7"/>
      <c r="C19" s="8" t="s">
        <v>118</v>
      </c>
      <c r="D19" s="8"/>
      <c r="E19" s="8"/>
      <c r="F19" s="8"/>
      <c r="G19" s="8"/>
      <c r="H19" s="8"/>
      <c r="I19" s="8"/>
    </row>
    <row r="21" customFormat="false" ht="21.75" hidden="false" customHeight="true" outlineLevel="0" collapsed="false">
      <c r="A21" s="6" t="s">
        <v>119</v>
      </c>
      <c r="B21" s="6"/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A22" s="7" t="s">
        <v>120</v>
      </c>
      <c r="B22" s="7"/>
      <c r="C22" s="8"/>
      <c r="D22" s="8"/>
      <c r="E22" s="7" t="s">
        <v>121</v>
      </c>
      <c r="F22" s="7"/>
      <c r="G22" s="8"/>
      <c r="H22" s="8"/>
      <c r="I22" s="8"/>
    </row>
    <row r="23" customFormat="false" ht="19.5" hidden="false" customHeight="true" outlineLevel="0" collapsed="false">
      <c r="A23" s="7" t="s">
        <v>122</v>
      </c>
      <c r="B23" s="7"/>
      <c r="C23" s="8"/>
      <c r="D23" s="8"/>
      <c r="E23" s="7" t="s">
        <v>123</v>
      </c>
      <c r="F23" s="7"/>
      <c r="G23" s="8"/>
      <c r="H23" s="8"/>
      <c r="I23" s="8"/>
    </row>
    <row r="24" customFormat="false" ht="19.5" hidden="false" customHeight="true" outlineLevel="0" collapsed="false">
      <c r="A24" s="7" t="s">
        <v>124</v>
      </c>
      <c r="B24" s="7"/>
      <c r="C24" s="8" t="n">
        <v>15</v>
      </c>
      <c r="D24" s="8"/>
      <c r="E24" s="7" t="s">
        <v>125</v>
      </c>
      <c r="F24" s="7"/>
      <c r="G24" s="8"/>
      <c r="H24" s="8"/>
      <c r="I24" s="8"/>
    </row>
    <row r="25" customFormat="false" ht="19.5" hidden="false" customHeight="true" outlineLevel="0" collapsed="false">
      <c r="A25" s="7" t="s">
        <v>126</v>
      </c>
      <c r="B25" s="7"/>
      <c r="C25" s="8"/>
      <c r="D25" s="8"/>
      <c r="E25" s="7" t="s">
        <v>127</v>
      </c>
      <c r="F25" s="7"/>
      <c r="G25" s="8"/>
      <c r="H25" s="8"/>
      <c r="I25" s="8"/>
    </row>
    <row r="26" customFormat="false" ht="19.5" hidden="false" customHeight="true" outlineLevel="0" collapsed="false">
      <c r="A26" s="7" t="s">
        <v>128</v>
      </c>
      <c r="B26" s="7"/>
      <c r="C26" s="8" t="s">
        <v>129</v>
      </c>
      <c r="D26" s="8"/>
      <c r="E26" s="8"/>
      <c r="F26" s="8"/>
      <c r="G26" s="8"/>
      <c r="H26" s="8"/>
      <c r="I26" s="8"/>
    </row>
    <row r="27" customFormat="false" ht="19.5" hidden="false" customHeight="true" outlineLevel="0" collapsed="false">
      <c r="A27" s="7" t="s">
        <v>130</v>
      </c>
      <c r="B27" s="7"/>
      <c r="C27" s="8" t="s">
        <v>131</v>
      </c>
      <c r="D27" s="8"/>
      <c r="E27" s="8"/>
      <c r="F27" s="8"/>
      <c r="G27" s="8"/>
      <c r="H27" s="8"/>
      <c r="I27" s="8"/>
    </row>
    <row r="28" customFormat="false" ht="19.5" hidden="false" customHeight="true" outlineLevel="0" collapsed="false">
      <c r="A28" s="7" t="s">
        <v>132</v>
      </c>
      <c r="B28" s="7"/>
      <c r="C28" s="8"/>
      <c r="D28" s="8"/>
      <c r="E28" s="8"/>
      <c r="F28" s="8"/>
      <c r="G28" s="8"/>
      <c r="H28" s="8"/>
      <c r="I28" s="8"/>
    </row>
    <row r="29" customFormat="false" ht="19.5" hidden="false" customHeight="true" outlineLevel="0" collapsed="false">
      <c r="A29" s="7" t="s">
        <v>133</v>
      </c>
      <c r="B29" s="7"/>
      <c r="C29" s="8" t="s">
        <v>134</v>
      </c>
      <c r="D29" s="8"/>
      <c r="E29" s="8"/>
      <c r="F29" s="8"/>
      <c r="G29" s="8"/>
      <c r="H29" s="8"/>
      <c r="I29" s="8"/>
    </row>
    <row r="30" customFormat="false" ht="19.5" hidden="false" customHeight="true" outlineLevel="0" collapsed="false">
      <c r="A30" s="7" t="s">
        <v>135</v>
      </c>
      <c r="B30" s="7"/>
      <c r="C30" s="8" t="s">
        <v>136</v>
      </c>
      <c r="D30" s="8"/>
      <c r="E30" s="8"/>
      <c r="F30" s="8"/>
      <c r="G30" s="8"/>
      <c r="H30" s="8"/>
      <c r="I30" s="8"/>
    </row>
    <row r="32" customFormat="false" ht="21.75" hidden="false" customHeight="true" outlineLevel="0" collapsed="false">
      <c r="A32" s="6" t="s">
        <v>137</v>
      </c>
      <c r="B32" s="6"/>
      <c r="C32" s="6"/>
      <c r="D32" s="6"/>
      <c r="E32" s="6"/>
      <c r="F32" s="6"/>
      <c r="G32" s="6"/>
      <c r="H32" s="6"/>
      <c r="I32" s="6"/>
    </row>
    <row r="33" customFormat="false" ht="43.5" hidden="false" customHeight="true" outlineLevel="0" collapsed="false">
      <c r="A33" s="12" t="s">
        <v>138</v>
      </c>
      <c r="B33" s="12"/>
      <c r="C33" s="12"/>
      <c r="D33" s="12"/>
      <c r="E33" s="12"/>
      <c r="F33" s="12"/>
      <c r="G33" s="12"/>
      <c r="H33" s="12"/>
      <c r="I33" s="12"/>
    </row>
    <row r="34" customFormat="false" ht="31.5" hidden="false" customHeight="true" outlineLevel="0" collapsed="false">
      <c r="A34" s="13" t="s">
        <v>139</v>
      </c>
      <c r="B34" s="13" t="s">
        <v>140</v>
      </c>
      <c r="C34" s="13" t="s">
        <v>141</v>
      </c>
      <c r="D34" s="13" t="s">
        <v>142</v>
      </c>
      <c r="E34" s="13" t="s">
        <v>143</v>
      </c>
      <c r="F34" s="13" t="s">
        <v>144</v>
      </c>
      <c r="G34" s="13" t="s">
        <v>145</v>
      </c>
      <c r="H34" s="13" t="s">
        <v>146</v>
      </c>
      <c r="I34" s="13" t="s">
        <v>147</v>
      </c>
    </row>
    <row r="35" customFormat="false" ht="18" hidden="false" customHeight="true" outlineLevel="0" collapsed="false">
      <c r="A35" s="16" t="n">
        <v>1</v>
      </c>
      <c r="B35" s="15" t="s">
        <v>148</v>
      </c>
      <c r="C35" s="15" t="s">
        <v>149</v>
      </c>
      <c r="D35" s="15" t="s">
        <v>150</v>
      </c>
      <c r="E35" s="14" t="s">
        <v>151</v>
      </c>
      <c r="F35" s="14" t="s">
        <v>152</v>
      </c>
      <c r="G35" s="14"/>
      <c r="H35" s="14"/>
      <c r="I35" s="14"/>
    </row>
    <row r="36" customFormat="false" ht="18" hidden="false" customHeight="true" outlineLevel="0" collapsed="false">
      <c r="A36" s="16" t="n">
        <v>2</v>
      </c>
      <c r="B36" s="15" t="s">
        <v>153</v>
      </c>
      <c r="C36" s="15" t="s">
        <v>154</v>
      </c>
      <c r="D36" s="15" t="s">
        <v>155</v>
      </c>
      <c r="E36" s="14" t="s">
        <v>156</v>
      </c>
      <c r="F36" s="14" t="s">
        <v>152</v>
      </c>
      <c r="G36" s="14"/>
      <c r="H36" s="14"/>
      <c r="I36" s="14"/>
    </row>
    <row r="37" customFormat="false" ht="18" hidden="false" customHeight="true" outlineLevel="0" collapsed="false">
      <c r="A37" s="16" t="n">
        <v>3</v>
      </c>
      <c r="B37" s="15" t="s">
        <v>157</v>
      </c>
      <c r="C37" s="15" t="s">
        <v>158</v>
      </c>
      <c r="D37" s="15" t="s">
        <v>155</v>
      </c>
      <c r="E37" s="14" t="s">
        <v>159</v>
      </c>
      <c r="F37" s="14" t="s">
        <v>152</v>
      </c>
      <c r="G37" s="14"/>
      <c r="H37" s="14"/>
      <c r="I37" s="14"/>
    </row>
    <row r="38" customFormat="false" ht="18" hidden="false" customHeight="true" outlineLevel="0" collapsed="false">
      <c r="A38" s="16" t="n">
        <v>4</v>
      </c>
      <c r="B38" s="15" t="s">
        <v>160</v>
      </c>
      <c r="C38" s="15" t="s">
        <v>161</v>
      </c>
      <c r="D38" s="15" t="s">
        <v>162</v>
      </c>
      <c r="E38" s="14" t="s">
        <v>156</v>
      </c>
      <c r="F38" s="14" t="s">
        <v>152</v>
      </c>
      <c r="G38" s="14"/>
      <c r="H38" s="14"/>
      <c r="I38" s="14"/>
    </row>
    <row r="39" customFormat="false" ht="18" hidden="false" customHeight="true" outlineLevel="0" collapsed="false">
      <c r="A39" s="16" t="n">
        <v>5</v>
      </c>
      <c r="B39" s="15" t="s">
        <v>163</v>
      </c>
      <c r="C39" s="15" t="s">
        <v>164</v>
      </c>
      <c r="D39" s="15" t="s">
        <v>165</v>
      </c>
      <c r="E39" s="14" t="s">
        <v>159</v>
      </c>
      <c r="F39" s="14" t="s">
        <v>152</v>
      </c>
      <c r="G39" s="14"/>
      <c r="H39" s="14"/>
      <c r="I39" s="14"/>
    </row>
    <row r="40" customFormat="false" ht="18" hidden="false" customHeight="true" outlineLevel="0" collapsed="false">
      <c r="A40" s="16" t="n">
        <v>6</v>
      </c>
      <c r="B40" s="15" t="s">
        <v>166</v>
      </c>
      <c r="C40" s="15" t="s">
        <v>167</v>
      </c>
      <c r="D40" s="15" t="s">
        <v>168</v>
      </c>
      <c r="E40" s="14" t="s">
        <v>159</v>
      </c>
      <c r="F40" s="14" t="s">
        <v>152</v>
      </c>
      <c r="G40" s="14"/>
      <c r="H40" s="14"/>
      <c r="I40" s="14"/>
    </row>
    <row r="41" customFormat="false" ht="18" hidden="false" customHeight="true" outlineLevel="0" collapsed="false">
      <c r="A41" s="16" t="n">
        <v>7</v>
      </c>
      <c r="B41" s="15" t="s">
        <v>169</v>
      </c>
      <c r="C41" s="15" t="s">
        <v>170</v>
      </c>
      <c r="D41" s="15" t="s">
        <v>171</v>
      </c>
      <c r="E41" s="14" t="s">
        <v>172</v>
      </c>
      <c r="F41" s="14" t="s">
        <v>152</v>
      </c>
      <c r="G41" s="14"/>
      <c r="H41" s="14"/>
      <c r="I41" s="14"/>
    </row>
    <row r="42" customFormat="false" ht="18" hidden="false" customHeight="true" outlineLevel="0" collapsed="false">
      <c r="A42" s="16" t="n">
        <v>8</v>
      </c>
      <c r="B42" s="15" t="s">
        <v>173</v>
      </c>
      <c r="C42" s="15" t="s">
        <v>174</v>
      </c>
      <c r="D42" s="15" t="s">
        <v>155</v>
      </c>
      <c r="E42" s="14" t="s">
        <v>156</v>
      </c>
      <c r="F42" s="14" t="s">
        <v>152</v>
      </c>
      <c r="G42" s="14"/>
      <c r="H42" s="14"/>
      <c r="I42" s="14"/>
    </row>
    <row r="43" customFormat="false" ht="18" hidden="false" customHeight="true" outlineLevel="0" collapsed="false">
      <c r="A43" s="16" t="n">
        <v>9</v>
      </c>
      <c r="B43" s="15" t="s">
        <v>175</v>
      </c>
      <c r="C43" s="15" t="s">
        <v>176</v>
      </c>
      <c r="D43" s="15" t="s">
        <v>155</v>
      </c>
      <c r="E43" s="14" t="s">
        <v>159</v>
      </c>
      <c r="F43" s="14" t="s">
        <v>152</v>
      </c>
      <c r="G43" s="14"/>
      <c r="H43" s="14"/>
      <c r="I43" s="14"/>
    </row>
    <row r="44" customFormat="false" ht="18" hidden="false" customHeight="true" outlineLevel="0" collapsed="false">
      <c r="A44" s="16" t="n">
        <v>10</v>
      </c>
      <c r="B44" s="15" t="s">
        <v>177</v>
      </c>
      <c r="C44" s="15" t="s">
        <v>178</v>
      </c>
      <c r="D44" s="15"/>
      <c r="E44" s="14"/>
      <c r="F44" s="14" t="s">
        <v>152</v>
      </c>
      <c r="G44" s="14"/>
      <c r="H44" s="14"/>
      <c r="I44" s="14"/>
    </row>
    <row r="45" customFormat="false" ht="18" hidden="false" customHeight="true" outlineLevel="0" collapsed="false">
      <c r="A45" s="16" t="n">
        <v>11</v>
      </c>
      <c r="B45" s="15" t="s">
        <v>179</v>
      </c>
      <c r="C45" s="15" t="s">
        <v>180</v>
      </c>
      <c r="D45" s="15" t="s">
        <v>181</v>
      </c>
      <c r="E45" s="14" t="s">
        <v>182</v>
      </c>
      <c r="F45" s="14" t="s">
        <v>152</v>
      </c>
      <c r="G45" s="14"/>
      <c r="H45" s="14"/>
      <c r="I45" s="14"/>
    </row>
    <row r="46" customFormat="false" ht="18" hidden="false" customHeight="true" outlineLevel="0" collapsed="false">
      <c r="A46" s="16" t="n">
        <v>12</v>
      </c>
      <c r="B46" s="15" t="s">
        <v>183</v>
      </c>
      <c r="C46" s="15" t="s">
        <v>184</v>
      </c>
      <c r="D46" s="15" t="s">
        <v>185</v>
      </c>
      <c r="E46" s="14" t="s">
        <v>159</v>
      </c>
      <c r="F46" s="14"/>
      <c r="G46" s="14"/>
      <c r="H46" s="14"/>
      <c r="I46" s="14"/>
    </row>
    <row r="47" customFormat="false" ht="18" hidden="false" customHeight="true" outlineLevel="0" collapsed="false">
      <c r="A47" s="16" t="n">
        <v>13</v>
      </c>
      <c r="B47" s="15" t="s">
        <v>186</v>
      </c>
      <c r="C47" s="15" t="s">
        <v>187</v>
      </c>
      <c r="D47" s="15" t="s">
        <v>162</v>
      </c>
      <c r="E47" s="14" t="s">
        <v>156</v>
      </c>
      <c r="F47" s="14" t="s">
        <v>188</v>
      </c>
      <c r="G47" s="14"/>
      <c r="H47" s="14"/>
      <c r="I47" s="14"/>
    </row>
    <row r="48" customFormat="false" ht="18" hidden="false" customHeight="true" outlineLevel="0" collapsed="false">
      <c r="A48" s="16" t="n">
        <v>14</v>
      </c>
      <c r="B48" s="15" t="s">
        <v>189</v>
      </c>
      <c r="C48" s="15" t="s">
        <v>190</v>
      </c>
      <c r="D48" s="15" t="s">
        <v>150</v>
      </c>
      <c r="E48" s="14"/>
      <c r="F48" s="14" t="s">
        <v>152</v>
      </c>
      <c r="G48" s="14"/>
      <c r="H48" s="14"/>
      <c r="I48" s="14"/>
    </row>
    <row r="49" customFormat="false" ht="18" hidden="false" customHeight="true" outlineLevel="0" collapsed="false">
      <c r="A49" s="16" t="n">
        <v>15</v>
      </c>
      <c r="B49" s="15"/>
      <c r="C49" s="15"/>
      <c r="D49" s="15"/>
      <c r="E49" s="14"/>
      <c r="F49" s="14"/>
      <c r="G49" s="14"/>
      <c r="H49" s="14"/>
      <c r="I49" s="14"/>
    </row>
    <row r="51" customFormat="false" ht="21.75" hidden="false" customHeight="true" outlineLevel="0" collapsed="false">
      <c r="A51" s="6" t="s">
        <v>191</v>
      </c>
      <c r="B51" s="6"/>
      <c r="C51" s="6"/>
      <c r="D51" s="6"/>
      <c r="E51" s="6"/>
      <c r="F51" s="6"/>
      <c r="G51" s="6"/>
      <c r="H51" s="6"/>
      <c r="I51" s="6"/>
    </row>
    <row r="52" customFormat="false" ht="30" hidden="false" customHeight="true" outlineLevel="0" collapsed="false">
      <c r="A52" s="13" t="s">
        <v>139</v>
      </c>
      <c r="B52" s="13" t="s">
        <v>192</v>
      </c>
      <c r="C52" s="13" t="s">
        <v>193</v>
      </c>
      <c r="D52" s="13" t="s">
        <v>194</v>
      </c>
      <c r="E52" s="13" t="s">
        <v>195</v>
      </c>
      <c r="F52" s="13" t="s">
        <v>196</v>
      </c>
      <c r="G52" s="13" t="s">
        <v>197</v>
      </c>
      <c r="H52" s="13" t="s">
        <v>198</v>
      </c>
      <c r="I52" s="13" t="s">
        <v>199</v>
      </c>
    </row>
    <row r="53" customFormat="false" ht="18" hidden="false" customHeight="true" outlineLevel="0" collapsed="false">
      <c r="A53" s="16" t="n">
        <v>1</v>
      </c>
      <c r="B53" s="15" t="s">
        <v>200</v>
      </c>
      <c r="C53" s="15" t="s">
        <v>201</v>
      </c>
      <c r="D53" s="15" t="s">
        <v>202</v>
      </c>
      <c r="E53" s="14" t="n">
        <v>641336</v>
      </c>
      <c r="F53" s="14" t="n">
        <v>9401113</v>
      </c>
      <c r="G53" s="14"/>
      <c r="H53" s="14" t="s">
        <v>203</v>
      </c>
      <c r="I53" s="15" t="s">
        <v>204</v>
      </c>
    </row>
    <row r="54" customFormat="false" ht="18" hidden="false" customHeight="true" outlineLevel="0" collapsed="false">
      <c r="A54" s="16" t="n">
        <v>2</v>
      </c>
      <c r="B54" s="15" t="s">
        <v>205</v>
      </c>
      <c r="C54" s="15" t="s">
        <v>201</v>
      </c>
      <c r="D54" s="15" t="s">
        <v>206</v>
      </c>
      <c r="E54" s="14"/>
      <c r="F54" s="14"/>
      <c r="G54" s="14"/>
      <c r="H54" s="14"/>
      <c r="I54" s="15" t="s">
        <v>207</v>
      </c>
    </row>
    <row r="55" customFormat="false" ht="18" hidden="false" customHeight="true" outlineLevel="0" collapsed="false">
      <c r="A55" s="16" t="n">
        <v>3</v>
      </c>
      <c r="B55" s="15" t="s">
        <v>208</v>
      </c>
      <c r="C55" s="15" t="s">
        <v>201</v>
      </c>
      <c r="D55" s="15" t="s">
        <v>206</v>
      </c>
      <c r="E55" s="14"/>
      <c r="F55" s="14"/>
      <c r="G55" s="14"/>
      <c r="H55" s="14"/>
      <c r="I55" s="15" t="s">
        <v>209</v>
      </c>
    </row>
    <row r="56" customFormat="false" ht="18" hidden="false" customHeight="true" outlineLevel="0" collapsed="false">
      <c r="A56" s="16" t="n">
        <v>4</v>
      </c>
      <c r="B56" s="15" t="s">
        <v>210</v>
      </c>
      <c r="C56" s="15" t="s">
        <v>201</v>
      </c>
      <c r="D56" s="15" t="s">
        <v>206</v>
      </c>
      <c r="E56" s="14"/>
      <c r="F56" s="14"/>
      <c r="G56" s="14"/>
      <c r="H56" s="14"/>
      <c r="I56" s="15" t="s">
        <v>209</v>
      </c>
    </row>
    <row r="57" customFormat="false" ht="18" hidden="false" customHeight="true" outlineLevel="0" collapsed="false">
      <c r="A57" s="16" t="n">
        <v>5</v>
      </c>
      <c r="B57" s="15" t="s">
        <v>211</v>
      </c>
      <c r="C57" s="15" t="s">
        <v>201</v>
      </c>
      <c r="D57" s="15" t="s">
        <v>212</v>
      </c>
      <c r="E57" s="14"/>
      <c r="F57" s="14"/>
      <c r="G57" s="14"/>
      <c r="H57" s="14"/>
      <c r="I57" s="15" t="s">
        <v>213</v>
      </c>
    </row>
    <row r="58" customFormat="false" ht="18" hidden="false" customHeight="true" outlineLevel="0" collapsed="false">
      <c r="A58" s="16" t="n">
        <v>6</v>
      </c>
      <c r="B58" s="15"/>
      <c r="C58" s="15"/>
      <c r="D58" s="15"/>
      <c r="E58" s="14"/>
      <c r="F58" s="14"/>
      <c r="G58" s="14"/>
      <c r="H58" s="14"/>
      <c r="I58" s="15"/>
    </row>
    <row r="59" customFormat="false" ht="18" hidden="false" customHeight="true" outlineLevel="0" collapsed="false">
      <c r="A59" s="16" t="n">
        <v>7</v>
      </c>
      <c r="B59" s="15"/>
      <c r="C59" s="15"/>
      <c r="D59" s="15"/>
      <c r="E59" s="14"/>
      <c r="F59" s="14"/>
      <c r="G59" s="14"/>
      <c r="H59" s="14"/>
      <c r="I59" s="15"/>
    </row>
    <row r="60" customFormat="false" ht="18" hidden="false" customHeight="true" outlineLevel="0" collapsed="false">
      <c r="A60" s="16" t="n">
        <v>8</v>
      </c>
      <c r="B60" s="15"/>
      <c r="C60" s="15"/>
      <c r="D60" s="15"/>
      <c r="E60" s="14"/>
      <c r="F60" s="14"/>
      <c r="G60" s="14"/>
      <c r="H60" s="14"/>
      <c r="I60" s="15"/>
    </row>
    <row r="61" customFormat="false" ht="18" hidden="false" customHeight="true" outlineLevel="0" collapsed="false">
      <c r="A61" s="16" t="n">
        <v>9</v>
      </c>
      <c r="B61" s="15"/>
      <c r="C61" s="15"/>
      <c r="D61" s="15"/>
      <c r="E61" s="14"/>
      <c r="F61" s="14"/>
      <c r="G61" s="14"/>
      <c r="H61" s="14"/>
      <c r="I61" s="15"/>
    </row>
    <row r="62" customFormat="false" ht="18" hidden="false" customHeight="true" outlineLevel="0" collapsed="false">
      <c r="A62" s="16" t="n">
        <v>10</v>
      </c>
      <c r="B62" s="15"/>
      <c r="C62" s="15"/>
      <c r="D62" s="15"/>
      <c r="E62" s="14"/>
      <c r="F62" s="14"/>
      <c r="G62" s="14"/>
      <c r="H62" s="14"/>
      <c r="I62" s="15"/>
    </row>
    <row r="64" customFormat="false" ht="21.75" hidden="false" customHeight="true" outlineLevel="0" collapsed="false">
      <c r="A64" s="6" t="s">
        <v>50</v>
      </c>
      <c r="B64" s="6"/>
      <c r="C64" s="6"/>
      <c r="D64" s="6"/>
      <c r="E64" s="6"/>
      <c r="F64" s="6"/>
      <c r="G64" s="6"/>
      <c r="H64" s="6"/>
      <c r="I64" s="6"/>
    </row>
    <row r="65" customFormat="false" ht="27.7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</row>
    <row r="66" customFormat="false" ht="27.7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</row>
    <row r="67" customFormat="false" ht="27.7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2:I32"/>
    <mergeCell ref="A33:I33"/>
    <mergeCell ref="A51:I51"/>
    <mergeCell ref="A64:I64"/>
    <mergeCell ref="A65:I67"/>
  </mergeCells>
  <dataValidations count="14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ecosistema MINAM (domi" showDropDown="false" showErrorMessage="false" showInputMessage="false" sqref="C16" type="list">
      <formula1>lst_TipoEcosistema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de conservación general" showDropDown="false" showErrorMessage="false" showInputMessage="false" sqref="C18" type="list">
      <formula1>lst_EstadoConservacion</formula1>
      <formula2>0</formula2>
    </dataValidation>
    <dataValidation allowBlank="true" error="Seleccione un valor de la lista desplegable." errorStyle="stop" errorTitle="Valor no válido" operator="between" prompt="Elija una opción de la lista." promptTitle="Uso actual dominante del suelo" showDropDown="false" showErrorMessage="false" showInputMessage="false" sqref="C19" type="list">
      <formula1>lst_UsoSueloDom</formula1>
      <formula2>0</formula2>
    </dataValidation>
    <dataValidation allowBlank="true" error="Seleccione un valor de la lista desplegable." errorStyle="stop" errorTitle="Valor no válido" operator="between" prompt="Elija una opción de la lista." promptTitle="Regeneración natural observada" showDropDown="false" showErrorMessage="false" showInputMessage="false" sqref="C26" type="list">
      <formula1>lst_Regeneracion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sanitario general del d" showDropDown="false" showErrorMessage="false" showInputMessage="false" sqref="C27" type="list">
      <formula1>lst_EstadoSanitario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pífitas (cualita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Fenología dominante (época de " showDropDown="false" showErrorMessage="false" showInputMessage="false" sqref="C29" type="list">
      <formula1>lst_Fenologia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obertura vegetal domi" showDropDown="false" showErrorMessage="false" showInputMessage="false" sqref="C30" type="list">
      <formula1>lst_TipoCobertura</formula1>
      <formula2>0</formula2>
    </dataValidation>
    <dataValidation allowBlank="true" error="Seleccione un valor de la lista desplegable." errorStyle="stop" errorTitle="Valor no válido" operator="between" prompt="Elija una opción de la lista." promptTitle="Estrato" showDropDown="false" showErrorMessage="false" showInputMessage="false" sqref="E35:E49" type="list">
      <formula1>lst_Estrato</formula1>
      <formula2>0</formula2>
    </dataValidation>
    <dataValidation allowBlank="true" error="Seleccione un valor de la lista desplegable." errorStyle="stop" errorTitle="Valor no válido" operator="between" prompt="Elija una opción de la lista." promptTitle="Origen" showDropDown="false" showErrorMessage="false" showInputMessage="false" sqref="F35:F49" type="list">
      <formula1>lst_Origen</formula1>
      <formula2>0</formula2>
    </dataValidation>
    <dataValidation allowBlank="true" error="Seleccione un valor de la lista desplegable." errorStyle="stop" errorTitle="Valor no válido" operator="between" prompt="Elija una opción de la lista." promptTitle="Abundancia" showDropDown="false" showErrorMessage="false" showInputMessage="false" sqref="G35:G49" type="list">
      <formula1>lst_Abundancia</formula1>
      <formula2>0</formula2>
    </dataValidation>
    <dataValidation allowBlank="true" error="Seleccione un valor de la lista desplegable." errorStyle="stop" errorTitle="Valor no válido" operator="between" prompt="Elija una opción de la lista." promptTitle="Categoría" showDropDown="false" showErrorMessage="false" showInputMessage="false" sqref="C53:C62" type="list">
      <formula1>lst_CategoriaIndicadora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UICN / D.S. 043" showDropDown="false" showErrorMessage="false" showInputMessage="false" sqref="D53:D62" type="list">
      <formula1>lst_EstadoUICN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5" activeCellId="0" sqref="D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214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215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</row>
    <row r="8" customFormat="false" ht="19.5" hidden="false" customHeight="true" outlineLevel="0" collapsed="false">
      <c r="A8" s="7" t="s">
        <v>104</v>
      </c>
      <c r="B8" s="7"/>
      <c r="C8" s="8" t="s">
        <v>8</v>
      </c>
      <c r="D8" s="8"/>
      <c r="E8" s="8"/>
      <c r="F8" s="8"/>
      <c r="G8" s="8"/>
    </row>
    <row r="9" customFormat="false" ht="19.5" hidden="false" customHeight="true" outlineLevel="0" collapsed="false">
      <c r="A9" s="7" t="s">
        <v>55</v>
      </c>
      <c r="B9" s="7"/>
      <c r="C9" s="8" t="s">
        <v>12</v>
      </c>
      <c r="D9" s="8"/>
      <c r="E9" s="8"/>
      <c r="F9" s="8"/>
      <c r="G9" s="8"/>
    </row>
    <row r="10" customFormat="false" ht="19.5" hidden="false" customHeight="true" outlineLevel="0" collapsed="false">
      <c r="A10" s="7" t="s">
        <v>14</v>
      </c>
      <c r="B10" s="7"/>
      <c r="C10" s="9" t="s">
        <v>15</v>
      </c>
      <c r="D10" s="9"/>
      <c r="E10" s="9"/>
      <c r="F10" s="9"/>
      <c r="G10" s="9"/>
    </row>
    <row r="11" customFormat="false" ht="19.5" hidden="false" customHeight="true" outlineLevel="0" collapsed="false">
      <c r="A11" s="7" t="s">
        <v>105</v>
      </c>
      <c r="B11" s="7"/>
      <c r="C11" s="10" t="str">
        <f aca="false">IFERROR(VLOOKUP($C$10,tbl_Bloques,2,FALSE()),"")</f>
        <v>C1076-Q9585</v>
      </c>
      <c r="D11" s="10"/>
      <c r="E11" s="10"/>
      <c r="F11" s="10"/>
      <c r="G11" s="10"/>
    </row>
    <row r="12" customFormat="false" ht="21.75" hidden="false" customHeight="true" outlineLevel="0" collapsed="false">
      <c r="A12" s="17" t="s">
        <v>216</v>
      </c>
      <c r="B12" s="18"/>
      <c r="C12" s="19"/>
      <c r="D12" s="19"/>
      <c r="E12" s="19"/>
      <c r="F12" s="19"/>
      <c r="G12" s="19"/>
    </row>
    <row r="13" customFormat="false" ht="27.75" hidden="false" customHeight="true" outlineLevel="0" collapsed="false">
      <c r="A13" s="12" t="s">
        <v>217</v>
      </c>
      <c r="B13" s="12"/>
      <c r="C13" s="20"/>
      <c r="D13" s="20"/>
      <c r="E13" s="20"/>
      <c r="F13" s="20"/>
      <c r="G13" s="20"/>
    </row>
    <row r="14" customFormat="false" ht="31.5" hidden="false" customHeight="true" outlineLevel="0" collapsed="false">
      <c r="A14" s="13" t="s">
        <v>139</v>
      </c>
      <c r="B14" s="13" t="s">
        <v>218</v>
      </c>
      <c r="C14" s="13" t="s">
        <v>219</v>
      </c>
      <c r="D14" s="13" t="s">
        <v>220</v>
      </c>
      <c r="E14" s="13" t="s">
        <v>221</v>
      </c>
      <c r="F14" s="13" t="s">
        <v>222</v>
      </c>
      <c r="G14" s="13" t="s">
        <v>223</v>
      </c>
    </row>
    <row r="15" customFormat="false" ht="18" hidden="false" customHeight="true" outlineLevel="0" collapsed="false">
      <c r="A15" s="16" t="n">
        <v>1</v>
      </c>
      <c r="B15" s="21" t="s">
        <v>224</v>
      </c>
      <c r="C15" s="14" t="s">
        <v>44</v>
      </c>
      <c r="D15" s="14" t="s">
        <v>225</v>
      </c>
      <c r="E15" s="14" t="s">
        <v>226</v>
      </c>
      <c r="F15" s="14"/>
      <c r="G15" s="15" t="s">
        <v>227</v>
      </c>
    </row>
    <row r="16" customFormat="false" ht="18" hidden="false" customHeight="true" outlineLevel="0" collapsed="false">
      <c r="A16" s="16" t="n">
        <v>2</v>
      </c>
      <c r="B16" s="21" t="s">
        <v>228</v>
      </c>
      <c r="C16" s="14" t="s">
        <v>44</v>
      </c>
      <c r="D16" s="14" t="s">
        <v>225</v>
      </c>
      <c r="E16" s="14" t="s">
        <v>229</v>
      </c>
      <c r="F16" s="14"/>
      <c r="G16" s="15" t="s">
        <v>230</v>
      </c>
    </row>
    <row r="17" customFormat="false" ht="18" hidden="false" customHeight="true" outlineLevel="0" collapsed="false">
      <c r="A17" s="16" t="n">
        <v>3</v>
      </c>
      <c r="B17" s="21" t="s">
        <v>231</v>
      </c>
      <c r="C17" s="14" t="s">
        <v>46</v>
      </c>
      <c r="D17" s="14"/>
      <c r="E17" s="14"/>
      <c r="F17" s="14"/>
      <c r="G17" s="15"/>
    </row>
    <row r="18" customFormat="false" ht="18" hidden="false" customHeight="true" outlineLevel="0" collapsed="false">
      <c r="A18" s="16" t="n">
        <v>4</v>
      </c>
      <c r="B18" s="21" t="s">
        <v>232</v>
      </c>
      <c r="C18" s="14" t="s">
        <v>44</v>
      </c>
      <c r="D18" s="14" t="s">
        <v>233</v>
      </c>
      <c r="E18" s="14"/>
      <c r="F18" s="14"/>
      <c r="G18" s="15" t="s">
        <v>234</v>
      </c>
    </row>
    <row r="19" customFormat="false" ht="18" hidden="false" customHeight="true" outlineLevel="0" collapsed="false">
      <c r="A19" s="16" t="n">
        <v>5</v>
      </c>
      <c r="B19" s="21" t="s">
        <v>235</v>
      </c>
      <c r="C19" s="14" t="s">
        <v>46</v>
      </c>
      <c r="D19" s="14"/>
      <c r="E19" s="14"/>
      <c r="F19" s="14"/>
      <c r="G19" s="15"/>
    </row>
    <row r="20" customFormat="false" ht="18" hidden="false" customHeight="true" outlineLevel="0" collapsed="false">
      <c r="A20" s="16" t="n">
        <v>6</v>
      </c>
      <c r="B20" s="21" t="s">
        <v>236</v>
      </c>
      <c r="C20" s="14" t="s">
        <v>46</v>
      </c>
      <c r="D20" s="14"/>
      <c r="E20" s="14"/>
      <c r="F20" s="14"/>
      <c r="G20" s="15"/>
    </row>
    <row r="21" customFormat="false" ht="18" hidden="false" customHeight="true" outlineLevel="0" collapsed="false">
      <c r="A21" s="16" t="n">
        <v>7</v>
      </c>
      <c r="B21" s="21" t="s">
        <v>237</v>
      </c>
      <c r="C21" s="14" t="s">
        <v>44</v>
      </c>
      <c r="D21" s="14" t="s">
        <v>225</v>
      </c>
      <c r="E21" s="14" t="s">
        <v>238</v>
      </c>
      <c r="F21" s="14"/>
      <c r="G21" s="15" t="s">
        <v>239</v>
      </c>
    </row>
    <row r="22" customFormat="false" ht="18" hidden="false" customHeight="true" outlineLevel="0" collapsed="false">
      <c r="A22" s="16" t="n">
        <v>8</v>
      </c>
      <c r="B22" s="21" t="s">
        <v>240</v>
      </c>
      <c r="C22" s="14" t="s">
        <v>44</v>
      </c>
      <c r="D22" s="14" t="s">
        <v>233</v>
      </c>
      <c r="E22" s="14" t="s">
        <v>241</v>
      </c>
      <c r="F22" s="14"/>
      <c r="G22" s="15" t="s">
        <v>242</v>
      </c>
    </row>
    <row r="23" customFormat="false" ht="18" hidden="false" customHeight="true" outlineLevel="0" collapsed="false">
      <c r="A23" s="16" t="n">
        <v>9</v>
      </c>
      <c r="B23" s="21" t="s">
        <v>243</v>
      </c>
      <c r="C23" s="14" t="s">
        <v>44</v>
      </c>
      <c r="D23" s="14" t="s">
        <v>233</v>
      </c>
      <c r="E23" s="14" t="s">
        <v>244</v>
      </c>
      <c r="F23" s="14"/>
      <c r="G23" s="15" t="s">
        <v>245</v>
      </c>
    </row>
    <row r="24" customFormat="false" ht="18" hidden="false" customHeight="true" outlineLevel="0" collapsed="false">
      <c r="A24" s="16" t="n">
        <v>10</v>
      </c>
      <c r="B24" s="21" t="s">
        <v>246</v>
      </c>
      <c r="C24" s="14" t="s">
        <v>46</v>
      </c>
      <c r="D24" s="14"/>
      <c r="E24" s="14"/>
      <c r="F24" s="14"/>
      <c r="G24" s="15"/>
    </row>
    <row r="25" customFormat="false" ht="18" hidden="false" customHeight="true" outlineLevel="0" collapsed="false">
      <c r="A25" s="16" t="n">
        <v>11</v>
      </c>
      <c r="B25" s="21" t="s">
        <v>247</v>
      </c>
      <c r="C25" s="14" t="s">
        <v>46</v>
      </c>
      <c r="D25" s="14"/>
      <c r="E25" s="14"/>
      <c r="F25" s="14"/>
      <c r="G25" s="15"/>
    </row>
    <row r="26" customFormat="false" ht="18" hidden="false" customHeight="true" outlineLevel="0" collapsed="false">
      <c r="A26" s="16" t="n">
        <v>12</v>
      </c>
      <c r="B26" s="21" t="s">
        <v>248</v>
      </c>
      <c r="C26" s="14" t="s">
        <v>46</v>
      </c>
      <c r="D26" s="14"/>
      <c r="E26" s="14"/>
      <c r="F26" s="14"/>
      <c r="G26" s="15"/>
    </row>
    <row r="27" customFormat="false" ht="18" hidden="false" customHeight="true" outlineLevel="0" collapsed="false">
      <c r="A27" s="16" t="n">
        <v>13</v>
      </c>
      <c r="B27" s="21" t="s">
        <v>249</v>
      </c>
      <c r="C27" s="14" t="s">
        <v>46</v>
      </c>
      <c r="D27" s="14"/>
      <c r="E27" s="14"/>
      <c r="F27" s="14"/>
      <c r="G27" s="15"/>
    </row>
    <row r="28" customFormat="false" ht="18" hidden="false" customHeight="true" outlineLevel="0" collapsed="false">
      <c r="A28" s="16" t="n">
        <v>14</v>
      </c>
      <c r="B28" s="21" t="s">
        <v>250</v>
      </c>
      <c r="C28" s="14"/>
      <c r="D28" s="14"/>
      <c r="E28" s="14"/>
      <c r="F28" s="14"/>
      <c r="G28" s="15"/>
    </row>
    <row r="29" customFormat="false" ht="18" hidden="false" customHeight="true" outlineLevel="0" collapsed="false">
      <c r="A29" s="16" t="n">
        <v>15</v>
      </c>
      <c r="B29" s="21" t="s">
        <v>251</v>
      </c>
      <c r="C29" s="14" t="s">
        <v>46</v>
      </c>
      <c r="D29" s="14"/>
      <c r="E29" s="14"/>
      <c r="F29" s="14"/>
      <c r="G29" s="15"/>
    </row>
    <row r="30" customFormat="false" ht="18" hidden="false" customHeight="true" outlineLevel="0" collapsed="false">
      <c r="A30" s="16" t="n">
        <v>16</v>
      </c>
      <c r="B30" s="21" t="s">
        <v>252</v>
      </c>
      <c r="C30" s="14"/>
      <c r="D30" s="14"/>
      <c r="E30" s="14"/>
      <c r="F30" s="14"/>
      <c r="G30" s="15"/>
    </row>
    <row r="32" customFormat="false" ht="21.75" hidden="false" customHeight="true" outlineLevel="0" collapsed="false">
      <c r="A32" s="6" t="s">
        <v>253</v>
      </c>
      <c r="B32" s="6"/>
      <c r="C32" s="6"/>
      <c r="D32" s="6"/>
      <c r="E32" s="6"/>
      <c r="F32" s="6"/>
      <c r="G32" s="6"/>
    </row>
    <row r="33" customFormat="false" ht="25.5" hidden="false" customHeight="true" outlineLevel="0" collapsed="false">
      <c r="A33" s="12" t="s">
        <v>254</v>
      </c>
      <c r="B33" s="12"/>
      <c r="C33" s="12"/>
      <c r="D33" s="12"/>
      <c r="E33" s="12"/>
      <c r="F33" s="12"/>
      <c r="G33" s="12"/>
    </row>
    <row r="34" customFormat="false" ht="27.75" hidden="false" customHeight="true" outlineLevel="0" collapsed="false">
      <c r="A34" s="13" t="s">
        <v>139</v>
      </c>
      <c r="B34" s="13" t="s">
        <v>255</v>
      </c>
      <c r="C34" s="13" t="s">
        <v>256</v>
      </c>
      <c r="D34" s="13" t="s">
        <v>257</v>
      </c>
      <c r="E34" s="13" t="s">
        <v>258</v>
      </c>
      <c r="F34" s="13" t="s">
        <v>259</v>
      </c>
      <c r="G34" s="13" t="s">
        <v>260</v>
      </c>
    </row>
    <row r="35" customFormat="false" ht="21.75" hidden="false" customHeight="true" outlineLevel="0" collapsed="false">
      <c r="A35" s="16" t="n">
        <v>1</v>
      </c>
      <c r="B35" s="21" t="s">
        <v>261</v>
      </c>
      <c r="C35" s="16" t="s">
        <v>262</v>
      </c>
      <c r="D35" s="14" t="n">
        <v>70</v>
      </c>
      <c r="E35" s="15" t="s">
        <v>263</v>
      </c>
      <c r="F35" s="21" t="s">
        <v>264</v>
      </c>
      <c r="G35" s="14" t="s">
        <v>265</v>
      </c>
    </row>
    <row r="36" customFormat="false" ht="21.75" hidden="false" customHeight="true" outlineLevel="0" collapsed="false">
      <c r="A36" s="16" t="n">
        <v>2</v>
      </c>
      <c r="B36" s="21" t="s">
        <v>266</v>
      </c>
      <c r="C36" s="16" t="s">
        <v>262</v>
      </c>
      <c r="D36" s="14" t="n">
        <v>15</v>
      </c>
      <c r="E36" s="15" t="s">
        <v>267</v>
      </c>
      <c r="F36" s="21" t="s">
        <v>268</v>
      </c>
      <c r="G36" s="14" t="s">
        <v>269</v>
      </c>
    </row>
    <row r="37" customFormat="false" ht="21.75" hidden="false" customHeight="true" outlineLevel="0" collapsed="false">
      <c r="A37" s="16" t="n">
        <v>3</v>
      </c>
      <c r="B37" s="21" t="s">
        <v>270</v>
      </c>
      <c r="C37" s="16" t="s">
        <v>271</v>
      </c>
      <c r="D37" s="14" t="s">
        <v>24</v>
      </c>
      <c r="E37" s="15" t="s">
        <v>272</v>
      </c>
      <c r="F37" s="21" t="s">
        <v>273</v>
      </c>
      <c r="G37" s="14"/>
    </row>
    <row r="38" customFormat="false" ht="21.75" hidden="false" customHeight="true" outlineLevel="0" collapsed="false">
      <c r="A38" s="16" t="n">
        <v>4</v>
      </c>
      <c r="B38" s="21" t="s">
        <v>274</v>
      </c>
      <c r="C38" s="16" t="s">
        <v>275</v>
      </c>
      <c r="D38" s="14" t="s">
        <v>24</v>
      </c>
      <c r="E38" s="15" t="s">
        <v>272</v>
      </c>
      <c r="F38" s="21" t="s">
        <v>276</v>
      </c>
      <c r="G38" s="14"/>
    </row>
    <row r="39" customFormat="false" ht="21.75" hidden="false" customHeight="true" outlineLevel="0" collapsed="false">
      <c r="A39" s="16" t="n">
        <v>5</v>
      </c>
      <c r="B39" s="21" t="s">
        <v>277</v>
      </c>
      <c r="C39" s="16" t="s">
        <v>278</v>
      </c>
      <c r="D39" s="14" t="s">
        <v>24</v>
      </c>
      <c r="E39" s="15" t="s">
        <v>272</v>
      </c>
      <c r="F39" s="21" t="s">
        <v>279</v>
      </c>
      <c r="G39" s="14"/>
    </row>
    <row r="40" customFormat="false" ht="21.75" hidden="false" customHeight="true" outlineLevel="0" collapsed="false">
      <c r="A40" s="16" t="n">
        <v>6</v>
      </c>
      <c r="B40" s="21" t="s">
        <v>280</v>
      </c>
      <c r="C40" s="16" t="s">
        <v>139</v>
      </c>
      <c r="D40" s="14" t="s">
        <v>24</v>
      </c>
      <c r="E40" s="15" t="s">
        <v>272</v>
      </c>
      <c r="F40" s="21" t="s">
        <v>281</v>
      </c>
      <c r="G40" s="14"/>
    </row>
    <row r="41" customFormat="false" ht="21.75" hidden="false" customHeight="true" outlineLevel="0" collapsed="false">
      <c r="A41" s="16" t="n">
        <v>7</v>
      </c>
      <c r="B41" s="21" t="s">
        <v>282</v>
      </c>
      <c r="C41" s="16" t="s">
        <v>262</v>
      </c>
      <c r="D41" s="14" t="s">
        <v>283</v>
      </c>
      <c r="E41" s="15" t="s">
        <v>284</v>
      </c>
      <c r="F41" s="21" t="s">
        <v>285</v>
      </c>
      <c r="G41" s="14" t="s">
        <v>286</v>
      </c>
    </row>
    <row r="42" customFormat="false" ht="21.75" hidden="false" customHeight="true" outlineLevel="0" collapsed="false">
      <c r="A42" s="16" t="n">
        <v>8</v>
      </c>
      <c r="B42" s="21" t="s">
        <v>287</v>
      </c>
      <c r="C42" s="16" t="s">
        <v>288</v>
      </c>
      <c r="D42" s="14" t="n">
        <v>0</v>
      </c>
      <c r="E42" s="15" t="s">
        <v>289</v>
      </c>
      <c r="F42" s="21" t="s">
        <v>290</v>
      </c>
      <c r="G42" s="14" t="s">
        <v>265</v>
      </c>
    </row>
    <row r="44" customFormat="false" ht="21.75" hidden="false" customHeight="true" outlineLevel="0" collapsed="false">
      <c r="A44" s="6" t="s">
        <v>291</v>
      </c>
      <c r="B44" s="6"/>
      <c r="C44" s="6"/>
      <c r="D44" s="6"/>
      <c r="E44" s="6"/>
      <c r="F44" s="6"/>
      <c r="G44" s="6"/>
    </row>
    <row r="45" customFormat="false" ht="19.5" hidden="false" customHeight="true" outlineLevel="0" collapsed="false">
      <c r="A45" s="7" t="s">
        <v>292</v>
      </c>
      <c r="B45" s="7"/>
      <c r="C45" s="8" t="s">
        <v>293</v>
      </c>
      <c r="D45" s="8"/>
      <c r="E45" s="8"/>
      <c r="F45" s="8"/>
      <c r="G45" s="8"/>
    </row>
    <row r="46" customFormat="false" ht="19.5" hidden="false" customHeight="true" outlineLevel="0" collapsed="false">
      <c r="A46" s="7" t="s">
        <v>294</v>
      </c>
      <c r="B46" s="7"/>
      <c r="C46" s="8" t="s">
        <v>295</v>
      </c>
      <c r="D46" s="8"/>
      <c r="E46" s="8"/>
      <c r="F46" s="8"/>
      <c r="G46" s="8"/>
    </row>
    <row r="47" customFormat="false" ht="19.5" hidden="false" customHeight="true" outlineLevel="0" collapsed="false">
      <c r="A47" s="7" t="s">
        <v>296</v>
      </c>
      <c r="B47" s="7"/>
      <c r="C47" s="8" t="s">
        <v>225</v>
      </c>
      <c r="D47" s="8"/>
      <c r="E47" s="8"/>
      <c r="F47" s="8"/>
      <c r="G47" s="8"/>
    </row>
    <row r="48" customFormat="false" ht="19.5" hidden="false" customHeight="true" outlineLevel="0" collapsed="false">
      <c r="A48" s="7" t="s">
        <v>297</v>
      </c>
      <c r="B48" s="7"/>
      <c r="C48" s="8" t="s">
        <v>298</v>
      </c>
      <c r="D48" s="8"/>
      <c r="E48" s="8"/>
      <c r="F48" s="8"/>
      <c r="G48" s="8"/>
    </row>
    <row r="49" customFormat="false" ht="19.5" hidden="false" customHeight="true" outlineLevel="0" collapsed="false">
      <c r="A49" s="7" t="s">
        <v>299</v>
      </c>
      <c r="B49" s="7"/>
      <c r="C49" s="8" t="s">
        <v>100</v>
      </c>
      <c r="D49" s="8"/>
      <c r="E49" s="8"/>
      <c r="F49" s="8"/>
      <c r="G49" s="8"/>
    </row>
    <row r="51" customFormat="false" ht="21.75" hidden="false" customHeight="true" outlineLevel="0" collapsed="false">
      <c r="A51" s="6" t="s">
        <v>50</v>
      </c>
      <c r="B51" s="6"/>
      <c r="C51" s="6"/>
      <c r="D51" s="6"/>
      <c r="E51" s="6"/>
      <c r="F51" s="6"/>
      <c r="G51" s="6"/>
    </row>
    <row r="52" customFormat="false" ht="27.75" hidden="false" customHeight="true" outlineLevel="0" collapsed="false">
      <c r="A52" s="11" t="s">
        <v>300</v>
      </c>
      <c r="B52" s="11"/>
      <c r="C52" s="11"/>
      <c r="D52" s="11"/>
      <c r="E52" s="11"/>
      <c r="F52" s="11"/>
      <c r="G52" s="11"/>
    </row>
    <row r="53" customFormat="false" ht="27.75" hidden="false" customHeight="true" outlineLevel="0" collapsed="false">
      <c r="A53" s="11"/>
      <c r="B53" s="11"/>
      <c r="C53" s="11"/>
      <c r="D53" s="11"/>
      <c r="E53" s="11"/>
      <c r="F53" s="11"/>
      <c r="G53" s="11"/>
    </row>
    <row r="54" customFormat="false" ht="27.75" hidden="false" customHeight="true" outlineLevel="0" collapsed="false">
      <c r="A54" s="11"/>
      <c r="B54" s="11"/>
      <c r="C54" s="11"/>
      <c r="D54" s="11"/>
      <c r="E54" s="11"/>
      <c r="F54" s="11"/>
      <c r="G54" s="11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48:B48"/>
    <mergeCell ref="C48:G48"/>
    <mergeCell ref="A49:B49"/>
    <mergeCell ref="C49:G49"/>
    <mergeCell ref="A51:G51"/>
    <mergeCell ref="A52:G54"/>
  </mergeCells>
  <dataValidations count="7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" showDropDown="false" showErrorMessage="false" showInputMessage="false" sqref="C15:C30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Intensidad" showDropDown="false" showErrorMessage="false" showInputMessage="false" sqref="D15:D30" type="list">
      <formula1>lst_Intensidad</formula1>
      <formula2>0</formula2>
    </dataValidation>
    <dataValidation allowBlank="true" error="Seleccione un valor de la lista desplegable." errorStyle="stop" errorTitle="Valor no válido" operator="between" prompt="Elija una opción de la lista." promptTitle="Nivel" showDropDown="false" showErrorMessage="false" showInputMessage="false" sqref="G35:G42" type="list">
      <formula1>lst_NivelInd</formula1>
      <formula2>0</formula2>
    </dataValidation>
    <dataValidation allowBlank="true" error="Seleccione un valor de la lista desplegable." errorStyle="stop" errorTitle="Valor no válido" operator="between" prompt="Elija una opción de la lista." promptTitle="Velocidad de degradación perci" showDropDown="false" showErrorMessage="false" showInputMessage="false" sqref="C47" type="list">
      <formula1>lst_Velocidad</formula1>
      <formula2>0</formula2>
    </dataValidation>
    <dataValidation allowBlank="true" error="Seleccione un valor de la lista desplegable." errorStyle="stop" errorTitle="Valor no válido" operator="between" prompt="Elija una opción de la lista." promptTitle="Reversibilidad técnica" showDropDown="false" showErrorMessage="false" showInputMessage="false" sqref="C48" type="list">
      <formula1>lst_Reversibilidad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intervención" showDropDown="false" showErrorMessage="false" showInputMessage="false" sqref="C4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301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302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7"/>
      <c r="C8" s="8" t="s">
        <v>8</v>
      </c>
      <c r="D8" s="8"/>
      <c r="E8" s="7" t="s">
        <v>55</v>
      </c>
      <c r="F8" s="7"/>
      <c r="G8" s="8" t="s">
        <v>12</v>
      </c>
      <c r="H8" s="8"/>
    </row>
    <row r="9" customFormat="false" ht="19.5" hidden="false" customHeight="true" outlineLevel="0" collapsed="false">
      <c r="A9" s="7" t="s">
        <v>14</v>
      </c>
      <c r="B9" s="7"/>
      <c r="C9" s="9" t="s">
        <v>15</v>
      </c>
      <c r="D9" s="9"/>
      <c r="E9" s="7" t="s">
        <v>105</v>
      </c>
      <c r="F9" s="7"/>
      <c r="G9" s="10" t="str">
        <f aca="false">IFERROR(VLOOKUP($C$9,tbl_Bloques,2,FALSE()),"")</f>
        <v>C1076-Q9585</v>
      </c>
      <c r="H9" s="10"/>
    </row>
    <row r="10" customFormat="false" ht="19.5" hidden="false" customHeight="true" outlineLevel="0" collapsed="false">
      <c r="A10" s="7" t="s">
        <v>18</v>
      </c>
      <c r="B10" s="7"/>
      <c r="C10" s="10" t="str">
        <f aca="false">IFERROR(VLOOKUP($C$9,tbl_Bloques,4,FALSE()),"")</f>
        <v>Canchaque</v>
      </c>
      <c r="D10" s="10"/>
      <c r="E10" s="7" t="s">
        <v>17</v>
      </c>
      <c r="F10" s="7"/>
      <c r="G10" s="10" t="str">
        <f aca="false">IFERROR(VLOOKUP($C$9,tbl_Bloques,3,FALSE()),"")</f>
        <v>Huancabamba</v>
      </c>
      <c r="H10" s="10"/>
    </row>
    <row r="12" customFormat="false" ht="21.75" hidden="false" customHeight="true" outlineLevel="0" collapsed="false">
      <c r="A12" s="6" t="s">
        <v>303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2" t="s">
        <v>304</v>
      </c>
      <c r="B13" s="12"/>
      <c r="C13" s="12"/>
      <c r="D13" s="12"/>
      <c r="E13" s="12"/>
      <c r="F13" s="12"/>
      <c r="G13" s="12"/>
      <c r="H13" s="12"/>
    </row>
    <row r="14" customFormat="false" ht="30" hidden="false" customHeight="true" outlineLevel="0" collapsed="false">
      <c r="A14" s="13" t="s">
        <v>139</v>
      </c>
      <c r="B14" s="13" t="s">
        <v>305</v>
      </c>
      <c r="C14" s="13" t="s">
        <v>195</v>
      </c>
      <c r="D14" s="13" t="s">
        <v>196</v>
      </c>
      <c r="E14" s="13" t="s">
        <v>306</v>
      </c>
      <c r="F14" s="13" t="s">
        <v>307</v>
      </c>
      <c r="G14" s="13" t="s">
        <v>308</v>
      </c>
      <c r="H14" s="13" t="s">
        <v>309</v>
      </c>
    </row>
    <row r="15" customFormat="false" ht="19.5" hidden="false" customHeight="true" outlineLevel="0" collapsed="false">
      <c r="A15" s="16" t="n">
        <v>1</v>
      </c>
      <c r="B15" s="14" t="s">
        <v>310</v>
      </c>
      <c r="C15" s="14" t="n">
        <v>641365</v>
      </c>
      <c r="D15" s="14" t="n">
        <v>9401097</v>
      </c>
      <c r="E15" s="14" t="s">
        <v>311</v>
      </c>
      <c r="F15" s="14" t="s">
        <v>312</v>
      </c>
      <c r="G15" s="14" t="n">
        <v>0</v>
      </c>
      <c r="H15" s="15" t="s">
        <v>313</v>
      </c>
    </row>
    <row r="16" customFormat="false" ht="19.5" hidden="false" customHeight="true" outlineLevel="0" collapsed="false">
      <c r="A16" s="16" t="n">
        <v>2</v>
      </c>
      <c r="B16" s="14" t="s">
        <v>314</v>
      </c>
      <c r="C16" s="14" t="n">
        <v>641626</v>
      </c>
      <c r="D16" s="14" t="n">
        <v>9401035</v>
      </c>
      <c r="E16" s="14" t="s">
        <v>311</v>
      </c>
      <c r="F16" s="14" t="s">
        <v>312</v>
      </c>
      <c r="G16" s="14" t="n">
        <v>0</v>
      </c>
      <c r="H16" s="15" t="s">
        <v>315</v>
      </c>
    </row>
    <row r="17" customFormat="false" ht="19.5" hidden="false" customHeight="true" outlineLevel="0" collapsed="false">
      <c r="A17" s="16" t="n">
        <v>3</v>
      </c>
      <c r="B17" s="14"/>
      <c r="C17" s="14"/>
      <c r="D17" s="14"/>
      <c r="E17" s="14"/>
      <c r="F17" s="14"/>
      <c r="G17" s="14"/>
      <c r="H17" s="15"/>
    </row>
    <row r="18" customFormat="false" ht="19.5" hidden="false" customHeight="true" outlineLevel="0" collapsed="false">
      <c r="A18" s="16" t="n">
        <v>4</v>
      </c>
      <c r="B18" s="14"/>
      <c r="C18" s="14"/>
      <c r="D18" s="14"/>
      <c r="E18" s="14"/>
      <c r="F18" s="14"/>
      <c r="G18" s="14"/>
      <c r="H18" s="15"/>
    </row>
    <row r="19" customFormat="false" ht="19.5" hidden="false" customHeight="true" outlineLevel="0" collapsed="false">
      <c r="A19" s="16" t="n">
        <v>5</v>
      </c>
      <c r="B19" s="14"/>
      <c r="C19" s="14"/>
      <c r="D19" s="14"/>
      <c r="E19" s="14"/>
      <c r="F19" s="14"/>
      <c r="G19" s="14"/>
      <c r="H19" s="15"/>
    </row>
    <row r="20" customFormat="false" ht="19.5" hidden="false" customHeight="true" outlineLevel="0" collapsed="false">
      <c r="A20" s="16" t="n">
        <v>6</v>
      </c>
      <c r="B20" s="14"/>
      <c r="C20" s="14"/>
      <c r="D20" s="14"/>
      <c r="E20" s="14"/>
      <c r="F20" s="14"/>
      <c r="G20" s="14"/>
      <c r="H20" s="15"/>
    </row>
    <row r="21" customFormat="false" ht="19.5" hidden="false" customHeight="true" outlineLevel="0" collapsed="false">
      <c r="A21" s="16" t="n">
        <v>7</v>
      </c>
      <c r="B21" s="14"/>
      <c r="C21" s="14"/>
      <c r="D21" s="14"/>
      <c r="E21" s="14"/>
      <c r="F21" s="14"/>
      <c r="G21" s="14"/>
      <c r="H21" s="15"/>
    </row>
    <row r="22" customFormat="false" ht="19.5" hidden="false" customHeight="true" outlineLevel="0" collapsed="false">
      <c r="A22" s="16" t="n">
        <v>8</v>
      </c>
      <c r="B22" s="14"/>
      <c r="C22" s="14"/>
      <c r="D22" s="14"/>
      <c r="E22" s="14"/>
      <c r="F22" s="14"/>
      <c r="G22" s="14"/>
      <c r="H22" s="15"/>
    </row>
    <row r="23" customFormat="false" ht="19.5" hidden="false" customHeight="true" outlineLevel="0" collapsed="false">
      <c r="A23" s="16" t="n">
        <v>9</v>
      </c>
      <c r="B23" s="14"/>
      <c r="C23" s="14"/>
      <c r="D23" s="14"/>
      <c r="E23" s="14"/>
      <c r="F23" s="14"/>
      <c r="G23" s="14"/>
      <c r="H23" s="15"/>
    </row>
    <row r="24" customFormat="false" ht="19.5" hidden="false" customHeight="true" outlineLevel="0" collapsed="false">
      <c r="A24" s="16" t="n">
        <v>10</v>
      </c>
      <c r="B24" s="14"/>
      <c r="C24" s="14"/>
      <c r="D24" s="14"/>
      <c r="E24" s="14"/>
      <c r="F24" s="14"/>
      <c r="G24" s="14"/>
      <c r="H24" s="15"/>
    </row>
    <row r="26" customFormat="false" ht="21.75" hidden="false" customHeight="true" outlineLevel="0" collapsed="false">
      <c r="A26" s="6" t="s">
        <v>316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317</v>
      </c>
      <c r="B27" s="7"/>
      <c r="C27" s="8" t="s">
        <v>44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318</v>
      </c>
      <c r="B28" s="7"/>
      <c r="C28" s="8" t="s">
        <v>44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319</v>
      </c>
      <c r="B29" s="7"/>
      <c r="C29" s="8" t="s">
        <v>44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320</v>
      </c>
      <c r="B30" s="7"/>
      <c r="C30" s="8" t="s">
        <v>24</v>
      </c>
      <c r="D30" s="8"/>
      <c r="E30" s="8"/>
      <c r="F30" s="8"/>
      <c r="G30" s="8"/>
      <c r="H30" s="8"/>
    </row>
    <row r="31" customFormat="false" ht="19.5" hidden="false" customHeight="true" outlineLevel="0" collapsed="false">
      <c r="A31" s="7" t="s">
        <v>321</v>
      </c>
      <c r="B31" s="7"/>
      <c r="C31" s="8" t="s">
        <v>24</v>
      </c>
      <c r="D31" s="8"/>
      <c r="E31" s="8"/>
      <c r="F31" s="8"/>
      <c r="G31" s="8"/>
      <c r="H31" s="8"/>
    </row>
    <row r="32" customFormat="false" ht="19.5" hidden="false" customHeight="true" outlineLevel="0" collapsed="false">
      <c r="A32" s="7" t="s">
        <v>322</v>
      </c>
      <c r="B32" s="7"/>
      <c r="C32" s="8" t="s">
        <v>44</v>
      </c>
      <c r="D32" s="8"/>
      <c r="E32" s="8"/>
      <c r="F32" s="8"/>
      <c r="G32" s="8"/>
      <c r="H32" s="8"/>
    </row>
    <row r="33" customFormat="false" ht="19.5" hidden="false" customHeight="true" outlineLevel="0" collapsed="false">
      <c r="A33" s="7" t="s">
        <v>323</v>
      </c>
      <c r="B33" s="7"/>
      <c r="C33" s="8" t="s">
        <v>324</v>
      </c>
      <c r="D33" s="8"/>
      <c r="E33" s="8"/>
      <c r="F33" s="8"/>
      <c r="G33" s="8"/>
      <c r="H33" s="8"/>
    </row>
    <row r="35" customFormat="false" ht="21.75" hidden="false" customHeight="true" outlineLevel="0" collapsed="false">
      <c r="A35" s="6" t="s">
        <v>325</v>
      </c>
      <c r="B35" s="6"/>
      <c r="C35" s="6"/>
      <c r="D35" s="6"/>
      <c r="E35" s="6"/>
      <c r="F35" s="6"/>
      <c r="G35" s="6"/>
      <c r="H35" s="6"/>
    </row>
    <row r="36" customFormat="false" ht="19.5" hidden="false" customHeight="true" outlineLevel="0" collapsed="false">
      <c r="A36" s="7" t="s">
        <v>326</v>
      </c>
      <c r="B36" s="7"/>
      <c r="C36" s="8" t="s">
        <v>327</v>
      </c>
      <c r="D36" s="8"/>
      <c r="E36" s="8"/>
      <c r="F36" s="8"/>
      <c r="G36" s="8"/>
      <c r="H36" s="8"/>
    </row>
    <row r="37" customFormat="false" ht="19.5" hidden="false" customHeight="true" outlineLevel="0" collapsed="false">
      <c r="A37" s="7" t="s">
        <v>328</v>
      </c>
      <c r="B37" s="7"/>
      <c r="C37" s="8" t="s">
        <v>329</v>
      </c>
      <c r="D37" s="8"/>
      <c r="E37" s="8"/>
      <c r="F37" s="8"/>
      <c r="G37" s="8"/>
      <c r="H37" s="8"/>
    </row>
    <row r="38" customFormat="false" ht="19.5" hidden="false" customHeight="true" outlineLevel="0" collapsed="false">
      <c r="A38" s="7" t="s">
        <v>330</v>
      </c>
      <c r="B38" s="7"/>
      <c r="C38" s="8" t="s">
        <v>331</v>
      </c>
      <c r="D38" s="8"/>
      <c r="E38" s="8"/>
      <c r="F38" s="8"/>
      <c r="G38" s="8"/>
      <c r="H38" s="8"/>
    </row>
    <row r="39" customFormat="false" ht="19.5" hidden="false" customHeight="true" outlineLevel="0" collapsed="false">
      <c r="A39" s="7" t="s">
        <v>332</v>
      </c>
      <c r="B39" s="7"/>
      <c r="C39" s="8" t="s">
        <v>265</v>
      </c>
      <c r="D39" s="8"/>
      <c r="E39" s="8"/>
      <c r="F39" s="8"/>
      <c r="G39" s="8"/>
      <c r="H39" s="8"/>
    </row>
    <row r="40" customFormat="false" ht="19.5" hidden="false" customHeight="true" outlineLevel="0" collapsed="false">
      <c r="A40" s="7" t="s">
        <v>333</v>
      </c>
      <c r="B40" s="7"/>
      <c r="C40" s="8" t="s">
        <v>269</v>
      </c>
      <c r="D40" s="8"/>
      <c r="E40" s="8"/>
      <c r="F40" s="8"/>
      <c r="G40" s="8"/>
      <c r="H40" s="8"/>
    </row>
    <row r="41" customFormat="false" ht="19.5" hidden="false" customHeight="true" outlineLevel="0" collapsed="false">
      <c r="A41" s="7" t="s">
        <v>334</v>
      </c>
      <c r="B41" s="7"/>
      <c r="C41" s="8" t="s">
        <v>24</v>
      </c>
      <c r="D41" s="8"/>
      <c r="E41" s="7" t="s">
        <v>335</v>
      </c>
      <c r="F41" s="7"/>
      <c r="G41" s="8" t="s">
        <v>24</v>
      </c>
      <c r="H41" s="8"/>
    </row>
    <row r="42" customFormat="false" ht="19.5" hidden="false" customHeight="true" outlineLevel="0" collapsed="false">
      <c r="A42" s="7" t="s">
        <v>336</v>
      </c>
      <c r="B42" s="7"/>
      <c r="C42" s="8"/>
      <c r="D42" s="8"/>
      <c r="E42" s="8"/>
      <c r="F42" s="8"/>
      <c r="G42" s="8"/>
      <c r="H42" s="8"/>
    </row>
    <row r="43" customFormat="false" ht="19.5" hidden="false" customHeight="true" outlineLevel="0" collapsed="false">
      <c r="A43" s="7" t="s">
        <v>337</v>
      </c>
      <c r="B43" s="7"/>
      <c r="C43" s="8"/>
      <c r="D43" s="8"/>
      <c r="E43" s="8"/>
      <c r="F43" s="8"/>
      <c r="G43" s="8"/>
      <c r="H43" s="8"/>
    </row>
    <row r="44" customFormat="false" ht="19.5" hidden="false" customHeight="true" outlineLevel="0" collapsed="false">
      <c r="A44" s="7" t="s">
        <v>338</v>
      </c>
      <c r="B44" s="7"/>
      <c r="C44" s="8"/>
      <c r="D44" s="8"/>
      <c r="E44" s="8"/>
      <c r="F44" s="8"/>
      <c r="G44" s="8"/>
      <c r="H44" s="8"/>
    </row>
    <row r="45" customFormat="false" ht="19.5" hidden="false" customHeight="true" outlineLevel="0" collapsed="false">
      <c r="A45" s="7" t="s">
        <v>339</v>
      </c>
      <c r="B45" s="7"/>
      <c r="C45" s="8" t="s">
        <v>46</v>
      </c>
      <c r="D45" s="8"/>
      <c r="E45" s="8"/>
      <c r="F45" s="8"/>
      <c r="G45" s="8"/>
      <c r="H45" s="8"/>
    </row>
    <row r="46" customFormat="false" ht="19.5" hidden="false" customHeight="true" outlineLevel="0" collapsed="false">
      <c r="A46" s="7" t="s">
        <v>340</v>
      </c>
      <c r="B46" s="7"/>
      <c r="C46" s="8" t="s">
        <v>24</v>
      </c>
      <c r="D46" s="8"/>
      <c r="E46" s="8"/>
      <c r="F46" s="8"/>
      <c r="G46" s="8"/>
      <c r="H46" s="8"/>
    </row>
    <row r="48" customFormat="false" ht="21.75" hidden="false" customHeight="true" outlineLevel="0" collapsed="false">
      <c r="A48" s="6" t="s">
        <v>50</v>
      </c>
      <c r="B48" s="6"/>
      <c r="C48" s="6"/>
      <c r="D48" s="6"/>
      <c r="E48" s="6"/>
      <c r="F48" s="6"/>
      <c r="G48" s="6"/>
      <c r="H48" s="6"/>
    </row>
    <row r="49" customFormat="false" ht="27.75" hidden="false" customHeight="true" outlineLevel="0" collapsed="false">
      <c r="A49" s="11" t="s">
        <v>341</v>
      </c>
      <c r="B49" s="11"/>
      <c r="C49" s="11"/>
      <c r="D49" s="11"/>
      <c r="E49" s="11"/>
      <c r="F49" s="11"/>
      <c r="G49" s="11"/>
      <c r="H49" s="11"/>
    </row>
    <row r="50" customFormat="false" ht="27.7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</row>
    <row r="51" customFormat="false" ht="27.7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8:H48"/>
    <mergeCell ref="A49:H51"/>
  </mergeCells>
  <dataValidations count="15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fuente" showDropDown="false" showErrorMessage="false" showInputMessage="false" sqref="B15:B24" type="list">
      <formula1>lst_TipoFuente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" showDropDown="false" showErrorMessage="false" showInputMessage="false" sqref="E15:E24" type="list">
      <formula1>lst_RegimenHidrico</formula1>
      <formula2>0</formula2>
    </dataValidation>
    <dataValidation allowBlank="true" error="Seleccione un valor de la lista desplegable." errorStyle="stop" errorTitle="Valor no válido" operator="between" prompt="Elija una opción de la lista." promptTitle="Calidad aparente" showDropDown="false" showErrorMessage="false" showInputMessage="false" sqref="F15:F24" type="list">
      <formula1>lst_CalidadAgua</formula1>
      <formula2>0</formula2>
    </dataValidation>
    <dataValidation allowBlank="true" error="Seleccione un valor de la lista desplegable." errorStyle="stop" errorTitle="Valor no válido" operator="between" prompt="Elija una opción de la lista." promptTitle="¿Bloque en zona de recarga híd" showDropDown="false" showErrorMessage="false" showInputMessage="false" sqref="C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Zonas de humedad persistente 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Escorrentía concentrada obser" showDropDown="false" showErrorMessage="false" showInputMessage="false" sqref="C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Interferencia con obras de ri" showDropDown="false" showErrorMessage="false" showInputMessage="false" sqref="C32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Modalidad de acceso al bloque " showDropDown="false" showErrorMessage="false" showInputMessage="false" sqref="C36" type="list">
      <formula1>lst_ModalidadAcceso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vía final" showDropDown="false" showErrorMessage="false" showInputMessage="false" sqref="C38" type="list">
      <formula1>lst_TipoVia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transitabilidad — época" showDropDown="false" showErrorMessage="false" showInputMessage="false" sqref="C39:C40" type="list">
      <formula1>lst_NivelTransitabilidad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Señal celular" showDropDown="false" showErrorMessage="false" showInputMessage="false" sqref="C42" type="list">
      <formula1>lst_SenalCelular</formula1>
      <formula2>0</formula2>
    </dataValidation>
    <dataValidation allowBlank="true" error="Seleccione un valor de la lista desplegable." errorStyle="stop" errorTitle="Valor no válido" operator="between" prompt="Elija una opción de la lista." promptTitle="Operador celular dominante" showDropDown="false" showErrorMessage="false" showInputMessage="false" sqref="C43" type="list">
      <formula1>lst_Operador</formula1>
      <formula2>0</formula2>
    </dataValidation>
    <dataValidation allowBlank="true" error="Seleccione un valor de la lista desplegable." errorStyle="stop" errorTitle="Valor no válido" operator="between" prompt="Elija una opción de la lista." promptTitle="Alojamiento rural disponible" showDropDown="false" showErrorMessage="false" showInputMessage="false" sqref="C4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quiere autorización de Rond" showDropDown="false" showErrorMessage="false" showInputMessage="false" sqref="C45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3" t="s">
        <v>342</v>
      </c>
      <c r="B1" s="13" t="s">
        <v>343</v>
      </c>
      <c r="C1" s="13" t="s">
        <v>344</v>
      </c>
      <c r="D1" s="13" t="s">
        <v>345</v>
      </c>
      <c r="E1" s="13" t="s">
        <v>346</v>
      </c>
      <c r="F1" s="13" t="s">
        <v>347</v>
      </c>
      <c r="G1" s="13" t="s">
        <v>348</v>
      </c>
      <c r="H1" s="13" t="s">
        <v>349</v>
      </c>
    </row>
    <row r="2" customFormat="false" ht="15" hidden="false" customHeight="true" outlineLevel="0" collapsed="false">
      <c r="A2" s="22" t="s">
        <v>350</v>
      </c>
      <c r="B2" s="22" t="s">
        <v>351</v>
      </c>
      <c r="C2" s="22" t="s">
        <v>352</v>
      </c>
      <c r="D2" s="22" t="s">
        <v>353</v>
      </c>
      <c r="E2" s="22" t="s">
        <v>354</v>
      </c>
      <c r="F2" s="23" t="n">
        <v>595552</v>
      </c>
      <c r="G2" s="23" t="n">
        <v>9451222</v>
      </c>
      <c r="H2" s="24" t="n">
        <v>355.36</v>
      </c>
    </row>
    <row r="3" customFormat="false" ht="15" hidden="false" customHeight="true" outlineLevel="0" collapsed="false">
      <c r="A3" s="22" t="s">
        <v>355</v>
      </c>
      <c r="B3" s="22" t="s">
        <v>356</v>
      </c>
      <c r="C3" s="22" t="s">
        <v>352</v>
      </c>
      <c r="D3" s="22" t="s">
        <v>353</v>
      </c>
      <c r="E3" s="22" t="s">
        <v>354</v>
      </c>
      <c r="F3" s="23" t="n">
        <v>596773</v>
      </c>
      <c r="G3" s="23" t="n">
        <v>9448273</v>
      </c>
      <c r="H3" s="24" t="n">
        <v>68.89</v>
      </c>
    </row>
    <row r="4" customFormat="false" ht="15" hidden="false" customHeight="true" outlineLevel="0" collapsed="false">
      <c r="A4" s="22" t="s">
        <v>357</v>
      </c>
      <c r="B4" s="22" t="s">
        <v>356</v>
      </c>
      <c r="C4" s="22" t="s">
        <v>352</v>
      </c>
      <c r="D4" s="22" t="s">
        <v>353</v>
      </c>
      <c r="E4" s="22" t="s">
        <v>354</v>
      </c>
      <c r="F4" s="23" t="n">
        <v>596578</v>
      </c>
      <c r="G4" s="23" t="n">
        <v>9442453</v>
      </c>
      <c r="H4" s="24" t="n">
        <v>53.48</v>
      </c>
    </row>
    <row r="5" customFormat="false" ht="15" hidden="false" customHeight="true" outlineLevel="0" collapsed="false">
      <c r="A5" s="22" t="s">
        <v>358</v>
      </c>
      <c r="B5" s="22" t="s">
        <v>359</v>
      </c>
      <c r="C5" s="22" t="s">
        <v>352</v>
      </c>
      <c r="D5" s="22" t="s">
        <v>353</v>
      </c>
      <c r="E5" s="22" t="s">
        <v>354</v>
      </c>
      <c r="F5" s="23" t="n">
        <v>599927</v>
      </c>
      <c r="G5" s="23" t="n">
        <v>9442604</v>
      </c>
      <c r="H5" s="24" t="n">
        <v>35.83</v>
      </c>
    </row>
    <row r="6" customFormat="false" ht="15" hidden="false" customHeight="true" outlineLevel="0" collapsed="false">
      <c r="A6" s="22" t="s">
        <v>360</v>
      </c>
      <c r="B6" s="22" t="s">
        <v>359</v>
      </c>
      <c r="C6" s="22" t="s">
        <v>352</v>
      </c>
      <c r="D6" s="22" t="s">
        <v>353</v>
      </c>
      <c r="E6" s="22" t="s">
        <v>354</v>
      </c>
      <c r="F6" s="23" t="n">
        <v>601122</v>
      </c>
      <c r="G6" s="23" t="n">
        <v>9443651</v>
      </c>
      <c r="H6" s="24" t="n">
        <v>79.33</v>
      </c>
    </row>
    <row r="7" customFormat="false" ht="15" hidden="false" customHeight="true" outlineLevel="0" collapsed="false">
      <c r="A7" s="22" t="s">
        <v>361</v>
      </c>
      <c r="B7" s="22" t="s">
        <v>359</v>
      </c>
      <c r="C7" s="22" t="s">
        <v>352</v>
      </c>
      <c r="D7" s="22" t="s">
        <v>353</v>
      </c>
      <c r="E7" s="22" t="s">
        <v>354</v>
      </c>
      <c r="F7" s="23" t="n">
        <v>600644</v>
      </c>
      <c r="G7" s="23" t="n">
        <v>9440436</v>
      </c>
      <c r="H7" s="24" t="n">
        <v>42.45</v>
      </c>
    </row>
    <row r="8" customFormat="false" ht="15" hidden="false" customHeight="true" outlineLevel="0" collapsed="false">
      <c r="A8" s="22" t="s">
        <v>362</v>
      </c>
      <c r="B8" s="22" t="s">
        <v>363</v>
      </c>
      <c r="C8" s="22" t="s">
        <v>352</v>
      </c>
      <c r="D8" s="22" t="s">
        <v>353</v>
      </c>
      <c r="E8" s="22" t="s">
        <v>354</v>
      </c>
      <c r="F8" s="23" t="n">
        <v>603653</v>
      </c>
      <c r="G8" s="23" t="n">
        <v>9439351</v>
      </c>
      <c r="H8" s="24" t="n">
        <v>330.6</v>
      </c>
    </row>
    <row r="9" customFormat="false" ht="15" hidden="false" customHeight="true" outlineLevel="0" collapsed="false">
      <c r="A9" s="22" t="s">
        <v>364</v>
      </c>
      <c r="B9" s="22" t="s">
        <v>359</v>
      </c>
      <c r="C9" s="22" t="s">
        <v>352</v>
      </c>
      <c r="D9" s="22" t="s">
        <v>353</v>
      </c>
      <c r="E9" s="22" t="s">
        <v>354</v>
      </c>
      <c r="F9" s="23" t="n">
        <v>604926</v>
      </c>
      <c r="G9" s="23" t="n">
        <v>9444327</v>
      </c>
      <c r="H9" s="24" t="n">
        <v>124.71</v>
      </c>
    </row>
    <row r="10" customFormat="false" ht="15" hidden="false" customHeight="true" outlineLevel="0" collapsed="false">
      <c r="A10" s="22" t="s">
        <v>365</v>
      </c>
      <c r="B10" s="22" t="s">
        <v>366</v>
      </c>
      <c r="C10" s="22" t="s">
        <v>352</v>
      </c>
      <c r="D10" s="22" t="s">
        <v>353</v>
      </c>
      <c r="E10" s="22" t="s">
        <v>354</v>
      </c>
      <c r="F10" s="23" t="n">
        <v>593246</v>
      </c>
      <c r="G10" s="23" t="n">
        <v>9430139</v>
      </c>
      <c r="H10" s="24" t="n">
        <v>448.8</v>
      </c>
    </row>
    <row r="11" customFormat="false" ht="15" hidden="false" customHeight="true" outlineLevel="0" collapsed="false">
      <c r="A11" s="22" t="s">
        <v>367</v>
      </c>
      <c r="B11" s="22" t="s">
        <v>351</v>
      </c>
      <c r="C11" s="22" t="s">
        <v>368</v>
      </c>
      <c r="D11" s="22" t="s">
        <v>369</v>
      </c>
      <c r="E11" s="22" t="s">
        <v>370</v>
      </c>
      <c r="F11" s="23" t="n">
        <v>606816</v>
      </c>
      <c r="G11" s="23" t="n">
        <v>9458469</v>
      </c>
      <c r="H11" s="24" t="n">
        <v>459.29</v>
      </c>
    </row>
    <row r="12" customFormat="false" ht="15" hidden="false" customHeight="true" outlineLevel="0" collapsed="false">
      <c r="A12" s="22" t="s">
        <v>371</v>
      </c>
      <c r="B12" s="22" t="s">
        <v>356</v>
      </c>
      <c r="C12" s="22" t="s">
        <v>368</v>
      </c>
      <c r="D12" s="22" t="s">
        <v>369</v>
      </c>
      <c r="E12" s="22" t="s">
        <v>370</v>
      </c>
      <c r="F12" s="23" t="n">
        <v>605636</v>
      </c>
      <c r="G12" s="23" t="n">
        <v>9455269</v>
      </c>
      <c r="H12" s="24" t="n">
        <v>168.41</v>
      </c>
    </row>
    <row r="13" customFormat="false" ht="15" hidden="false" customHeight="true" outlineLevel="0" collapsed="false">
      <c r="A13" s="22" t="s">
        <v>372</v>
      </c>
      <c r="B13" s="22" t="s">
        <v>356</v>
      </c>
      <c r="C13" s="22" t="s">
        <v>368</v>
      </c>
      <c r="D13" s="22" t="s">
        <v>369</v>
      </c>
      <c r="E13" s="22" t="s">
        <v>370</v>
      </c>
      <c r="F13" s="23" t="n">
        <v>606468</v>
      </c>
      <c r="G13" s="23" t="n">
        <v>9454689</v>
      </c>
      <c r="H13" s="24" t="n">
        <v>24.84</v>
      </c>
    </row>
    <row r="14" customFormat="false" ht="15" hidden="false" customHeight="true" outlineLevel="0" collapsed="false">
      <c r="A14" s="22" t="s">
        <v>373</v>
      </c>
      <c r="B14" s="22" t="s">
        <v>359</v>
      </c>
      <c r="C14" s="22" t="s">
        <v>368</v>
      </c>
      <c r="D14" s="22" t="s">
        <v>369</v>
      </c>
      <c r="E14" s="22" t="s">
        <v>370</v>
      </c>
      <c r="F14" s="23" t="n">
        <v>608472</v>
      </c>
      <c r="G14" s="23" t="n">
        <v>9448056</v>
      </c>
      <c r="H14" s="24" t="n">
        <v>258.84</v>
      </c>
    </row>
    <row r="15" customFormat="false" ht="15" hidden="false" customHeight="true" outlineLevel="0" collapsed="false">
      <c r="A15" s="22" t="s">
        <v>374</v>
      </c>
      <c r="B15" s="22" t="s">
        <v>359</v>
      </c>
      <c r="C15" s="22" t="s">
        <v>368</v>
      </c>
      <c r="D15" s="22" t="s">
        <v>369</v>
      </c>
      <c r="E15" s="22" t="s">
        <v>370</v>
      </c>
      <c r="F15" s="23" t="n">
        <v>607036</v>
      </c>
      <c r="G15" s="23" t="n">
        <v>9446211</v>
      </c>
      <c r="H15" s="24" t="n">
        <v>106.54</v>
      </c>
    </row>
    <row r="16" customFormat="false" ht="15" hidden="false" customHeight="true" outlineLevel="0" collapsed="false">
      <c r="A16" s="22" t="s">
        <v>375</v>
      </c>
      <c r="B16" s="22" t="s">
        <v>359</v>
      </c>
      <c r="C16" s="22" t="s">
        <v>368</v>
      </c>
      <c r="D16" s="22" t="s">
        <v>369</v>
      </c>
      <c r="E16" s="22" t="s">
        <v>370</v>
      </c>
      <c r="F16" s="23" t="n">
        <v>606173</v>
      </c>
      <c r="G16" s="23" t="n">
        <v>9447361</v>
      </c>
      <c r="H16" s="24" t="n">
        <v>75.36</v>
      </c>
    </row>
    <row r="17" customFormat="false" ht="15" hidden="false" customHeight="true" outlineLevel="0" collapsed="false">
      <c r="A17" s="22" t="s">
        <v>376</v>
      </c>
      <c r="B17" s="22" t="s">
        <v>359</v>
      </c>
      <c r="C17" s="22" t="s">
        <v>368</v>
      </c>
      <c r="D17" s="22" t="s">
        <v>369</v>
      </c>
      <c r="E17" s="22" t="s">
        <v>370</v>
      </c>
      <c r="F17" s="23" t="n">
        <v>608800</v>
      </c>
      <c r="G17" s="23" t="n">
        <v>9445585</v>
      </c>
      <c r="H17" s="24" t="n">
        <v>74.03</v>
      </c>
    </row>
    <row r="18" customFormat="false" ht="15" hidden="false" customHeight="true" outlineLevel="0" collapsed="false">
      <c r="A18" s="22" t="s">
        <v>377</v>
      </c>
      <c r="B18" s="22" t="s">
        <v>359</v>
      </c>
      <c r="C18" s="22" t="s">
        <v>368</v>
      </c>
      <c r="D18" s="22" t="s">
        <v>369</v>
      </c>
      <c r="E18" s="22" t="s">
        <v>370</v>
      </c>
      <c r="F18" s="23" t="n">
        <v>613302</v>
      </c>
      <c r="G18" s="23" t="n">
        <v>9450231</v>
      </c>
      <c r="H18" s="24" t="n">
        <v>78.15</v>
      </c>
    </row>
    <row r="19" customFormat="false" ht="15" hidden="false" customHeight="true" outlineLevel="0" collapsed="false">
      <c r="A19" s="22" t="s">
        <v>378</v>
      </c>
      <c r="B19" s="22" t="s">
        <v>379</v>
      </c>
      <c r="C19" s="22" t="s">
        <v>368</v>
      </c>
      <c r="D19" s="22" t="s">
        <v>369</v>
      </c>
      <c r="E19" s="22" t="s">
        <v>370</v>
      </c>
      <c r="F19" s="23" t="n">
        <v>618523</v>
      </c>
      <c r="G19" s="23" t="n">
        <v>9448918</v>
      </c>
      <c r="H19" s="24" t="n">
        <v>68.57</v>
      </c>
    </row>
    <row r="20" customFormat="false" ht="15" hidden="false" customHeight="true" outlineLevel="0" collapsed="false">
      <c r="A20" s="22" t="s">
        <v>380</v>
      </c>
      <c r="B20" s="22" t="s">
        <v>379</v>
      </c>
      <c r="C20" s="22" t="s">
        <v>368</v>
      </c>
      <c r="D20" s="22" t="s">
        <v>369</v>
      </c>
      <c r="E20" s="22" t="s">
        <v>370</v>
      </c>
      <c r="F20" s="23" t="n">
        <v>631723</v>
      </c>
      <c r="G20" s="23" t="n">
        <v>9439702</v>
      </c>
      <c r="H20" s="24" t="n">
        <v>77.67</v>
      </c>
    </row>
    <row r="21" customFormat="false" ht="15" hidden="false" customHeight="true" outlineLevel="0" collapsed="false">
      <c r="A21" s="22" t="s">
        <v>381</v>
      </c>
      <c r="B21" s="22" t="s">
        <v>382</v>
      </c>
      <c r="C21" s="22" t="s">
        <v>352</v>
      </c>
      <c r="D21" s="22" t="s">
        <v>383</v>
      </c>
      <c r="E21" s="22" t="s">
        <v>384</v>
      </c>
      <c r="F21" s="23" t="n">
        <v>625419</v>
      </c>
      <c r="G21" s="23" t="n">
        <v>9444932</v>
      </c>
      <c r="H21" s="24" t="n">
        <v>119.54</v>
      </c>
    </row>
    <row r="22" customFormat="false" ht="15" hidden="false" customHeight="true" outlineLevel="0" collapsed="false">
      <c r="A22" s="22" t="s">
        <v>385</v>
      </c>
      <c r="B22" s="22" t="s">
        <v>382</v>
      </c>
      <c r="C22" s="22" t="s">
        <v>352</v>
      </c>
      <c r="D22" s="22" t="s">
        <v>383</v>
      </c>
      <c r="E22" s="22" t="s">
        <v>384</v>
      </c>
      <c r="F22" s="23" t="n">
        <v>621452</v>
      </c>
      <c r="G22" s="23" t="n">
        <v>9443855</v>
      </c>
      <c r="H22" s="24" t="n">
        <v>35.66</v>
      </c>
    </row>
    <row r="23" customFormat="false" ht="15" hidden="false" customHeight="true" outlineLevel="0" collapsed="false">
      <c r="A23" s="22" t="s">
        <v>386</v>
      </c>
      <c r="B23" s="22" t="s">
        <v>379</v>
      </c>
      <c r="C23" s="22" t="s">
        <v>352</v>
      </c>
      <c r="D23" s="22" t="s">
        <v>383</v>
      </c>
      <c r="E23" s="22" t="s">
        <v>384</v>
      </c>
      <c r="F23" s="23" t="n">
        <v>620263</v>
      </c>
      <c r="G23" s="23" t="n">
        <v>9442343</v>
      </c>
      <c r="H23" s="24" t="n">
        <v>100.51</v>
      </c>
    </row>
    <row r="24" customFormat="false" ht="15" hidden="false" customHeight="true" outlineLevel="0" collapsed="false">
      <c r="A24" s="22" t="s">
        <v>387</v>
      </c>
      <c r="B24" s="22" t="s">
        <v>382</v>
      </c>
      <c r="C24" s="22" t="s">
        <v>352</v>
      </c>
      <c r="D24" s="22" t="s">
        <v>383</v>
      </c>
      <c r="E24" s="22" t="s">
        <v>384</v>
      </c>
      <c r="F24" s="23" t="n">
        <v>619630</v>
      </c>
      <c r="G24" s="23" t="n">
        <v>9440043</v>
      </c>
      <c r="H24" s="24" t="n">
        <v>35.1</v>
      </c>
    </row>
    <row r="25" customFormat="false" ht="15" hidden="false" customHeight="true" outlineLevel="0" collapsed="false">
      <c r="A25" s="22" t="s">
        <v>388</v>
      </c>
      <c r="B25" s="22" t="s">
        <v>382</v>
      </c>
      <c r="C25" s="22" t="s">
        <v>352</v>
      </c>
      <c r="D25" s="22" t="s">
        <v>383</v>
      </c>
      <c r="E25" s="22" t="s">
        <v>384</v>
      </c>
      <c r="F25" s="23" t="n">
        <v>620759</v>
      </c>
      <c r="G25" s="23" t="n">
        <v>9439988</v>
      </c>
      <c r="H25" s="24" t="n">
        <v>103.95</v>
      </c>
    </row>
    <row r="26" customFormat="false" ht="15" hidden="false" customHeight="true" outlineLevel="0" collapsed="false">
      <c r="A26" s="22" t="s">
        <v>389</v>
      </c>
      <c r="B26" s="22" t="s">
        <v>382</v>
      </c>
      <c r="C26" s="22" t="s">
        <v>352</v>
      </c>
      <c r="D26" s="22" t="s">
        <v>383</v>
      </c>
      <c r="E26" s="22" t="s">
        <v>384</v>
      </c>
      <c r="F26" s="23" t="n">
        <v>619939</v>
      </c>
      <c r="G26" s="23" t="n">
        <v>9438544</v>
      </c>
      <c r="H26" s="24" t="n">
        <v>81.78</v>
      </c>
    </row>
    <row r="27" customFormat="false" ht="15" hidden="false" customHeight="true" outlineLevel="0" collapsed="false">
      <c r="A27" s="22" t="s">
        <v>390</v>
      </c>
      <c r="B27" s="22" t="s">
        <v>382</v>
      </c>
      <c r="C27" s="22" t="s">
        <v>352</v>
      </c>
      <c r="D27" s="22" t="s">
        <v>383</v>
      </c>
      <c r="E27" s="22" t="s">
        <v>384</v>
      </c>
      <c r="F27" s="23" t="n">
        <v>620200</v>
      </c>
      <c r="G27" s="23" t="n">
        <v>9437862</v>
      </c>
      <c r="H27" s="24" t="n">
        <v>86.15</v>
      </c>
    </row>
    <row r="28" customFormat="false" ht="15" hidden="false" customHeight="true" outlineLevel="0" collapsed="false">
      <c r="A28" s="22" t="s">
        <v>391</v>
      </c>
      <c r="B28" s="22" t="s">
        <v>382</v>
      </c>
      <c r="C28" s="22" t="s">
        <v>352</v>
      </c>
      <c r="D28" s="22" t="s">
        <v>383</v>
      </c>
      <c r="E28" s="22" t="s">
        <v>384</v>
      </c>
      <c r="F28" s="23" t="n">
        <v>620770</v>
      </c>
      <c r="G28" s="23" t="n">
        <v>9436562</v>
      </c>
      <c r="H28" s="24" t="n">
        <v>34.17</v>
      </c>
    </row>
    <row r="29" customFormat="false" ht="15" hidden="false" customHeight="true" outlineLevel="0" collapsed="false">
      <c r="A29" s="22" t="s">
        <v>392</v>
      </c>
      <c r="B29" s="22" t="s">
        <v>382</v>
      </c>
      <c r="C29" s="22" t="s">
        <v>352</v>
      </c>
      <c r="D29" s="22" t="s">
        <v>383</v>
      </c>
      <c r="E29" s="22" t="s">
        <v>384</v>
      </c>
      <c r="F29" s="23" t="n">
        <v>618661</v>
      </c>
      <c r="G29" s="23" t="n">
        <v>9438267</v>
      </c>
      <c r="H29" s="24" t="n">
        <v>96.08</v>
      </c>
    </row>
    <row r="30" customFormat="false" ht="15" hidden="false" customHeight="true" outlineLevel="0" collapsed="false">
      <c r="A30" s="22" t="s">
        <v>393</v>
      </c>
      <c r="B30" s="22" t="s">
        <v>363</v>
      </c>
      <c r="C30" s="22" t="s">
        <v>352</v>
      </c>
      <c r="D30" s="22" t="s">
        <v>383</v>
      </c>
      <c r="E30" s="22" t="s">
        <v>384</v>
      </c>
      <c r="F30" s="23" t="n">
        <v>617596</v>
      </c>
      <c r="G30" s="23" t="n">
        <v>9436227</v>
      </c>
      <c r="H30" s="24" t="n">
        <v>35.35</v>
      </c>
    </row>
    <row r="31" customFormat="false" ht="15" hidden="false" customHeight="true" outlineLevel="0" collapsed="false">
      <c r="A31" s="22" t="s">
        <v>394</v>
      </c>
      <c r="B31" s="22" t="s">
        <v>395</v>
      </c>
      <c r="C31" s="22" t="s">
        <v>352</v>
      </c>
      <c r="D31" s="22" t="s">
        <v>396</v>
      </c>
      <c r="E31" s="22" t="s">
        <v>397</v>
      </c>
      <c r="F31" s="23" t="n">
        <v>631195</v>
      </c>
      <c r="G31" s="23" t="n">
        <v>9441777</v>
      </c>
      <c r="H31" s="24" t="n">
        <v>25.67</v>
      </c>
    </row>
    <row r="32" customFormat="false" ht="15" hidden="false" customHeight="true" outlineLevel="0" collapsed="false">
      <c r="A32" s="22" t="s">
        <v>398</v>
      </c>
      <c r="B32" s="22" t="s">
        <v>382</v>
      </c>
      <c r="C32" s="22" t="s">
        <v>352</v>
      </c>
      <c r="D32" s="22" t="s">
        <v>396</v>
      </c>
      <c r="E32" s="22" t="s">
        <v>397</v>
      </c>
      <c r="F32" s="23" t="n">
        <v>631195</v>
      </c>
      <c r="G32" s="23" t="n">
        <v>9441777</v>
      </c>
      <c r="H32" s="24" t="n">
        <v>13.55</v>
      </c>
    </row>
    <row r="33" customFormat="false" ht="15" hidden="false" customHeight="true" outlineLevel="0" collapsed="false">
      <c r="A33" s="22" t="s">
        <v>399</v>
      </c>
      <c r="B33" s="22" t="s">
        <v>395</v>
      </c>
      <c r="C33" s="22" t="s">
        <v>352</v>
      </c>
      <c r="D33" s="22" t="s">
        <v>400</v>
      </c>
      <c r="E33" s="22" t="s">
        <v>397</v>
      </c>
      <c r="F33" s="23" t="n">
        <v>626438</v>
      </c>
      <c r="G33" s="23" t="n">
        <v>9435060</v>
      </c>
      <c r="H33" s="24" t="n">
        <v>28.19</v>
      </c>
    </row>
    <row r="34" customFormat="false" ht="15" hidden="false" customHeight="true" outlineLevel="0" collapsed="false">
      <c r="A34" s="22" t="s">
        <v>401</v>
      </c>
      <c r="B34" s="22" t="s">
        <v>382</v>
      </c>
      <c r="C34" s="22" t="s">
        <v>352</v>
      </c>
      <c r="D34" s="22" t="s">
        <v>400</v>
      </c>
      <c r="E34" s="22" t="s">
        <v>397</v>
      </c>
      <c r="F34" s="23" t="n">
        <v>625152</v>
      </c>
      <c r="G34" s="23" t="n">
        <v>9435011</v>
      </c>
      <c r="H34" s="24" t="n">
        <v>80.62</v>
      </c>
    </row>
    <row r="35" customFormat="false" ht="15" hidden="false" customHeight="true" outlineLevel="0" collapsed="false">
      <c r="A35" s="22" t="s">
        <v>402</v>
      </c>
      <c r="B35" s="22" t="s">
        <v>382</v>
      </c>
      <c r="C35" s="22" t="s">
        <v>352</v>
      </c>
      <c r="D35" s="22" t="s">
        <v>400</v>
      </c>
      <c r="E35" s="22" t="s">
        <v>397</v>
      </c>
      <c r="F35" s="23" t="n">
        <v>624397</v>
      </c>
      <c r="G35" s="23" t="n">
        <v>9437085</v>
      </c>
      <c r="H35" s="24" t="n">
        <v>92.9</v>
      </c>
    </row>
    <row r="36" customFormat="false" ht="15" hidden="false" customHeight="true" outlineLevel="0" collapsed="false">
      <c r="A36" s="22" t="s">
        <v>403</v>
      </c>
      <c r="B36" s="22" t="s">
        <v>404</v>
      </c>
      <c r="C36" s="22" t="s">
        <v>352</v>
      </c>
      <c r="D36" s="22" t="s">
        <v>400</v>
      </c>
      <c r="E36" s="22" t="s">
        <v>397</v>
      </c>
      <c r="F36" s="23" t="n">
        <v>619094</v>
      </c>
      <c r="G36" s="23" t="n">
        <v>9426406</v>
      </c>
      <c r="H36" s="24" t="n">
        <v>11.47</v>
      </c>
    </row>
    <row r="37" customFormat="false" ht="15" hidden="false" customHeight="true" outlineLevel="0" collapsed="false">
      <c r="A37" s="22" t="s">
        <v>405</v>
      </c>
      <c r="B37" s="22" t="s">
        <v>382</v>
      </c>
      <c r="C37" s="22" t="s">
        <v>352</v>
      </c>
      <c r="D37" s="22" t="s">
        <v>352</v>
      </c>
      <c r="E37" s="22" t="s">
        <v>406</v>
      </c>
      <c r="F37" s="23" t="n">
        <v>617715</v>
      </c>
      <c r="G37" s="23" t="n">
        <v>9427284</v>
      </c>
      <c r="H37" s="24" t="n">
        <v>74.37</v>
      </c>
    </row>
    <row r="38" customFormat="false" ht="15" hidden="false" customHeight="true" outlineLevel="0" collapsed="false">
      <c r="A38" s="22" t="s">
        <v>407</v>
      </c>
      <c r="B38" s="22" t="s">
        <v>404</v>
      </c>
      <c r="C38" s="22" t="s">
        <v>352</v>
      </c>
      <c r="D38" s="22" t="s">
        <v>352</v>
      </c>
      <c r="E38" s="22" t="s">
        <v>406</v>
      </c>
      <c r="F38" s="23" t="n">
        <v>618248</v>
      </c>
      <c r="G38" s="23" t="n">
        <v>9426493</v>
      </c>
      <c r="H38" s="24" t="n">
        <v>50.97</v>
      </c>
    </row>
    <row r="39" customFormat="false" ht="15" hidden="false" customHeight="true" outlineLevel="0" collapsed="false">
      <c r="A39" s="22" t="s">
        <v>408</v>
      </c>
      <c r="B39" s="22" t="s">
        <v>409</v>
      </c>
      <c r="C39" s="22" t="s">
        <v>352</v>
      </c>
      <c r="D39" s="22" t="s">
        <v>410</v>
      </c>
      <c r="E39" s="22" t="s">
        <v>411</v>
      </c>
      <c r="F39" s="23" t="n">
        <v>618299</v>
      </c>
      <c r="G39" s="23" t="n">
        <v>9423119</v>
      </c>
      <c r="H39" s="24" t="n">
        <v>249.89</v>
      </c>
    </row>
    <row r="40" customFormat="false" ht="15" hidden="false" customHeight="true" outlineLevel="0" collapsed="false">
      <c r="A40" s="22" t="s">
        <v>412</v>
      </c>
      <c r="B40" s="22" t="s">
        <v>409</v>
      </c>
      <c r="C40" s="22" t="s">
        <v>352</v>
      </c>
      <c r="D40" s="22" t="s">
        <v>410</v>
      </c>
      <c r="E40" s="22" t="s">
        <v>411</v>
      </c>
      <c r="F40" s="23" t="n">
        <v>611305</v>
      </c>
      <c r="G40" s="23" t="n">
        <v>9419274</v>
      </c>
      <c r="H40" s="24" t="n">
        <v>160.98</v>
      </c>
    </row>
    <row r="41" customFormat="false" ht="15" hidden="false" customHeight="true" outlineLevel="0" collapsed="false">
      <c r="A41" s="22" t="s">
        <v>413</v>
      </c>
      <c r="B41" s="22" t="s">
        <v>409</v>
      </c>
      <c r="C41" s="22" t="s">
        <v>352</v>
      </c>
      <c r="D41" s="22" t="s">
        <v>410</v>
      </c>
      <c r="E41" s="22" t="s">
        <v>411</v>
      </c>
      <c r="F41" s="23" t="n">
        <v>611196</v>
      </c>
      <c r="G41" s="23" t="n">
        <v>9416725</v>
      </c>
      <c r="H41" s="24" t="n">
        <v>333.01</v>
      </c>
    </row>
    <row r="42" customFormat="false" ht="15" hidden="false" customHeight="true" outlineLevel="0" collapsed="false">
      <c r="A42" s="22" t="s">
        <v>414</v>
      </c>
      <c r="B42" s="22" t="s">
        <v>409</v>
      </c>
      <c r="C42" s="22" t="s">
        <v>352</v>
      </c>
      <c r="D42" s="22" t="s">
        <v>410</v>
      </c>
      <c r="E42" s="22" t="s">
        <v>411</v>
      </c>
      <c r="F42" s="23" t="n">
        <v>612864</v>
      </c>
      <c r="G42" s="23" t="n">
        <v>9413345</v>
      </c>
      <c r="H42" s="24" t="n">
        <v>514.36</v>
      </c>
    </row>
    <row r="43" customFormat="false" ht="15" hidden="false" customHeight="true" outlineLevel="0" collapsed="false">
      <c r="A43" s="22" t="s">
        <v>415</v>
      </c>
      <c r="B43" s="22" t="s">
        <v>409</v>
      </c>
      <c r="C43" s="22" t="s">
        <v>352</v>
      </c>
      <c r="D43" s="22" t="s">
        <v>410</v>
      </c>
      <c r="E43" s="22" t="s">
        <v>411</v>
      </c>
      <c r="F43" s="23" t="n">
        <v>617860</v>
      </c>
      <c r="G43" s="23" t="n">
        <v>9413182</v>
      </c>
      <c r="H43" s="24" t="n">
        <v>295.73</v>
      </c>
    </row>
    <row r="44" customFormat="false" ht="15" hidden="false" customHeight="true" outlineLevel="0" collapsed="false">
      <c r="A44" s="22" t="s">
        <v>416</v>
      </c>
      <c r="B44" s="22" t="s">
        <v>417</v>
      </c>
      <c r="C44" s="22" t="s">
        <v>352</v>
      </c>
      <c r="D44" s="22" t="s">
        <v>410</v>
      </c>
      <c r="E44" s="22" t="s">
        <v>411</v>
      </c>
      <c r="F44" s="23" t="n">
        <v>617695</v>
      </c>
      <c r="G44" s="23" t="n">
        <v>9409136</v>
      </c>
      <c r="H44" s="24" t="n">
        <v>188.8</v>
      </c>
    </row>
    <row r="45" customFormat="false" ht="15" hidden="false" customHeight="true" outlineLevel="0" collapsed="false">
      <c r="A45" s="22" t="s">
        <v>418</v>
      </c>
      <c r="B45" s="22" t="s">
        <v>419</v>
      </c>
      <c r="C45" s="22" t="s">
        <v>352</v>
      </c>
      <c r="D45" s="22" t="s">
        <v>410</v>
      </c>
      <c r="E45" s="22" t="s">
        <v>411</v>
      </c>
      <c r="F45" s="23" t="n">
        <v>621058</v>
      </c>
      <c r="G45" s="23" t="n">
        <v>9410427</v>
      </c>
      <c r="H45" s="24" t="n">
        <v>160.36</v>
      </c>
    </row>
    <row r="46" customFormat="false" ht="15" hidden="false" customHeight="true" outlineLevel="0" collapsed="false">
      <c r="A46" s="22" t="s">
        <v>420</v>
      </c>
      <c r="B46" s="22" t="s">
        <v>421</v>
      </c>
      <c r="C46" s="22" t="s">
        <v>352</v>
      </c>
      <c r="D46" s="22" t="s">
        <v>422</v>
      </c>
      <c r="E46" s="22" t="s">
        <v>423</v>
      </c>
      <c r="F46" s="23" t="n">
        <v>629338</v>
      </c>
      <c r="G46" s="23" t="n">
        <v>9413305</v>
      </c>
      <c r="H46" s="24" t="n">
        <v>294.2</v>
      </c>
    </row>
    <row r="47" customFormat="false" ht="15" hidden="false" customHeight="true" outlineLevel="0" collapsed="false">
      <c r="A47" s="22" t="s">
        <v>424</v>
      </c>
      <c r="B47" s="22" t="s">
        <v>421</v>
      </c>
      <c r="C47" s="22" t="s">
        <v>352</v>
      </c>
      <c r="D47" s="22" t="s">
        <v>422</v>
      </c>
      <c r="E47" s="22" t="s">
        <v>423</v>
      </c>
      <c r="F47" s="23" t="n">
        <v>630685</v>
      </c>
      <c r="G47" s="23" t="n">
        <v>9410800</v>
      </c>
      <c r="H47" s="24" t="n">
        <v>80.98</v>
      </c>
    </row>
    <row r="48" customFormat="false" ht="15" hidden="false" customHeight="true" outlineLevel="0" collapsed="false">
      <c r="A48" s="22" t="s">
        <v>425</v>
      </c>
      <c r="B48" s="22" t="s">
        <v>426</v>
      </c>
      <c r="C48" s="22" t="s">
        <v>352</v>
      </c>
      <c r="D48" s="22" t="s">
        <v>422</v>
      </c>
      <c r="E48" s="22" t="s">
        <v>423</v>
      </c>
      <c r="F48" s="23" t="n">
        <v>629006</v>
      </c>
      <c r="G48" s="23" t="n">
        <v>9407536</v>
      </c>
      <c r="H48" s="24" t="n">
        <v>130.43</v>
      </c>
    </row>
    <row r="49" customFormat="false" ht="15" hidden="false" customHeight="true" outlineLevel="0" collapsed="false">
      <c r="A49" s="22" t="s">
        <v>427</v>
      </c>
      <c r="B49" s="22" t="s">
        <v>426</v>
      </c>
      <c r="C49" s="22" t="s">
        <v>352</v>
      </c>
      <c r="D49" s="22" t="s">
        <v>422</v>
      </c>
      <c r="E49" s="22" t="s">
        <v>423</v>
      </c>
      <c r="F49" s="23" t="n">
        <v>631438</v>
      </c>
      <c r="G49" s="23" t="n">
        <v>9403547</v>
      </c>
      <c r="H49" s="24" t="n">
        <v>115.38</v>
      </c>
    </row>
    <row r="50" customFormat="false" ht="15" hidden="false" customHeight="true" outlineLevel="0" collapsed="false">
      <c r="A50" s="22" t="s">
        <v>428</v>
      </c>
      <c r="B50" s="22" t="s">
        <v>426</v>
      </c>
      <c r="C50" s="22" t="s">
        <v>352</v>
      </c>
      <c r="D50" s="22" t="s">
        <v>422</v>
      </c>
      <c r="E50" s="22" t="s">
        <v>423</v>
      </c>
      <c r="F50" s="23" t="n">
        <v>633232</v>
      </c>
      <c r="G50" s="23" t="n">
        <v>9401227</v>
      </c>
      <c r="H50" s="24" t="n">
        <v>65.74</v>
      </c>
    </row>
    <row r="51" customFormat="false" ht="15" hidden="false" customHeight="true" outlineLevel="0" collapsed="false">
      <c r="A51" s="22" t="s">
        <v>429</v>
      </c>
      <c r="B51" s="22" t="s">
        <v>426</v>
      </c>
      <c r="C51" s="22" t="s">
        <v>352</v>
      </c>
      <c r="D51" s="22" t="s">
        <v>422</v>
      </c>
      <c r="E51" s="22" t="s">
        <v>423</v>
      </c>
      <c r="F51" s="23" t="n">
        <v>635110</v>
      </c>
      <c r="G51" s="23" t="n">
        <v>9399092</v>
      </c>
      <c r="H51" s="24" t="n">
        <v>91.29</v>
      </c>
    </row>
    <row r="52" customFormat="false" ht="15" hidden="false" customHeight="true" outlineLevel="0" collapsed="false">
      <c r="A52" s="22" t="s">
        <v>430</v>
      </c>
      <c r="B52" s="22" t="s">
        <v>431</v>
      </c>
      <c r="C52" s="22" t="s">
        <v>352</v>
      </c>
      <c r="D52" s="22" t="s">
        <v>422</v>
      </c>
      <c r="E52" s="22" t="s">
        <v>423</v>
      </c>
      <c r="F52" s="23" t="n">
        <v>635876</v>
      </c>
      <c r="G52" s="23" t="n">
        <v>9397941</v>
      </c>
      <c r="H52" s="24" t="n">
        <v>81.79</v>
      </c>
    </row>
    <row r="53" customFormat="false" ht="15" hidden="false" customHeight="true" outlineLevel="0" collapsed="false">
      <c r="A53" s="22" t="s">
        <v>432</v>
      </c>
      <c r="B53" s="22" t="s">
        <v>431</v>
      </c>
      <c r="C53" s="22" t="s">
        <v>352</v>
      </c>
      <c r="D53" s="22" t="s">
        <v>422</v>
      </c>
      <c r="E53" s="22" t="s">
        <v>423</v>
      </c>
      <c r="F53" s="23" t="n">
        <v>639728</v>
      </c>
      <c r="G53" s="23" t="n">
        <v>9396836</v>
      </c>
      <c r="H53" s="24" t="n">
        <v>173.43</v>
      </c>
    </row>
    <row r="54" customFormat="false" ht="15" hidden="false" customHeight="true" outlineLevel="0" collapsed="false">
      <c r="A54" s="22" t="s">
        <v>433</v>
      </c>
      <c r="B54" s="22" t="s">
        <v>431</v>
      </c>
      <c r="C54" s="22" t="s">
        <v>352</v>
      </c>
      <c r="D54" s="22" t="s">
        <v>422</v>
      </c>
      <c r="E54" s="22" t="s">
        <v>423</v>
      </c>
      <c r="F54" s="23" t="n">
        <v>639987</v>
      </c>
      <c r="G54" s="23" t="n">
        <v>9394392</v>
      </c>
      <c r="H54" s="24" t="n">
        <v>30.91</v>
      </c>
    </row>
    <row r="55" customFormat="false" ht="15" hidden="false" customHeight="true" outlineLevel="0" collapsed="false">
      <c r="A55" s="22" t="s">
        <v>434</v>
      </c>
      <c r="B55" s="22" t="s">
        <v>431</v>
      </c>
      <c r="C55" s="22" t="s">
        <v>352</v>
      </c>
      <c r="D55" s="22" t="s">
        <v>422</v>
      </c>
      <c r="E55" s="22" t="s">
        <v>423</v>
      </c>
      <c r="F55" s="23" t="n">
        <v>645575</v>
      </c>
      <c r="G55" s="23" t="n">
        <v>9393500</v>
      </c>
      <c r="H55" s="24" t="n">
        <v>1370.96</v>
      </c>
    </row>
    <row r="56" customFormat="false" ht="15" hidden="false" customHeight="true" outlineLevel="0" collapsed="false">
      <c r="A56" s="22" t="s">
        <v>435</v>
      </c>
      <c r="B56" s="22" t="s">
        <v>419</v>
      </c>
      <c r="C56" s="22" t="s">
        <v>352</v>
      </c>
      <c r="D56" s="22" t="s">
        <v>422</v>
      </c>
      <c r="E56" s="22" t="s">
        <v>423</v>
      </c>
      <c r="F56" s="23" t="n">
        <v>625311</v>
      </c>
      <c r="G56" s="23" t="n">
        <v>9412195</v>
      </c>
      <c r="H56" s="24" t="n">
        <v>373.81</v>
      </c>
    </row>
    <row r="57" customFormat="false" ht="15" hidden="false" customHeight="true" outlineLevel="0" collapsed="false">
      <c r="A57" s="22" t="s">
        <v>436</v>
      </c>
      <c r="B57" s="22" t="s">
        <v>419</v>
      </c>
      <c r="C57" s="22" t="s">
        <v>352</v>
      </c>
      <c r="D57" s="22" t="s">
        <v>422</v>
      </c>
      <c r="E57" s="22" t="s">
        <v>423</v>
      </c>
      <c r="F57" s="23" t="n">
        <v>621551</v>
      </c>
      <c r="G57" s="23" t="n">
        <v>9412989</v>
      </c>
      <c r="H57" s="24" t="n">
        <v>197.35</v>
      </c>
    </row>
    <row r="58" customFormat="false" ht="15" hidden="false" customHeight="true" outlineLevel="0" collapsed="false">
      <c r="A58" s="22" t="s">
        <v>437</v>
      </c>
      <c r="B58" s="22" t="s">
        <v>421</v>
      </c>
      <c r="C58" s="22" t="s">
        <v>352</v>
      </c>
      <c r="D58" s="22" t="s">
        <v>438</v>
      </c>
      <c r="E58" s="22" t="s">
        <v>439</v>
      </c>
      <c r="F58" s="23" t="n">
        <v>638309</v>
      </c>
      <c r="G58" s="23" t="n">
        <v>9415217</v>
      </c>
      <c r="H58" s="24" t="n">
        <v>122.95</v>
      </c>
    </row>
    <row r="59" customFormat="false" ht="15" hidden="false" customHeight="true" outlineLevel="0" collapsed="false">
      <c r="A59" s="22" t="s">
        <v>440</v>
      </c>
      <c r="B59" s="22" t="s">
        <v>421</v>
      </c>
      <c r="C59" s="22" t="s">
        <v>352</v>
      </c>
      <c r="D59" s="22" t="s">
        <v>438</v>
      </c>
      <c r="E59" s="22" t="s">
        <v>439</v>
      </c>
      <c r="F59" s="23" t="n">
        <v>637918</v>
      </c>
      <c r="G59" s="23" t="n">
        <v>9412134</v>
      </c>
      <c r="H59" s="24" t="n">
        <v>60.35</v>
      </c>
    </row>
    <row r="60" customFormat="false" ht="15" hidden="false" customHeight="true" outlineLevel="0" collapsed="false">
      <c r="A60" s="22" t="s">
        <v>441</v>
      </c>
      <c r="B60" s="22" t="s">
        <v>442</v>
      </c>
      <c r="C60" s="22" t="s">
        <v>352</v>
      </c>
      <c r="D60" s="22" t="s">
        <v>438</v>
      </c>
      <c r="E60" s="22" t="s">
        <v>439</v>
      </c>
      <c r="F60" s="23" t="n">
        <v>638648</v>
      </c>
      <c r="G60" s="23" t="n">
        <v>9411370</v>
      </c>
      <c r="H60" s="24" t="n">
        <v>17.82</v>
      </c>
    </row>
    <row r="61" customFormat="false" ht="15" hidden="false" customHeight="true" outlineLevel="0" collapsed="false">
      <c r="A61" s="22" t="s">
        <v>443</v>
      </c>
      <c r="B61" s="22" t="s">
        <v>421</v>
      </c>
      <c r="C61" s="22" t="s">
        <v>352</v>
      </c>
      <c r="D61" s="22" t="s">
        <v>438</v>
      </c>
      <c r="E61" s="22" t="s">
        <v>439</v>
      </c>
      <c r="F61" s="23" t="n">
        <v>635887</v>
      </c>
      <c r="G61" s="23" t="n">
        <v>9411738</v>
      </c>
      <c r="H61" s="24" t="n">
        <v>52.74</v>
      </c>
    </row>
    <row r="62" customFormat="false" ht="15" hidden="false" customHeight="true" outlineLevel="0" collapsed="false">
      <c r="A62" s="22" t="s">
        <v>444</v>
      </c>
      <c r="B62" s="22" t="s">
        <v>421</v>
      </c>
      <c r="C62" s="22" t="s">
        <v>352</v>
      </c>
      <c r="D62" s="22" t="s">
        <v>438</v>
      </c>
      <c r="E62" s="22" t="s">
        <v>439</v>
      </c>
      <c r="F62" s="23" t="n">
        <v>633015</v>
      </c>
      <c r="G62" s="23" t="n">
        <v>9411483</v>
      </c>
      <c r="H62" s="24" t="n">
        <v>84.82</v>
      </c>
    </row>
    <row r="63" customFormat="false" ht="15" hidden="false" customHeight="true" outlineLevel="0" collapsed="false">
      <c r="A63" s="22" t="s">
        <v>445</v>
      </c>
      <c r="B63" s="22" t="s">
        <v>421</v>
      </c>
      <c r="C63" s="22" t="s">
        <v>352</v>
      </c>
      <c r="D63" s="22" t="s">
        <v>438</v>
      </c>
      <c r="E63" s="22" t="s">
        <v>439</v>
      </c>
      <c r="F63" s="23" t="n">
        <v>632119</v>
      </c>
      <c r="G63" s="23" t="n">
        <v>9415141</v>
      </c>
      <c r="H63" s="24" t="n">
        <v>565.58</v>
      </c>
    </row>
    <row r="64" customFormat="false" ht="15" hidden="false" customHeight="true" outlineLevel="0" collapsed="false">
      <c r="A64" s="22" t="s">
        <v>446</v>
      </c>
      <c r="B64" s="22" t="s">
        <v>442</v>
      </c>
      <c r="C64" s="22" t="s">
        <v>352</v>
      </c>
      <c r="D64" s="22" t="s">
        <v>438</v>
      </c>
      <c r="E64" s="22" t="s">
        <v>439</v>
      </c>
      <c r="F64" s="23" t="n">
        <v>642079</v>
      </c>
      <c r="G64" s="23" t="n">
        <v>9413823</v>
      </c>
      <c r="H64" s="24" t="n">
        <v>106.03</v>
      </c>
    </row>
    <row r="65" customFormat="false" ht="15" hidden="false" customHeight="true" outlineLevel="0" collapsed="false">
      <c r="A65" s="22" t="s">
        <v>447</v>
      </c>
      <c r="B65" s="22" t="s">
        <v>448</v>
      </c>
      <c r="C65" s="22" t="s">
        <v>352</v>
      </c>
      <c r="D65" s="22" t="s">
        <v>449</v>
      </c>
      <c r="E65" s="22" t="s">
        <v>450</v>
      </c>
      <c r="F65" s="23" t="n">
        <v>642690</v>
      </c>
      <c r="G65" s="23" t="n">
        <v>9438409</v>
      </c>
      <c r="H65" s="24" t="n">
        <v>0.86</v>
      </c>
    </row>
    <row r="66" customFormat="false" ht="15" hidden="false" customHeight="true" outlineLevel="0" collapsed="false">
      <c r="A66" s="22" t="s">
        <v>451</v>
      </c>
      <c r="B66" s="22" t="s">
        <v>448</v>
      </c>
      <c r="C66" s="22" t="s">
        <v>352</v>
      </c>
      <c r="D66" s="22" t="s">
        <v>449</v>
      </c>
      <c r="E66" s="22" t="s">
        <v>450</v>
      </c>
      <c r="F66" s="23" t="n">
        <v>642334</v>
      </c>
      <c r="G66" s="23" t="n">
        <v>9438263</v>
      </c>
      <c r="H66" s="24" t="n">
        <v>15.84</v>
      </c>
    </row>
    <row r="67" customFormat="false" ht="15" hidden="false" customHeight="true" outlineLevel="0" collapsed="false">
      <c r="A67" s="22" t="s">
        <v>452</v>
      </c>
      <c r="B67" s="22" t="s">
        <v>448</v>
      </c>
      <c r="C67" s="22" t="s">
        <v>352</v>
      </c>
      <c r="D67" s="22" t="s">
        <v>449</v>
      </c>
      <c r="E67" s="22" t="s">
        <v>450</v>
      </c>
      <c r="F67" s="23" t="n">
        <v>641522</v>
      </c>
      <c r="G67" s="23" t="n">
        <v>9438064</v>
      </c>
      <c r="H67" s="24" t="n">
        <v>11.06</v>
      </c>
    </row>
    <row r="68" customFormat="false" ht="15" hidden="false" customHeight="true" outlineLevel="0" collapsed="false">
      <c r="A68" s="22" t="s">
        <v>453</v>
      </c>
      <c r="B68" s="22" t="s">
        <v>448</v>
      </c>
      <c r="C68" s="22" t="s">
        <v>352</v>
      </c>
      <c r="D68" s="22" t="s">
        <v>449</v>
      </c>
      <c r="E68" s="22" t="s">
        <v>450</v>
      </c>
      <c r="F68" s="23" t="n">
        <v>639496</v>
      </c>
      <c r="G68" s="23" t="n">
        <v>9433679</v>
      </c>
      <c r="H68" s="24" t="n">
        <v>5.75</v>
      </c>
    </row>
    <row r="69" customFormat="false" ht="15" hidden="false" customHeight="true" outlineLevel="0" collapsed="false">
      <c r="A69" s="22" t="s">
        <v>454</v>
      </c>
      <c r="B69" s="22" t="s">
        <v>448</v>
      </c>
      <c r="C69" s="22" t="s">
        <v>352</v>
      </c>
      <c r="D69" s="22" t="s">
        <v>449</v>
      </c>
      <c r="E69" s="22" t="s">
        <v>450</v>
      </c>
      <c r="F69" s="23" t="n">
        <v>638751</v>
      </c>
      <c r="G69" s="23" t="n">
        <v>9433236</v>
      </c>
      <c r="H69" s="24" t="n">
        <v>18.87</v>
      </c>
    </row>
    <row r="70" customFormat="false" ht="15" hidden="false" customHeight="true" outlineLevel="0" collapsed="false">
      <c r="A70" s="22" t="s">
        <v>455</v>
      </c>
      <c r="B70" s="22" t="s">
        <v>448</v>
      </c>
      <c r="C70" s="22" t="s">
        <v>352</v>
      </c>
      <c r="D70" s="22" t="s">
        <v>449</v>
      </c>
      <c r="E70" s="22" t="s">
        <v>450</v>
      </c>
      <c r="F70" s="23" t="n">
        <v>636249</v>
      </c>
      <c r="G70" s="23" t="n">
        <v>9425665</v>
      </c>
      <c r="H70" s="24" t="n">
        <v>90.2</v>
      </c>
    </row>
    <row r="71" customFormat="false" ht="15" hidden="false" customHeight="true" outlineLevel="0" collapsed="false">
      <c r="A71" s="22" t="s">
        <v>456</v>
      </c>
      <c r="B71" s="22" t="s">
        <v>448</v>
      </c>
      <c r="C71" s="22" t="s">
        <v>352</v>
      </c>
      <c r="D71" s="22" t="s">
        <v>449</v>
      </c>
      <c r="E71" s="22" t="s">
        <v>450</v>
      </c>
      <c r="F71" s="23" t="n">
        <v>634061</v>
      </c>
      <c r="G71" s="23" t="n">
        <v>9426778</v>
      </c>
      <c r="H71" s="24" t="n">
        <v>58.29</v>
      </c>
    </row>
    <row r="72" customFormat="false" ht="15" hidden="false" customHeight="true" outlineLevel="0" collapsed="false">
      <c r="A72" s="22" t="s">
        <v>457</v>
      </c>
      <c r="B72" s="22" t="s">
        <v>448</v>
      </c>
      <c r="C72" s="22" t="s">
        <v>352</v>
      </c>
      <c r="D72" s="22" t="s">
        <v>449</v>
      </c>
      <c r="E72" s="22" t="s">
        <v>450</v>
      </c>
      <c r="F72" s="23" t="n">
        <v>626078</v>
      </c>
      <c r="G72" s="23" t="n">
        <v>9427110</v>
      </c>
      <c r="H72" s="24" t="n">
        <v>283.43</v>
      </c>
    </row>
    <row r="73" customFormat="false" ht="15" hidden="false" customHeight="true" outlineLevel="0" collapsed="false">
      <c r="A73" s="22" t="s">
        <v>458</v>
      </c>
      <c r="B73" s="22" t="s">
        <v>459</v>
      </c>
      <c r="C73" s="22" t="s">
        <v>460</v>
      </c>
      <c r="D73" s="22" t="s">
        <v>461</v>
      </c>
      <c r="E73" s="22" t="s">
        <v>462</v>
      </c>
      <c r="F73" s="23" t="n">
        <v>646466</v>
      </c>
      <c r="G73" s="23" t="n">
        <v>9431126</v>
      </c>
      <c r="H73" s="24" t="n">
        <v>29.68</v>
      </c>
    </row>
    <row r="74" customFormat="false" ht="15" hidden="false" customHeight="true" outlineLevel="0" collapsed="false">
      <c r="A74" s="22" t="s">
        <v>463</v>
      </c>
      <c r="B74" s="22" t="s">
        <v>459</v>
      </c>
      <c r="C74" s="22" t="s">
        <v>460</v>
      </c>
      <c r="D74" s="22" t="s">
        <v>461</v>
      </c>
      <c r="E74" s="22" t="s">
        <v>462</v>
      </c>
      <c r="F74" s="23" t="n">
        <v>647123</v>
      </c>
      <c r="G74" s="23" t="n">
        <v>9427602</v>
      </c>
      <c r="H74" s="24" t="n">
        <v>44.2</v>
      </c>
    </row>
    <row r="75" customFormat="false" ht="15" hidden="false" customHeight="true" outlineLevel="0" collapsed="false">
      <c r="A75" s="22" t="s">
        <v>464</v>
      </c>
      <c r="B75" s="22" t="s">
        <v>459</v>
      </c>
      <c r="C75" s="22" t="s">
        <v>460</v>
      </c>
      <c r="D75" s="22" t="s">
        <v>461</v>
      </c>
      <c r="E75" s="22" t="s">
        <v>462</v>
      </c>
      <c r="F75" s="23" t="n">
        <v>647350</v>
      </c>
      <c r="G75" s="23" t="n">
        <v>9427252</v>
      </c>
      <c r="H75" s="24" t="n">
        <v>19.27</v>
      </c>
    </row>
    <row r="76" customFormat="false" ht="15" hidden="false" customHeight="true" outlineLevel="0" collapsed="false">
      <c r="A76" s="22" t="s">
        <v>465</v>
      </c>
      <c r="B76" s="22" t="s">
        <v>459</v>
      </c>
      <c r="C76" s="22" t="s">
        <v>460</v>
      </c>
      <c r="D76" s="22" t="s">
        <v>461</v>
      </c>
      <c r="E76" s="22" t="s">
        <v>462</v>
      </c>
      <c r="F76" s="23" t="n">
        <v>646483</v>
      </c>
      <c r="G76" s="23" t="n">
        <v>9426305</v>
      </c>
      <c r="H76" s="24" t="n">
        <v>28.45</v>
      </c>
    </row>
    <row r="77" customFormat="false" ht="15" hidden="false" customHeight="true" outlineLevel="0" collapsed="false">
      <c r="A77" s="22" t="s">
        <v>466</v>
      </c>
      <c r="B77" s="22" t="s">
        <v>459</v>
      </c>
      <c r="C77" s="22" t="s">
        <v>460</v>
      </c>
      <c r="D77" s="22" t="s">
        <v>461</v>
      </c>
      <c r="E77" s="22" t="s">
        <v>462</v>
      </c>
      <c r="F77" s="23" t="n">
        <v>646236</v>
      </c>
      <c r="G77" s="23" t="n">
        <v>9425052</v>
      </c>
      <c r="H77" s="24" t="n">
        <v>26.83</v>
      </c>
    </row>
    <row r="78" customFormat="false" ht="15" hidden="false" customHeight="true" outlineLevel="0" collapsed="false">
      <c r="A78" s="22" t="s">
        <v>467</v>
      </c>
      <c r="B78" s="22" t="s">
        <v>468</v>
      </c>
      <c r="C78" s="22" t="s">
        <v>460</v>
      </c>
      <c r="D78" s="22" t="s">
        <v>461</v>
      </c>
      <c r="E78" s="22" t="s">
        <v>462</v>
      </c>
      <c r="F78" s="23" t="n">
        <v>649081</v>
      </c>
      <c r="G78" s="23" t="n">
        <v>9424506</v>
      </c>
      <c r="H78" s="24" t="n">
        <v>35.49</v>
      </c>
    </row>
    <row r="79" customFormat="false" ht="15" hidden="false" customHeight="true" outlineLevel="0" collapsed="false">
      <c r="A79" s="22" t="s">
        <v>469</v>
      </c>
      <c r="B79" s="22" t="s">
        <v>468</v>
      </c>
      <c r="C79" s="22" t="s">
        <v>460</v>
      </c>
      <c r="D79" s="22" t="s">
        <v>461</v>
      </c>
      <c r="E79" s="22" t="s">
        <v>462</v>
      </c>
      <c r="F79" s="23" t="n">
        <v>649472</v>
      </c>
      <c r="G79" s="23" t="n">
        <v>9425705</v>
      </c>
      <c r="H79" s="24" t="n">
        <v>46.96</v>
      </c>
    </row>
    <row r="80" customFormat="false" ht="15" hidden="false" customHeight="true" outlineLevel="0" collapsed="false">
      <c r="A80" s="22" t="s">
        <v>470</v>
      </c>
      <c r="B80" s="22" t="s">
        <v>468</v>
      </c>
      <c r="C80" s="22" t="s">
        <v>460</v>
      </c>
      <c r="D80" s="22" t="s">
        <v>460</v>
      </c>
      <c r="E80" s="22" t="s">
        <v>471</v>
      </c>
      <c r="F80" s="23" t="n">
        <v>657819</v>
      </c>
      <c r="G80" s="23" t="n">
        <v>9428541</v>
      </c>
      <c r="H80" s="24" t="n">
        <v>35.77</v>
      </c>
    </row>
    <row r="81" customFormat="false" ht="21.75" hidden="false" customHeight="true" outlineLevel="0" collapsed="false">
      <c r="A81" s="22" t="s">
        <v>472</v>
      </c>
      <c r="B81" s="22" t="s">
        <v>473</v>
      </c>
      <c r="C81" s="22" t="s">
        <v>460</v>
      </c>
      <c r="D81" s="22" t="s">
        <v>460</v>
      </c>
      <c r="E81" s="22" t="s">
        <v>471</v>
      </c>
      <c r="F81" s="23" t="n">
        <v>656897</v>
      </c>
      <c r="G81" s="23" t="n">
        <v>9426033</v>
      </c>
      <c r="H81" s="24" t="n">
        <v>40.26</v>
      </c>
    </row>
    <row r="82" customFormat="false" ht="15" hidden="false" customHeight="true" outlineLevel="0" collapsed="false">
      <c r="A82" s="22" t="s">
        <v>474</v>
      </c>
      <c r="B82" s="22" t="s">
        <v>468</v>
      </c>
      <c r="C82" s="22" t="s">
        <v>460</v>
      </c>
      <c r="D82" s="22" t="s">
        <v>460</v>
      </c>
      <c r="E82" s="22" t="s">
        <v>471</v>
      </c>
      <c r="F82" s="23" t="n">
        <v>655263</v>
      </c>
      <c r="G82" s="23" t="n">
        <v>9427340</v>
      </c>
      <c r="H82" s="24" t="n">
        <v>90.9</v>
      </c>
    </row>
    <row r="83" customFormat="false" ht="15" hidden="false" customHeight="true" outlineLevel="0" collapsed="false">
      <c r="A83" s="22" t="s">
        <v>475</v>
      </c>
      <c r="B83" s="22" t="s">
        <v>468</v>
      </c>
      <c r="C83" s="22" t="s">
        <v>460</v>
      </c>
      <c r="D83" s="22" t="s">
        <v>476</v>
      </c>
      <c r="E83" s="22" t="s">
        <v>471</v>
      </c>
      <c r="F83" s="23" t="n">
        <v>653850</v>
      </c>
      <c r="G83" s="23" t="n">
        <v>9426236</v>
      </c>
      <c r="H83" s="24" t="n">
        <v>40.13</v>
      </c>
    </row>
    <row r="84" customFormat="false" ht="15" hidden="false" customHeight="true" outlineLevel="0" collapsed="false">
      <c r="A84" s="22" t="s">
        <v>477</v>
      </c>
      <c r="B84" s="22" t="s">
        <v>468</v>
      </c>
      <c r="C84" s="22" t="s">
        <v>460</v>
      </c>
      <c r="D84" s="22" t="s">
        <v>476</v>
      </c>
      <c r="E84" s="22" t="s">
        <v>471</v>
      </c>
      <c r="F84" s="23" t="n">
        <v>654137</v>
      </c>
      <c r="G84" s="23" t="n">
        <v>9424425</v>
      </c>
      <c r="H84" s="24" t="n">
        <v>28.52</v>
      </c>
    </row>
    <row r="85" customFormat="false" ht="15" hidden="false" customHeight="true" outlineLevel="0" collapsed="false">
      <c r="A85" s="22" t="s">
        <v>478</v>
      </c>
      <c r="B85" s="22" t="s">
        <v>468</v>
      </c>
      <c r="C85" s="22" t="s">
        <v>460</v>
      </c>
      <c r="D85" s="22" t="s">
        <v>476</v>
      </c>
      <c r="E85" s="22" t="s">
        <v>471</v>
      </c>
      <c r="F85" s="23" t="n">
        <v>652758</v>
      </c>
      <c r="G85" s="23" t="n">
        <v>9424380</v>
      </c>
      <c r="H85" s="24" t="n">
        <v>34.87</v>
      </c>
    </row>
    <row r="86" customFormat="false" ht="15" hidden="false" customHeight="true" outlineLevel="0" collapsed="false">
      <c r="A86" s="22" t="s">
        <v>479</v>
      </c>
      <c r="B86" s="22" t="s">
        <v>468</v>
      </c>
      <c r="C86" s="22" t="s">
        <v>460</v>
      </c>
      <c r="D86" s="22" t="s">
        <v>476</v>
      </c>
      <c r="E86" s="22" t="s">
        <v>471</v>
      </c>
      <c r="F86" s="23" t="n">
        <v>654188</v>
      </c>
      <c r="G86" s="23" t="n">
        <v>9422849</v>
      </c>
      <c r="H86" s="24" t="n">
        <v>52.97</v>
      </c>
    </row>
    <row r="87" customFormat="false" ht="15" hidden="false" customHeight="true" outlineLevel="0" collapsed="false">
      <c r="A87" s="22" t="s">
        <v>480</v>
      </c>
      <c r="B87" s="22" t="s">
        <v>468</v>
      </c>
      <c r="C87" s="22" t="s">
        <v>460</v>
      </c>
      <c r="D87" s="22" t="s">
        <v>476</v>
      </c>
      <c r="E87" s="22" t="s">
        <v>471</v>
      </c>
      <c r="F87" s="23" t="n">
        <v>655046</v>
      </c>
      <c r="G87" s="23" t="n">
        <v>9420450</v>
      </c>
      <c r="H87" s="24" t="n">
        <v>73.82</v>
      </c>
    </row>
    <row r="88" customFormat="false" ht="21.75" hidden="false" customHeight="true" outlineLevel="0" collapsed="false">
      <c r="A88" s="22" t="s">
        <v>481</v>
      </c>
      <c r="B88" s="22" t="s">
        <v>473</v>
      </c>
      <c r="C88" s="22" t="s">
        <v>460</v>
      </c>
      <c r="D88" s="22" t="s">
        <v>476</v>
      </c>
      <c r="E88" s="22" t="s">
        <v>471</v>
      </c>
      <c r="F88" s="23" t="n">
        <v>657541</v>
      </c>
      <c r="G88" s="23" t="n">
        <v>9421083</v>
      </c>
      <c r="H88" s="24" t="n">
        <v>53.93</v>
      </c>
    </row>
    <row r="89" customFormat="false" ht="15" hidden="false" customHeight="true" outlineLevel="0" collapsed="false">
      <c r="A89" s="22" t="s">
        <v>482</v>
      </c>
      <c r="B89" s="22" t="s">
        <v>468</v>
      </c>
      <c r="C89" s="22" t="s">
        <v>460</v>
      </c>
      <c r="D89" s="22" t="s">
        <v>476</v>
      </c>
      <c r="E89" s="22" t="s">
        <v>471</v>
      </c>
      <c r="F89" s="23" t="n">
        <v>654604</v>
      </c>
      <c r="G89" s="23" t="n">
        <v>9417736</v>
      </c>
      <c r="H89" s="24" t="n">
        <v>84.23</v>
      </c>
    </row>
    <row r="90" customFormat="false" ht="15" hidden="false" customHeight="true" outlineLevel="0" collapsed="false">
      <c r="A90" s="22" t="s">
        <v>483</v>
      </c>
      <c r="B90" s="22" t="s">
        <v>468</v>
      </c>
      <c r="C90" s="22" t="s">
        <v>460</v>
      </c>
      <c r="D90" s="22" t="s">
        <v>476</v>
      </c>
      <c r="E90" s="22" t="s">
        <v>471</v>
      </c>
      <c r="F90" s="23" t="n">
        <v>652566</v>
      </c>
      <c r="G90" s="23" t="n">
        <v>9417311</v>
      </c>
      <c r="H90" s="24" t="n">
        <v>102.34</v>
      </c>
    </row>
    <row r="91" customFormat="false" ht="15" hidden="false" customHeight="true" outlineLevel="0" collapsed="false">
      <c r="A91" s="22" t="s">
        <v>484</v>
      </c>
      <c r="B91" s="22" t="s">
        <v>442</v>
      </c>
      <c r="C91" s="22" t="s">
        <v>460</v>
      </c>
      <c r="D91" s="22" t="s">
        <v>476</v>
      </c>
      <c r="E91" s="22" t="s">
        <v>471</v>
      </c>
      <c r="F91" s="23" t="n">
        <v>652191</v>
      </c>
      <c r="G91" s="23" t="n">
        <v>9414358</v>
      </c>
      <c r="H91" s="24" t="n">
        <v>90.16</v>
      </c>
    </row>
    <row r="92" customFormat="false" ht="15" hidden="false" customHeight="true" outlineLevel="0" collapsed="false">
      <c r="A92" s="22" t="s">
        <v>485</v>
      </c>
      <c r="B92" s="22" t="s">
        <v>442</v>
      </c>
      <c r="C92" s="22" t="s">
        <v>460</v>
      </c>
      <c r="D92" s="22" t="s">
        <v>476</v>
      </c>
      <c r="E92" s="22" t="s">
        <v>471</v>
      </c>
      <c r="F92" s="23" t="n">
        <v>655059</v>
      </c>
      <c r="G92" s="23" t="n">
        <v>9413845</v>
      </c>
      <c r="H92" s="24" t="n">
        <v>50.46</v>
      </c>
    </row>
    <row r="93" customFormat="false" ht="15" hidden="false" customHeight="true" outlineLevel="0" collapsed="false">
      <c r="A93" s="22" t="s">
        <v>486</v>
      </c>
      <c r="B93" s="22" t="s">
        <v>487</v>
      </c>
      <c r="C93" s="22" t="s">
        <v>460</v>
      </c>
      <c r="D93" s="22" t="s">
        <v>476</v>
      </c>
      <c r="E93" s="22" t="s">
        <v>471</v>
      </c>
      <c r="F93" s="23" t="n">
        <v>650305</v>
      </c>
      <c r="G93" s="23" t="n">
        <v>9402785</v>
      </c>
      <c r="H93" s="24" t="n">
        <v>94.81</v>
      </c>
    </row>
    <row r="94" customFormat="false" ht="15" hidden="false" customHeight="true" outlineLevel="0" collapsed="false">
      <c r="A94" s="22" t="s">
        <v>15</v>
      </c>
      <c r="B94" s="22" t="s">
        <v>488</v>
      </c>
      <c r="C94" s="22" t="s">
        <v>460</v>
      </c>
      <c r="D94" s="22" t="s">
        <v>476</v>
      </c>
      <c r="E94" s="22" t="s">
        <v>471</v>
      </c>
      <c r="F94" s="23" t="n">
        <v>641538</v>
      </c>
      <c r="G94" s="23" t="n">
        <v>9401360</v>
      </c>
      <c r="H94" s="24" t="n">
        <v>8.93</v>
      </c>
    </row>
    <row r="95" customFormat="false" ht="15" hidden="false" customHeight="true" outlineLevel="0" collapsed="false">
      <c r="A95" s="22" t="s">
        <v>489</v>
      </c>
      <c r="B95" s="22" t="s">
        <v>490</v>
      </c>
      <c r="C95" s="22" t="s">
        <v>460</v>
      </c>
      <c r="D95" s="22" t="s">
        <v>491</v>
      </c>
      <c r="E95" s="22" t="s">
        <v>492</v>
      </c>
      <c r="F95" s="23" t="n">
        <v>664082</v>
      </c>
      <c r="G95" s="23" t="n">
        <v>9404172</v>
      </c>
      <c r="H95" s="24" t="n">
        <v>55.17</v>
      </c>
    </row>
    <row r="96" customFormat="false" ht="15" hidden="false" customHeight="true" outlineLevel="0" collapsed="false">
      <c r="A96" s="22" t="s">
        <v>493</v>
      </c>
      <c r="B96" s="22" t="s">
        <v>490</v>
      </c>
      <c r="C96" s="22" t="s">
        <v>460</v>
      </c>
      <c r="D96" s="22" t="s">
        <v>491</v>
      </c>
      <c r="E96" s="22" t="s">
        <v>492</v>
      </c>
      <c r="F96" s="23" t="n">
        <v>663637</v>
      </c>
      <c r="G96" s="23" t="n">
        <v>9400618</v>
      </c>
      <c r="H96" s="24" t="n">
        <v>28.23</v>
      </c>
    </row>
    <row r="97" customFormat="false" ht="15" hidden="false" customHeight="true" outlineLevel="0" collapsed="false">
      <c r="A97" s="22" t="s">
        <v>494</v>
      </c>
      <c r="B97" s="22" t="s">
        <v>490</v>
      </c>
      <c r="C97" s="22" t="s">
        <v>460</v>
      </c>
      <c r="D97" s="22" t="s">
        <v>491</v>
      </c>
      <c r="E97" s="22" t="s">
        <v>492</v>
      </c>
      <c r="F97" s="23" t="n">
        <v>659649</v>
      </c>
      <c r="G97" s="23" t="n">
        <v>9401436</v>
      </c>
      <c r="H97" s="24" t="n">
        <v>13.55</v>
      </c>
    </row>
    <row r="98" customFormat="false" ht="15" hidden="false" customHeight="true" outlineLevel="0" collapsed="false">
      <c r="A98" s="22" t="s">
        <v>495</v>
      </c>
      <c r="B98" s="22" t="s">
        <v>487</v>
      </c>
      <c r="C98" s="22" t="s">
        <v>460</v>
      </c>
      <c r="D98" s="22" t="s">
        <v>491</v>
      </c>
      <c r="E98" s="22" t="s">
        <v>492</v>
      </c>
      <c r="F98" s="23" t="n">
        <v>657722</v>
      </c>
      <c r="G98" s="23" t="n">
        <v>9401669</v>
      </c>
      <c r="H98" s="24" t="n">
        <v>15.18</v>
      </c>
    </row>
    <row r="99" customFormat="false" ht="15" hidden="false" customHeight="true" outlineLevel="0" collapsed="false">
      <c r="A99" s="22" t="s">
        <v>496</v>
      </c>
      <c r="B99" s="22" t="s">
        <v>490</v>
      </c>
      <c r="C99" s="22" t="s">
        <v>460</v>
      </c>
      <c r="D99" s="22" t="s">
        <v>491</v>
      </c>
      <c r="E99" s="22" t="s">
        <v>492</v>
      </c>
      <c r="F99" s="23" t="n">
        <v>656578</v>
      </c>
      <c r="G99" s="23" t="n">
        <v>9397762</v>
      </c>
      <c r="H99" s="24" t="n">
        <v>109.86</v>
      </c>
    </row>
    <row r="100" customFormat="false" ht="15" hidden="false" customHeight="true" outlineLevel="0" collapsed="false">
      <c r="A100" s="22" t="s">
        <v>497</v>
      </c>
      <c r="B100" s="22" t="s">
        <v>490</v>
      </c>
      <c r="C100" s="22" t="s">
        <v>460</v>
      </c>
      <c r="D100" s="22" t="s">
        <v>491</v>
      </c>
      <c r="E100" s="22" t="s">
        <v>492</v>
      </c>
      <c r="F100" s="23" t="n">
        <v>656489</v>
      </c>
      <c r="G100" s="23" t="n">
        <v>9395403</v>
      </c>
      <c r="H100" s="24" t="n">
        <v>23.17</v>
      </c>
    </row>
    <row r="101" customFormat="false" ht="15" hidden="false" customHeight="true" outlineLevel="0" collapsed="false">
      <c r="A101" s="22" t="s">
        <v>498</v>
      </c>
      <c r="B101" s="22" t="s">
        <v>490</v>
      </c>
      <c r="C101" s="22" t="s">
        <v>460</v>
      </c>
      <c r="D101" s="22" t="s">
        <v>491</v>
      </c>
      <c r="E101" s="22" t="s">
        <v>492</v>
      </c>
      <c r="F101" s="23" t="n">
        <v>654607</v>
      </c>
      <c r="G101" s="23" t="n">
        <v>9395038</v>
      </c>
      <c r="H101" s="24" t="n">
        <v>30.8</v>
      </c>
    </row>
    <row r="102" customFormat="false" ht="15" hidden="false" customHeight="true" outlineLevel="0" collapsed="false">
      <c r="A102" s="22" t="s">
        <v>499</v>
      </c>
      <c r="B102" s="22" t="s">
        <v>490</v>
      </c>
      <c r="C102" s="22" t="s">
        <v>460</v>
      </c>
      <c r="D102" s="22" t="s">
        <v>491</v>
      </c>
      <c r="E102" s="22" t="s">
        <v>492</v>
      </c>
      <c r="F102" s="23" t="n">
        <v>654207</v>
      </c>
      <c r="G102" s="23" t="n">
        <v>9394210</v>
      </c>
      <c r="H102" s="24" t="n">
        <v>13.18</v>
      </c>
    </row>
    <row r="103" customFormat="false" ht="15" hidden="false" customHeight="true" outlineLevel="0" collapsed="false">
      <c r="A103" s="22" t="s">
        <v>500</v>
      </c>
      <c r="B103" s="22" t="s">
        <v>488</v>
      </c>
      <c r="C103" s="22" t="s">
        <v>460</v>
      </c>
      <c r="D103" s="22" t="s">
        <v>491</v>
      </c>
      <c r="E103" s="22" t="s">
        <v>492</v>
      </c>
      <c r="F103" s="23" t="n">
        <v>641196</v>
      </c>
      <c r="G103" s="23" t="n">
        <v>9398710</v>
      </c>
      <c r="H103" s="24" t="n">
        <v>279.68</v>
      </c>
    </row>
    <row r="104" customFormat="false" ht="15" hidden="false" customHeight="true" outlineLevel="0" collapsed="false">
      <c r="A104" s="22" t="s">
        <v>501</v>
      </c>
      <c r="B104" s="22" t="s">
        <v>431</v>
      </c>
      <c r="C104" s="22" t="s">
        <v>460</v>
      </c>
      <c r="D104" s="22" t="s">
        <v>491</v>
      </c>
      <c r="E104" s="22" t="s">
        <v>492</v>
      </c>
      <c r="F104" s="23" t="n">
        <v>639059</v>
      </c>
      <c r="G104" s="23" t="n">
        <v>9398295</v>
      </c>
      <c r="H104" s="24" t="n">
        <v>116.1</v>
      </c>
    </row>
    <row r="105" customFormat="false" ht="15" hidden="false" customHeight="true" outlineLevel="0" collapsed="false">
      <c r="A105" s="22" t="s">
        <v>502</v>
      </c>
      <c r="B105" s="22" t="s">
        <v>503</v>
      </c>
      <c r="C105" s="22" t="s">
        <v>460</v>
      </c>
      <c r="D105" s="22" t="s">
        <v>504</v>
      </c>
      <c r="E105" s="22" t="s">
        <v>505</v>
      </c>
      <c r="F105" s="23" t="n">
        <v>662123</v>
      </c>
      <c r="G105" s="23" t="n">
        <v>9397575</v>
      </c>
      <c r="H105" s="24" t="n">
        <v>40.1</v>
      </c>
    </row>
    <row r="106" customFormat="false" ht="15" hidden="false" customHeight="true" outlineLevel="0" collapsed="false">
      <c r="A106" s="22" t="s">
        <v>506</v>
      </c>
      <c r="B106" s="22" t="s">
        <v>503</v>
      </c>
      <c r="C106" s="22" t="s">
        <v>460</v>
      </c>
      <c r="D106" s="22" t="s">
        <v>504</v>
      </c>
      <c r="E106" s="22" t="s">
        <v>505</v>
      </c>
      <c r="F106" s="23" t="n">
        <v>664225</v>
      </c>
      <c r="G106" s="23" t="n">
        <v>9396339</v>
      </c>
      <c r="H106" s="24" t="n">
        <v>21.29</v>
      </c>
    </row>
    <row r="107" customFormat="false" ht="15" hidden="false" customHeight="true" outlineLevel="0" collapsed="false">
      <c r="A107" s="22" t="s">
        <v>507</v>
      </c>
      <c r="B107" s="22" t="s">
        <v>503</v>
      </c>
      <c r="C107" s="22" t="s">
        <v>460</v>
      </c>
      <c r="D107" s="22" t="s">
        <v>504</v>
      </c>
      <c r="E107" s="22" t="s">
        <v>505</v>
      </c>
      <c r="F107" s="23" t="n">
        <v>666537</v>
      </c>
      <c r="G107" s="23" t="n">
        <v>9395918</v>
      </c>
      <c r="H107" s="24" t="n">
        <v>13.06</v>
      </c>
    </row>
    <row r="108" customFormat="false" ht="15" hidden="false" customHeight="true" outlineLevel="0" collapsed="false">
      <c r="A108" s="22" t="s">
        <v>508</v>
      </c>
      <c r="B108" s="22" t="s">
        <v>503</v>
      </c>
      <c r="C108" s="22" t="s">
        <v>460</v>
      </c>
      <c r="D108" s="22" t="s">
        <v>504</v>
      </c>
      <c r="E108" s="22" t="s">
        <v>505</v>
      </c>
      <c r="F108" s="23" t="n">
        <v>666781</v>
      </c>
      <c r="G108" s="23" t="n">
        <v>9395573</v>
      </c>
      <c r="H108" s="24" t="n">
        <v>22.39</v>
      </c>
    </row>
    <row r="109" customFormat="false" ht="15" hidden="false" customHeight="true" outlineLevel="0" collapsed="false">
      <c r="A109" s="22" t="s">
        <v>509</v>
      </c>
      <c r="B109" s="22" t="s">
        <v>503</v>
      </c>
      <c r="C109" s="22" t="s">
        <v>460</v>
      </c>
      <c r="D109" s="22" t="s">
        <v>504</v>
      </c>
      <c r="E109" s="22" t="s">
        <v>505</v>
      </c>
      <c r="F109" s="23" t="n">
        <v>663334</v>
      </c>
      <c r="G109" s="23" t="n">
        <v>9392820</v>
      </c>
      <c r="H109" s="24" t="n">
        <v>47.58</v>
      </c>
    </row>
    <row r="110" customFormat="false" ht="15" hidden="false" customHeight="true" outlineLevel="0" collapsed="false">
      <c r="A110" s="22" t="s">
        <v>510</v>
      </c>
      <c r="B110" s="22" t="s">
        <v>503</v>
      </c>
      <c r="C110" s="22" t="s">
        <v>460</v>
      </c>
      <c r="D110" s="22" t="s">
        <v>504</v>
      </c>
      <c r="E110" s="22" t="s">
        <v>505</v>
      </c>
      <c r="F110" s="23" t="n">
        <v>663291</v>
      </c>
      <c r="G110" s="23" t="n">
        <v>9392332</v>
      </c>
      <c r="H110" s="24" t="n">
        <v>19.43</v>
      </c>
    </row>
    <row r="111" customFormat="false" ht="15" hidden="false" customHeight="true" outlineLevel="0" collapsed="false">
      <c r="A111" s="22" t="s">
        <v>511</v>
      </c>
      <c r="B111" s="22" t="s">
        <v>503</v>
      </c>
      <c r="C111" s="22" t="s">
        <v>460</v>
      </c>
      <c r="D111" s="22" t="s">
        <v>504</v>
      </c>
      <c r="E111" s="22" t="s">
        <v>505</v>
      </c>
      <c r="F111" s="23" t="n">
        <v>662236</v>
      </c>
      <c r="G111" s="23" t="n">
        <v>9391211</v>
      </c>
      <c r="H111" s="24" t="n">
        <v>12.4</v>
      </c>
    </row>
    <row r="112" customFormat="false" ht="15" hidden="false" customHeight="true" outlineLevel="0" collapsed="false">
      <c r="A112" s="22" t="s">
        <v>512</v>
      </c>
      <c r="B112" s="22" t="s">
        <v>503</v>
      </c>
      <c r="C112" s="22" t="s">
        <v>460</v>
      </c>
      <c r="D112" s="22" t="s">
        <v>504</v>
      </c>
      <c r="E112" s="22" t="s">
        <v>505</v>
      </c>
      <c r="F112" s="23" t="n">
        <v>660525</v>
      </c>
      <c r="G112" s="23" t="n">
        <v>9394327</v>
      </c>
      <c r="H112" s="24" t="n">
        <v>64.92</v>
      </c>
    </row>
    <row r="113" customFormat="false" ht="15" hidden="false" customHeight="true" outlineLevel="0" collapsed="false">
      <c r="A113" s="22" t="s">
        <v>513</v>
      </c>
      <c r="B113" s="22" t="s">
        <v>503</v>
      </c>
      <c r="C113" s="22" t="s">
        <v>460</v>
      </c>
      <c r="D113" s="22" t="s">
        <v>504</v>
      </c>
      <c r="E113" s="22" t="s">
        <v>505</v>
      </c>
      <c r="F113" s="23" t="n">
        <v>658547</v>
      </c>
      <c r="G113" s="23" t="n">
        <v>9395594</v>
      </c>
      <c r="H113" s="24" t="n">
        <v>54.29</v>
      </c>
    </row>
    <row r="114" customFormat="false" ht="15" hidden="false" customHeight="true" outlineLevel="0" collapsed="false">
      <c r="A114" s="22" t="s">
        <v>514</v>
      </c>
      <c r="B114" s="22" t="s">
        <v>503</v>
      </c>
      <c r="C114" s="22" t="s">
        <v>460</v>
      </c>
      <c r="D114" s="22" t="s">
        <v>504</v>
      </c>
      <c r="E114" s="22" t="s">
        <v>505</v>
      </c>
      <c r="F114" s="23" t="n">
        <v>656445</v>
      </c>
      <c r="G114" s="23" t="n">
        <v>9393180</v>
      </c>
      <c r="H114" s="24" t="n">
        <v>103.62</v>
      </c>
    </row>
    <row r="115" customFormat="false" ht="15" hidden="false" customHeight="true" outlineLevel="0" collapsed="false">
      <c r="A115" s="22" t="s">
        <v>515</v>
      </c>
      <c r="B115" s="22" t="s">
        <v>516</v>
      </c>
      <c r="C115" s="22" t="s">
        <v>460</v>
      </c>
      <c r="D115" s="22" t="s">
        <v>504</v>
      </c>
      <c r="E115" s="22" t="s">
        <v>505</v>
      </c>
      <c r="F115" s="23" t="n">
        <v>652449</v>
      </c>
      <c r="G115" s="23" t="n">
        <v>9389179</v>
      </c>
      <c r="H115" s="24" t="n">
        <v>29.23</v>
      </c>
    </row>
    <row r="116" customFormat="false" ht="15" hidden="false" customHeight="true" outlineLevel="0" collapsed="false">
      <c r="A116" s="22" t="s">
        <v>517</v>
      </c>
      <c r="B116" s="22" t="s">
        <v>516</v>
      </c>
      <c r="C116" s="22" t="s">
        <v>460</v>
      </c>
      <c r="D116" s="22" t="s">
        <v>504</v>
      </c>
      <c r="E116" s="22" t="s">
        <v>505</v>
      </c>
      <c r="F116" s="23" t="n">
        <v>644546</v>
      </c>
      <c r="G116" s="23" t="n">
        <v>9389106</v>
      </c>
      <c r="H116" s="24" t="n">
        <v>268.39</v>
      </c>
    </row>
    <row r="117" customFormat="false" ht="15" hidden="false" customHeight="true" outlineLevel="0" collapsed="false">
      <c r="A117" s="22" t="s">
        <v>518</v>
      </c>
      <c r="B117" s="22" t="s">
        <v>503</v>
      </c>
      <c r="C117" s="22" t="s">
        <v>460</v>
      </c>
      <c r="D117" s="22" t="s">
        <v>504</v>
      </c>
      <c r="E117" s="22" t="s">
        <v>505</v>
      </c>
      <c r="F117" s="23" t="n">
        <v>665942</v>
      </c>
      <c r="G117" s="23" t="n">
        <v>9391144</v>
      </c>
      <c r="H117" s="24" t="n">
        <v>82.09</v>
      </c>
    </row>
    <row r="118" customFormat="false" ht="15" hidden="false" customHeight="true" outlineLevel="0" collapsed="false">
      <c r="A118" s="22" t="s">
        <v>519</v>
      </c>
      <c r="B118" s="22" t="s">
        <v>520</v>
      </c>
      <c r="C118" s="22" t="s">
        <v>460</v>
      </c>
      <c r="D118" s="22" t="s">
        <v>504</v>
      </c>
      <c r="E118" s="22" t="s">
        <v>521</v>
      </c>
      <c r="F118" s="23" t="n">
        <v>642775</v>
      </c>
      <c r="G118" s="23" t="n">
        <v>9388574</v>
      </c>
      <c r="H118" s="24" t="n">
        <v>289.91</v>
      </c>
    </row>
    <row r="119" customFormat="false" ht="15" hidden="false" customHeight="true" outlineLevel="0" collapsed="false">
      <c r="A119" s="22" t="s">
        <v>522</v>
      </c>
      <c r="B119" s="22" t="s">
        <v>520</v>
      </c>
      <c r="C119" s="22" t="s">
        <v>460</v>
      </c>
      <c r="D119" s="22" t="s">
        <v>504</v>
      </c>
      <c r="E119" s="22" t="s">
        <v>521</v>
      </c>
      <c r="F119" s="23" t="n">
        <v>643474</v>
      </c>
      <c r="G119" s="23" t="n">
        <v>9385620</v>
      </c>
      <c r="H119" s="24" t="n">
        <v>234.07</v>
      </c>
    </row>
    <row r="120" customFormat="false" ht="15" hidden="false" customHeight="true" outlineLevel="0" collapsed="false">
      <c r="A120" s="22" t="s">
        <v>523</v>
      </c>
      <c r="B120" s="22" t="s">
        <v>524</v>
      </c>
      <c r="C120" s="22" t="s">
        <v>460</v>
      </c>
      <c r="D120" s="22" t="s">
        <v>504</v>
      </c>
      <c r="E120" s="22" t="s">
        <v>521</v>
      </c>
      <c r="F120" s="23" t="n">
        <v>650830</v>
      </c>
      <c r="G120" s="23" t="n">
        <v>9382303</v>
      </c>
      <c r="H120" s="24" t="n">
        <v>150.21</v>
      </c>
    </row>
    <row r="121" customFormat="false" ht="15" hidden="false" customHeight="true" outlineLevel="0" collapsed="false">
      <c r="A121" s="22" t="s">
        <v>525</v>
      </c>
      <c r="B121" s="22" t="s">
        <v>524</v>
      </c>
      <c r="C121" s="22" t="s">
        <v>460</v>
      </c>
      <c r="D121" s="22" t="s">
        <v>504</v>
      </c>
      <c r="E121" s="22" t="s">
        <v>521</v>
      </c>
      <c r="F121" s="23" t="n">
        <v>652939</v>
      </c>
      <c r="G121" s="23" t="n">
        <v>9382105</v>
      </c>
      <c r="H121" s="24" t="n">
        <v>83.33</v>
      </c>
    </row>
    <row r="122" customFormat="false" ht="15" hidden="false" customHeight="true" outlineLevel="0" collapsed="false">
      <c r="A122" s="22" t="s">
        <v>526</v>
      </c>
      <c r="B122" s="22" t="s">
        <v>516</v>
      </c>
      <c r="C122" s="22" t="s">
        <v>460</v>
      </c>
      <c r="D122" s="22" t="s">
        <v>504</v>
      </c>
      <c r="E122" s="22" t="s">
        <v>521</v>
      </c>
      <c r="F122" s="23" t="n">
        <v>656549</v>
      </c>
      <c r="G122" s="23" t="n">
        <v>9382009</v>
      </c>
      <c r="H122" s="24" t="n">
        <v>230.1</v>
      </c>
    </row>
    <row r="123" customFormat="false" ht="15" hidden="false" customHeight="true" outlineLevel="0" collapsed="false">
      <c r="A123" s="22" t="s">
        <v>527</v>
      </c>
      <c r="B123" s="22" t="s">
        <v>524</v>
      </c>
      <c r="C123" s="22" t="s">
        <v>460</v>
      </c>
      <c r="D123" s="22" t="s">
        <v>504</v>
      </c>
      <c r="E123" s="22" t="s">
        <v>521</v>
      </c>
      <c r="F123" s="23" t="n">
        <v>656291</v>
      </c>
      <c r="G123" s="23" t="n">
        <v>9379096</v>
      </c>
      <c r="H123" s="24" t="n">
        <v>22.93</v>
      </c>
    </row>
    <row r="124" customFormat="false" ht="15" hidden="false" customHeight="true" outlineLevel="0" collapsed="false">
      <c r="A124" s="22" t="s">
        <v>528</v>
      </c>
      <c r="B124" s="22" t="s">
        <v>524</v>
      </c>
      <c r="C124" s="22" t="s">
        <v>460</v>
      </c>
      <c r="D124" s="22" t="s">
        <v>504</v>
      </c>
      <c r="E124" s="22" t="s">
        <v>521</v>
      </c>
      <c r="F124" s="23" t="n">
        <v>657922</v>
      </c>
      <c r="G124" s="23" t="n">
        <v>9377477</v>
      </c>
      <c r="H124" s="24" t="n">
        <v>19.62</v>
      </c>
    </row>
    <row r="125" customFormat="false" ht="15" hidden="false" customHeight="true" outlineLevel="0" collapsed="false">
      <c r="A125" s="22" t="s">
        <v>529</v>
      </c>
      <c r="B125" s="22" t="s">
        <v>524</v>
      </c>
      <c r="C125" s="22" t="s">
        <v>460</v>
      </c>
      <c r="D125" s="22" t="s">
        <v>504</v>
      </c>
      <c r="E125" s="22" t="s">
        <v>521</v>
      </c>
      <c r="F125" s="23" t="n">
        <v>657160</v>
      </c>
      <c r="G125" s="23" t="n">
        <v>9373050</v>
      </c>
      <c r="H125" s="24" t="n">
        <v>28.83</v>
      </c>
    </row>
    <row r="126" customFormat="false" ht="15" hidden="false" customHeight="true" outlineLevel="0" collapsed="false">
      <c r="A126" s="22" t="s">
        <v>530</v>
      </c>
      <c r="B126" s="22" t="s">
        <v>524</v>
      </c>
      <c r="C126" s="22" t="s">
        <v>460</v>
      </c>
      <c r="D126" s="22" t="s">
        <v>504</v>
      </c>
      <c r="E126" s="22" t="s">
        <v>521</v>
      </c>
      <c r="F126" s="23" t="n">
        <v>652104</v>
      </c>
      <c r="G126" s="23" t="n">
        <v>9373045</v>
      </c>
      <c r="H126" s="24" t="n">
        <v>10.67</v>
      </c>
    </row>
    <row r="127" customFormat="false" ht="15" hidden="false" customHeight="true" outlineLevel="0" collapsed="false">
      <c r="A127" s="22" t="s">
        <v>531</v>
      </c>
      <c r="B127" s="22" t="s">
        <v>524</v>
      </c>
      <c r="C127" s="22" t="s">
        <v>460</v>
      </c>
      <c r="D127" s="22" t="s">
        <v>504</v>
      </c>
      <c r="E127" s="22" t="s">
        <v>521</v>
      </c>
      <c r="F127" s="23" t="n">
        <v>651673</v>
      </c>
      <c r="G127" s="23" t="n">
        <v>9373383</v>
      </c>
      <c r="H127" s="24" t="n">
        <v>126.95</v>
      </c>
    </row>
    <row r="128" customFormat="false" ht="15" hidden="false" customHeight="true" outlineLevel="0" collapsed="false">
      <c r="A128" s="22" t="s">
        <v>532</v>
      </c>
      <c r="B128" s="22" t="s">
        <v>524</v>
      </c>
      <c r="C128" s="22" t="s">
        <v>460</v>
      </c>
      <c r="D128" s="22" t="s">
        <v>504</v>
      </c>
      <c r="E128" s="22" t="s">
        <v>521</v>
      </c>
      <c r="F128" s="23" t="n">
        <v>649847</v>
      </c>
      <c r="G128" s="23" t="n">
        <v>9376260</v>
      </c>
      <c r="H128" s="24" t="n">
        <v>81.33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9"/>
    <col collapsed="false" customWidth="true" hidden="false" outlineLevel="0" max="4" min="3" style="0" width="22"/>
    <col collapsed="false" customWidth="true" hidden="false" outlineLevel="0" max="5" min="5" style="0" width="29"/>
    <col collapsed="false" customWidth="true" hidden="false" outlineLevel="0" max="7" min="6" style="0" width="31"/>
    <col collapsed="false" customWidth="true" hidden="false" outlineLevel="0" max="8" min="8" style="0" width="29"/>
    <col collapsed="false" customWidth="true" hidden="false" outlineLevel="0" max="9" min="9" style="0" width="38"/>
    <col collapsed="false" customWidth="true" hidden="false" outlineLevel="0" max="11" min="10" style="0" width="22"/>
    <col collapsed="false" customWidth="true" hidden="false" outlineLevel="0" max="12" min="12" style="0" width="53"/>
    <col collapsed="false" customWidth="true" hidden="false" outlineLevel="0" max="13" min="13" style="0" width="40"/>
    <col collapsed="false" customWidth="true" hidden="false" outlineLevel="0" max="14" min="14" style="0" width="31"/>
    <col collapsed="false" customWidth="true" hidden="false" outlineLevel="0" max="15" min="15" style="0" width="27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30"/>
    <col collapsed="false" customWidth="true" hidden="false" outlineLevel="0" max="23" min="23" style="0" width="34"/>
    <col collapsed="false" customWidth="true" hidden="false" outlineLevel="0" max="26" min="24" style="0" width="22"/>
    <col collapsed="false" customWidth="true" hidden="false" outlineLevel="0" max="27" min="27" style="0" width="25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47"/>
    <col collapsed="false" customWidth="true" hidden="false" outlineLevel="0" max="31" min="31" style="0" width="33"/>
    <col collapsed="false" customWidth="true" hidden="false" outlineLevel="0" max="32" min="32" style="0" width="25"/>
    <col collapsed="false" customWidth="true" hidden="false" outlineLevel="0" max="37" min="33" style="0" width="22"/>
  </cols>
  <sheetData>
    <row r="1" customFormat="false" ht="15" hidden="false" customHeight="true" outlineLevel="0" collapsed="false">
      <c r="A1" s="25" t="s">
        <v>533</v>
      </c>
      <c r="B1" s="25"/>
      <c r="C1" s="25"/>
      <c r="D1" s="25"/>
      <c r="E1" s="25"/>
      <c r="F1" s="25"/>
      <c r="G1" s="25"/>
      <c r="H1" s="25"/>
    </row>
    <row r="3" customFormat="false" ht="15" hidden="false" customHeight="true" outlineLevel="0" collapsed="false">
      <c r="A3" s="13" t="s">
        <v>534</v>
      </c>
      <c r="B3" s="13" t="s">
        <v>535</v>
      </c>
      <c r="C3" s="13" t="s">
        <v>536</v>
      </c>
      <c r="D3" s="13" t="s">
        <v>537</v>
      </c>
      <c r="E3" s="13" t="s">
        <v>538</v>
      </c>
      <c r="F3" s="13" t="s">
        <v>539</v>
      </c>
      <c r="G3" s="13" t="s">
        <v>540</v>
      </c>
      <c r="H3" s="13" t="s">
        <v>541</v>
      </c>
      <c r="I3" s="13" t="s">
        <v>542</v>
      </c>
      <c r="J3" s="13" t="s">
        <v>543</v>
      </c>
      <c r="K3" s="13" t="s">
        <v>544</v>
      </c>
      <c r="L3" s="13" t="s">
        <v>545</v>
      </c>
      <c r="M3" s="13" t="s">
        <v>546</v>
      </c>
      <c r="N3" s="13" t="s">
        <v>547</v>
      </c>
      <c r="O3" s="13" t="s">
        <v>548</v>
      </c>
      <c r="P3" s="13" t="s">
        <v>549</v>
      </c>
      <c r="Q3" s="13" t="s">
        <v>550</v>
      </c>
      <c r="R3" s="13" t="s">
        <v>551</v>
      </c>
      <c r="S3" s="13" t="s">
        <v>552</v>
      </c>
      <c r="T3" s="13" t="s">
        <v>553</v>
      </c>
      <c r="U3" s="13" t="s">
        <v>554</v>
      </c>
      <c r="V3" s="13" t="s">
        <v>555</v>
      </c>
      <c r="W3" s="13" t="s">
        <v>556</v>
      </c>
      <c r="X3" s="13" t="s">
        <v>557</v>
      </c>
      <c r="Y3" s="13" t="s">
        <v>558</v>
      </c>
      <c r="Z3" s="13" t="s">
        <v>559</v>
      </c>
      <c r="AA3" s="13" t="s">
        <v>560</v>
      </c>
      <c r="AB3" s="13" t="s">
        <v>561</v>
      </c>
      <c r="AC3" s="13" t="s">
        <v>562</v>
      </c>
      <c r="AD3" s="13" t="s">
        <v>563</v>
      </c>
      <c r="AE3" s="13" t="s">
        <v>564</v>
      </c>
      <c r="AF3" s="13" t="s">
        <v>565</v>
      </c>
      <c r="AG3" s="13" t="s">
        <v>566</v>
      </c>
      <c r="AH3" s="13" t="s">
        <v>567</v>
      </c>
      <c r="AI3" s="13" t="s">
        <v>568</v>
      </c>
      <c r="AJ3" s="13" t="s">
        <v>569</v>
      </c>
      <c r="AK3" s="13" t="s">
        <v>570</v>
      </c>
    </row>
    <row r="4" customFormat="false" ht="15" hidden="false" customHeight="true" outlineLevel="0" collapsed="false">
      <c r="A4" s="22" t="s">
        <v>571</v>
      </c>
      <c r="B4" s="22" t="s">
        <v>572</v>
      </c>
      <c r="C4" s="22" t="s">
        <v>573</v>
      </c>
      <c r="D4" s="22" t="s">
        <v>574</v>
      </c>
      <c r="E4" s="22" t="s">
        <v>39</v>
      </c>
      <c r="F4" s="22" t="s">
        <v>575</v>
      </c>
      <c r="G4" s="22" t="s">
        <v>81</v>
      </c>
      <c r="H4" s="22" t="s">
        <v>82</v>
      </c>
      <c r="I4" s="22" t="s">
        <v>576</v>
      </c>
      <c r="J4" s="22" t="s">
        <v>577</v>
      </c>
      <c r="K4" s="22" t="s">
        <v>578</v>
      </c>
      <c r="L4" s="22" t="s">
        <v>579</v>
      </c>
      <c r="M4" s="22" t="s">
        <v>580</v>
      </c>
      <c r="N4" s="22" t="s">
        <v>581</v>
      </c>
      <c r="O4" s="22" t="s">
        <v>582</v>
      </c>
      <c r="P4" s="22" t="s">
        <v>131</v>
      </c>
      <c r="Q4" s="22" t="s">
        <v>583</v>
      </c>
      <c r="R4" s="22" t="s">
        <v>584</v>
      </c>
      <c r="S4" s="22" t="s">
        <v>151</v>
      </c>
      <c r="T4" s="22" t="s">
        <v>152</v>
      </c>
      <c r="U4" s="22" t="s">
        <v>585</v>
      </c>
      <c r="V4" s="22" t="s">
        <v>586</v>
      </c>
      <c r="W4" s="22" t="s">
        <v>587</v>
      </c>
      <c r="X4" s="22" t="s">
        <v>575</v>
      </c>
      <c r="Y4" s="22" t="s">
        <v>265</v>
      </c>
      <c r="Z4" s="22" t="s">
        <v>588</v>
      </c>
      <c r="AA4" s="22" t="s">
        <v>589</v>
      </c>
      <c r="AB4" s="22" t="s">
        <v>590</v>
      </c>
      <c r="AC4" s="22" t="s">
        <v>311</v>
      </c>
      <c r="AD4" s="22" t="s">
        <v>591</v>
      </c>
      <c r="AE4" s="22" t="s">
        <v>592</v>
      </c>
      <c r="AF4" s="22" t="s">
        <v>593</v>
      </c>
      <c r="AG4" s="22" t="s">
        <v>265</v>
      </c>
      <c r="AH4" s="22" t="s">
        <v>594</v>
      </c>
      <c r="AI4" s="22" t="s">
        <v>595</v>
      </c>
      <c r="AJ4" s="22" t="s">
        <v>44</v>
      </c>
      <c r="AK4" s="22" t="s">
        <v>44</v>
      </c>
    </row>
    <row r="5" customFormat="false" ht="15" hidden="false" customHeight="true" outlineLevel="0" collapsed="false">
      <c r="A5" s="22" t="s">
        <v>596</v>
      </c>
      <c r="B5" s="22" t="s">
        <v>597</v>
      </c>
      <c r="C5" s="22" t="s">
        <v>598</v>
      </c>
      <c r="D5" s="22" t="s">
        <v>599</v>
      </c>
      <c r="E5" s="22" t="s">
        <v>600</v>
      </c>
      <c r="F5" s="22" t="s">
        <v>601</v>
      </c>
      <c r="G5" s="22" t="s">
        <v>86</v>
      </c>
      <c r="H5" s="22" t="s">
        <v>87</v>
      </c>
      <c r="I5" s="22" t="s">
        <v>602</v>
      </c>
      <c r="J5" s="22" t="s">
        <v>603</v>
      </c>
      <c r="K5" s="22" t="s">
        <v>604</v>
      </c>
      <c r="L5" s="22" t="s">
        <v>605</v>
      </c>
      <c r="M5" s="22" t="s">
        <v>606</v>
      </c>
      <c r="N5" s="22" t="s">
        <v>607</v>
      </c>
      <c r="O5" s="22" t="s">
        <v>129</v>
      </c>
      <c r="P5" s="22" t="s">
        <v>608</v>
      </c>
      <c r="Q5" s="22" t="s">
        <v>609</v>
      </c>
      <c r="R5" s="22" t="s">
        <v>136</v>
      </c>
      <c r="S5" s="22" t="s">
        <v>156</v>
      </c>
      <c r="T5" s="22" t="s">
        <v>610</v>
      </c>
      <c r="U5" s="22" t="s">
        <v>611</v>
      </c>
      <c r="V5" s="22" t="s">
        <v>612</v>
      </c>
      <c r="W5" s="22" t="s">
        <v>613</v>
      </c>
      <c r="X5" s="22" t="s">
        <v>233</v>
      </c>
      <c r="Y5" s="22" t="s">
        <v>269</v>
      </c>
      <c r="Z5" s="22" t="s">
        <v>614</v>
      </c>
      <c r="AA5" s="22" t="s">
        <v>298</v>
      </c>
      <c r="AB5" s="22" t="s">
        <v>310</v>
      </c>
      <c r="AC5" s="22" t="s">
        <v>615</v>
      </c>
      <c r="AD5" s="22" t="s">
        <v>312</v>
      </c>
      <c r="AE5" s="22" t="s">
        <v>327</v>
      </c>
      <c r="AF5" s="22" t="s">
        <v>616</v>
      </c>
      <c r="AG5" s="22" t="s">
        <v>269</v>
      </c>
      <c r="AH5" s="22" t="s">
        <v>617</v>
      </c>
      <c r="AI5" s="22" t="s">
        <v>618</v>
      </c>
      <c r="AJ5" s="22" t="s">
        <v>46</v>
      </c>
      <c r="AK5" s="22" t="s">
        <v>46</v>
      </c>
    </row>
    <row r="6" customFormat="false" ht="15" hidden="false" customHeight="true" outlineLevel="0" collapsed="false">
      <c r="A6" s="22" t="s">
        <v>31</v>
      </c>
      <c r="B6" s="22" t="s">
        <v>33</v>
      </c>
      <c r="C6" s="22" t="s">
        <v>35</v>
      </c>
      <c r="D6" s="22" t="s">
        <v>619</v>
      </c>
      <c r="E6" s="22" t="s">
        <v>620</v>
      </c>
      <c r="F6" s="22" t="s">
        <v>65</v>
      </c>
      <c r="G6" s="22" t="s">
        <v>621</v>
      </c>
      <c r="H6" s="22" t="s">
        <v>622</v>
      </c>
      <c r="I6" s="22" t="s">
        <v>623</v>
      </c>
      <c r="J6" s="22" t="s">
        <v>624</v>
      </c>
      <c r="K6" s="22" t="s">
        <v>100</v>
      </c>
      <c r="L6" s="22" t="s">
        <v>113</v>
      </c>
      <c r="M6" s="22" t="s">
        <v>116</v>
      </c>
      <c r="N6" s="22" t="s">
        <v>625</v>
      </c>
      <c r="O6" s="22" t="s">
        <v>626</v>
      </c>
      <c r="P6" s="22" t="s">
        <v>627</v>
      </c>
      <c r="Q6" s="22" t="s">
        <v>628</v>
      </c>
      <c r="R6" s="22" t="s">
        <v>629</v>
      </c>
      <c r="S6" s="22" t="s">
        <v>159</v>
      </c>
      <c r="T6" s="22" t="s">
        <v>188</v>
      </c>
      <c r="U6" s="22" t="s">
        <v>630</v>
      </c>
      <c r="V6" s="22" t="s">
        <v>631</v>
      </c>
      <c r="W6" s="22" t="s">
        <v>206</v>
      </c>
      <c r="X6" s="22" t="s">
        <v>225</v>
      </c>
      <c r="Y6" s="22" t="s">
        <v>286</v>
      </c>
      <c r="Z6" s="22" t="s">
        <v>225</v>
      </c>
      <c r="AA6" s="22" t="s">
        <v>632</v>
      </c>
      <c r="AB6" s="22" t="s">
        <v>633</v>
      </c>
      <c r="AC6" s="22" t="s">
        <v>634</v>
      </c>
      <c r="AD6" s="22" t="s">
        <v>635</v>
      </c>
      <c r="AE6" s="22" t="s">
        <v>636</v>
      </c>
      <c r="AF6" s="22" t="s">
        <v>637</v>
      </c>
      <c r="AG6" s="22" t="s">
        <v>286</v>
      </c>
      <c r="AH6" s="22" t="s">
        <v>634</v>
      </c>
      <c r="AI6" s="22" t="s">
        <v>638</v>
      </c>
      <c r="AK6" s="22" t="s">
        <v>639</v>
      </c>
    </row>
    <row r="7" customFormat="false" ht="15" hidden="false" customHeight="true" outlineLevel="0" collapsed="false">
      <c r="A7" s="22" t="s">
        <v>640</v>
      </c>
      <c r="B7" s="22" t="s">
        <v>641</v>
      </c>
      <c r="C7" s="22" t="s">
        <v>642</v>
      </c>
      <c r="D7" s="22" t="s">
        <v>643</v>
      </c>
      <c r="E7" s="22" t="s">
        <v>644</v>
      </c>
      <c r="F7" s="22" t="s">
        <v>645</v>
      </c>
      <c r="G7" s="22" t="s">
        <v>646</v>
      </c>
      <c r="H7" s="22" t="s">
        <v>647</v>
      </c>
      <c r="I7" s="22" t="s">
        <v>648</v>
      </c>
      <c r="J7" s="22" t="s">
        <v>97</v>
      </c>
      <c r="K7" s="22" t="s">
        <v>649</v>
      </c>
      <c r="L7" s="22" t="s">
        <v>650</v>
      </c>
      <c r="M7" s="22" t="s">
        <v>651</v>
      </c>
      <c r="N7" s="22" t="s">
        <v>652</v>
      </c>
      <c r="O7" s="22" t="s">
        <v>653</v>
      </c>
      <c r="P7" s="22" t="s">
        <v>654</v>
      </c>
      <c r="Q7" s="22" t="s">
        <v>134</v>
      </c>
      <c r="R7" s="22" t="s">
        <v>655</v>
      </c>
      <c r="S7" s="22" t="s">
        <v>172</v>
      </c>
      <c r="T7" s="22" t="s">
        <v>656</v>
      </c>
      <c r="U7" s="22" t="s">
        <v>657</v>
      </c>
      <c r="V7" s="22" t="s">
        <v>658</v>
      </c>
      <c r="W7" s="22" t="s">
        <v>659</v>
      </c>
      <c r="X7" s="22" t="s">
        <v>660</v>
      </c>
      <c r="Z7" s="22" t="s">
        <v>661</v>
      </c>
      <c r="AA7" s="22" t="s">
        <v>662</v>
      </c>
      <c r="AB7" s="22" t="s">
        <v>663</v>
      </c>
      <c r="AC7" s="22" t="s">
        <v>664</v>
      </c>
      <c r="AD7" s="22" t="s">
        <v>665</v>
      </c>
      <c r="AE7" s="22" t="s">
        <v>666</v>
      </c>
      <c r="AF7" s="22" t="s">
        <v>667</v>
      </c>
      <c r="AH7" s="22" t="s">
        <v>668</v>
      </c>
      <c r="AI7" s="22" t="s">
        <v>669</v>
      </c>
    </row>
    <row r="8" customFormat="false" ht="15" hidden="false" customHeight="true" outlineLevel="0" collapsed="false">
      <c r="A8" s="22" t="s">
        <v>670</v>
      </c>
      <c r="B8" s="22" t="s">
        <v>671</v>
      </c>
      <c r="C8" s="22" t="s">
        <v>672</v>
      </c>
      <c r="D8" s="22" t="s">
        <v>37</v>
      </c>
      <c r="E8" s="22" t="s">
        <v>673</v>
      </c>
      <c r="F8" s="22" t="s">
        <v>674</v>
      </c>
      <c r="G8" s="22" t="s">
        <v>675</v>
      </c>
      <c r="H8" s="22" t="s">
        <v>676</v>
      </c>
      <c r="I8" s="22" t="s">
        <v>83</v>
      </c>
      <c r="J8" s="22" t="s">
        <v>677</v>
      </c>
      <c r="L8" s="22" t="s">
        <v>678</v>
      </c>
      <c r="M8" s="22" t="s">
        <v>679</v>
      </c>
      <c r="N8" s="22" t="s">
        <v>680</v>
      </c>
      <c r="P8" s="22" t="s">
        <v>681</v>
      </c>
      <c r="Q8" s="22" t="s">
        <v>682</v>
      </c>
      <c r="R8" s="22" t="s">
        <v>683</v>
      </c>
      <c r="S8" s="22" t="s">
        <v>182</v>
      </c>
      <c r="U8" s="22" t="s">
        <v>684</v>
      </c>
      <c r="V8" s="22" t="s">
        <v>201</v>
      </c>
      <c r="W8" s="22" t="s">
        <v>202</v>
      </c>
      <c r="X8" s="22" t="s">
        <v>685</v>
      </c>
      <c r="Z8" s="22" t="s">
        <v>686</v>
      </c>
      <c r="AB8" s="22" t="s">
        <v>314</v>
      </c>
      <c r="AC8" s="22" t="s">
        <v>653</v>
      </c>
      <c r="AD8" s="22" t="s">
        <v>687</v>
      </c>
      <c r="AE8" s="22" t="s">
        <v>688</v>
      </c>
      <c r="AF8" s="22" t="s">
        <v>689</v>
      </c>
      <c r="AI8" s="22" t="s">
        <v>252</v>
      </c>
    </row>
    <row r="9" customFormat="false" ht="15" hidden="false" customHeight="true" outlineLevel="0" collapsed="false">
      <c r="B9" s="22" t="s">
        <v>690</v>
      </c>
      <c r="C9" s="22" t="s">
        <v>691</v>
      </c>
      <c r="D9" s="22" t="s">
        <v>692</v>
      </c>
      <c r="E9" s="22" t="s">
        <v>693</v>
      </c>
      <c r="F9" s="22" t="s">
        <v>694</v>
      </c>
      <c r="I9" s="22" t="s">
        <v>695</v>
      </c>
      <c r="L9" s="22" t="s">
        <v>696</v>
      </c>
      <c r="M9" s="22" t="s">
        <v>697</v>
      </c>
      <c r="N9" s="22" t="s">
        <v>698</v>
      </c>
      <c r="P9" s="22" t="s">
        <v>699</v>
      </c>
      <c r="R9" s="22" t="s">
        <v>700</v>
      </c>
      <c r="S9" s="22" t="s">
        <v>701</v>
      </c>
      <c r="V9" s="22" t="s">
        <v>702</v>
      </c>
      <c r="W9" s="22" t="s">
        <v>212</v>
      </c>
      <c r="AB9" s="22" t="s">
        <v>703</v>
      </c>
      <c r="AE9" s="22" t="s">
        <v>704</v>
      </c>
      <c r="AF9" s="22" t="s">
        <v>331</v>
      </c>
      <c r="AI9" s="22" t="s">
        <v>668</v>
      </c>
    </row>
    <row r="10" customFormat="false" ht="15" hidden="false" customHeight="true" outlineLevel="0" collapsed="false">
      <c r="C10" s="22" t="s">
        <v>705</v>
      </c>
      <c r="D10" s="22" t="s">
        <v>706</v>
      </c>
      <c r="E10" s="22" t="s">
        <v>707</v>
      </c>
      <c r="I10" s="22" t="s">
        <v>88</v>
      </c>
      <c r="L10" s="22" t="s">
        <v>708</v>
      </c>
      <c r="N10" s="22" t="s">
        <v>709</v>
      </c>
      <c r="R10" s="22" t="s">
        <v>710</v>
      </c>
      <c r="S10" s="22" t="s">
        <v>711</v>
      </c>
      <c r="W10" s="22" t="s">
        <v>712</v>
      </c>
      <c r="AB10" s="22" t="s">
        <v>713</v>
      </c>
      <c r="AF10" s="22" t="s">
        <v>714</v>
      </c>
    </row>
    <row r="11" customFormat="false" ht="15" hidden="false" customHeight="true" outlineLevel="0" collapsed="false">
      <c r="C11" s="22" t="s">
        <v>715</v>
      </c>
      <c r="D11" s="22" t="s">
        <v>716</v>
      </c>
      <c r="I11" s="22" t="s">
        <v>717</v>
      </c>
      <c r="L11" s="22" t="s">
        <v>718</v>
      </c>
      <c r="N11" s="22" t="s">
        <v>118</v>
      </c>
      <c r="R11" s="22" t="s">
        <v>719</v>
      </c>
      <c r="S11" s="22" t="s">
        <v>720</v>
      </c>
      <c r="W11" s="22" t="s">
        <v>721</v>
      </c>
      <c r="AB11" s="22" t="s">
        <v>722</v>
      </c>
    </row>
    <row r="12" customFormat="false" ht="15" hidden="false" customHeight="true" outlineLevel="0" collapsed="false">
      <c r="C12" s="22" t="s">
        <v>723</v>
      </c>
      <c r="D12" s="22" t="s">
        <v>724</v>
      </c>
      <c r="I12" s="22" t="s">
        <v>252</v>
      </c>
      <c r="L12" s="22" t="s">
        <v>725</v>
      </c>
      <c r="N12" s="22" t="s">
        <v>252</v>
      </c>
      <c r="R12" s="22" t="s">
        <v>726</v>
      </c>
      <c r="W12" s="22" t="s">
        <v>727</v>
      </c>
      <c r="AB12" s="22" t="s">
        <v>728</v>
      </c>
    </row>
    <row r="13" customFormat="false" ht="15" hidden="false" customHeight="true" outlineLevel="0" collapsed="false">
      <c r="L13" s="22" t="s">
        <v>729</v>
      </c>
      <c r="R13" s="22" t="s">
        <v>730</v>
      </c>
      <c r="W13" s="22" t="s">
        <v>639</v>
      </c>
      <c r="AB13" s="22" t="s">
        <v>252</v>
      </c>
    </row>
    <row r="14" customFormat="false" ht="15" hidden="false" customHeight="true" outlineLevel="0" collapsed="false">
      <c r="L14" s="22" t="s">
        <v>731</v>
      </c>
      <c r="R14" s="22" t="s">
        <v>732</v>
      </c>
    </row>
    <row r="15" customFormat="false" ht="15" hidden="false" customHeight="true" outlineLevel="0" collapsed="false">
      <c r="L15" s="22" t="s">
        <v>733</v>
      </c>
    </row>
    <row r="16" customFormat="false" ht="15" hidden="false" customHeight="true" outlineLevel="0" collapsed="false">
      <c r="L16" s="22" t="s">
        <v>252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2026-05-08T03:16:44Z</dcterms:created>
  <dc:creator>openpyxl</dc:creator>
  <dc:description/>
  <dc:language>en-US</dc:language>
  <cp:lastModifiedBy>Hector Salomón Cahuas Miller</cp:lastModifiedBy>
  <dcterms:modified xsi:type="dcterms:W3CDTF">2026-07-22T03:01:13Z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