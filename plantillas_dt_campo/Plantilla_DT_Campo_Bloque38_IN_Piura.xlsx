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esumen Bloque 38" sheetId="1" state="visible" r:id="rId1"/>
    <sheet xmlns:r="http://schemas.openxmlformats.org/officeDocument/2006/relationships" name="F-DT-01" sheetId="2" state="visible" r:id="rId2"/>
    <sheet xmlns:r="http://schemas.openxmlformats.org/officeDocument/2006/relationships" name="F-DT-02" sheetId="3" state="visible" r:id="rId3"/>
    <sheet xmlns:r="http://schemas.openxmlformats.org/officeDocument/2006/relationships" name="F-DT-03" sheetId="4" state="visible" r:id="rId4"/>
    <sheet xmlns:r="http://schemas.openxmlformats.org/officeDocument/2006/relationships" name="F-DT-04" sheetId="5" state="visible" r:id="rId5"/>
    <sheet xmlns:r="http://schemas.openxmlformats.org/officeDocument/2006/relationships" name="F-DT-05" sheetId="6" state="visible" r:id="rId6"/>
    <sheet xmlns:r="http://schemas.openxmlformats.org/officeDocument/2006/relationships" name="Bloques V4" sheetId="7" state="visible" r:id="rId7"/>
    <sheet xmlns:r="http://schemas.openxmlformats.org/officeDocument/2006/relationships" name="_Listas" sheetId="8" state="visible" r:id="rId8"/>
    <sheet xmlns:r="http://schemas.openxmlformats.org/officeDocument/2006/relationships" name="Cobertura MSAVI-NDVI" sheetId="9" state="visible" r:id="rId9"/>
    <sheet xmlns:r="http://schemas.openxmlformats.org/officeDocument/2006/relationships" name="Estaciones fotográficas" sheetId="10" state="visible" r:id="rId10"/>
    <sheet xmlns:r="http://schemas.openxmlformats.org/officeDocument/2006/relationships" name="Microcuenca C1081-Q9590" sheetId="11" state="visible" r:id="rId11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1">'F-DT-01'!$1:$6</definedName>
    <definedName name="_xlnm.Print_Titles" localSheetId="2">'F-DT-02'!$1:$6</definedName>
    <definedName name="_xlnm.Print_Titles" localSheetId="3">'F-DT-03'!$1:$6</definedName>
    <definedName name="_xlnm.Print_Titles" localSheetId="4">'F-DT-04'!$1:$6</definedName>
    <definedName name="_xlnm.Print_Titles" localSheetId="5">'F-DT-05'!$1:$6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4"/>
    </font>
    <font>
      <name val="Arial"/>
      <charset val="1"/>
      <i val="1"/>
      <color rgb="FF555555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i val="1"/>
      <color rgb="FF333333"/>
      <sz val="10"/>
    </font>
    <font>
      <name val="Arial"/>
      <charset val="1"/>
      <i val="1"/>
      <color rgb="FF555555"/>
      <sz val="8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1B4D2E"/>
      <sz val="11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9C0006"/>
      <sz val="9"/>
    </font>
    <font>
      <name val="Arial"/>
      <b val="1"/>
      <color rgb="001B4D2E"/>
      <sz val="10"/>
    </font>
  </fonts>
  <fills count="12">
    <fill>
      <patternFill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001B4D2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FF2CC"/>
      </patternFill>
    </fill>
  </fills>
  <borders count="1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7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pivotButton="0" quotePrefix="0" xfId="0"/>
    <xf numFmtId="0" fontId="8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4" fillId="8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7" fillId="9" borderId="11" applyAlignment="1" pivotButton="0" quotePrefix="0" xfId="0">
      <alignment vertical="center" wrapText="1"/>
    </xf>
    <xf numFmtId="0" fontId="18" fillId="0" borderId="11" applyAlignment="1" pivotButton="0" quotePrefix="0" xfId="0">
      <alignment vertical="center" wrapText="1"/>
    </xf>
    <xf numFmtId="0" fontId="19" fillId="0" borderId="11" applyAlignment="1" pivotButton="0" quotePrefix="0" xfId="0">
      <alignment vertical="center" wrapText="1"/>
    </xf>
    <xf numFmtId="0" fontId="20" fillId="0" borderId="0" pivotButton="0" quotePrefix="0" xfId="0"/>
    <xf numFmtId="0" fontId="14" fillId="8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top" wrapText="1"/>
    </xf>
    <xf numFmtId="0" fontId="18" fillId="0" borderId="11" applyAlignment="1" pivotButton="0" quotePrefix="0" xfId="0">
      <alignment horizontal="center" vertical="top"/>
    </xf>
    <xf numFmtId="0" fontId="18" fillId="10" borderId="11" applyAlignment="1" pivotButton="0" quotePrefix="0" xfId="0">
      <alignment horizontal="left" vertical="top" wrapText="1"/>
    </xf>
    <xf numFmtId="0" fontId="18" fillId="10" borderId="11" applyAlignment="1" pivotButton="0" quotePrefix="0" xfId="0">
      <alignment horizontal="center" vertical="top"/>
    </xf>
    <xf numFmtId="0" fontId="17" fillId="9" borderId="11" pivotButton="0" quotePrefix="0" xfId="0"/>
    <xf numFmtId="0" fontId="0" fillId="9" borderId="11" pivotButton="0" quotePrefix="0" xfId="0"/>
    <xf numFmtId="0" fontId="18" fillId="11" borderId="11" applyAlignment="1" pivotButton="0" quotePrefix="0" xfId="0">
      <alignment vertical="top" wrapText="1"/>
    </xf>
    <xf numFmtId="0" fontId="18" fillId="0" borderId="11" applyAlignment="1" pivotButton="0" quotePrefix="0" xfId="0">
      <alignment horizontal="left" vertical="top"/>
    </xf>
    <xf numFmtId="0" fontId="18" fillId="10" borderId="11" applyAlignment="1" pivotButton="0" quotePrefix="0" xfId="0">
      <alignment horizontal="left" vertical="top"/>
    </xf>
    <xf numFmtId="2" fontId="17" fillId="9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style="17" min="1" max="1"/>
    <col width="34" customWidth="1" style="17" min="2" max="2"/>
    <col width="32" customWidth="1" style="17" min="3" max="3"/>
    <col width="42" customWidth="1" style="17" min="4" max="4"/>
  </cols>
  <sheetData>
    <row r="1" ht="14" customHeight="1" s="17">
      <c r="A1" s="37" t="inlineStr">
        <is>
          <t>AUTORIDAD NACIONAL DE INFRAESTRUCTURA — ANIN</t>
        </is>
      </c>
    </row>
    <row r="2" ht="14" customHeight="1" s="17">
      <c r="A2" s="38" t="inlineStr">
        <is>
          <t>DIRECCIÓN DE INTERVENCIONES MULTISECTORIALES Y DE EMERGENCIA — DIME</t>
        </is>
      </c>
    </row>
    <row r="3" ht="14" customHeight="1" s="17">
      <c r="A3" s="38" t="inlineStr">
        <is>
          <t>SUBDIRECCIÓN DE ESTUDIOS DE INVERSIÓN — SESDI  |  Proyecto IN Piura · CUI 2669244</t>
        </is>
      </c>
    </row>
    <row r="4" ht="20" customHeight="1" s="17">
      <c r="A4" s="39" t="inlineStr">
        <is>
          <t>FICHA RESUMEN — BLOQUE PRELIMINAR DE INTERVENCIÓN N° 38</t>
        </is>
      </c>
    </row>
    <row r="6">
      <c r="A6" s="40" t="inlineStr">
        <is>
          <t>Código del bloque</t>
        </is>
      </c>
      <c r="B6" s="41" t="inlineStr">
        <is>
          <t>38</t>
        </is>
      </c>
      <c r="C6" s="40" t="inlineStr">
        <is>
          <t>Rótulo cartográfico</t>
        </is>
      </c>
      <c r="D6" s="41" t="inlineStr">
        <is>
          <t>B4_2 (plano MSAVI)</t>
        </is>
      </c>
    </row>
    <row r="7">
      <c r="A7" s="40" t="inlineStr">
        <is>
          <t>Microcuenca</t>
        </is>
      </c>
      <c r="B7" s="41" t="inlineStr">
        <is>
          <t>C1081-Q9590</t>
        </is>
      </c>
      <c r="C7" s="40" t="inlineStr">
        <is>
          <t>Zona de planificación</t>
        </is>
      </c>
      <c r="D7" s="41" t="inlineStr">
        <is>
          <t>Z10</t>
        </is>
      </c>
    </row>
    <row r="8">
      <c r="A8" s="40" t="inlineStr">
        <is>
          <t>Departamento / Provincia</t>
        </is>
      </c>
      <c r="B8" s="41" t="inlineStr">
        <is>
          <t>Piura / Huancabamba</t>
        </is>
      </c>
      <c r="C8" s="40" t="inlineStr">
        <is>
          <t>Distrito</t>
        </is>
      </c>
      <c r="D8" s="41" t="inlineStr">
        <is>
          <t>Lalaquiz</t>
        </is>
      </c>
    </row>
    <row r="9">
      <c r="A9" s="40" t="inlineStr">
        <is>
          <t>Capital distrital</t>
        </is>
      </c>
      <c r="B9" s="41" t="inlineStr">
        <is>
          <t>Tunal</t>
        </is>
      </c>
      <c r="C9" s="40" t="inlineStr">
        <is>
          <t>Centro poblado asociado</t>
        </is>
      </c>
      <c r="D9" s="41" t="inlineStr">
        <is>
          <t>Ullma (157 hab.) — 0,93 km al N</t>
        </is>
      </c>
    </row>
    <row r="10">
      <c r="A10" s="40" t="inlineStr">
        <is>
          <t>Superficie de catálogo (V5/V6)</t>
        </is>
      </c>
      <c r="B10" s="41" t="inlineStr">
        <is>
          <t>44,201 ha</t>
        </is>
      </c>
      <c r="C10" s="40" t="inlineStr">
        <is>
          <t>Superficie planimétrica (segmentación)</t>
        </is>
      </c>
      <c r="D10" s="41" t="inlineStr">
        <is>
          <t>43,2 – 45,1 ha (dif. ≤ 2 %)</t>
        </is>
      </c>
    </row>
    <row r="11">
      <c r="A11" s="40" t="inlineStr">
        <is>
          <t>Centroide (UTM 17S)</t>
        </is>
      </c>
      <c r="B11" s="41" t="inlineStr">
        <is>
          <t>647 123 E · 9 427 602 N</t>
        </is>
      </c>
      <c r="C11" s="40" t="inlineStr">
        <is>
          <t>Extensión E–O / N–S</t>
        </is>
      </c>
      <c r="D11" s="41" t="inlineStr">
        <is>
          <t>≈ 992 m / ≈ 922 m</t>
        </is>
      </c>
    </row>
    <row r="12">
      <c r="A12" s="40" t="inlineStr">
        <is>
          <t>Altitud mínima (MDE)</t>
        </is>
      </c>
      <c r="B12" s="41" t="inlineStr">
        <is>
          <t>1 302 msnm</t>
        </is>
      </c>
      <c r="C12" s="40" t="inlineStr">
        <is>
          <t>Altitud máxima (MDE)</t>
        </is>
      </c>
      <c r="D12" s="41" t="inlineStr">
        <is>
          <t>1 533 msnm</t>
        </is>
      </c>
    </row>
    <row r="13">
      <c r="A13" s="40" t="inlineStr">
        <is>
          <t>Amplitud altitudinal</t>
        </is>
      </c>
      <c r="B13" s="41" t="inlineStr">
        <is>
          <t>231 m</t>
        </is>
      </c>
      <c r="C13" s="40" t="inlineStr">
        <is>
          <t>Piso altitudinal</t>
        </is>
      </c>
      <c r="D13" s="41" t="inlineStr">
        <is>
          <t>1000-1500 m (Quechua baja)</t>
        </is>
      </c>
    </row>
    <row r="14">
      <c r="A14" s="40" t="inlineStr">
        <is>
          <t>Pendiente promedio (MDE)</t>
        </is>
      </c>
      <c r="B14" s="41" t="inlineStr">
        <is>
          <t>24,25 %  ≡ 13,6°</t>
        </is>
      </c>
      <c r="C14" s="40" t="inlineStr">
        <is>
          <t>Clase equivalente</t>
        </is>
      </c>
      <c r="D14" s="41" t="inlineStr">
        <is>
          <t>15-25 % (Fuertemente inclinado)</t>
        </is>
      </c>
    </row>
    <row r="15">
      <c r="A15" s="40" t="inlineStr">
        <is>
          <t>MSAVI 2024 (media)</t>
        </is>
      </c>
      <c r="B15" s="41" t="inlineStr">
        <is>
          <t>0,6725 — vigor alto</t>
        </is>
      </c>
      <c r="C15" s="40" t="inlineStr">
        <is>
          <t>NDVI mediana 2025</t>
        </is>
      </c>
      <c r="D15" s="41" t="inlineStr">
        <is>
          <t>Vegetación alta 99,6 %</t>
        </is>
      </c>
    </row>
    <row r="16">
      <c r="A16" s="40" t="inlineStr">
        <is>
          <t>Ecosistemas (MINAM)</t>
        </is>
      </c>
      <c r="B16" s="41" t="inlineStr">
        <is>
          <t>Zona agrícola 39,69 ha (89,8 %)</t>
        </is>
      </c>
      <c r="C16" s="40" t="inlineStr"/>
      <c r="D16" s="41" t="inlineStr">
        <is>
          <t>Bes-cm 3,89 ha (8,8 %) · Matorral andino 0,62 ha (1,4 %)</t>
        </is>
      </c>
    </row>
    <row r="17">
      <c r="A17" s="40" t="inlineStr">
        <is>
          <t>Ecosistema (ficha F-DT-03)</t>
        </is>
      </c>
      <c r="B17" s="41" t="inlineStr">
        <is>
          <t>Agroecosistema / Mosaico</t>
        </is>
      </c>
      <c r="C17" s="40" t="inlineStr">
        <is>
          <t>Estado de conservación</t>
        </is>
      </c>
      <c r="D17" s="41" t="inlineStr">
        <is>
          <t>Alterado (intervención marcada)</t>
        </is>
      </c>
    </row>
    <row r="18">
      <c r="A18" s="40" t="inlineStr">
        <is>
          <t>Uso actual dominante</t>
        </is>
      </c>
      <c r="B18" s="41" t="inlineStr">
        <is>
          <t>Uso mixto (pastoreo + agricultura)</t>
        </is>
      </c>
      <c r="C18" s="40" t="inlineStr">
        <is>
          <t>Cobertura dominante</t>
        </is>
      </c>
      <c r="D18" s="41" t="inlineStr">
        <is>
          <t>Mixto / Mosaico</t>
        </is>
      </c>
    </row>
    <row r="19">
      <c r="A19" s="40" t="inlineStr">
        <is>
          <t>Fecha de verificación</t>
        </is>
      </c>
      <c r="B19" s="41" t="inlineStr">
        <is>
          <t>08 de julio de 2026 (08:55 – 10:03 h)</t>
        </is>
      </c>
      <c r="C19" s="40" t="inlineStr">
        <is>
          <t>Modalidad</t>
        </is>
      </c>
      <c r="D19" s="41" t="inlineStr">
        <is>
          <t>Perimetral: vehicular + camino de herradura</t>
        </is>
      </c>
    </row>
    <row r="20">
      <c r="A20" s="40" t="inlineStr">
        <is>
          <t>Responsable</t>
        </is>
      </c>
      <c r="B20" s="41" t="inlineStr">
        <is>
          <t>Ing. Héctor Salomón Cahuas Miller</t>
        </is>
      </c>
      <c r="C20" s="40" t="inlineStr">
        <is>
          <t>Estaciones fotográficas</t>
        </is>
      </c>
      <c r="D20" s="41" t="inlineStr">
        <is>
          <t>10 tomas georreferenciadas</t>
        </is>
      </c>
    </row>
    <row r="21">
      <c r="A21" s="40" t="inlineStr">
        <is>
          <t>PELIGRO INTEGRADO PRELIMINAR</t>
        </is>
      </c>
      <c r="B21" s="42" t="inlineStr">
        <is>
          <t>MEDIO</t>
        </is>
      </c>
      <c r="C21" s="40" t="inlineStr">
        <is>
          <t>PRIORIDAD DE INTERVENCIÓN</t>
        </is>
      </c>
      <c r="D21" s="42" t="inlineStr">
        <is>
          <t>ALTA (por superficie recuperable)</t>
        </is>
      </c>
    </row>
    <row r="22">
      <c r="A22" s="40" t="inlineStr">
        <is>
          <t>Urgencia de intervención</t>
        </is>
      </c>
      <c r="B22" s="42" t="inlineStr">
        <is>
          <t>Media</t>
        </is>
      </c>
      <c r="C22" s="40" t="inlineStr">
        <is>
          <t>Reversibilidad técnica</t>
        </is>
      </c>
      <c r="D22" s="42" t="inlineStr">
        <is>
          <t>Parcialmente reversible</t>
        </is>
      </c>
    </row>
    <row r="23">
      <c r="A23" s="40" t="inlineStr">
        <is>
          <t>Fase / Sistema</t>
        </is>
      </c>
      <c r="B23" s="41" t="inlineStr">
        <is>
          <t>Preinversión (Perfil) · Invierte.pe</t>
        </is>
      </c>
      <c r="C23" s="40" t="inlineStr">
        <is>
          <t>Estado de verificación</t>
        </is>
      </c>
      <c r="D23" s="41" t="inlineStr">
        <is>
          <t>VERIFICADO (perimetral)</t>
        </is>
      </c>
    </row>
  </sheetData>
  <mergeCells count="4">
    <mergeCell ref="A1:D1"/>
    <mergeCell ref="A4:D4"/>
    <mergeCell ref="A3:D3"/>
    <mergeCell ref="A2:D2"/>
  </mergeCells>
  <printOptions horizontalCentered="1"/>
  <pageMargins left="0.75" right="0.75" top="1" bottom="1" header="0.5" footer="0.5"/>
  <pageSetup orientation="landscape" fitToHeight="0" fitToWidth="1"/>
  <headerFooter>
    <oddHeader>&amp;C&amp;8 ANIN — DIME — SESDI  |  Proyecto IN Piura · CUI 2669244 · Bloque 38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/>
  <cols>
    <col width="38" customWidth="1" style="17" min="1" max="1"/>
    <col width="16" customWidth="1" style="17" min="2" max="4"/>
    <col width="24" customWidth="1" style="17" min="5" max="5"/>
    <col width="14" customWidth="1" style="17" min="6" max="8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F-DT-01: DATOS GENERALES Y FISIOGRAFÍA DEL BLOQUE</t>
        </is>
      </c>
    </row>
    <row r="5" ht="27.75" customHeight="1" s="17">
      <c r="A5" s="21" t="inlineStr">
        <is>
          <t>Identificación del bloque e inventario rápido de parámetros fisiográficos observados a escala del bloque. Base para todos los formatos F-DT siguientes.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 Y LOCALIZACIÓN</t>
        </is>
      </c>
    </row>
    <row r="8" ht="19.5" customHeight="1" s="17">
      <c r="A8" s="31" t="inlineStr">
        <is>
          <t>Fecha (dd-mm-aaaa) *</t>
        </is>
      </c>
      <c r="B8" s="15" t="inlineStr">
        <is>
          <t>08-07-2026</t>
        </is>
      </c>
      <c r="C8" s="13" t="n"/>
      <c r="D8" s="14" t="n"/>
      <c r="E8" s="31" t="inlineStr">
        <is>
          <t>Hora de registro</t>
        </is>
      </c>
      <c r="F8" s="15" t="inlineStr">
        <is>
          <t>08:55 – 10:03 h</t>
        </is>
      </c>
      <c r="G8" s="13" t="n"/>
      <c r="H8" s="14" t="n"/>
    </row>
    <row r="9" ht="19.5" customHeight="1" s="17">
      <c r="A9" s="31" t="inlineStr">
        <is>
          <t>Brigada / Responsable *</t>
        </is>
      </c>
      <c r="B9" s="15" t="inlineStr">
        <is>
          <t>Ing. Héctor Salomón Cahuas Miller</t>
        </is>
      </c>
      <c r="C9" s="13" t="n"/>
      <c r="D9" s="14" t="n"/>
      <c r="E9" s="31" t="inlineStr">
        <is>
          <t>Ficha N° (correlativo)</t>
        </is>
      </c>
      <c r="F9" s="15" t="inlineStr">
        <is>
          <t>F-DT-01/B38/2026</t>
        </is>
      </c>
      <c r="G9" s="13" t="n"/>
      <c r="H9" s="14" t="n"/>
    </row>
    <row r="10" ht="19.5" customHeight="1" s="17">
      <c r="A10" s="31" t="inlineStr">
        <is>
          <t>Código del Bloque *</t>
        </is>
      </c>
      <c r="B10" s="15" t="inlineStr">
        <is>
          <t>38</t>
        </is>
      </c>
      <c r="C10" s="13" t="n"/>
      <c r="D10" s="14" t="n"/>
      <c r="E10" s="31" t="inlineStr">
        <is>
          <t>Código de Microcuenca</t>
        </is>
      </c>
      <c r="F10" s="12">
        <f>IFERROR(VLOOKUP($B$10,tbl_Bloques,2,FALSE()),"")</f>
        <v/>
      </c>
      <c r="G10" s="13" t="n"/>
      <c r="H10" s="14" t="n"/>
    </row>
    <row r="11" ht="19.5" customHeight="1" s="17">
      <c r="A11" s="31" t="inlineStr">
        <is>
          <t>Provincia (auto)</t>
        </is>
      </c>
      <c r="B11" s="12">
        <f>IFERROR(VLOOKUP($B$10,tbl_Bloques,3,FALSE()),"")</f>
        <v/>
      </c>
      <c r="C11" s="13" t="n"/>
      <c r="D11" s="14" t="n"/>
      <c r="E11" s="31" t="inlineStr">
        <is>
          <t>Distrito (auto)</t>
        </is>
      </c>
      <c r="F11" s="12">
        <f>IFERROR(VLOOKUP($B$10,tbl_Bloques,4,FALSE()),"")</f>
        <v/>
      </c>
      <c r="G11" s="13" t="n"/>
      <c r="H11" s="14" t="n"/>
    </row>
    <row r="12" ht="19.5" customHeight="1" s="17">
      <c r="A12" s="31" t="inlineStr">
        <is>
          <t>Zona del bloque (auto)</t>
        </is>
      </c>
      <c r="B12" s="12">
        <f>IFERROR(VLOOKUP($B$10,tbl_Bloques,5,FALSE()),"")</f>
        <v/>
      </c>
      <c r="C12" s="13" t="n"/>
      <c r="D12" s="14" t="n"/>
      <c r="E12" s="31" t="inlineStr">
        <is>
          <t>Área del bloque (ha) — auto</t>
        </is>
      </c>
      <c r="F12" s="12">
        <f>IFERROR(VLOOKUP($B$10,tbl_Bloques,8,FALSE()),"")</f>
        <v/>
      </c>
      <c r="G12" s="13" t="n"/>
      <c r="H12" s="14" t="n"/>
    </row>
    <row r="13" ht="19.5" customHeight="1" s="17">
      <c r="A13" s="31" t="inlineStr">
        <is>
          <t>UTM ESTE punto de muestreo (m) *</t>
        </is>
      </c>
      <c r="B13" s="15" t="n">
        <v>647123</v>
      </c>
      <c r="C13" s="13" t="n"/>
      <c r="D13" s="14" t="n"/>
      <c r="E13" s="31" t="inlineStr">
        <is>
          <t>UTM NORTE punto de muestreo (m) *</t>
        </is>
      </c>
      <c r="F13" s="15" t="n">
        <v>9427602</v>
      </c>
      <c r="G13" s="13" t="n"/>
      <c r="H13" s="14" t="n"/>
    </row>
    <row r="14" ht="19.5" customHeight="1" s="17">
      <c r="A14" s="31" t="inlineStr">
        <is>
          <t>Altitud GPS (msnm) *</t>
        </is>
      </c>
      <c r="B14" s="15" t="n"/>
      <c r="C14" s="13" t="n"/>
      <c r="D14" s="14" t="n"/>
      <c r="E14" s="31" t="inlineStr">
        <is>
          <t>Centro poblado más cercano</t>
        </is>
      </c>
      <c r="F14" s="15" t="inlineStr">
        <is>
          <t>Ullma (646 976 E · 9 428 519 N; 157 hab.) — a ≈ 0,93 km al N del centroide</t>
        </is>
      </c>
      <c r="G14" s="13" t="n"/>
      <c r="H14" s="14" t="n"/>
    </row>
    <row r="15" ht="19.5" customHeight="1" s="17">
      <c r="A15" s="31" t="inlineStr">
        <is>
          <t>Comunidad Campesina (si aplica)</t>
        </is>
      </c>
      <c r="B15" s="15" t="inlineStr">
        <is>
          <t>Por verificar</t>
        </is>
      </c>
      <c r="C15" s="13" t="n"/>
      <c r="D15" s="13" t="n"/>
      <c r="E15" s="13" t="n"/>
      <c r="F15" s="13" t="n"/>
      <c r="G15" s="13" t="n"/>
      <c r="H15" s="14" t="n"/>
    </row>
    <row r="17" ht="21.75" customHeight="1" s="17">
      <c r="A17" s="19" t="inlineStr">
        <is>
          <t>2. CARACTERIZACIÓN FISIOGRÁFICA DEL BLOQUE</t>
        </is>
      </c>
    </row>
    <row r="18" ht="19.5" customHeight="1" s="17">
      <c r="A18" s="31" t="inlineStr">
        <is>
          <t>Forma predominante del terreno *</t>
        </is>
      </c>
      <c r="B18" s="15" t="inlineStr">
        <is>
          <t>Montañoso</t>
        </is>
      </c>
      <c r="C18" s="13" t="n"/>
      <c r="D18" s="13" t="n"/>
      <c r="E18" s="13" t="n"/>
      <c r="F18" s="13" t="n"/>
      <c r="G18" s="13" t="n"/>
      <c r="H18" s="14" t="n"/>
    </row>
    <row r="19" ht="19.5" customHeight="1" s="17">
      <c r="A19" s="31" t="inlineStr">
        <is>
          <t>Rango de pendiente dominante *</t>
        </is>
      </c>
      <c r="B19" s="15" t="inlineStr">
        <is>
          <t>15-25% (Fuert. inclinado)</t>
        </is>
      </c>
      <c r="C19" s="13" t="n"/>
      <c r="D19" s="13" t="n"/>
      <c r="E19" s="13" t="n"/>
      <c r="F19" s="13" t="n"/>
      <c r="G19" s="13" t="n"/>
      <c r="H19" s="14" t="n"/>
    </row>
    <row r="20" ht="19.5" customHeight="1" s="17">
      <c r="A20" s="31" t="inlineStr">
        <is>
          <t>Posición fisiográfica *</t>
        </is>
      </c>
      <c r="B20" s="15" t="inlineStr">
        <is>
          <t>Ladera media</t>
        </is>
      </c>
      <c r="C20" s="13" t="n"/>
      <c r="D20" s="13" t="n"/>
      <c r="E20" s="13" t="n"/>
      <c r="F20" s="13" t="n"/>
      <c r="G20" s="13" t="n"/>
      <c r="H20" s="14" t="n"/>
    </row>
    <row r="21" ht="19.5" customHeight="1" s="17">
      <c r="A21" s="31" t="inlineStr">
        <is>
          <t>Exposición / Orientación dominante *</t>
        </is>
      </c>
      <c r="B21" s="15" t="inlineStr">
        <is>
          <t>Suroeste</t>
        </is>
      </c>
      <c r="C21" s="13" t="n"/>
      <c r="D21" s="13" t="n"/>
      <c r="E21" s="13" t="n"/>
      <c r="F21" s="13" t="n"/>
      <c r="G21" s="13" t="n"/>
      <c r="H21" s="14" t="n"/>
    </row>
    <row r="22" ht="19.5" customHeight="1" s="17">
      <c r="A22" s="31" t="inlineStr">
        <is>
          <t>Rango altitudinal del bloque *</t>
        </is>
      </c>
      <c r="B22" s="15" t="inlineStr">
        <is>
          <t>1000-1500 m (Quechua baja)</t>
        </is>
      </c>
      <c r="C22" s="13" t="n"/>
      <c r="D22" s="13" t="n"/>
      <c r="E22" s="13" t="n"/>
      <c r="F22" s="13" t="n"/>
      <c r="G22" s="13" t="n"/>
      <c r="H22" s="14" t="n"/>
    </row>
    <row r="23" ht="19.5" customHeight="1" s="17">
      <c r="A23" s="31" t="inlineStr">
        <is>
          <t>Paisaje dominante (descripción libre)</t>
        </is>
      </c>
      <c r="B23" s="35" t="inlineStr">
        <is>
          <t>Ladera de montaña de la margen NO de la quebrada tributaria de la microcuenca C1081-Q9590. Mosaico dominado por pastizal cultivado con cercos en las laderas de menor inclinación, matorral denso y relictos arbóreos en las quebradas y laderas de mayor pendiente, y parcelas de café, plátano y frutales en el sector bajo. Cimas y bordes con afloramientos rocosos dispersos. La trocha carrozable de acceso bordea el flanco SE del polígono.</t>
        </is>
      </c>
      <c r="C23" s="13" t="n"/>
      <c r="D23" s="13" t="n"/>
      <c r="E23" s="13" t="n"/>
      <c r="F23" s="13" t="n"/>
      <c r="G23" s="13" t="n"/>
      <c r="H23" s="14" t="n"/>
    </row>
    <row r="25" ht="21.75" customHeight="1" s="17">
      <c r="A25" s="19" t="inlineStr">
        <is>
          <t>3. INDICIOS DE REMOCIÓN EN MASA E INESTABILIDAD</t>
        </is>
      </c>
    </row>
    <row r="26" ht="19.5" customHeight="1" s="17">
      <c r="A26" s="31" t="inlineStr">
        <is>
          <t>Presencia de afloramientos rocosos</t>
        </is>
      </c>
      <c r="B26" s="15" t="inlineStr">
        <is>
          <t>Sí</t>
        </is>
      </c>
      <c r="C26" s="13" t="n"/>
      <c r="D26" s="13" t="n"/>
      <c r="E26" s="13" t="n"/>
      <c r="F26" s="13" t="n"/>
      <c r="G26" s="13" t="n"/>
      <c r="H26" s="14" t="n"/>
    </row>
    <row r="27" ht="19.5" customHeight="1" s="17">
      <c r="A27" s="31" t="inlineStr">
        <is>
          <t>Presencia de escarpes activos *</t>
        </is>
      </c>
      <c r="B27" s="15" t="inlineStr">
        <is>
          <t>Sí</t>
        </is>
      </c>
      <c r="C27" s="13" t="n"/>
      <c r="D27" s="13" t="n"/>
      <c r="E27" s="13" t="n"/>
      <c r="F27" s="13" t="n"/>
      <c r="G27" s="13" t="n"/>
      <c r="H27" s="14" t="n"/>
    </row>
    <row r="28" ht="19.5" customHeight="1" s="17">
      <c r="A28" s="31" t="inlineStr">
        <is>
          <t>¿Reptación de suelo observada? *</t>
        </is>
      </c>
      <c r="B28" s="15" t="inlineStr">
        <is>
          <t>No</t>
        </is>
      </c>
      <c r="C28" s="13" t="n"/>
      <c r="D28" s="13" t="n"/>
      <c r="E28" s="13" t="n"/>
      <c r="F28" s="13" t="n"/>
      <c r="G28" s="13" t="n"/>
      <c r="H28" s="14" t="n"/>
    </row>
    <row r="29" ht="19.5" customHeight="1" s="17">
      <c r="A29" s="31" t="inlineStr">
        <is>
          <t>¿Deslizamientos antiguos observados?</t>
        </is>
      </c>
      <c r="B29" s="15" t="inlineStr">
        <is>
          <t>No</t>
        </is>
      </c>
      <c r="C29" s="13" t="n"/>
      <c r="D29" s="13" t="n"/>
      <c r="E29" s="13" t="n"/>
      <c r="F29" s="13" t="n"/>
      <c r="G29" s="13" t="n"/>
      <c r="H29" s="14" t="n"/>
    </row>
    <row r="30" ht="19.5" customHeight="1" s="17">
      <c r="A30" s="31" t="inlineStr">
        <is>
          <t>¿Remociones en masa activas? *</t>
        </is>
      </c>
      <c r="B30" s="15" t="inlineStr">
        <is>
          <t>No</t>
        </is>
      </c>
      <c r="C30" s="13" t="n"/>
      <c r="D30" s="13" t="n"/>
      <c r="E30" s="13" t="n"/>
      <c r="F30" s="13" t="n"/>
      <c r="G30" s="13" t="n"/>
      <c r="H30" s="14" t="n"/>
    </row>
    <row r="32" ht="21.75" customHeight="1" s="17">
      <c r="A32" s="19" t="inlineStr">
        <is>
          <t>OBSERVACIONES</t>
        </is>
      </c>
    </row>
    <row r="33" ht="27.75" customHeight="1" s="17">
      <c r="A33" s="35" t="inlineStr">
        <is>
          <t>VERIFICACIÓN PERIMETRAL. Las 10 estaciones fotográficas del 08-07-2026 se ubican entre 17 y 146 m POR FUERA del polígono del bloque (control geométrico sobre la cartografía MSAVI georreferenciada; ver hoja «Estaciones fotográficas»); el interior no fue recorrido. El punto de muestreo consignado corresponde al CENTROIDE de catálogo (Bloques V4/Centroides V6), no a un punto GPS de campo. ALTITUD GPS NO REGISTRADA por la aplicación de captura: el rango 1 302–1 533 msnm y la pendiente promedio 24,25 % (13,6°) provienen de estadística zonal del MDE (reporte «Rango de altitud y Pendiente Promedio por Bloque»). Escarpes activos: se consignan por los taludes de corte de la trocha y las márgenes encajonadas de la quebrada; reptación y deslizamientos antiguos NO observados desde el perímetro — «No» no equivale a ausencia verificada.</t>
        </is>
      </c>
      <c r="B33" s="24" t="n"/>
      <c r="C33" s="24" t="n"/>
      <c r="D33" s="24" t="n"/>
      <c r="E33" s="24" t="n"/>
      <c r="F33" s="24" t="n"/>
      <c r="G33" s="24" t="n"/>
      <c r="H33" s="25" t="n"/>
    </row>
    <row r="34" ht="27.75" customHeight="1" s="17">
      <c r="A34" s="26" t="n"/>
      <c r="H34" s="27" t="n"/>
    </row>
    <row r="35" ht="27.75" customHeight="1" s="17">
      <c r="A35" s="28" t="n"/>
      <c r="B35" s="29" t="n"/>
      <c r="C35" s="29" t="n"/>
      <c r="D35" s="29" t="n"/>
      <c r="E35" s="29" t="n"/>
      <c r="F35" s="29" t="n"/>
      <c r="G35" s="29" t="n"/>
      <c r="H35" s="30" t="n"/>
    </row>
  </sheetData>
  <mergeCells count="37">
    <mergeCell ref="B11:D11"/>
    <mergeCell ref="B14:D14"/>
    <mergeCell ref="B8:D8"/>
    <mergeCell ref="F8:H8"/>
    <mergeCell ref="B30:H30"/>
    <mergeCell ref="B13:D13"/>
    <mergeCell ref="B15:H15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B27:H27"/>
    <mergeCell ref="F14:H14"/>
    <mergeCell ref="B18:H18"/>
    <mergeCell ref="B21:H21"/>
    <mergeCell ref="A2:H2"/>
    <mergeCell ref="A5:H5"/>
    <mergeCell ref="A32:H32"/>
    <mergeCell ref="F11:H11"/>
    <mergeCell ref="B23:H23"/>
    <mergeCell ref="A17:H17"/>
    <mergeCell ref="A4:H4"/>
    <mergeCell ref="F10:H10"/>
    <mergeCell ref="A33:H35"/>
    <mergeCell ref="B29:H29"/>
    <mergeCell ref="F12:H12"/>
    <mergeCell ref="B12:D12"/>
    <mergeCell ref="B19:H19"/>
    <mergeCell ref="B28:H28"/>
  </mergeCells>
  <dataValidations count="11">
    <dataValidation sqref="B10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B18" showDropDown="0" showInputMessage="0" showErrorMessage="0" allowBlank="1" errorTitle="Valor no válido" error="Seleccione un valor de la lista desplegable." promptTitle="Forma predominante del terreno" prompt="Elija una opción de la lista." type="list">
      <formula1>lst_FormaTerreno</formula1>
      <formula2>0</formula2>
    </dataValidation>
    <dataValidation sqref="B19" showDropDown="0" showInputMessage="0" showErrorMessage="0" allowBlank="1" errorTitle="Valor no válido" error="Seleccione un valor de la lista desplegable." promptTitle="Rango de pendiente dominante *" prompt="Elija una opción de la lista." type="list">
      <formula1>lst_RangoPendiente</formula1>
      <formula2>0</formula2>
    </dataValidation>
    <dataValidation sqref="B20" showDropDown="0" showInputMessage="0" showErrorMessage="0" allowBlank="1" errorTitle="Valor no válido" error="Seleccione un valor de la lista desplegable." promptTitle="Posición fisiográfica *" prompt="Elija una opción de la lista." type="list">
      <formula1>lst_PosicionFisio</formula1>
      <formula2>0</formula2>
    </dataValidation>
    <dataValidation sqref="B21" showDropDown="0" showInputMessage="0" showErrorMessage="0" allowBlank="1" errorTitle="Valor no válido" error="Seleccione un valor de la lista desplegable." promptTitle="Exposición / Orientación domin" prompt="Elija una opción de la lista." type="list">
      <formula1>lst_Exposicion</formula1>
      <formula2>0</formula2>
    </dataValidation>
    <dataValidation sqref="B22" showDropDown="0" showInputMessage="0" showErrorMessage="0" allowBlank="1" errorTitle="Valor no válido" error="Seleccione un valor de la lista desplegable." promptTitle="Rango altitudinal del bloque *" prompt="Elija una opción de la lista." type="list">
      <formula1>lst_RangoAltitud</formula1>
      <formula2>0</formula2>
    </dataValidation>
    <dataValidation sqref="B26" showDropDown="0" showInputMessage="0" showErrorMessage="0" allowBlank="1" errorTitle="Valor no válido" error="Seleccione un valor de la lista desplegable." promptTitle="Presencia de afloramientos roc" prompt="Elija una opción de la lista." type="list">
      <formula1>lst_SiNo</formula1>
      <formula2>0</formula2>
    </dataValidation>
    <dataValidation sqref="B27" showDropDown="0" showInputMessage="0" showErrorMessage="0" allowBlank="1" errorTitle="Valor no válido" error="Seleccione un valor de la lista desplegable." promptTitle="Presencia de escarpes activos " prompt="Elija una opción de la lista." type="list">
      <formula1>lst_SiNo</formula1>
      <formula2>0</formula2>
    </dataValidation>
    <dataValidation sqref="B28" showDropDown="0" showInputMessage="0" showErrorMessage="0" allowBlank="1" errorTitle="Valor no válido" error="Seleccione un valor de la lista desplegable." promptTitle="¿Reptación de suelo observada?" prompt="Elija una opción de la lista." type="list">
      <formula1>lst_SiNo</formula1>
      <formula2>0</formula2>
    </dataValidation>
    <dataValidation sqref="B29" showDropDown="0" showInputMessage="0" showErrorMessage="0" allowBlank="1" errorTitle="Valor no válido" error="Seleccione un valor de la lista desplegable." promptTitle="¿Deslizamientos antiguos obser" prompt="Elija una opción de la lista." type="list">
      <formula1>lst_SiNo</formula1>
      <formula2>0</formula2>
    </dataValidation>
    <dataValidation sqref="B30" showDropDown="0" showInputMessage="0" showErrorMessage="0" allowBlank="1" errorTitle="Valor no válido" error="Seleccione un valor de la lista desplegable." promptTitle="¿Remociones en masa activas? *" prompt="Elija una opción de la lista." type="list">
      <formula1>lst_SiNo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zoomScaleNormal="100" workbookViewId="0">
      <pane ySplit="6" topLeftCell="A7" activePane="bottomLeft" state="frozen"/>
      <selection pane="bottomLeft" activeCell="D14" sqref="D14:L14"/>
    </sheetView>
  </sheetViews>
  <sheetFormatPr baseColWidth="10" defaultColWidth="8.6640625" defaultRowHeight="14.4"/>
  <cols>
    <col width="10" customWidth="1" style="17" min="1" max="1"/>
    <col width="26" customWidth="1" style="17" min="2" max="2"/>
    <col width="11" customWidth="1" style="17" min="3" max="3"/>
    <col width="12" customWidth="1" style="17" min="4" max="4"/>
    <col width="11" customWidth="1" style="17" min="5" max="5"/>
    <col width="12" customWidth="1" style="17" min="6" max="6"/>
    <col width="9" customWidth="1" style="17" min="7" max="9"/>
    <col width="18" customWidth="1" style="17" min="10" max="10"/>
    <col width="22" customWidth="1" style="17" min="11" max="11"/>
    <col width="14" customWidth="1" style="17" min="12" max="12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F-DT-02: SUELO Y PROCESOS EROSIVOS (INCL. INVENTARIO DE CÁRCAVAS)</t>
        </is>
      </c>
    </row>
    <row r="5" ht="27.75" customHeight="1" s="17">
      <c r="A5" s="21" t="inlineStr">
        <is>
          <t>Caracterización de procesos erosivos del suelo a escala de bloque + inventario georreferenciado de cárcavas/surcos. Insumo para diseño de obras de control de erosión.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(dd-mm-aaaa) *</t>
        </is>
      </c>
      <c r="B8" s="13" t="n"/>
      <c r="C8" s="14" t="n"/>
      <c r="D8" s="15" t="inlineStr">
        <is>
          <t>08-07-2026</t>
        </is>
      </c>
      <c r="E8" s="13" t="n"/>
      <c r="F8" s="14" t="n"/>
      <c r="G8" s="31" t="inlineStr">
        <is>
          <t>Responsable *</t>
        </is>
      </c>
      <c r="H8" s="13" t="n"/>
      <c r="I8" s="14" t="n"/>
      <c r="J8" s="15" t="inlineStr">
        <is>
          <t>Ing. Héctor Salomón Cahuas Miller</t>
        </is>
      </c>
      <c r="K8" s="13" t="n"/>
      <c r="L8" s="14" t="n"/>
    </row>
    <row r="9" ht="19.5" customHeight="1" s="17">
      <c r="A9" s="31" t="inlineStr">
        <is>
          <t>Código del Bloque *</t>
        </is>
      </c>
      <c r="B9" s="13" t="n"/>
      <c r="C9" s="14" t="n"/>
      <c r="D9" s="15" t="inlineStr">
        <is>
          <t>38</t>
        </is>
      </c>
      <c r="E9" s="13" t="n"/>
      <c r="F9" s="14" t="n"/>
      <c r="G9" s="31" t="inlineStr">
        <is>
          <t>Código de Microcuenca (auto)</t>
        </is>
      </c>
      <c r="H9" s="13" t="n"/>
      <c r="I9" s="14" t="n"/>
      <c r="J9" s="12">
        <f>IFERROR(VLOOKUP($D$9,tbl_Bloques,2,FALSE()),"")</f>
        <v/>
      </c>
      <c r="K9" s="13" t="n"/>
      <c r="L9" s="14" t="n"/>
    </row>
    <row r="10" ht="19.5" customHeight="1" s="17">
      <c r="A10" s="31" t="inlineStr">
        <is>
          <t>Distrito (auto)</t>
        </is>
      </c>
      <c r="B10" s="13" t="n"/>
      <c r="C10" s="14" t="n"/>
      <c r="D10" s="12">
        <f>IFERROR(VLOOKUP($D$9,tbl_Bloques,4,FALSE()),"")</f>
        <v/>
      </c>
      <c r="E10" s="13" t="n"/>
      <c r="F10" s="14" t="n"/>
      <c r="G10" s="31" t="inlineStr">
        <is>
          <t>Altitud (msnm)</t>
        </is>
      </c>
      <c r="H10" s="13" t="n"/>
      <c r="I10" s="14" t="n"/>
      <c r="J10" s="15" t="inlineStr">
        <is>
          <t>1 302 – 1 533 (MDE; sin registro GPS)</t>
        </is>
      </c>
      <c r="K10" s="13" t="n"/>
      <c r="L10" s="14" t="n"/>
    </row>
    <row r="11" ht="19.5" customHeight="1" s="17">
      <c r="A11" s="31" t="inlineStr">
        <is>
          <t>UTM ESTE punto de muestreo *</t>
        </is>
      </c>
      <c r="B11" s="13" t="n"/>
      <c r="C11" s="14" t="n"/>
      <c r="D11" s="15" t="n">
        <v>647123</v>
      </c>
      <c r="E11" s="13" t="n"/>
      <c r="F11" s="14" t="n"/>
      <c r="G11" s="31" t="inlineStr">
        <is>
          <t>UTM NORTE punto de muestreo *</t>
        </is>
      </c>
      <c r="H11" s="13" t="n"/>
      <c r="I11" s="14" t="n"/>
      <c r="J11" s="15" t="n">
        <v>9427602</v>
      </c>
      <c r="K11" s="13" t="n"/>
      <c r="L11" s="14" t="n"/>
    </row>
    <row r="13" ht="21.75" customHeight="1" s="17">
      <c r="A13" s="19" t="inlineStr">
        <is>
          <t>2. DESCRIPCIÓN DE PROCESOS EROSIVOS DEL SUELO</t>
        </is>
      </c>
    </row>
    <row r="14" ht="19.5" customHeight="1" s="17">
      <c r="A14" s="31" t="inlineStr">
        <is>
          <t>Sellamiento / Costra superficial</t>
        </is>
      </c>
      <c r="B14" s="13" t="n"/>
      <c r="C14" s="14" t="n"/>
      <c r="D14" s="15" t="inlineStr">
        <is>
          <t>No</t>
        </is>
      </c>
      <c r="E14" s="13" t="n"/>
      <c r="F14" s="13" t="n"/>
      <c r="G14" s="13" t="n"/>
      <c r="H14" s="13" t="n"/>
      <c r="I14" s="13" t="n"/>
      <c r="J14" s="13" t="n"/>
      <c r="K14" s="13" t="n"/>
      <c r="L14" s="14" t="n"/>
    </row>
    <row r="15" ht="19.5" customHeight="1" s="17">
      <c r="A15" s="31" t="inlineStr">
        <is>
          <t>¿Compactación por pisoteo de ganado?</t>
        </is>
      </c>
      <c r="B15" s="13" t="n"/>
      <c r="C15" s="14" t="n"/>
      <c r="D15" s="15" t="inlineStr">
        <is>
          <t>Sí</t>
        </is>
      </c>
      <c r="E15" s="13" t="n"/>
      <c r="F15" s="13" t="n"/>
      <c r="G15" s="13" t="n"/>
      <c r="H15" s="13" t="n"/>
      <c r="I15" s="13" t="n"/>
      <c r="J15" s="13" t="n"/>
      <c r="K15" s="13" t="n"/>
      <c r="L15" s="14" t="n"/>
    </row>
    <row r="16" ht="19.5" customHeight="1" s="17">
      <c r="A16" s="31" t="inlineStr">
        <is>
          <t>¿Raíces expuestas en superficie?</t>
        </is>
      </c>
      <c r="B16" s="13" t="n"/>
      <c r="C16" s="14" t="n"/>
      <c r="D16" s="15" t="inlineStr">
        <is>
          <t>Sí</t>
        </is>
      </c>
      <c r="E16" s="13" t="n"/>
      <c r="F16" s="13" t="n"/>
      <c r="G16" s="13" t="n"/>
      <c r="H16" s="13" t="n"/>
      <c r="I16" s="13" t="n"/>
      <c r="J16" s="13" t="n"/>
      <c r="K16" s="13" t="n"/>
      <c r="L16" s="14" t="n"/>
    </row>
    <row r="17" ht="19.5" customHeight="1" s="17">
      <c r="A17" s="31" t="inlineStr">
        <is>
          <t>Nivel general de erosión observado *</t>
        </is>
      </c>
      <c r="B17" s="13" t="n"/>
      <c r="C17" s="14" t="n"/>
      <c r="D17" s="15" t="inlineStr">
        <is>
          <t>Moderada (surcos)</t>
        </is>
      </c>
      <c r="E17" s="13" t="n"/>
      <c r="F17" s="13" t="n"/>
      <c r="G17" s="13" t="n"/>
      <c r="H17" s="13" t="n"/>
      <c r="I17" s="13" t="n"/>
      <c r="J17" s="13" t="n"/>
      <c r="K17" s="13" t="n"/>
      <c r="L17" s="14" t="n"/>
    </row>
    <row r="19" ht="21.75" customHeight="1" s="17">
      <c r="A19" s="19" t="inlineStr">
        <is>
          <t>3. INVENTARIO GEORREFERENCIADO DE CÁRCAVAS / SURCOS</t>
        </is>
      </c>
    </row>
    <row r="20" ht="25.5" customHeight="1" s="17">
      <c r="A20" s="32" t="inlineStr">
        <is>
          <t>Registre una fila por cárcava o grupo de surcos homogéneos. Use los desplegables en columnas Tipo, Estado y Causa principal.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4" t="n"/>
    </row>
    <row r="21" ht="31.5" customHeight="1" s="17">
      <c r="A21" s="2" t="inlineStr">
        <is>
          <t>Código
cárcava</t>
        </is>
      </c>
      <c r="B21" s="2" t="inlineStr">
        <is>
          <t>Tipo</t>
        </is>
      </c>
      <c r="C21" s="2" t="inlineStr">
        <is>
          <t>UTM ESTE
(inicio)</t>
        </is>
      </c>
      <c r="D21" s="2" t="inlineStr">
        <is>
          <t>UTM NORTE
(inicio)</t>
        </is>
      </c>
      <c r="E21" s="2" t="inlineStr">
        <is>
          <t>UTM ESTE
(fin)</t>
        </is>
      </c>
      <c r="F21" s="2" t="inlineStr">
        <is>
          <t>UTM NORTE
(fin)</t>
        </is>
      </c>
      <c r="G21" s="2" t="inlineStr">
        <is>
          <t>Long.
(m)</t>
        </is>
      </c>
      <c r="H21" s="2" t="inlineStr">
        <is>
          <t>Prof.
med. (m)</t>
        </is>
      </c>
      <c r="I21" s="2" t="inlineStr">
        <is>
          <t>Ancho
med. (m)</t>
        </is>
      </c>
      <c r="J21" s="2" t="inlineStr">
        <is>
          <t>Estado /
Actividad</t>
        </is>
      </c>
      <c r="K21" s="2" t="inlineStr">
        <is>
          <t>Causa
principal</t>
        </is>
      </c>
      <c r="L21" s="2" t="inlineStr">
        <is>
          <t>Cód.
Fotografía</t>
        </is>
      </c>
    </row>
    <row r="22" ht="19.5" customHeight="1" s="17">
      <c r="A22" s="3" t="inlineStr">
        <is>
          <t>R-01</t>
        </is>
      </c>
      <c r="B22" s="3" t="inlineStr">
        <is>
          <t>Surco (&lt;30 cm)</t>
        </is>
      </c>
      <c r="C22" s="3" t="n">
        <v>646833</v>
      </c>
      <c r="D22" s="3" t="n">
        <v>9426997</v>
      </c>
      <c r="E22" s="3" t="n"/>
      <c r="F22" s="3" t="n"/>
      <c r="G22" s="3" t="n"/>
      <c r="H22" s="3" t="n"/>
      <c r="I22" s="3" t="n"/>
      <c r="J22" s="3" t="inlineStr">
        <is>
          <t>Activa</t>
        </is>
      </c>
      <c r="K22" s="4" t="inlineStr">
        <is>
          <t>Caminos / huellas de ganado</t>
        </is>
      </c>
      <c r="L22" s="3" t="inlineStr">
        <is>
          <t>F-01</t>
        </is>
      </c>
    </row>
    <row r="23" ht="19.5" customHeight="1" s="17">
      <c r="A23" s="3" t="inlineStr">
        <is>
          <t>R-02</t>
        </is>
      </c>
      <c r="B23" s="3" t="inlineStr">
        <is>
          <t>Surco (&lt;30 cm)</t>
        </is>
      </c>
      <c r="C23" s="3" t="n">
        <v>647571</v>
      </c>
      <c r="D23" s="3" t="n">
        <v>9427474</v>
      </c>
      <c r="E23" s="3" t="n"/>
      <c r="F23" s="3" t="n"/>
      <c r="G23" s="3" t="n"/>
      <c r="H23" s="3" t="n"/>
      <c r="I23" s="3" t="n"/>
      <c r="J23" s="3" t="inlineStr">
        <is>
          <t>Activa</t>
        </is>
      </c>
      <c r="K23" s="4" t="inlineStr">
        <is>
          <t>Caminos / huellas de ganado</t>
        </is>
      </c>
      <c r="L23" s="3" t="inlineStr">
        <is>
          <t>F-05</t>
        </is>
      </c>
    </row>
    <row r="24" ht="19.5" customHeight="1" s="17">
      <c r="A24" s="3" t="inlineStr">
        <is>
          <t>R-03</t>
        </is>
      </c>
      <c r="B24" s="3" t="inlineStr">
        <is>
          <t>Cárcava somera (0.5-2 m)</t>
        </is>
      </c>
      <c r="C24" s="3" t="n">
        <v>647201</v>
      </c>
      <c r="D24" s="3" t="n">
        <v>9427237</v>
      </c>
      <c r="E24" s="3" t="n"/>
      <c r="F24" s="3" t="n"/>
      <c r="G24" s="3" t="n"/>
      <c r="H24" s="3" t="n"/>
      <c r="I24" s="3" t="n"/>
      <c r="J24" s="3" t="inlineStr">
        <is>
          <t>Activa</t>
        </is>
      </c>
      <c r="K24" s="4" t="inlineStr">
        <is>
          <t>Socavamiento de cauce</t>
        </is>
      </c>
      <c r="L24" s="3" t="inlineStr">
        <is>
          <t>F-08 / ref. B-50</t>
        </is>
      </c>
    </row>
    <row r="25" ht="19.5" customHeight="1" s="17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  <c r="L25" s="3" t="n"/>
    </row>
    <row r="26" ht="19.5" customHeight="1" s="17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  <c r="L26" s="3" t="n"/>
    </row>
    <row r="27" ht="19.5" customHeight="1" s="1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  <c r="L27" s="3" t="n"/>
    </row>
    <row r="28" ht="19.5" customHeight="1" s="17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" t="n"/>
      <c r="L28" s="3" t="n"/>
    </row>
    <row r="29" ht="19.5" customHeight="1" s="17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  <c r="L29" s="3" t="n"/>
    </row>
    <row r="30" ht="19.5" customHeight="1" s="17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" t="n"/>
      <c r="L30" s="3" t="n"/>
    </row>
    <row r="31" ht="19.5" customHeight="1" s="17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" t="n"/>
      <c r="L31" s="3" t="n"/>
    </row>
    <row r="33" ht="21.75" customHeight="1" s="17">
      <c r="A33" s="19" t="inlineStr">
        <is>
          <t>4. SÍNTESIS DE PROCESOS EROSIVOS DEL BLOQUE</t>
        </is>
      </c>
    </row>
    <row r="34" ht="19.5" customHeight="1" s="17">
      <c r="A34" s="31" t="inlineStr">
        <is>
          <t>Nivel general de erosión (síntesis) *</t>
        </is>
      </c>
      <c r="B34" s="13" t="n"/>
      <c r="C34" s="14" t="n"/>
      <c r="D34" s="15" t="inlineStr">
        <is>
          <t>Moderada (surcos)</t>
        </is>
      </c>
      <c r="E34" s="13" t="n"/>
      <c r="F34" s="13" t="n"/>
      <c r="G34" s="13" t="n"/>
      <c r="H34" s="13" t="n"/>
      <c r="I34" s="13" t="n"/>
      <c r="J34" s="13" t="n"/>
      <c r="K34" s="13" t="n"/>
      <c r="L34" s="14" t="n"/>
    </row>
    <row r="35" ht="19.5" customHeight="1" s="17">
      <c r="A35" s="31" t="inlineStr">
        <is>
          <t>N° total de cárcavas registradas</t>
        </is>
      </c>
      <c r="B35" s="13" t="n"/>
      <c r="C35" s="14" t="n"/>
      <c r="D35" s="15" t="n">
        <v>3</v>
      </c>
      <c r="E35" s="13" t="n"/>
      <c r="F35" s="14" t="n"/>
      <c r="G35" s="31" t="inlineStr">
        <is>
          <t>Longitud total de cárcavas (m)</t>
        </is>
      </c>
      <c r="H35" s="13" t="n"/>
      <c r="I35" s="14" t="n"/>
      <c r="J35" s="15" t="inlineStr">
        <is>
          <t>Por determinar</t>
        </is>
      </c>
      <c r="K35" s="13" t="n"/>
      <c r="L35" s="14" t="n"/>
    </row>
    <row r="36" ht="19.5" customHeight="1" s="17">
      <c r="A36" s="31" t="inlineStr">
        <is>
          <t>% del bloque afectado por cárcavas</t>
        </is>
      </c>
      <c r="B36" s="13" t="n"/>
      <c r="C36" s="14" t="n"/>
      <c r="D36" s="15" t="inlineStr">
        <is>
          <t>Por determinar</t>
        </is>
      </c>
      <c r="E36" s="13" t="n"/>
      <c r="F36" s="14" t="n"/>
      <c r="G36" s="31" t="inlineStr">
        <is>
          <t>Erosión laminar observada (%)</t>
        </is>
      </c>
      <c r="H36" s="13" t="n"/>
      <c r="I36" s="14" t="n"/>
      <c r="J36" s="15" t="inlineStr">
        <is>
          <t>Por determinar</t>
        </is>
      </c>
      <c r="K36" s="13" t="n"/>
      <c r="L36" s="14" t="n"/>
    </row>
    <row r="37" ht="19.5" customHeight="1" s="17">
      <c r="A37" s="31" t="inlineStr">
        <is>
          <t>Patrón de cárcavas dominante</t>
        </is>
      </c>
      <c r="B37" s="13" t="n"/>
      <c r="C37" s="14" t="n"/>
      <c r="D37" s="15" t="inlineStr">
        <is>
          <t>Lineal</t>
        </is>
      </c>
      <c r="E37" s="13" t="n"/>
      <c r="F37" s="13" t="n"/>
      <c r="G37" s="13" t="n"/>
      <c r="H37" s="13" t="n"/>
      <c r="I37" s="13" t="n"/>
      <c r="J37" s="13" t="n"/>
      <c r="K37" s="13" t="n"/>
      <c r="L37" s="14" t="n"/>
    </row>
    <row r="38" ht="19.5" customHeight="1" s="17">
      <c r="A38" s="31" t="inlineStr">
        <is>
          <t>Presencia de socavamiento de cauce</t>
        </is>
      </c>
      <c r="B38" s="13" t="n"/>
      <c r="C38" s="14" t="n"/>
      <c r="D38" s="15" t="inlineStr">
        <is>
          <t>Sí</t>
        </is>
      </c>
      <c r="E38" s="13" t="n"/>
      <c r="F38" s="13" t="n"/>
      <c r="G38" s="13" t="n"/>
      <c r="H38" s="13" t="n"/>
      <c r="I38" s="13" t="n"/>
      <c r="J38" s="13" t="n"/>
      <c r="K38" s="13" t="n"/>
      <c r="L38" s="14" t="n"/>
    </row>
    <row r="39" ht="19.5" customHeight="1" s="17">
      <c r="A39" s="31" t="inlineStr">
        <is>
          <t>Urgencia de control</t>
        </is>
      </c>
      <c r="B39" s="13" t="n"/>
      <c r="C39" s="14" t="n"/>
      <c r="D39" s="15" t="inlineStr">
        <is>
          <t>Media</t>
        </is>
      </c>
      <c r="E39" s="13" t="n"/>
      <c r="F39" s="13" t="n"/>
      <c r="G39" s="13" t="n"/>
      <c r="H39" s="13" t="n"/>
      <c r="I39" s="13" t="n"/>
      <c r="J39" s="13" t="n"/>
      <c r="K39" s="13" t="n"/>
      <c r="L39" s="14" t="n"/>
    </row>
    <row r="41" ht="21.75" customHeight="1" s="17">
      <c r="A41" s="19" t="inlineStr">
        <is>
          <t>OBSERVACIONES</t>
        </is>
      </c>
    </row>
    <row r="42" ht="27.75" customHeight="1" s="17">
      <c r="A42" s="35" t="inlineStr">
        <is>
          <t>Registro RÁPIDO y NO EXHAUSTIVO de tres rasgos representativos observados desde el perímetro. Longitud, profundidad y ancho NO fueron medidos instrumentalmente; el N° total (3) es el de rasgos registrados, no el inventario completo del bloque, y no debe usarse para calcular densidad de cárcavas por hectárea. R-03 corresponde al cauce que delimita el flanco SE del bloque y es el mismo rasgo documentado en el Informe DT del Bloque 50 (socavamiento activo de márgenes, raíces expuestas y arrastre de bloques). La erosión efectiva se concentra en tres franjas lineales: huella de rodadura de la trocha, sendas de ganado en el pastizal y márgenes de la quebrada; la matriz de matorral denso no presenta erosión areal apreciable.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5" t="n"/>
    </row>
    <row r="43" ht="27.75" customHeight="1" s="17">
      <c r="A43" s="26" t="n"/>
      <c r="L43" s="27" t="n"/>
    </row>
    <row r="44" ht="27.75" customHeight="1" s="17">
      <c r="A44" s="28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30" t="n"/>
    </row>
  </sheetData>
  <mergeCells count="53">
    <mergeCell ref="D11:F11"/>
    <mergeCell ref="G10:I10"/>
    <mergeCell ref="A7:L7"/>
    <mergeCell ref="A41:L41"/>
    <mergeCell ref="A37:C37"/>
    <mergeCell ref="J36:L36"/>
    <mergeCell ref="D17:L17"/>
    <mergeCell ref="J35:L35"/>
    <mergeCell ref="A3:L3"/>
    <mergeCell ref="D16:L16"/>
    <mergeCell ref="J11:L11"/>
    <mergeCell ref="A2:L2"/>
    <mergeCell ref="A33:L33"/>
    <mergeCell ref="D37:L37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4:L4"/>
    <mergeCell ref="A10:C10"/>
    <mergeCell ref="A20:L20"/>
    <mergeCell ref="D15:L15"/>
    <mergeCell ref="A19:L19"/>
    <mergeCell ref="D38:L38"/>
    <mergeCell ref="D14:L14"/>
    <mergeCell ref="A13:L13"/>
    <mergeCell ref="A9:C9"/>
    <mergeCell ref="G9:I9"/>
    <mergeCell ref="J8:L8"/>
    <mergeCell ref="D35:F35"/>
    <mergeCell ref="A39:C39"/>
    <mergeCell ref="A34:C34"/>
    <mergeCell ref="A15:C15"/>
    <mergeCell ref="D10:F10"/>
    <mergeCell ref="G11:I11"/>
    <mergeCell ref="A36:C36"/>
    <mergeCell ref="A11:C11"/>
    <mergeCell ref="D34:L34"/>
    <mergeCell ref="J10:L10"/>
    <mergeCell ref="G36:I36"/>
    <mergeCell ref="A1:L1"/>
    <mergeCell ref="G8:I8"/>
    <mergeCell ref="D36:F36"/>
    <mergeCell ref="A6:L6"/>
    <mergeCell ref="J9:L9"/>
    <mergeCell ref="A16:C16"/>
  </mergeCells>
  <dataValidations count="12">
    <dataValidation sqref="D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D14" showDropDown="0" showInputMessage="0" showErrorMessage="0" allowBlank="1" errorTitle="Valor no válido" error="Seleccione un valor de la lista desplegable." promptTitle="Sellamiento / Costra superfici" prompt="Elija una opción de la lista." type="list">
      <formula1>lst_SiNo</formula1>
      <formula2>0</formula2>
    </dataValidation>
    <dataValidation sqref="D15" showDropDown="0" showInputMessage="0" showErrorMessage="0" allowBlank="1" errorTitle="Valor no válido" error="Seleccione un valor de la lista desplegable." promptTitle="¿Compactación por pisoteo de g" prompt="Elija una opción de la lista." type="list">
      <formula1>lst_SiNo</formula1>
      <formula2>0</formula2>
    </dataValidation>
    <dataValidation sqref="D16" showDropDown="0" showInputMessage="0" showErrorMessage="0" allowBlank="1" errorTitle="Valor no válido" error="Seleccione un valor de la lista desplegable." promptTitle="¿Raíces expuestas en superfici" prompt="Elija una opción de la lista." type="list">
      <formula1>lst_SiNo</formula1>
      <formula2>0</formula2>
    </dataValidation>
    <dataValidation sqref="D17" showDropDown="0" showInputMessage="0" showErrorMessage="0" allowBlank="1" errorTitle="Valor no válido" error="Seleccione un valor de la lista desplegable." promptTitle="Nivel general de erosión obser" prompt="Elija una opción de la lista." type="list">
      <formula1>lst_NivelErosion</formula1>
      <formula2>0</formula2>
    </dataValidation>
    <dataValidation sqref="B22:B31" showDropDown="0" showInputMessage="0" showErrorMessage="0" allowBlank="1" errorTitle="Valor no válido" error="Seleccione un valor de la lista desplegable." promptTitle="Tipo de cárcava" prompt="Elija una opción de la lista." type="list">
      <formula1>lst_TipoCarcava</formula1>
      <formula2>0</formula2>
    </dataValidation>
    <dataValidation sqref="J22:J31" showDropDown="0" showInputMessage="0" showErrorMessage="0" allowBlank="1" errorTitle="Valor no válido" error="Seleccione un valor de la lista desplegable." promptTitle="Estado / Actividad" prompt="Elija una opción de la lista." type="list">
      <formula1>lst_EstadoCarcava</formula1>
      <formula2>0</formula2>
    </dataValidation>
    <dataValidation sqref="K22:K31" showDropDown="0" showInputMessage="0" showErrorMessage="0" allowBlank="1" errorTitle="Valor no válido" error="Seleccione un valor de la lista desplegable." promptTitle="Causa principal" prompt="Elija una opción de la lista." type="list">
      <formula1>lst_CausaCarcava</formula1>
      <formula2>0</formula2>
    </dataValidation>
    <dataValidation sqref="D34" showDropDown="0" showInputMessage="0" showErrorMessage="0" allowBlank="1" errorTitle="Valor no válido" error="Seleccione un valor de la lista desplegable." promptTitle="Nivel general de erosión (sínt" prompt="Elija una opción de la lista." type="list">
      <formula1>lst_NivelErosion</formula1>
      <formula2>0</formula2>
    </dataValidation>
    <dataValidation sqref="D37" showDropDown="0" showInputMessage="0" showErrorMessage="0" allowBlank="1" errorTitle="Valor no válido" error="Seleccione un valor de la lista desplegable." promptTitle="Patrón de cárcavas dominante" prompt="Elija una opción de la lista." type="list">
      <formula1>lst_PatronCarcavas</formula1>
      <formula2>0</formula2>
    </dataValidation>
    <dataValidation sqref="D38" showDropDown="0" showInputMessage="0" showErrorMessage="0" allowBlank="1" errorTitle="Valor no válido" error="Seleccione un valor de la lista desplegable." promptTitle="Presencia de socavamiento de c" prompt="Elija una opción de la lista." type="list">
      <formula1>lst_SiNo</formula1>
      <formula2>0</formula2>
    </dataValidation>
    <dataValidation sqref="D39" showDropDown="0" showInputMessage="0" showErrorMessage="0" allowBlank="1" errorTitle="Valor no válido" error="Seleccione un valor de la lista desplegable." promptTitle="Urgencia de control" prompt="Elija una opción de la lista." type="list">
      <formula1>lst_Urgencia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zoomScaleNormal="100" workbookViewId="0">
      <pane ySplit="6" topLeftCell="A7" activePane="bottomLeft" state="frozen"/>
      <selection pane="bottomLeft" activeCell="A1" sqref="A1:I1"/>
    </sheetView>
  </sheetViews>
  <sheetFormatPr baseColWidth="10" defaultColWidth="8.6640625" defaultRowHeight="14.4"/>
  <cols>
    <col width="8" customWidth="1" style="17" min="1" max="1"/>
    <col width="26" customWidth="1" style="17" min="2" max="2"/>
    <col width="24" customWidth="1" style="17" min="3" max="3"/>
    <col width="18" customWidth="1" style="17" min="4" max="4"/>
    <col width="22" customWidth="1" style="17" min="5" max="5"/>
    <col width="14" customWidth="1" style="17" min="6" max="6"/>
    <col width="17" customWidth="1" style="17" min="7" max="7"/>
    <col width="13" customWidth="1" style="17" min="8" max="8"/>
    <col width="12" customWidth="1" style="17" min="9" max="9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F-DT-03: ECOSISTEMA: COMPOSICIÓN, ESTRUCTURA Y VALOR ECOLÓGICO</t>
        </is>
      </c>
    </row>
    <row r="5" ht="27.75" customHeight="1" s="17">
      <c r="A5" s="21" t="inlineStr">
        <is>
          <t>Caracterización ecológica del bloque: tipo de ecosistema, estado de conservación, estructura vertical, composición florística rápida y registro de especies clave/indicadoras.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*</t>
        </is>
      </c>
      <c r="B8" s="14" t="n"/>
      <c r="C8" s="15" t="inlineStr">
        <is>
          <t>08-07-2026</t>
        </is>
      </c>
      <c r="D8" s="14" t="n"/>
      <c r="E8" s="31" t="inlineStr">
        <is>
          <t>Responsable *</t>
        </is>
      </c>
      <c r="F8" s="14" t="n"/>
      <c r="G8" s="15" t="inlineStr">
        <is>
          <t>Ing. Héctor Salomón Cahuas Miller</t>
        </is>
      </c>
      <c r="H8" s="13" t="n"/>
      <c r="I8" s="14" t="n"/>
    </row>
    <row r="9" ht="19.5" customHeight="1" s="17">
      <c r="A9" s="31" t="inlineStr">
        <is>
          <t>Código del Bloque *</t>
        </is>
      </c>
      <c r="B9" s="14" t="n"/>
      <c r="C9" s="15" t="inlineStr">
        <is>
          <t>38</t>
        </is>
      </c>
      <c r="D9" s="14" t="n"/>
      <c r="E9" s="31" t="inlineStr">
        <is>
          <t>Microcuenca (auto)</t>
        </is>
      </c>
      <c r="F9" s="14" t="n"/>
      <c r="G9" s="12">
        <f>IFERROR(VLOOKUP($C$9,tbl_Bloques,2,FALSE()),"")</f>
        <v/>
      </c>
      <c r="H9" s="13" t="n"/>
      <c r="I9" s="14" t="n"/>
    </row>
    <row r="10" ht="19.5" customHeight="1" s="17">
      <c r="A10" s="31" t="inlineStr">
        <is>
          <t>Distrito (auto)</t>
        </is>
      </c>
      <c r="B10" s="14" t="n"/>
      <c r="C10" s="12">
        <f>IFERROR(VLOOKUP($C$9,tbl_Bloques,4,FALSE()),"")</f>
        <v/>
      </c>
      <c r="D10" s="14" t="n"/>
      <c r="E10" s="31" t="inlineStr">
        <is>
          <t>Parcela de muestreo</t>
        </is>
      </c>
      <c r="F10" s="14" t="n"/>
      <c r="G10" s="15" t="inlineStr">
        <is>
          <t>No instalada (reconocimiento perimetral)</t>
        </is>
      </c>
      <c r="H10" s="13" t="n"/>
      <c r="I10" s="14" t="n"/>
    </row>
    <row r="11" ht="19.5" customHeight="1" s="17">
      <c r="A11" s="31" t="inlineStr">
        <is>
          <t>Dimensiones de parcela (m × m)</t>
        </is>
      </c>
      <c r="B11" s="14" t="n"/>
      <c r="C11" s="15" t="inlineStr">
        <is>
          <t>No aplica</t>
        </is>
      </c>
      <c r="D11" s="14" t="n"/>
      <c r="E11" s="31" t="inlineStr">
        <is>
          <t>Altitud (msnm)</t>
        </is>
      </c>
      <c r="F11" s="14" t="n"/>
      <c r="G11" s="15" t="inlineStr">
        <is>
          <t>1 302 – 1 533 (MDE)</t>
        </is>
      </c>
      <c r="H11" s="13" t="n"/>
      <c r="I11" s="14" t="n"/>
    </row>
    <row r="12" ht="19.5" customHeight="1" s="17">
      <c r="A12" s="31" t="inlineStr">
        <is>
          <t>Pendiente promedio de la parcela (%)</t>
        </is>
      </c>
      <c r="B12" s="14" t="n"/>
      <c r="C12" s="15" t="n">
        <v>24.25</v>
      </c>
      <c r="D12" s="14" t="n"/>
      <c r="E12" s="31" t="inlineStr">
        <is>
          <t>Cobertura vegetal total estimada (%) *</t>
        </is>
      </c>
      <c r="F12" s="14" t="n"/>
      <c r="G12" s="15" t="n">
        <v>90</v>
      </c>
      <c r="H12" s="13" t="n"/>
      <c r="I12" s="14" t="n"/>
    </row>
    <row r="13" ht="19.5" customHeight="1" s="17">
      <c r="A13" s="31" t="inlineStr">
        <is>
          <t>UTM ESTE esquina inferior *</t>
        </is>
      </c>
      <c r="B13" s="14" t="n"/>
      <c r="C13" s="15" t="n">
        <v>647123</v>
      </c>
      <c r="D13" s="14" t="n"/>
      <c r="E13" s="31" t="inlineStr">
        <is>
          <t>UTM NORTE esquina inferior *</t>
        </is>
      </c>
      <c r="F13" s="14" t="n"/>
      <c r="G13" s="15" t="n">
        <v>9427602</v>
      </c>
      <c r="H13" s="13" t="n"/>
      <c r="I13" s="14" t="n"/>
    </row>
    <row r="15" ht="21.75" customHeight="1" s="17">
      <c r="A15" s="19" t="inlineStr">
        <is>
          <t>2. CLASIFICACIÓN DEL ECOSISTEMA (UP)</t>
        </is>
      </c>
    </row>
    <row r="16" ht="19.5" customHeight="1" s="17">
      <c r="A16" s="31" t="inlineStr">
        <is>
          <t>Tipo de ecosistema MINAM (dominante) *</t>
        </is>
      </c>
      <c r="B16" s="14" t="n"/>
      <c r="C16" s="15" t="inlineStr">
        <is>
          <t>Agroecosistema / Mosaico</t>
        </is>
      </c>
      <c r="D16" s="13" t="n"/>
      <c r="E16" s="13" t="n"/>
      <c r="F16" s="13" t="n"/>
      <c r="G16" s="13" t="n"/>
      <c r="H16" s="13" t="n"/>
      <c r="I16" s="14" t="n"/>
    </row>
    <row r="17" ht="19.5" customHeight="1" s="17">
      <c r="A17" s="31" t="inlineStr">
        <is>
          <t>Superficie del ecosistema en el bloque (ha)</t>
        </is>
      </c>
      <c r="B17" s="14" t="n"/>
      <c r="C17" s="15" t="inlineStr">
        <is>
          <t>44,20 ha totales — Zona agrícola 39,69 ha (89,8 %); Bes-cm 3,89 ha (8,8 %); Matorral andino 0,62 ha (1,4 %)</t>
        </is>
      </c>
      <c r="D17" s="13" t="n"/>
      <c r="E17" s="13" t="n"/>
      <c r="F17" s="13" t="n"/>
      <c r="G17" s="13" t="n"/>
      <c r="H17" s="13" t="n"/>
      <c r="I17" s="14" t="n"/>
    </row>
    <row r="18" ht="19.5" customHeight="1" s="17">
      <c r="A18" s="31" t="inlineStr">
        <is>
          <t>Estado de conservación general *</t>
        </is>
      </c>
      <c r="B18" s="14" t="n"/>
      <c r="C18" s="15" t="inlineStr">
        <is>
          <t>Alterado (intervención marcada)</t>
        </is>
      </c>
      <c r="D18" s="13" t="n"/>
      <c r="E18" s="13" t="n"/>
      <c r="F18" s="13" t="n"/>
      <c r="G18" s="13" t="n"/>
      <c r="H18" s="13" t="n"/>
      <c r="I18" s="14" t="n"/>
    </row>
    <row r="19" ht="19.5" customHeight="1" s="17">
      <c r="A19" s="31" t="inlineStr">
        <is>
          <t>Uso actual dominante del suelo *</t>
        </is>
      </c>
      <c r="B19" s="14" t="n"/>
      <c r="C19" s="15" t="inlineStr">
        <is>
          <t>Uso mixto</t>
        </is>
      </c>
      <c r="D19" s="13" t="n"/>
      <c r="E19" s="13" t="n"/>
      <c r="F19" s="13" t="n"/>
      <c r="G19" s="13" t="n"/>
      <c r="H19" s="13" t="n"/>
      <c r="I19" s="14" t="n"/>
    </row>
    <row r="21" ht="21.75" customHeight="1" s="17">
      <c r="A21" s="19" t="inlineStr">
        <is>
          <t>3. ESTRUCTURA DEL ECOSISTEMA</t>
        </is>
      </c>
    </row>
    <row r="22" ht="19.5" customHeight="1" s="17">
      <c r="A22" s="31" t="inlineStr">
        <is>
          <t>Cobertura del dosel arbóreo (%)</t>
        </is>
      </c>
      <c r="B22" s="14" t="n"/>
      <c r="C22" s="15" t="n">
        <v>25</v>
      </c>
      <c r="D22" s="14" t="n"/>
      <c r="E22" s="31" t="inlineStr">
        <is>
          <t>Cobertura arbustiva (%)</t>
        </is>
      </c>
      <c r="F22" s="14" t="n"/>
      <c r="G22" s="15" t="n">
        <v>35</v>
      </c>
      <c r="H22" s="13" t="n"/>
      <c r="I22" s="14" t="n"/>
    </row>
    <row r="23" ht="19.5" customHeight="1" s="17">
      <c r="A23" s="31" t="inlineStr">
        <is>
          <t>Cobertura herbácea-graminoide (%)</t>
        </is>
      </c>
      <c r="B23" s="14" t="n"/>
      <c r="C23" s="15" t="n">
        <v>45</v>
      </c>
      <c r="D23" s="14" t="n"/>
      <c r="E23" s="31" t="inlineStr">
        <is>
          <t>Cobertura de hojarasca (%)</t>
        </is>
      </c>
      <c r="F23" s="14" t="n"/>
      <c r="G23" s="15" t="inlineStr">
        <is>
          <t>Por determinar</t>
        </is>
      </c>
      <c r="H23" s="13" t="n"/>
      <c r="I23" s="14" t="n"/>
    </row>
    <row r="24" ht="19.5" customHeight="1" s="17">
      <c r="A24" s="31" t="inlineStr">
        <is>
          <t>Cobertura de suelo desnudo (%)</t>
        </is>
      </c>
      <c r="B24" s="14" t="n"/>
      <c r="C24" s="15" t="n">
        <v>8</v>
      </c>
      <c r="D24" s="14" t="n"/>
      <c r="E24" s="31" t="inlineStr">
        <is>
          <t>Altura promedio estrato dominante (m)</t>
        </is>
      </c>
      <c r="F24" s="14" t="n"/>
      <c r="G24" s="15" t="inlineStr">
        <is>
          <t>Por determinar</t>
        </is>
      </c>
      <c r="H24" s="13" t="n"/>
      <c r="I24" s="14" t="n"/>
    </row>
    <row r="25" ht="19.5" customHeight="1" s="17">
      <c r="A25" s="31" t="inlineStr">
        <is>
          <t>Altura máxima observada (m)</t>
        </is>
      </c>
      <c r="B25" s="14" t="n"/>
      <c r="C25" s="15" t="inlineStr">
        <is>
          <t>Por determinar</t>
        </is>
      </c>
      <c r="D25" s="14" t="n"/>
      <c r="E25" s="31" t="inlineStr">
        <is>
          <t>DAP promedio árboles DAP≥10 cm (cm)</t>
        </is>
      </c>
      <c r="F25" s="14" t="n"/>
      <c r="G25" s="15" t="inlineStr">
        <is>
          <t>Por determinar</t>
        </is>
      </c>
      <c r="H25" s="13" t="n"/>
      <c r="I25" s="14" t="n"/>
    </row>
    <row r="26" ht="19.5" customHeight="1" s="17">
      <c r="A26" s="31" t="inlineStr">
        <is>
          <t>Regeneración natural observada *</t>
        </is>
      </c>
      <c r="B26" s="14" t="n"/>
      <c r="C26" s="15" t="inlineStr">
        <is>
          <t>Regular (10-50 pl./100m²)</t>
        </is>
      </c>
      <c r="D26" s="13" t="n"/>
      <c r="E26" s="13" t="n"/>
      <c r="F26" s="13" t="n"/>
      <c r="G26" s="13" t="n"/>
      <c r="H26" s="13" t="n"/>
      <c r="I26" s="14" t="n"/>
    </row>
    <row r="27" ht="19.5" customHeight="1" s="17">
      <c r="A27" s="31" t="inlineStr">
        <is>
          <t>Estado sanitario general del dosel *</t>
        </is>
      </c>
      <c r="B27" s="14" t="n"/>
      <c r="C27" s="15" t="inlineStr">
        <is>
          <t>Sano</t>
        </is>
      </c>
      <c r="D27" s="13" t="n"/>
      <c r="E27" s="13" t="n"/>
      <c r="F27" s="13" t="n"/>
      <c r="G27" s="13" t="n"/>
      <c r="H27" s="13" t="n"/>
      <c r="I27" s="14" t="n"/>
    </row>
    <row r="28" ht="19.5" customHeight="1" s="17">
      <c r="A28" s="31" t="inlineStr">
        <is>
          <t>Presencia de epífitas (cualitativa)</t>
        </is>
      </c>
      <c r="B28" s="14" t="n"/>
      <c r="C28" s="15" t="inlineStr">
        <is>
          <t>Sí</t>
        </is>
      </c>
      <c r="D28" s="13" t="n"/>
      <c r="E28" s="13" t="n"/>
      <c r="F28" s="13" t="n"/>
      <c r="G28" s="13" t="n"/>
      <c r="H28" s="13" t="n"/>
      <c r="I28" s="14" t="n"/>
    </row>
    <row r="29" ht="19.5" customHeight="1" s="17">
      <c r="A29" s="31" t="inlineStr">
        <is>
          <t>Fenología dominante (época de visita)</t>
        </is>
      </c>
      <c r="B29" s="14" t="n"/>
      <c r="C29" s="15" t="inlineStr">
        <is>
          <t>Vegetativo</t>
        </is>
      </c>
      <c r="D29" s="13" t="n"/>
      <c r="E29" s="13" t="n"/>
      <c r="F29" s="13" t="n"/>
      <c r="G29" s="13" t="n"/>
      <c r="H29" s="13" t="n"/>
      <c r="I29" s="14" t="n"/>
    </row>
    <row r="30" ht="19.5" customHeight="1" s="17">
      <c r="A30" s="31" t="inlineStr">
        <is>
          <t>Tipo de cobertura vegetal dominante *</t>
        </is>
      </c>
      <c r="B30" s="14" t="n"/>
      <c r="C30" s="15" t="inlineStr">
        <is>
          <t>Mixto / Mosaico</t>
        </is>
      </c>
      <c r="D30" s="13" t="n"/>
      <c r="E30" s="13" t="n"/>
      <c r="F30" s="13" t="n"/>
      <c r="G30" s="13" t="n"/>
      <c r="H30" s="13" t="n"/>
      <c r="I30" s="14" t="n"/>
    </row>
    <row r="32" ht="21.75" customHeight="1" s="17">
      <c r="A32" s="19" t="inlineStr">
        <is>
          <t>4. COMPOSICIÓN FLORÍSTICA — Registro rápido por estrato (mín. 15 especies)</t>
        </is>
      </c>
    </row>
    <row r="33" ht="43.5" customHeight="1" s="17">
      <c r="A33" s="32" t="inlineStr">
        <is>
      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      </is>
      </c>
      <c r="B33" s="13" t="n"/>
      <c r="C33" s="13" t="n"/>
      <c r="D33" s="13" t="n"/>
      <c r="E33" s="13" t="n"/>
      <c r="F33" s="13" t="n"/>
      <c r="G33" s="13" t="n"/>
      <c r="H33" s="13" t="n"/>
      <c r="I33" s="14" t="n"/>
    </row>
    <row r="34" ht="31.5" customHeight="1" s="17">
      <c r="A34" s="2" t="inlineStr">
        <is>
          <t>N°</t>
        </is>
      </c>
      <c r="B34" s="2" t="inlineStr">
        <is>
          <t>Nombre común/local</t>
        </is>
      </c>
      <c r="C34" s="2" t="inlineStr">
        <is>
          <t>Nombre científico
(preliminar)</t>
        </is>
      </c>
      <c r="D34" s="2" t="inlineStr">
        <is>
          <t>Familia</t>
        </is>
      </c>
      <c r="E34" s="2" t="inlineStr">
        <is>
          <t>Estrato</t>
        </is>
      </c>
      <c r="F34" s="2" t="inlineStr">
        <is>
          <t>Origen</t>
        </is>
      </c>
      <c r="G34" s="2" t="inlineStr">
        <is>
          <t>Abundancia</t>
        </is>
      </c>
      <c r="H34" s="2" t="inlineStr">
        <is>
          <t>DAP (cm)
[árboles]</t>
        </is>
      </c>
      <c r="I34" s="2" t="inlineStr">
        <is>
          <t>Altura (m)</t>
        </is>
      </c>
    </row>
    <row r="35" ht="18" customHeight="1" s="17">
      <c r="A35" s="5" t="n">
        <v>1</v>
      </c>
      <c r="B35" s="4" t="inlineStr">
        <is>
          <t>Higuerón</t>
        </is>
      </c>
      <c r="C35" s="4" t="inlineStr">
        <is>
          <t>Ficus sp.</t>
        </is>
      </c>
      <c r="D35" s="4" t="inlineStr">
        <is>
          <t>Moraceae</t>
        </is>
      </c>
      <c r="E35" s="3" t="inlineStr">
        <is>
          <t>Arbóreo superior (&gt;15 m)</t>
        </is>
      </c>
      <c r="F35" s="3" t="inlineStr">
        <is>
          <t>Nativa</t>
        </is>
      </c>
      <c r="G35" s="3" t="inlineStr">
        <is>
          <t>Rara (&lt;1%)</t>
        </is>
      </c>
      <c r="H35" s="3" t="n"/>
      <c r="I35" s="3" t="n"/>
    </row>
    <row r="36" ht="18" customHeight="1" s="17">
      <c r="A36" s="5" t="n">
        <v>2</v>
      </c>
      <c r="B36" s="4" t="inlineStr">
        <is>
          <t>Pacae</t>
        </is>
      </c>
      <c r="C36" s="4" t="inlineStr">
        <is>
          <t>Inga sp.</t>
        </is>
      </c>
      <c r="D36" s="4" t="inlineStr">
        <is>
          <t>Fabaceae</t>
        </is>
      </c>
      <c r="E36" s="3" t="inlineStr">
        <is>
          <t>Arbóreo medio (8-15 m)</t>
        </is>
      </c>
      <c r="F36" s="3" t="inlineStr">
        <is>
          <t>Nativa</t>
        </is>
      </c>
      <c r="G36" s="3" t="inlineStr">
        <is>
          <t>Ocasional (1-5%)</t>
        </is>
      </c>
      <c r="H36" s="3" t="n"/>
      <c r="I36" s="3" t="n"/>
    </row>
    <row r="37" ht="18" customHeight="1" s="17">
      <c r="A37" s="5" t="n">
        <v>3</v>
      </c>
      <c r="B37" s="4" t="inlineStr">
        <is>
          <t>Bambú / caña</t>
        </is>
      </c>
      <c r="C37" s="4" t="inlineStr">
        <is>
          <t>Guadua sp. (por confirmar)</t>
        </is>
      </c>
      <c r="D37" s="4" t="inlineStr">
        <is>
          <t>Poaceae</t>
        </is>
      </c>
      <c r="E37" s="3" t="inlineStr">
        <is>
          <t>Arbóreo bajo (4-8 m)</t>
        </is>
      </c>
      <c r="F37" s="3" t="inlineStr">
        <is>
          <t>Nativa</t>
        </is>
      </c>
      <c r="G37" s="3" t="inlineStr">
        <is>
          <t>Ocasional (1-5%)</t>
        </is>
      </c>
      <c r="H37" s="3" t="n"/>
      <c r="I37" s="3" t="n"/>
    </row>
    <row r="38" ht="18" customHeight="1" s="17">
      <c r="A38" s="5" t="n">
        <v>4</v>
      </c>
      <c r="B38" s="4" t="inlineStr">
        <is>
          <t>Pasifloras</t>
        </is>
      </c>
      <c r="C38" s="4" t="inlineStr">
        <is>
          <t>Passiflora sp.</t>
        </is>
      </c>
      <c r="D38" s="4" t="inlineStr">
        <is>
          <t>Passifloraceae</t>
        </is>
      </c>
      <c r="E38" s="3" t="inlineStr">
        <is>
          <t>Trepador</t>
        </is>
      </c>
      <c r="F38" s="3" t="inlineStr">
        <is>
          <t>Nativa</t>
        </is>
      </c>
      <c r="G38" s="3" t="inlineStr">
        <is>
          <t>Ocasional (1-5%)</t>
        </is>
      </c>
      <c r="H38" s="3" t="n"/>
      <c r="I38" s="3" t="n"/>
    </row>
    <row r="39" ht="18" customHeight="1" s="17">
      <c r="A39" s="5" t="n">
        <v>5</v>
      </c>
      <c r="B39" s="4" t="inlineStr">
        <is>
          <t>Melastomatáceas</t>
        </is>
      </c>
      <c r="C39" s="4" t="inlineStr">
        <is>
          <t>Melastomataceae (indet.)</t>
        </is>
      </c>
      <c r="D39" s="4" t="inlineStr">
        <is>
          <t>Melastomataceae</t>
        </is>
      </c>
      <c r="E39" s="3" t="inlineStr">
        <is>
          <t>Arbustivo alto (1.5-4 m)</t>
        </is>
      </c>
      <c r="F39" s="3" t="inlineStr">
        <is>
          <t>Nativa</t>
        </is>
      </c>
      <c r="G39" s="3" t="inlineStr">
        <is>
          <t>Frecuente (5-20%)</t>
        </is>
      </c>
      <c r="H39" s="3" t="n"/>
      <c r="I39" s="3" t="n"/>
    </row>
    <row r="40" ht="18" customHeight="1" s="17">
      <c r="A40" s="5" t="n">
        <v>6</v>
      </c>
      <c r="B40" s="4" t="inlineStr">
        <is>
          <t>Grevilea</t>
        </is>
      </c>
      <c r="C40" s="4" t="inlineStr">
        <is>
          <t>Grevillea robusta</t>
        </is>
      </c>
      <c r="D40" s="4" t="inlineStr">
        <is>
          <t>Proteaceae</t>
        </is>
      </c>
      <c r="E40" s="3" t="inlineStr">
        <is>
          <t>Arbóreo superior (&gt;15 m)</t>
        </is>
      </c>
      <c r="F40" s="3" t="inlineStr">
        <is>
          <t>Introducida</t>
        </is>
      </c>
      <c r="G40" s="3" t="inlineStr">
        <is>
          <t>Ocasional (1-5%)</t>
        </is>
      </c>
      <c r="H40" s="3" t="n"/>
      <c r="I40" s="3" t="n"/>
    </row>
    <row r="41" ht="18" customHeight="1" s="17">
      <c r="A41" s="5" t="n">
        <v>7</v>
      </c>
      <c r="B41" s="4" t="inlineStr">
        <is>
          <t>Bromeliáceas</t>
        </is>
      </c>
      <c r="C41" s="4" t="inlineStr">
        <is>
          <t>Bromeliaceae (indet.)</t>
        </is>
      </c>
      <c r="D41" s="4" t="inlineStr">
        <is>
          <t>Bromeliaceae</t>
        </is>
      </c>
      <c r="E41" s="3" t="inlineStr">
        <is>
          <t>Epífito</t>
        </is>
      </c>
      <c r="F41" s="3" t="inlineStr">
        <is>
          <t>Nativa</t>
        </is>
      </c>
      <c r="G41" s="3" t="inlineStr">
        <is>
          <t>Ocasional (1-5%)</t>
        </is>
      </c>
      <c r="H41" s="3" t="n"/>
      <c r="I41" s="3" t="n"/>
    </row>
    <row r="42" ht="18" customHeight="1" s="17">
      <c r="A42" s="5" t="n">
        <v>8</v>
      </c>
      <c r="B42" s="4" t="inlineStr">
        <is>
          <t>Agave / penca</t>
        </is>
      </c>
      <c r="C42" s="4" t="inlineStr">
        <is>
          <t>Agave americana</t>
        </is>
      </c>
      <c r="D42" s="4" t="inlineStr">
        <is>
          <t>Asparagaceae</t>
        </is>
      </c>
      <c r="E42" s="3" t="inlineStr">
        <is>
          <t>Arbustivo alto (1.5-4 m)</t>
        </is>
      </c>
      <c r="F42" s="3" t="inlineStr">
        <is>
          <t>Introducida</t>
        </is>
      </c>
      <c r="G42" s="3" t="inlineStr">
        <is>
          <t>Rara (&lt;1%)</t>
        </is>
      </c>
      <c r="H42" s="3" t="n"/>
      <c r="I42" s="3" t="n"/>
    </row>
    <row r="43" ht="18" customHeight="1" s="17">
      <c r="A43" s="5" t="n">
        <v>9</v>
      </c>
      <c r="B43" s="4" t="inlineStr">
        <is>
          <t>Helechos</t>
        </is>
      </c>
      <c r="C43" s="4" t="inlineStr">
        <is>
          <t>Pteridophyta (indet.)</t>
        </is>
      </c>
      <c r="D43" s="4" t="inlineStr">
        <is>
          <t>Varias</t>
        </is>
      </c>
      <c r="E43" s="3" t="inlineStr">
        <is>
          <t>Herbáceo (&lt;0.5 m)</t>
        </is>
      </c>
      <c r="F43" s="3" t="inlineStr">
        <is>
          <t>Nativa</t>
        </is>
      </c>
      <c r="G43" s="3" t="inlineStr">
        <is>
          <t>Frecuente (5-20%)</t>
        </is>
      </c>
      <c r="H43" s="3" t="n"/>
      <c r="I43" s="3" t="n"/>
    </row>
    <row r="44" ht="18" customHeight="1" s="17">
      <c r="A44" s="5" t="n">
        <v>10</v>
      </c>
      <c r="B44" s="4" t="inlineStr">
        <is>
          <t>Malváceas</t>
        </is>
      </c>
      <c r="C44" s="4" t="inlineStr">
        <is>
          <t>Malvaceae (indet.)</t>
        </is>
      </c>
      <c r="D44" s="4" t="inlineStr">
        <is>
          <t>Malvaceae</t>
        </is>
      </c>
      <c r="E44" s="3" t="inlineStr">
        <is>
          <t>Arbustivo bajo (0.5-1.5 m)</t>
        </is>
      </c>
      <c r="F44" s="3" t="inlineStr">
        <is>
          <t>Nativa</t>
        </is>
      </c>
      <c r="G44" s="3" t="inlineStr">
        <is>
          <t>Ocasional (1-5%)</t>
        </is>
      </c>
      <c r="H44" s="3" t="n"/>
      <c r="I44" s="3" t="n"/>
    </row>
    <row r="45" ht="18" customHeight="1" s="17">
      <c r="A45" s="5" t="n">
        <v>11</v>
      </c>
      <c r="B45" s="4" t="inlineStr">
        <is>
          <t>Urticáceas (ortiga)</t>
        </is>
      </c>
      <c r="C45" s="4" t="inlineStr">
        <is>
          <t>Urticaceae (indet.)</t>
        </is>
      </c>
      <c r="D45" s="4" t="inlineStr">
        <is>
          <t>Urticaceae</t>
        </is>
      </c>
      <c r="E45" s="3" t="inlineStr">
        <is>
          <t>Arbustivo bajo (0.5-1.5 m)</t>
        </is>
      </c>
      <c r="F45" s="3" t="inlineStr">
        <is>
          <t>Nativa</t>
        </is>
      </c>
      <c r="G45" s="3" t="inlineStr">
        <is>
          <t>Ocasional (1-5%)</t>
        </is>
      </c>
      <c r="H45" s="3" t="n"/>
      <c r="I45" s="3" t="n"/>
    </row>
    <row r="46" ht="18" customHeight="1" s="17">
      <c r="A46" s="5" t="n">
        <v>12</v>
      </c>
      <c r="B46" s="4" t="inlineStr">
        <is>
          <t>Higuerilla</t>
        </is>
      </c>
      <c r="C46" s="4" t="inlineStr">
        <is>
          <t>Ricinus communis</t>
        </is>
      </c>
      <c r="D46" s="4" t="inlineStr">
        <is>
          <t>Euphorbiaceae</t>
        </is>
      </c>
      <c r="E46" s="3" t="inlineStr">
        <is>
          <t>Arbustivo alto (1.5-4 m)</t>
        </is>
      </c>
      <c r="F46" s="3" t="inlineStr">
        <is>
          <t>Introducida</t>
        </is>
      </c>
      <c r="G46" s="3" t="inlineStr">
        <is>
          <t>Rara (&lt;1%)</t>
        </is>
      </c>
      <c r="H46" s="3" t="n"/>
      <c r="I46" s="3" t="n"/>
    </row>
    <row r="47" ht="18" customHeight="1" s="17">
      <c r="A47" s="5" t="n">
        <v>13</v>
      </c>
      <c r="B47" s="4" t="inlineStr">
        <is>
          <t>Pastos cultivados</t>
        </is>
      </c>
      <c r="C47" s="4" t="inlineStr">
        <is>
          <t>Poaceae (indet.)</t>
        </is>
      </c>
      <c r="D47" s="4" t="inlineStr">
        <is>
          <t>Poaceae</t>
        </is>
      </c>
      <c r="E47" s="3" t="inlineStr">
        <is>
          <t>Herbáceo (&lt;0.5 m)</t>
        </is>
      </c>
      <c r="F47" s="3" t="inlineStr">
        <is>
          <t>Introducida</t>
        </is>
      </c>
      <c r="G47" s="3" t="inlineStr">
        <is>
          <t>Dominante (&gt;40%)</t>
        </is>
      </c>
      <c r="H47" s="3" t="n"/>
      <c r="I47" s="3" t="n"/>
    </row>
    <row r="48" ht="18" customHeight="1" s="17">
      <c r="A48" s="5" t="n">
        <v>14</v>
      </c>
      <c r="B48" s="4" t="inlineStr">
        <is>
          <t>Café</t>
        </is>
      </c>
      <c r="C48" s="4" t="inlineStr">
        <is>
          <t>Coffea arabica</t>
        </is>
      </c>
      <c r="D48" s="4" t="inlineStr">
        <is>
          <t>Rubiaceae</t>
        </is>
      </c>
      <c r="E48" s="3" t="inlineStr">
        <is>
          <t>Arbustivo alto (1.5-4 m)</t>
        </is>
      </c>
      <c r="F48" s="3" t="inlineStr">
        <is>
          <t>Introducida</t>
        </is>
      </c>
      <c r="G48" s="3" t="inlineStr">
        <is>
          <t>Frecuente (5-20%)</t>
        </is>
      </c>
      <c r="H48" s="3" t="n"/>
      <c r="I48" s="3" t="n"/>
    </row>
    <row r="49" ht="18" customHeight="1" s="17">
      <c r="A49" s="5" t="n">
        <v>15</v>
      </c>
      <c r="B49" s="4" t="inlineStr">
        <is>
          <t>Plátano</t>
        </is>
      </c>
      <c r="C49" s="4" t="inlineStr">
        <is>
          <t>Musa × paradisiaca</t>
        </is>
      </c>
      <c r="D49" s="4" t="inlineStr">
        <is>
          <t>Musaceae</t>
        </is>
      </c>
      <c r="E49" s="3" t="inlineStr">
        <is>
          <t>Arbóreo bajo (4-8 m)</t>
        </is>
      </c>
      <c r="F49" s="3" t="inlineStr">
        <is>
          <t>Introducida</t>
        </is>
      </c>
      <c r="G49" s="3" t="inlineStr">
        <is>
          <t>Ocasional (1-5%)</t>
        </is>
      </c>
      <c r="H49" s="3" t="n"/>
      <c r="I49" s="3" t="n"/>
    </row>
    <row r="51" ht="21.75" customHeight="1" s="17">
      <c r="A51" s="19" t="inlineStr">
        <is>
          <t>5. ESPECIES CLAVE / INDICADORAS</t>
        </is>
      </c>
    </row>
    <row r="52" ht="30" customHeight="1" s="17">
      <c r="A52" s="2" t="inlineStr">
        <is>
          <t>N°</t>
        </is>
      </c>
      <c r="B52" s="2" t="inlineStr">
        <is>
          <t>Nombre científico o común</t>
        </is>
      </c>
      <c r="C52" s="2" t="inlineStr">
        <is>
          <t>Categoría</t>
        </is>
      </c>
      <c r="D52" s="2" t="inlineStr">
        <is>
          <t>Estado UICN / D.S. 043</t>
        </is>
      </c>
      <c r="E52" s="2" t="inlineStr">
        <is>
          <t>UTM ESTE</t>
        </is>
      </c>
      <c r="F52" s="2" t="inlineStr">
        <is>
          <t>UTM NORTE</t>
        </is>
      </c>
      <c r="G5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 </is>
      </c>
    </row>
    <row r="53" ht="18" customHeight="1" s="17">
      <c r="A53" s="5" t="n">
        <v>1</v>
      </c>
      <c r="B53" s="4" t="inlineStr">
        <is>
          <t>Bromeliaceae (indet.)</t>
        </is>
      </c>
      <c r="C53" s="4" t="inlineStr">
        <is>
          <t>Indicadora de buen estado</t>
        </is>
      </c>
      <c r="D53" s="4" t="inlineStr">
        <is>
          <t>NE — No Evaluado</t>
        </is>
      </c>
      <c r="E53" s="3" t="n"/>
      <c r="F53" s="3" t="n"/>
      <c r="G53" s="3" t="n"/>
      <c r="H53" s="3" t="n"/>
      <c r="I53" s="4" t="inlineStr">
        <is>
          <t>Epifitismo: humedad atmosférica persistente por neblina</t>
        </is>
      </c>
    </row>
    <row r="54" ht="18" customHeight="1" s="17">
      <c r="A54" s="5" t="n">
        <v>2</v>
      </c>
      <c r="B54" s="4" t="inlineStr">
        <is>
          <t>Pteridophyta (indet.)</t>
        </is>
      </c>
      <c r="C54" s="4" t="inlineStr">
        <is>
          <t>Indicadora de buen estado</t>
        </is>
      </c>
      <c r="D54" s="4" t="inlineStr">
        <is>
          <t>NE — No Evaluado</t>
        </is>
      </c>
      <c r="E54" s="3" t="n"/>
      <c r="F54" s="3" t="n"/>
      <c r="G54" s="3" t="n"/>
      <c r="H54" s="3" t="n"/>
      <c r="I54" s="4" t="inlineStr">
        <is>
          <t>Humedad edáfica y sombra de dosel</t>
        </is>
      </c>
    </row>
    <row r="55" ht="18" customHeight="1" s="17">
      <c r="A55" s="5" t="n">
        <v>3</v>
      </c>
      <c r="B55" s="4" t="inlineStr">
        <is>
          <t>Melastomataceae (indet.)</t>
        </is>
      </c>
      <c r="C55" s="4" t="inlineStr">
        <is>
          <t>Indicadora de buen estado</t>
        </is>
      </c>
      <c r="D55" s="4" t="inlineStr">
        <is>
          <t>NE — No Evaluado</t>
        </is>
      </c>
      <c r="E55" s="3" t="n"/>
      <c r="F55" s="3" t="n"/>
      <c r="G55" s="3" t="n"/>
      <c r="H55" s="3" t="n"/>
      <c r="I55" s="4" t="inlineStr">
        <is>
          <t>Familia característica de matorral andino húmedo</t>
        </is>
      </c>
    </row>
    <row r="56" ht="18" customHeight="1" s="17">
      <c r="A56" s="5" t="n">
        <v>4</v>
      </c>
      <c r="B56" s="4" t="inlineStr">
        <is>
          <t>Ficus sp. (Higuerón)</t>
        </is>
      </c>
      <c r="C56" s="4" t="inlineStr">
        <is>
          <t>Indicadora de buen estado</t>
        </is>
      </c>
      <c r="D56" s="4" t="inlineStr">
        <is>
          <t>NE — No Evaluado</t>
        </is>
      </c>
      <c r="E56" s="3" t="n"/>
      <c r="F56" s="3" t="n"/>
      <c r="G56" s="3" t="n"/>
      <c r="H56" s="3" t="n"/>
      <c r="I56" s="4" t="inlineStr">
        <is>
          <t>Emergente nativo; recurso clave de fauna</t>
        </is>
      </c>
    </row>
    <row r="57" ht="18" customHeight="1" s="17">
      <c r="A57" s="5" t="n">
        <v>5</v>
      </c>
      <c r="B57" s="4" t="inlineStr">
        <is>
          <t>Inga sp. (Pacae)</t>
        </is>
      </c>
      <c r="C57" s="4" t="inlineStr">
        <is>
          <t>Indicadora de buen estado</t>
        </is>
      </c>
      <c r="D57" s="4" t="inlineStr">
        <is>
          <t>NE — No Evaluado</t>
        </is>
      </c>
      <c r="E57" s="3" t="n"/>
      <c r="F57" s="3" t="n"/>
      <c r="G57" s="3" t="n"/>
      <c r="H57" s="3" t="n"/>
      <c r="I57" s="4" t="inlineStr">
        <is>
          <t>Nativa fijadora de N; sombra de café</t>
        </is>
      </c>
    </row>
    <row r="58" ht="18" customHeight="1" s="17">
      <c r="A58" s="5" t="n">
        <v>6</v>
      </c>
      <c r="B58" s="4" t="inlineStr">
        <is>
          <t>Guadua sp. (Bambú)</t>
        </is>
      </c>
      <c r="C58" s="4" t="inlineStr">
        <is>
          <t>Indicadora de buen estado</t>
        </is>
      </c>
      <c r="D58" s="4" t="inlineStr">
        <is>
          <t>NE — No Evaluado</t>
        </is>
      </c>
      <c r="E58" s="3" t="n"/>
      <c r="F58" s="3" t="n"/>
      <c r="G58" s="3" t="n"/>
      <c r="H58" s="3" t="n"/>
      <c r="I58" s="4" t="inlineStr">
        <is>
          <t>Asociada a quebradas; estabiliza márgenes</t>
        </is>
      </c>
    </row>
    <row r="59" ht="18" customHeight="1" s="17">
      <c r="A59" s="5" t="n">
        <v>7</v>
      </c>
      <c r="B59" s="4" t="inlineStr">
        <is>
          <t>Passiflora sp.</t>
        </is>
      </c>
      <c r="C59" s="4" t="inlineStr">
        <is>
          <t>Indicadora de buen estado</t>
        </is>
      </c>
      <c r="D59" s="4" t="inlineStr">
        <is>
          <t>NE — No Evaluado</t>
        </is>
      </c>
      <c r="E59" s="3" t="n"/>
      <c r="F59" s="3" t="n"/>
      <c r="G59" s="3" t="n"/>
      <c r="H59" s="3" t="n"/>
      <c r="I59" s="4" t="inlineStr">
        <is>
          <t>Trepador nativo del sotobosque</t>
        </is>
      </c>
    </row>
    <row r="60" ht="18" customHeight="1" s="17">
      <c r="A60" s="5" t="n">
        <v>8</v>
      </c>
      <c r="B60" s="4" t="inlineStr">
        <is>
          <t>Grevillea robusta</t>
        </is>
      </c>
      <c r="C60" s="4" t="inlineStr">
        <is>
          <t>Indicadora de perturbación</t>
        </is>
      </c>
      <c r="D60" s="4" t="inlineStr">
        <is>
          <t>No aplica</t>
        </is>
      </c>
      <c r="E60" s="3" t="n"/>
      <c r="F60" s="3" t="n"/>
      <c r="G60" s="3" t="n"/>
      <c r="H60" s="3" t="n"/>
      <c r="I60" s="4" t="inlineStr">
        <is>
          <t>Introducida; linderos y cercos</t>
        </is>
      </c>
    </row>
    <row r="61" ht="18" customHeight="1" s="17">
      <c r="A61" s="5" t="n">
        <v>9</v>
      </c>
      <c r="B61" s="4" t="inlineStr">
        <is>
          <t>Agave americana</t>
        </is>
      </c>
      <c r="C61" s="4" t="inlineStr">
        <is>
          <t>Indicadora de perturbación</t>
        </is>
      </c>
      <c r="D61" s="4" t="inlineStr">
        <is>
          <t>No aplica</t>
        </is>
      </c>
      <c r="E61" s="3" t="n"/>
      <c r="F61" s="3" t="n"/>
      <c r="G61" s="3" t="n"/>
      <c r="H61" s="3" t="n"/>
      <c r="I61" s="4" t="inlineStr">
        <is>
          <t>Introducida; cercos y taludes</t>
        </is>
      </c>
    </row>
    <row r="62" ht="18" customHeight="1" s="17">
      <c r="A62" s="5" t="n">
        <v>10</v>
      </c>
      <c r="B62" s="4" t="inlineStr">
        <is>
          <t>Ricinus communis (Higuerilla)</t>
        </is>
      </c>
      <c r="C62" s="4" t="inlineStr">
        <is>
          <t>Indicadora de perturbación</t>
        </is>
      </c>
      <c r="D62" s="4" t="inlineStr">
        <is>
          <t>No aplica</t>
        </is>
      </c>
      <c r="E62" s="3" t="n"/>
      <c r="F62" s="3" t="n"/>
      <c r="G62" s="3" t="n"/>
      <c r="H62" s="3" t="n"/>
      <c r="I62" s="4" t="inlineStr">
        <is>
          <t>Ruderal; bordes de trocha y suelo removido</t>
        </is>
      </c>
    </row>
    <row r="64" ht="21.75" customHeight="1" s="17">
      <c r="A64" s="19" t="inlineStr">
        <is>
          <t>OBSERVACIONES</t>
        </is>
      </c>
    </row>
    <row r="65" ht="27.75" customHeight="1" s="17">
      <c r="A65" s="35" t="inlineStr">
        <is>
          <t>Lista florística PRELIMINAR de reconocimiento perimetral, sin colecta ni determinación botánica formal: los nombres se consignan a nivel de género o familia y las abundancias son estimaciones oculares. NINGUNA especie con categoría de amenaza confirmada bajo el D.S. 043-2006-AG a la fecha. No se instalaron parcelas: DAP, alturas, cobertura de hojarasca y densidad de regeneración quedan por determinar; «Regular» es juicio experto sobre observación de bordes. ADVERTENCIA DE INTERPRETACIÓN: el catálogo MINAM asigna 89,8 % del bloque a «Zona agrícola», clase que en esta cartografía agrupa pastizal cultivado, sistemas agroforestales de café y plátano y purmas; el MSAVI alto (0,6725) NO debe leerse como ecosistema natural conservado. Por ello se consigna «Agroecosistema / Mosaico» como ecosistema dominante y no «Matorral andino».</t>
        </is>
      </c>
      <c r="B65" s="24" t="n"/>
      <c r="C65" s="24" t="n"/>
      <c r="D65" s="24" t="n"/>
      <c r="E65" s="24" t="n"/>
      <c r="F65" s="24" t="n"/>
      <c r="G65" s="24" t="n"/>
      <c r="H65" s="24" t="n"/>
      <c r="I65" s="25" t="n"/>
    </row>
    <row r="66" ht="27.75" customHeight="1" s="17">
      <c r="A66" s="26" t="n"/>
      <c r="I66" s="27" t="n"/>
    </row>
    <row r="67" ht="27.75" customHeight="1" s="17">
      <c r="A67" s="28" t="n"/>
      <c r="B67" s="29" t="n"/>
      <c r="C67" s="29" t="n"/>
      <c r="D67" s="29" t="n"/>
      <c r="E67" s="29" t="n"/>
      <c r="F67" s="29" t="n"/>
      <c r="G67" s="29" t="n"/>
      <c r="H67" s="29" t="n"/>
      <c r="I67" s="30" t="n"/>
    </row>
  </sheetData>
  <mergeCells count="72">
    <mergeCell ref="A7:I7"/>
    <mergeCell ref="E12:F12"/>
    <mergeCell ref="A24:B24"/>
    <mergeCell ref="A30:B30"/>
    <mergeCell ref="G10:I10"/>
    <mergeCell ref="C24:D24"/>
    <mergeCell ref="A65:I67"/>
    <mergeCell ref="G13:I13"/>
    <mergeCell ref="C17:I17"/>
    <mergeCell ref="E24:F24"/>
    <mergeCell ref="A11:B11"/>
    <mergeCell ref="E23:F23"/>
    <mergeCell ref="A3:I3"/>
    <mergeCell ref="E8:F8"/>
    <mergeCell ref="C19:I19"/>
    <mergeCell ref="A21:I21"/>
    <mergeCell ref="G24:I24"/>
    <mergeCell ref="C28:I28"/>
    <mergeCell ref="A16:B16"/>
    <mergeCell ref="A2:I2"/>
    <mergeCell ref="C10:D10"/>
    <mergeCell ref="C18:I18"/>
    <mergeCell ref="A25:B25"/>
    <mergeCell ref="A5:I5"/>
    <mergeCell ref="E10:F10"/>
    <mergeCell ref="C25:D25"/>
    <mergeCell ref="A32:I32"/>
    <mergeCell ref="A33:I33"/>
    <mergeCell ref="E13:F13"/>
    <mergeCell ref="C22:D22"/>
    <mergeCell ref="C30:I30"/>
    <mergeCell ref="C9:D9"/>
    <mergeCell ref="A18:B18"/>
    <mergeCell ref="A27:B27"/>
    <mergeCell ref="E9:F9"/>
    <mergeCell ref="A4:I4"/>
    <mergeCell ref="A12:B12"/>
    <mergeCell ref="G25:I25"/>
    <mergeCell ref="C12:D12"/>
    <mergeCell ref="A26:B26"/>
    <mergeCell ref="G22:I22"/>
    <mergeCell ref="C26:I26"/>
    <mergeCell ref="C11:D11"/>
    <mergeCell ref="E11:F11"/>
    <mergeCell ref="G9:I9"/>
    <mergeCell ref="C29:I29"/>
    <mergeCell ref="G12:I12"/>
    <mergeCell ref="C16:I16"/>
    <mergeCell ref="A17:B17"/>
    <mergeCell ref="A23:B23"/>
    <mergeCell ref="A8:B8"/>
    <mergeCell ref="C23:D23"/>
    <mergeCell ref="A22:B22"/>
    <mergeCell ref="C8:D8"/>
    <mergeCell ref="G11:I11"/>
    <mergeCell ref="A64:I64"/>
    <mergeCell ref="A15:I15"/>
    <mergeCell ref="A29:B29"/>
    <mergeCell ref="A51:I51"/>
    <mergeCell ref="E25:F25"/>
    <mergeCell ref="A19:B19"/>
    <mergeCell ref="G23:I23"/>
    <mergeCell ref="A28:B28"/>
    <mergeCell ref="A1:I1"/>
    <mergeCell ref="G8:I8"/>
    <mergeCell ref="A13:B13"/>
    <mergeCell ref="A10:B10"/>
    <mergeCell ref="E22:F22"/>
    <mergeCell ref="C13:D13"/>
    <mergeCell ref="A6:I6"/>
    <mergeCell ref="A9:B9"/>
    <mergeCell ref="C27:I27"/>
  </mergeCells>
  <dataValidations count="14">
    <dataValidation sqref="C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C16" showDropDown="0" showInputMessage="0" showErrorMessage="0" allowBlank="1" errorTitle="Valor no válido" error="Seleccione un valor de la lista desplegable." promptTitle="Tipo de ecosistema MINAM (domi" prompt="Elija una opción de la lista." type="list">
      <formula1>lst_TipoEcosistema</formula1>
      <formula2>0</formula2>
    </dataValidation>
    <dataValidation sqref="C18" showDropDown="0" showInputMessage="0" showErrorMessage="0" allowBlank="1" errorTitle="Valor no válido" error="Seleccione un valor de la lista desplegable." promptTitle="Estado de conservación general" prompt="Elija una opción de la lista." type="list">
      <formula1>lst_EstadoConservacion</formula1>
      <formula2>0</formula2>
    </dataValidation>
    <dataValidation sqref="C19" showDropDown="0" showInputMessage="0" showErrorMessage="0" allowBlank="1" errorTitle="Valor no válido" error="Seleccione un valor de la lista desplegable." promptTitle="Uso actual dominante del suelo" prompt="Elija una opción de la lista." type="list">
      <formula1>lst_UsoSueloDom</formula1>
      <formula2>0</formula2>
    </dataValidation>
    <dataValidation sqref="C26" showDropDown="0" showInputMessage="0" showErrorMessage="0" allowBlank="1" errorTitle="Valor no válido" error="Seleccione un valor de la lista desplegable." promptTitle="Regeneración natural observada" prompt="Elija una opción de la lista." type="list">
      <formula1>lst_Regeneracion</formula1>
      <formula2>0</formula2>
    </dataValidation>
    <dataValidation sqref="C27" showDropDown="0" showInputMessage="0" showErrorMessage="0" allowBlank="1" errorTitle="Valor no válido" error="Seleccione un valor de la lista desplegable." promptTitle="Estado sanitario general del d" prompt="Elija una opción de la lista." type="list">
      <formula1>lst_EstadoSanitario</formula1>
      <formula2>0</formula2>
    </dataValidation>
    <dataValidation sqref="C28" showDropDown="0" showInputMessage="0" showErrorMessage="0" allowBlank="1" errorTitle="Valor no válido" error="Seleccione un valor de la lista desplegable." promptTitle="Presencia de epífitas (cualita" prompt="Elija una opción de la lista." type="list">
      <formula1>lst_SiNo</formula1>
      <formula2>0</formula2>
    </dataValidation>
    <dataValidation sqref="C29" showDropDown="0" showInputMessage="0" showErrorMessage="0" allowBlank="1" errorTitle="Valor no válido" error="Seleccione un valor de la lista desplegable." promptTitle="Fenología dominante (época de " prompt="Elija una opción de la lista." type="list">
      <formula1>lst_Fenologia</formula1>
      <formula2>0</formula2>
    </dataValidation>
    <dataValidation sqref="C30" showDropDown="0" showInputMessage="0" showErrorMessage="0" allowBlank="1" errorTitle="Valor no válido" error="Seleccione un valor de la lista desplegable." promptTitle="Tipo de cobertura vegetal domi" prompt="Elija una opción de la lista." type="list">
      <formula1>lst_TipoCobertura</formula1>
      <formula2>0</formula2>
    </dataValidation>
    <dataValidation sqref="E35:E49" showDropDown="0" showInputMessage="0" showErrorMessage="0" allowBlank="1" errorTitle="Valor no válido" error="Seleccione un valor de la lista desplegable." promptTitle="Estrato" prompt="Elija una opción de la lista." type="list">
      <formula1>lst_Estrato</formula1>
      <formula2>0</formula2>
    </dataValidation>
    <dataValidation sqref="F35:F49" showDropDown="0" showInputMessage="0" showErrorMessage="0" allowBlank="1" errorTitle="Valor no válido" error="Seleccione un valor de la lista desplegable." promptTitle="Origen" prompt="Elija una opción de la lista." type="list">
      <formula1>lst_Origen</formula1>
      <formula2>0</formula2>
    </dataValidation>
    <dataValidation sqref="G35:G49" showDropDown="0" showInputMessage="0" showErrorMessage="0" allowBlank="1" errorTitle="Valor no válido" error="Seleccione un valor de la lista desplegable." promptTitle="Abundancia" prompt="Elija una opción de la lista." type="list">
      <formula1>lst_Abundancia</formula1>
      <formula2>0</formula2>
    </dataValidation>
    <dataValidation sqref="C53:C62" showDropDown="0" showInputMessage="0" showErrorMessage="0" allowBlank="1" errorTitle="Valor no válido" error="Seleccione un valor de la lista desplegable." promptTitle="Categoría" prompt="Elija una opción de la lista." type="list">
      <formula1>lst_CategoriaIndicadora</formula1>
      <formula2>0</formula2>
    </dataValidation>
    <dataValidation sqref="D53:D62" showDropDown="0" showInputMessage="0" showErrorMessage="0" allowBlank="1" errorTitle="Valor no válido" error="Seleccione un valor de la lista desplegable." promptTitle="Estado UICN / D.S. 043" prompt="Elija una opción de la lista." type="list">
      <formula1>lst_EstadoUICN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tabSelected="1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/>
  <cols>
    <col width="6" customWidth="1" style="17" min="1" max="1"/>
    <col width="32" customWidth="1" style="17" min="2" max="2"/>
    <col width="13" customWidth="1" style="17" min="3" max="3"/>
    <col width="14" customWidth="1" style="17" min="4" max="4"/>
    <col width="13" customWidth="1" style="17" min="5" max="5"/>
    <col width="14" customWidth="1" style="17" min="6" max="6"/>
    <col width="32" customWidth="1" style="17" min="7" max="7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F-DT-04: CAUSAS E INDICADORES DE DEGRADACIÓN DEL ECOSISTEMA</t>
        </is>
      </c>
    </row>
    <row r="5" ht="27.75" customHeight="1" s="17">
      <c r="A5" s="21" t="inlineStr">
        <is>
          <t>Identificación y ponderación de causas directas de degradación (antrópicas y naturales) y registro de indicadores cuantitativos. Permite priorizar medidas de mitigación y gobernanza.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*</t>
        </is>
      </c>
      <c r="B8" s="14" t="n"/>
      <c r="C8" s="15" t="inlineStr">
        <is>
          <t>08-07-2026</t>
        </is>
      </c>
      <c r="D8" s="13" t="n"/>
      <c r="E8" s="13" t="n"/>
      <c r="F8" s="13" t="n"/>
      <c r="G8" s="14" t="n"/>
    </row>
    <row r="9" ht="19.5" customHeight="1" s="17">
      <c r="A9" s="31" t="inlineStr">
        <is>
          <t>Responsable *</t>
        </is>
      </c>
      <c r="B9" s="14" t="n"/>
      <c r="C9" s="15" t="inlineStr">
        <is>
          <t>Ing. Héctor Salomón Cahuas Miller</t>
        </is>
      </c>
      <c r="D9" s="13" t="n"/>
      <c r="E9" s="13" t="n"/>
      <c r="F9" s="13" t="n"/>
      <c r="G9" s="14" t="n"/>
    </row>
    <row r="10" ht="19.5" customHeight="1" s="17">
      <c r="A10" s="31" t="inlineStr">
        <is>
          <t>Código del Bloque *</t>
        </is>
      </c>
      <c r="B10" s="14" t="n"/>
      <c r="C10" s="15" t="inlineStr">
        <is>
          <t>38</t>
        </is>
      </c>
      <c r="D10" s="13" t="n"/>
      <c r="E10" s="13" t="n"/>
      <c r="F10" s="13" t="n"/>
      <c r="G10" s="14" t="n"/>
    </row>
    <row r="11" ht="19.5" customHeight="1" s="17">
      <c r="A11" s="31" t="inlineStr">
        <is>
          <t>Microcuenca (auto)</t>
        </is>
      </c>
      <c r="B11" s="14" t="n"/>
      <c r="C11" s="12">
        <f>IFERROR(VLOOKUP($C$10,tbl_Bloques,2,FALSE()),"")</f>
        <v/>
      </c>
      <c r="D11" s="13" t="n"/>
      <c r="E11" s="13" t="n"/>
      <c r="F11" s="13" t="n"/>
      <c r="G11" s="14" t="n"/>
    </row>
    <row r="12" ht="21.75" customHeight="1" s="17">
      <c r="A12" s="6" t="inlineStr">
        <is>
          <t>2. MATRIZ DE CAUSAS DE DEGRADACIÓN</t>
        </is>
      </c>
      <c r="B12" s="13" t="n"/>
      <c r="C12" s="14" t="n"/>
      <c r="D12" s="13" t="n"/>
      <c r="E12" s="13" t="n"/>
      <c r="F12" s="13" t="n"/>
      <c r="G12" s="14" t="n"/>
    </row>
    <row r="13" ht="27.75" customHeight="1" s="17">
      <c r="A13" s="32" t="inlineStr">
        <is>
          <t>PRESENCIA: Sí / No  |  INTENSIDAD: Nula / Ligera / Moderada / Fuerte / Muy fuerte  |  EXTENSIÓN: % del bloque afectado  |  ANTIGÜEDAD: años aproximados.</t>
        </is>
      </c>
      <c r="B13" s="14" t="n"/>
      <c r="C13" s="33" t="n"/>
      <c r="D13" s="13" t="n"/>
      <c r="E13" s="13" t="n"/>
      <c r="F13" s="13" t="n"/>
      <c r="G13" s="14" t="n"/>
    </row>
    <row r="14" ht="31.5" customHeight="1" s="17">
      <c r="A14" s="2" t="inlineStr">
        <is>
          <t>N°</t>
        </is>
      </c>
      <c r="B14" s="2" t="inlineStr">
        <is>
          <t>Causa / Factor de degradación</t>
        </is>
      </c>
      <c r="C14" s="2" t="inlineStr">
        <is>
          <t>Presencia</t>
        </is>
      </c>
      <c r="D14" s="2" t="inlineStr">
        <is>
          <t>Intensidad</t>
        </is>
      </c>
      <c r="E14" s="2" t="inlineStr">
        <is>
          <t>Extensión
(% bloque)</t>
        </is>
      </c>
      <c r="F14" s="2" t="inlineStr">
        <is>
          <t>Antigüedad
(años aprox.)</t>
        </is>
      </c>
      <c r="G14" s="2" t="inlineStr">
        <is>
          <t>Evidencia observada / Descripción</t>
        </is>
      </c>
    </row>
    <row r="15" ht="18" customHeight="1" s="17">
      <c r="A15" s="5" t="n">
        <v>1</v>
      </c>
      <c r="B15" s="7" t="inlineStr">
        <is>
          <t>Sobrepastoreo (caprino/vacuno)</t>
        </is>
      </c>
      <c r="C15" s="3" t="inlineStr">
        <is>
          <t>Sí</t>
        </is>
      </c>
      <c r="D15" s="3" t="inlineStr">
        <is>
          <t>Moderada</t>
        </is>
      </c>
      <c r="E15" s="3" t="n"/>
      <c r="F15" s="3" t="n"/>
      <c r="G15" s="36" t="inlineStr">
        <is>
          <t>Pastizal cultivado con cercos de alambre y de madera; compactación y sendas de pisoteo; macollas ramoneadas (F-03, F-05, F-07, F-10)</t>
        </is>
      </c>
    </row>
    <row r="16" ht="18" customHeight="1" s="17">
      <c r="A16" s="5" t="n">
        <v>2</v>
      </c>
      <c r="B16" s="7" t="inlineStr">
        <is>
          <t>Tala para leña</t>
        </is>
      </c>
      <c r="C16" s="3" t="n"/>
      <c r="D16" s="3" t="n"/>
      <c r="E16" s="3" t="n"/>
      <c r="F16" s="3" t="n"/>
      <c r="G16" s="36" t="inlineStr">
        <is>
          <t>No se registró extracción de leña durante el recorrido perimetral — POR VERIFICAR en recorrido interno</t>
        </is>
      </c>
    </row>
    <row r="17" ht="18" customHeight="1" s="17">
      <c r="A17" s="5" t="n">
        <v>3</v>
      </c>
      <c r="B17" s="7" t="inlineStr">
        <is>
          <t>Tala para carbón</t>
        </is>
      </c>
      <c r="C17" s="3" t="n"/>
      <c r="D17" s="3" t="n"/>
      <c r="E17" s="3" t="n"/>
      <c r="F17" s="3" t="n"/>
      <c r="G17" s="4" t="n"/>
    </row>
    <row r="18" ht="18" customHeight="1" s="17">
      <c r="A18" s="5" t="n">
        <v>4</v>
      </c>
      <c r="B18" s="7" t="inlineStr">
        <is>
          <t>Tala para madera</t>
        </is>
      </c>
      <c r="C18" s="3" t="n"/>
      <c r="D18" s="3" t="n"/>
      <c r="E18" s="3" t="n"/>
      <c r="F18" s="3" t="n"/>
      <c r="G18" s="36" t="inlineStr">
        <is>
          <t>No observada — POR VERIFICAR</t>
        </is>
      </c>
    </row>
    <row r="19" ht="18" customHeight="1" s="17">
      <c r="A19" s="5" t="n">
        <v>5</v>
      </c>
      <c r="B19" s="7" t="inlineStr">
        <is>
          <t>Quema (renovación de pastos)</t>
        </is>
      </c>
      <c r="C19" s="3" t="n"/>
      <c r="D19" s="3" t="n"/>
      <c r="E19" s="3" t="n"/>
      <c r="F19" s="3" t="n"/>
      <c r="G19" s="36" t="inlineStr">
        <is>
          <t>No se observaron cicatrices de quema reciente desde el perímetro — POR VERIFICAR con serie Sentinel-2</t>
        </is>
      </c>
    </row>
    <row r="20" ht="18" customHeight="1" s="17">
      <c r="A20" s="5" t="n">
        <v>6</v>
      </c>
      <c r="B20" s="7" t="inlineStr">
        <is>
          <t>Quema accidental / Incendio</t>
        </is>
      </c>
      <c r="C20" s="3" t="n"/>
      <c r="D20" s="3" t="n"/>
      <c r="E20" s="3" t="n"/>
      <c r="F20" s="3" t="n"/>
      <c r="G20" s="4" t="n"/>
    </row>
    <row r="21" ht="18" customHeight="1" s="17">
      <c r="A21" s="5" t="n">
        <v>7</v>
      </c>
      <c r="B21" s="7" t="inlineStr">
        <is>
          <t>Cambio de uso a agricultura</t>
        </is>
      </c>
      <c r="C21" s="3" t="inlineStr">
        <is>
          <t>Sí</t>
        </is>
      </c>
      <c r="D21" s="3" t="inlineStr">
        <is>
          <t>Moderada</t>
        </is>
      </c>
      <c r="E21" s="3" t="n"/>
      <c r="F21" s="3" t="n"/>
      <c r="G21" s="36" t="inlineStr">
        <is>
          <t>Parcelas de café, plátano y frutales en el sector bajo; catálogo MINAM: 39,69 ha de Zona agrícola (89,8 % del bloque)</t>
        </is>
      </c>
    </row>
    <row r="22" ht="18" customHeight="1" s="17">
      <c r="A22" s="5" t="n">
        <v>8</v>
      </c>
      <c r="B22" s="7" t="inlineStr">
        <is>
          <t>Cambio de uso a pastoreo</t>
        </is>
      </c>
      <c r="C22" s="3" t="inlineStr">
        <is>
          <t>Sí</t>
        </is>
      </c>
      <c r="D22" s="3" t="inlineStr">
        <is>
          <t>Fuerte</t>
        </is>
      </c>
      <c r="E22" s="3" t="n"/>
      <c r="F22" s="3" t="n"/>
      <c r="G22" s="36" t="inlineStr">
        <is>
          <t>Pastos cultivados dominantes en las laderas de menor inclinación; conversión consolidada, no reciente (F-03, F-07, F-10)</t>
        </is>
      </c>
    </row>
    <row r="23" ht="18" customHeight="1" s="17">
      <c r="A23" s="5" t="n">
        <v>9</v>
      </c>
      <c r="B23" s="7" t="inlineStr">
        <is>
          <t>Expansión urbana / vial</t>
        </is>
      </c>
      <c r="C23" s="3" t="inlineStr">
        <is>
          <t>Sí</t>
        </is>
      </c>
      <c r="D23" s="3" t="inlineStr">
        <is>
          <t>Ligera</t>
        </is>
      </c>
      <c r="E23" s="3" t="n"/>
      <c r="F23" s="3" t="n"/>
      <c r="G23" s="36" t="inlineStr">
        <is>
          <t>Trocha carrozable que bordea el flanco SE con taludes de corte sin tratamiento y surcos profundos en la huella de rodadura (F-01)</t>
        </is>
      </c>
    </row>
    <row r="24" ht="18" customHeight="1" s="17">
      <c r="A24" s="5" t="n">
        <v>10</v>
      </c>
      <c r="B24" s="7" t="inlineStr">
        <is>
          <t>Minería informal</t>
        </is>
      </c>
      <c r="C24" s="3" t="n"/>
      <c r="D24" s="3" t="n"/>
      <c r="E24" s="3" t="n"/>
      <c r="F24" s="3" t="n"/>
      <c r="G24" s="4" t="n"/>
    </row>
    <row r="25" ht="18" customHeight="1" s="17">
      <c r="A25" s="5" t="n">
        <v>11</v>
      </c>
      <c r="B25" s="7" t="inlineStr">
        <is>
          <t>Extracción de áridos (cauces)</t>
        </is>
      </c>
      <c r="C25" s="3" t="n"/>
      <c r="D25" s="3" t="n"/>
      <c r="E25" s="3" t="n"/>
      <c r="F25" s="3" t="n"/>
      <c r="G25" s="4" t="n"/>
    </row>
    <row r="26" ht="18" customHeight="1" s="17">
      <c r="A26" s="5" t="n">
        <v>12</v>
      </c>
      <c r="B26" s="7" t="inlineStr">
        <is>
          <t>Especies invasoras</t>
        </is>
      </c>
      <c r="C26" s="3" t="inlineStr">
        <is>
          <t>Sí</t>
        </is>
      </c>
      <c r="D26" s="3" t="inlineStr">
        <is>
          <t>Ligera</t>
        </is>
      </c>
      <c r="E26" s="3" t="n"/>
      <c r="F26" s="3" t="n"/>
      <c r="G26" s="36" t="inlineStr">
        <is>
          <t>Grevillea robusta, Agave americana, Ricinus communis y pastos introducidos en cercos, taludes y bordes</t>
        </is>
      </c>
    </row>
    <row r="27" ht="18" customHeight="1" s="17">
      <c r="A27" s="5" t="n">
        <v>13</v>
      </c>
      <c r="B27" s="7" t="inlineStr">
        <is>
          <t>Erosión natural severa</t>
        </is>
      </c>
      <c r="C27" s="3" t="inlineStr">
        <is>
          <t>Sí</t>
        </is>
      </c>
      <c r="D27" s="3" t="inlineStr">
        <is>
          <t>Moderada</t>
        </is>
      </c>
      <c r="E27" s="3" t="n"/>
      <c r="F27" s="3" t="n"/>
      <c r="G27" s="36" t="inlineStr">
        <is>
          <t>Socavamiento activo de márgenes en la quebrada del flanco SE, con arrastre de bloques y material leñoso (R-03)</t>
        </is>
      </c>
    </row>
    <row r="28" ht="18" customHeight="1" s="17">
      <c r="A28" s="5" t="n">
        <v>14</v>
      </c>
      <c r="B28" s="7" t="inlineStr">
        <is>
          <t>Sequía prolongada / CC</t>
        </is>
      </c>
      <c r="C28" s="3" t="n"/>
      <c r="D28" s="3" t="n"/>
      <c r="E28" s="3" t="n"/>
      <c r="F28" s="3" t="n"/>
      <c r="G28" s="4" t="n"/>
    </row>
    <row r="29" ht="18" customHeight="1" s="17">
      <c r="A29" s="5" t="n">
        <v>15</v>
      </c>
      <c r="B29" s="7" t="inlineStr">
        <is>
          <t>Plagas o enfermedades forestales</t>
        </is>
      </c>
      <c r="C29" s="3" t="n"/>
      <c r="D29" s="3" t="n"/>
      <c r="E29" s="3" t="n"/>
      <c r="F29" s="3" t="n"/>
      <c r="G29" s="4" t="n"/>
    </row>
    <row r="30" ht="18" customHeight="1" s="17">
      <c r="A30" s="5" t="n">
        <v>16</v>
      </c>
      <c r="B30" s="7" t="inlineStr">
        <is>
          <t>Otro</t>
        </is>
      </c>
      <c r="C30" s="3" t="n"/>
      <c r="D30" s="3" t="n"/>
      <c r="E30" s="3" t="n"/>
      <c r="F30" s="3" t="n"/>
      <c r="G30" s="4" t="n"/>
    </row>
    <row r="32" ht="21.75" customHeight="1" s="17">
      <c r="A32" s="19" t="inlineStr">
        <is>
          <t>3. INDICADORES CUANTITATIVOS DE DEGRADACIÓN</t>
        </is>
      </c>
    </row>
    <row r="33" ht="25.5" customHeight="1" s="17">
      <c r="A33" s="32" t="inlineStr">
        <is>
          <t>Combina observación directa con información de gabinete (MSAVI, NDVI, Theil-Sen). NIVEL: Alto / Medio / Bajo según umbrales.</t>
        </is>
      </c>
      <c r="B33" s="13" t="n"/>
      <c r="C33" s="13" t="n"/>
      <c r="D33" s="13" t="n"/>
      <c r="E33" s="13" t="n"/>
      <c r="F33" s="13" t="n"/>
      <c r="G33" s="14" t="n"/>
    </row>
    <row r="34" ht="27.75" customHeight="1" s="17">
      <c r="A34" s="2" t="inlineStr">
        <is>
          <t>N°</t>
        </is>
      </c>
      <c r="B34" s="2" t="inlineStr">
        <is>
          <t>Indicador</t>
        </is>
      </c>
      <c r="C34" s="2" t="inlineStr">
        <is>
          <t>Unidad</t>
        </is>
      </c>
      <c r="D34" s="2" t="inlineStr">
        <is>
          <t>Valor</t>
        </is>
      </c>
      <c r="E34" s="2" t="inlineStr">
        <is>
          <t>Fuente</t>
        </is>
      </c>
      <c r="F34" s="2" t="inlineStr">
        <is>
          <t>Umbral / Referencia</t>
        </is>
      </c>
      <c r="G34" s="2" t="inlineStr">
        <is>
          <t>Nivel</t>
        </is>
      </c>
    </row>
    <row r="35" ht="21.75" customHeight="1" s="17">
      <c r="A35" s="5" t="n">
        <v>1</v>
      </c>
      <c r="B35" s="7" t="inlineStr">
        <is>
          <t>Cobertura vegetal total</t>
        </is>
      </c>
      <c r="C35" s="5" t="inlineStr">
        <is>
          <t>%</t>
        </is>
      </c>
      <c r="D35" s="3" t="n">
        <v>90</v>
      </c>
      <c r="E35" s="36" t="inlineStr">
        <is>
          <t>MSAVI 2024 media 0,6725 + estimación ocular</t>
        </is>
      </c>
      <c r="F35" s="7" t="inlineStr">
        <is>
          <t>&gt;60% bueno; 30-60% medio; &lt;30% malo</t>
        </is>
      </c>
      <c r="G35" s="3" t="inlineStr">
        <is>
          <t>Alto</t>
        </is>
      </c>
    </row>
    <row r="36" ht="21.75" customHeight="1" s="17">
      <c r="A36" s="5" t="n">
        <v>2</v>
      </c>
      <c r="B36" s="7" t="inlineStr">
        <is>
          <t>Porcentaje de suelo desnudo</t>
        </is>
      </c>
      <c r="C36" s="5" t="inlineStr">
        <is>
          <t>%</t>
        </is>
      </c>
      <c r="D36" s="3" t="n">
        <v>8</v>
      </c>
      <c r="E36" s="36" t="inlineStr">
        <is>
          <t>Estimación ocular de campo (bordes, cercos y huella vial)</t>
        </is>
      </c>
      <c r="F36" s="7" t="inlineStr">
        <is>
          <t>&lt;10% bueno; 10-30% medio; &gt;30% malo</t>
        </is>
      </c>
      <c r="G36" s="3" t="inlineStr">
        <is>
          <t>Bajo</t>
        </is>
      </c>
    </row>
    <row r="37" ht="21.75" customHeight="1" s="17">
      <c r="A37" s="5" t="n">
        <v>3</v>
      </c>
      <c r="B37" s="7" t="inlineStr">
        <is>
          <t>Densidad de cárcavas</t>
        </is>
      </c>
      <c r="C37" s="5" t="inlineStr">
        <is>
          <t>N°/ha</t>
        </is>
      </c>
      <c r="D37" s="3" t="inlineStr">
        <is>
          <t>Por determinar</t>
        </is>
      </c>
      <c r="E37" s="36" t="inlineStr">
        <is>
          <t>Requiere inventario instrumental</t>
        </is>
      </c>
      <c r="F37" s="7" t="inlineStr">
        <is>
          <t>0 nulo; 1-3 medio; &gt;3 alto</t>
        </is>
      </c>
      <c r="G37" s="3" t="n"/>
    </row>
    <row r="38" ht="21.75" customHeight="1" s="17">
      <c r="A38" s="5" t="n">
        <v>4</v>
      </c>
      <c r="B38" s="7" t="inlineStr">
        <is>
          <t>Presencia de especies invasoras</t>
        </is>
      </c>
      <c r="C38" s="5" t="inlineStr">
        <is>
          <t>% área</t>
        </is>
      </c>
      <c r="D38" s="3" t="inlineStr">
        <is>
          <t>Por determinar</t>
        </is>
      </c>
      <c r="E38" s="36" t="inlineStr">
        <is>
          <t>Requiere cuantificación en parcela</t>
        </is>
      </c>
      <c r="F38" s="7" t="inlineStr">
        <is>
          <t>&lt;5% bueno; 5-20% medio; &gt;20% alto</t>
        </is>
      </c>
      <c r="G38" s="3" t="n"/>
    </row>
    <row r="39" ht="21.75" customHeight="1" s="17">
      <c r="A39" s="5" t="n">
        <v>5</v>
      </c>
      <c r="B39" s="7" t="inlineStr">
        <is>
          <t>Carga ganadera estimada</t>
        </is>
      </c>
      <c r="C39" s="5" t="inlineStr">
        <is>
          <t>UA/ha</t>
        </is>
      </c>
      <c r="D39" s="3" t="inlineStr">
        <is>
          <t>Por determinar</t>
        </is>
      </c>
      <c r="E39" s="36" t="inlineStr">
        <is>
          <t>Requiere censo ganadero / entrevista a titulares</t>
        </is>
      </c>
      <c r="F39" s="7" t="inlineStr">
        <is>
          <t>Según tipo de ecosistema</t>
        </is>
      </c>
      <c r="G39" s="3" t="n"/>
    </row>
    <row r="40" ht="21.75" customHeight="1" s="17">
      <c r="A40" s="5" t="n">
        <v>6</v>
      </c>
      <c r="B40" s="7" t="inlineStr">
        <is>
          <t>Frecuencia de quemas últimos 5 años</t>
        </is>
      </c>
      <c r="C40" s="5" t="inlineStr">
        <is>
          <t>N°</t>
        </is>
      </c>
      <c r="D40" s="3" t="inlineStr">
        <is>
          <t>Por determinar</t>
        </is>
      </c>
      <c r="E40" s="36" t="inlineStr">
        <is>
          <t>Requiere consulta comunal y serie de cicatrices Sentinel-2</t>
        </is>
      </c>
      <c r="F40" s="7" t="inlineStr">
        <is>
          <t>0 nulo; 1-2 medio; &gt;2 alto</t>
        </is>
      </c>
      <c r="G40" s="3" t="n"/>
    </row>
    <row r="41" ht="21.75" customHeight="1" s="17">
      <c r="A41" s="5" t="n">
        <v>7</v>
      </c>
      <c r="B41" s="7" t="inlineStr">
        <is>
          <t>% área con pendiente &gt;50%</t>
        </is>
      </c>
      <c r="C41" s="5" t="inlineStr">
        <is>
          <t>%</t>
        </is>
      </c>
      <c r="D41" s="3" t="inlineStr">
        <is>
          <t>Por determinar</t>
        </is>
      </c>
      <c r="E41" s="36" t="inlineStr">
        <is>
          <t>Requiere estadística zonal del MDE (pend. prom. 24,25 %)</t>
        </is>
      </c>
      <c r="F41" s="7" t="inlineStr">
        <is>
          <t>Factor de susceptibilidad</t>
        </is>
      </c>
      <c r="G41" s="3" t="n"/>
    </row>
    <row r="42" ht="21.75" customHeight="1" s="17">
      <c r="A42" s="5" t="n">
        <v>8</v>
      </c>
      <c r="B42" s="7" t="inlineStr">
        <is>
          <t>Distancia a vía vecinal más cercana</t>
        </is>
      </c>
      <c r="C42" s="5" t="inlineStr">
        <is>
          <t>m</t>
        </is>
      </c>
      <c r="D42" s="3" t="n">
        <v>0</v>
      </c>
      <c r="E42" s="36" t="inlineStr">
        <is>
          <t>Trocha carrozable bordea el flanco SE del polígono</t>
        </is>
      </c>
      <c r="F42" s="7" t="inlineStr">
        <is>
          <t>A menor distancia → mayor presión</t>
        </is>
      </c>
      <c r="G42" s="3" t="inlineStr">
        <is>
          <t>Alto</t>
        </is>
      </c>
    </row>
    <row r="44" ht="21.75" customHeight="1" s="17">
      <c r="A44" s="19" t="inlineStr">
        <is>
          <t>4. SÍNTESIS DIAGNÓSTICA DE LA DEGRADACIÓN</t>
        </is>
      </c>
    </row>
    <row r="45" ht="19.5" customHeight="1" s="17">
      <c r="A45" s="31" t="inlineStr">
        <is>
          <t>Principales causas directas (texto libre)</t>
        </is>
      </c>
      <c r="B45" s="14" t="n"/>
      <c r="C45" s="35" t="inlineStr">
        <is>
          <t>Conversión consolidada del ecosistema a pastizal cultivado y, en menor medida, a parcelas de café, plátano y frutales (89,8 % del bloque clasificado como Zona agrícola), con pastoreo asociado, compactación y sendas de pisoteo; presión vial en el flanco SE (taludes de corte y surcos en la huella de rodadura) y socavamiento activo de márgenes en la quebrada.</t>
        </is>
      </c>
      <c r="D45" s="13" t="n"/>
      <c r="E45" s="13" t="n"/>
      <c r="F45" s="13" t="n"/>
      <c r="G45" s="14" t="n"/>
    </row>
    <row r="46" ht="19.5" customHeight="1" s="17">
      <c r="A46" s="31" t="inlineStr">
        <is>
          <t>Principal causa subyacente (motor)</t>
        </is>
      </c>
      <c r="B46" s="14" t="n"/>
      <c r="C46" s="35" t="inlineStr">
        <is>
          <t>Economía agropecuaria de subsistencia sobre laderas de fuerte inclinación sin prácticas de conservación de suelos: la ampliación de la superficie de pastos es la vía de capitalización disponible para las unidades familiares del sector Ullma. Factor habilitante secundario: la trocha carrozable, que reduce el costo de acceso al sector.</t>
        </is>
      </c>
      <c r="D46" s="13" t="n"/>
      <c r="E46" s="13" t="n"/>
      <c r="F46" s="13" t="n"/>
      <c r="G46" s="14" t="n"/>
    </row>
    <row r="47" ht="19.5" customHeight="1" s="17">
      <c r="A47" s="31" t="inlineStr">
        <is>
          <t>Velocidad de degradación percibida</t>
        </is>
      </c>
      <c r="B47" s="14" t="n"/>
      <c r="C47" s="15" t="inlineStr">
        <is>
          <t>Lenta</t>
        </is>
      </c>
      <c r="D47" s="13" t="n"/>
      <c r="E47" s="13" t="n"/>
      <c r="F47" s="13" t="n"/>
      <c r="G47" s="14" t="n"/>
    </row>
    <row r="48" ht="19.5" customHeight="1" s="17">
      <c r="A48" s="31" t="inlineStr">
        <is>
          <t>Reversibilidad técnica</t>
        </is>
      </c>
      <c r="B48" s="14" t="n"/>
      <c r="C48" s="15" t="inlineStr">
        <is>
          <t>Parcialmente reversible</t>
        </is>
      </c>
      <c r="D48" s="13" t="n"/>
      <c r="E48" s="13" t="n"/>
      <c r="F48" s="13" t="n"/>
      <c r="G48" s="14" t="n"/>
    </row>
    <row r="49" ht="19.5" customHeight="1" s="17">
      <c r="A49" s="31" t="inlineStr">
        <is>
          <t>Urgencia de intervención</t>
        </is>
      </c>
      <c r="B49" s="14" t="n"/>
      <c r="C49" s="15" t="inlineStr">
        <is>
          <t>Media</t>
        </is>
      </c>
      <c r="D49" s="13" t="n"/>
      <c r="E49" s="13" t="n"/>
      <c r="F49" s="13" t="n"/>
      <c r="G49" s="14" t="n"/>
    </row>
    <row r="51" ht="21.75" customHeight="1" s="17">
      <c r="A51" s="19" t="inlineStr">
        <is>
          <t>OBSERVACIONES</t>
        </is>
      </c>
    </row>
    <row r="52" ht="27.75" customHeight="1" s="17">
      <c r="A52" s="35" t="inlineStr">
        <is>
          <t>Las casillas de PRESENCIA sin marcar corresponden a causas NO OBSERVADAS desde el perímetro; se dejan en blanco deliberadamente porque marcar «No» afirmaría una ausencia verificada que la modalidad de levantamiento no permite sostener. DISTINCIÓN URGENCIA / PRIORIDAD: la urgencia se califica MEDIA porque el proceso de degradación es lento y su estado, estable; la PRIORIDAD de intervención es no obstante ALTA, por ser el bloque de mayor superficie de la microcuenca C1081-Q9590 (29,8 %) y el que concentra la mayor superficie recuperable en términos de uso del suelo.</t>
        </is>
      </c>
      <c r="B52" s="24" t="n"/>
      <c r="C52" s="24" t="n"/>
      <c r="D52" s="24" t="n"/>
      <c r="E52" s="24" t="n"/>
      <c r="F52" s="24" t="n"/>
      <c r="G52" s="25" t="n"/>
    </row>
    <row r="53" ht="27.75" customHeight="1" s="17">
      <c r="A53" s="26" t="n"/>
      <c r="G53" s="27" t="n"/>
    </row>
    <row r="54" ht="27.75" customHeight="1" s="17">
      <c r="A54" s="28" t="n"/>
      <c r="B54" s="29" t="n"/>
      <c r="C54" s="29" t="n"/>
      <c r="D54" s="29" t="n"/>
      <c r="E54" s="29" t="n"/>
      <c r="F54" s="29" t="n"/>
      <c r="G54" s="30" t="n"/>
    </row>
  </sheetData>
  <mergeCells count="33">
    <mergeCell ref="A32:G32"/>
    <mergeCell ref="A48:B48"/>
    <mergeCell ref="C49:G49"/>
    <mergeCell ref="A11:B11"/>
    <mergeCell ref="A49:B49"/>
    <mergeCell ref="A4:G4"/>
    <mergeCell ref="A45:B45"/>
    <mergeCell ref="C45:G45"/>
    <mergeCell ref="A44:G44"/>
    <mergeCell ref="C10:G10"/>
    <mergeCell ref="C47:G47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13:B13"/>
    <mergeCell ref="A2:G2"/>
    <mergeCell ref="A9:B9"/>
    <mergeCell ref="C13:G13"/>
    <mergeCell ref="A33:G33"/>
    <mergeCell ref="A5:G5"/>
  </mergeCells>
  <dataValidations count="7">
    <dataValidation sqref="C10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C15:C30" showDropDown="0" showInputMessage="0" showErrorMessage="0" allowBlank="1" errorTitle="Valor no válido" error="Seleccione un valor de la lista desplegable." promptTitle="Presencia" prompt="Elija una opción de la lista." type="list">
      <formula1>lst_SiNo</formula1>
      <formula2>0</formula2>
    </dataValidation>
    <dataValidation sqref="D15:D30" showDropDown="0" showInputMessage="0" showErrorMessage="0" allowBlank="1" errorTitle="Valor no válido" error="Seleccione un valor de la lista desplegable." promptTitle="Intensidad" prompt="Elija una opción de la lista." type="list">
      <formula1>lst_Intensidad</formula1>
      <formula2>0</formula2>
    </dataValidation>
    <dataValidation sqref="G35:G42" showDropDown="0" showInputMessage="0" showErrorMessage="0" allowBlank="1" errorTitle="Valor no válido" error="Seleccione un valor de la lista desplegable." promptTitle="Nivel" prompt="Elija una opción de la lista." type="list">
      <formula1>lst_NivelInd</formula1>
      <formula2>0</formula2>
    </dataValidation>
    <dataValidation sqref="C47" showDropDown="0" showInputMessage="0" showErrorMessage="0" allowBlank="1" errorTitle="Valor no válido" error="Seleccione un valor de la lista desplegable." promptTitle="Velocidad de degradación perci" prompt="Elija una opción de la lista." type="list">
      <formula1>lst_Velocidad</formula1>
      <formula2>0</formula2>
    </dataValidation>
    <dataValidation sqref="C48" showDropDown="0" showInputMessage="0" showErrorMessage="0" allowBlank="1" errorTitle="Valor no válido" error="Seleccione un valor de la lista desplegable." promptTitle="Reversibilidad técnica" prompt="Elija una opción de la lista." type="list">
      <formula1>lst_Reversibilidad</formula1>
      <formula2>0</formula2>
    </dataValidation>
    <dataValidation sqref="C49" showDropDown="0" showInputMessage="0" showErrorMessage="0" allowBlank="1" errorTitle="Valor no válido" error="Seleccione un valor de la lista desplegable." promptTitle="Urgencia de intervención" prompt="Elija una opción de la lista." type="list">
      <formula1>lst_Urgencia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 activeCell="A1" sqref="A1"/>
    </sheetView>
  </sheetViews>
  <sheetFormatPr baseColWidth="10" defaultColWidth="8.6640625" defaultRowHeight="14.4"/>
  <cols>
    <col width="8" customWidth="1" style="17" min="1" max="1"/>
    <col width="28" customWidth="1" style="17" min="2" max="2"/>
    <col width="12" customWidth="1" style="17" min="3" max="4"/>
    <col width="18" customWidth="1" style="17" min="5" max="5"/>
    <col width="24" customWidth="1" style="17" min="6" max="6"/>
    <col width="14" customWidth="1" style="17" min="7" max="7"/>
    <col width="26" customWidth="1" style="17" min="8" max="8"/>
  </cols>
  <sheetData>
    <row r="1" ht="21.75" customHeight="1" s="17">
      <c r="A1" s="16" t="inlineStr">
        <is>
          <t>AUTORIDAD NACIONAL DE INFRAESTRUCTURA — ANIN</t>
        </is>
      </c>
    </row>
    <row r="2" ht="18" customHeight="1" s="17">
      <c r="A2" s="20" t="inlineStr">
        <is>
          <t>DIME — Dirección de Intervenciones Multisectoriales y de Emergencia  |  SESDI — Subdirección de Estudios de Inversión</t>
        </is>
      </c>
    </row>
    <row r="3" ht="30" customHeight="1" s="17">
      <c r="A3" s="20" t="inlineStr">
        <is>
          <t>PROYECTO IN PIURA  |  CUI 2669244  |  Recuperación de servicios de regulación de riesgos naturales y regulación hídrica — Cuenca Alta del Río Piura</t>
        </is>
      </c>
    </row>
    <row r="4" ht="27.75" customHeight="1" s="17">
      <c r="A4" s="22" t="inlineStr">
        <is>
          <t>F-DT-05: RECURSOS HÍDRICOS Y ACCESIBILIDAD</t>
        </is>
      </c>
    </row>
    <row r="5" ht="27.75" customHeight="1" s="17">
      <c r="A5" s="21" t="inlineStr">
        <is>
          <t>Inventario rápido de fuentes de agua dentro o colindantes al bloque + condiciones logísticas de acceso y seguridad. Insumo para diseño hidráulico y planificación operativa de campo.</t>
        </is>
      </c>
    </row>
    <row r="6" ht="24" customHeight="1" s="17">
      <c r="A6" s="18" t="inlineStr">
        <is>
          <t>★ Campos obligatorios marcados con *  |  Celdas naranjas = ingreso manual  |  Celdas grises = autocalculadas (NO modificar)  |  Despliegue las flechas para elegir opciones de las listas.</t>
        </is>
      </c>
    </row>
    <row r="7" ht="21.75" customHeight="1" s="17">
      <c r="A7" s="19" t="inlineStr">
        <is>
          <t>1. DATOS GENERALES</t>
        </is>
      </c>
    </row>
    <row r="8" ht="19.5" customHeight="1" s="17">
      <c r="A8" s="31" t="inlineStr">
        <is>
          <t>Fecha (dd-mm-aaaa) *</t>
        </is>
      </c>
      <c r="B8" s="14" t="n"/>
      <c r="C8" s="15" t="inlineStr">
        <is>
          <t>08-07-2026</t>
        </is>
      </c>
      <c r="D8" s="14" t="n"/>
      <c r="E8" s="31" t="inlineStr">
        <is>
          <t>Responsable *</t>
        </is>
      </c>
      <c r="F8" s="14" t="n"/>
      <c r="G8" s="15" t="inlineStr">
        <is>
          <t>Ing. Héctor Salomón Cahuas Miller</t>
        </is>
      </c>
      <c r="H8" s="14" t="n"/>
    </row>
    <row r="9" ht="19.5" customHeight="1" s="17">
      <c r="A9" s="31" t="inlineStr">
        <is>
          <t>Código del Bloque *</t>
        </is>
      </c>
      <c r="B9" s="14" t="n"/>
      <c r="C9" s="15" t="inlineStr">
        <is>
          <t>38</t>
        </is>
      </c>
      <c r="D9" s="14" t="n"/>
      <c r="E9" s="31" t="inlineStr">
        <is>
          <t>Microcuenca (auto)</t>
        </is>
      </c>
      <c r="F9" s="14" t="n"/>
      <c r="G9" s="12">
        <f>IFERROR(VLOOKUP($C$9,tbl_Bloques,2,FALSE()),"")</f>
        <v/>
      </c>
      <c r="H9" s="14" t="n"/>
    </row>
    <row r="10" ht="19.5" customHeight="1" s="17">
      <c r="A10" s="31" t="inlineStr">
        <is>
          <t>Distrito (auto)</t>
        </is>
      </c>
      <c r="B10" s="14" t="n"/>
      <c r="C10" s="12">
        <f>IFERROR(VLOOKUP($C$9,tbl_Bloques,4,FALSE()),"")</f>
        <v/>
      </c>
      <c r="D10" s="14" t="n"/>
      <c r="E10" s="31" t="inlineStr">
        <is>
          <t>Provincia (auto)</t>
        </is>
      </c>
      <c r="F10" s="14" t="n"/>
      <c r="G10" s="12">
        <f>IFERROR(VLOOKUP($C$9,tbl_Bloques,3,FALSE()),"")</f>
        <v/>
      </c>
      <c r="H10" s="14" t="n"/>
    </row>
    <row r="12" ht="21.75" customHeight="1" s="17">
      <c r="A12" s="19" t="inlineStr">
        <is>
          <t>2. INVENTARIO DE FUENTES DE AGUA (dentro o hasta 500 m del bloque)</t>
        </is>
      </c>
    </row>
    <row r="13" ht="27.75" customHeight="1" s="17">
      <c r="A13" s="32" t="inlineStr">
        <is>
          <t>Use los desplegables en columnas Tipo de fuente, Régimen y Calidad aparente. DISTANCIA: medida en metros desde el límite del bloque a la fuente.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 ht="30" customHeight="1" s="17">
      <c r="A14" s="2" t="inlineStr">
        <is>
          <t>N°</t>
        </is>
      </c>
      <c r="B14" s="2" t="inlineStr">
        <is>
          <t>Tipo de fuente</t>
        </is>
      </c>
      <c r="C14" s="2" t="inlineStr">
        <is>
          <t>UTM ESTE</t>
        </is>
      </c>
      <c r="D14" s="2" t="inlineStr">
        <is>
          <t>UTM NORTE</t>
        </is>
      </c>
      <c r="E14" s="2" t="inlineStr">
        <is>
          <t>Régimen</t>
        </is>
      </c>
      <c r="F14" s="2" t="inlineStr">
        <is>
          <t>Calidad
aparente</t>
        </is>
      </c>
      <c r="G14" s="2" t="inlineStr">
        <is>
          <t>Distancia
bloque (m)</t>
        </is>
      </c>
      <c r="H14" s="2" t="inlineStr">
        <is>
          <t>Uso observado / Observaciones</t>
        </is>
      </c>
    </row>
    <row r="15" ht="19.5" customHeight="1" s="17">
      <c r="A15" s="5" t="n">
        <v>1</v>
      </c>
      <c r="B15" s="3" t="inlineStr">
        <is>
          <t>Quebrada permanente</t>
        </is>
      </c>
      <c r="C15" s="3" t="n">
        <v>647201</v>
      </c>
      <c r="D15" s="3" t="n">
        <v>9427237</v>
      </c>
      <c r="E15" s="3" t="inlineStr">
        <is>
          <t>Permanente</t>
        </is>
      </c>
      <c r="F15" s="3" t="inlineStr">
        <is>
          <t>Regular (ligeramente turbia o con sedimentos)</t>
        </is>
      </c>
      <c r="G15" s="3" t="n">
        <v>0</v>
      </c>
      <c r="H15" s="36" t="inlineStr">
        <is>
          <t>Delimita el flanco SE del bloque y constituye el límite con el bloque 50. Caudal presente en plena época seca (08 de julio). Márgenes encajonadas con socavamiento activo. Régimen y calidad por confirmar estacionalmente.</t>
        </is>
      </c>
    </row>
    <row r="16" ht="19.5" customHeight="1" s="17">
      <c r="A16" s="5" t="n">
        <v>2</v>
      </c>
      <c r="B16" s="3" t="n"/>
      <c r="C16" s="3" t="n"/>
      <c r="D16" s="3" t="n"/>
      <c r="E16" s="3" t="n"/>
      <c r="F16" s="3" t="n"/>
      <c r="G16" s="3" t="n"/>
      <c r="H16" s="4" t="n"/>
    </row>
    <row r="17" ht="19.5" customHeight="1" s="17">
      <c r="A17" s="5" t="n">
        <v>3</v>
      </c>
      <c r="B17" s="3" t="n"/>
      <c r="C17" s="3" t="n"/>
      <c r="D17" s="3" t="n"/>
      <c r="E17" s="3" t="n"/>
      <c r="F17" s="3" t="n"/>
      <c r="G17" s="3" t="n"/>
      <c r="H17" s="4" t="n"/>
    </row>
    <row r="18" ht="19.5" customHeight="1" s="17">
      <c r="A18" s="5" t="n">
        <v>4</v>
      </c>
      <c r="B18" s="3" t="n"/>
      <c r="C18" s="3" t="n"/>
      <c r="D18" s="3" t="n"/>
      <c r="E18" s="3" t="n"/>
      <c r="F18" s="3" t="n"/>
      <c r="G18" s="3" t="n"/>
      <c r="H18" s="4" t="n"/>
    </row>
    <row r="19" ht="19.5" customHeight="1" s="17">
      <c r="A19" s="5" t="n">
        <v>5</v>
      </c>
      <c r="B19" s="3" t="n"/>
      <c r="C19" s="3" t="n"/>
      <c r="D19" s="3" t="n"/>
      <c r="E19" s="3" t="n"/>
      <c r="F19" s="3" t="n"/>
      <c r="G19" s="3" t="n"/>
      <c r="H19" s="4" t="n"/>
    </row>
    <row r="20" ht="19.5" customHeight="1" s="17">
      <c r="A20" s="5" t="n">
        <v>6</v>
      </c>
      <c r="B20" s="3" t="n"/>
      <c r="C20" s="3" t="n"/>
      <c r="D20" s="3" t="n"/>
      <c r="E20" s="3" t="n"/>
      <c r="F20" s="3" t="n"/>
      <c r="G20" s="3" t="n"/>
      <c r="H20" s="4" t="n"/>
    </row>
    <row r="21" ht="19.5" customHeight="1" s="17">
      <c r="A21" s="5" t="n">
        <v>7</v>
      </c>
      <c r="B21" s="3" t="n"/>
      <c r="C21" s="3" t="n"/>
      <c r="D21" s="3" t="n"/>
      <c r="E21" s="3" t="n"/>
      <c r="F21" s="3" t="n"/>
      <c r="G21" s="3" t="n"/>
      <c r="H21" s="4" t="n"/>
    </row>
    <row r="22" ht="19.5" customHeight="1" s="17">
      <c r="A22" s="5" t="n">
        <v>8</v>
      </c>
      <c r="B22" s="3" t="n"/>
      <c r="C22" s="3" t="n"/>
      <c r="D22" s="3" t="n"/>
      <c r="E22" s="3" t="n"/>
      <c r="F22" s="3" t="n"/>
      <c r="G22" s="3" t="n"/>
      <c r="H22" s="4" t="n"/>
    </row>
    <row r="23" ht="19.5" customHeight="1" s="17">
      <c r="A23" s="5" t="n">
        <v>9</v>
      </c>
      <c r="B23" s="3" t="n"/>
      <c r="C23" s="3" t="n"/>
      <c r="D23" s="3" t="n"/>
      <c r="E23" s="3" t="n"/>
      <c r="F23" s="3" t="n"/>
      <c r="G23" s="3" t="n"/>
      <c r="H23" s="4" t="n"/>
    </row>
    <row r="24" ht="19.5" customHeight="1" s="17">
      <c r="A24" s="5" t="n">
        <v>10</v>
      </c>
      <c r="B24" s="3" t="n"/>
      <c r="C24" s="3" t="n"/>
      <c r="D24" s="3" t="n"/>
      <c r="E24" s="3" t="n"/>
      <c r="F24" s="3" t="n"/>
      <c r="G24" s="3" t="n"/>
      <c r="H24" s="4" t="n"/>
    </row>
    <row r="26" ht="21.75" customHeight="1" s="17">
      <c r="A26" s="19" t="inlineStr">
        <is>
          <t>3. ANÁLISIS HÍDRICO PRELIMINAR</t>
        </is>
      </c>
    </row>
    <row r="27" ht="19.5" customHeight="1" s="17">
      <c r="A27" s="31" t="inlineStr">
        <is>
          <t>¿Bloque en zona de recarga hídrica?</t>
        </is>
      </c>
      <c r="B27" s="14" t="n"/>
      <c r="C27" s="15" t="inlineStr">
        <is>
          <t>Sí</t>
        </is>
      </c>
      <c r="D27" s="13" t="n"/>
      <c r="E27" s="13" t="n"/>
      <c r="F27" s="13" t="n"/>
      <c r="G27" s="13" t="n"/>
      <c r="H27" s="14" t="n"/>
    </row>
    <row r="28" ht="19.5" customHeight="1" s="17">
      <c r="A28" s="31" t="inlineStr">
        <is>
          <t>¿Zonas de humedad persistente observadas?</t>
        </is>
      </c>
      <c r="B28" s="14" t="n"/>
      <c r="C28" s="15" t="inlineStr">
        <is>
          <t>Sí</t>
        </is>
      </c>
      <c r="D28" s="13" t="n"/>
      <c r="E28" s="13" t="n"/>
      <c r="F28" s="13" t="n"/>
      <c r="G28" s="13" t="n"/>
      <c r="H28" s="14" t="n"/>
    </row>
    <row r="29" ht="19.5" customHeight="1" s="17">
      <c r="A29" s="31" t="inlineStr">
        <is>
          <t>¿Escorrentía concentrada observada?</t>
        </is>
      </c>
      <c r="B29" s="14" t="n"/>
      <c r="C29" s="15" t="inlineStr">
        <is>
          <t>Sí</t>
        </is>
      </c>
      <c r="D29" s="13" t="n"/>
      <c r="E29" s="13" t="n"/>
      <c r="F29" s="13" t="n"/>
      <c r="G29" s="13" t="n"/>
      <c r="H29" s="14" t="n"/>
    </row>
    <row r="30" ht="19.5" customHeight="1" s="17">
      <c r="A30" s="31" t="inlineStr">
        <is>
          <t>Distancia a captación poblacional más cercana (m)</t>
        </is>
      </c>
      <c r="B30" s="14" t="n"/>
      <c r="C30" s="15" t="inlineStr">
        <is>
          <t>Por determinar</t>
        </is>
      </c>
      <c r="D30" s="13" t="n"/>
      <c r="E30" s="13" t="n"/>
      <c r="F30" s="13" t="n"/>
      <c r="G30" s="13" t="n"/>
      <c r="H30" s="14" t="n"/>
    </row>
    <row r="31" ht="19.5" customHeight="1" s="17">
      <c r="A31" s="31" t="inlineStr">
        <is>
          <t>Nombre de la JASS o captación asociada</t>
        </is>
      </c>
      <c r="B31" s="14" t="n"/>
      <c r="C31" s="15" t="inlineStr">
        <is>
          <t>Por determinar</t>
        </is>
      </c>
      <c r="D31" s="13" t="n"/>
      <c r="E31" s="13" t="n"/>
      <c r="F31" s="13" t="n"/>
      <c r="G31" s="13" t="n"/>
      <c r="H31" s="14" t="n"/>
    </row>
    <row r="32" ht="19.5" customHeight="1" s="17">
      <c r="A32" s="31" t="inlineStr">
        <is>
          <t>¿Interferencia con obras de riego?</t>
        </is>
      </c>
      <c r="B32" s="14" t="n"/>
      <c r="C32" s="15" t="n"/>
      <c r="D32" s="13" t="n"/>
      <c r="E32" s="13" t="n"/>
      <c r="F32" s="13" t="n"/>
      <c r="G32" s="13" t="n"/>
      <c r="H32" s="14" t="n"/>
    </row>
    <row r="33" ht="19.5" customHeight="1" s="17">
      <c r="A33" s="31" t="inlineStr">
        <is>
          <t>Nombre del sistema de riego (si aplica)</t>
        </is>
      </c>
      <c r="B33" s="14" t="n"/>
      <c r="C33" s="15" t="inlineStr">
        <is>
          <t>Por determinar</t>
        </is>
      </c>
      <c r="D33" s="13" t="n"/>
      <c r="E33" s="13" t="n"/>
      <c r="F33" s="13" t="n"/>
      <c r="G33" s="13" t="n"/>
      <c r="H33" s="14" t="n"/>
    </row>
    <row r="35" ht="21.75" customHeight="1" s="17">
      <c r="A35" s="19" t="inlineStr">
        <is>
          <t>4. ACCESIBILIDAD Y LOGÍSTICA</t>
        </is>
      </c>
    </row>
    <row r="36" ht="19.5" customHeight="1" s="17">
      <c r="A36" s="31" t="inlineStr">
        <is>
          <t>Modalidad de acceso al bloque *</t>
        </is>
      </c>
      <c r="B36" s="14" t="n"/>
      <c r="C36" s="15" t="inlineStr">
        <is>
          <t>Vehicular + caminata &lt;30 min</t>
        </is>
      </c>
      <c r="D36" s="13" t="n"/>
      <c r="E36" s="13" t="n"/>
      <c r="F36" s="13" t="n"/>
      <c r="G36" s="13" t="n"/>
      <c r="H36" s="14" t="n"/>
    </row>
    <row r="37" ht="19.5" customHeight="1" s="17">
      <c r="A37" s="31" t="inlineStr">
        <is>
          <t>Vía principal de acceso (PE-/PI-/trocha) *</t>
        </is>
      </c>
      <c r="B37" s="14" t="n"/>
      <c r="C37" s="15" t="inlineStr">
        <is>
          <t>Trocha carrozable Lalaquiz (Tunal) – Ullma; ingreso común a los bloques 50 y 38 en 646 833 E · 9 426 997 N (código de ruta por confirmar)</t>
        </is>
      </c>
      <c r="D37" s="13" t="n"/>
      <c r="E37" s="13" t="n"/>
      <c r="F37" s="13" t="n"/>
      <c r="G37" s="13" t="n"/>
      <c r="H37" s="14" t="n"/>
    </row>
    <row r="38" ht="19.5" customHeight="1" s="17">
      <c r="A38" s="31" t="inlineStr">
        <is>
          <t>Tipo de vía final</t>
        </is>
      </c>
      <c r="B38" s="14" t="n"/>
      <c r="C38" s="15" t="inlineStr">
        <is>
          <t>Camino de herradura</t>
        </is>
      </c>
      <c r="D38" s="13" t="n"/>
      <c r="E38" s="13" t="n"/>
      <c r="F38" s="13" t="n"/>
      <c r="G38" s="13" t="n"/>
      <c r="H38" s="14" t="n"/>
    </row>
    <row r="39" ht="19.5" customHeight="1" s="17">
      <c r="A39" s="31" t="inlineStr">
        <is>
          <t>Estado transitabilidad — época seca</t>
        </is>
      </c>
      <c r="B39" s="14" t="n"/>
      <c r="C39" s="15" t="inlineStr">
        <is>
          <t>Medio</t>
        </is>
      </c>
      <c r="D39" s="13" t="n"/>
      <c r="E39" s="13" t="n"/>
      <c r="F39" s="13" t="n"/>
      <c r="G39" s="13" t="n"/>
      <c r="H39" s="14" t="n"/>
    </row>
    <row r="40" ht="19.5" customHeight="1" s="17">
      <c r="A40" s="31" t="inlineStr">
        <is>
          <t>Estado transitabilidad — época lluviosa</t>
        </is>
      </c>
      <c r="B40" s="14" t="n"/>
      <c r="C40" s="15" t="inlineStr">
        <is>
          <t>Bajo</t>
        </is>
      </c>
      <c r="D40" s="13" t="n"/>
      <c r="E40" s="13" t="n"/>
      <c r="F40" s="13" t="n"/>
      <c r="G40" s="13" t="n"/>
      <c r="H40" s="14" t="n"/>
    </row>
    <row r="41" ht="19.5" customHeight="1" s="17">
      <c r="A41" s="31" t="inlineStr">
        <is>
          <t>Tiempo desde capital distrital (min)</t>
        </is>
      </c>
      <c r="B41" s="14" t="n"/>
      <c r="C41" s="15" t="inlineStr">
        <is>
          <t>Por determinar</t>
        </is>
      </c>
      <c r="D41" s="14" t="n"/>
      <c r="E41" s="31" t="inlineStr">
        <is>
          <t>Tiempo desde capital provincial (min)</t>
        </is>
      </c>
      <c r="F41" s="14" t="n"/>
      <c r="G41" s="15" t="inlineStr">
        <is>
          <t>Por determinar</t>
        </is>
      </c>
      <c r="H41" s="14" t="n"/>
    </row>
    <row r="42" ht="19.5" customHeight="1" s="17">
      <c r="A42" s="31" t="inlineStr">
        <is>
          <t>Señal celular</t>
        </is>
      </c>
      <c r="B42" s="14" t="n"/>
      <c r="C42" s="15" t="inlineStr">
        <is>
          <t>Sin señal</t>
        </is>
      </c>
      <c r="D42" s="13" t="n"/>
      <c r="E42" s="13" t="n"/>
      <c r="F42" s="13" t="n"/>
      <c r="G42" s="13" t="n"/>
      <c r="H42" s="14" t="n"/>
    </row>
    <row r="43" ht="19.5" customHeight="1" s="17">
      <c r="A43" s="31" t="inlineStr">
        <is>
          <t>Operador celular dominante</t>
        </is>
      </c>
      <c r="B43" s="14" t="n"/>
      <c r="C43" s="15" t="inlineStr">
        <is>
          <t>Sin señal</t>
        </is>
      </c>
      <c r="D43" s="13" t="n"/>
      <c r="E43" s="13" t="n"/>
      <c r="F43" s="13" t="n"/>
      <c r="G43" s="13" t="n"/>
      <c r="H43" s="14" t="n"/>
    </row>
    <row r="44" ht="19.5" customHeight="1" s="17">
      <c r="A44" s="31" t="inlineStr">
        <is>
          <t>Alojamiento rural disponible</t>
        </is>
      </c>
      <c r="B44" s="14" t="n"/>
      <c r="C44" s="15" t="inlineStr">
        <is>
          <t>Por determinar</t>
        </is>
      </c>
      <c r="D44" s="13" t="n"/>
      <c r="E44" s="13" t="n"/>
      <c r="F44" s="13" t="n"/>
      <c r="G44" s="13" t="n"/>
      <c r="H44" s="14" t="n"/>
    </row>
    <row r="45" ht="19.5" customHeight="1" s="17">
      <c r="A45" s="31" t="inlineStr">
        <is>
          <t>¿Requiere autorización de Ronda Campesina? *</t>
        </is>
      </c>
      <c r="B45" s="14" t="n"/>
      <c r="C45" s="15" t="inlineStr">
        <is>
          <t>Sí</t>
        </is>
      </c>
      <c r="D45" s="13" t="n"/>
      <c r="E45" s="13" t="n"/>
      <c r="F45" s="13" t="n"/>
      <c r="G45" s="13" t="n"/>
      <c r="H45" s="14" t="n"/>
    </row>
    <row r="46" ht="19.5" customHeight="1" s="17">
      <c r="A46" s="31" t="inlineStr">
        <is>
          <t>Nombre / Contacto responsable de Ronda</t>
        </is>
      </c>
      <c r="B46" s="14" t="n"/>
      <c r="C46" s="15" t="inlineStr">
        <is>
          <t>Por verificar con autoridades locales del sector Ullma</t>
        </is>
      </c>
      <c r="D46" s="13" t="n"/>
      <c r="E46" s="13" t="n"/>
      <c r="F46" s="13" t="n"/>
      <c r="G46" s="13" t="n"/>
      <c r="H46" s="14" t="n"/>
    </row>
    <row r="48" ht="21.75" customHeight="1" s="17">
      <c r="A48" s="19" t="inlineStr">
        <is>
          <t>OBSERVACIONES</t>
        </is>
      </c>
    </row>
    <row r="49" ht="27.75" customHeight="1" s="17">
      <c r="A49" s="35" t="inlineStr">
        <is>
          <t>Señal celular y operador se consignan «Sin señal» por ausencia de registro en el ámbito durante la visita; requiere confirmación instrumental. Tiempos de viaje desde Tunal (capital distrital) y Huancabamba (capital provincial), alojamiento rural, identificación de la JASS, distancia a la captación poblacional y contacto de la Ronda Campesina NO fueron levantados y quedan pendientes para la siguiente salida, en coordinación con la brigada social.</t>
        </is>
      </c>
      <c r="B49" s="24" t="n"/>
      <c r="C49" s="24" t="n"/>
      <c r="D49" s="24" t="n"/>
      <c r="E49" s="24" t="n"/>
      <c r="F49" s="24" t="n"/>
      <c r="G49" s="24" t="n"/>
      <c r="H49" s="25" t="n"/>
    </row>
    <row r="50" ht="27.75" customHeight="1" s="17">
      <c r="A50" s="26" t="n"/>
      <c r="H50" s="27" t="n"/>
    </row>
    <row r="51" ht="27.75" customHeight="1" s="17">
      <c r="A51" s="28" t="n"/>
      <c r="B51" s="29" t="n"/>
      <c r="C51" s="29" t="n"/>
      <c r="D51" s="29" t="n"/>
      <c r="E51" s="29" t="n"/>
      <c r="F51" s="29" t="n"/>
      <c r="G51" s="29" t="n"/>
      <c r="H51" s="30" t="n"/>
    </row>
  </sheetData>
  <mergeCells count="63">
    <mergeCell ref="A48:H48"/>
    <mergeCell ref="A30:B30"/>
    <mergeCell ref="C44:H44"/>
    <mergeCell ref="C40:H40"/>
    <mergeCell ref="C31:H31"/>
    <mergeCell ref="A45:B45"/>
    <mergeCell ref="A36:B36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6:B46"/>
    <mergeCell ref="C39:H39"/>
    <mergeCell ref="C9:D9"/>
    <mergeCell ref="A27:B27"/>
    <mergeCell ref="E9:F9"/>
    <mergeCell ref="A12:H12"/>
    <mergeCell ref="C32:H32"/>
    <mergeCell ref="A3:H3"/>
    <mergeCell ref="A26:H26"/>
    <mergeCell ref="C38:H38"/>
    <mergeCell ref="C28:H28"/>
    <mergeCell ref="A33:B33"/>
    <mergeCell ref="C37:H37"/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A43:B43"/>
    <mergeCell ref="E41:F41"/>
    <mergeCell ref="A10:B10"/>
    <mergeCell ref="A28:B28"/>
    <mergeCell ref="G41:H41"/>
    <mergeCell ref="C45:H45"/>
    <mergeCell ref="A13:H13"/>
    <mergeCell ref="A44:B44"/>
    <mergeCell ref="A40:B40"/>
    <mergeCell ref="A9:B9"/>
    <mergeCell ref="G9:H9"/>
    <mergeCell ref="A31:B31"/>
    <mergeCell ref="C29:H29"/>
    <mergeCell ref="A39:B39"/>
  </mergeCells>
  <dataValidations count="15">
    <dataValidation sqref="C9" showDropDown="0" showInputMessage="0" showErrorMessage="0" allowBlank="1" errorTitle="Valor no válido" error="Seleccione un valor de la lista desplegable." promptTitle="Código de Bloque" prompt="Elija una opción de la lista." type="list">
      <formula1>lst_CodigoBloque</formula1>
      <formula2>0</formula2>
    </dataValidation>
    <dataValidation sqref="B15:B24" showDropDown="0" showInputMessage="0" showErrorMessage="0" allowBlank="1" errorTitle="Valor no válido" error="Seleccione un valor de la lista desplegable." promptTitle="Tipo de fuente" prompt="Elija una opción de la lista." type="list">
      <formula1>lst_TipoFuente</formula1>
      <formula2>0</formula2>
    </dataValidation>
    <dataValidation sqref="E15:E24" showDropDown="0" showInputMessage="0" showErrorMessage="0" allowBlank="1" errorTitle="Valor no válido" error="Seleccione un valor de la lista desplegable." promptTitle="Régimen" prompt="Elija una opción de la lista." type="list">
      <formula1>lst_RegimenHidrico</formula1>
      <formula2>0</formula2>
    </dataValidation>
    <dataValidation sqref="F15:F24" showDropDown="0" showInputMessage="0" showErrorMessage="0" allowBlank="1" errorTitle="Valor no válido" error="Seleccione un valor de la lista desplegable." promptTitle="Calidad aparente" prompt="Elija una opción de la lista." type="list">
      <formula1>lst_CalidadAgua</formula1>
      <formula2>0</formula2>
    </dataValidation>
    <dataValidation sqref="C27" showDropDown="0" showInputMessage="0" showErrorMessage="0" allowBlank="1" errorTitle="Valor no válido" error="Seleccione un valor de la lista desplegable." promptTitle="¿Bloque en zona de recarga híd" prompt="Elija una opción de la lista." type="list">
      <formula1>lst_SiNo</formula1>
      <formula2>0</formula2>
    </dataValidation>
    <dataValidation sqref="C28" showDropDown="0" showInputMessage="0" showErrorMessage="0" allowBlank="1" errorTitle="Valor no válido" error="Seleccione un valor de la lista desplegable." promptTitle="¿Zonas de humedad persistente " prompt="Elija una opción de la lista." type="list">
      <formula1>lst_SiNo</formula1>
      <formula2>0</formula2>
    </dataValidation>
    <dataValidation sqref="C29" showDropDown="0" showInputMessage="0" showErrorMessage="0" allowBlank="1" errorTitle="Valor no válido" error="Seleccione un valor de la lista desplegable." promptTitle="¿Escorrentía concentrada obser" prompt="Elija una opción de la lista." type="list">
      <formula1>lst_SiNo</formula1>
      <formula2>0</formula2>
    </dataValidation>
    <dataValidation sqref="C32" showDropDown="0" showInputMessage="0" showErrorMessage="0" allowBlank="1" errorTitle="Valor no válido" error="Seleccione un valor de la lista desplegable." promptTitle="¿Interferencia con obras de ri" prompt="Elija una opción de la lista." type="list">
      <formula1>lst_SiNo</formula1>
      <formula2>0</formula2>
    </dataValidation>
    <dataValidation sqref="C36" showDropDown="0" showInputMessage="0" showErrorMessage="0" allowBlank="1" errorTitle="Valor no válido" error="Seleccione un valor de la lista desplegable." promptTitle="Modalidad de acceso al bloque " prompt="Elija una opción de la lista." type="list">
      <formula1>lst_ModalidadAcceso</formula1>
      <formula2>0</formula2>
    </dataValidation>
    <dataValidation sqref="C38" showDropDown="0" showInputMessage="0" showErrorMessage="0" allowBlank="1" errorTitle="Valor no válido" error="Seleccione un valor de la lista desplegable." promptTitle="Tipo de vía final" prompt="Elija una opción de la lista." type="list">
      <formula1>lst_TipoVia</formula1>
      <formula2>0</formula2>
    </dataValidation>
    <dataValidation sqref="C39:C40" showDropDown="0" showInputMessage="0" showErrorMessage="0" allowBlank="1" errorTitle="Valor no válido" error="Seleccione un valor de la lista desplegable." promptTitle="Estado transitabilidad — época" prompt="Elija una opción de la lista." type="list">
      <formula1>lst_NivelTransitabilidad</formula1>
      <formula2>0</formula2>
    </dataValidation>
    <dataValidation sqref="C42" showDropDown="0" showInputMessage="0" showErrorMessage="0" allowBlank="1" errorTitle="Valor no válido" error="Seleccione un valor de la lista desplegable." promptTitle="Señal celular" prompt="Elija una opción de la lista." type="list">
      <formula1>lst_SenalCelular</formula1>
      <formula2>0</formula2>
    </dataValidation>
    <dataValidation sqref="C43" showDropDown="0" showInputMessage="0" showErrorMessage="0" allowBlank="1" errorTitle="Valor no válido" error="Seleccione un valor de la lista desplegable." promptTitle="Operador celular dominante" prompt="Elija una opción de la lista." type="list">
      <formula1>lst_Operador</formula1>
      <formula2>0</formula2>
    </dataValidation>
    <dataValidation sqref="C44" showDropDown="0" showInputMessage="0" showErrorMessage="0" allowBlank="1" errorTitle="Valor no válido" error="Seleccione un valor de la lista desplegable." promptTitle="Alojamiento rural disponible" prompt="Elija una opción de la lista." type="list">
      <formula1>lst_SiNo</formula1>
      <formula2>0</formula2>
    </dataValidation>
    <dataValidation sqref="C45" showDropDown="0" showInputMessage="0" showErrorMessage="0" allowBlank="1" errorTitle="Valor no válido" error="Seleccione un valor de la lista desplegable." promptTitle="¿Requiere autorización de Rond" prompt="Elija una opción de la lista." type="list">
      <formula1>lst_SiNo</formula1>
      <formula2>0</formula2>
    </dataValidation>
  </dataValidations>
  <printOptions horizontalCentered="1"/>
  <pageMargins left="0.4" right="0.4" top="0.5" bottom="0.5" header="0.2" footer="0.2"/>
  <pageSetup orientation="landscape" paperSize="9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4"/>
  <cols>
    <col width="10" customWidth="1" style="17" min="1" max="1"/>
    <col width="16" customWidth="1" style="17" min="2" max="3"/>
    <col width="24" customWidth="1" style="17" min="4" max="4"/>
    <col width="8" customWidth="1" style="17" min="5" max="5"/>
    <col width="12" customWidth="1" style="17" min="6" max="7"/>
    <col width="11" customWidth="1" style="17" min="8" max="8"/>
  </cols>
  <sheetData>
    <row r="1" ht="15" customHeight="1" s="17">
      <c r="A1" s="2" t="inlineStr">
        <is>
          <t>codigo</t>
        </is>
      </c>
      <c r="B1" s="2" t="inlineStr">
        <is>
          <t>microcuenca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zona</t>
        </is>
      </c>
      <c r="F1" s="2" t="inlineStr">
        <is>
          <t>este_utm</t>
        </is>
      </c>
      <c r="G1" s="2" t="inlineStr">
        <is>
          <t>norte_utm</t>
        </is>
      </c>
      <c r="H1" s="2" t="inlineStr">
        <is>
          <t>area_ha</t>
        </is>
      </c>
    </row>
    <row r="2" ht="15" customHeight="1" s="17">
      <c r="A2" s="8" t="inlineStr">
        <is>
          <t>M9B1</t>
        </is>
      </c>
      <c r="B2" s="8" t="inlineStr">
        <is>
          <t>C1096-Q9545</t>
        </is>
      </c>
      <c r="C2" s="8" t="inlineStr">
        <is>
          <t>Morropon</t>
        </is>
      </c>
      <c r="D2" s="8" t="inlineStr">
        <is>
          <t>Chulucanas</t>
        </is>
      </c>
      <c r="E2" s="8" t="inlineStr">
        <is>
          <t>Z01</t>
        </is>
      </c>
      <c r="F2" s="9" t="n">
        <v>595552</v>
      </c>
      <c r="G2" s="9" t="n">
        <v>9451222</v>
      </c>
      <c r="H2" s="10" t="n">
        <v>355.36</v>
      </c>
    </row>
    <row r="3" ht="15" customHeight="1" s="17">
      <c r="A3" s="8" t="inlineStr">
        <is>
          <t>M10B4</t>
        </is>
      </c>
      <c r="B3" s="8" t="inlineStr">
        <is>
          <t>C1096-Q9547</t>
        </is>
      </c>
      <c r="C3" s="8" t="inlineStr">
        <is>
          <t>Morropon</t>
        </is>
      </c>
      <c r="D3" s="8" t="inlineStr">
        <is>
          <t>Chulucanas</t>
        </is>
      </c>
      <c r="E3" s="8" t="inlineStr">
        <is>
          <t>Z01</t>
        </is>
      </c>
      <c r="F3" s="9" t="n">
        <v>596773</v>
      </c>
      <c r="G3" s="9" t="n">
        <v>9448273</v>
      </c>
      <c r="H3" s="10" t="n">
        <v>68.89</v>
      </c>
    </row>
    <row r="4" ht="15" customHeight="1" s="17">
      <c r="A4" s="8" t="inlineStr">
        <is>
          <t>25</t>
        </is>
      </c>
      <c r="B4" s="8" t="inlineStr">
        <is>
          <t>C1096-Q9547</t>
        </is>
      </c>
      <c r="C4" s="8" t="inlineStr">
        <is>
          <t>Morropon</t>
        </is>
      </c>
      <c r="D4" s="8" t="inlineStr">
        <is>
          <t>Chulucanas</t>
        </is>
      </c>
      <c r="E4" s="8" t="inlineStr">
        <is>
          <t>Z01</t>
        </is>
      </c>
      <c r="F4" s="9" t="n">
        <v>596578</v>
      </c>
      <c r="G4" s="9" t="n">
        <v>9442453</v>
      </c>
      <c r="H4" s="10" t="n">
        <v>53.48</v>
      </c>
    </row>
    <row r="5" ht="15" customHeight="1" s="17">
      <c r="A5" s="8" t="inlineStr">
        <is>
          <t>32</t>
        </is>
      </c>
      <c r="B5" s="8" t="inlineStr">
        <is>
          <t>C1096-Q9556</t>
        </is>
      </c>
      <c r="C5" s="8" t="inlineStr">
        <is>
          <t>Morropon</t>
        </is>
      </c>
      <c r="D5" s="8" t="inlineStr">
        <is>
          <t>Chulucanas</t>
        </is>
      </c>
      <c r="E5" s="8" t="inlineStr">
        <is>
          <t>Z01</t>
        </is>
      </c>
      <c r="F5" s="9" t="n">
        <v>599927</v>
      </c>
      <c r="G5" s="9" t="n">
        <v>9442604</v>
      </c>
      <c r="H5" s="10" t="n">
        <v>35.83</v>
      </c>
    </row>
    <row r="6" ht="15" customHeight="1" s="17">
      <c r="A6" s="8" t="inlineStr">
        <is>
          <t>22</t>
        </is>
      </c>
      <c r="B6" s="8" t="inlineStr">
        <is>
          <t>C1096-Q9556</t>
        </is>
      </c>
      <c r="C6" s="8" t="inlineStr">
        <is>
          <t>Morropon</t>
        </is>
      </c>
      <c r="D6" s="8" t="inlineStr">
        <is>
          <t>Chulucanas</t>
        </is>
      </c>
      <c r="E6" s="8" t="inlineStr">
        <is>
          <t>Z01</t>
        </is>
      </c>
      <c r="F6" s="9" t="n">
        <v>601122</v>
      </c>
      <c r="G6" s="9" t="n">
        <v>9443651</v>
      </c>
      <c r="H6" s="10" t="n">
        <v>79.33</v>
      </c>
    </row>
    <row r="7" ht="15" customHeight="1" s="17">
      <c r="A7" s="8" t="inlineStr">
        <is>
          <t>M17B1</t>
        </is>
      </c>
      <c r="B7" s="8" t="inlineStr">
        <is>
          <t>C1096-Q9556</t>
        </is>
      </c>
      <c r="C7" s="8" t="inlineStr">
        <is>
          <t>Morropon</t>
        </is>
      </c>
      <c r="D7" s="8" t="inlineStr">
        <is>
          <t>Chulucanas</t>
        </is>
      </c>
      <c r="E7" s="8" t="inlineStr">
        <is>
          <t>Z01</t>
        </is>
      </c>
      <c r="F7" s="9" t="n">
        <v>600644</v>
      </c>
      <c r="G7" s="9" t="n">
        <v>9440436</v>
      </c>
      <c r="H7" s="10" t="n">
        <v>42.45</v>
      </c>
    </row>
    <row r="8" ht="15" customHeight="1" s="17">
      <c r="A8" s="8" t="inlineStr">
        <is>
          <t>2</t>
        </is>
      </c>
      <c r="B8" s="8" t="inlineStr">
        <is>
          <t>C1096-Q9558</t>
        </is>
      </c>
      <c r="C8" s="8" t="inlineStr">
        <is>
          <t>Morropon</t>
        </is>
      </c>
      <c r="D8" s="8" t="inlineStr">
        <is>
          <t>Chulucanas</t>
        </is>
      </c>
      <c r="E8" s="8" t="inlineStr">
        <is>
          <t>Z01</t>
        </is>
      </c>
      <c r="F8" s="9" t="n">
        <v>603653</v>
      </c>
      <c r="G8" s="9" t="n">
        <v>9439351</v>
      </c>
      <c r="H8" s="10" t="n">
        <v>330.6</v>
      </c>
    </row>
    <row r="9" ht="15" customHeight="1" s="17">
      <c r="A9" s="8" t="inlineStr">
        <is>
          <t>M17B4</t>
        </is>
      </c>
      <c r="B9" s="8" t="inlineStr">
        <is>
          <t>C1096-Q9556</t>
        </is>
      </c>
      <c r="C9" s="8" t="inlineStr">
        <is>
          <t>Morropon</t>
        </is>
      </c>
      <c r="D9" s="8" t="inlineStr">
        <is>
          <t>Chulucanas</t>
        </is>
      </c>
      <c r="E9" s="8" t="inlineStr">
        <is>
          <t>Z01</t>
        </is>
      </c>
      <c r="F9" s="9" t="n">
        <v>604926</v>
      </c>
      <c r="G9" s="9" t="n">
        <v>9444327</v>
      </c>
      <c r="H9" s="10" t="n">
        <v>124.71</v>
      </c>
    </row>
    <row r="10" ht="15" customHeight="1" s="17">
      <c r="A10" s="8" t="inlineStr">
        <is>
          <t>M27B1</t>
        </is>
      </c>
      <c r="B10" s="8" t="inlineStr">
        <is>
          <t>C1096-Q9557</t>
        </is>
      </c>
      <c r="C10" s="8" t="inlineStr">
        <is>
          <t>Morropon</t>
        </is>
      </c>
      <c r="D10" s="8" t="inlineStr">
        <is>
          <t>Chulucanas</t>
        </is>
      </c>
      <c r="E10" s="8" t="inlineStr">
        <is>
          <t>Z01</t>
        </is>
      </c>
      <c r="F10" s="9" t="n">
        <v>593246</v>
      </c>
      <c r="G10" s="9" t="n">
        <v>9430139</v>
      </c>
      <c r="H10" s="10" t="n">
        <v>448.8</v>
      </c>
    </row>
    <row r="11" ht="15" customHeight="1" s="17">
      <c r="A11" s="8" t="inlineStr">
        <is>
          <t>3</t>
        </is>
      </c>
      <c r="B11" s="8" t="inlineStr">
        <is>
          <t>C1096-Q9545</t>
        </is>
      </c>
      <c r="C11" s="8" t="inlineStr">
        <is>
          <t>Ayabaca</t>
        </is>
      </c>
      <c r="D11" s="8" t="inlineStr">
        <is>
          <t>Frias</t>
        </is>
      </c>
      <c r="E11" s="8" t="inlineStr">
        <is>
          <t>Z02</t>
        </is>
      </c>
      <c r="F11" s="9" t="n">
        <v>606816</v>
      </c>
      <c r="G11" s="9" t="n">
        <v>9458469</v>
      </c>
      <c r="H11" s="10" t="n">
        <v>459.29</v>
      </c>
    </row>
    <row r="12" ht="15" customHeight="1" s="17">
      <c r="A12" s="8" t="inlineStr">
        <is>
          <t>6</t>
        </is>
      </c>
      <c r="B12" s="8" t="inlineStr">
        <is>
          <t>C1096-Q9547</t>
        </is>
      </c>
      <c r="C12" s="8" t="inlineStr">
        <is>
          <t>Ayabaca</t>
        </is>
      </c>
      <c r="D12" s="8" t="inlineStr">
        <is>
          <t>Frias</t>
        </is>
      </c>
      <c r="E12" s="8" t="inlineStr">
        <is>
          <t>Z02</t>
        </is>
      </c>
      <c r="F12" s="9" t="n">
        <v>605636</v>
      </c>
      <c r="G12" s="9" t="n">
        <v>9455269</v>
      </c>
      <c r="H12" s="10" t="n">
        <v>168.41</v>
      </c>
    </row>
    <row r="13" ht="15" customHeight="1" s="17">
      <c r="A13" s="8" t="inlineStr">
        <is>
          <t>36</t>
        </is>
      </c>
      <c r="B13" s="8" t="inlineStr">
        <is>
          <t>C1096-Q9547</t>
        </is>
      </c>
      <c r="C13" s="8" t="inlineStr">
        <is>
          <t>Ayabaca</t>
        </is>
      </c>
      <c r="D13" s="8" t="inlineStr">
        <is>
          <t>Frias</t>
        </is>
      </c>
      <c r="E13" s="8" t="inlineStr">
        <is>
          <t>Z02</t>
        </is>
      </c>
      <c r="F13" s="9" t="n">
        <v>606468</v>
      </c>
      <c r="G13" s="9" t="n">
        <v>9454689</v>
      </c>
      <c r="H13" s="10" t="n">
        <v>24.84</v>
      </c>
    </row>
    <row r="14" ht="15" customHeight="1" s="17">
      <c r="A14" s="8" t="inlineStr">
        <is>
          <t>M17B7</t>
        </is>
      </c>
      <c r="B14" s="8" t="inlineStr">
        <is>
          <t>C1096-Q9556</t>
        </is>
      </c>
      <c r="C14" s="8" t="inlineStr">
        <is>
          <t>Ayabaca</t>
        </is>
      </c>
      <c r="D14" s="8" t="inlineStr">
        <is>
          <t>Frias</t>
        </is>
      </c>
      <c r="E14" s="8" t="inlineStr">
        <is>
          <t>Z02</t>
        </is>
      </c>
      <c r="F14" s="9" t="n">
        <v>608472</v>
      </c>
      <c r="G14" s="9" t="n">
        <v>9448056</v>
      </c>
      <c r="H14" s="10" t="n">
        <v>258.84</v>
      </c>
    </row>
    <row r="15" ht="15" customHeight="1" s="17">
      <c r="A15" s="8" t="inlineStr">
        <is>
          <t>M17B6</t>
        </is>
      </c>
      <c r="B15" s="8" t="inlineStr">
        <is>
          <t>C1096-Q9556</t>
        </is>
      </c>
      <c r="C15" s="8" t="inlineStr">
        <is>
          <t>Ayabaca</t>
        </is>
      </c>
      <c r="D15" s="8" t="inlineStr">
        <is>
          <t>Frias</t>
        </is>
      </c>
      <c r="E15" s="8" t="inlineStr">
        <is>
          <t>Z02</t>
        </is>
      </c>
      <c r="F15" s="9" t="n">
        <v>607036</v>
      </c>
      <c r="G15" s="9" t="n">
        <v>9446211</v>
      </c>
      <c r="H15" s="10" t="n">
        <v>106.54</v>
      </c>
    </row>
    <row r="16" ht="15" customHeight="1" s="17">
      <c r="A16" s="8" t="inlineStr">
        <is>
          <t>M17B10</t>
        </is>
      </c>
      <c r="B16" s="8" t="inlineStr">
        <is>
          <t>C1096-Q9556</t>
        </is>
      </c>
      <c r="C16" s="8" t="inlineStr">
        <is>
          <t>Ayabaca</t>
        </is>
      </c>
      <c r="D16" s="8" t="inlineStr">
        <is>
          <t>Frias</t>
        </is>
      </c>
      <c r="E16" s="8" t="inlineStr">
        <is>
          <t>Z02</t>
        </is>
      </c>
      <c r="F16" s="9" t="n">
        <v>606173</v>
      </c>
      <c r="G16" s="9" t="n">
        <v>9447361</v>
      </c>
      <c r="H16" s="10" t="n">
        <v>75.36</v>
      </c>
    </row>
    <row r="17" ht="15" customHeight="1" s="17">
      <c r="A17" s="8" t="inlineStr">
        <is>
          <t>M17B5</t>
        </is>
      </c>
      <c r="B17" s="8" t="inlineStr">
        <is>
          <t>C1096-Q9556</t>
        </is>
      </c>
      <c r="C17" s="8" t="inlineStr">
        <is>
          <t>Ayabaca</t>
        </is>
      </c>
      <c r="D17" s="8" t="inlineStr">
        <is>
          <t>Frias</t>
        </is>
      </c>
      <c r="E17" s="8" t="inlineStr">
        <is>
          <t>Z02</t>
        </is>
      </c>
      <c r="F17" s="9" t="n">
        <v>608800</v>
      </c>
      <c r="G17" s="9" t="n">
        <v>9445585</v>
      </c>
      <c r="H17" s="10" t="n">
        <v>74.03</v>
      </c>
    </row>
    <row r="18" ht="15" customHeight="1" s="17">
      <c r="A18" s="8" t="inlineStr">
        <is>
          <t>27</t>
        </is>
      </c>
      <c r="B18" s="8" t="inlineStr">
        <is>
          <t>C1096-Q9556</t>
        </is>
      </c>
      <c r="C18" s="8" t="inlineStr">
        <is>
          <t>Ayabaca</t>
        </is>
      </c>
      <c r="D18" s="8" t="inlineStr">
        <is>
          <t>Frias</t>
        </is>
      </c>
      <c r="E18" s="8" t="inlineStr">
        <is>
          <t>Z02</t>
        </is>
      </c>
      <c r="F18" s="9" t="n">
        <v>613302</v>
      </c>
      <c r="G18" s="9" t="n">
        <v>9450231</v>
      </c>
      <c r="H18" s="10" t="n">
        <v>78.15000000000001</v>
      </c>
    </row>
    <row r="19" ht="15" customHeight="1" s="17">
      <c r="A19" s="8" t="inlineStr">
        <is>
          <t>39</t>
        </is>
      </c>
      <c r="B19" s="8" t="inlineStr">
        <is>
          <t>C1096-Q9564</t>
        </is>
      </c>
      <c r="C19" s="8" t="inlineStr">
        <is>
          <t>Ayabaca</t>
        </is>
      </c>
      <c r="D19" s="8" t="inlineStr">
        <is>
          <t>Frias</t>
        </is>
      </c>
      <c r="E19" s="8" t="inlineStr">
        <is>
          <t>Z02</t>
        </is>
      </c>
      <c r="F19" s="9" t="n">
        <v>618523</v>
      </c>
      <c r="G19" s="9" t="n">
        <v>9448918</v>
      </c>
      <c r="H19" s="10" t="n">
        <v>68.56999999999999</v>
      </c>
    </row>
    <row r="20" ht="15" customHeight="1" s="17">
      <c r="A20" s="8" t="inlineStr">
        <is>
          <t>56</t>
        </is>
      </c>
      <c r="B20" s="8" t="inlineStr">
        <is>
          <t>C1096-Q9564</t>
        </is>
      </c>
      <c r="C20" s="8" t="inlineStr">
        <is>
          <t>Ayabaca</t>
        </is>
      </c>
      <c r="D20" s="8" t="inlineStr">
        <is>
          <t>Frias</t>
        </is>
      </c>
      <c r="E20" s="8" t="inlineStr">
        <is>
          <t>Z02</t>
        </is>
      </c>
      <c r="F20" s="9" t="n">
        <v>631723</v>
      </c>
      <c r="G20" s="9" t="n">
        <v>9439702</v>
      </c>
      <c r="H20" s="10" t="n">
        <v>77.67</v>
      </c>
    </row>
    <row r="21" ht="15" customHeight="1" s="17">
      <c r="A21" s="8" t="inlineStr">
        <is>
          <t>12</t>
        </is>
      </c>
      <c r="B21" s="8" t="inlineStr">
        <is>
          <t>C1086-Q9570</t>
        </is>
      </c>
      <c r="C21" s="8" t="inlineStr">
        <is>
          <t>Morropon</t>
        </is>
      </c>
      <c r="D21" s="8" t="inlineStr">
        <is>
          <t>Santo Domingo</t>
        </is>
      </c>
      <c r="E21" s="8" t="inlineStr">
        <is>
          <t>Z03</t>
        </is>
      </c>
      <c r="F21" s="9" t="n">
        <v>625419</v>
      </c>
      <c r="G21" s="9" t="n">
        <v>9444932</v>
      </c>
      <c r="H21" s="10" t="n">
        <v>119.54</v>
      </c>
    </row>
    <row r="22" ht="15" customHeight="1" s="17">
      <c r="A22" s="8" t="inlineStr">
        <is>
          <t>82</t>
        </is>
      </c>
      <c r="B22" s="8" t="inlineStr">
        <is>
          <t>C1086-Q9570</t>
        </is>
      </c>
      <c r="C22" s="8" t="inlineStr">
        <is>
          <t>Morropon</t>
        </is>
      </c>
      <c r="D22" s="8" t="inlineStr">
        <is>
          <t>Santo Domingo</t>
        </is>
      </c>
      <c r="E22" s="8" t="inlineStr">
        <is>
          <t>Z03</t>
        </is>
      </c>
      <c r="F22" s="9" t="n">
        <v>621452</v>
      </c>
      <c r="G22" s="9" t="n">
        <v>9443855</v>
      </c>
      <c r="H22" s="10" t="n">
        <v>35.66</v>
      </c>
    </row>
    <row r="23" ht="15" customHeight="1" s="17">
      <c r="A23" s="8" t="inlineStr">
        <is>
          <t>13</t>
        </is>
      </c>
      <c r="B23" s="8" t="inlineStr">
        <is>
          <t>C1096-Q9564</t>
        </is>
      </c>
      <c r="C23" s="8" t="inlineStr">
        <is>
          <t>Morropon</t>
        </is>
      </c>
      <c r="D23" s="8" t="inlineStr">
        <is>
          <t>Santo Domingo</t>
        </is>
      </c>
      <c r="E23" s="8" t="inlineStr">
        <is>
          <t>Z03</t>
        </is>
      </c>
      <c r="F23" s="9" t="n">
        <v>620263</v>
      </c>
      <c r="G23" s="9" t="n">
        <v>9442343</v>
      </c>
      <c r="H23" s="10" t="n">
        <v>100.51</v>
      </c>
    </row>
    <row r="24" ht="15" customHeight="1" s="17">
      <c r="A24" s="8" t="inlineStr">
        <is>
          <t>78</t>
        </is>
      </c>
      <c r="B24" s="8" t="inlineStr">
        <is>
          <t>C1086-Q9570</t>
        </is>
      </c>
      <c r="C24" s="8" t="inlineStr">
        <is>
          <t>Morropon</t>
        </is>
      </c>
      <c r="D24" s="8" t="inlineStr">
        <is>
          <t>Santo Domingo</t>
        </is>
      </c>
      <c r="E24" s="8" t="inlineStr">
        <is>
          <t>Z03</t>
        </is>
      </c>
      <c r="F24" s="9" t="n">
        <v>619630</v>
      </c>
      <c r="G24" s="9" t="n">
        <v>9440043</v>
      </c>
      <c r="H24" s="10" t="n">
        <v>35.1</v>
      </c>
    </row>
    <row r="25" ht="15" customHeight="1" s="17">
      <c r="A25" s="8" t="inlineStr">
        <is>
          <t>11</t>
        </is>
      </c>
      <c r="B25" s="8" t="inlineStr">
        <is>
          <t>C1086-Q9570</t>
        </is>
      </c>
      <c r="C25" s="8" t="inlineStr">
        <is>
          <t>Morropon</t>
        </is>
      </c>
      <c r="D25" s="8" t="inlineStr">
        <is>
          <t>Santo Domingo</t>
        </is>
      </c>
      <c r="E25" s="8" t="inlineStr">
        <is>
          <t>Z03</t>
        </is>
      </c>
      <c r="F25" s="9" t="n">
        <v>620759</v>
      </c>
      <c r="G25" s="9" t="n">
        <v>9439988</v>
      </c>
      <c r="H25" s="10" t="n">
        <v>103.95</v>
      </c>
    </row>
    <row r="26" ht="15" customHeight="1" s="17">
      <c r="A26" s="8" t="inlineStr">
        <is>
          <t>23</t>
        </is>
      </c>
      <c r="B26" s="8" t="inlineStr">
        <is>
          <t>C1086-Q9570</t>
        </is>
      </c>
      <c r="C26" s="8" t="inlineStr">
        <is>
          <t>Morropon</t>
        </is>
      </c>
      <c r="D26" s="8" t="inlineStr">
        <is>
          <t>Santo Domingo</t>
        </is>
      </c>
      <c r="E26" s="8" t="inlineStr">
        <is>
          <t>Z03</t>
        </is>
      </c>
      <c r="F26" s="9" t="n">
        <v>619939</v>
      </c>
      <c r="G26" s="9" t="n">
        <v>9438544</v>
      </c>
      <c r="H26" s="10" t="n">
        <v>81.78</v>
      </c>
    </row>
    <row r="27" ht="15" customHeight="1" s="17">
      <c r="A27" s="8" t="inlineStr">
        <is>
          <t>15</t>
        </is>
      </c>
      <c r="B27" s="8" t="inlineStr">
        <is>
          <t>C1086-Q9570</t>
        </is>
      </c>
      <c r="C27" s="8" t="inlineStr">
        <is>
          <t>Morropon</t>
        </is>
      </c>
      <c r="D27" s="8" t="inlineStr">
        <is>
          <t>Santo Domingo</t>
        </is>
      </c>
      <c r="E27" s="8" t="inlineStr">
        <is>
          <t>Z03</t>
        </is>
      </c>
      <c r="F27" s="9" t="n">
        <v>620200</v>
      </c>
      <c r="G27" s="9" t="n">
        <v>9437862</v>
      </c>
      <c r="H27" s="10" t="n">
        <v>86.15000000000001</v>
      </c>
    </row>
    <row r="28" ht="15" customHeight="1" s="17">
      <c r="A28" s="8" t="inlineStr">
        <is>
          <t>M19B7</t>
        </is>
      </c>
      <c r="B28" s="8" t="inlineStr">
        <is>
          <t>C1086-Q9570</t>
        </is>
      </c>
      <c r="C28" s="8" t="inlineStr">
        <is>
          <t>Morropon</t>
        </is>
      </c>
      <c r="D28" s="8" t="inlineStr">
        <is>
          <t>Santo Domingo</t>
        </is>
      </c>
      <c r="E28" s="8" t="inlineStr">
        <is>
          <t>Z03</t>
        </is>
      </c>
      <c r="F28" s="9" t="n">
        <v>620770</v>
      </c>
      <c r="G28" s="9" t="n">
        <v>9436562</v>
      </c>
      <c r="H28" s="10" t="n">
        <v>34.17</v>
      </c>
    </row>
    <row r="29" ht="15" customHeight="1" s="17">
      <c r="A29" s="8" t="inlineStr">
        <is>
          <t>17</t>
        </is>
      </c>
      <c r="B29" s="8" t="inlineStr">
        <is>
          <t>C1086-Q9570</t>
        </is>
      </c>
      <c r="C29" s="8" t="inlineStr">
        <is>
          <t>Morropon</t>
        </is>
      </c>
      <c r="D29" s="8" t="inlineStr">
        <is>
          <t>Santo Domingo</t>
        </is>
      </c>
      <c r="E29" s="8" t="inlineStr">
        <is>
          <t>Z03</t>
        </is>
      </c>
      <c r="F29" s="9" t="n">
        <v>618661</v>
      </c>
      <c r="G29" s="9" t="n">
        <v>9438267</v>
      </c>
      <c r="H29" s="10" t="n">
        <v>96.08</v>
      </c>
    </row>
    <row r="30" ht="15" customHeight="1" s="17">
      <c r="A30" s="8" t="inlineStr">
        <is>
          <t>M8B2</t>
        </is>
      </c>
      <c r="B30" s="8" t="inlineStr">
        <is>
          <t>C1096-Q9558</t>
        </is>
      </c>
      <c r="C30" s="8" t="inlineStr">
        <is>
          <t>Morropon</t>
        </is>
      </c>
      <c r="D30" s="8" t="inlineStr">
        <is>
          <t>Santo Domingo</t>
        </is>
      </c>
      <c r="E30" s="8" t="inlineStr">
        <is>
          <t>Z03</t>
        </is>
      </c>
      <c r="F30" s="9" t="n">
        <v>617596</v>
      </c>
      <c r="G30" s="9" t="n">
        <v>9436227</v>
      </c>
      <c r="H30" s="10" t="n">
        <v>35.35</v>
      </c>
    </row>
    <row r="31" ht="15" customHeight="1" s="17">
      <c r="A31" s="8" t="inlineStr">
        <is>
          <t>57</t>
        </is>
      </c>
      <c r="B31" s="8" t="inlineStr">
        <is>
          <t>C1086-Q9576</t>
        </is>
      </c>
      <c r="C31" s="8" t="inlineStr">
        <is>
          <t>Morropon</t>
        </is>
      </c>
      <c r="D31" s="8" t="inlineStr">
        <is>
          <t>Chalaco</t>
        </is>
      </c>
      <c r="E31" s="8" t="inlineStr">
        <is>
          <t>Z04</t>
        </is>
      </c>
      <c r="F31" s="9" t="n">
        <v>631195</v>
      </c>
      <c r="G31" s="9" t="n">
        <v>9441777</v>
      </c>
      <c r="H31" s="10" t="n">
        <v>25.67</v>
      </c>
    </row>
    <row r="32" ht="15" customHeight="1" s="17">
      <c r="A32" s="8" t="inlineStr">
        <is>
          <t>59</t>
        </is>
      </c>
      <c r="B32" s="8" t="inlineStr">
        <is>
          <t>C1086-Q9570</t>
        </is>
      </c>
      <c r="C32" s="8" t="inlineStr">
        <is>
          <t>Morropon</t>
        </is>
      </c>
      <c r="D32" s="8" t="inlineStr">
        <is>
          <t>Chalaco</t>
        </is>
      </c>
      <c r="E32" s="8" t="inlineStr">
        <is>
          <t>Z04</t>
        </is>
      </c>
      <c r="F32" s="9" t="n">
        <v>631195</v>
      </c>
      <c r="G32" s="9" t="n">
        <v>9441777</v>
      </c>
      <c r="H32" s="10" t="n">
        <v>13.55</v>
      </c>
    </row>
    <row r="33" ht="15" customHeight="1" s="17">
      <c r="A33" s="8" t="inlineStr">
        <is>
          <t>M36B2</t>
        </is>
      </c>
      <c r="B33" s="8" t="inlineStr">
        <is>
          <t>C1086-Q9576</t>
        </is>
      </c>
      <c r="C33" s="8" t="inlineStr">
        <is>
          <t>Morropon</t>
        </is>
      </c>
      <c r="D33" s="8" t="inlineStr">
        <is>
          <t>Santa Catalina de Mossa</t>
        </is>
      </c>
      <c r="E33" s="8" t="inlineStr">
        <is>
          <t>Z04</t>
        </is>
      </c>
      <c r="F33" s="9" t="n">
        <v>626438</v>
      </c>
      <c r="G33" s="9" t="n">
        <v>9435060</v>
      </c>
      <c r="H33" s="10" t="n">
        <v>28.19</v>
      </c>
    </row>
    <row r="34" ht="15" customHeight="1" s="17">
      <c r="A34" s="8" t="inlineStr">
        <is>
          <t>42</t>
        </is>
      </c>
      <c r="B34" s="8" t="inlineStr">
        <is>
          <t>C1086-Q9570</t>
        </is>
      </c>
      <c r="C34" s="8" t="inlineStr">
        <is>
          <t>Morropon</t>
        </is>
      </c>
      <c r="D34" s="8" t="inlineStr">
        <is>
          <t>Santa Catalina de Mossa</t>
        </is>
      </c>
      <c r="E34" s="8" t="inlineStr">
        <is>
          <t>Z04</t>
        </is>
      </c>
      <c r="F34" s="9" t="n">
        <v>625152</v>
      </c>
      <c r="G34" s="9" t="n">
        <v>9435011</v>
      </c>
      <c r="H34" s="10" t="n">
        <v>80.62</v>
      </c>
    </row>
    <row r="35" ht="15" customHeight="1" s="17">
      <c r="A35" s="8" t="inlineStr">
        <is>
          <t>14</t>
        </is>
      </c>
      <c r="B35" s="8" t="inlineStr">
        <is>
          <t>C1086-Q9570</t>
        </is>
      </c>
      <c r="C35" s="8" t="inlineStr">
        <is>
          <t>Morropon</t>
        </is>
      </c>
      <c r="D35" s="8" t="inlineStr">
        <is>
          <t>Santa Catalina de Mossa</t>
        </is>
      </c>
      <c r="E35" s="8" t="inlineStr">
        <is>
          <t>Z04</t>
        </is>
      </c>
      <c r="F35" s="9" t="n">
        <v>624397</v>
      </c>
      <c r="G35" s="9" t="n">
        <v>9437085</v>
      </c>
      <c r="H35" s="10" t="n">
        <v>92.90000000000001</v>
      </c>
    </row>
    <row r="36" ht="15" customHeight="1" s="17">
      <c r="A36" s="8" t="inlineStr">
        <is>
          <t>58</t>
        </is>
      </c>
      <c r="B36" s="8" t="inlineStr">
        <is>
          <t>C1086-Q9569</t>
        </is>
      </c>
      <c r="C36" s="8" t="inlineStr">
        <is>
          <t>Morropon</t>
        </is>
      </c>
      <c r="D36" s="8" t="inlineStr">
        <is>
          <t>Santa Catalina de Mossa</t>
        </is>
      </c>
      <c r="E36" s="8" t="inlineStr">
        <is>
          <t>Z04</t>
        </is>
      </c>
      <c r="F36" s="9" t="n">
        <v>619094</v>
      </c>
      <c r="G36" s="9" t="n">
        <v>9426406</v>
      </c>
      <c r="H36" s="10" t="n">
        <v>11.47</v>
      </c>
    </row>
    <row r="37" ht="15" customHeight="1" s="17">
      <c r="A37" s="8" t="inlineStr">
        <is>
          <t>M19B2</t>
        </is>
      </c>
      <c r="B37" s="8" t="inlineStr">
        <is>
          <t>C1086-Q9570</t>
        </is>
      </c>
      <c r="C37" s="8" t="inlineStr">
        <is>
          <t>Morropon</t>
        </is>
      </c>
      <c r="D37" s="8" t="inlineStr">
        <is>
          <t>Morropon</t>
        </is>
      </c>
      <c r="E37" s="8" t="inlineStr">
        <is>
          <t>Z05</t>
        </is>
      </c>
      <c r="F37" s="9" t="n">
        <v>617715</v>
      </c>
      <c r="G37" s="9" t="n">
        <v>9427284</v>
      </c>
      <c r="H37" s="10" t="n">
        <v>74.37</v>
      </c>
    </row>
    <row r="38" ht="15" customHeight="1" s="17">
      <c r="A38" s="8" t="inlineStr">
        <is>
          <t>M32B3</t>
        </is>
      </c>
      <c r="B38" s="8" t="inlineStr">
        <is>
          <t>C1086-Q9569</t>
        </is>
      </c>
      <c r="C38" s="8" t="inlineStr">
        <is>
          <t>Morropon</t>
        </is>
      </c>
      <c r="D38" s="8" t="inlineStr">
        <is>
          <t>Morropon</t>
        </is>
      </c>
      <c r="E38" s="8" t="inlineStr">
        <is>
          <t>Z05</t>
        </is>
      </c>
      <c r="F38" s="9" t="n">
        <v>618248</v>
      </c>
      <c r="G38" s="9" t="n">
        <v>9426493</v>
      </c>
      <c r="H38" s="10" t="n">
        <v>50.97</v>
      </c>
    </row>
    <row r="39" ht="15" customHeight="1" s="17">
      <c r="A39" s="8" t="inlineStr">
        <is>
          <t>M6B10</t>
        </is>
      </c>
      <c r="B39" s="8" t="inlineStr">
        <is>
          <t>C1077-Q9566</t>
        </is>
      </c>
      <c r="C39" s="8" t="inlineStr">
        <is>
          <t>Morropon</t>
        </is>
      </c>
      <c r="D39" s="8" t="inlineStr">
        <is>
          <t>Buenos Aires</t>
        </is>
      </c>
      <c r="E39" s="8" t="inlineStr">
        <is>
          <t>Z06</t>
        </is>
      </c>
      <c r="F39" s="9" t="n">
        <v>618299</v>
      </c>
      <c r="G39" s="9" t="n">
        <v>9423119</v>
      </c>
      <c r="H39" s="10" t="n">
        <v>249.89</v>
      </c>
    </row>
    <row r="40" ht="15" customHeight="1" s="17">
      <c r="A40" s="8" t="inlineStr">
        <is>
          <t>M6B2-3</t>
        </is>
      </c>
      <c r="B40" s="8" t="inlineStr">
        <is>
          <t>C1077-Q9566</t>
        </is>
      </c>
      <c r="C40" s="8" t="inlineStr">
        <is>
          <t>Morropon</t>
        </is>
      </c>
      <c r="D40" s="8" t="inlineStr">
        <is>
          <t>Buenos Aires</t>
        </is>
      </c>
      <c r="E40" s="8" t="inlineStr">
        <is>
          <t>Z06</t>
        </is>
      </c>
      <c r="F40" s="9" t="n">
        <v>611305</v>
      </c>
      <c r="G40" s="9" t="n">
        <v>9419274</v>
      </c>
      <c r="H40" s="10" t="n">
        <v>160.98</v>
      </c>
    </row>
    <row r="41" ht="15" customHeight="1" s="17">
      <c r="A41" s="8" t="inlineStr">
        <is>
          <t>M6B2-2</t>
        </is>
      </c>
      <c r="B41" s="8" t="inlineStr">
        <is>
          <t>C1077-Q9566</t>
        </is>
      </c>
      <c r="C41" s="8" t="inlineStr">
        <is>
          <t>Morropon</t>
        </is>
      </c>
      <c r="D41" s="8" t="inlineStr">
        <is>
          <t>Buenos Aires</t>
        </is>
      </c>
      <c r="E41" s="8" t="inlineStr">
        <is>
          <t>Z06</t>
        </is>
      </c>
      <c r="F41" s="9" t="n">
        <v>611196</v>
      </c>
      <c r="G41" s="9" t="n">
        <v>9416725</v>
      </c>
      <c r="H41" s="10" t="n">
        <v>333.01</v>
      </c>
    </row>
    <row r="42" ht="15" customHeight="1" s="17">
      <c r="A42" s="8" t="inlineStr">
        <is>
          <t>M6B2-1</t>
        </is>
      </c>
      <c r="B42" s="8" t="inlineStr">
        <is>
          <t>C1077-Q9566</t>
        </is>
      </c>
      <c r="C42" s="8" t="inlineStr">
        <is>
          <t>Morropon</t>
        </is>
      </c>
      <c r="D42" s="8" t="inlineStr">
        <is>
          <t>Buenos Aires</t>
        </is>
      </c>
      <c r="E42" s="8" t="inlineStr">
        <is>
          <t>Z06</t>
        </is>
      </c>
      <c r="F42" s="9" t="n">
        <v>612864</v>
      </c>
      <c r="G42" s="9" t="n">
        <v>9413345</v>
      </c>
      <c r="H42" s="10" t="n">
        <v>514.36</v>
      </c>
    </row>
    <row r="43" ht="15" customHeight="1" s="17">
      <c r="A43" s="8" t="inlineStr">
        <is>
          <t>5</t>
        </is>
      </c>
      <c r="B43" s="8" t="inlineStr">
        <is>
          <t>C1077-Q9566</t>
        </is>
      </c>
      <c r="C43" s="8" t="inlineStr">
        <is>
          <t>Morropon</t>
        </is>
      </c>
      <c r="D43" s="8" t="inlineStr">
        <is>
          <t>Buenos Aires</t>
        </is>
      </c>
      <c r="E43" s="8" t="inlineStr">
        <is>
          <t>Z06</t>
        </is>
      </c>
      <c r="F43" s="9" t="n">
        <v>617860</v>
      </c>
      <c r="G43" s="9" t="n">
        <v>9413182</v>
      </c>
      <c r="H43" s="10" t="n">
        <v>295.73</v>
      </c>
    </row>
    <row r="44" ht="15" customHeight="1" s="17">
      <c r="A44" s="8" t="inlineStr">
        <is>
          <t>M1B1</t>
        </is>
      </c>
      <c r="B44" s="8" t="inlineStr">
        <is>
          <t>C1077-Q9580</t>
        </is>
      </c>
      <c r="C44" s="8" t="inlineStr">
        <is>
          <t>Morropon</t>
        </is>
      </c>
      <c r="D44" s="8" t="inlineStr">
        <is>
          <t>Buenos Aires</t>
        </is>
      </c>
      <c r="E44" s="8" t="inlineStr">
        <is>
          <t>Z06</t>
        </is>
      </c>
      <c r="F44" s="9" t="n">
        <v>617695</v>
      </c>
      <c r="G44" s="9" t="n">
        <v>9409136</v>
      </c>
      <c r="H44" s="10" t="n">
        <v>188.8</v>
      </c>
    </row>
    <row r="45" ht="15" customHeight="1" s="17">
      <c r="A45" s="8" t="inlineStr">
        <is>
          <t>M18B1</t>
        </is>
      </c>
      <c r="B45" s="8" t="inlineStr">
        <is>
          <t>C1077-Q9579</t>
        </is>
      </c>
      <c r="C45" s="8" t="inlineStr">
        <is>
          <t>Morropon</t>
        </is>
      </c>
      <c r="D45" s="8" t="inlineStr">
        <is>
          <t>Buenos Aires</t>
        </is>
      </c>
      <c r="E45" s="8" t="inlineStr">
        <is>
          <t>Z06</t>
        </is>
      </c>
      <c r="F45" s="9" t="n">
        <v>621058</v>
      </c>
      <c r="G45" s="9" t="n">
        <v>9410427</v>
      </c>
      <c r="H45" s="10" t="n">
        <v>160.36</v>
      </c>
    </row>
    <row r="46" ht="15" customHeight="1" s="17">
      <c r="A46" s="8" t="inlineStr">
        <is>
          <t>M3B9</t>
        </is>
      </c>
      <c r="B46" s="8" t="inlineStr">
        <is>
          <t>C1081-Q9582</t>
        </is>
      </c>
      <c r="C46" s="8" t="inlineStr">
        <is>
          <t>Morropon</t>
        </is>
      </c>
      <c r="D46" s="8" t="inlineStr">
        <is>
          <t>Salitral</t>
        </is>
      </c>
      <c r="E46" s="8" t="inlineStr">
        <is>
          <t>Z07</t>
        </is>
      </c>
      <c r="F46" s="9" t="n">
        <v>629338</v>
      </c>
      <c r="G46" s="9" t="n">
        <v>9413305</v>
      </c>
      <c r="H46" s="10" t="n">
        <v>294.2</v>
      </c>
    </row>
    <row r="47" ht="15" customHeight="1" s="17">
      <c r="A47" s="8" t="inlineStr">
        <is>
          <t>M3B1</t>
        </is>
      </c>
      <c r="B47" s="8" t="inlineStr">
        <is>
          <t>C1081-Q9582</t>
        </is>
      </c>
      <c r="C47" s="8" t="inlineStr">
        <is>
          <t>Morropon</t>
        </is>
      </c>
      <c r="D47" s="8" t="inlineStr">
        <is>
          <t>Salitral</t>
        </is>
      </c>
      <c r="E47" s="8" t="inlineStr">
        <is>
          <t>Z07</t>
        </is>
      </c>
      <c r="F47" s="9" t="n">
        <v>630685</v>
      </c>
      <c r="G47" s="9" t="n">
        <v>9410800</v>
      </c>
      <c r="H47" s="10" t="n">
        <v>80.98</v>
      </c>
    </row>
    <row r="48" ht="15" customHeight="1" s="17">
      <c r="A48" s="8" t="inlineStr">
        <is>
          <t>M7B1</t>
        </is>
      </c>
      <c r="B48" s="8" t="inlineStr">
        <is>
          <t>C1076-Q9581</t>
        </is>
      </c>
      <c r="C48" s="8" t="inlineStr">
        <is>
          <t>Morropon</t>
        </is>
      </c>
      <c r="D48" s="8" t="inlineStr">
        <is>
          <t>Salitral</t>
        </is>
      </c>
      <c r="E48" s="8" t="inlineStr">
        <is>
          <t>Z07</t>
        </is>
      </c>
      <c r="F48" s="9" t="n">
        <v>629006</v>
      </c>
      <c r="G48" s="9" t="n">
        <v>9407536</v>
      </c>
      <c r="H48" s="10" t="n">
        <v>130.43</v>
      </c>
    </row>
    <row r="49" ht="15" customHeight="1" s="17">
      <c r="A49" s="8" t="inlineStr">
        <is>
          <t>M7B2</t>
        </is>
      </c>
      <c r="B49" s="8" t="inlineStr">
        <is>
          <t>C1076-Q9581</t>
        </is>
      </c>
      <c r="C49" s="8" t="inlineStr">
        <is>
          <t>Morropon</t>
        </is>
      </c>
      <c r="D49" s="8" t="inlineStr">
        <is>
          <t>Salitral</t>
        </is>
      </c>
      <c r="E49" s="8" t="inlineStr">
        <is>
          <t>Z07</t>
        </is>
      </c>
      <c r="F49" s="9" t="n">
        <v>631438</v>
      </c>
      <c r="G49" s="9" t="n">
        <v>9403547</v>
      </c>
      <c r="H49" s="10" t="n">
        <v>115.38</v>
      </c>
    </row>
    <row r="50" ht="15" customHeight="1" s="17">
      <c r="A50" s="8" t="inlineStr">
        <is>
          <t>M7B3</t>
        </is>
      </c>
      <c r="B50" s="8" t="inlineStr">
        <is>
          <t>C1076-Q9581</t>
        </is>
      </c>
      <c r="C50" s="8" t="inlineStr">
        <is>
          <t>Morropon</t>
        </is>
      </c>
      <c r="D50" s="8" t="inlineStr">
        <is>
          <t>Salitral</t>
        </is>
      </c>
      <c r="E50" s="8" t="inlineStr">
        <is>
          <t>Z07</t>
        </is>
      </c>
      <c r="F50" s="9" t="n">
        <v>633232</v>
      </c>
      <c r="G50" s="9" t="n">
        <v>9401227</v>
      </c>
      <c r="H50" s="10" t="n">
        <v>65.73999999999999</v>
      </c>
    </row>
    <row r="51" ht="15" customHeight="1" s="17">
      <c r="A51" s="8" t="inlineStr">
        <is>
          <t>M7B6</t>
        </is>
      </c>
      <c r="B51" s="8" t="inlineStr">
        <is>
          <t>C1076-Q9581</t>
        </is>
      </c>
      <c r="C51" s="8" t="inlineStr">
        <is>
          <t>Morropon</t>
        </is>
      </c>
      <c r="D51" s="8" t="inlineStr">
        <is>
          <t>Salitral</t>
        </is>
      </c>
      <c r="E51" s="8" t="inlineStr">
        <is>
          <t>Z07</t>
        </is>
      </c>
      <c r="F51" s="9" t="n">
        <v>635110</v>
      </c>
      <c r="G51" s="9" t="n">
        <v>9399092</v>
      </c>
      <c r="H51" s="10" t="n">
        <v>91.29000000000001</v>
      </c>
    </row>
    <row r="52" ht="15" customHeight="1" s="17">
      <c r="A52" s="8" t="inlineStr">
        <is>
          <t>M2B1</t>
        </is>
      </c>
      <c r="B52" s="8" t="inlineStr">
        <is>
          <t>C1076-Q9584</t>
        </is>
      </c>
      <c r="C52" s="8" t="inlineStr">
        <is>
          <t>Morropon</t>
        </is>
      </c>
      <c r="D52" s="8" t="inlineStr">
        <is>
          <t>Salitral</t>
        </is>
      </c>
      <c r="E52" s="8" t="inlineStr">
        <is>
          <t>Z07</t>
        </is>
      </c>
      <c r="F52" s="9" t="n">
        <v>635876</v>
      </c>
      <c r="G52" s="9" t="n">
        <v>9397941</v>
      </c>
      <c r="H52" s="10" t="n">
        <v>81.79000000000001</v>
      </c>
    </row>
    <row r="53" ht="15" customHeight="1" s="17">
      <c r="A53" s="8" t="inlineStr">
        <is>
          <t>7</t>
        </is>
      </c>
      <c r="B53" s="8" t="inlineStr">
        <is>
          <t>C1076-Q9584</t>
        </is>
      </c>
      <c r="C53" s="8" t="inlineStr">
        <is>
          <t>Morropon</t>
        </is>
      </c>
      <c r="D53" s="8" t="inlineStr">
        <is>
          <t>Salitral</t>
        </is>
      </c>
      <c r="E53" s="8" t="inlineStr">
        <is>
          <t>Z07</t>
        </is>
      </c>
      <c r="F53" s="9" t="n">
        <v>639728</v>
      </c>
      <c r="G53" s="9" t="n">
        <v>9396836</v>
      </c>
      <c r="H53" s="10" t="n">
        <v>173.43</v>
      </c>
    </row>
    <row r="54" ht="15" customHeight="1" s="17">
      <c r="A54" s="8" t="inlineStr">
        <is>
          <t>M2B5</t>
        </is>
      </c>
      <c r="B54" s="8" t="inlineStr">
        <is>
          <t>C1076-Q9584</t>
        </is>
      </c>
      <c r="C54" s="8" t="inlineStr">
        <is>
          <t>Morropon</t>
        </is>
      </c>
      <c r="D54" s="8" t="inlineStr">
        <is>
          <t>Salitral</t>
        </is>
      </c>
      <c r="E54" s="8" t="inlineStr">
        <is>
          <t>Z07</t>
        </is>
      </c>
      <c r="F54" s="9" t="n">
        <v>639987</v>
      </c>
      <c r="G54" s="9" t="n">
        <v>9394392</v>
      </c>
      <c r="H54" s="10" t="n">
        <v>30.91</v>
      </c>
    </row>
    <row r="55" ht="15" customHeight="1" s="17">
      <c r="A55" s="8" t="inlineStr">
        <is>
          <t>1</t>
        </is>
      </c>
      <c r="B55" s="8" t="inlineStr">
        <is>
          <t>C1076-Q9584</t>
        </is>
      </c>
      <c r="C55" s="8" t="inlineStr">
        <is>
          <t>Morropon</t>
        </is>
      </c>
      <c r="D55" s="8" t="inlineStr">
        <is>
          <t>Salitral</t>
        </is>
      </c>
      <c r="E55" s="8" t="inlineStr">
        <is>
          <t>Z07</t>
        </is>
      </c>
      <c r="F55" s="9" t="n">
        <v>645575</v>
      </c>
      <c r="G55" s="9" t="n">
        <v>9393500</v>
      </c>
      <c r="H55" s="10" t="n">
        <v>1370.96</v>
      </c>
    </row>
    <row r="56" ht="15" customHeight="1" s="17">
      <c r="A56" s="8" t="inlineStr">
        <is>
          <t>M18B3</t>
        </is>
      </c>
      <c r="B56" s="8" t="inlineStr">
        <is>
          <t>C1077-Q9579</t>
        </is>
      </c>
      <c r="C56" s="8" t="inlineStr">
        <is>
          <t>Morropon</t>
        </is>
      </c>
      <c r="D56" s="8" t="inlineStr">
        <is>
          <t>Salitral</t>
        </is>
      </c>
      <c r="E56" s="8" t="inlineStr">
        <is>
          <t>Z07</t>
        </is>
      </c>
      <c r="F56" s="9" t="n">
        <v>625311</v>
      </c>
      <c r="G56" s="9" t="n">
        <v>9412195</v>
      </c>
      <c r="H56" s="10" t="n">
        <v>373.81</v>
      </c>
    </row>
    <row r="57" ht="15" customHeight="1" s="17">
      <c r="A57" s="8" t="inlineStr">
        <is>
          <t>M18B5</t>
        </is>
      </c>
      <c r="B57" s="8" t="inlineStr">
        <is>
          <t>C1077-Q9579</t>
        </is>
      </c>
      <c r="C57" s="8" t="inlineStr">
        <is>
          <t>Morropon</t>
        </is>
      </c>
      <c r="D57" s="8" t="inlineStr">
        <is>
          <t>Salitral</t>
        </is>
      </c>
      <c r="E57" s="8" t="inlineStr">
        <is>
          <t>Z07</t>
        </is>
      </c>
      <c r="F57" s="9" t="n">
        <v>621551</v>
      </c>
      <c r="G57" s="9" t="n">
        <v>9412989</v>
      </c>
      <c r="H57" s="10" t="n">
        <v>197.35</v>
      </c>
    </row>
    <row r="58" ht="15" customHeight="1" s="17">
      <c r="A58" s="8" t="inlineStr">
        <is>
          <t>M3B7</t>
        </is>
      </c>
      <c r="B58" s="8" t="inlineStr">
        <is>
          <t>C1081-Q9582</t>
        </is>
      </c>
      <c r="C58" s="8" t="inlineStr">
        <is>
          <t>Morropon</t>
        </is>
      </c>
      <c r="D58" s="8" t="inlineStr">
        <is>
          <t>San Juan de Bigote</t>
        </is>
      </c>
      <c r="E58" s="8" t="inlineStr">
        <is>
          <t>Z08</t>
        </is>
      </c>
      <c r="F58" s="9" t="n">
        <v>638309</v>
      </c>
      <c r="G58" s="9" t="n">
        <v>9415217</v>
      </c>
      <c r="H58" s="10" t="n">
        <v>122.95</v>
      </c>
    </row>
    <row r="59" ht="15" customHeight="1" s="17">
      <c r="A59" s="8" t="inlineStr">
        <is>
          <t>M3B6</t>
        </is>
      </c>
      <c r="B59" s="8" t="inlineStr">
        <is>
          <t>C1081-Q9582</t>
        </is>
      </c>
      <c r="C59" s="8" t="inlineStr">
        <is>
          <t>Morropon</t>
        </is>
      </c>
      <c r="D59" s="8" t="inlineStr">
        <is>
          <t>San Juan de Bigote</t>
        </is>
      </c>
      <c r="E59" s="8" t="inlineStr">
        <is>
          <t>Z08</t>
        </is>
      </c>
      <c r="F59" s="9" t="n">
        <v>637918</v>
      </c>
      <c r="G59" s="9" t="n">
        <v>9412134</v>
      </c>
      <c r="H59" s="10" t="n">
        <v>60.35</v>
      </c>
    </row>
    <row r="60" ht="15" customHeight="1" s="17">
      <c r="A60" s="8" t="inlineStr">
        <is>
          <t>77</t>
        </is>
      </c>
      <c r="B60" s="8" t="inlineStr">
        <is>
          <t>C1081-Q9583</t>
        </is>
      </c>
      <c r="C60" s="8" t="inlineStr">
        <is>
          <t>Morropon</t>
        </is>
      </c>
      <c r="D60" s="8" t="inlineStr">
        <is>
          <t>San Juan de Bigote</t>
        </is>
      </c>
      <c r="E60" s="8" t="inlineStr">
        <is>
          <t>Z08</t>
        </is>
      </c>
      <c r="F60" s="9" t="n">
        <v>638648</v>
      </c>
      <c r="G60" s="9" t="n">
        <v>9411370</v>
      </c>
      <c r="H60" s="10" t="n">
        <v>17.82</v>
      </c>
    </row>
    <row r="61" ht="15" customHeight="1" s="17">
      <c r="A61" s="8" t="inlineStr">
        <is>
          <t>M3B5</t>
        </is>
      </c>
      <c r="B61" s="8" t="inlineStr">
        <is>
          <t>C1081-Q9582</t>
        </is>
      </c>
      <c r="C61" s="8" t="inlineStr">
        <is>
          <t>Morropon</t>
        </is>
      </c>
      <c r="D61" s="8" t="inlineStr">
        <is>
          <t>San Juan de Bigote</t>
        </is>
      </c>
      <c r="E61" s="8" t="inlineStr">
        <is>
          <t>Z08</t>
        </is>
      </c>
      <c r="F61" s="9" t="n">
        <v>635887</v>
      </c>
      <c r="G61" s="9" t="n">
        <v>9411738</v>
      </c>
      <c r="H61" s="10" t="n">
        <v>52.74</v>
      </c>
    </row>
    <row r="62" ht="15" customHeight="1" s="17">
      <c r="A62" s="8" t="inlineStr">
        <is>
          <t>M3B3</t>
        </is>
      </c>
      <c r="B62" s="8" t="inlineStr">
        <is>
          <t>C1081-Q9582</t>
        </is>
      </c>
      <c r="C62" s="8" t="inlineStr">
        <is>
          <t>Morropon</t>
        </is>
      </c>
      <c r="D62" s="8" t="inlineStr">
        <is>
          <t>San Juan de Bigote</t>
        </is>
      </c>
      <c r="E62" s="8" t="inlineStr">
        <is>
          <t>Z08</t>
        </is>
      </c>
      <c r="F62" s="9" t="n">
        <v>633015</v>
      </c>
      <c r="G62" s="9" t="n">
        <v>9411483</v>
      </c>
      <c r="H62" s="10" t="n">
        <v>84.81999999999999</v>
      </c>
    </row>
    <row r="63" ht="15" customHeight="1" s="17">
      <c r="A63" s="8" t="inlineStr">
        <is>
          <t>M3B8</t>
        </is>
      </c>
      <c r="B63" s="8" t="inlineStr">
        <is>
          <t>C1081-Q9582</t>
        </is>
      </c>
      <c r="C63" s="8" t="inlineStr">
        <is>
          <t>Morropon</t>
        </is>
      </c>
      <c r="D63" s="8" t="inlineStr">
        <is>
          <t>San Juan de Bigote</t>
        </is>
      </c>
      <c r="E63" s="8" t="inlineStr">
        <is>
          <t>Z08</t>
        </is>
      </c>
      <c r="F63" s="9" t="n">
        <v>632119</v>
      </c>
      <c r="G63" s="9" t="n">
        <v>9415141</v>
      </c>
      <c r="H63" s="10" t="n">
        <v>565.58</v>
      </c>
    </row>
    <row r="64" ht="15" customHeight="1" s="17">
      <c r="A64" s="8" t="inlineStr">
        <is>
          <t>M11B3</t>
        </is>
      </c>
      <c r="B64" s="8" t="inlineStr">
        <is>
          <t>C1081-Q9583</t>
        </is>
      </c>
      <c r="C64" s="8" t="inlineStr">
        <is>
          <t>Morropon</t>
        </is>
      </c>
      <c r="D64" s="8" t="inlineStr">
        <is>
          <t>San Juan de Bigote</t>
        </is>
      </c>
      <c r="E64" s="8" t="inlineStr">
        <is>
          <t>Z08</t>
        </is>
      </c>
      <c r="F64" s="9" t="n">
        <v>642079</v>
      </c>
      <c r="G64" s="9" t="n">
        <v>9413823</v>
      </c>
      <c r="H64" s="10" t="n">
        <v>106.03</v>
      </c>
    </row>
    <row r="65" ht="15" customHeight="1" s="17">
      <c r="A65" s="8" t="inlineStr">
        <is>
          <t>55</t>
        </is>
      </c>
      <c r="B65" s="8" t="inlineStr">
        <is>
          <t>C1086-Q9575</t>
        </is>
      </c>
      <c r="C65" s="8" t="inlineStr">
        <is>
          <t>Morropon</t>
        </is>
      </c>
      <c r="D65" s="8" t="inlineStr">
        <is>
          <t>Yamango</t>
        </is>
      </c>
      <c r="E65" s="8" t="inlineStr">
        <is>
          <t>Z09</t>
        </is>
      </c>
      <c r="F65" s="9" t="n">
        <v>642690</v>
      </c>
      <c r="G65" s="9" t="n">
        <v>9438409</v>
      </c>
      <c r="H65" s="10" t="n">
        <v>0.86</v>
      </c>
    </row>
    <row r="66" ht="15" customHeight="1" s="17">
      <c r="A66" s="8" t="inlineStr">
        <is>
          <t>49</t>
        </is>
      </c>
      <c r="B66" s="8" t="inlineStr">
        <is>
          <t>C1086-Q9575</t>
        </is>
      </c>
      <c r="C66" s="8" t="inlineStr">
        <is>
          <t>Morropon</t>
        </is>
      </c>
      <c r="D66" s="8" t="inlineStr">
        <is>
          <t>Yamango</t>
        </is>
      </c>
      <c r="E66" s="8" t="inlineStr">
        <is>
          <t>Z09</t>
        </is>
      </c>
      <c r="F66" s="9" t="n">
        <v>642334</v>
      </c>
      <c r="G66" s="9" t="n">
        <v>9438263</v>
      </c>
      <c r="H66" s="10" t="n">
        <v>15.84</v>
      </c>
    </row>
    <row r="67" ht="15" customHeight="1" s="17">
      <c r="A67" s="8" t="inlineStr">
        <is>
          <t>52</t>
        </is>
      </c>
      <c r="B67" s="8" t="inlineStr">
        <is>
          <t>C1086-Q9575</t>
        </is>
      </c>
      <c r="C67" s="8" t="inlineStr">
        <is>
          <t>Morropon</t>
        </is>
      </c>
      <c r="D67" s="8" t="inlineStr">
        <is>
          <t>Yamango</t>
        </is>
      </c>
      <c r="E67" s="8" t="inlineStr">
        <is>
          <t>Z09</t>
        </is>
      </c>
      <c r="F67" s="9" t="n">
        <v>641522</v>
      </c>
      <c r="G67" s="9" t="n">
        <v>9438064</v>
      </c>
      <c r="H67" s="10" t="n">
        <v>11.06</v>
      </c>
    </row>
    <row r="68" ht="15" customHeight="1" s="17">
      <c r="A68" s="8" t="inlineStr">
        <is>
          <t>48</t>
        </is>
      </c>
      <c r="B68" s="8" t="inlineStr">
        <is>
          <t>C1086-Q9575</t>
        </is>
      </c>
      <c r="C68" s="8" t="inlineStr">
        <is>
          <t>Morropon</t>
        </is>
      </c>
      <c r="D68" s="8" t="inlineStr">
        <is>
          <t>Yamango</t>
        </is>
      </c>
      <c r="E68" s="8" t="inlineStr">
        <is>
          <t>Z09</t>
        </is>
      </c>
      <c r="F68" s="9" t="n">
        <v>639496</v>
      </c>
      <c r="G68" s="9" t="n">
        <v>9433679</v>
      </c>
      <c r="H68" s="10" t="n">
        <v>5.75</v>
      </c>
    </row>
    <row r="69" ht="15" customHeight="1" s="17">
      <c r="A69" s="8" t="inlineStr">
        <is>
          <t>46</t>
        </is>
      </c>
      <c r="B69" s="8" t="inlineStr">
        <is>
          <t>C1086-Q9575</t>
        </is>
      </c>
      <c r="C69" s="8" t="inlineStr">
        <is>
          <t>Morropon</t>
        </is>
      </c>
      <c r="D69" s="8" t="inlineStr">
        <is>
          <t>Yamango</t>
        </is>
      </c>
      <c r="E69" s="8" t="inlineStr">
        <is>
          <t>Z09</t>
        </is>
      </c>
      <c r="F69" s="9" t="n">
        <v>638751</v>
      </c>
      <c r="G69" s="9" t="n">
        <v>9433236</v>
      </c>
      <c r="H69" s="10" t="n">
        <v>18.87</v>
      </c>
    </row>
    <row r="70" ht="15" customHeight="1" s="17">
      <c r="A70" s="8" t="inlineStr">
        <is>
          <t>M28B2</t>
        </is>
      </c>
      <c r="B70" s="8" t="inlineStr">
        <is>
          <t>C1086-Q9575</t>
        </is>
      </c>
      <c r="C70" s="8" t="inlineStr">
        <is>
          <t>Morropon</t>
        </is>
      </c>
      <c r="D70" s="8" t="inlineStr">
        <is>
          <t>Yamango</t>
        </is>
      </c>
      <c r="E70" s="8" t="inlineStr">
        <is>
          <t>Z09</t>
        </is>
      </c>
      <c r="F70" s="9" t="n">
        <v>636249</v>
      </c>
      <c r="G70" s="9" t="n">
        <v>9425665</v>
      </c>
      <c r="H70" s="10" t="n">
        <v>90.2</v>
      </c>
    </row>
    <row r="71" ht="15" customHeight="1" s="17">
      <c r="A71" s="8" t="inlineStr">
        <is>
          <t>M28B3</t>
        </is>
      </c>
      <c r="B71" s="8" t="inlineStr">
        <is>
          <t>C1086-Q9575</t>
        </is>
      </c>
      <c r="C71" s="8" t="inlineStr">
        <is>
          <t>Morropon</t>
        </is>
      </c>
      <c r="D71" s="8" t="inlineStr">
        <is>
          <t>Yamango</t>
        </is>
      </c>
      <c r="E71" s="8" t="inlineStr">
        <is>
          <t>Z09</t>
        </is>
      </c>
      <c r="F71" s="9" t="n">
        <v>634061</v>
      </c>
      <c r="G71" s="9" t="n">
        <v>9426778</v>
      </c>
      <c r="H71" s="10" t="n">
        <v>58.29</v>
      </c>
    </row>
    <row r="72" ht="15" customHeight="1" s="17">
      <c r="A72" s="8" t="inlineStr">
        <is>
          <t>M28B4</t>
        </is>
      </c>
      <c r="B72" s="8" t="inlineStr">
        <is>
          <t>C1086-Q9575</t>
        </is>
      </c>
      <c r="C72" s="8" t="inlineStr">
        <is>
          <t>Morropon</t>
        </is>
      </c>
      <c r="D72" s="8" t="inlineStr">
        <is>
          <t>Yamango</t>
        </is>
      </c>
      <c r="E72" s="8" t="inlineStr">
        <is>
          <t>Z09</t>
        </is>
      </c>
      <c r="F72" s="9" t="n">
        <v>626078</v>
      </c>
      <c r="G72" s="9" t="n">
        <v>9427110</v>
      </c>
      <c r="H72" s="10" t="n">
        <v>283.43</v>
      </c>
    </row>
    <row r="73" ht="15" customHeight="1" s="17">
      <c r="A73" s="8" t="inlineStr">
        <is>
          <t>33</t>
        </is>
      </c>
      <c r="B73" s="8" t="inlineStr">
        <is>
          <t>C1081-Q9590</t>
        </is>
      </c>
      <c r="C73" s="8" t="inlineStr">
        <is>
          <t>Huancabamba</t>
        </is>
      </c>
      <c r="D73" s="8" t="inlineStr">
        <is>
          <t>Lalaquiz</t>
        </is>
      </c>
      <c r="E73" s="8" t="inlineStr">
        <is>
          <t>Z10</t>
        </is>
      </c>
      <c r="F73" s="9" t="n">
        <v>646466</v>
      </c>
      <c r="G73" s="9" t="n">
        <v>9431126</v>
      </c>
      <c r="H73" s="10" t="n">
        <v>29.68</v>
      </c>
    </row>
    <row r="74" ht="15" customHeight="1" s="17">
      <c r="A74" s="8" t="inlineStr">
        <is>
          <t>38</t>
        </is>
      </c>
      <c r="B74" s="8" t="inlineStr">
        <is>
          <t>C1081-Q9590</t>
        </is>
      </c>
      <c r="C74" s="8" t="inlineStr">
        <is>
          <t>Huancabamba</t>
        </is>
      </c>
      <c r="D74" s="8" t="inlineStr">
        <is>
          <t>Lalaquiz</t>
        </is>
      </c>
      <c r="E74" s="8" t="inlineStr">
        <is>
          <t>Z10</t>
        </is>
      </c>
      <c r="F74" s="9" t="n">
        <v>647123</v>
      </c>
      <c r="G74" s="9" t="n">
        <v>9427602</v>
      </c>
      <c r="H74" s="10" t="n">
        <v>44.2</v>
      </c>
    </row>
    <row r="75" ht="15" customHeight="1" s="17">
      <c r="A75" s="8" t="inlineStr">
        <is>
          <t>50</t>
        </is>
      </c>
      <c r="B75" s="8" t="inlineStr">
        <is>
          <t>C1081-Q9590</t>
        </is>
      </c>
      <c r="C75" s="8" t="inlineStr">
        <is>
          <t>Huancabamba</t>
        </is>
      </c>
      <c r="D75" s="8" t="inlineStr">
        <is>
          <t>Lalaquiz</t>
        </is>
      </c>
      <c r="E75" s="8" t="inlineStr">
        <is>
          <t>Z10</t>
        </is>
      </c>
      <c r="F75" s="9" t="n">
        <v>647350</v>
      </c>
      <c r="G75" s="9" t="n">
        <v>9427252</v>
      </c>
      <c r="H75" s="10" t="n">
        <v>19.27</v>
      </c>
    </row>
    <row r="76" ht="15" customHeight="1" s="17">
      <c r="A76" s="8" t="inlineStr">
        <is>
          <t>34</t>
        </is>
      </c>
      <c r="B76" s="8" t="inlineStr">
        <is>
          <t>C1081-Q9590</t>
        </is>
      </c>
      <c r="C76" s="8" t="inlineStr">
        <is>
          <t>Huancabamba</t>
        </is>
      </c>
      <c r="D76" s="8" t="inlineStr">
        <is>
          <t>Lalaquiz</t>
        </is>
      </c>
      <c r="E76" s="8" t="inlineStr">
        <is>
          <t>Z10</t>
        </is>
      </c>
      <c r="F76" s="9" t="n">
        <v>646483</v>
      </c>
      <c r="G76" s="9" t="n">
        <v>9426305</v>
      </c>
      <c r="H76" s="10" t="n">
        <v>28.45</v>
      </c>
    </row>
    <row r="77" ht="15" customHeight="1" s="17">
      <c r="A77" s="8" t="inlineStr">
        <is>
          <t>61</t>
        </is>
      </c>
      <c r="B77" s="8" t="inlineStr">
        <is>
          <t>C1081-Q9590</t>
        </is>
      </c>
      <c r="C77" s="8" t="inlineStr">
        <is>
          <t>Huancabamba</t>
        </is>
      </c>
      <c r="D77" s="8" t="inlineStr">
        <is>
          <t>Lalaquiz</t>
        </is>
      </c>
      <c r="E77" s="8" t="inlineStr">
        <is>
          <t>Z10</t>
        </is>
      </c>
      <c r="F77" s="9" t="n">
        <v>646236</v>
      </c>
      <c r="G77" s="9" t="n">
        <v>9425052</v>
      </c>
      <c r="H77" s="10" t="n">
        <v>26.83</v>
      </c>
    </row>
    <row r="78" ht="15" customHeight="1" s="17">
      <c r="A78" s="8" t="inlineStr">
        <is>
          <t>37</t>
        </is>
      </c>
      <c r="B78" s="8" t="inlineStr">
        <is>
          <t>C1081-Q9591</t>
        </is>
      </c>
      <c r="C78" s="8" t="inlineStr">
        <is>
          <t>Huancabamba</t>
        </is>
      </c>
      <c r="D78" s="8" t="inlineStr">
        <is>
          <t>Lalaquiz</t>
        </is>
      </c>
      <c r="E78" s="8" t="inlineStr">
        <is>
          <t>Z10</t>
        </is>
      </c>
      <c r="F78" s="9" t="n">
        <v>649081</v>
      </c>
      <c r="G78" s="9" t="n">
        <v>9424506</v>
      </c>
      <c r="H78" s="10" t="n">
        <v>35.49</v>
      </c>
    </row>
    <row r="79" ht="15" customHeight="1" s="17">
      <c r="A79" s="8" t="inlineStr">
        <is>
          <t>26</t>
        </is>
      </c>
      <c r="B79" s="8" t="inlineStr">
        <is>
          <t>C1081-Q9591</t>
        </is>
      </c>
      <c r="C79" s="8" t="inlineStr">
        <is>
          <t>Huancabamba</t>
        </is>
      </c>
      <c r="D79" s="8" t="inlineStr">
        <is>
          <t>Lalaquiz</t>
        </is>
      </c>
      <c r="E79" s="8" t="inlineStr">
        <is>
          <t>Z10</t>
        </is>
      </c>
      <c r="F79" s="9" t="n">
        <v>649472</v>
      </c>
      <c r="G79" s="9" t="n">
        <v>9425705</v>
      </c>
      <c r="H79" s="10" t="n">
        <v>46.96</v>
      </c>
    </row>
    <row r="80" ht="15" customHeight="1" s="17">
      <c r="A80" s="8" t="inlineStr">
        <is>
          <t>64</t>
        </is>
      </c>
      <c r="B80" s="8" t="inlineStr">
        <is>
          <t>C1081-Q9591</t>
        </is>
      </c>
      <c r="C80" s="8" t="inlineStr">
        <is>
          <t>Huancabamba</t>
        </is>
      </c>
      <c r="D80" s="8" t="inlineStr">
        <is>
          <t>Huancabamba</t>
        </is>
      </c>
      <c r="E80" s="8" t="inlineStr">
        <is>
          <t>Z11</t>
        </is>
      </c>
      <c r="F80" s="9" t="n">
        <v>657819</v>
      </c>
      <c r="G80" s="9" t="n">
        <v>9428541</v>
      </c>
      <c r="H80" s="10" t="n">
        <v>35.77</v>
      </c>
    </row>
    <row r="81" ht="22.35" customHeight="1" s="17">
      <c r="A81" s="8" t="inlineStr">
        <is>
          <t>54</t>
        </is>
      </c>
      <c r="B81" s="8" t="inlineStr">
        <is>
          <t>C1081-Q9591 (inferida)</t>
        </is>
      </c>
      <c r="C81" s="8" t="inlineStr">
        <is>
          <t>Huancabamba</t>
        </is>
      </c>
      <c r="D81" s="8" t="inlineStr">
        <is>
          <t>Huancabamba</t>
        </is>
      </c>
      <c r="E81" s="8" t="inlineStr">
        <is>
          <t>Z11</t>
        </is>
      </c>
      <c r="F81" s="9" t="n">
        <v>656897</v>
      </c>
      <c r="G81" s="9" t="n">
        <v>9426033</v>
      </c>
      <c r="H81" s="10" t="n">
        <v>40.26</v>
      </c>
    </row>
    <row r="82" ht="15" customHeight="1" s="17">
      <c r="A82" s="8" t="inlineStr">
        <is>
          <t>M30B5</t>
        </is>
      </c>
      <c r="B82" s="8" t="inlineStr">
        <is>
          <t>C1081-Q9591</t>
        </is>
      </c>
      <c r="C82" s="8" t="inlineStr">
        <is>
          <t>Huancabamba</t>
        </is>
      </c>
      <c r="D82" s="8" t="inlineStr">
        <is>
          <t>Huancabamba</t>
        </is>
      </c>
      <c r="E82" s="8" t="inlineStr">
        <is>
          <t>Z11</t>
        </is>
      </c>
      <c r="F82" s="9" t="n">
        <v>655263</v>
      </c>
      <c r="G82" s="9" t="n">
        <v>9427340</v>
      </c>
      <c r="H82" s="10" t="n">
        <v>90.90000000000001</v>
      </c>
    </row>
    <row r="83" ht="15" customHeight="1" s="17">
      <c r="A83" s="8" t="inlineStr">
        <is>
          <t>60</t>
        </is>
      </c>
      <c r="B83" s="8" t="inlineStr">
        <is>
          <t>C1081-Q9591</t>
        </is>
      </c>
      <c r="C83" s="8" t="inlineStr">
        <is>
          <t>Huancabamba</t>
        </is>
      </c>
      <c r="D83" s="8" t="inlineStr">
        <is>
          <t>Canchaque</t>
        </is>
      </c>
      <c r="E83" s="8" t="inlineStr">
        <is>
          <t>Z11</t>
        </is>
      </c>
      <c r="F83" s="9" t="n">
        <v>653850</v>
      </c>
      <c r="G83" s="9" t="n">
        <v>9426236</v>
      </c>
      <c r="H83" s="10" t="n">
        <v>40.13</v>
      </c>
    </row>
    <row r="84" ht="15" customHeight="1" s="17">
      <c r="A84" s="8" t="inlineStr">
        <is>
          <t>40</t>
        </is>
      </c>
      <c r="B84" s="8" t="inlineStr">
        <is>
          <t>C1081-Q9591</t>
        </is>
      </c>
      <c r="C84" s="8" t="inlineStr">
        <is>
          <t>Huancabamba</t>
        </is>
      </c>
      <c r="D84" s="8" t="inlineStr">
        <is>
          <t>Canchaque</t>
        </is>
      </c>
      <c r="E84" s="8" t="inlineStr">
        <is>
          <t>Z11</t>
        </is>
      </c>
      <c r="F84" s="9" t="n">
        <v>654137</v>
      </c>
      <c r="G84" s="9" t="n">
        <v>9424425</v>
      </c>
      <c r="H84" s="10" t="n">
        <v>28.52</v>
      </c>
    </row>
    <row r="85" ht="15" customHeight="1" s="17">
      <c r="A85" s="8" t="inlineStr">
        <is>
          <t>30</t>
        </is>
      </c>
      <c r="B85" s="8" t="inlineStr">
        <is>
          <t>C1081-Q9591</t>
        </is>
      </c>
      <c r="C85" s="8" t="inlineStr">
        <is>
          <t>Huancabamba</t>
        </is>
      </c>
      <c r="D85" s="8" t="inlineStr">
        <is>
          <t>Canchaque</t>
        </is>
      </c>
      <c r="E85" s="8" t="inlineStr">
        <is>
          <t>Z11</t>
        </is>
      </c>
      <c r="F85" s="9" t="n">
        <v>652758</v>
      </c>
      <c r="G85" s="9" t="n">
        <v>9424380</v>
      </c>
      <c r="H85" s="10" t="n">
        <v>34.87</v>
      </c>
    </row>
    <row r="86" ht="15" customHeight="1" s="17">
      <c r="A86" s="8" t="inlineStr">
        <is>
          <t>28</t>
        </is>
      </c>
      <c r="B86" s="8" t="inlineStr">
        <is>
          <t>C1081-Q9591</t>
        </is>
      </c>
      <c r="C86" s="8" t="inlineStr">
        <is>
          <t>Huancabamba</t>
        </is>
      </c>
      <c r="D86" s="8" t="inlineStr">
        <is>
          <t>Canchaque</t>
        </is>
      </c>
      <c r="E86" s="8" t="inlineStr">
        <is>
          <t>Z11</t>
        </is>
      </c>
      <c r="F86" s="9" t="n">
        <v>654188</v>
      </c>
      <c r="G86" s="9" t="n">
        <v>9422849</v>
      </c>
      <c r="H86" s="10" t="n">
        <v>52.97</v>
      </c>
    </row>
    <row r="87" ht="15" customHeight="1" s="17">
      <c r="A87" s="8" t="inlineStr">
        <is>
          <t>62</t>
        </is>
      </c>
      <c r="B87" s="8" t="inlineStr">
        <is>
          <t>C1081-Q9591</t>
        </is>
      </c>
      <c r="C87" s="8" t="inlineStr">
        <is>
          <t>Huancabamba</t>
        </is>
      </c>
      <c r="D87" s="8" t="inlineStr">
        <is>
          <t>Canchaque</t>
        </is>
      </c>
      <c r="E87" s="8" t="inlineStr">
        <is>
          <t>Z11</t>
        </is>
      </c>
      <c r="F87" s="9" t="n">
        <v>655046</v>
      </c>
      <c r="G87" s="9" t="n">
        <v>9420450</v>
      </c>
      <c r="H87" s="10" t="n">
        <v>73.81999999999999</v>
      </c>
    </row>
    <row r="88" ht="22.35" customHeight="1" s="17">
      <c r="A88" s="8" t="inlineStr">
        <is>
          <t>65</t>
        </is>
      </c>
      <c r="B88" s="8" t="inlineStr">
        <is>
          <t>C1081-Q9591 (inferida)</t>
        </is>
      </c>
      <c r="C88" s="8" t="inlineStr">
        <is>
          <t>Huancabamba</t>
        </is>
      </c>
      <c r="D88" s="8" t="inlineStr">
        <is>
          <t>Canchaque</t>
        </is>
      </c>
      <c r="E88" s="8" t="inlineStr">
        <is>
          <t>Z11</t>
        </is>
      </c>
      <c r="F88" s="9" t="n">
        <v>657541</v>
      </c>
      <c r="G88" s="9" t="n">
        <v>9421083</v>
      </c>
      <c r="H88" s="10" t="n">
        <v>53.93</v>
      </c>
    </row>
    <row r="89" ht="15" customHeight="1" s="17">
      <c r="A89" s="8" t="inlineStr">
        <is>
          <t>21</t>
        </is>
      </c>
      <c r="B89" s="8" t="inlineStr">
        <is>
          <t>C1081-Q9591</t>
        </is>
      </c>
      <c r="C89" s="8" t="inlineStr">
        <is>
          <t>Huancabamba</t>
        </is>
      </c>
      <c r="D89" s="8" t="inlineStr">
        <is>
          <t>Canchaque</t>
        </is>
      </c>
      <c r="E89" s="8" t="inlineStr">
        <is>
          <t>Z11</t>
        </is>
      </c>
      <c r="F89" s="9" t="n">
        <v>654604</v>
      </c>
      <c r="G89" s="9" t="n">
        <v>9417736</v>
      </c>
      <c r="H89" s="10" t="n">
        <v>84.23</v>
      </c>
    </row>
    <row r="90" ht="15" customHeight="1" s="17">
      <c r="A90" s="8" t="inlineStr">
        <is>
          <t>66</t>
        </is>
      </c>
      <c r="B90" s="8" t="inlineStr">
        <is>
          <t>C1081-Q9591</t>
        </is>
      </c>
      <c r="C90" s="8" t="inlineStr">
        <is>
          <t>Huancabamba</t>
        </is>
      </c>
      <c r="D90" s="8" t="inlineStr">
        <is>
          <t>Canchaque</t>
        </is>
      </c>
      <c r="E90" s="8" t="inlineStr">
        <is>
          <t>Z11</t>
        </is>
      </c>
      <c r="F90" s="9" t="n">
        <v>652566</v>
      </c>
      <c r="G90" s="9" t="n">
        <v>9417311</v>
      </c>
      <c r="H90" s="10" t="n">
        <v>102.34</v>
      </c>
    </row>
    <row r="91" ht="15" customHeight="1" s="17">
      <c r="A91" s="8" t="inlineStr">
        <is>
          <t>24</t>
        </is>
      </c>
      <c r="B91" s="8" t="inlineStr">
        <is>
          <t>C1081-Q9583</t>
        </is>
      </c>
      <c r="C91" s="8" t="inlineStr">
        <is>
          <t>Huancabamba</t>
        </is>
      </c>
      <c r="D91" s="8" t="inlineStr">
        <is>
          <t>Canchaque</t>
        </is>
      </c>
      <c r="E91" s="8" t="inlineStr">
        <is>
          <t>Z11</t>
        </is>
      </c>
      <c r="F91" s="9" t="n">
        <v>652191</v>
      </c>
      <c r="G91" s="9" t="n">
        <v>9414358</v>
      </c>
      <c r="H91" s="10" t="n">
        <v>90.16</v>
      </c>
    </row>
    <row r="92" ht="15" customHeight="1" s="17">
      <c r="A92" s="8" t="inlineStr">
        <is>
          <t>63</t>
        </is>
      </c>
      <c r="B92" s="8" t="inlineStr">
        <is>
          <t>C1081-Q9583</t>
        </is>
      </c>
      <c r="C92" s="8" t="inlineStr">
        <is>
          <t>Huancabamba</t>
        </is>
      </c>
      <c r="D92" s="8" t="inlineStr">
        <is>
          <t>Canchaque</t>
        </is>
      </c>
      <c r="E92" s="8" t="inlineStr">
        <is>
          <t>Z11</t>
        </is>
      </c>
      <c r="F92" s="9" t="n">
        <v>655059</v>
      </c>
      <c r="G92" s="9" t="n">
        <v>9413845</v>
      </c>
      <c r="H92" s="10" t="n">
        <v>50.46</v>
      </c>
    </row>
    <row r="93" ht="15" customHeight="1" s="17">
      <c r="A93" s="8" t="inlineStr">
        <is>
          <t>79</t>
        </is>
      </c>
      <c r="B93" s="8" t="inlineStr">
        <is>
          <t>C1076-Q9587</t>
        </is>
      </c>
      <c r="C93" s="8" t="inlineStr">
        <is>
          <t>Huancabamba</t>
        </is>
      </c>
      <c r="D93" s="8" t="inlineStr">
        <is>
          <t>Canchaque</t>
        </is>
      </c>
      <c r="E93" s="8" t="inlineStr">
        <is>
          <t>Z11</t>
        </is>
      </c>
      <c r="F93" s="9" t="n">
        <v>650305</v>
      </c>
      <c r="G93" s="9" t="n">
        <v>9402785</v>
      </c>
      <c r="H93" s="10" t="n">
        <v>94.81</v>
      </c>
    </row>
    <row r="94" ht="15" customHeight="1" s="17">
      <c r="A94" s="8" t="inlineStr">
        <is>
          <t>81</t>
        </is>
      </c>
      <c r="B94" s="8" t="inlineStr">
        <is>
          <t>C1076-Q9585</t>
        </is>
      </c>
      <c r="C94" s="8" t="inlineStr">
        <is>
          <t>Huancabamba</t>
        </is>
      </c>
      <c r="D94" s="8" t="inlineStr">
        <is>
          <t>Canchaque</t>
        </is>
      </c>
      <c r="E94" s="8" t="inlineStr">
        <is>
          <t>Z11</t>
        </is>
      </c>
      <c r="F94" s="9" t="n">
        <v>641538</v>
      </c>
      <c r="G94" s="9" t="n">
        <v>9401360</v>
      </c>
      <c r="H94" s="10" t="n">
        <v>8.93</v>
      </c>
    </row>
    <row r="95" ht="15" customHeight="1" s="17">
      <c r="A95" s="8" t="inlineStr">
        <is>
          <t>M22B1</t>
        </is>
      </c>
      <c r="B95" s="8" t="inlineStr">
        <is>
          <t>C1076-Q9586</t>
        </is>
      </c>
      <c r="C95" s="8" t="inlineStr">
        <is>
          <t>Huancabamba</t>
        </is>
      </c>
      <c r="D95" s="8" t="inlineStr">
        <is>
          <t>San Miguel de El Faique</t>
        </is>
      </c>
      <c r="E95" s="8" t="inlineStr">
        <is>
          <t>Z12</t>
        </is>
      </c>
      <c r="F95" s="9" t="n">
        <v>664082</v>
      </c>
      <c r="G95" s="9" t="n">
        <v>9404172</v>
      </c>
      <c r="H95" s="10" t="n">
        <v>55.17</v>
      </c>
    </row>
    <row r="96" ht="15" customHeight="1" s="17">
      <c r="A96" s="8" t="inlineStr">
        <is>
          <t>44</t>
        </is>
      </c>
      <c r="B96" s="8" t="inlineStr">
        <is>
          <t>C1076-Q9586</t>
        </is>
      </c>
      <c r="C96" s="8" t="inlineStr">
        <is>
          <t>Huancabamba</t>
        </is>
      </c>
      <c r="D96" s="8" t="inlineStr">
        <is>
          <t>San Miguel de El Faique</t>
        </is>
      </c>
      <c r="E96" s="8" t="inlineStr">
        <is>
          <t>Z12</t>
        </is>
      </c>
      <c r="F96" s="9" t="n">
        <v>663637</v>
      </c>
      <c r="G96" s="9" t="n">
        <v>9400618</v>
      </c>
      <c r="H96" s="10" t="n">
        <v>28.23</v>
      </c>
    </row>
    <row r="97" ht="15" customHeight="1" s="17">
      <c r="A97" s="8" t="inlineStr">
        <is>
          <t>47</t>
        </is>
      </c>
      <c r="B97" s="8" t="inlineStr">
        <is>
          <t>C1076-Q9586</t>
        </is>
      </c>
      <c r="C97" s="8" t="inlineStr">
        <is>
          <t>Huancabamba</t>
        </is>
      </c>
      <c r="D97" s="8" t="inlineStr">
        <is>
          <t>San Miguel de El Faique</t>
        </is>
      </c>
      <c r="E97" s="8" t="inlineStr">
        <is>
          <t>Z12</t>
        </is>
      </c>
      <c r="F97" s="9" t="n">
        <v>659649</v>
      </c>
      <c r="G97" s="9" t="n">
        <v>9401436</v>
      </c>
      <c r="H97" s="10" t="n">
        <v>13.55</v>
      </c>
    </row>
    <row r="98" ht="15" customHeight="1" s="17">
      <c r="A98" s="8" t="inlineStr">
        <is>
          <t>75</t>
        </is>
      </c>
      <c r="B98" s="8" t="inlineStr">
        <is>
          <t>C1076-Q9587</t>
        </is>
      </c>
      <c r="C98" s="8" t="inlineStr">
        <is>
          <t>Huancabamba</t>
        </is>
      </c>
      <c r="D98" s="8" t="inlineStr">
        <is>
          <t>San Miguel de El Faique</t>
        </is>
      </c>
      <c r="E98" s="8" t="inlineStr">
        <is>
          <t>Z12</t>
        </is>
      </c>
      <c r="F98" s="9" t="n">
        <v>657722</v>
      </c>
      <c r="G98" s="9" t="n">
        <v>9401669</v>
      </c>
      <c r="H98" s="10" t="n">
        <v>15.18</v>
      </c>
    </row>
    <row r="99" ht="15" customHeight="1" s="17">
      <c r="A99" s="8" t="inlineStr">
        <is>
          <t>9</t>
        </is>
      </c>
      <c r="B99" s="8" t="inlineStr">
        <is>
          <t>C1076-Q9586</t>
        </is>
      </c>
      <c r="C99" s="8" t="inlineStr">
        <is>
          <t>Huancabamba</t>
        </is>
      </c>
      <c r="D99" s="8" t="inlineStr">
        <is>
          <t>San Miguel de El Faique</t>
        </is>
      </c>
      <c r="E99" s="8" t="inlineStr">
        <is>
          <t>Z12</t>
        </is>
      </c>
      <c r="F99" s="9" t="n">
        <v>656578</v>
      </c>
      <c r="G99" s="9" t="n">
        <v>9397762</v>
      </c>
      <c r="H99" s="10" t="n">
        <v>109.86</v>
      </c>
    </row>
    <row r="100" ht="15" customHeight="1" s="17">
      <c r="A100" s="8" t="inlineStr">
        <is>
          <t>43</t>
        </is>
      </c>
      <c r="B100" s="8" t="inlineStr">
        <is>
          <t>C1076-Q9586</t>
        </is>
      </c>
      <c r="C100" s="8" t="inlineStr">
        <is>
          <t>Huancabamba</t>
        </is>
      </c>
      <c r="D100" s="8" t="inlineStr">
        <is>
          <t>San Miguel de El Faique</t>
        </is>
      </c>
      <c r="E100" s="8" t="inlineStr">
        <is>
          <t>Z12</t>
        </is>
      </c>
      <c r="F100" s="9" t="n">
        <v>656489</v>
      </c>
      <c r="G100" s="9" t="n">
        <v>9395403</v>
      </c>
      <c r="H100" s="10" t="n">
        <v>23.17</v>
      </c>
    </row>
    <row r="101" ht="15" customHeight="1" s="17">
      <c r="A101" s="8" t="inlineStr">
        <is>
          <t>35</t>
        </is>
      </c>
      <c r="B101" s="8" t="inlineStr">
        <is>
          <t>C1076-Q9586</t>
        </is>
      </c>
      <c r="C101" s="8" t="inlineStr">
        <is>
          <t>Huancabamba</t>
        </is>
      </c>
      <c r="D101" s="8" t="inlineStr">
        <is>
          <t>San Miguel de El Faique</t>
        </is>
      </c>
      <c r="E101" s="8" t="inlineStr">
        <is>
          <t>Z12</t>
        </is>
      </c>
      <c r="F101" s="9" t="n">
        <v>654607</v>
      </c>
      <c r="G101" s="9" t="n">
        <v>9395038</v>
      </c>
      <c r="H101" s="10" t="n">
        <v>30.8</v>
      </c>
    </row>
    <row r="102" ht="15" customHeight="1" s="17">
      <c r="A102" s="8" t="inlineStr">
        <is>
          <t>67</t>
        </is>
      </c>
      <c r="B102" s="8" t="inlineStr">
        <is>
          <t>C1076-Q9586</t>
        </is>
      </c>
      <c r="C102" s="8" t="inlineStr">
        <is>
          <t>Huancabamba</t>
        </is>
      </c>
      <c r="D102" s="8" t="inlineStr">
        <is>
          <t>San Miguel de El Faique</t>
        </is>
      </c>
      <c r="E102" s="8" t="inlineStr">
        <is>
          <t>Z12</t>
        </is>
      </c>
      <c r="F102" s="9" t="n">
        <v>654207</v>
      </c>
      <c r="G102" s="9" t="n">
        <v>9394210</v>
      </c>
      <c r="H102" s="10" t="n">
        <v>13.18</v>
      </c>
    </row>
    <row r="103" ht="15" customHeight="1" s="17">
      <c r="A103" s="8" t="inlineStr">
        <is>
          <t>M20B1</t>
        </is>
      </c>
      <c r="B103" s="8" t="inlineStr">
        <is>
          <t>C1076-Q9585</t>
        </is>
      </c>
      <c r="C103" s="8" t="inlineStr">
        <is>
          <t>Huancabamba</t>
        </is>
      </c>
      <c r="D103" s="8" t="inlineStr">
        <is>
          <t>San Miguel de El Faique</t>
        </is>
      </c>
      <c r="E103" s="8" t="inlineStr">
        <is>
          <t>Z12</t>
        </is>
      </c>
      <c r="F103" s="9" t="n">
        <v>641196</v>
      </c>
      <c r="G103" s="9" t="n">
        <v>9398710</v>
      </c>
      <c r="H103" s="10" t="n">
        <v>279.68</v>
      </c>
    </row>
    <row r="104" ht="15" customHeight="1" s="17">
      <c r="A104" s="8" t="inlineStr">
        <is>
          <t>M2B8</t>
        </is>
      </c>
      <c r="B104" s="8" t="inlineStr">
        <is>
          <t>C1076-Q9584</t>
        </is>
      </c>
      <c r="C104" s="8" t="inlineStr">
        <is>
          <t>Huancabamba</t>
        </is>
      </c>
      <c r="D104" s="8" t="inlineStr">
        <is>
          <t>San Miguel de El Faique</t>
        </is>
      </c>
      <c r="E104" s="8" t="inlineStr">
        <is>
          <t>Z12</t>
        </is>
      </c>
      <c r="F104" s="9" t="n">
        <v>639059</v>
      </c>
      <c r="G104" s="9" t="n">
        <v>9398295</v>
      </c>
      <c r="H104" s="10" t="n">
        <v>116.1</v>
      </c>
    </row>
    <row r="105" ht="15" customHeight="1" s="17">
      <c r="A105" s="8" t="inlineStr">
        <is>
          <t>29</t>
        </is>
      </c>
      <c r="B105" s="8" t="inlineStr">
        <is>
          <t>C1076-Q9592</t>
        </is>
      </c>
      <c r="C105" s="8" t="inlineStr">
        <is>
          <t>Huancabamba</t>
        </is>
      </c>
      <c r="D105" s="8" t="inlineStr">
        <is>
          <t>Huarmaca</t>
        </is>
      </c>
      <c r="E105" s="8" t="inlineStr">
        <is>
          <t>Z13</t>
        </is>
      </c>
      <c r="F105" s="9" t="n">
        <v>662123</v>
      </c>
      <c r="G105" s="9" t="n">
        <v>9397575</v>
      </c>
      <c r="H105" s="10" t="n">
        <v>40.1</v>
      </c>
    </row>
    <row r="106" ht="15" customHeight="1" s="17">
      <c r="A106" s="8" t="inlineStr">
        <is>
          <t>68</t>
        </is>
      </c>
      <c r="B106" s="8" t="inlineStr">
        <is>
          <t>C1076-Q9592</t>
        </is>
      </c>
      <c r="C106" s="8" t="inlineStr">
        <is>
          <t>Huancabamba</t>
        </is>
      </c>
      <c r="D106" s="8" t="inlineStr">
        <is>
          <t>Huarmaca</t>
        </is>
      </c>
      <c r="E106" s="8" t="inlineStr">
        <is>
          <t>Z13</t>
        </is>
      </c>
      <c r="F106" s="9" t="n">
        <v>664225</v>
      </c>
      <c r="G106" s="9" t="n">
        <v>9396339</v>
      </c>
      <c r="H106" s="10" t="n">
        <v>21.29</v>
      </c>
    </row>
    <row r="107" ht="15" customHeight="1" s="17">
      <c r="A107" s="8" t="inlineStr">
        <is>
          <t>53</t>
        </is>
      </c>
      <c r="B107" s="8" t="inlineStr">
        <is>
          <t>C1076-Q9592</t>
        </is>
      </c>
      <c r="C107" s="8" t="inlineStr">
        <is>
          <t>Huancabamba</t>
        </is>
      </c>
      <c r="D107" s="8" t="inlineStr">
        <is>
          <t>Huarmaca</t>
        </is>
      </c>
      <c r="E107" s="8" t="inlineStr">
        <is>
          <t>Z13</t>
        </is>
      </c>
      <c r="F107" s="9" t="n">
        <v>666537</v>
      </c>
      <c r="G107" s="9" t="n">
        <v>9395918</v>
      </c>
      <c r="H107" s="10" t="n">
        <v>13.06</v>
      </c>
    </row>
    <row r="108" ht="15" customHeight="1" s="17">
      <c r="A108" s="8" t="inlineStr">
        <is>
          <t>70</t>
        </is>
      </c>
      <c r="B108" s="8" t="inlineStr">
        <is>
          <t>C1076-Q9592</t>
        </is>
      </c>
      <c r="C108" s="8" t="inlineStr">
        <is>
          <t>Huancabamba</t>
        </is>
      </c>
      <c r="D108" s="8" t="inlineStr">
        <is>
          <t>Huarmaca</t>
        </is>
      </c>
      <c r="E108" s="8" t="inlineStr">
        <is>
          <t>Z13</t>
        </is>
      </c>
      <c r="F108" s="9" t="n">
        <v>666781</v>
      </c>
      <c r="G108" s="9" t="n">
        <v>9395573</v>
      </c>
      <c r="H108" s="10" t="n">
        <v>22.39</v>
      </c>
    </row>
    <row r="109" ht="15" customHeight="1" s="17">
      <c r="A109" s="8" t="inlineStr">
        <is>
          <t>31</t>
        </is>
      </c>
      <c r="B109" s="8" t="inlineStr">
        <is>
          <t>C1076-Q9592</t>
        </is>
      </c>
      <c r="C109" s="8" t="inlineStr">
        <is>
          <t>Huancabamba</t>
        </is>
      </c>
      <c r="D109" s="8" t="inlineStr">
        <is>
          <t>Huarmaca</t>
        </is>
      </c>
      <c r="E109" s="8" t="inlineStr">
        <is>
          <t>Z13</t>
        </is>
      </c>
      <c r="F109" s="9" t="n">
        <v>663334</v>
      </c>
      <c r="G109" s="9" t="n">
        <v>9392820</v>
      </c>
      <c r="H109" s="10" t="n">
        <v>47.58</v>
      </c>
    </row>
    <row r="110" ht="15" customHeight="1" s="17">
      <c r="A110" s="8" t="inlineStr">
        <is>
          <t>69</t>
        </is>
      </c>
      <c r="B110" s="8" t="inlineStr">
        <is>
          <t>C1076-Q9592</t>
        </is>
      </c>
      <c r="C110" s="8" t="inlineStr">
        <is>
          <t>Huancabamba</t>
        </is>
      </c>
      <c r="D110" s="8" t="inlineStr">
        <is>
          <t>Huarmaca</t>
        </is>
      </c>
      <c r="E110" s="8" t="inlineStr">
        <is>
          <t>Z13</t>
        </is>
      </c>
      <c r="F110" s="9" t="n">
        <v>663291</v>
      </c>
      <c r="G110" s="9" t="n">
        <v>9392332</v>
      </c>
      <c r="H110" s="10" t="n">
        <v>19.43</v>
      </c>
    </row>
    <row r="111" ht="15" customHeight="1" s="17">
      <c r="A111" s="8" t="inlineStr">
        <is>
          <t>72</t>
        </is>
      </c>
      <c r="B111" s="8" t="inlineStr">
        <is>
          <t>C1076-Q9592</t>
        </is>
      </c>
      <c r="C111" s="8" t="inlineStr">
        <is>
          <t>Huancabamba</t>
        </is>
      </c>
      <c r="D111" s="8" t="inlineStr">
        <is>
          <t>Huarmaca</t>
        </is>
      </c>
      <c r="E111" s="8" t="inlineStr">
        <is>
          <t>Z13</t>
        </is>
      </c>
      <c r="F111" s="9" t="n">
        <v>662236</v>
      </c>
      <c r="G111" s="9" t="n">
        <v>9391211</v>
      </c>
      <c r="H111" s="10" t="n">
        <v>12.4</v>
      </c>
    </row>
    <row r="112" ht="15" customHeight="1" s="17">
      <c r="A112" s="8" t="inlineStr">
        <is>
          <t>41</t>
        </is>
      </c>
      <c r="B112" s="8" t="inlineStr">
        <is>
          <t>C1076-Q9592</t>
        </is>
      </c>
      <c r="C112" s="8" t="inlineStr">
        <is>
          <t>Huancabamba</t>
        </is>
      </c>
      <c r="D112" s="8" t="inlineStr">
        <is>
          <t>Huarmaca</t>
        </is>
      </c>
      <c r="E112" s="8" t="inlineStr">
        <is>
          <t>Z13</t>
        </is>
      </c>
      <c r="F112" s="9" t="n">
        <v>660525</v>
      </c>
      <c r="G112" s="9" t="n">
        <v>9394327</v>
      </c>
      <c r="H112" s="10" t="n">
        <v>64.92</v>
      </c>
    </row>
    <row r="113" ht="15" customHeight="1" s="17">
      <c r="A113" s="8" t="inlineStr">
        <is>
          <t>73</t>
        </is>
      </c>
      <c r="B113" s="8" t="inlineStr">
        <is>
          <t>C1076-Q9592</t>
        </is>
      </c>
      <c r="C113" s="8" t="inlineStr">
        <is>
          <t>Huancabamba</t>
        </is>
      </c>
      <c r="D113" s="8" t="inlineStr">
        <is>
          <t>Huarmaca</t>
        </is>
      </c>
      <c r="E113" s="8" t="inlineStr">
        <is>
          <t>Z13</t>
        </is>
      </c>
      <c r="F113" s="9" t="n">
        <v>658547</v>
      </c>
      <c r="G113" s="9" t="n">
        <v>9395594</v>
      </c>
      <c r="H113" s="10" t="n">
        <v>54.29</v>
      </c>
    </row>
    <row r="114" ht="15" customHeight="1" s="17">
      <c r="A114" s="8" t="inlineStr">
        <is>
          <t>18</t>
        </is>
      </c>
      <c r="B114" s="8" t="inlineStr">
        <is>
          <t>C1076-Q9592</t>
        </is>
      </c>
      <c r="C114" s="8" t="inlineStr">
        <is>
          <t>Huancabamba</t>
        </is>
      </c>
      <c r="D114" s="8" t="inlineStr">
        <is>
          <t>Huarmaca</t>
        </is>
      </c>
      <c r="E114" s="8" t="inlineStr">
        <is>
          <t>Z13</t>
        </is>
      </c>
      <c r="F114" s="9" t="n">
        <v>656445</v>
      </c>
      <c r="G114" s="9" t="n">
        <v>9393180</v>
      </c>
      <c r="H114" s="10" t="n">
        <v>103.62</v>
      </c>
    </row>
    <row r="115" ht="15" customHeight="1" s="17">
      <c r="A115" s="8" t="inlineStr">
        <is>
          <t>74</t>
        </is>
      </c>
      <c r="B115" s="8" t="inlineStr">
        <is>
          <t>C1076-Q9588</t>
        </is>
      </c>
      <c r="C115" s="8" t="inlineStr">
        <is>
          <t>Huancabamba</t>
        </is>
      </c>
      <c r="D115" s="8" t="inlineStr">
        <is>
          <t>Huarmaca</t>
        </is>
      </c>
      <c r="E115" s="8" t="inlineStr">
        <is>
          <t>Z13</t>
        </is>
      </c>
      <c r="F115" s="9" t="n">
        <v>652449</v>
      </c>
      <c r="G115" s="9" t="n">
        <v>9389179</v>
      </c>
      <c r="H115" s="10" t="n">
        <v>29.23</v>
      </c>
    </row>
    <row r="116" ht="15" customHeight="1" s="17">
      <c r="A116" s="8" t="inlineStr">
        <is>
          <t>M12B1</t>
        </is>
      </c>
      <c r="B116" s="8" t="inlineStr">
        <is>
          <t>C1076-Q9588</t>
        </is>
      </c>
      <c r="C116" s="8" t="inlineStr">
        <is>
          <t>Huancabamba</t>
        </is>
      </c>
      <c r="D116" s="8" t="inlineStr">
        <is>
          <t>Huarmaca</t>
        </is>
      </c>
      <c r="E116" s="8" t="inlineStr">
        <is>
          <t>Z13</t>
        </is>
      </c>
      <c r="F116" s="9" t="n">
        <v>644546</v>
      </c>
      <c r="G116" s="9" t="n">
        <v>9389106</v>
      </c>
      <c r="H116" s="10" t="n">
        <v>268.39</v>
      </c>
    </row>
    <row r="117" ht="15" customHeight="1" s="17">
      <c r="A117" s="8" t="inlineStr">
        <is>
          <t>19</t>
        </is>
      </c>
      <c r="B117" s="8" t="inlineStr">
        <is>
          <t>C1076-Q9592</t>
        </is>
      </c>
      <c r="C117" s="8" t="inlineStr">
        <is>
          <t>Huancabamba</t>
        </is>
      </c>
      <c r="D117" s="8" t="inlineStr">
        <is>
          <t>Huarmaca</t>
        </is>
      </c>
      <c r="E117" s="8" t="inlineStr">
        <is>
          <t>Z13</t>
        </is>
      </c>
      <c r="F117" s="9" t="n">
        <v>665942</v>
      </c>
      <c r="G117" s="9" t="n">
        <v>9391144</v>
      </c>
      <c r="H117" s="10" t="n">
        <v>82.09</v>
      </c>
    </row>
    <row r="118" ht="15" customHeight="1" s="17">
      <c r="A118" s="8" t="inlineStr">
        <is>
          <t>M4B4</t>
        </is>
      </c>
      <c r="B118" s="8" t="inlineStr">
        <is>
          <t>C1076-Q9589</t>
        </is>
      </c>
      <c r="C118" s="8" t="inlineStr">
        <is>
          <t>Huancabamba</t>
        </is>
      </c>
      <c r="D118" s="8" t="inlineStr">
        <is>
          <t>Huarmaca</t>
        </is>
      </c>
      <c r="E118" s="8" t="inlineStr">
        <is>
          <t>Z14</t>
        </is>
      </c>
      <c r="F118" s="9" t="n">
        <v>642775</v>
      </c>
      <c r="G118" s="9" t="n">
        <v>9388574</v>
      </c>
      <c r="H118" s="10" t="n">
        <v>289.91</v>
      </c>
    </row>
    <row r="119" ht="15" customHeight="1" s="17">
      <c r="A119" s="8" t="inlineStr">
        <is>
          <t>M4B3</t>
        </is>
      </c>
      <c r="B119" s="8" t="inlineStr">
        <is>
          <t>C1076-Q9589</t>
        </is>
      </c>
      <c r="C119" s="8" t="inlineStr">
        <is>
          <t>Huancabamba</t>
        </is>
      </c>
      <c r="D119" s="8" t="inlineStr">
        <is>
          <t>Huarmaca</t>
        </is>
      </c>
      <c r="E119" s="8" t="inlineStr">
        <is>
          <t>Z14</t>
        </is>
      </c>
      <c r="F119" s="9" t="n">
        <v>643474</v>
      </c>
      <c r="G119" s="9" t="n">
        <v>9385620</v>
      </c>
      <c r="H119" s="10" t="n">
        <v>234.07</v>
      </c>
    </row>
    <row r="120" ht="15" customHeight="1" s="17">
      <c r="A120" s="8" t="inlineStr">
        <is>
          <t>10</t>
        </is>
      </c>
      <c r="B120" s="8" t="inlineStr">
        <is>
          <t>C1076-Q9593</t>
        </is>
      </c>
      <c r="C120" s="8" t="inlineStr">
        <is>
          <t>Huancabamba</t>
        </is>
      </c>
      <c r="D120" s="8" t="inlineStr">
        <is>
          <t>Huarmaca</t>
        </is>
      </c>
      <c r="E120" s="8" t="inlineStr">
        <is>
          <t>Z14</t>
        </is>
      </c>
      <c r="F120" s="9" t="n">
        <v>650830</v>
      </c>
      <c r="G120" s="9" t="n">
        <v>9382303</v>
      </c>
      <c r="H120" s="10" t="n">
        <v>150.21</v>
      </c>
    </row>
    <row r="121" ht="15" customHeight="1" s="17">
      <c r="A121" s="8" t="inlineStr">
        <is>
          <t>16</t>
        </is>
      </c>
      <c r="B121" s="8" t="inlineStr">
        <is>
          <t>C1076-Q9593</t>
        </is>
      </c>
      <c r="C121" s="8" t="inlineStr">
        <is>
          <t>Huancabamba</t>
        </is>
      </c>
      <c r="D121" s="8" t="inlineStr">
        <is>
          <t>Huarmaca</t>
        </is>
      </c>
      <c r="E121" s="8" t="inlineStr">
        <is>
          <t>Z14</t>
        </is>
      </c>
      <c r="F121" s="9" t="n">
        <v>652939</v>
      </c>
      <c r="G121" s="9" t="n">
        <v>9382105</v>
      </c>
      <c r="H121" s="10" t="n">
        <v>83.33</v>
      </c>
    </row>
    <row r="122" ht="15" customHeight="1" s="17">
      <c r="A122" s="8" t="inlineStr">
        <is>
          <t>4</t>
        </is>
      </c>
      <c r="B122" s="8" t="inlineStr">
        <is>
          <t>C1076-Q9588</t>
        </is>
      </c>
      <c r="C122" s="8" t="inlineStr">
        <is>
          <t>Huancabamba</t>
        </is>
      </c>
      <c r="D122" s="8" t="inlineStr">
        <is>
          <t>Huarmaca</t>
        </is>
      </c>
      <c r="E122" s="8" t="inlineStr">
        <is>
          <t>Z14</t>
        </is>
      </c>
      <c r="F122" s="9" t="n">
        <v>656549</v>
      </c>
      <c r="G122" s="9" t="n">
        <v>9382009</v>
      </c>
      <c r="H122" s="10" t="n">
        <v>230.1</v>
      </c>
    </row>
    <row r="123" ht="15" customHeight="1" s="17">
      <c r="A123" s="8" t="inlineStr">
        <is>
          <t>51</t>
        </is>
      </c>
      <c r="B123" s="8" t="inlineStr">
        <is>
          <t>C1076-Q9593</t>
        </is>
      </c>
      <c r="C123" s="8" t="inlineStr">
        <is>
          <t>Huancabamba</t>
        </is>
      </c>
      <c r="D123" s="8" t="inlineStr">
        <is>
          <t>Huarmaca</t>
        </is>
      </c>
      <c r="E123" s="8" t="inlineStr">
        <is>
          <t>Z14</t>
        </is>
      </c>
      <c r="F123" s="9" t="n">
        <v>656291</v>
      </c>
      <c r="G123" s="9" t="n">
        <v>9379096</v>
      </c>
      <c r="H123" s="10" t="n">
        <v>22.93</v>
      </c>
    </row>
    <row r="124" ht="15" customHeight="1" s="17">
      <c r="A124" s="8" t="inlineStr">
        <is>
          <t>76</t>
        </is>
      </c>
      <c r="B124" s="8" t="inlineStr">
        <is>
          <t>C1076-Q9593</t>
        </is>
      </c>
      <c r="C124" s="8" t="inlineStr">
        <is>
          <t>Huancabamba</t>
        </is>
      </c>
      <c r="D124" s="8" t="inlineStr">
        <is>
          <t>Huarmaca</t>
        </is>
      </c>
      <c r="E124" s="8" t="inlineStr">
        <is>
          <t>Z14</t>
        </is>
      </c>
      <c r="F124" s="9" t="n">
        <v>657922</v>
      </c>
      <c r="G124" s="9" t="n">
        <v>9377477</v>
      </c>
      <c r="H124" s="10" t="n">
        <v>19.62</v>
      </c>
    </row>
    <row r="125" ht="15" customHeight="1" s="17">
      <c r="A125" s="8" t="inlineStr">
        <is>
          <t>80</t>
        </is>
      </c>
      <c r="B125" s="8" t="inlineStr">
        <is>
          <t>C1076-Q9593</t>
        </is>
      </c>
      <c r="C125" s="8" t="inlineStr">
        <is>
          <t>Huancabamba</t>
        </is>
      </c>
      <c r="D125" s="8" t="inlineStr">
        <is>
          <t>Huarmaca</t>
        </is>
      </c>
      <c r="E125" s="8" t="inlineStr">
        <is>
          <t>Z14</t>
        </is>
      </c>
      <c r="F125" s="9" t="n">
        <v>657160</v>
      </c>
      <c r="G125" s="9" t="n">
        <v>9373050</v>
      </c>
      <c r="H125" s="10" t="n">
        <v>28.83</v>
      </c>
    </row>
    <row r="126" ht="15" customHeight="1" s="17">
      <c r="A126" s="8" t="inlineStr">
        <is>
          <t>71</t>
        </is>
      </c>
      <c r="B126" s="8" t="inlineStr">
        <is>
          <t>C1076-Q9593</t>
        </is>
      </c>
      <c r="C126" s="8" t="inlineStr">
        <is>
          <t>Huancabamba</t>
        </is>
      </c>
      <c r="D126" s="8" t="inlineStr">
        <is>
          <t>Huarmaca</t>
        </is>
      </c>
      <c r="E126" s="8" t="inlineStr">
        <is>
          <t>Z14</t>
        </is>
      </c>
      <c r="F126" s="9" t="n">
        <v>652104</v>
      </c>
      <c r="G126" s="9" t="n">
        <v>9373045</v>
      </c>
      <c r="H126" s="10" t="n">
        <v>10.67</v>
      </c>
    </row>
    <row r="127" ht="15" customHeight="1" s="17">
      <c r="A127" s="8" t="inlineStr">
        <is>
          <t>8</t>
        </is>
      </c>
      <c r="B127" s="8" t="inlineStr">
        <is>
          <t>C1076-Q9593</t>
        </is>
      </c>
      <c r="C127" s="8" t="inlineStr">
        <is>
          <t>Huancabamba</t>
        </is>
      </c>
      <c r="D127" s="8" t="inlineStr">
        <is>
          <t>Huarmaca</t>
        </is>
      </c>
      <c r="E127" s="8" t="inlineStr">
        <is>
          <t>Z14</t>
        </is>
      </c>
      <c r="F127" s="9" t="n">
        <v>651673</v>
      </c>
      <c r="G127" s="9" t="n">
        <v>9373383</v>
      </c>
      <c r="H127" s="10" t="n">
        <v>126.95</v>
      </c>
    </row>
    <row r="128" ht="15" customHeight="1" s="17">
      <c r="A128" s="8" t="inlineStr">
        <is>
          <t>20</t>
        </is>
      </c>
      <c r="B128" s="8" t="inlineStr">
        <is>
          <t>C1076-Q9593</t>
        </is>
      </c>
      <c r="C128" s="8" t="inlineStr">
        <is>
          <t>Huancabamba</t>
        </is>
      </c>
      <c r="D128" s="8" t="inlineStr">
        <is>
          <t>Huarmaca</t>
        </is>
      </c>
      <c r="E128" s="8" t="inlineStr">
        <is>
          <t>Z14</t>
        </is>
      </c>
      <c r="F128" s="9" t="n">
        <v>649847</v>
      </c>
      <c r="G128" s="9" t="n">
        <v>9376260</v>
      </c>
      <c r="H128" s="10" t="n">
        <v>81.33</v>
      </c>
    </row>
  </sheetData>
  <pageMargins left="0.75" right="0.75" top="1" bottom="1" header="0.511811023622047" footer="0.511811023622047"/>
  <pageSetup orientation="landscape" paperSize="9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K16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4.4"/>
  <cols>
    <col width="22" customWidth="1" style="17" min="1" max="1"/>
    <col width="29" customWidth="1" style="17" min="2" max="2"/>
    <col width="22" customWidth="1" style="17" min="3" max="4"/>
    <col width="29" customWidth="1" style="17" min="5" max="5"/>
    <col width="31" customWidth="1" style="17" min="6" max="7"/>
    <col width="29" customWidth="1" style="17" min="8" max="8"/>
    <col width="38" customWidth="1" style="17" min="9" max="9"/>
    <col width="22" customWidth="1" style="17" min="10" max="11"/>
    <col width="53" customWidth="1" style="17" min="12" max="12"/>
    <col width="40" customWidth="1" style="17" min="13" max="13"/>
    <col width="31" customWidth="1" style="17" min="14" max="14"/>
    <col width="27" customWidth="1" style="17" min="15" max="15"/>
    <col width="22" customWidth="1" style="17" min="16" max="16"/>
    <col width="28" customWidth="1" style="17" min="17" max="17"/>
    <col width="22" customWidth="1" style="17" min="18" max="18"/>
    <col width="28" customWidth="1" style="17" min="19" max="19"/>
    <col width="22" customWidth="1" style="17" min="20" max="21"/>
    <col width="30" customWidth="1" style="17" min="22" max="22"/>
    <col width="34" customWidth="1" style="17" min="23" max="23"/>
    <col width="22" customWidth="1" style="17" min="24" max="26"/>
    <col width="25" customWidth="1" style="17" min="27" max="27"/>
    <col width="26" customWidth="1" style="17" min="28" max="28"/>
    <col width="22" customWidth="1" style="17" min="29" max="29"/>
    <col width="47" customWidth="1" style="17" min="30" max="30"/>
    <col width="33" customWidth="1" style="17" min="31" max="31"/>
    <col width="25" customWidth="1" style="17" min="32" max="32"/>
    <col width="22" customWidth="1" style="17" min="33" max="37"/>
  </cols>
  <sheetData>
    <row r="1" ht="15" customHeight="1" s="17">
      <c r="A1" s="34" t="inlineStr">
        <is>
          <t>Listas de opciones para validación de datos — IN Piura | Cada columna es un rango nombrado.</t>
        </is>
      </c>
    </row>
    <row r="3" ht="15" customHeight="1" s="17">
      <c r="A3" s="2" t="inlineStr">
        <is>
          <t>lst_FormaTerreno</t>
        </is>
      </c>
      <c r="B3" s="2" t="inlineStr">
        <is>
          <t>lst_RangoPendiente</t>
        </is>
      </c>
      <c r="C3" s="2" t="inlineStr">
        <is>
          <t>lst_PosicionFisio</t>
        </is>
      </c>
      <c r="D3" s="2" t="inlineStr">
        <is>
          <t>lst_Exposicion</t>
        </is>
      </c>
      <c r="E3" s="2" t="inlineStr">
        <is>
          <t>lst_RangoAltitud</t>
        </is>
      </c>
      <c r="F3" s="2" t="inlineStr">
        <is>
          <t>lst_NivelErosion</t>
        </is>
      </c>
      <c r="G3" s="2" t="inlineStr">
        <is>
          <t>lst_TipoCarcava</t>
        </is>
      </c>
      <c r="H3" s="2" t="inlineStr">
        <is>
          <t>lst_EstadoCarcava</t>
        </is>
      </c>
      <c r="I3" s="2" t="inlineStr">
        <is>
          <t>lst_CausaCarcava</t>
        </is>
      </c>
      <c r="J3" s="2" t="inlineStr">
        <is>
          <t>lst_PatronCarcavas</t>
        </is>
      </c>
      <c r="K3" s="2" t="inlineStr">
        <is>
          <t>lst_Urgencia</t>
        </is>
      </c>
      <c r="L3" s="2" t="inlineStr">
        <is>
          <t>lst_TipoEcosistema</t>
        </is>
      </c>
      <c r="M3" s="2" t="inlineStr">
        <is>
          <t>lst_EstadoConservacion</t>
        </is>
      </c>
      <c r="N3" s="2" t="inlineStr">
        <is>
          <t>lst_UsoSueloDom</t>
        </is>
      </c>
      <c r="O3" s="2" t="inlineStr">
        <is>
          <t>lst_Regeneracion</t>
        </is>
      </c>
      <c r="P3" s="2" t="inlineStr">
        <is>
          <t>lst_EstadoSanitario</t>
        </is>
      </c>
      <c r="Q3" s="2" t="inlineStr">
        <is>
          <t>lst_Fenologia</t>
        </is>
      </c>
      <c r="R3" s="2" t="inlineStr">
        <is>
          <t>lst_TipoCobertura</t>
        </is>
      </c>
      <c r="S3" s="2" t="inlineStr">
        <is>
          <t>lst_Estrato</t>
        </is>
      </c>
      <c r="T3" s="2" t="inlineStr">
        <is>
          <t>lst_Origen</t>
        </is>
      </c>
      <c r="U3" s="2" t="inlineStr">
        <is>
          <t>lst_Abundancia</t>
        </is>
      </c>
      <c r="V3" s="2" t="inlineStr">
        <is>
          <t>lst_CategoriaIndicadora</t>
        </is>
      </c>
      <c r="W3" s="2" t="inlineStr">
        <is>
          <t>lst_EstadoUICN</t>
        </is>
      </c>
      <c r="X3" s="2" t="inlineStr">
        <is>
          <t>lst_Intensidad</t>
        </is>
      </c>
      <c r="Y3" s="2" t="inlineStr">
        <is>
          <t>lst_NivelInd</t>
        </is>
      </c>
      <c r="Z3" s="2" t="inlineStr">
        <is>
          <t>lst_Velocidad</t>
        </is>
      </c>
      <c r="AA3" s="2" t="inlineStr">
        <is>
          <t>lst_Reversibilidad</t>
        </is>
      </c>
      <c r="AB3" s="2" t="inlineStr">
        <is>
          <t>lst_TipoFuente</t>
        </is>
      </c>
      <c r="AC3" s="2" t="inlineStr">
        <is>
          <t>lst_RegimenHidrico</t>
        </is>
      </c>
      <c r="AD3" s="2" t="inlineStr">
        <is>
          <t>lst_CalidadAgua</t>
        </is>
      </c>
      <c r="AE3" s="2" t="inlineStr">
        <is>
          <t>lst_ModalidadAcceso</t>
        </is>
      </c>
      <c r="AF3" s="2" t="inlineStr">
        <is>
          <t>lst_TipoVia</t>
        </is>
      </c>
      <c r="AG3" s="2" t="inlineStr">
        <is>
          <t>lst_NivelTransitabilidad</t>
        </is>
      </c>
      <c r="AH3" s="2" t="inlineStr">
        <is>
          <t>lst_SenalCelular</t>
        </is>
      </c>
      <c r="AI3" s="2" t="inlineStr">
        <is>
          <t>lst_Operador</t>
        </is>
      </c>
      <c r="AJ3" s="2" t="inlineStr">
        <is>
          <t>lst_SiNo</t>
        </is>
      </c>
      <c r="AK3" s="2" t="inlineStr">
        <is>
          <t>lst_SiNoNA</t>
        </is>
      </c>
    </row>
    <row r="4" ht="15" customHeight="1" s="17">
      <c r="A4" s="8" t="inlineStr">
        <is>
          <t>Plano</t>
        </is>
      </c>
      <c r="B4" s="8" t="inlineStr">
        <is>
          <t>0-8% (Plano-lig. inclinado)</t>
        </is>
      </c>
      <c r="C4" s="8" t="inlineStr">
        <is>
          <t>Cresta / Divortium</t>
        </is>
      </c>
      <c r="D4" s="8" t="inlineStr">
        <is>
          <t>Norte</t>
        </is>
      </c>
      <c r="E4" s="8" t="inlineStr">
        <is>
          <t>&lt;1000 m (Yunga)</t>
        </is>
      </c>
      <c r="F4" s="8" t="inlineStr">
        <is>
          <t>Nula</t>
        </is>
      </c>
      <c r="G4" s="8" t="inlineStr">
        <is>
          <t>Surco (&lt;30 cm)</t>
        </is>
      </c>
      <c r="H4" s="8" t="inlineStr">
        <is>
          <t>Activa</t>
        </is>
      </c>
      <c r="I4" s="8" t="inlineStr">
        <is>
          <t>Sobrepastoreo</t>
        </is>
      </c>
      <c r="J4" s="8" t="inlineStr">
        <is>
          <t>Dendrítico</t>
        </is>
      </c>
      <c r="K4" s="8" t="inlineStr">
        <is>
          <t>Crítica</t>
        </is>
      </c>
      <c r="L4" s="8" t="inlineStr">
        <is>
          <t>Páramo</t>
        </is>
      </c>
      <c r="M4" s="8" t="inlineStr">
        <is>
          <t>Conservado (sin intervención evidente)</t>
        </is>
      </c>
      <c r="N4" s="8" t="inlineStr">
        <is>
          <t>Forestal protección</t>
        </is>
      </c>
      <c r="O4" s="8" t="inlineStr">
        <is>
          <t>Abundante (&gt;50 pl./100m²)</t>
        </is>
      </c>
      <c r="P4" s="8" t="inlineStr">
        <is>
          <t>Sano</t>
        </is>
      </c>
      <c r="Q4" s="8" t="inlineStr">
        <is>
          <t>Vegetativo</t>
        </is>
      </c>
      <c r="R4" s="8" t="inlineStr">
        <is>
          <t>Bosque denso (&gt;70%)</t>
        </is>
      </c>
      <c r="S4" s="8" t="inlineStr">
        <is>
          <t>Arbóreo superior (&gt;15 m)</t>
        </is>
      </c>
      <c r="T4" s="8" t="inlineStr">
        <is>
          <t>Nativa</t>
        </is>
      </c>
      <c r="U4" s="8" t="inlineStr">
        <is>
          <t>Dominante (&gt;40%)</t>
        </is>
      </c>
      <c r="V4" s="8" t="inlineStr">
        <is>
          <t>Indicadora de buen estado</t>
        </is>
      </c>
      <c r="W4" s="8" t="inlineStr">
        <is>
          <t>EX — Extinto</t>
        </is>
      </c>
      <c r="X4" s="8" t="inlineStr">
        <is>
          <t>Nula</t>
        </is>
      </c>
      <c r="Y4" s="8" t="inlineStr">
        <is>
          <t>Alto</t>
        </is>
      </c>
      <c r="Z4" s="8" t="inlineStr">
        <is>
          <t>Muy rápida</t>
        </is>
      </c>
      <c r="AA4" s="8" t="inlineStr">
        <is>
          <t>Totalmente reversible</t>
        </is>
      </c>
      <c r="AB4" s="8" t="inlineStr">
        <is>
          <t>Manantial / Puquio</t>
        </is>
      </c>
      <c r="AC4" s="8" t="inlineStr">
        <is>
          <t>Permanente</t>
        </is>
      </c>
      <c r="AD4" s="8" t="inlineStr">
        <is>
          <t>Buena (clara, sin olor, sin sedimentos)</t>
        </is>
      </c>
      <c r="AE4" s="8" t="inlineStr">
        <is>
          <t>Vehicular 4x4 hasta el bloque</t>
        </is>
      </c>
      <c r="AF4" s="8" t="inlineStr">
        <is>
          <t>Nacional asfaltada</t>
        </is>
      </c>
      <c r="AG4" s="8" t="inlineStr">
        <is>
          <t>Alto</t>
        </is>
      </c>
      <c r="AH4" s="8" t="inlineStr">
        <is>
          <t>Completa</t>
        </is>
      </c>
      <c r="AI4" s="8" t="inlineStr">
        <is>
          <t>Movistar</t>
        </is>
      </c>
      <c r="AJ4" s="8" t="inlineStr">
        <is>
          <t>Sí</t>
        </is>
      </c>
      <c r="AK4" s="8" t="inlineStr">
        <is>
          <t>Sí</t>
        </is>
      </c>
    </row>
    <row r="5" ht="15" customHeight="1" s="17">
      <c r="A5" s="8" t="inlineStr">
        <is>
          <t>Ondulado</t>
        </is>
      </c>
      <c r="B5" s="8" t="inlineStr">
        <is>
          <t>8-15% (Mod. inclinado)</t>
        </is>
      </c>
      <c r="C5" s="8" t="inlineStr">
        <is>
          <t>Ladera alta</t>
        </is>
      </c>
      <c r="D5" s="8" t="inlineStr">
        <is>
          <t>Sur</t>
        </is>
      </c>
      <c r="E5" s="8" t="inlineStr">
        <is>
          <t>1000-1500 m (Quechua baja)</t>
        </is>
      </c>
      <c r="F5" s="8" t="inlineStr">
        <is>
          <t>Ligera (laminar)</t>
        </is>
      </c>
      <c r="G5" s="8" t="inlineStr">
        <is>
          <t>Cárcava incipiente (30-50 cm)</t>
        </is>
      </c>
      <c r="H5" s="8" t="inlineStr">
        <is>
          <t>Semi-activa</t>
        </is>
      </c>
      <c r="I5" s="8" t="inlineStr">
        <is>
          <t>Tala / pérdida de cobertura</t>
        </is>
      </c>
      <c r="J5" s="8" t="inlineStr">
        <is>
          <t>Paralelo</t>
        </is>
      </c>
      <c r="K5" s="8" t="inlineStr">
        <is>
          <t>Alta</t>
        </is>
      </c>
      <c r="L5" s="8" t="inlineStr">
        <is>
          <t>Bosque Relicto Montano V. Occidental (BMVO)</t>
        </is>
      </c>
      <c r="M5" s="8" t="inlineStr">
        <is>
          <t>Levemente alterado</t>
        </is>
      </c>
      <c r="N5" s="8" t="inlineStr">
        <is>
          <t>Forestal producción</t>
        </is>
      </c>
      <c r="O5" s="8" t="inlineStr">
        <is>
          <t>Regular (10-50 pl./100m²)</t>
        </is>
      </c>
      <c r="P5" s="8" t="inlineStr">
        <is>
          <t>Enfermo (plaga)</t>
        </is>
      </c>
      <c r="Q5" s="8" t="inlineStr">
        <is>
          <t>Floración</t>
        </is>
      </c>
      <c r="R5" s="8" t="inlineStr">
        <is>
          <t>Bosque ralo (30-70%)</t>
        </is>
      </c>
      <c r="S5" s="8" t="inlineStr">
        <is>
          <t>Arbóreo medio (8-15 m)</t>
        </is>
      </c>
      <c r="T5" s="8" t="inlineStr">
        <is>
          <t>Endémica</t>
        </is>
      </c>
      <c r="U5" s="8" t="inlineStr">
        <is>
          <t>Abundante (20-40%)</t>
        </is>
      </c>
      <c r="V5" s="8" t="inlineStr">
        <is>
          <t>Indicadora de perturbación</t>
        </is>
      </c>
      <c r="W5" s="8" t="inlineStr">
        <is>
          <t>EW — Extinto en Estado Silvestre</t>
        </is>
      </c>
      <c r="X5" s="8" t="inlineStr">
        <is>
          <t>Ligera</t>
        </is>
      </c>
      <c r="Y5" s="8" t="inlineStr">
        <is>
          <t>Medio</t>
        </is>
      </c>
      <c r="Z5" s="8" t="inlineStr">
        <is>
          <t>Rápida</t>
        </is>
      </c>
      <c r="AA5" s="8" t="inlineStr">
        <is>
          <t>Parcialmente reversible</t>
        </is>
      </c>
      <c r="AB5" s="8" t="inlineStr">
        <is>
          <t>Quebrada permanente</t>
        </is>
      </c>
      <c r="AC5" s="8" t="inlineStr">
        <is>
          <t>Estacional (lluvias)</t>
        </is>
      </c>
      <c r="AD5" s="8" t="inlineStr">
        <is>
          <t>Regular (ligeramente turbia o con sedimentos)</t>
        </is>
      </c>
      <c r="AE5" s="8" t="inlineStr">
        <is>
          <t>Vehicular + caminata &lt;30 min</t>
        </is>
      </c>
      <c r="AF5" s="8" t="inlineStr">
        <is>
          <t>Nacional afirmada</t>
        </is>
      </c>
      <c r="AG5" s="8" t="inlineStr">
        <is>
          <t>Medio</t>
        </is>
      </c>
      <c r="AH5" s="8" t="inlineStr">
        <is>
          <t>Parcial</t>
        </is>
      </c>
      <c r="AI5" s="8" t="inlineStr">
        <is>
          <t>Claro</t>
        </is>
      </c>
      <c r="AJ5" s="8" t="inlineStr">
        <is>
          <t>No</t>
        </is>
      </c>
      <c r="AK5" s="8" t="inlineStr">
        <is>
          <t>No</t>
        </is>
      </c>
    </row>
    <row r="6" ht="15" customHeight="1" s="17">
      <c r="A6" s="8" t="inlineStr">
        <is>
          <t>Colinoso</t>
        </is>
      </c>
      <c r="B6" s="8" t="inlineStr">
        <is>
          <t>15-25% (Fuert. inclinado)</t>
        </is>
      </c>
      <c r="C6" s="8" t="inlineStr">
        <is>
          <t>Ladera media</t>
        </is>
      </c>
      <c r="D6" s="8" t="inlineStr">
        <is>
          <t>Este</t>
        </is>
      </c>
      <c r="E6" s="8" t="inlineStr">
        <is>
          <t>1500-2000 m (Quechua media)</t>
        </is>
      </c>
      <c r="F6" s="8" t="inlineStr">
        <is>
          <t>Moderada (surcos)</t>
        </is>
      </c>
      <c r="G6" s="8" t="inlineStr">
        <is>
          <t>Cárcava somera (0.5-2 m)</t>
        </is>
      </c>
      <c r="H6" s="8" t="inlineStr">
        <is>
          <t>Estabilizada con vegetación</t>
        </is>
      </c>
      <c r="I6" s="8" t="inlineStr">
        <is>
          <t>Quema</t>
        </is>
      </c>
      <c r="J6" s="8" t="inlineStr">
        <is>
          <t>Lineal</t>
        </is>
      </c>
      <c r="K6" s="8" t="inlineStr">
        <is>
          <t>Media</t>
        </is>
      </c>
      <c r="L6" s="8" t="inlineStr">
        <is>
          <t>Bosque Estacionalmente Seco Colina/Montaña (Bes-cm)</t>
        </is>
      </c>
      <c r="M6" s="8" t="inlineStr">
        <is>
          <t>Medianamente alterado</t>
        </is>
      </c>
      <c r="N6" s="8" t="inlineStr">
        <is>
          <t>Pastoreo extensivo</t>
        </is>
      </c>
      <c r="O6" s="8" t="inlineStr">
        <is>
          <t>Escasa (&lt;10 pl./100m²)</t>
        </is>
      </c>
      <c r="P6" s="8" t="inlineStr">
        <is>
          <t>Enfermo (hongo)</t>
        </is>
      </c>
      <c r="Q6" s="8" t="inlineStr">
        <is>
          <t>Fructificación</t>
        </is>
      </c>
      <c r="R6" s="8" t="inlineStr">
        <is>
          <t>Matorral denso</t>
        </is>
      </c>
      <c r="S6" s="8" t="inlineStr">
        <is>
          <t>Arbóreo bajo (4-8 m)</t>
        </is>
      </c>
      <c r="T6" s="8" t="inlineStr">
        <is>
          <t>Introducida</t>
        </is>
      </c>
      <c r="U6" s="8" t="inlineStr">
        <is>
          <t>Frecuente (5-20%)</t>
        </is>
      </c>
      <c r="V6" s="8" t="inlineStr">
        <is>
          <t>Endémica del Perú</t>
        </is>
      </c>
      <c r="W6" s="8" t="inlineStr">
        <is>
          <t>CR — En Peligro Crítico</t>
        </is>
      </c>
      <c r="X6" s="8" t="inlineStr">
        <is>
          <t>Moderada</t>
        </is>
      </c>
      <c r="Y6" s="8" t="inlineStr">
        <is>
          <t>Bajo</t>
        </is>
      </c>
      <c r="Z6" s="8" t="inlineStr">
        <is>
          <t>Moderada</t>
        </is>
      </c>
      <c r="AA6" s="8" t="inlineStr">
        <is>
          <t>Difícilmente reversible</t>
        </is>
      </c>
      <c r="AB6" s="8" t="inlineStr">
        <is>
          <t>Quebrada estacional</t>
        </is>
      </c>
      <c r="AC6" s="8" t="inlineStr">
        <is>
          <t>Intermitente</t>
        </is>
      </c>
      <c r="AD6" s="8" t="inlineStr">
        <is>
          <t>Mala (turbia, con olor o color)</t>
        </is>
      </c>
      <c r="AE6" s="8" t="inlineStr">
        <is>
          <t>Vehicular + caminata 30-90 min</t>
        </is>
      </c>
      <c r="AF6" s="8" t="inlineStr">
        <is>
          <t>Departamental asfaltada</t>
        </is>
      </c>
      <c r="AG6" s="8" t="inlineStr">
        <is>
          <t>Bajo</t>
        </is>
      </c>
      <c r="AH6" s="8" t="inlineStr">
        <is>
          <t>Intermitente</t>
        </is>
      </c>
      <c r="AI6" s="8" t="inlineStr">
        <is>
          <t>Entel</t>
        </is>
      </c>
      <c r="AK6" s="8" t="inlineStr">
        <is>
          <t>No aplica</t>
        </is>
      </c>
    </row>
    <row r="7" ht="15" customHeight="1" s="17">
      <c r="A7" s="8" t="inlineStr">
        <is>
          <t>Montañoso</t>
        </is>
      </c>
      <c r="B7" s="8" t="inlineStr">
        <is>
          <t>25-50% (Mod. escarpado)</t>
        </is>
      </c>
      <c r="C7" s="8" t="inlineStr">
        <is>
          <t>Ladera baja</t>
        </is>
      </c>
      <c r="D7" s="8" t="inlineStr">
        <is>
          <t>Oeste</t>
        </is>
      </c>
      <c r="E7" s="8" t="inlineStr">
        <is>
          <t>2000-2500 m (Quechua alta)</t>
        </is>
      </c>
      <c r="F7" s="8" t="inlineStr">
        <is>
          <t>Fuerte (cárcavas incipientes)</t>
        </is>
      </c>
      <c r="G7" s="8" t="inlineStr">
        <is>
          <t>Cárcava profunda (2-5 m)</t>
        </is>
      </c>
      <c r="H7" s="8" t="inlineStr">
        <is>
          <t>Estabilizada con obras</t>
        </is>
      </c>
      <c r="I7" s="8" t="inlineStr">
        <is>
          <t>Surcos de labranza en pendiente</t>
        </is>
      </c>
      <c r="J7" s="8" t="inlineStr">
        <is>
          <t>Aislado</t>
        </is>
      </c>
      <c r="K7" s="8" t="inlineStr">
        <is>
          <t>Baja</t>
        </is>
      </c>
      <c r="L7" s="8" t="inlineStr">
        <is>
          <t>Bosque Estacionalmente Seco Llanura (Bes-ll)</t>
        </is>
      </c>
      <c r="M7" s="8" t="inlineStr">
        <is>
          <t>Alterado (intervención marcada)</t>
        </is>
      </c>
      <c r="N7" s="8" t="inlineStr">
        <is>
          <t>Pastoreo intensivo</t>
        </is>
      </c>
      <c r="O7" s="8" t="inlineStr">
        <is>
          <t>Ausente</t>
        </is>
      </c>
      <c r="P7" s="8" t="inlineStr">
        <is>
          <t>Daño mecánico</t>
        </is>
      </c>
      <c r="Q7" s="8" t="inlineStr">
        <is>
          <t>Caducifolio (hojas caídas)</t>
        </is>
      </c>
      <c r="R7" s="8" t="inlineStr">
        <is>
          <t>Matorral ralo</t>
        </is>
      </c>
      <c r="S7" s="8" t="inlineStr">
        <is>
          <t>Arbustivo alto (1.5-4 m)</t>
        </is>
      </c>
      <c r="T7" s="8" t="inlineStr">
        <is>
          <t>Invasora</t>
        </is>
      </c>
      <c r="U7" s="8" t="inlineStr">
        <is>
          <t>Ocasional (1-5%)</t>
        </is>
      </c>
      <c r="V7" s="8" t="inlineStr">
        <is>
          <t>Endémica norte / Piura</t>
        </is>
      </c>
      <c r="W7" s="8" t="inlineStr">
        <is>
          <t>EN — En Peligro</t>
        </is>
      </c>
      <c r="X7" s="8" t="inlineStr">
        <is>
          <t>Fuerte</t>
        </is>
      </c>
      <c r="Z7" s="8" t="inlineStr">
        <is>
          <t>Lenta</t>
        </is>
      </c>
      <c r="AA7" s="8" t="inlineStr">
        <is>
          <t>En recuperación</t>
        </is>
      </c>
      <c r="AB7" s="8" t="inlineStr">
        <is>
          <t>Río</t>
        </is>
      </c>
      <c r="AC7" s="8" t="inlineStr">
        <is>
          <t>Efímero</t>
        </is>
      </c>
      <c r="AD7" s="8" t="inlineStr">
        <is>
          <t>Muy mala (contaminación evidente)</t>
        </is>
      </c>
      <c r="AE7" s="8" t="inlineStr">
        <is>
          <t>Vehicular + caminata &gt;90 min</t>
        </is>
      </c>
      <c r="AF7" s="8" t="inlineStr">
        <is>
          <t>Departamental afirmada</t>
        </is>
      </c>
      <c r="AH7" s="8" t="inlineStr">
        <is>
          <t>Sin señal</t>
        </is>
      </c>
      <c r="AI7" s="8" t="inlineStr">
        <is>
          <t>Bitel</t>
        </is>
      </c>
    </row>
    <row r="8" ht="15" customHeight="1" s="17">
      <c r="A8" s="8" t="inlineStr">
        <is>
          <t>Muy escarpado</t>
        </is>
      </c>
      <c r="B8" s="8" t="inlineStr">
        <is>
          <t>50-75% (Escarpado)</t>
        </is>
      </c>
      <c r="C8" s="8" t="inlineStr">
        <is>
          <t>Pie de ladera</t>
        </is>
      </c>
      <c r="D8" s="8" t="inlineStr">
        <is>
          <t>Noreste</t>
        </is>
      </c>
      <c r="E8" s="8" t="inlineStr">
        <is>
          <t>2500-3000 m (Suni)</t>
        </is>
      </c>
      <c r="F8" s="8" t="inlineStr">
        <is>
          <t>Severa (cárcavas activas)</t>
        </is>
      </c>
      <c r="G8" s="8" t="inlineStr">
        <is>
          <t>Cárcava muy profunda (&gt;5 m)</t>
        </is>
      </c>
      <c r="H8" s="8" t="inlineStr">
        <is>
          <t>Inactiva</t>
        </is>
      </c>
      <c r="I8" s="8" t="inlineStr">
        <is>
          <t>Caminos / huellas de ganado</t>
        </is>
      </c>
      <c r="J8" s="8" t="inlineStr">
        <is>
          <t>Mixto</t>
        </is>
      </c>
      <c r="L8" s="8" t="inlineStr">
        <is>
          <t>Bosque Estacionalmente Seco Ribereño (Bes-rb)</t>
        </is>
      </c>
      <c r="M8" s="8" t="inlineStr">
        <is>
          <t>Muy alterado / Degradado</t>
        </is>
      </c>
      <c r="N8" s="8" t="inlineStr">
        <is>
          <t>Agricultura secano</t>
        </is>
      </c>
      <c r="P8" s="8" t="inlineStr">
        <is>
          <t>Muerto en pie</t>
        </is>
      </c>
      <c r="Q8" s="8" t="inlineStr">
        <is>
          <t>Latencia / Estrés hídrico</t>
        </is>
      </c>
      <c r="R8" s="8" t="inlineStr">
        <is>
          <t>Pastizal natural</t>
        </is>
      </c>
      <c r="S8" s="8" t="inlineStr">
        <is>
          <t>Arbustivo bajo (0.5-1.5 m)</t>
        </is>
      </c>
      <c r="U8" s="8" t="inlineStr">
        <is>
          <t>Rara (&lt;1%)</t>
        </is>
      </c>
      <c r="V8" s="8" t="inlineStr">
        <is>
          <t>Amenazada (D.S. 043-2006-AG)</t>
        </is>
      </c>
      <c r="W8" s="8" t="inlineStr">
        <is>
          <t>VU — Vulnerable</t>
        </is>
      </c>
      <c r="X8" s="8" t="inlineStr">
        <is>
          <t>Muy fuerte</t>
        </is>
      </c>
      <c r="Z8" s="8" t="inlineStr">
        <is>
          <t>Estable</t>
        </is>
      </c>
      <c r="AB8" s="8" t="inlineStr">
        <is>
          <t>Canal de riego</t>
        </is>
      </c>
      <c r="AC8" s="8" t="inlineStr">
        <is>
          <t>Ausente</t>
        </is>
      </c>
      <c r="AD8" s="8" t="inlineStr">
        <is>
          <t>No evaluable</t>
        </is>
      </c>
      <c r="AE8" s="8" t="inlineStr">
        <is>
          <t>Requiere acémila (páramo/jalca)</t>
        </is>
      </c>
      <c r="AF8" s="8" t="inlineStr">
        <is>
          <t>Vecinal afirmada</t>
        </is>
      </c>
      <c r="AI8" s="8" t="inlineStr">
        <is>
          <t>Otro</t>
        </is>
      </c>
    </row>
    <row r="9" ht="15" customHeight="1" s="17">
      <c r="B9" s="8" t="inlineStr">
        <is>
          <t>&gt;75% (Muy escarpado)</t>
        </is>
      </c>
      <c r="C9" s="8" t="inlineStr">
        <is>
          <t>Terraza aluvial</t>
        </is>
      </c>
      <c r="D9" s="8" t="inlineStr">
        <is>
          <t>Noroeste</t>
        </is>
      </c>
      <c r="E9" s="8" t="inlineStr">
        <is>
          <t>3000-3500 m (Puna baja)</t>
        </is>
      </c>
      <c r="F9" s="8" t="inlineStr">
        <is>
          <t>Extrema</t>
        </is>
      </c>
      <c r="I9" s="8" t="inlineStr">
        <is>
          <t>Concentración natural de escorrentía</t>
        </is>
      </c>
      <c r="L9" s="8" t="inlineStr">
        <is>
          <t>Matorral Andino árido</t>
        </is>
      </c>
      <c r="M9" s="8" t="inlineStr">
        <is>
          <t>En restauración / Recuperación</t>
        </is>
      </c>
      <c r="N9" s="8" t="inlineStr">
        <is>
          <t>Agricultura bajo riego</t>
        </is>
      </c>
      <c r="P9" s="8" t="inlineStr">
        <is>
          <t>Rebrote vigoroso</t>
        </is>
      </c>
      <c r="R9" s="8" t="inlineStr">
        <is>
          <t>Pastizal cultivado</t>
        </is>
      </c>
      <c r="S9" s="8" t="inlineStr">
        <is>
          <t>Herbáceo (&lt;0.5 m)</t>
        </is>
      </c>
      <c r="V9" s="8" t="inlineStr">
        <is>
          <t>Clave cultural</t>
        </is>
      </c>
      <c r="W9" s="8" t="inlineStr">
        <is>
          <t>NT — Casi Amenazado</t>
        </is>
      </c>
      <c r="AB9" s="8" t="inlineStr">
        <is>
          <t>Reservorio / Represa</t>
        </is>
      </c>
      <c r="AE9" s="8" t="inlineStr">
        <is>
          <t>Inaccesible en lluvias</t>
        </is>
      </c>
      <c r="AF9" s="8" t="inlineStr">
        <is>
          <t>Trocha carrozable</t>
        </is>
      </c>
      <c r="AI9" s="8" t="inlineStr">
        <is>
          <t>Sin señal</t>
        </is>
      </c>
    </row>
    <row r="10" ht="15" customHeight="1" s="17">
      <c r="C10" s="8" t="inlineStr">
        <is>
          <t>Cauce / Ribera</t>
        </is>
      </c>
      <c r="D10" s="8" t="inlineStr">
        <is>
          <t>Sureste</t>
        </is>
      </c>
      <c r="E10" s="8" t="inlineStr">
        <is>
          <t>&gt;3500 m (Puna/Jalca)</t>
        </is>
      </c>
      <c r="I10" s="8" t="inlineStr">
        <is>
          <t>Socavamiento de cauce</t>
        </is>
      </c>
      <c r="L10" s="8" t="inlineStr">
        <is>
          <t>Matorral Andino semiárido</t>
        </is>
      </c>
      <c r="N10" s="8" t="inlineStr">
        <is>
          <t>Sin uso aparente / Abandonado</t>
        </is>
      </c>
      <c r="R10" s="8" t="inlineStr">
        <is>
          <t>Cultivo anual</t>
        </is>
      </c>
      <c r="S10" s="8" t="inlineStr">
        <is>
          <t>Epífito</t>
        </is>
      </c>
      <c r="W10" s="8" t="inlineStr">
        <is>
          <t>LC — Preocupación Menor</t>
        </is>
      </c>
      <c r="AB10" s="8" t="inlineStr">
        <is>
          <t>Laguna / Humedal</t>
        </is>
      </c>
      <c r="AF10" s="8" t="inlineStr">
        <is>
          <t>Camino de herradura</t>
        </is>
      </c>
    </row>
    <row r="11" ht="15" customHeight="1" s="17">
      <c r="C11" s="8" t="inlineStr">
        <is>
          <t>Llanura / Pampa</t>
        </is>
      </c>
      <c r="D11" s="8" t="inlineStr">
        <is>
          <t>Suroeste</t>
        </is>
      </c>
      <c r="I11" s="8" t="inlineStr">
        <is>
          <t>Cambio de uso del suelo</t>
        </is>
      </c>
      <c r="L11" s="8" t="inlineStr">
        <is>
          <t>Matorral Andino subhúmedo</t>
        </is>
      </c>
      <c r="N11" s="8" t="inlineStr">
        <is>
          <t>Uso mixto</t>
        </is>
      </c>
      <c r="R11" s="8" t="inlineStr">
        <is>
          <t>Cultivo permanente</t>
        </is>
      </c>
      <c r="S11" s="8" t="inlineStr">
        <is>
          <t>Trepador</t>
        </is>
      </c>
      <c r="W11" s="8" t="inlineStr">
        <is>
          <t>DD — Datos Insuficientes</t>
        </is>
      </c>
      <c r="AB11" s="8" t="inlineStr">
        <is>
          <t>Pozo / Galería filtrante</t>
        </is>
      </c>
    </row>
    <row r="12" ht="15" customHeight="1" s="17">
      <c r="C12" s="8" t="inlineStr">
        <is>
          <t>Cima (sin exp.)</t>
        </is>
      </c>
      <c r="D12" s="8" t="inlineStr">
        <is>
          <t>Cima (sin dom.)</t>
        </is>
      </c>
      <c r="I12" s="8" t="inlineStr">
        <is>
          <t>Otro</t>
        </is>
      </c>
      <c r="L12" s="8" t="inlineStr">
        <is>
          <t>Matorral Andino húmedo</t>
        </is>
      </c>
      <c r="N12" s="8" t="inlineStr">
        <is>
          <t>Otro</t>
        </is>
      </c>
      <c r="R12" s="8" t="inlineStr">
        <is>
          <t>Suelo desnudo</t>
        </is>
      </c>
      <c r="W12" s="8" t="inlineStr">
        <is>
          <t>NE — No Evaluado</t>
        </is>
      </c>
      <c r="AB12" s="8" t="inlineStr">
        <is>
          <t>Bofedal</t>
        </is>
      </c>
    </row>
    <row r="13" ht="15" customHeight="1" s="17">
      <c r="L13" s="8" t="inlineStr">
        <is>
          <t>Pastizal andino / Jalca</t>
        </is>
      </c>
      <c r="R13" s="8" t="inlineStr">
        <is>
          <t>Afloramiento rocoso</t>
        </is>
      </c>
      <c r="W13" s="8" t="inlineStr">
        <is>
          <t>No aplica</t>
        </is>
      </c>
      <c r="AB13" s="8" t="inlineStr">
        <is>
          <t>Otro</t>
        </is>
      </c>
    </row>
    <row r="14" ht="15" customHeight="1" s="17">
      <c r="L14" s="8" t="inlineStr">
        <is>
          <t>Agroecosistema / Mosaico</t>
        </is>
      </c>
      <c r="R14" s="8" t="inlineStr">
        <is>
          <t>Mixto / Mosaico</t>
        </is>
      </c>
    </row>
    <row r="15" ht="15" customHeight="1" s="17">
      <c r="L15" s="8" t="inlineStr">
        <is>
          <t>Área urbana / rural</t>
        </is>
      </c>
    </row>
    <row r="16" ht="15" customHeight="1" s="17">
      <c r="L16" s="8" t="inlineStr">
        <is>
          <t>Otro</t>
        </is>
      </c>
    </row>
  </sheetData>
  <mergeCells count="1">
    <mergeCell ref="A1:H1"/>
  </mergeCells>
  <pageMargins left="0.75" right="0.75" top="1" bottom="1" header="0.511811023622047" footer="0.511811023622047"/>
  <pageSetup orientation="landscape" paperSize="9" fitToHeight="0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style="17" min="1" max="1"/>
    <col width="15" customWidth="1" style="17" min="2" max="2"/>
    <col width="17" customWidth="1" style="17" min="3" max="3"/>
    <col width="52" customWidth="1" style="17" min="4" max="4"/>
    <col width="18" customWidth="1" style="17" min="5" max="5"/>
  </cols>
  <sheetData>
    <row r="1" ht="14" customHeight="1" s="17">
      <c r="A1" s="37" t="inlineStr">
        <is>
          <t>AUTORIDAD NACIONAL DE INFRAESTRUCTURA — ANIN</t>
        </is>
      </c>
    </row>
    <row r="2" ht="14" customHeight="1" s="17">
      <c r="A2" s="38" t="inlineStr">
        <is>
          <t>DIRECCIÓN DE INTERVENCIONES MULTISECTORIALES Y DE EMERGENCIA — DIME</t>
        </is>
      </c>
    </row>
    <row r="3" ht="14" customHeight="1" s="17">
      <c r="A3" s="38" t="inlineStr">
        <is>
          <t>SUBDIRECCIÓN DE ESTUDIOS DE INVERSIÓN — SESDI  |  Proyecto IN Piura · CUI 2669244</t>
        </is>
      </c>
    </row>
    <row r="4" ht="20" customHeight="1" s="17">
      <c r="A4" s="39" t="inlineStr">
        <is>
          <t>COMPOSICIÓN DE ÍNDICES DE VEGETACIÓN — BLOQUE 38</t>
        </is>
      </c>
    </row>
    <row r="6">
      <c r="A6" s="43" t="inlineStr">
        <is>
          <t>MSAVI 2024 (Sentinel-2, mosaico Piura) — segmentación cromática del polígono</t>
        </is>
      </c>
    </row>
    <row r="7" ht="30" customHeight="1" s="17">
      <c r="A7" s="44" t="inlineStr">
        <is>
          <t>Clase MSAVI</t>
        </is>
      </c>
      <c r="B7" s="44" t="inlineStr">
        <is>
          <t>Superficie (ha)</t>
        </is>
      </c>
      <c r="C7" s="44" t="inlineStr">
        <is>
          <t>% del área clasificada</t>
        </is>
      </c>
      <c r="D7" s="44" t="inlineStr">
        <is>
          <t>Interpretación de campo</t>
        </is>
      </c>
      <c r="E7" s="44" t="inlineStr">
        <is>
          <t>Condición</t>
        </is>
      </c>
    </row>
    <row r="8">
      <c r="A8" s="45" t="inlineStr">
        <is>
          <t>&gt; 0,6139 (vigor alto)</t>
        </is>
      </c>
      <c r="B8" s="46" t="n">
        <v>30.75</v>
      </c>
      <c r="C8" s="46" t="n">
        <v>73.31</v>
      </c>
      <c r="D8" s="45" t="inlineStr">
        <is>
          <t>Matorral denso, relictos arbóreos y quebradas boscosas</t>
        </is>
      </c>
      <c r="E8" s="45" t="inlineStr">
        <is>
          <t>Sobre umbral</t>
        </is>
      </c>
    </row>
    <row r="9">
      <c r="A9" s="47" t="inlineStr">
        <is>
          <t>0,4976 – 0,6139 (vigor moderado)</t>
        </is>
      </c>
      <c r="B9" s="48" t="n">
        <v>11.01</v>
      </c>
      <c r="C9" s="48" t="n">
        <v>26.24</v>
      </c>
      <c r="D9" s="47" t="inlineStr">
        <is>
          <t>Pastizal cultivado, parcelas de café/plátano y bordes</t>
        </is>
      </c>
      <c r="E9" s="47" t="inlineStr">
        <is>
          <t>Sobre umbral</t>
        </is>
      </c>
    </row>
    <row r="10">
      <c r="A10" s="45" t="inlineStr">
        <is>
          <t>0,3813 – 0,4976 (vigor bajo)</t>
        </is>
      </c>
      <c r="B10" s="46" t="n">
        <v>0.19</v>
      </c>
      <c r="C10" s="46" t="n">
        <v>0.45</v>
      </c>
      <c r="D10" s="45" t="inlineStr">
        <is>
          <t>Suelo compactado en cercos, huella vial y afloramientos</t>
        </is>
      </c>
      <c r="E10" s="45" t="inlineStr">
        <is>
          <t>BAJO umbral 0,4976</t>
        </is>
      </c>
    </row>
    <row r="11">
      <c r="A11" s="47" t="inlineStr">
        <is>
          <t>0,2650 – 0,3813</t>
        </is>
      </c>
      <c r="B11" s="48" t="n">
        <v>0</v>
      </c>
      <c r="C11" s="48" t="n">
        <v>0</v>
      </c>
      <c r="D11" s="47" t="inlineStr">
        <is>
          <t>No registrada</t>
        </is>
      </c>
      <c r="E11" s="47" t="inlineStr">
        <is>
          <t>BAJO umbral</t>
        </is>
      </c>
    </row>
    <row r="12">
      <c r="A12" s="45" t="inlineStr">
        <is>
          <t>≤ 0,2650</t>
        </is>
      </c>
      <c r="B12" s="46" t="n">
        <v>0</v>
      </c>
      <c r="C12" s="46" t="n">
        <v>0</v>
      </c>
      <c r="D12" s="45" t="inlineStr">
        <is>
          <t>No registrada</t>
        </is>
      </c>
      <c r="E12" s="45" t="inlineStr">
        <is>
          <t>BAJO umbral</t>
        </is>
      </c>
    </row>
    <row r="13">
      <c r="A13" s="49" t="inlineStr">
        <is>
          <t>TOTAL clasificado</t>
        </is>
      </c>
      <c r="B13" s="49">
        <f>SUM(B8:B12)</f>
        <v/>
      </c>
      <c r="C13" s="49">
        <f>SUM(C8:C12)</f>
        <v/>
      </c>
      <c r="D13" s="50" t="n"/>
      <c r="E13" s="50" t="n"/>
    </row>
    <row r="15">
      <c r="A15" s="43" t="inlineStr">
        <is>
          <t>NDVI mediana 2025 — segmentación cromática del polígono</t>
        </is>
      </c>
    </row>
    <row r="16" ht="30" customHeight="1" s="17">
      <c r="A16" s="44" t="inlineStr">
        <is>
          <t>Clase NDVI</t>
        </is>
      </c>
      <c r="B16" s="44" t="inlineStr">
        <is>
          <t>Superficie (ha)</t>
        </is>
      </c>
      <c r="C16" s="44" t="inlineStr">
        <is>
          <t>% del área clasificada</t>
        </is>
      </c>
      <c r="D16" s="44" t="inlineStr">
        <is>
          <t>Observación</t>
        </is>
      </c>
      <c r="E16" s="44" t="inlineStr"/>
    </row>
    <row r="17">
      <c r="A17" s="45" t="inlineStr">
        <is>
          <t>Vegetación alta</t>
        </is>
      </c>
      <c r="B17" s="46" t="inlineStr">
        <is>
          <t>≈ 44,0</t>
        </is>
      </c>
      <c r="C17" s="46" t="n">
        <v>99.59</v>
      </c>
      <c r="D17" s="45" t="inlineStr">
        <is>
          <t>Satura: no discrimina pastizal cultivado de matorral</t>
        </is>
      </c>
      <c r="E17" s="46" t="inlineStr"/>
    </row>
    <row r="18">
      <c r="A18" s="47" t="inlineStr">
        <is>
          <t>Vegetación mediana</t>
        </is>
      </c>
      <c r="B18" s="48" t="inlineStr">
        <is>
          <t>≈ 0,18</t>
        </is>
      </c>
      <c r="C18" s="48" t="n">
        <v>0.41</v>
      </c>
      <c r="D18" s="47" t="inlineStr">
        <is>
          <t>Píxeles aislados en el sector norte del polígono</t>
        </is>
      </c>
      <c r="E18" s="48" t="inlineStr"/>
    </row>
    <row r="19">
      <c r="A19" s="45" t="inlineStr">
        <is>
          <t>Vegetación ligera / Tierra desnuda / No vegetal</t>
        </is>
      </c>
      <c r="B19" s="46" t="inlineStr">
        <is>
          <t>0,00</t>
        </is>
      </c>
      <c r="C19" s="46" t="n">
        <v>0</v>
      </c>
      <c r="D19" s="45" t="inlineStr">
        <is>
          <t>No registradas</t>
        </is>
      </c>
      <c r="E19" s="46" t="inlineStr"/>
    </row>
    <row r="21">
      <c r="A21" s="51" t="inlineStr">
        <is>
          <t>MÉTODO: segmentación cromática de los planos temáticos georreferenciados (escala 1 px = 0,470 m, deducida de la retícula UTM de 500 m), con relleno del contorno del polígono y conteo de píxeles por clase. Área planimétrica resultante 43,2–45,1 ha frente a 44,201 ha del catálogo (desviación ≤ 2 %), lo que valida la segmentación. NO sustituye la estadística zonal sobre el ráster.
LECTURA CRÍTICA: solo 0,19 ha (0,45 %) del bloque se sitúan bajo el umbral MSAVI 0,4976. La brecha de este bloque NO es una brecha de vigor sino de USO DEL SUELO: 39,69 ha (89,8 %) clasificadas como Zona agrícola sostienen valores altos de MSAVI porque el pastizal cultivado y el café bajo sombra son vegetación vigorosa. Para el dimensionamiento de metas físicas debe emplearse la capa de ecosistemas/uso del suelo y el mapeo de campo, NO el índice de vigor.</t>
        </is>
      </c>
      <c r="B21" s="55" t="n"/>
      <c r="C21" s="55" t="n"/>
      <c r="D21" s="55" t="n"/>
      <c r="E21" s="56" t="n"/>
    </row>
    <row r="22">
      <c r="A22" s="57" t="n"/>
      <c r="E22" s="58" t="n"/>
    </row>
    <row r="23">
      <c r="A23" s="57" t="n"/>
      <c r="E23" s="58" t="n"/>
    </row>
    <row r="24">
      <c r="A24" s="57" t="n"/>
      <c r="E24" s="58" t="n"/>
    </row>
    <row r="25">
      <c r="A25" s="57" t="n"/>
      <c r="E25" s="58" t="n"/>
    </row>
    <row r="26">
      <c r="A26" s="57" t="n"/>
      <c r="E26" s="58" t="n"/>
    </row>
    <row r="27">
      <c r="A27" s="59" t="n"/>
      <c r="B27" s="60" t="n"/>
      <c r="C27" s="60" t="n"/>
      <c r="D27" s="60" t="n"/>
      <c r="E27" s="61" t="n"/>
    </row>
  </sheetData>
  <mergeCells count="5">
    <mergeCell ref="A4:E4"/>
    <mergeCell ref="A2:E2"/>
    <mergeCell ref="A1:E1"/>
    <mergeCell ref="A21:E27"/>
    <mergeCell ref="A3:E3"/>
  </mergeCells>
  <printOptions horizontalCentered="1"/>
  <pageMargins left="0.75" right="0.75" top="1" bottom="1" header="0.5" footer="0.5"/>
  <pageSetup orientation="landscape" fitToHeight="0" fitToWidth="1"/>
  <headerFooter>
    <oddHeader>&amp;C&amp;8 ANIN — DIME — SESDI  |  Proyecto IN Piura · CUI 2669244 · Bloque 38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1" customWidth="1" style="17" min="2" max="2"/>
    <col width="12" customWidth="1" style="17" min="3" max="3"/>
    <col width="13" customWidth="1" style="17" min="4" max="4"/>
    <col width="10" customWidth="1" style="17" min="5" max="5"/>
    <col width="16" customWidth="1" style="17" min="6" max="6"/>
    <col width="15" customWidth="1" style="17" min="7" max="7"/>
    <col width="62" customWidth="1" style="17" min="8" max="8"/>
  </cols>
  <sheetData>
    <row r="1" ht="14" customHeight="1" s="17">
      <c r="A1" s="37" t="inlineStr">
        <is>
          <t>AUTORIDAD NACIONAL DE INFRAESTRUCTURA — ANIN</t>
        </is>
      </c>
    </row>
    <row r="2" ht="14" customHeight="1" s="17">
      <c r="A2" s="38" t="inlineStr">
        <is>
          <t>DIRECCIÓN DE INTERVENCIONES MULTISECTORIALES Y DE EMERGENCIA — DIME</t>
        </is>
      </c>
    </row>
    <row r="3" ht="14" customHeight="1" s="17">
      <c r="A3" s="38" t="inlineStr">
        <is>
          <t>SUBDIRECCIÓN DE ESTUDIOS DE INVERSIÓN — SESDI  |  Proyecto IN Piura · CUI 2669244</t>
        </is>
      </c>
    </row>
    <row r="4" ht="20" customHeight="1" s="17">
      <c r="A4" s="39" t="inlineStr">
        <is>
          <t>ESTACIONES FOTOGRÁFICAS GEORREFERENCIADAS — 08 DE JULIO DE 2026</t>
        </is>
      </c>
    </row>
    <row r="6" ht="30" customHeight="1" s="17">
      <c r="A6" s="44" t="inlineStr">
        <is>
          <t>Foto</t>
        </is>
      </c>
      <c r="B6" s="44" t="inlineStr">
        <is>
          <t>Hora</t>
        </is>
      </c>
      <c r="C6" s="44" t="inlineStr">
        <is>
          <t>UTM ESTE</t>
        </is>
      </c>
      <c r="D6" s="44" t="inlineStr">
        <is>
          <t>UTM NORTE</t>
        </is>
      </c>
      <c r="E6" s="44" t="inlineStr">
        <is>
          <t>Azimut</t>
        </is>
      </c>
      <c r="F6" s="44" t="inlineStr">
        <is>
          <t>Dist. al borde del polígono (m)</t>
        </is>
      </c>
      <c r="G6" s="44" t="inlineStr">
        <is>
          <t>Dist. al centroide (m)</t>
        </is>
      </c>
      <c r="H6" s="44" t="inlineStr">
        <is>
          <t>Contenido registrado</t>
        </is>
      </c>
    </row>
    <row r="7">
      <c r="A7" s="52" t="inlineStr">
        <is>
          <t>F-01</t>
        </is>
      </c>
      <c r="B7" s="46" t="inlineStr">
        <is>
          <t>08:55:25</t>
        </is>
      </c>
      <c r="C7" s="46" t="n">
        <v>646833</v>
      </c>
      <c r="D7" s="46" t="n">
        <v>9426997</v>
      </c>
      <c r="E7" s="46" t="inlineStr">
        <is>
          <t>50° NE</t>
        </is>
      </c>
      <c r="F7" s="46" t="n">
        <v>146</v>
      </c>
      <c r="G7" s="46" t="n">
        <v>671</v>
      </c>
      <c r="H7" s="45" t="inlineStr">
        <is>
          <t>Ingreso común a los bloques 50 y 38: trocha con surcos profundos en la huella de rodadura y portón</t>
        </is>
      </c>
    </row>
    <row r="8">
      <c r="A8" s="53" t="inlineStr">
        <is>
          <t>F-02</t>
        </is>
      </c>
      <c r="B8" s="48" t="inlineStr">
        <is>
          <t>09:04:47</t>
        </is>
      </c>
      <c r="C8" s="48" t="n">
        <v>646751</v>
      </c>
      <c r="D8" s="48" t="n">
        <v>9427128</v>
      </c>
      <c r="E8" s="48" t="inlineStr">
        <is>
          <t>35° NE</t>
        </is>
      </c>
      <c r="F8" s="48" t="n">
        <v>28</v>
      </c>
      <c r="G8" s="48" t="n">
        <v>603</v>
      </c>
      <c r="H8" s="47" t="inlineStr">
        <is>
          <t>Vista del valle desde el borde SO; matorral y parcelas de plátano y café en la ladera opuesta</t>
        </is>
      </c>
    </row>
    <row r="9">
      <c r="A9" s="52" t="inlineStr">
        <is>
          <t>F-03</t>
        </is>
      </c>
      <c r="B9" s="46" t="inlineStr">
        <is>
          <t>09:43:55</t>
        </is>
      </c>
      <c r="C9" s="46" t="n">
        <v>647606</v>
      </c>
      <c r="D9" s="46" t="n">
        <v>9427393</v>
      </c>
      <c r="E9" s="46" t="inlineStr">
        <is>
          <t>9° N</t>
        </is>
      </c>
      <c r="F9" s="46" t="n">
        <v>114</v>
      </c>
      <c r="G9" s="46" t="n">
        <v>526</v>
      </c>
      <c r="H9" s="45" t="inlineStr">
        <is>
          <t>Pastizal cultivado con macollas y cerco de alambre; dosel continuo en la ladera del fondo</t>
        </is>
      </c>
    </row>
    <row r="10">
      <c r="A10" s="53" t="inlineStr">
        <is>
          <t>F-04</t>
        </is>
      </c>
      <c r="B10" s="48" t="inlineStr">
        <is>
          <t>09:46:00</t>
        </is>
      </c>
      <c r="C10" s="48" t="n">
        <v>647574</v>
      </c>
      <c r="D10" s="48" t="n">
        <v>9427474</v>
      </c>
      <c r="E10" s="48" t="inlineStr">
        <is>
          <t>117° SE</t>
        </is>
      </c>
      <c r="F10" s="48" t="n">
        <v>28</v>
      </c>
      <c r="G10" s="48" t="n">
        <v>469</v>
      </c>
      <c r="H10" s="47" t="inlineStr">
        <is>
          <t>Ladera con dosel continuo de bosque y matorral denso sin discontinuidades apreciables</t>
        </is>
      </c>
    </row>
    <row r="11">
      <c r="A11" s="52" t="inlineStr">
        <is>
          <t>F-05</t>
        </is>
      </c>
      <c r="B11" s="46" t="inlineStr">
        <is>
          <t>09:46:14</t>
        </is>
      </c>
      <c r="C11" s="46" t="n">
        <v>647571</v>
      </c>
      <c r="D11" s="46" t="n">
        <v>9427474</v>
      </c>
      <c r="E11" s="46" t="inlineStr">
        <is>
          <t>106° E</t>
        </is>
      </c>
      <c r="F11" s="46" t="n">
        <v>28</v>
      </c>
      <c r="G11" s="46" t="n">
        <v>466</v>
      </c>
      <c r="H11" s="45" t="inlineStr">
        <is>
          <t>Cerco de madera y alambre sobre suelo desnudo compactado; matorral denso al fondo</t>
        </is>
      </c>
    </row>
    <row r="12">
      <c r="A12" s="53" t="inlineStr">
        <is>
          <t>F-06</t>
        </is>
      </c>
      <c r="B12" s="48" t="inlineStr">
        <is>
          <t>09:46:26</t>
        </is>
      </c>
      <c r="C12" s="48" t="n">
        <v>647569</v>
      </c>
      <c r="D12" s="48" t="n">
        <v>9427482</v>
      </c>
      <c r="E12" s="48" t="inlineStr">
        <is>
          <t>24° NE</t>
        </is>
      </c>
      <c r="F12" s="48" t="n">
        <v>20</v>
      </c>
      <c r="G12" s="48" t="n">
        <v>462</v>
      </c>
      <c r="H12" s="47" t="inlineStr">
        <is>
          <t>Panorámica del mosaico bosque–pastizal y de la quebrada encajonada del flanco SE</t>
        </is>
      </c>
    </row>
    <row r="13">
      <c r="A13" s="52" t="inlineStr">
        <is>
          <t>F-07</t>
        </is>
      </c>
      <c r="B13" s="46" t="inlineStr">
        <is>
          <t>09:49:26</t>
        </is>
      </c>
      <c r="C13" s="46" t="n">
        <v>647428</v>
      </c>
      <c r="D13" s="46" t="n">
        <v>9427512</v>
      </c>
      <c r="E13" s="46" t="inlineStr">
        <is>
          <t>343° N</t>
        </is>
      </c>
      <c r="F13" s="46" t="n">
        <v>17</v>
      </c>
      <c r="G13" s="46" t="n">
        <v>318</v>
      </c>
      <c r="H13" s="45" t="inlineStr">
        <is>
          <t>Pastizal cultivado extenso; al fondo, centro poblado sobre ladera y bosque en quebradas</t>
        </is>
      </c>
    </row>
    <row r="14">
      <c r="A14" s="53" t="inlineStr">
        <is>
          <t>F-08</t>
        </is>
      </c>
      <c r="B14" s="48" t="inlineStr">
        <is>
          <t>10:01:21</t>
        </is>
      </c>
      <c r="C14" s="48" t="n">
        <v>647197</v>
      </c>
      <c r="D14" s="48" t="n">
        <v>9427275</v>
      </c>
      <c r="E14" s="48" t="inlineStr">
        <is>
          <t>284° W</t>
        </is>
      </c>
      <c r="F14" s="48" t="n">
        <v>18</v>
      </c>
      <c r="G14" s="48" t="n">
        <v>335</v>
      </c>
      <c r="H14" s="47" t="inlineStr">
        <is>
          <t>Matorral denso con arbustos en floración; caseríos dispersos en la vertiente opuesta</t>
        </is>
      </c>
    </row>
    <row r="15">
      <c r="A15" s="52" t="inlineStr">
        <is>
          <t>F-09</t>
        </is>
      </c>
      <c r="B15" s="46" t="inlineStr">
        <is>
          <t>10:03:04</t>
        </is>
      </c>
      <c r="C15" s="46" t="n">
        <v>647147</v>
      </c>
      <c r="D15" s="46" t="n">
        <v>9427248</v>
      </c>
      <c r="E15" s="46" t="inlineStr">
        <is>
          <t>2° N</t>
        </is>
      </c>
      <c r="F15" s="46" t="n">
        <v>26</v>
      </c>
      <c r="G15" s="46" t="n">
        <v>355</v>
      </c>
      <c r="H15" s="45" t="inlineStr">
        <is>
          <t>Matorral denso continuo sobre ladera de fuerte pendiente</t>
        </is>
      </c>
    </row>
    <row r="16">
      <c r="A16" s="53" t="inlineStr">
        <is>
          <t>F-10</t>
        </is>
      </c>
      <c r="B16" s="48" t="inlineStr">
        <is>
          <t>10:03:53</t>
        </is>
      </c>
      <c r="C16" s="48" t="n">
        <v>647117</v>
      </c>
      <c r="D16" s="48" t="n">
        <v>9427226</v>
      </c>
      <c r="E16" s="48" t="inlineStr">
        <is>
          <t>258° W</t>
        </is>
      </c>
      <c r="F16" s="48" t="n">
        <v>20</v>
      </c>
      <c r="G16" s="48" t="n">
        <v>376</v>
      </c>
      <c r="H16" s="47" t="inlineStr">
        <is>
          <t>Pastizal con macollas de gramínea alta, cerco y ramas secas de desbroce reciente</t>
        </is>
      </c>
    </row>
    <row r="18">
      <c r="A18" s="51" t="inlineStr">
        <is>
          <t>CONTROL GEOMÉTRICO. Las diez estaciones se situaron mediante transformación de sus coordenadas UTM a la retícula del plano MSAVI georreferenciado y prueba de inclusión sobre el polígono relleno. NINGUNA cae dentro del polígono del bloque 38: se distribuyen en un anillo perimetral de 17 a 146 m a lo largo de los flancos sur y este, coincidente con la trocha carrozable y la quebrada. Las estaciones situadas entre 17 y 28 m deben considerarse SOBRE EL LÍMITE, dentro del margen de error del método (± 10–15 m por georreferenciación y operaciones morfológicas); F-01 (146 m) y F-03 (114 m) están inequívocamente fuera. CONSECUENCIA: la verificación documenta el perímetro y la vista panorámica del bloque, no su interior. Los parámetros que exigen recorrido interno se consignan «por determinar».</t>
        </is>
      </c>
      <c r="B18" s="55" t="n"/>
      <c r="C18" s="55" t="n"/>
      <c r="D18" s="55" t="n"/>
      <c r="E18" s="55" t="n"/>
      <c r="F18" s="55" t="n"/>
      <c r="G18" s="55" t="n"/>
      <c r="H18" s="56" t="n"/>
    </row>
    <row r="19">
      <c r="A19" s="57" t="n"/>
      <c r="H19" s="58" t="n"/>
    </row>
    <row r="20">
      <c r="A20" s="57" t="n"/>
      <c r="H20" s="58" t="n"/>
    </row>
    <row r="21">
      <c r="A21" s="57" t="n"/>
      <c r="H21" s="58" t="n"/>
    </row>
    <row r="22">
      <c r="A22" s="57" t="n"/>
      <c r="H22" s="58" t="n"/>
    </row>
    <row r="23">
      <c r="A23" s="57" t="n"/>
      <c r="H23" s="58" t="n"/>
    </row>
    <row r="24">
      <c r="A24" s="59" t="n"/>
      <c r="B24" s="60" t="n"/>
      <c r="C24" s="60" t="n"/>
      <c r="D24" s="60" t="n"/>
      <c r="E24" s="60" t="n"/>
      <c r="F24" s="60" t="n"/>
      <c r="G24" s="60" t="n"/>
      <c r="H24" s="61" t="n"/>
    </row>
  </sheetData>
  <mergeCells count="5">
    <mergeCell ref="A4:H4"/>
    <mergeCell ref="A3:H3"/>
    <mergeCell ref="A2:H2"/>
    <mergeCell ref="A18:H24"/>
    <mergeCell ref="A1:H1"/>
  </mergeCells>
  <printOptions horizontalCentered="1"/>
  <pageMargins left="0.75" right="0.75" top="1" bottom="1" header="0.5" footer="0.5"/>
  <pageSetup orientation="landscape" fitToHeight="0" fitToWidth="1"/>
  <headerFooter>
    <oddHeader>&amp;C&amp;8 ANIN — DIME — SESDI  |  Proyecto IN Piura · CUI 2669244 · Bloque 38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13" customWidth="1" style="17" min="2" max="2"/>
    <col width="14" customWidth="1" style="17" min="3" max="3"/>
    <col width="24" customWidth="1" style="17" min="4" max="4"/>
    <col width="13" customWidth="1" style="17" min="5" max="5"/>
    <col width="18" customWidth="1" style="17" min="6" max="6"/>
    <col width="13" customWidth="1" style="17" min="7" max="7"/>
  </cols>
  <sheetData>
    <row r="1" ht="14" customHeight="1" s="17">
      <c r="A1" s="37" t="inlineStr">
        <is>
          <t>AUTORIDAD NACIONAL DE INFRAESTRUCTURA — ANIN</t>
        </is>
      </c>
    </row>
    <row r="2" ht="14" customHeight="1" s="17">
      <c r="A2" s="38" t="inlineStr">
        <is>
          <t>DIRECCIÓN DE INTERVENCIONES MULTISECTORIALES Y DE EMERGENCIA — DIME</t>
        </is>
      </c>
    </row>
    <row r="3" ht="14" customHeight="1" s="17">
      <c r="A3" s="38" t="inlineStr">
        <is>
          <t>SUBDIRECCIÓN DE ESTUDIOS DE INVERSIÓN — SESDI  |  Proyecto IN Piura · CUI 2669244</t>
        </is>
      </c>
    </row>
    <row r="4" ht="20" customHeight="1" s="17">
      <c r="A4" s="39" t="inlineStr">
        <is>
          <t>CONTEXTO INTRAMICROCUENCA C1081-Q9590 — DISTRITO DE LALAQUIZ</t>
        </is>
      </c>
    </row>
    <row r="6" ht="30" customHeight="1" s="17">
      <c r="A6" s="44" t="inlineStr">
        <is>
          <t>Bloque</t>
        </is>
      </c>
      <c r="B6" s="44" t="inlineStr">
        <is>
          <t>Área (ha)</t>
        </is>
      </c>
      <c r="C6" s="44" t="inlineStr">
        <is>
          <t>% microcuenca</t>
        </is>
      </c>
      <c r="D6" s="44" t="inlineStr">
        <is>
          <t>Rango altitudinal (msnm)</t>
        </is>
      </c>
      <c r="E6" s="44" t="inlineStr">
        <is>
          <t>Amplitud (m)</t>
        </is>
      </c>
      <c r="F6" s="44" t="inlineStr">
        <is>
          <t>Pendiente prom. (%)</t>
        </is>
      </c>
      <c r="G6" s="44" t="inlineStr">
        <is>
          <t>MSAVI 2024</t>
        </is>
      </c>
    </row>
    <row r="7">
      <c r="A7" s="52" t="inlineStr">
        <is>
          <t>► 38</t>
        </is>
      </c>
      <c r="B7" s="46" t="n">
        <v>44.201</v>
      </c>
      <c r="C7" s="46" t="n">
        <v>29.78</v>
      </c>
      <c r="D7" s="46" t="inlineStr">
        <is>
          <t>1302 – 1533</t>
        </is>
      </c>
      <c r="E7" s="46" t="n">
        <v>231</v>
      </c>
      <c r="F7" s="46" t="n">
        <v>24.25</v>
      </c>
      <c r="G7" s="46" t="n">
        <v>0.6725</v>
      </c>
    </row>
    <row r="8">
      <c r="A8" s="53" t="inlineStr">
        <is>
          <t>33</t>
        </is>
      </c>
      <c r="B8" s="48" t="n">
        <v>29.681</v>
      </c>
      <c r="C8" s="48" t="n">
        <v>20</v>
      </c>
      <c r="D8" s="48" t="inlineStr">
        <is>
          <t>1841 – 2226</t>
        </is>
      </c>
      <c r="E8" s="48" t="n">
        <v>385</v>
      </c>
      <c r="F8" s="48" t="n">
        <v>36.6</v>
      </c>
      <c r="G8" s="48" t="n">
        <v>0.7192</v>
      </c>
    </row>
    <row r="9">
      <c r="A9" s="52" t="inlineStr">
        <is>
          <t>34</t>
        </is>
      </c>
      <c r="B9" s="46" t="n">
        <v>28.45</v>
      </c>
      <c r="C9" s="46" t="n">
        <v>19.17</v>
      </c>
      <c r="D9" s="46" t="inlineStr">
        <is>
          <t>1286 – 1514</t>
        </is>
      </c>
      <c r="E9" s="46" t="n">
        <v>228</v>
      </c>
      <c r="F9" s="46" t="n">
        <v>26.78</v>
      </c>
      <c r="G9" s="46" t="n">
        <v>0.649</v>
      </c>
    </row>
    <row r="10">
      <c r="A10" s="53" t="inlineStr">
        <is>
          <t>61</t>
        </is>
      </c>
      <c r="B10" s="48" t="n">
        <v>26.826</v>
      </c>
      <c r="C10" s="48" t="n">
        <v>18.07</v>
      </c>
      <c r="D10" s="48" t="inlineStr">
        <is>
          <t>1098 – 1336</t>
        </is>
      </c>
      <c r="E10" s="48" t="n">
        <v>238</v>
      </c>
      <c r="F10" s="48" t="n">
        <v>22.61</v>
      </c>
      <c r="G10" s="48" t="n">
        <v>0.6111</v>
      </c>
    </row>
    <row r="11">
      <c r="A11" s="52" t="inlineStr">
        <is>
          <t>50</t>
        </is>
      </c>
      <c r="B11" s="46" t="n">
        <v>19.266</v>
      </c>
      <c r="C11" s="46" t="n">
        <v>12.98</v>
      </c>
      <c r="D11" s="46" t="inlineStr">
        <is>
          <t>1468 – 1725</t>
        </is>
      </c>
      <c r="E11" s="46" t="n">
        <v>257</v>
      </c>
      <c r="F11" s="46" t="n">
        <v>30.47</v>
      </c>
      <c r="G11" s="46" t="n">
        <v>0.6831</v>
      </c>
    </row>
    <row r="12">
      <c r="A12" s="49" t="inlineStr">
        <is>
          <t>TOTAL / PROMEDIO</t>
        </is>
      </c>
      <c r="B12" s="54">
        <f>SUM(B7:B11)</f>
        <v/>
      </c>
      <c r="C12" s="54">
        <f>SUM(C7:C11)</f>
        <v/>
      </c>
      <c r="D12" s="49" t="inlineStr">
        <is>
          <t>1 098 – 2 226</t>
        </is>
      </c>
      <c r="E12" s="49" t="n"/>
      <c r="F12" s="54">
        <f>AVERAGE(F7:F11)</f>
        <v/>
      </c>
      <c r="G12" s="54">
        <f>AVERAGE(G7:G11)</f>
        <v/>
      </c>
    </row>
    <row r="14">
      <c r="A14" s="51" t="inlineStr">
        <is>
          <t>El bloque 38 es el DE MAYOR SUPERFICIE de la microcuenca (29,8 % de las 148,42 ha preliminares), el de MENOR AMPLITUD ALTITUDINAL (231 m) y el segundo de MENOR PENDIENTE PROMEDIO (24,25 %, único de la microcuenca en la clase 15-25 %). Su MSAVI (0,6725) es el tercero de cinco, por encima del promedio local. La combinación de superficie amplia, pendiente moderada y accesibilidad vial lo convierte en el bloque de la microcuenca con MEJOR RELACIÓN entre superficie recuperable y costo de intervención, pese a no ser el más degradado. El bloque 33 figura como DESCARTADO y se conserva en el cuadro solo para referencia del conjunto.</t>
        </is>
      </c>
      <c r="B14" s="55" t="n"/>
      <c r="C14" s="55" t="n"/>
      <c r="D14" s="55" t="n"/>
      <c r="E14" s="55" t="n"/>
      <c r="F14" s="55" t="n"/>
      <c r="G14" s="56" t="n"/>
    </row>
    <row r="15">
      <c r="A15" s="57" t="n"/>
      <c r="G15" s="58" t="n"/>
    </row>
    <row r="16">
      <c r="A16" s="57" t="n"/>
      <c r="G16" s="58" t="n"/>
    </row>
    <row r="17">
      <c r="A17" s="57" t="n"/>
      <c r="G17" s="58" t="n"/>
    </row>
    <row r="18">
      <c r="A18" s="57" t="n"/>
      <c r="G18" s="58" t="n"/>
    </row>
    <row r="19">
      <c r="A19" s="59" t="n"/>
      <c r="B19" s="60" t="n"/>
      <c r="C19" s="60" t="n"/>
      <c r="D19" s="60" t="n"/>
      <c r="E19" s="60" t="n"/>
      <c r="F19" s="60" t="n"/>
      <c r="G19" s="61" t="n"/>
    </row>
  </sheetData>
  <mergeCells count="5">
    <mergeCell ref="A14:G19"/>
    <mergeCell ref="A1:G1"/>
    <mergeCell ref="A3:G3"/>
    <mergeCell ref="A4:G4"/>
    <mergeCell ref="A2:G2"/>
  </mergeCells>
  <printOptions horizontalCentered="1"/>
  <pageMargins left="0.75" right="0.75" top="1" bottom="1" header="0.5" footer="0.5"/>
  <pageSetup orientation="landscape" fitToHeight="0" fitToWidth="1"/>
  <headerFooter>
    <oddHeader>&amp;C&amp;8 ANIN — DIME — SESDI  |  Proyecto IN Piura · CUI 2669244 · Bloque 38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2026-05-08T03:16:44Z</dcterms:created>
  <dcterms:modified xmlns:dcterms="http://purl.org/dc/terms/" xmlns:xsi="http://www.w3.org/2001/XMLSchema-instance" xsi:type="dcterms:W3CDTF">2026-09-07T14:41:54Z</dcterms:modified>
  <cp:lastModifiedBy>Hector Salomón Cahuas Miller</cp:lastModifiedBy>
  <cp:revision>0</cp:revision>
</cp:coreProperties>
</file>