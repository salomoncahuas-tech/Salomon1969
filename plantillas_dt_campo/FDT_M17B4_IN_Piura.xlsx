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<sst xmlns="http://schemas.openxmlformats.org/spreadsheetml/2006/main" count="1299" uniqueCount="692">
  <si>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</si>
  <si>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</si>
  <si>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</si>
  <si>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</si>
  <si>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</si>
  <si>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</si>
  <si>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</si>
  <si>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</si>
  <si>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03-07-2026</t>
  </si>
  <si>
    <t xml:space="preserve">Hora de registro</t>
  </si>
  <si>
    <t xml:space="preserve">15:43</t>
  </si>
  <si>
    <t xml:space="preserve">Brigada / Responsable *</t>
  </si>
  <si>
    <t xml:space="preserve">Ing. Juan Carlos Domínguez Varas</t>
  </si>
  <si>
    <t xml:space="preserve">Ficha N° (correlativo)</t>
  </si>
  <si>
    <t xml:space="preserve">2</t>
  </si>
  <si>
    <t xml:space="preserve">Código del Bloque *</t>
  </si>
  <si>
    <t xml:space="preserve">M17B4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</si>
  <si>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</si>
  <si>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</si>
  <si>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</si>
  <si>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</si>
  <si>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</si>
  <si>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</si>
  <si>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</si>
  <si>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</si>
  <si>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</si>
  <si>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Chililique Alto</t>
  </si>
  <si>
    <t xml:space="preserve">Comunidad Campesina (si aplica)</t>
  </si>
  <si>
    <t xml:space="preserve">Juan Velasco Alvarado de Chililique Alto; María Ángela Alvarado Zeta</t>
  </si>
  <si>
    <t xml:space="preserve">2. CARACTERIZACIÓN FISIOGRÁFICA DEL BLOQUE</t>
  </si>
  <si>
    <t xml:space="preserve">Forma predominante del terreno *</t>
  </si>
  <si>
    <t xml:space="preserve">Colinoso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</si>
  <si>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</si>
  <si>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</si>
  <si>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</si>
  <si>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baja</t>
  </si>
  <si>
    <t xml:space="preserve">Exposición / Orientación dominante *</t>
  </si>
  <si>
    <t xml:space="preserve">Noroeste</t>
  </si>
  <si>
    <t xml:space="preserve">Rango altitudinal del bloque *</t>
  </si>
  <si>
    <t xml:space="preserve">&lt;1000 m (Yunga)</t>
  </si>
  <si>
    <t xml:space="preserve">Paisaje dominante (descripción libre)</t>
  </si>
  <si>
    <t xml:space="preserve">Sistema de laderas convexo-cóncavas tributarias de la quebrada Q9556 (microcuenca C1096), con altitudes de 300 a 580 msnm y desniveles internos. Paisaje de colina media, dominado por bosque estacionalmente seco de colina y montaña.</t>
  </si>
  <si>
    <t xml:space="preserve">3. INDICIOS DE REMOCIÓN EN MASA E INESTABILIDAD</t>
  </si>
  <si>
    <t xml:space="preserve">Presencia de afloramientos rocosos</t>
  </si>
  <si>
    <t xml:space="preserve">No</t>
  </si>
  <si>
    <t xml:space="preserve">Presencia de escarpes activos *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</si>
  <si>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</si>
  <si>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</si>
  <si>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</si>
  <si>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</si>
  <si>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Registro de campo (03-07-2026): el bloque se caracteriza por laderas de colinas bajas, con pendientes inferiores al 60% que se vuelven progresivamente más pronunciadas a medida que se gana altitud. En el sector inferior se localizan el centro poblado menor y una vía afirmada. Hay presencia de piedras pequeñas y medianas. No se evidenciaron surcos ni cárcavas en formación; sin embargo, la erosión eólica es alta en la zona debido a las obras en la vía afirmada. El bloque bordea la vía en la cual actualmente se construye la carretera Chulucanas–Frías, con obras de perfilado de taludes y ensanchamiento de vía, además del tránsito de camiones y maquinaria pesada. || GABINETE (DEM): rango altitudinal 294–629 msnm; pendiente promedio del bloque 18.69% (clase 15–25%, fuertemente inclinado). || INCONSISTENCIAS DETECTADAS: (1) las coordenadas UTM del punto de muestreo consignadas en el aplicativo (E 645,575 / N 9,393,500) son idénticas a las de M9B1 y se ubican fuera del ámbito del bloque (centroide E 604,926 / N 9,444,327); NO SE CONSIGNAN, POR VERIFICAR. (2) La microcuenca registrada en la sección DT (C1076-Q9584) difiere de la del bloque (C1096-Q9556). (3) La observación de campo indica cota media ≈230 msnm, incompatible con el rango DEM (294–629 msnm), con la altitud GPS registrada (353 msnm) y con el propio paisaje descrito (300–580 msnm). (4) El rango de pendiente dominante de campo (25–50%) es superior a la pendiente media DEM (18.69%); se conserva el valor de campo. || PARÁMETROS GEOESPACIALES DEL BLOQUE (gabinete): rango altitudinal 294–629 msnm; pendiente promedio 18.69%; MSAVI medio 2024 = 0.4235; área 124.71 ha; microcuenca C1096-Q9556; zona Z01; centroide E 604,926 / N 9,444,327 (UTM WGS84 17S).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</si>
  <si>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</si>
  <si>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</si>
  <si>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</si>
  <si>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</si>
  <si>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</si>
  <si>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</si>
  <si>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</si>
  <si>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</si>
  <si>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</si>
  <si>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</si>
  <si>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</si>
  <si>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</si>
  <si>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</si>
  <si>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</si>
  <si>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</si>
  <si>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</si>
  <si>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</si>
  <si>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</si>
  <si>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</si>
  <si>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</si>
  <si>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</si>
  <si>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</si>
  <si>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</si>
  <si>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</si>
  <si>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</si>
  <si>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</si>
  <si>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</si>
  <si>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</si>
  <si>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</si>
  <si>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</si>
  <si>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</si>
  <si>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</si>
  <si>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</si>
  <si>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</si>
  <si>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</si>
  <si>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</si>
  <si>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FICHA F-DT-02 NO REGISTRADA EN CAMPO. Campos de procesos erosivos vacíos para no introducir valores no verificados. Evidencia disponible: F-DT-01 consigna ausencia de surcos y cárcavas en formación, con erosión EÓLICA ALTA asociada a las obras de la carretera Chulucanas–Frías (perfilado de taludes, ensanchamiento de vía y tránsito de maquinaria pesada). F-DT-04 registra densidad de cárcavas 1 N°/ha (Bajo), suelo desnudo 5% (Bajo) y 25% del área con pendiente &gt;50% (Medio). PENDIENTE: levantamiento de F-DT-02, con atención específica a la erosión inducida por obra vial en el borde del bloque.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</si>
  <si>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</si>
  <si>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</si>
  <si>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</si>
  <si>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</si>
  <si>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</si>
  <si>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</si>
  <si>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</si>
  <si>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</si>
  <si>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</si>
  <si>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</si>
  <si>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</si>
  <si>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</si>
  <si>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Bosque Estacionalmente Seco Colina/Montaña (Bes-cm)</t>
  </si>
  <si>
    <t xml:space="preserve">Superficie del ecosistema en el bloque (ha)</t>
  </si>
  <si>
    <t xml:space="preserve">Estado de conservación general *</t>
  </si>
  <si>
    <t xml:space="preserve">Levemente alterado</t>
  </si>
  <si>
    <t xml:space="preserve">Uso actual dominante del suelo *</t>
  </si>
  <si>
    <t xml:space="preserve">Pastoreo extensivo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</si>
  <si>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</si>
  <si>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</si>
  <si>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</si>
  <si>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</si>
  <si>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</si>
  <si>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</si>
  <si>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</si>
  <si>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</si>
  <si>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</si>
  <si>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</si>
  <si>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</si>
  <si>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</si>
  <si>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</si>
  <si>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</si>
  <si>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</si>
  <si>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Floración</t>
  </si>
  <si>
    <t xml:space="preserve">Tipo de cobertura vegetal dominante *</t>
  </si>
  <si>
    <t xml:space="preserve">Bosque denso (&gt;70%)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</si>
  <si>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</si>
  <si>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</si>
  <si>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</si>
  <si>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</si>
  <si>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</si>
  <si>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</si>
  <si>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</si>
  <si>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</si>
  <si>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</si>
  <si>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</si>
  <si>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</si>
  <si>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Faique</t>
  </si>
  <si>
    <t xml:space="preserve">Vachellia macracantha</t>
  </si>
  <si>
    <t xml:space="preserve">Fabaceae</t>
  </si>
  <si>
    <t xml:space="preserve">Arbóreo bajo (4-8 m)</t>
  </si>
  <si>
    <t xml:space="preserve">Nativa</t>
  </si>
  <si>
    <t xml:space="preserve">Frecuente (5-20%)</t>
  </si>
  <si>
    <t xml:space="preserve">Pasallo</t>
  </si>
  <si>
    <t xml:space="preserve">Eriotheca ruizii</t>
  </si>
  <si>
    <t xml:space="preserve">Malvaceae</t>
  </si>
  <si>
    <t xml:space="preserve">Hualtaco</t>
  </si>
  <si>
    <t xml:space="preserve">Loxopterygium huasango</t>
  </si>
  <si>
    <t xml:space="preserve">Anacardiaceae</t>
  </si>
  <si>
    <t xml:space="preserve">Palo santo</t>
  </si>
  <si>
    <t xml:space="preserve">Bursera graveolens</t>
  </si>
  <si>
    <t xml:space="preserve">Burseraceae</t>
  </si>
  <si>
    <t xml:space="preserve">Charán</t>
  </si>
  <si>
    <t xml:space="preserve">Caesalpinia paipai</t>
  </si>
  <si>
    <t xml:space="preserve">Arbustivo alto (1.5-4 m)</t>
  </si>
  <si>
    <t xml:space="preserve">Overo</t>
  </si>
  <si>
    <t xml:space="preserve">Cordia lutea</t>
  </si>
  <si>
    <t xml:space="preserve">Boraginaceae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</si>
  <si>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</si>
  <si>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</si>
  <si>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</si>
  <si>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</si>
  <si>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</si>
  <si>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</si>
  <si>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</si>
  <si>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</si>
  <si>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</si>
  <si>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Hualtaco (Loxopterygium huasango)</t>
  </si>
  <si>
    <t xml:space="preserve">Amenazada (D.S. 043-2006-AG)</t>
  </si>
  <si>
    <t xml:space="preserve">VU — Vulnerable</t>
  </si>
  <si>
    <t xml:space="preserve">Abundancia frecuente; bloque con alto valor como fuente semillera.</t>
  </si>
  <si>
    <t xml:space="preserve">Palo santo (Bursera graveolens)</t>
  </si>
  <si>
    <t xml:space="preserve">NT — Casi Amenazado</t>
  </si>
  <si>
    <t xml:space="preserve">Abundancia frecuente; indicador de buen estado del Bes-cm.</t>
  </si>
  <si>
    <t xml:space="preserve">Pasallo (Eriotheca ruizii)</t>
  </si>
  <si>
    <t xml:space="preserve">Indicadora de buen estado</t>
  </si>
  <si>
    <t xml:space="preserve">No aplica</t>
  </si>
  <si>
    <t xml:space="preserve">Estructura arbórea con DAP hasta 30 cm.</t>
  </si>
  <si>
    <t xml:space="preserve">Registro de campo: al momento de la evaluación la cobertura vegetal del bloque se encuentra conservada, con impacto antrópico muy leve. No se evidenciaron actividades agrícolas o ganaderas en el interior del bloque. El bosque alberga vegetación de porte arbóreo, arbustivo y suculentas; la altura promedio no supera los 6 m y las clases diamétricas no exceden los 30 cm de DAP. Abundante vegetación arbustiva y cardos dispersos en el área próxima a la vía afirmada y al centro poblado. Especies arbóreas representativas: faique, pasallo, hualtaco y charán; arbustiva destacada: overo; suculentas: cardos dispersos. || Nombres científicos y familias asignados de forma PRELIMINAR a partir de literatura regional; pendiente colecta y determinación botánica. || INCONSISTENCIAS: (1) superficie de ecosistema declarada en campo 110 ha vs. 124.71 ha del catálogo y de la intersección MINAM. (2) MSAVI medio 2024 de 0.4235 con predominio de la clase 0.3813–0.4976: condición intermedia entre bosque ralo y denso; se conserva la clasificación de campo 'Bosque denso (&gt;70%)' y se solicita verificación por parcela. || Los nombres científicos y familias de la sección 4 son PRELIMINARES (literatura regional); pendiente colecta y determinación botánica. La pendiente promedio consignada en la sección 1 (%) corresponde a la media del bloque calculada sobre DEM, no a una parcela de muestreo.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</si>
  <si>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</si>
  <si>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</si>
  <si>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</si>
  <si>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</si>
  <si>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</si>
  <si>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</si>
  <si>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</si>
  <si>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</si>
  <si>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</si>
  <si>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</si>
  <si>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</si>
  <si>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Sí</t>
  </si>
  <si>
    <t xml:space="preserve">Ligera</t>
  </si>
  <si>
    <t xml:space="preserve">Se observó ganado caprino.</t>
  </si>
  <si>
    <t xml:space="preserve">Tala para leña</t>
  </si>
  <si>
    <t xml:space="preserve">Se observó leña apilada.</t>
  </si>
  <si>
    <t xml:space="preserve">Tala para carbón</t>
  </si>
  <si>
    <t xml:space="preserve">Tala para madera</t>
  </si>
  <si>
    <t xml:space="preserve">Quema (renovación de pastos)</t>
  </si>
  <si>
    <t xml:space="preserve">Quema accidental / Incendio</t>
  </si>
  <si>
    <t xml:space="preserve">Cambio de uso a agricultura</t>
  </si>
  <si>
    <t xml:space="preserve">Cambio de uso a pastoreo</t>
  </si>
  <si>
    <t xml:space="preserve">Expansión urbana / vial</t>
  </si>
  <si>
    <t xml:space="preserve">Construcción de la carretera Chulucanas–Frías: perfilado de taludes, ensanchamiento de vía y tránsito de maquinaria pesada.</t>
  </si>
  <si>
    <t xml:space="preserve">Minería informal</t>
  </si>
  <si>
    <t xml:space="preserve">Extracción de áridos (cauces)</t>
  </si>
  <si>
    <t xml:space="preserve">Especies invasoras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</si>
  <si>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</si>
  <si>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</si>
  <si>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</si>
  <si>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</si>
  <si>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</si>
  <si>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</si>
  <si>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</si>
  <si>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</si>
  <si>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</si>
  <si>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</si>
  <si>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</si>
  <si>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</si>
  <si>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</si>
  <si>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</si>
  <si>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Estimación visual de campo</t>
  </si>
  <si>
    <t xml:space="preserve">&gt;60% bueno; 30-60% medio; &lt;30% malo</t>
  </si>
  <si>
    <t xml:space="preserve">Bajo</t>
  </si>
  <si>
    <t xml:space="preserve">Porcentaje de suelo desnudo</t>
  </si>
  <si>
    <t xml:space="preserve">&lt;10% bueno; 10-30% medio; &gt;30% malo</t>
  </si>
  <si>
    <t xml:space="preserve">Densidad de cárcavas</t>
  </si>
  <si>
    <t xml:space="preserve">N°/ha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</si>
  <si>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</si>
  <si>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</si>
  <si>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</si>
  <si>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</si>
  <si>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</si>
  <si>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</si>
  <si>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</si>
  <si>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</si>
  <si>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</si>
  <si>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</si>
  <si>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Factor de susceptibilidad</t>
  </si>
  <si>
    <t xml:space="preserve">Medio</t>
  </si>
  <si>
    <t xml:space="preserve">Distancia a vía vecinal más cercana</t>
  </si>
  <si>
    <t xml:space="preserve">m</t>
  </si>
  <si>
    <t xml:space="preserve">A menor distancia → mayor presión</t>
  </si>
  <si>
    <t xml:space="preserve">Alto</t>
  </si>
  <si>
    <t xml:space="preserve">4. SÍNTESIS DIAGNÓSTICA DE LA DEGRADACIÓN</t>
  </si>
  <si>
    <t xml:space="preserve">Principales causas directas (texto libre)</t>
  </si>
  <si>
    <t xml:space="preserve">La degradación leve del ecosistema se debe principalmente a las actividades de pastoreo de ganado caprino y extracción de leña para uso doméstico; se suma la presión reciente por la expansión vial (carretera Chulucanas–Frías).</t>
  </si>
  <si>
    <t xml:space="preserve">Principal causa subyacente (motor)</t>
  </si>
  <si>
    <t xml:space="preserve">POR VERIFICAR — no consignada en campo. Hipótesis de trabajo: presión creciente por accesibilidad vial y uso doméstico del bosque seco.</t>
  </si>
  <si>
    <t xml:space="preserve">Velocidad de degradación percibida</t>
  </si>
  <si>
    <t xml:space="preserve">Lenta</t>
  </si>
  <si>
    <t xml:space="preserve">Reversibilidad técnica</t>
  </si>
  <si>
    <t xml:space="preserve">Totalmente reversible</t>
  </si>
  <si>
    <t xml:space="preserve">Urgencia de intervención</t>
  </si>
  <si>
    <t xml:space="preserve">Baja</t>
  </si>
  <si>
    <t xml:space="preserve">Recomendación de campo: evaluar la pertinencia de la intervención, ya que el área conserva su cobertura vegetal y el riesgo de desastre por movimiento en masa no es evidente. || VALORACIÓN TÉCNICA SESDI: la recomendación de campo no implica descarte automático. El bloque presenta el segundo MSAVI más alto de los cinco analizados (0.4235) y la mayor amplitud altitudinal (294–629 msnm), lo que lo posiciona como candidato preferente a medidas de CONSERVACIÓN Y ENRIQUECIMIENTO (no de restauración activa) y como potencial fuente semillera de hualtaco y palo santo para los bloques degradados de la misma microcuenca C1096-Q9556. La expansión vial en curso constituye un factor de presión prospectiva que justifica su incorporación con enfoque de gestión preventiva del riesgo. Decisión final de inclusión/exclusión: A DEFINIR POR EL EQUIPO FORMULADOR.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</si>
  <si>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</si>
  <si>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</si>
  <si>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</si>
  <si>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</si>
  <si>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</si>
  <si>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</si>
  <si>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</si>
  <si>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</si>
  <si>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</si>
  <si>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</si>
  <si>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</si>
  <si>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</si>
  <si>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</si>
  <si>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</si>
  <si>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</si>
  <si>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</si>
  <si>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</si>
  <si>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</si>
  <si>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</si>
  <si>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&lt;30 min</t>
  </si>
  <si>
    <t xml:space="preserve">Vía principal de acceso (PE-/PI-/trocha) *</t>
  </si>
  <si>
    <t xml:space="preserve">Carretera Chulucanas – Frías (en construcción) y trocha carrozable de acceso final</t>
  </si>
  <si>
    <t xml:space="preserve">Tipo de vía final</t>
  </si>
  <si>
    <t xml:space="preserve">Trocha carrozable</t>
  </si>
  <si>
    <t xml:space="preserve">Estado transitabilidad — época seca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</si>
  <si>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</si>
  <si>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</si>
  <si>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</si>
  <si>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</si>
  <si>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Parcial</t>
  </si>
  <si>
    <t xml:space="preserve">Operador celular dominante</t>
  </si>
  <si>
    <t xml:space="preserve">Bitel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</si>
  <si>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</si>
  <si>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</si>
  <si>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</si>
  <si>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No se registró inventario de fuentes de agua en campo. La cartografía Google Earth (12/2023) muestra en el entorno inmediato del bloque los cuerpos de agua 'Laguna de los Mudos' y 'Laguna El Checo Chililique Alto', al norte del polígono: POR VERIFICAR su régimen, calidad, distancia al límite del bloque y uso. || POR VERIFICAR EN CAMPO: condición de zona de recarga hídrica, nombre y distancia de la captación poblacional (JASS Chililique Alto), interferencia con obras de riego y requerimiento de autorización de Ronda Campesina o de las comunidades campesinas Juan Velasco Alvarado de Chililique Alto y María Ángela Alvarado Zeta.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</si>
  <si>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</si>
  <si>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</si>
  <si>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</si>
  <si>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</si>
  <si>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</si>
  <si>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</si>
  <si>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</si>
  <si>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</si>
  <si>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</si>
  <si>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</si>
  <si>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</si>
  <si>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</si>
  <si>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</si>
  <si>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</si>
  <si>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</si>
  <si>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</si>
  <si>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</si>
  <si>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</si>
  <si>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</si>
  <si>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</si>
  <si>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C1096-Q9558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</si>
  <si>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</si>
  <si>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</si>
  <si>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</si>
  <si>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</si>
  <si>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</si>
  <si>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</si>
  <si>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</si>
  <si>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</si>
  <si>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</si>
  <si>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</si>
  <si>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</si>
  <si>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</si>
  <si>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</si>
  <si>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</si>
  <si>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</si>
  <si>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</si>
  <si>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</si>
  <si>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</si>
  <si>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</si>
  <si>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</si>
  <si>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</si>
  <si>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</si>
  <si>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</si>
  <si>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</si>
  <si>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</si>
  <si>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</si>
  <si>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</si>
  <si>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</si>
  <si>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</si>
  <si>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</si>
  <si>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</si>
  <si>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</si>
  <si>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</si>
  <si>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</si>
  <si>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</si>
  <si>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</si>
  <si>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</si>
  <si>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</si>
  <si>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</si>
  <si>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</si>
  <si>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</si>
  <si>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</si>
  <si>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</si>
  <si>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</si>
  <si>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</si>
  <si>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</si>
  <si>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</si>
  <si>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</si>
  <si>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</si>
  <si>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</si>
  <si>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</si>
  <si>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</si>
  <si>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</si>
  <si>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</si>
  <si>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</si>
  <si>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</si>
  <si>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</si>
  <si>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</si>
  <si>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</si>
  <si>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</si>
  <si>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</si>
  <si>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</si>
  <si>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</si>
  <si>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</si>
  <si>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</si>
  <si>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</si>
  <si>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</si>
  <si>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</si>
  <si>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</si>
  <si>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</si>
  <si>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</si>
  <si>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</si>
  <si>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</si>
  <si>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</si>
  <si>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</si>
  <si>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</si>
  <si>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</si>
  <si>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</si>
  <si>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</si>
  <si>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</si>
  <si>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</si>
  <si>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</si>
  <si>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</si>
  <si>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</si>
  <si>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</si>
  <si>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</si>
  <si>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</si>
  <si>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</si>
  <si>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</si>
  <si>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</si>
  <si>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</si>
  <si>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</si>
  <si>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</si>
  <si>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</si>
  <si>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</si>
  <si>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</si>
  <si>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</si>
  <si>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</si>
  <si>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</si>
  <si>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</si>
  <si>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</si>
  <si>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</si>
  <si>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</si>
  <si>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</si>
  <si>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</si>
  <si>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</si>
  <si>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</si>
  <si>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</si>
  <si>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</si>
  <si>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</si>
  <si>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</si>
  <si>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</si>
  <si>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</si>
  <si>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</si>
  <si>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</si>
  <si>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</si>
  <si>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</si>
  <si>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</si>
  <si>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</si>
  <si>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</si>
  <si>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</si>
  <si>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</si>
  <si>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</si>
  <si>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</si>
  <si>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</si>
  <si>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</si>
  <si>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</si>
  <si>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</si>
  <si>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</si>
  <si>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</si>
  <si>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</si>
  <si>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</si>
  <si>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</si>
  <si>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</si>
  <si>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</si>
  <si>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</si>
  <si>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</si>
  <si>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</si>
  <si>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</si>
  <si>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</si>
  <si>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</si>
  <si>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</si>
  <si>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</si>
  <si>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</si>
  <si>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</si>
  <si>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</si>
  <si>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</si>
  <si>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</si>
  <si>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</si>
  <si>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</si>
  <si>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</si>
  <si>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</si>
  <si>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</si>
  <si>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</si>
  <si>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</si>
  <si>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</si>
  <si>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</si>
  <si>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</si>
  <si>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</si>
  <si>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</si>
  <si>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</si>
  <si>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</si>
  <si>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</si>
  <si>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</si>
  <si>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</si>
  <si>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</si>
  <si>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</si>
  <si>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</si>
  <si>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</si>
  <si>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</si>
  <si>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</si>
  <si>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</si>
  <si>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</si>
  <si>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</si>
  <si>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</si>
  <si>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</si>
  <si>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</si>
  <si>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</si>
  <si>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</si>
  <si>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</si>
  <si>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</si>
  <si>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</si>
  <si>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</si>
  <si>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</si>
  <si>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</si>
  <si>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</si>
  <si>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</si>
  <si>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</si>
  <si>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</si>
  <si>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</si>
  <si>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</si>
  <si>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</si>
  <si>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</si>
  <si>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</si>
  <si>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</si>
  <si>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</si>
  <si>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</si>
  <si>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</si>
  <si>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</si>
  <si>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</si>
  <si>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</si>
  <si>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</si>
  <si>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</si>
  <si>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</si>
  <si>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</si>
  <si>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</si>
  <si>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</si>
  <si>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</si>
  <si>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</si>
  <si>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</si>
  <si>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</si>
  <si>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</si>
  <si>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</si>
  <si>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</si>
  <si>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</si>
  <si>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</si>
  <si>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</si>
  <si>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</si>
  <si>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</si>
  <si>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</si>
  <si>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</si>
  <si>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Vegetativo</t>
  </si>
  <si>
    <t xml:space="preserve">Arbóreo superior (&gt;15 m)</t>
  </si>
  <si>
    <t xml:space="preserve">Dominante (&gt;40%)</t>
  </si>
  <si>
    <t xml:space="preserve">EX — Extinto</t>
  </si>
  <si>
    <t xml:space="preserve">Muy rápida</t>
  </si>
  <si>
    <t xml:space="preserve">Manantial / Puquio</t>
  </si>
  <si>
    <t xml:space="preserve">Permanente</t>
  </si>
  <si>
    <t xml:space="preserve">Buena (clara, sin olor, sin sedimentos)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</si>
  <si>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</si>
  <si>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</si>
  <si>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</si>
  <si>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</si>
  <si>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</si>
  <si>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</si>
  <si>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</si>
  <si>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</si>
  <si>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</si>
  <si>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Ligera (laminar)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</si>
  <si>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</si>
  <si>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</si>
  <si>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</si>
  <si>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</si>
  <si>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</si>
  <si>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</si>
  <si>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Forestal producción</t>
  </si>
  <si>
    <t xml:space="preserve">Enfermo (plaga)</t>
  </si>
  <si>
    <t xml:space="preserve">Bosque ralo (30-70%)</t>
  </si>
  <si>
    <t xml:space="preserve">Arbóreo medio (8-15 m)</t>
  </si>
  <si>
    <t xml:space="preserve">Endémica</t>
  </si>
  <si>
    <t xml:space="preserve">Abundante (20-40%)</t>
  </si>
  <si>
    <t xml:space="preserve">Indicadora de perturbación</t>
  </si>
  <si>
    <t xml:space="preserve">EW — Extinto en Estado Silvestre</t>
  </si>
  <si>
    <t xml:space="preserve">Rápida</t>
  </si>
  <si>
    <t xml:space="preserve">Parcialmente reversible</t>
  </si>
  <si>
    <t xml:space="preserve">Quebrada permanente</t>
  </si>
  <si>
    <t xml:space="preserve">Estacional (lluvias)</t>
  </si>
  <si>
    <t xml:space="preserve">Regular (ligeramente turbia o con sedimentos)</t>
  </si>
  <si>
    <t xml:space="preserve">Nacional afirmada</t>
  </si>
  <si>
    <t xml:space="preserve">Claro</t>
  </si>
  <si>
    <t xml:space="preserve">15-25% (Fuert. inclinado)</t>
  </si>
  <si>
    <t xml:space="preserve">Ladera media</t>
  </si>
  <si>
    <t xml:space="preserve">Este</t>
  </si>
  <si>
    <t xml:space="preserve">1500-2000 m (Quechua media)</t>
  </si>
  <si>
    <t xml:space="preserve">Moderada (surcos)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</si>
  <si>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</si>
  <si>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</si>
  <si>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</si>
  <si>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</si>
  <si>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Media</t>
  </si>
  <si>
    <t xml:space="preserve">Medianamente alterado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</si>
  <si>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</si>
  <si>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</si>
  <si>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</si>
  <si>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</si>
  <si>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Introducida</t>
  </si>
  <si>
    <t xml:space="preserve">Endémica del Perú</t>
  </si>
  <si>
    <t xml:space="preserve">CR — En Peligro Crítico</t>
  </si>
  <si>
    <t xml:space="preserve">Moderada</t>
  </si>
  <si>
    <t xml:space="preserve">Difícilmente reversible</t>
  </si>
  <si>
    <t xml:space="preserve">Quebrada estacional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</si>
  <si>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</si>
  <si>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</si>
  <si>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</si>
  <si>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</si>
  <si>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</si>
  <si>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Montañoso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</si>
  <si>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</si>
  <si>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</si>
  <si>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</si>
  <si>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</si>
  <si>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</si>
  <si>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</si>
  <si>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</si>
  <si>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</si>
  <si>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</si>
  <si>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</si>
  <si>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</si>
  <si>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</si>
  <si>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</si>
  <si>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</si>
  <si>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</si>
  <si>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Ocasional (1-5%)</t>
  </si>
  <si>
    <t xml:space="preserve">Endémica norte / Piura</t>
  </si>
  <si>
    <t xml:space="preserve">EN — En Peligro</t>
  </si>
  <si>
    <t xml:space="preserve">Fuerte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</si>
  <si>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</si>
  <si>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</si>
  <si>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</si>
  <si>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</si>
  <si>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</si>
  <si>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</si>
  <si>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</si>
  <si>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</si>
  <si>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</si>
  <si>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</si>
  <si>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</si>
  <si>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</si>
  <si>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</si>
  <si>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</si>
  <si>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</si>
  <si>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</si>
  <si>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</si>
  <si>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</si>
  <si>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</si>
  <si>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</si>
  <si>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</si>
  <si>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</si>
  <si>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</si>
  <si>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Arbustivo bajo (0.5-1.5 m)</t>
  </si>
  <si>
    <t xml:space="preserve">Rara (&lt;1%)</t>
  </si>
  <si>
    <t xml:space="preserve">Muy fuerte</t>
  </si>
  <si>
    <t xml:space="preserve">Estable</t>
  </si>
  <si>
    <t xml:space="preserve">Canal de riego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</si>
  <si>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</si>
  <si>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</si>
  <si>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</si>
  <si>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</si>
  <si>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</si>
  <si>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</si>
  <si>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</si>
  <si>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</si>
  <si>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</si>
  <si>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</si>
  <si>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</si>
  <si>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</si>
  <si>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</si>
  <si>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Herbáceo (&lt;0.5 m)</t>
  </si>
  <si>
    <t xml:space="preserve">Clave cultural</t>
  </si>
  <si>
    <t xml:space="preserve">Reservorio / Represa</t>
  </si>
  <si>
    <t xml:space="preserve">Inaccesible en lluvias</t>
  </si>
  <si>
    <t xml:space="preserve">Cauce / Ribera</t>
  </si>
  <si>
    <t xml:space="preserve">Sureste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</si>
  <si>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</si>
  <si>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</si>
  <si>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</si>
  <si>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</si>
  <si>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</si>
  <si>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Epífito</t>
  </si>
  <si>
    <t xml:space="preserve">LC — Preocupación Menor</t>
  </si>
  <si>
    <t xml:space="preserve">Laguna / Humedal</t>
  </si>
  <si>
    <t xml:space="preserve">Camino de herradura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</si>
  <si>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</si>
  <si>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</si>
  <si>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</si>
  <si>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</si>
  <si>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Uso mixto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</si>
  <si>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</si>
  <si>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</si>
  <si>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</si>
  <si>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</si>
  <si>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</si>
  <si>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</si>
  <si>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</si>
  <si>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</si>
  <si>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</si>
  <si>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</si>
  <si>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</si>
  <si>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</si>
  <si>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</si>
  <si>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Mixto / Mosaico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</si>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</sst>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C1096-Q9556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Chulucanas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Z01</v>
      </c>
      <c r="C12" s="9"/>
      <c r="D12" s="9"/>
      <c r="E12" s="7" t="s">
        <v>21</v>
      </c>
      <c r="F12" s="9" t="n">
        <f aca="false">IFERROR(VLOOKUP($B$10,tbl_Bloques,8,FALSE()),"")</f>
        <v>124.71</v>
      </c>
      <c r="G12" s="9"/>
      <c r="H12" s="9"/>
    </row>
    <row r="13" customFormat="false" ht="19.5" hidden="false" customHeight="true" outlineLevel="0" collapsed="false">
      <c r="A13" s="7" t="s">
        <v>22</v>
      </c>
      <c r="B13" s="8"/>
      <c r="C13" s="8"/>
      <c r="D13" s="8"/>
      <c r="E13" s="7" t="s">
        <v>23</v>
      </c>
      <c r="F13" s="8"/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353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44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46</v>
      </c>
      <c r="B28" s="8" t="s">
        <v>44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47</v>
      </c>
      <c r="B29" s="8" t="s">
        <v>44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48</v>
      </c>
      <c r="B30" s="8" t="s">
        <v>44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49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50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54</v>
      </c>
      <c r="H8" s="7"/>
      <c r="I8" s="7"/>
      <c r="J8" s="8" t="s">
        <v>12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55</v>
      </c>
      <c r="H9" s="7"/>
      <c r="I9" s="7"/>
      <c r="J9" s="9" t="str">
        <f aca="false">IFERROR(VLOOKUP($D$9,tbl_Bloques,2,FALSE()),"")</f>
        <v>C1096-Q9556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Chulucanas</v>
      </c>
      <c r="E10" s="9"/>
      <c r="F10" s="9"/>
      <c r="G10" s="7" t="s">
        <v>56</v>
      </c>
      <c r="H10" s="7"/>
      <c r="I10" s="7"/>
      <c r="J10" s="8" t="n">
        <v>353</v>
      </c>
      <c r="K10" s="8"/>
      <c r="L10" s="8"/>
    </row>
    <row r="11" customFormat="false" ht="19.5" hidden="false" customHeight="true" outlineLevel="0" collapsed="false">
      <c r="A11" s="7" t="s">
        <v>57</v>
      </c>
      <c r="B11" s="7"/>
      <c r="C11" s="7"/>
      <c r="D11" s="8"/>
      <c r="E11" s="8"/>
      <c r="F11" s="8"/>
      <c r="G11" s="7" t="s">
        <v>58</v>
      </c>
      <c r="H11" s="7"/>
      <c r="I11" s="7"/>
      <c r="J11" s="8"/>
      <c r="K11" s="8"/>
      <c r="L11" s="8"/>
    </row>
    <row r="13" customFormat="false" ht="21.75" hidden="false" customHeight="true" outlineLevel="0" collapsed="false">
      <c r="A13" s="6" t="s">
        <v>59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60</v>
      </c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61</v>
      </c>
      <c r="B15" s="7"/>
      <c r="C15" s="7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62</v>
      </c>
      <c r="B16" s="7"/>
      <c r="C16" s="7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63</v>
      </c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66</v>
      </c>
      <c r="B21" s="12" t="s">
        <v>67</v>
      </c>
      <c r="C21" s="12" t="s">
        <v>68</v>
      </c>
      <c r="D21" s="12" t="s">
        <v>69</v>
      </c>
      <c r="E21" s="12" t="s">
        <v>70</v>
      </c>
      <c r="F21" s="12" t="s">
        <v>71</v>
      </c>
      <c r="G21" s="12" t="s">
        <v>72</v>
      </c>
      <c r="H21" s="12" t="s">
        <v>73</v>
      </c>
      <c r="I21" s="12" t="s">
        <v>74</v>
      </c>
      <c r="J21" s="12" t="s">
        <v>75</v>
      </c>
      <c r="K21" s="12" t="s">
        <v>76</v>
      </c>
      <c r="L21" s="12" t="s">
        <v>77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78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79</v>
      </c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80</v>
      </c>
      <c r="B35" s="7"/>
      <c r="C35" s="7"/>
      <c r="D35" s="8"/>
      <c r="E35" s="8"/>
      <c r="F35" s="8"/>
      <c r="G35" s="7" t="s">
        <v>81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82</v>
      </c>
      <c r="B36" s="7"/>
      <c r="C36" s="7"/>
      <c r="D36" s="8"/>
      <c r="E36" s="8"/>
      <c r="F36" s="8"/>
      <c r="G36" s="7" t="s">
        <v>83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84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85</v>
      </c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86</v>
      </c>
      <c r="B39" s="7"/>
      <c r="C39" s="7"/>
      <c r="D39" s="8"/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49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87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88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89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53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90</v>
      </c>
      <c r="B8" s="7"/>
      <c r="C8" s="8" t="s">
        <v>8</v>
      </c>
      <c r="D8" s="8"/>
      <c r="E8" s="7" t="s">
        <v>54</v>
      </c>
      <c r="F8" s="7"/>
      <c r="G8" s="8" t="s">
        <v>12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91</v>
      </c>
      <c r="F9" s="7"/>
      <c r="G9" s="9" t="str">
        <f aca="false">IFERROR(VLOOKUP($C$9,tbl_Bloques,2,FALSE()),"")</f>
        <v>C1096-Q9556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Chulucanas</v>
      </c>
      <c r="D10" s="9"/>
      <c r="E10" s="7" t="s">
        <v>92</v>
      </c>
      <c r="F10" s="7"/>
      <c r="G10" s="8"/>
      <c r="H10" s="8"/>
      <c r="I10" s="8"/>
    </row>
    <row r="11" customFormat="false" ht="19.5" hidden="false" customHeight="true" outlineLevel="0" collapsed="false">
      <c r="A11" s="7" t="s">
        <v>93</v>
      </c>
      <c r="B11" s="7"/>
      <c r="C11" s="8"/>
      <c r="D11" s="8"/>
      <c r="E11" s="7" t="s">
        <v>56</v>
      </c>
      <c r="F11" s="7"/>
      <c r="G11" s="8" t="n">
        <v>353</v>
      </c>
      <c r="H11" s="8"/>
      <c r="I11" s="8"/>
    </row>
    <row r="12" customFormat="false" ht="19.5" hidden="false" customHeight="true" outlineLevel="0" collapsed="false">
      <c r="A12" s="7" t="s">
        <v>94</v>
      </c>
      <c r="B12" s="7"/>
      <c r="C12" s="8" t="n">
        <v>18.69</v>
      </c>
      <c r="D12" s="8"/>
      <c r="E12" s="7" t="s">
        <v>95</v>
      </c>
      <c r="F12" s="7"/>
      <c r="G12" s="8" t="n">
        <v>90</v>
      </c>
      <c r="H12" s="8"/>
      <c r="I12" s="8"/>
    </row>
    <row r="13" customFormat="false" ht="19.5" hidden="false" customHeight="true" outlineLevel="0" collapsed="false">
      <c r="A13" s="7" t="s">
        <v>96</v>
      </c>
      <c r="B13" s="7"/>
      <c r="C13" s="8"/>
      <c r="D13" s="8"/>
      <c r="E13" s="7" t="s">
        <v>97</v>
      </c>
      <c r="F13" s="7"/>
      <c r="G13" s="8"/>
      <c r="H13" s="8"/>
      <c r="I13" s="8"/>
    </row>
    <row r="15" customFormat="false" ht="21.75" hidden="false" customHeight="true" outlineLevel="0" collapsed="false">
      <c r="A15" s="6" t="s">
        <v>98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99</v>
      </c>
      <c r="B16" s="7"/>
      <c r="C16" s="8" t="s">
        <v>100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101</v>
      </c>
      <c r="B17" s="7"/>
      <c r="C17" s="8" t="n">
        <v>110</v>
      </c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102</v>
      </c>
      <c r="B18" s="7"/>
      <c r="C18" s="8" t="s">
        <v>103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104</v>
      </c>
      <c r="B19" s="7"/>
      <c r="C19" s="8" t="s">
        <v>105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106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107</v>
      </c>
      <c r="B22" s="7"/>
      <c r="C22" s="8" t="n">
        <v>90</v>
      </c>
      <c r="D22" s="8"/>
      <c r="E22" s="7" t="s">
        <v>108</v>
      </c>
      <c r="F22" s="7"/>
      <c r="G22" s="8" t="n">
        <v>15</v>
      </c>
      <c r="H22" s="8"/>
      <c r="I22" s="8"/>
    </row>
    <row r="23" customFormat="false" ht="19.5" hidden="false" customHeight="true" outlineLevel="0" collapsed="false">
      <c r="A23" s="7" t="s">
        <v>109</v>
      </c>
      <c r="B23" s="7"/>
      <c r="C23" s="8" t="n">
        <v>10</v>
      </c>
      <c r="D23" s="8"/>
      <c r="E23" s="7" t="s">
        <v>110</v>
      </c>
      <c r="F23" s="7"/>
      <c r="G23" s="8" t="n">
        <v>5</v>
      </c>
      <c r="H23" s="8"/>
      <c r="I23" s="8"/>
    </row>
    <row r="24" customFormat="false" ht="19.5" hidden="false" customHeight="true" outlineLevel="0" collapsed="false">
      <c r="A24" s="7" t="s">
        <v>111</v>
      </c>
      <c r="B24" s="7"/>
      <c r="C24" s="8" t="n">
        <v>5</v>
      </c>
      <c r="D24" s="8"/>
      <c r="E24" s="7" t="s">
        <v>112</v>
      </c>
      <c r="F24" s="7"/>
      <c r="G24" s="8" t="n">
        <v>8</v>
      </c>
      <c r="H24" s="8"/>
      <c r="I24" s="8"/>
    </row>
    <row r="25" customFormat="false" ht="19.5" hidden="false" customHeight="true" outlineLevel="0" collapsed="false">
      <c r="A25" s="7" t="s">
        <v>113</v>
      </c>
      <c r="B25" s="7"/>
      <c r="C25" s="8" t="n">
        <v>10</v>
      </c>
      <c r="D25" s="8"/>
      <c r="E25" s="7" t="s">
        <v>114</v>
      </c>
      <c r="F25" s="7"/>
      <c r="G25" s="8" t="n">
        <v>30</v>
      </c>
      <c r="H25" s="8"/>
      <c r="I25" s="8"/>
    </row>
    <row r="26" customFormat="false" ht="19.5" hidden="false" customHeight="true" outlineLevel="0" collapsed="false">
      <c r="A26" s="7" t="s">
        <v>115</v>
      </c>
      <c r="B26" s="7"/>
      <c r="C26" s="8" t="s">
        <v>116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117</v>
      </c>
      <c r="B27" s="7"/>
      <c r="C27" s="8" t="s">
        <v>118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119</v>
      </c>
      <c r="B28" s="7"/>
      <c r="C28" s="8" t="s">
        <v>44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120</v>
      </c>
      <c r="B29" s="7"/>
      <c r="C29" s="8" t="s">
        <v>121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122</v>
      </c>
      <c r="B30" s="7"/>
      <c r="C30" s="8" t="s">
        <v>123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124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125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126</v>
      </c>
      <c r="B34" s="12" t="s">
        <v>127</v>
      </c>
      <c r="C34" s="12" t="s">
        <v>128</v>
      </c>
      <c r="D34" s="12" t="s">
        <v>129</v>
      </c>
      <c r="E34" s="12" t="s">
        <v>130</v>
      </c>
      <c r="F34" s="12" t="s">
        <v>131</v>
      </c>
      <c r="G34" s="12" t="s">
        <v>132</v>
      </c>
      <c r="H34" s="12" t="s">
        <v>133</v>
      </c>
      <c r="I34" s="12" t="s">
        <v>134</v>
      </c>
    </row>
    <row r="35" customFormat="false" ht="18" hidden="false" customHeight="true" outlineLevel="0" collapsed="false">
      <c r="A35" s="15" t="n">
        <v>1</v>
      </c>
      <c r="B35" s="14" t="s">
        <v>135</v>
      </c>
      <c r="C35" s="14" t="s">
        <v>136</v>
      </c>
      <c r="D35" s="14" t="s">
        <v>137</v>
      </c>
      <c r="E35" s="13" t="s">
        <v>138</v>
      </c>
      <c r="F35" s="13" t="s">
        <v>139</v>
      </c>
      <c r="G35" s="13" t="s">
        <v>140</v>
      </c>
      <c r="H35" s="13" t="n">
        <v>25</v>
      </c>
      <c r="I35" s="13" t="n">
        <v>5</v>
      </c>
    </row>
    <row r="36" customFormat="false" ht="18" hidden="false" customHeight="true" outlineLevel="0" collapsed="false">
      <c r="A36" s="15" t="n">
        <v>2</v>
      </c>
      <c r="B36" s="14" t="s">
        <v>141</v>
      </c>
      <c r="C36" s="14" t="s">
        <v>142</v>
      </c>
      <c r="D36" s="14" t="s">
        <v>143</v>
      </c>
      <c r="E36" s="13" t="s">
        <v>138</v>
      </c>
      <c r="F36" s="13" t="s">
        <v>139</v>
      </c>
      <c r="G36" s="13" t="s">
        <v>140</v>
      </c>
      <c r="H36" s="13" t="n">
        <v>30</v>
      </c>
      <c r="I36" s="13" t="n">
        <v>8</v>
      </c>
    </row>
    <row r="37" customFormat="false" ht="18" hidden="false" customHeight="true" outlineLevel="0" collapsed="false">
      <c r="A37" s="15" t="n">
        <v>3</v>
      </c>
      <c r="B37" s="14" t="s">
        <v>144</v>
      </c>
      <c r="C37" s="14" t="s">
        <v>145</v>
      </c>
      <c r="D37" s="14" t="s">
        <v>146</v>
      </c>
      <c r="E37" s="13" t="s">
        <v>138</v>
      </c>
      <c r="F37" s="13" t="s">
        <v>139</v>
      </c>
      <c r="G37" s="13" t="s">
        <v>140</v>
      </c>
      <c r="H37" s="13" t="n">
        <v>30</v>
      </c>
      <c r="I37" s="13" t="n">
        <v>8</v>
      </c>
    </row>
    <row r="38" customFormat="false" ht="18" hidden="false" customHeight="true" outlineLevel="0" collapsed="false">
      <c r="A38" s="15" t="n">
        <v>4</v>
      </c>
      <c r="B38" s="14" t="s">
        <v>147</v>
      </c>
      <c r="C38" s="14" t="s">
        <v>148</v>
      </c>
      <c r="D38" s="14" t="s">
        <v>149</v>
      </c>
      <c r="E38" s="13" t="s">
        <v>138</v>
      </c>
      <c r="F38" s="13" t="s">
        <v>139</v>
      </c>
      <c r="G38" s="13" t="s">
        <v>140</v>
      </c>
      <c r="H38" s="13" t="n">
        <v>25</v>
      </c>
      <c r="I38" s="13" t="n">
        <v>6</v>
      </c>
    </row>
    <row r="39" customFormat="false" ht="18" hidden="false" customHeight="true" outlineLevel="0" collapsed="false">
      <c r="A39" s="15" t="n">
        <v>5</v>
      </c>
      <c r="B39" s="14" t="s">
        <v>150</v>
      </c>
      <c r="C39" s="14" t="s">
        <v>151</v>
      </c>
      <c r="D39" s="14" t="s">
        <v>137</v>
      </c>
      <c r="E39" s="13" t="s">
        <v>152</v>
      </c>
      <c r="F39" s="13" t="s">
        <v>139</v>
      </c>
      <c r="G39" s="13" t="s">
        <v>140</v>
      </c>
      <c r="H39" s="13" t="n">
        <v>15</v>
      </c>
      <c r="I39" s="13" t="n">
        <v>4</v>
      </c>
    </row>
    <row r="40" customFormat="false" ht="18" hidden="false" customHeight="true" outlineLevel="0" collapsed="false">
      <c r="A40" s="15" t="n">
        <v>6</v>
      </c>
      <c r="B40" s="14" t="s">
        <v>153</v>
      </c>
      <c r="C40" s="14" t="s">
        <v>154</v>
      </c>
      <c r="D40" s="14" t="s">
        <v>155</v>
      </c>
      <c r="E40" s="13" t="s">
        <v>152</v>
      </c>
      <c r="F40" s="13" t="s">
        <v>139</v>
      </c>
      <c r="G40" s="13" t="s">
        <v>140</v>
      </c>
      <c r="H40" s="13" t="n">
        <v>10</v>
      </c>
      <c r="I40" s="13" t="n">
        <v>3</v>
      </c>
    </row>
    <row r="41" customFormat="false" ht="18" hidden="false" customHeight="true" outlineLevel="0" collapsed="false">
      <c r="A41" s="15" t="n">
        <v>7</v>
      </c>
      <c r="B41" s="14"/>
      <c r="C41" s="14"/>
      <c r="D41" s="14"/>
      <c r="E41" s="13"/>
      <c r="F41" s="13"/>
      <c r="G41" s="13"/>
      <c r="H41" s="13"/>
      <c r="I41" s="13"/>
    </row>
    <row r="42" customFormat="false" ht="18" hidden="false" customHeight="true" outlineLevel="0" collapsed="false">
      <c r="A42" s="15" t="n">
        <v>8</v>
      </c>
      <c r="B42" s="14"/>
      <c r="C42" s="14"/>
      <c r="D42" s="14"/>
      <c r="E42" s="13"/>
      <c r="F42" s="13"/>
      <c r="G42" s="13"/>
      <c r="H42" s="13"/>
      <c r="I42" s="13"/>
    </row>
    <row r="43" customFormat="false" ht="18" hidden="false" customHeight="true" outlineLevel="0" collapsed="false">
      <c r="A43" s="15" t="n">
        <v>9</v>
      </c>
      <c r="B43" s="14"/>
      <c r="C43" s="14"/>
      <c r="D43" s="14"/>
      <c r="E43" s="13"/>
      <c r="F43" s="13"/>
      <c r="G43" s="13"/>
      <c r="H43" s="13"/>
      <c r="I43" s="13"/>
    </row>
    <row r="44" customFormat="false" ht="18" hidden="false" customHeight="true" outlineLevel="0" collapsed="false">
      <c r="A44" s="15" t="n">
        <v>10</v>
      </c>
      <c r="B44" s="14"/>
      <c r="C44" s="14"/>
      <c r="D44" s="14"/>
      <c r="E44" s="13"/>
      <c r="F44" s="13"/>
      <c r="G44" s="13"/>
      <c r="H44" s="13"/>
      <c r="I44" s="13"/>
    </row>
    <row r="45" customFormat="false" ht="18" hidden="false" customHeight="true" outlineLevel="0" collapsed="false">
      <c r="A45" s="15" t="n">
        <v>11</v>
      </c>
      <c r="B45" s="14"/>
      <c r="C45" s="14"/>
      <c r="D45" s="14"/>
      <c r="E45" s="13"/>
      <c r="F45" s="13"/>
      <c r="G45" s="13"/>
      <c r="H45" s="13"/>
      <c r="I45" s="13"/>
    </row>
    <row r="46" customFormat="false" ht="18" hidden="false" customHeight="true" outlineLevel="0" collapsed="false">
      <c r="A46" s="15" t="n">
        <v>12</v>
      </c>
      <c r="B46" s="14"/>
      <c r="C46" s="14"/>
      <c r="D46" s="14"/>
      <c r="E46" s="13"/>
      <c r="F46" s="13"/>
      <c r="G46" s="13"/>
      <c r="H46" s="13"/>
      <c r="I46" s="13"/>
    </row>
    <row r="47" customFormat="false" ht="18" hidden="false" customHeight="true" outlineLevel="0" collapsed="false">
      <c r="A47" s="15" t="n">
        <v>13</v>
      </c>
      <c r="B47" s="14"/>
      <c r="C47" s="14"/>
      <c r="D47" s="14"/>
      <c r="E47" s="13"/>
      <c r="F47" s="13"/>
      <c r="G47" s="13"/>
      <c r="H47" s="13"/>
      <c r="I47" s="13"/>
    </row>
    <row r="48" customFormat="false" ht="18" hidden="false" customHeight="true" outlineLevel="0" collapsed="false">
      <c r="A48" s="15" t="n">
        <v>14</v>
      </c>
      <c r="B48" s="14"/>
      <c r="C48" s="14"/>
      <c r="D48" s="14"/>
      <c r="E48" s="13"/>
      <c r="F48" s="13"/>
      <c r="G48" s="13"/>
      <c r="H48" s="13"/>
      <c r="I48" s="13"/>
    </row>
    <row r="49" customFormat="false" ht="18" hidden="false" customHeight="true" outlineLevel="0" collapsed="false">
      <c r="A49" s="15" t="n">
        <v>15</v>
      </c>
      <c r="B49" s="14"/>
      <c r="C49" s="14"/>
      <c r="D49" s="14"/>
      <c r="E49" s="13"/>
      <c r="F49" s="13"/>
      <c r="G49" s="13"/>
      <c r="H49" s="13"/>
      <c r="I49" s="13"/>
    </row>
    <row r="51" customFormat="false" ht="21.75" hidden="false" customHeight="true" outlineLevel="0" collapsed="false">
      <c r="A51" s="6" t="s">
        <v>156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126</v>
      </c>
      <c r="B52" s="12" t="s">
        <v>157</v>
      </c>
      <c r="C52" s="12" t="s">
        <v>158</v>
      </c>
      <c r="D52" s="12" t="s">
        <v>159</v>
      </c>
      <c r="E52" s="12" t="s">
        <v>160</v>
      </c>
      <c r="F52" s="12" t="s">
        <v>161</v>
      </c>
      <c r="G52" s="12" t="s">
        <v>162</v>
      </c>
      <c r="H52" s="12" t="s">
        <v>163</v>
      </c>
      <c r="I52" s="12" t="s">
        <v>164</v>
      </c>
    </row>
    <row r="53" customFormat="false" ht="18" hidden="false" customHeight="true" outlineLevel="0" collapsed="false">
      <c r="A53" s="15" t="n">
        <v>1</v>
      </c>
      <c r="B53" s="14" t="s">
        <v>165</v>
      </c>
      <c r="C53" s="14" t="s">
        <v>166</v>
      </c>
      <c r="D53" s="14" t="s">
        <v>167</v>
      </c>
      <c r="E53" s="13"/>
      <c r="F53" s="13"/>
      <c r="G53" s="13"/>
      <c r="H53" s="13"/>
      <c r="I53" s="14" t="s">
        <v>168</v>
      </c>
    </row>
    <row r="54" customFormat="false" ht="18" hidden="false" customHeight="true" outlineLevel="0" collapsed="false">
      <c r="A54" s="15" t="n">
        <v>2</v>
      </c>
      <c r="B54" s="14" t="s">
        <v>169</v>
      </c>
      <c r="C54" s="14" t="s">
        <v>166</v>
      </c>
      <c r="D54" s="14" t="s">
        <v>170</v>
      </c>
      <c r="E54" s="13"/>
      <c r="F54" s="13"/>
      <c r="G54" s="13"/>
      <c r="H54" s="13"/>
      <c r="I54" s="14" t="s">
        <v>171</v>
      </c>
    </row>
    <row r="55" customFormat="false" ht="18" hidden="false" customHeight="true" outlineLevel="0" collapsed="false">
      <c r="A55" s="15" t="n">
        <v>3</v>
      </c>
      <c r="B55" s="14" t="s">
        <v>172</v>
      </c>
      <c r="C55" s="14" t="s">
        <v>173</v>
      </c>
      <c r="D55" s="14" t="s">
        <v>174</v>
      </c>
      <c r="E55" s="13"/>
      <c r="F55" s="13"/>
      <c r="G55" s="13"/>
      <c r="H55" s="13"/>
      <c r="I55" s="14" t="s">
        <v>175</v>
      </c>
    </row>
    <row r="56" customFormat="false" ht="18" hidden="false" customHeight="true" outlineLevel="0" collapsed="false">
      <c r="A56" s="15" t="n">
        <v>4</v>
      </c>
      <c r="B56" s="14"/>
      <c r="C56" s="14"/>
      <c r="D56" s="14"/>
      <c r="E56" s="13"/>
      <c r="F56" s="13"/>
      <c r="G56" s="13"/>
      <c r="H56" s="13"/>
      <c r="I56" s="14"/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49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176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177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178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53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90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54</v>
      </c>
      <c r="B9" s="7"/>
      <c r="C9" s="8" t="s">
        <v>12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91</v>
      </c>
      <c r="B11" s="7"/>
      <c r="C11" s="9" t="str">
        <f aca="false">IFERROR(VLOOKUP($C$10,tbl_Bloques,2,FALSE()),"")</f>
        <v>C1096-Q9556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179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180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126</v>
      </c>
      <c r="B14" s="12" t="s">
        <v>181</v>
      </c>
      <c r="C14" s="12" t="s">
        <v>182</v>
      </c>
      <c r="D14" s="12" t="s">
        <v>183</v>
      </c>
      <c r="E14" s="12" t="s">
        <v>184</v>
      </c>
      <c r="F14" s="12" t="s">
        <v>185</v>
      </c>
      <c r="G14" s="12" t="s">
        <v>186</v>
      </c>
    </row>
    <row r="15" customFormat="false" ht="18" hidden="false" customHeight="true" outlineLevel="0" collapsed="false">
      <c r="A15" s="15" t="n">
        <v>1</v>
      </c>
      <c r="B15" s="20" t="s">
        <v>187</v>
      </c>
      <c r="C15" s="13" t="s">
        <v>188</v>
      </c>
      <c r="D15" s="13" t="s">
        <v>189</v>
      </c>
      <c r="E15" s="13" t="n">
        <v>15</v>
      </c>
      <c r="F15" s="13" t="n">
        <v>30</v>
      </c>
      <c r="G15" s="14" t="s">
        <v>190</v>
      </c>
    </row>
    <row r="16" customFormat="false" ht="18" hidden="false" customHeight="true" outlineLevel="0" collapsed="false">
      <c r="A16" s="15" t="n">
        <v>2</v>
      </c>
      <c r="B16" s="20" t="s">
        <v>191</v>
      </c>
      <c r="C16" s="13" t="s">
        <v>188</v>
      </c>
      <c r="D16" s="13" t="s">
        <v>189</v>
      </c>
      <c r="E16" s="13" t="n">
        <v>5</v>
      </c>
      <c r="F16" s="13" t="n">
        <v>30</v>
      </c>
      <c r="G16" s="14" t="s">
        <v>192</v>
      </c>
    </row>
    <row r="17" customFormat="false" ht="18" hidden="false" customHeight="true" outlineLevel="0" collapsed="false">
      <c r="A17" s="15" t="n">
        <v>3</v>
      </c>
      <c r="B17" s="20" t="s">
        <v>193</v>
      </c>
      <c r="C17" s="13"/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194</v>
      </c>
      <c r="C18" s="13"/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195</v>
      </c>
      <c r="C19" s="13"/>
      <c r="D19" s="13"/>
      <c r="E19" s="13"/>
      <c r="F19" s="13"/>
      <c r="G19" s="14"/>
    </row>
    <row r="20" customFormat="false" ht="18" hidden="false" customHeight="true" outlineLevel="0" collapsed="false">
      <c r="A20" s="15" t="n">
        <v>6</v>
      </c>
      <c r="B20" s="20" t="s">
        <v>196</v>
      </c>
      <c r="C20" s="13"/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197</v>
      </c>
      <c r="C21" s="13"/>
      <c r="D21" s="13"/>
      <c r="E21" s="13"/>
      <c r="F21" s="13"/>
      <c r="G21" s="14"/>
    </row>
    <row r="22" customFormat="false" ht="18" hidden="false" customHeight="true" outlineLevel="0" collapsed="false">
      <c r="A22" s="15" t="n">
        <v>8</v>
      </c>
      <c r="B22" s="20" t="s">
        <v>198</v>
      </c>
      <c r="C22" s="13"/>
      <c r="D22" s="13"/>
      <c r="E22" s="13"/>
      <c r="F22" s="13"/>
      <c r="G22" s="14"/>
    </row>
    <row r="23" customFormat="false" ht="18" hidden="false" customHeight="true" outlineLevel="0" collapsed="false">
      <c r="A23" s="15" t="n">
        <v>9</v>
      </c>
      <c r="B23" s="20" t="s">
        <v>199</v>
      </c>
      <c r="C23" s="13" t="s">
        <v>188</v>
      </c>
      <c r="D23" s="13" t="s">
        <v>189</v>
      </c>
      <c r="E23" s="13" t="n">
        <v>5</v>
      </c>
      <c r="F23" s="13" t="n">
        <v>5</v>
      </c>
      <c r="G23" s="14" t="s">
        <v>200</v>
      </c>
    </row>
    <row r="24" customFormat="false" ht="18" hidden="false" customHeight="true" outlineLevel="0" collapsed="false">
      <c r="A24" s="15" t="n">
        <v>10</v>
      </c>
      <c r="B24" s="20" t="s">
        <v>201</v>
      </c>
      <c r="C24" s="13"/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202</v>
      </c>
      <c r="C25" s="13"/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203</v>
      </c>
      <c r="C26" s="13"/>
      <c r="D26" s="13"/>
      <c r="E26" s="13"/>
      <c r="F26" s="13"/>
      <c r="G26" s="14"/>
    </row>
    <row r="27" customFormat="false" ht="18" hidden="false" customHeight="true" outlineLevel="0" collapsed="false">
      <c r="A27" s="15" t="n">
        <v>13</v>
      </c>
      <c r="B27" s="20" t="s">
        <v>204</v>
      </c>
      <c r="C27" s="13"/>
      <c r="D27" s="13"/>
      <c r="E27" s="13"/>
      <c r="F27" s="13"/>
      <c r="G27" s="14"/>
    </row>
    <row r="28" customFormat="false" ht="18" hidden="false" customHeight="true" outlineLevel="0" collapsed="false">
      <c r="A28" s="15" t="n">
        <v>14</v>
      </c>
      <c r="B28" s="20" t="s">
        <v>205</v>
      </c>
      <c r="C28" s="13"/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206</v>
      </c>
      <c r="C29" s="13"/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207</v>
      </c>
      <c r="C30" s="13"/>
      <c r="D30" s="13"/>
      <c r="E30" s="13"/>
      <c r="F30" s="13"/>
      <c r="G30" s="14"/>
    </row>
    <row r="32" customFormat="false" ht="21.75" hidden="false" customHeight="true" outlineLevel="0" collapsed="false">
      <c r="A32" s="6" t="s">
        <v>208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209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126</v>
      </c>
      <c r="B34" s="12" t="s">
        <v>210</v>
      </c>
      <c r="C34" s="12" t="s">
        <v>211</v>
      </c>
      <c r="D34" s="12" t="s">
        <v>212</v>
      </c>
      <c r="E34" s="12" t="s">
        <v>213</v>
      </c>
      <c r="F34" s="12" t="s">
        <v>214</v>
      </c>
      <c r="G34" s="12" t="s">
        <v>215</v>
      </c>
    </row>
    <row r="35" customFormat="false" ht="21.75" hidden="false" customHeight="true" outlineLevel="0" collapsed="false">
      <c r="A35" s="15" t="n">
        <v>1</v>
      </c>
      <c r="B35" s="20" t="s">
        <v>216</v>
      </c>
      <c r="C35" s="15" t="s">
        <v>217</v>
      </c>
      <c r="D35" s="13" t="n">
        <v>90</v>
      </c>
      <c r="E35" s="14" t="s">
        <v>218</v>
      </c>
      <c r="F35" s="20" t="s">
        <v>219</v>
      </c>
      <c r="G35" s="13" t="s">
        <v>220</v>
      </c>
    </row>
    <row r="36" customFormat="false" ht="21.75" hidden="false" customHeight="true" outlineLevel="0" collapsed="false">
      <c r="A36" s="15" t="n">
        <v>2</v>
      </c>
      <c r="B36" s="20" t="s">
        <v>221</v>
      </c>
      <c r="C36" s="15" t="s">
        <v>217</v>
      </c>
      <c r="D36" s="13" t="n">
        <v>5</v>
      </c>
      <c r="E36" s="14" t="s">
        <v>218</v>
      </c>
      <c r="F36" s="20" t="s">
        <v>222</v>
      </c>
      <c r="G36" s="13" t="s">
        <v>220</v>
      </c>
    </row>
    <row r="37" customFormat="false" ht="21.75" hidden="false" customHeight="true" outlineLevel="0" collapsed="false">
      <c r="A37" s="15" t="n">
        <v>3</v>
      </c>
      <c r="B37" s="20" t="s">
        <v>223</v>
      </c>
      <c r="C37" s="15" t="s">
        <v>224</v>
      </c>
      <c r="D37" s="13" t="n">
        <v>1</v>
      </c>
      <c r="E37" s="14" t="s">
        <v>218</v>
      </c>
      <c r="F37" s="20" t="s">
        <v>225</v>
      </c>
      <c r="G37" s="13" t="s">
        <v>220</v>
      </c>
    </row>
    <row r="38" customFormat="false" ht="21.75" hidden="false" customHeight="true" outlineLevel="0" collapsed="false">
      <c r="A38" s="15" t="n">
        <v>4</v>
      </c>
      <c r="B38" s="20" t="s">
        <v>226</v>
      </c>
      <c r="C38" s="15" t="s">
        <v>227</v>
      </c>
      <c r="D38" s="13" t="n">
        <v>0</v>
      </c>
      <c r="E38" s="14" t="s">
        <v>218</v>
      </c>
      <c r="F38" s="20" t="s">
        <v>228</v>
      </c>
      <c r="G38" s="13" t="s">
        <v>220</v>
      </c>
    </row>
    <row r="39" customFormat="false" ht="21.75" hidden="false" customHeight="true" outlineLevel="0" collapsed="false">
      <c r="A39" s="15" t="n">
        <v>5</v>
      </c>
      <c r="B39" s="20" t="s">
        <v>229</v>
      </c>
      <c r="C39" s="15" t="s">
        <v>230</v>
      </c>
      <c r="D39" s="13" t="n">
        <v>1</v>
      </c>
      <c r="E39" s="14" t="s">
        <v>218</v>
      </c>
      <c r="F39" s="20" t="s">
        <v>231</v>
      </c>
      <c r="G39" s="13" t="s">
        <v>220</v>
      </c>
    </row>
    <row r="40" customFormat="false" ht="21.75" hidden="false" customHeight="true" outlineLevel="0" collapsed="false">
      <c r="A40" s="15" t="n">
        <v>6</v>
      </c>
      <c r="B40" s="20" t="s">
        <v>232</v>
      </c>
      <c r="C40" s="15" t="s">
        <v>126</v>
      </c>
      <c r="D40" s="13" t="n">
        <v>0</v>
      </c>
      <c r="E40" s="14" t="s">
        <v>218</v>
      </c>
      <c r="F40" s="20" t="s">
        <v>233</v>
      </c>
      <c r="G40" s="13" t="s">
        <v>220</v>
      </c>
    </row>
    <row r="41" customFormat="false" ht="21.75" hidden="false" customHeight="true" outlineLevel="0" collapsed="false">
      <c r="A41" s="15" t="n">
        <v>7</v>
      </c>
      <c r="B41" s="20" t="s">
        <v>234</v>
      </c>
      <c r="C41" s="15" t="s">
        <v>217</v>
      </c>
      <c r="D41" s="13" t="n">
        <v>25</v>
      </c>
      <c r="E41" s="14" t="s">
        <v>218</v>
      </c>
      <c r="F41" s="20" t="s">
        <v>235</v>
      </c>
      <c r="G41" s="13" t="s">
        <v>236</v>
      </c>
    </row>
    <row r="42" customFormat="false" ht="21.75" hidden="false" customHeight="true" outlineLevel="0" collapsed="false">
      <c r="A42" s="15" t="n">
        <v>8</v>
      </c>
      <c r="B42" s="20" t="s">
        <v>237</v>
      </c>
      <c r="C42" s="15" t="s">
        <v>238</v>
      </c>
      <c r="D42" s="13" t="n">
        <v>30</v>
      </c>
      <c r="E42" s="14" t="s">
        <v>218</v>
      </c>
      <c r="F42" s="20" t="s">
        <v>239</v>
      </c>
      <c r="G42" s="13" t="s">
        <v>240</v>
      </c>
    </row>
    <row r="44" customFormat="false" ht="21.75" hidden="false" customHeight="true" outlineLevel="0" collapsed="false">
      <c r="A44" s="6" t="s">
        <v>241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242</v>
      </c>
      <c r="B45" s="7"/>
      <c r="C45" s="8" t="s">
        <v>243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244</v>
      </c>
      <c r="B46" s="7"/>
      <c r="C46" s="8" t="s">
        <v>245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246</v>
      </c>
      <c r="B47" s="7"/>
      <c r="C47" s="8" t="s">
        <v>247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248</v>
      </c>
      <c r="B48" s="7"/>
      <c r="C48" s="8" t="s">
        <v>249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250</v>
      </c>
      <c r="B49" s="7"/>
      <c r="C49" s="8" t="s">
        <v>251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49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252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253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254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53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54</v>
      </c>
      <c r="F8" s="7"/>
      <c r="G8" s="8" t="s">
        <v>12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91</v>
      </c>
      <c r="F9" s="7"/>
      <c r="G9" s="9" t="str">
        <f aca="false">IFERROR(VLOOKUP($C$9,tbl_Bloques,2,FALSE()),"")</f>
        <v>C1096-Q9556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Chulucanas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255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256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126</v>
      </c>
      <c r="B14" s="12" t="s">
        <v>257</v>
      </c>
      <c r="C14" s="12" t="s">
        <v>160</v>
      </c>
      <c r="D14" s="12" t="s">
        <v>161</v>
      </c>
      <c r="E14" s="12" t="s">
        <v>258</v>
      </c>
      <c r="F14" s="12" t="s">
        <v>259</v>
      </c>
      <c r="G14" s="12" t="s">
        <v>260</v>
      </c>
      <c r="H14" s="12" t="s">
        <v>261</v>
      </c>
    </row>
    <row r="15" customFormat="false" ht="19.5" hidden="false" customHeight="true" outlineLevel="0" collapsed="false">
      <c r="A15" s="15" t="n">
        <v>1</v>
      </c>
      <c r="B15" s="13"/>
      <c r="C15" s="13"/>
      <c r="D15" s="13"/>
      <c r="E15" s="13"/>
      <c r="F15" s="13"/>
      <c r="G15" s="13"/>
      <c r="H15" s="14"/>
    </row>
    <row r="16" customFormat="false" ht="19.5" hidden="false" customHeight="true" outlineLevel="0" collapsed="false">
      <c r="A16" s="15" t="n">
        <v>2</v>
      </c>
      <c r="B16" s="13"/>
      <c r="C16" s="13"/>
      <c r="D16" s="13"/>
      <c r="E16" s="13"/>
      <c r="F16" s="13"/>
      <c r="G16" s="13"/>
      <c r="H16" s="14"/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262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263</v>
      </c>
      <c r="B27" s="7"/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264</v>
      </c>
      <c r="B28" s="7"/>
      <c r="C28" s="8" t="s">
        <v>44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265</v>
      </c>
      <c r="B29" s="7"/>
      <c r="C29" s="8" t="s">
        <v>44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266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267</v>
      </c>
      <c r="B31" s="7"/>
      <c r="C31" s="8"/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268</v>
      </c>
      <c r="B32" s="7"/>
      <c r="C32" s="8" t="s">
        <v>44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269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270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271</v>
      </c>
      <c r="B36" s="7"/>
      <c r="C36" s="8" t="s">
        <v>272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273</v>
      </c>
      <c r="B37" s="7"/>
      <c r="C37" s="8" t="s">
        <v>274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275</v>
      </c>
      <c r="B38" s="7"/>
      <c r="C38" s="8" t="s">
        <v>276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277</v>
      </c>
      <c r="B39" s="7"/>
      <c r="C39" s="8" t="s">
        <v>240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278</v>
      </c>
      <c r="B40" s="7"/>
      <c r="C40" s="8" t="s">
        <v>236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279</v>
      </c>
      <c r="B41" s="7"/>
      <c r="C41" s="8" t="n">
        <v>20</v>
      </c>
      <c r="D41" s="8"/>
      <c r="E41" s="7" t="s">
        <v>280</v>
      </c>
      <c r="F41" s="7"/>
      <c r="G41" s="8" t="n">
        <v>40</v>
      </c>
      <c r="H41" s="8"/>
    </row>
    <row r="42" customFormat="false" ht="19.5" hidden="false" customHeight="true" outlineLevel="0" collapsed="false">
      <c r="A42" s="7" t="s">
        <v>281</v>
      </c>
      <c r="B42" s="7"/>
      <c r="C42" s="8" t="s">
        <v>282</v>
      </c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283</v>
      </c>
      <c r="B43" s="7"/>
      <c r="C43" s="8" t="s">
        <v>284</v>
      </c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285</v>
      </c>
      <c r="B44" s="7"/>
      <c r="C44" s="8" t="s">
        <v>44</v>
      </c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286</v>
      </c>
      <c r="B45" s="7"/>
      <c r="C45" s="8"/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287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49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288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289</v>
      </c>
      <c r="B1" s="12" t="s">
        <v>290</v>
      </c>
      <c r="C1" s="12" t="s">
        <v>291</v>
      </c>
      <c r="D1" s="12" t="s">
        <v>292</v>
      </c>
      <c r="E1" s="12" t="s">
        <v>293</v>
      </c>
      <c r="F1" s="12" t="s">
        <v>294</v>
      </c>
      <c r="G1" s="12" t="s">
        <v>295</v>
      </c>
      <c r="H1" s="12" t="s">
        <v>296</v>
      </c>
    </row>
    <row r="2" customFormat="false" ht="15" hidden="false" customHeight="true" outlineLevel="0" collapsed="false">
      <c r="A2" s="21" t="s">
        <v>297</v>
      </c>
      <c r="B2" s="21" t="s">
        <v>298</v>
      </c>
      <c r="C2" s="21" t="s">
        <v>299</v>
      </c>
      <c r="D2" s="21" t="s">
        <v>300</v>
      </c>
      <c r="E2" s="21" t="s">
        <v>301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302</v>
      </c>
      <c r="B3" s="21" t="s">
        <v>303</v>
      </c>
      <c r="C3" s="21" t="s">
        <v>299</v>
      </c>
      <c r="D3" s="21" t="s">
        <v>300</v>
      </c>
      <c r="E3" s="21" t="s">
        <v>301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304</v>
      </c>
      <c r="B4" s="21" t="s">
        <v>303</v>
      </c>
      <c r="C4" s="21" t="s">
        <v>299</v>
      </c>
      <c r="D4" s="21" t="s">
        <v>300</v>
      </c>
      <c r="E4" s="21" t="s">
        <v>301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305</v>
      </c>
      <c r="B5" s="21" t="s">
        <v>306</v>
      </c>
      <c r="C5" s="21" t="s">
        <v>299</v>
      </c>
      <c r="D5" s="21" t="s">
        <v>300</v>
      </c>
      <c r="E5" s="21" t="s">
        <v>301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307</v>
      </c>
      <c r="B6" s="21" t="s">
        <v>306</v>
      </c>
      <c r="C6" s="21" t="s">
        <v>299</v>
      </c>
      <c r="D6" s="21" t="s">
        <v>300</v>
      </c>
      <c r="E6" s="21" t="s">
        <v>301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308</v>
      </c>
      <c r="B7" s="21" t="s">
        <v>306</v>
      </c>
      <c r="C7" s="21" t="s">
        <v>299</v>
      </c>
      <c r="D7" s="21" t="s">
        <v>300</v>
      </c>
      <c r="E7" s="21" t="s">
        <v>301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14</v>
      </c>
      <c r="B8" s="21" t="s">
        <v>309</v>
      </c>
      <c r="C8" s="21" t="s">
        <v>299</v>
      </c>
      <c r="D8" s="21" t="s">
        <v>300</v>
      </c>
      <c r="E8" s="21" t="s">
        <v>301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16</v>
      </c>
      <c r="B9" s="21" t="s">
        <v>306</v>
      </c>
      <c r="C9" s="21" t="s">
        <v>299</v>
      </c>
      <c r="D9" s="21" t="s">
        <v>300</v>
      </c>
      <c r="E9" s="21" t="s">
        <v>301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310</v>
      </c>
      <c r="B10" s="21" t="s">
        <v>311</v>
      </c>
      <c r="C10" s="21" t="s">
        <v>299</v>
      </c>
      <c r="D10" s="21" t="s">
        <v>300</v>
      </c>
      <c r="E10" s="21" t="s">
        <v>301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312</v>
      </c>
      <c r="B11" s="21" t="s">
        <v>298</v>
      </c>
      <c r="C11" s="21" t="s">
        <v>313</v>
      </c>
      <c r="D11" s="21" t="s">
        <v>314</v>
      </c>
      <c r="E11" s="21" t="s">
        <v>315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316</v>
      </c>
      <c r="B12" s="21" t="s">
        <v>303</v>
      </c>
      <c r="C12" s="21" t="s">
        <v>313</v>
      </c>
      <c r="D12" s="21" t="s">
        <v>314</v>
      </c>
      <c r="E12" s="21" t="s">
        <v>315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317</v>
      </c>
      <c r="B13" s="21" t="s">
        <v>303</v>
      </c>
      <c r="C13" s="21" t="s">
        <v>313</v>
      </c>
      <c r="D13" s="21" t="s">
        <v>314</v>
      </c>
      <c r="E13" s="21" t="s">
        <v>315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318</v>
      </c>
      <c r="B14" s="21" t="s">
        <v>306</v>
      </c>
      <c r="C14" s="21" t="s">
        <v>313</v>
      </c>
      <c r="D14" s="21" t="s">
        <v>314</v>
      </c>
      <c r="E14" s="21" t="s">
        <v>315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319</v>
      </c>
      <c r="B15" s="21" t="s">
        <v>306</v>
      </c>
      <c r="C15" s="21" t="s">
        <v>313</v>
      </c>
      <c r="D15" s="21" t="s">
        <v>314</v>
      </c>
      <c r="E15" s="21" t="s">
        <v>315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320</v>
      </c>
      <c r="B16" s="21" t="s">
        <v>306</v>
      </c>
      <c r="C16" s="21" t="s">
        <v>313</v>
      </c>
      <c r="D16" s="21" t="s">
        <v>314</v>
      </c>
      <c r="E16" s="21" t="s">
        <v>315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321</v>
      </c>
      <c r="B17" s="21" t="s">
        <v>306</v>
      </c>
      <c r="C17" s="21" t="s">
        <v>313</v>
      </c>
      <c r="D17" s="21" t="s">
        <v>314</v>
      </c>
      <c r="E17" s="21" t="s">
        <v>315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322</v>
      </c>
      <c r="B18" s="21" t="s">
        <v>306</v>
      </c>
      <c r="C18" s="21" t="s">
        <v>313</v>
      </c>
      <c r="D18" s="21" t="s">
        <v>314</v>
      </c>
      <c r="E18" s="21" t="s">
        <v>315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323</v>
      </c>
      <c r="B19" s="21" t="s">
        <v>324</v>
      </c>
      <c r="C19" s="21" t="s">
        <v>313</v>
      </c>
      <c r="D19" s="21" t="s">
        <v>314</v>
      </c>
      <c r="E19" s="21" t="s">
        <v>315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325</v>
      </c>
      <c r="B20" s="21" t="s">
        <v>324</v>
      </c>
      <c r="C20" s="21" t="s">
        <v>313</v>
      </c>
      <c r="D20" s="21" t="s">
        <v>314</v>
      </c>
      <c r="E20" s="21" t="s">
        <v>315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326</v>
      </c>
      <c r="B21" s="21" t="s">
        <v>327</v>
      </c>
      <c r="C21" s="21" t="s">
        <v>299</v>
      </c>
      <c r="D21" s="21" t="s">
        <v>328</v>
      </c>
      <c r="E21" s="21" t="s">
        <v>329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330</v>
      </c>
      <c r="B22" s="21" t="s">
        <v>327</v>
      </c>
      <c r="C22" s="21" t="s">
        <v>299</v>
      </c>
      <c r="D22" s="21" t="s">
        <v>328</v>
      </c>
      <c r="E22" s="21" t="s">
        <v>329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331</v>
      </c>
      <c r="B23" s="21" t="s">
        <v>324</v>
      </c>
      <c r="C23" s="21" t="s">
        <v>299</v>
      </c>
      <c r="D23" s="21" t="s">
        <v>328</v>
      </c>
      <c r="E23" s="21" t="s">
        <v>329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332</v>
      </c>
      <c r="B24" s="21" t="s">
        <v>327</v>
      </c>
      <c r="C24" s="21" t="s">
        <v>299</v>
      </c>
      <c r="D24" s="21" t="s">
        <v>328</v>
      </c>
      <c r="E24" s="21" t="s">
        <v>329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333</v>
      </c>
      <c r="B25" s="21" t="s">
        <v>327</v>
      </c>
      <c r="C25" s="21" t="s">
        <v>299</v>
      </c>
      <c r="D25" s="21" t="s">
        <v>328</v>
      </c>
      <c r="E25" s="21" t="s">
        <v>329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334</v>
      </c>
      <c r="B26" s="21" t="s">
        <v>327</v>
      </c>
      <c r="C26" s="21" t="s">
        <v>299</v>
      </c>
      <c r="D26" s="21" t="s">
        <v>328</v>
      </c>
      <c r="E26" s="21" t="s">
        <v>329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335</v>
      </c>
      <c r="B27" s="21" t="s">
        <v>327</v>
      </c>
      <c r="C27" s="21" t="s">
        <v>299</v>
      </c>
      <c r="D27" s="21" t="s">
        <v>328</v>
      </c>
      <c r="E27" s="21" t="s">
        <v>329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336</v>
      </c>
      <c r="B28" s="21" t="s">
        <v>327</v>
      </c>
      <c r="C28" s="21" t="s">
        <v>299</v>
      </c>
      <c r="D28" s="21" t="s">
        <v>328</v>
      </c>
      <c r="E28" s="21" t="s">
        <v>329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337</v>
      </c>
      <c r="B29" s="21" t="s">
        <v>327</v>
      </c>
      <c r="C29" s="21" t="s">
        <v>299</v>
      </c>
      <c r="D29" s="21" t="s">
        <v>328</v>
      </c>
      <c r="E29" s="21" t="s">
        <v>329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338</v>
      </c>
      <c r="B30" s="21" t="s">
        <v>309</v>
      </c>
      <c r="C30" s="21" t="s">
        <v>299</v>
      </c>
      <c r="D30" s="21" t="s">
        <v>328</v>
      </c>
      <c r="E30" s="21" t="s">
        <v>329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339</v>
      </c>
      <c r="B31" s="21" t="s">
        <v>340</v>
      </c>
      <c r="C31" s="21" t="s">
        <v>299</v>
      </c>
      <c r="D31" s="21" t="s">
        <v>341</v>
      </c>
      <c r="E31" s="21" t="s">
        <v>342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343</v>
      </c>
      <c r="B32" s="21" t="s">
        <v>327</v>
      </c>
      <c r="C32" s="21" t="s">
        <v>299</v>
      </c>
      <c r="D32" s="21" t="s">
        <v>341</v>
      </c>
      <c r="E32" s="21" t="s">
        <v>342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344</v>
      </c>
      <c r="B33" s="21" t="s">
        <v>340</v>
      </c>
      <c r="C33" s="21" t="s">
        <v>299</v>
      </c>
      <c r="D33" s="21" t="s">
        <v>345</v>
      </c>
      <c r="E33" s="21" t="s">
        <v>342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346</v>
      </c>
      <c r="B34" s="21" t="s">
        <v>327</v>
      </c>
      <c r="C34" s="21" t="s">
        <v>299</v>
      </c>
      <c r="D34" s="21" t="s">
        <v>345</v>
      </c>
      <c r="E34" s="21" t="s">
        <v>342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347</v>
      </c>
      <c r="B35" s="21" t="s">
        <v>327</v>
      </c>
      <c r="C35" s="21" t="s">
        <v>299</v>
      </c>
      <c r="D35" s="21" t="s">
        <v>345</v>
      </c>
      <c r="E35" s="21" t="s">
        <v>342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348</v>
      </c>
      <c r="B36" s="21" t="s">
        <v>349</v>
      </c>
      <c r="C36" s="21" t="s">
        <v>299</v>
      </c>
      <c r="D36" s="21" t="s">
        <v>345</v>
      </c>
      <c r="E36" s="21" t="s">
        <v>342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350</v>
      </c>
      <c r="B37" s="21" t="s">
        <v>327</v>
      </c>
      <c r="C37" s="21" t="s">
        <v>299</v>
      </c>
      <c r="D37" s="21" t="s">
        <v>299</v>
      </c>
      <c r="E37" s="21" t="s">
        <v>351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352</v>
      </c>
      <c r="B38" s="21" t="s">
        <v>349</v>
      </c>
      <c r="C38" s="21" t="s">
        <v>299</v>
      </c>
      <c r="D38" s="21" t="s">
        <v>299</v>
      </c>
      <c r="E38" s="21" t="s">
        <v>351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353</v>
      </c>
      <c r="B39" s="21" t="s">
        <v>354</v>
      </c>
      <c r="C39" s="21" t="s">
        <v>299</v>
      </c>
      <c r="D39" s="21" t="s">
        <v>355</v>
      </c>
      <c r="E39" s="21" t="s">
        <v>356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357</v>
      </c>
      <c r="B40" s="21" t="s">
        <v>354</v>
      </c>
      <c r="C40" s="21" t="s">
        <v>299</v>
      </c>
      <c r="D40" s="21" t="s">
        <v>355</v>
      </c>
      <c r="E40" s="21" t="s">
        <v>356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358</v>
      </c>
      <c r="B41" s="21" t="s">
        <v>354</v>
      </c>
      <c r="C41" s="21" t="s">
        <v>299</v>
      </c>
      <c r="D41" s="21" t="s">
        <v>355</v>
      </c>
      <c r="E41" s="21" t="s">
        <v>356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359</v>
      </c>
      <c r="B42" s="21" t="s">
        <v>354</v>
      </c>
      <c r="C42" s="21" t="s">
        <v>299</v>
      </c>
      <c r="D42" s="21" t="s">
        <v>355</v>
      </c>
      <c r="E42" s="21" t="s">
        <v>356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360</v>
      </c>
      <c r="B43" s="21" t="s">
        <v>354</v>
      </c>
      <c r="C43" s="21" t="s">
        <v>299</v>
      </c>
      <c r="D43" s="21" t="s">
        <v>355</v>
      </c>
      <c r="E43" s="21" t="s">
        <v>356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361</v>
      </c>
      <c r="B44" s="21" t="s">
        <v>362</v>
      </c>
      <c r="C44" s="21" t="s">
        <v>299</v>
      </c>
      <c r="D44" s="21" t="s">
        <v>355</v>
      </c>
      <c r="E44" s="21" t="s">
        <v>356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363</v>
      </c>
      <c r="B45" s="21" t="s">
        <v>364</v>
      </c>
      <c r="C45" s="21" t="s">
        <v>299</v>
      </c>
      <c r="D45" s="21" t="s">
        <v>355</v>
      </c>
      <c r="E45" s="21" t="s">
        <v>356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365</v>
      </c>
      <c r="B46" s="21" t="s">
        <v>366</v>
      </c>
      <c r="C46" s="21" t="s">
        <v>299</v>
      </c>
      <c r="D46" s="21" t="s">
        <v>367</v>
      </c>
      <c r="E46" s="21" t="s">
        <v>368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369</v>
      </c>
      <c r="B47" s="21" t="s">
        <v>366</v>
      </c>
      <c r="C47" s="21" t="s">
        <v>299</v>
      </c>
      <c r="D47" s="21" t="s">
        <v>367</v>
      </c>
      <c r="E47" s="21" t="s">
        <v>368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370</v>
      </c>
      <c r="B48" s="21" t="s">
        <v>371</v>
      </c>
      <c r="C48" s="21" t="s">
        <v>299</v>
      </c>
      <c r="D48" s="21" t="s">
        <v>367</v>
      </c>
      <c r="E48" s="21" t="s">
        <v>368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372</v>
      </c>
      <c r="B49" s="21" t="s">
        <v>371</v>
      </c>
      <c r="C49" s="21" t="s">
        <v>299</v>
      </c>
      <c r="D49" s="21" t="s">
        <v>367</v>
      </c>
      <c r="E49" s="21" t="s">
        <v>368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373</v>
      </c>
      <c r="B50" s="21" t="s">
        <v>371</v>
      </c>
      <c r="C50" s="21" t="s">
        <v>299</v>
      </c>
      <c r="D50" s="21" t="s">
        <v>367</v>
      </c>
      <c r="E50" s="21" t="s">
        <v>368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374</v>
      </c>
      <c r="B51" s="21" t="s">
        <v>371</v>
      </c>
      <c r="C51" s="21" t="s">
        <v>299</v>
      </c>
      <c r="D51" s="21" t="s">
        <v>367</v>
      </c>
      <c r="E51" s="21" t="s">
        <v>368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375</v>
      </c>
      <c r="B52" s="21" t="s">
        <v>376</v>
      </c>
      <c r="C52" s="21" t="s">
        <v>299</v>
      </c>
      <c r="D52" s="21" t="s">
        <v>367</v>
      </c>
      <c r="E52" s="21" t="s">
        <v>368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377</v>
      </c>
      <c r="B53" s="21" t="s">
        <v>376</v>
      </c>
      <c r="C53" s="21" t="s">
        <v>299</v>
      </c>
      <c r="D53" s="21" t="s">
        <v>367</v>
      </c>
      <c r="E53" s="21" t="s">
        <v>368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378</v>
      </c>
      <c r="B54" s="21" t="s">
        <v>376</v>
      </c>
      <c r="C54" s="21" t="s">
        <v>299</v>
      </c>
      <c r="D54" s="21" t="s">
        <v>367</v>
      </c>
      <c r="E54" s="21" t="s">
        <v>368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379</v>
      </c>
      <c r="B55" s="21" t="s">
        <v>376</v>
      </c>
      <c r="C55" s="21" t="s">
        <v>299</v>
      </c>
      <c r="D55" s="21" t="s">
        <v>367</v>
      </c>
      <c r="E55" s="21" t="s">
        <v>368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380</v>
      </c>
      <c r="B56" s="21" t="s">
        <v>364</v>
      </c>
      <c r="C56" s="21" t="s">
        <v>299</v>
      </c>
      <c r="D56" s="21" t="s">
        <v>367</v>
      </c>
      <c r="E56" s="21" t="s">
        <v>368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381</v>
      </c>
      <c r="B57" s="21" t="s">
        <v>364</v>
      </c>
      <c r="C57" s="21" t="s">
        <v>299</v>
      </c>
      <c r="D57" s="21" t="s">
        <v>367</v>
      </c>
      <c r="E57" s="21" t="s">
        <v>368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382</v>
      </c>
      <c r="B58" s="21" t="s">
        <v>366</v>
      </c>
      <c r="C58" s="21" t="s">
        <v>299</v>
      </c>
      <c r="D58" s="21" t="s">
        <v>383</v>
      </c>
      <c r="E58" s="21" t="s">
        <v>384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385</v>
      </c>
      <c r="B59" s="21" t="s">
        <v>366</v>
      </c>
      <c r="C59" s="21" t="s">
        <v>299</v>
      </c>
      <c r="D59" s="21" t="s">
        <v>383</v>
      </c>
      <c r="E59" s="21" t="s">
        <v>384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386</v>
      </c>
      <c r="B60" s="21" t="s">
        <v>387</v>
      </c>
      <c r="C60" s="21" t="s">
        <v>299</v>
      </c>
      <c r="D60" s="21" t="s">
        <v>383</v>
      </c>
      <c r="E60" s="21" t="s">
        <v>384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388</v>
      </c>
      <c r="B61" s="21" t="s">
        <v>366</v>
      </c>
      <c r="C61" s="21" t="s">
        <v>299</v>
      </c>
      <c r="D61" s="21" t="s">
        <v>383</v>
      </c>
      <c r="E61" s="21" t="s">
        <v>384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389</v>
      </c>
      <c r="B62" s="21" t="s">
        <v>366</v>
      </c>
      <c r="C62" s="21" t="s">
        <v>299</v>
      </c>
      <c r="D62" s="21" t="s">
        <v>383</v>
      </c>
      <c r="E62" s="21" t="s">
        <v>384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390</v>
      </c>
      <c r="B63" s="21" t="s">
        <v>366</v>
      </c>
      <c r="C63" s="21" t="s">
        <v>299</v>
      </c>
      <c r="D63" s="21" t="s">
        <v>383</v>
      </c>
      <c r="E63" s="21" t="s">
        <v>384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391</v>
      </c>
      <c r="B64" s="21" t="s">
        <v>387</v>
      </c>
      <c r="C64" s="21" t="s">
        <v>299</v>
      </c>
      <c r="D64" s="21" t="s">
        <v>383</v>
      </c>
      <c r="E64" s="21" t="s">
        <v>384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392</v>
      </c>
      <c r="B65" s="21" t="s">
        <v>393</v>
      </c>
      <c r="C65" s="21" t="s">
        <v>299</v>
      </c>
      <c r="D65" s="21" t="s">
        <v>394</v>
      </c>
      <c r="E65" s="21" t="s">
        <v>395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396</v>
      </c>
      <c r="B66" s="21" t="s">
        <v>393</v>
      </c>
      <c r="C66" s="21" t="s">
        <v>299</v>
      </c>
      <c r="D66" s="21" t="s">
        <v>394</v>
      </c>
      <c r="E66" s="21" t="s">
        <v>395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397</v>
      </c>
      <c r="B67" s="21" t="s">
        <v>393</v>
      </c>
      <c r="C67" s="21" t="s">
        <v>299</v>
      </c>
      <c r="D67" s="21" t="s">
        <v>394</v>
      </c>
      <c r="E67" s="21" t="s">
        <v>395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398</v>
      </c>
      <c r="B68" s="21" t="s">
        <v>393</v>
      </c>
      <c r="C68" s="21" t="s">
        <v>299</v>
      </c>
      <c r="D68" s="21" t="s">
        <v>394</v>
      </c>
      <c r="E68" s="21" t="s">
        <v>395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399</v>
      </c>
      <c r="B69" s="21" t="s">
        <v>393</v>
      </c>
      <c r="C69" s="21" t="s">
        <v>299</v>
      </c>
      <c r="D69" s="21" t="s">
        <v>394</v>
      </c>
      <c r="E69" s="21" t="s">
        <v>395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400</v>
      </c>
      <c r="B70" s="21" t="s">
        <v>393</v>
      </c>
      <c r="C70" s="21" t="s">
        <v>299</v>
      </c>
      <c r="D70" s="21" t="s">
        <v>394</v>
      </c>
      <c r="E70" s="21" t="s">
        <v>395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401</v>
      </c>
      <c r="B71" s="21" t="s">
        <v>393</v>
      </c>
      <c r="C71" s="21" t="s">
        <v>299</v>
      </c>
      <c r="D71" s="21" t="s">
        <v>394</v>
      </c>
      <c r="E71" s="21" t="s">
        <v>395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402</v>
      </c>
      <c r="B72" s="21" t="s">
        <v>393</v>
      </c>
      <c r="C72" s="21" t="s">
        <v>299</v>
      </c>
      <c r="D72" s="21" t="s">
        <v>394</v>
      </c>
      <c r="E72" s="21" t="s">
        <v>395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403</v>
      </c>
      <c r="B73" s="21" t="s">
        <v>404</v>
      </c>
      <c r="C73" s="21" t="s">
        <v>405</v>
      </c>
      <c r="D73" s="21" t="s">
        <v>406</v>
      </c>
      <c r="E73" s="21" t="s">
        <v>407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408</v>
      </c>
      <c r="B74" s="21" t="s">
        <v>404</v>
      </c>
      <c r="C74" s="21" t="s">
        <v>405</v>
      </c>
      <c r="D74" s="21" t="s">
        <v>406</v>
      </c>
      <c r="E74" s="21" t="s">
        <v>407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409</v>
      </c>
      <c r="B75" s="21" t="s">
        <v>404</v>
      </c>
      <c r="C75" s="21" t="s">
        <v>405</v>
      </c>
      <c r="D75" s="21" t="s">
        <v>406</v>
      </c>
      <c r="E75" s="21" t="s">
        <v>407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410</v>
      </c>
      <c r="B76" s="21" t="s">
        <v>404</v>
      </c>
      <c r="C76" s="21" t="s">
        <v>405</v>
      </c>
      <c r="D76" s="21" t="s">
        <v>406</v>
      </c>
      <c r="E76" s="21" t="s">
        <v>407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411</v>
      </c>
      <c r="B77" s="21" t="s">
        <v>404</v>
      </c>
      <c r="C77" s="21" t="s">
        <v>405</v>
      </c>
      <c r="D77" s="21" t="s">
        <v>406</v>
      </c>
      <c r="E77" s="21" t="s">
        <v>407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412</v>
      </c>
      <c r="B78" s="21" t="s">
        <v>413</v>
      </c>
      <c r="C78" s="21" t="s">
        <v>405</v>
      </c>
      <c r="D78" s="21" t="s">
        <v>406</v>
      </c>
      <c r="E78" s="21" t="s">
        <v>407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414</v>
      </c>
      <c r="B79" s="21" t="s">
        <v>413</v>
      </c>
      <c r="C79" s="21" t="s">
        <v>405</v>
      </c>
      <c r="D79" s="21" t="s">
        <v>406</v>
      </c>
      <c r="E79" s="21" t="s">
        <v>407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415</v>
      </c>
      <c r="B80" s="21" t="s">
        <v>413</v>
      </c>
      <c r="C80" s="21" t="s">
        <v>405</v>
      </c>
      <c r="D80" s="21" t="s">
        <v>405</v>
      </c>
      <c r="E80" s="21" t="s">
        <v>416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417</v>
      </c>
      <c r="B81" s="21" t="s">
        <v>418</v>
      </c>
      <c r="C81" s="21" t="s">
        <v>405</v>
      </c>
      <c r="D81" s="21" t="s">
        <v>405</v>
      </c>
      <c r="E81" s="21" t="s">
        <v>416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419</v>
      </c>
      <c r="B82" s="21" t="s">
        <v>413</v>
      </c>
      <c r="C82" s="21" t="s">
        <v>405</v>
      </c>
      <c r="D82" s="21" t="s">
        <v>405</v>
      </c>
      <c r="E82" s="21" t="s">
        <v>416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420</v>
      </c>
      <c r="B83" s="21" t="s">
        <v>413</v>
      </c>
      <c r="C83" s="21" t="s">
        <v>405</v>
      </c>
      <c r="D83" s="21" t="s">
        <v>421</v>
      </c>
      <c r="E83" s="21" t="s">
        <v>416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422</v>
      </c>
      <c r="B84" s="21" t="s">
        <v>413</v>
      </c>
      <c r="C84" s="21" t="s">
        <v>405</v>
      </c>
      <c r="D84" s="21" t="s">
        <v>421</v>
      </c>
      <c r="E84" s="21" t="s">
        <v>416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423</v>
      </c>
      <c r="B85" s="21" t="s">
        <v>413</v>
      </c>
      <c r="C85" s="21" t="s">
        <v>405</v>
      </c>
      <c r="D85" s="21" t="s">
        <v>421</v>
      </c>
      <c r="E85" s="21" t="s">
        <v>416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424</v>
      </c>
      <c r="B86" s="21" t="s">
        <v>413</v>
      </c>
      <c r="C86" s="21" t="s">
        <v>405</v>
      </c>
      <c r="D86" s="21" t="s">
        <v>421</v>
      </c>
      <c r="E86" s="21" t="s">
        <v>416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425</v>
      </c>
      <c r="B87" s="21" t="s">
        <v>413</v>
      </c>
      <c r="C87" s="21" t="s">
        <v>405</v>
      </c>
      <c r="D87" s="21" t="s">
        <v>421</v>
      </c>
      <c r="E87" s="21" t="s">
        <v>416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426</v>
      </c>
      <c r="B88" s="21" t="s">
        <v>418</v>
      </c>
      <c r="C88" s="21" t="s">
        <v>405</v>
      </c>
      <c r="D88" s="21" t="s">
        <v>421</v>
      </c>
      <c r="E88" s="21" t="s">
        <v>416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427</v>
      </c>
      <c r="B89" s="21" t="s">
        <v>413</v>
      </c>
      <c r="C89" s="21" t="s">
        <v>405</v>
      </c>
      <c r="D89" s="21" t="s">
        <v>421</v>
      </c>
      <c r="E89" s="21" t="s">
        <v>416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428</v>
      </c>
      <c r="B90" s="21" t="s">
        <v>413</v>
      </c>
      <c r="C90" s="21" t="s">
        <v>405</v>
      </c>
      <c r="D90" s="21" t="s">
        <v>421</v>
      </c>
      <c r="E90" s="21" t="s">
        <v>416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429</v>
      </c>
      <c r="B91" s="21" t="s">
        <v>387</v>
      </c>
      <c r="C91" s="21" t="s">
        <v>405</v>
      </c>
      <c r="D91" s="21" t="s">
        <v>421</v>
      </c>
      <c r="E91" s="21" t="s">
        <v>416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430</v>
      </c>
      <c r="B92" s="21" t="s">
        <v>387</v>
      </c>
      <c r="C92" s="21" t="s">
        <v>405</v>
      </c>
      <c r="D92" s="21" t="s">
        <v>421</v>
      </c>
      <c r="E92" s="21" t="s">
        <v>416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431</v>
      </c>
      <c r="B93" s="21" t="s">
        <v>432</v>
      </c>
      <c r="C93" s="21" t="s">
        <v>405</v>
      </c>
      <c r="D93" s="21" t="s">
        <v>421</v>
      </c>
      <c r="E93" s="21" t="s">
        <v>416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433</v>
      </c>
      <c r="B94" s="21" t="s">
        <v>434</v>
      </c>
      <c r="C94" s="21" t="s">
        <v>405</v>
      </c>
      <c r="D94" s="21" t="s">
        <v>421</v>
      </c>
      <c r="E94" s="21" t="s">
        <v>416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435</v>
      </c>
      <c r="B95" s="21" t="s">
        <v>436</v>
      </c>
      <c r="C95" s="21" t="s">
        <v>405</v>
      </c>
      <c r="D95" s="21" t="s">
        <v>437</v>
      </c>
      <c r="E95" s="21" t="s">
        <v>438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439</v>
      </c>
      <c r="B96" s="21" t="s">
        <v>436</v>
      </c>
      <c r="C96" s="21" t="s">
        <v>405</v>
      </c>
      <c r="D96" s="21" t="s">
        <v>437</v>
      </c>
      <c r="E96" s="21" t="s">
        <v>438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440</v>
      </c>
      <c r="B97" s="21" t="s">
        <v>436</v>
      </c>
      <c r="C97" s="21" t="s">
        <v>405</v>
      </c>
      <c r="D97" s="21" t="s">
        <v>437</v>
      </c>
      <c r="E97" s="21" t="s">
        <v>438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441</v>
      </c>
      <c r="B98" s="21" t="s">
        <v>432</v>
      </c>
      <c r="C98" s="21" t="s">
        <v>405</v>
      </c>
      <c r="D98" s="21" t="s">
        <v>437</v>
      </c>
      <c r="E98" s="21" t="s">
        <v>438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442</v>
      </c>
      <c r="B99" s="21" t="s">
        <v>436</v>
      </c>
      <c r="C99" s="21" t="s">
        <v>405</v>
      </c>
      <c r="D99" s="21" t="s">
        <v>437</v>
      </c>
      <c r="E99" s="21" t="s">
        <v>438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443</v>
      </c>
      <c r="B100" s="21" t="s">
        <v>436</v>
      </c>
      <c r="C100" s="21" t="s">
        <v>405</v>
      </c>
      <c r="D100" s="21" t="s">
        <v>437</v>
      </c>
      <c r="E100" s="21" t="s">
        <v>438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444</v>
      </c>
      <c r="B101" s="21" t="s">
        <v>436</v>
      </c>
      <c r="C101" s="21" t="s">
        <v>405</v>
      </c>
      <c r="D101" s="21" t="s">
        <v>437</v>
      </c>
      <c r="E101" s="21" t="s">
        <v>438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445</v>
      </c>
      <c r="B102" s="21" t="s">
        <v>436</v>
      </c>
      <c r="C102" s="21" t="s">
        <v>405</v>
      </c>
      <c r="D102" s="21" t="s">
        <v>437</v>
      </c>
      <c r="E102" s="21" t="s">
        <v>438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446</v>
      </c>
      <c r="B103" s="21" t="s">
        <v>434</v>
      </c>
      <c r="C103" s="21" t="s">
        <v>405</v>
      </c>
      <c r="D103" s="21" t="s">
        <v>437</v>
      </c>
      <c r="E103" s="21" t="s">
        <v>438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447</v>
      </c>
      <c r="B104" s="21" t="s">
        <v>376</v>
      </c>
      <c r="C104" s="21" t="s">
        <v>405</v>
      </c>
      <c r="D104" s="21" t="s">
        <v>437</v>
      </c>
      <c r="E104" s="21" t="s">
        <v>438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448</v>
      </c>
      <c r="B105" s="21" t="s">
        <v>449</v>
      </c>
      <c r="C105" s="21" t="s">
        <v>405</v>
      </c>
      <c r="D105" s="21" t="s">
        <v>450</v>
      </c>
      <c r="E105" s="21" t="s">
        <v>451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452</v>
      </c>
      <c r="B106" s="21" t="s">
        <v>449</v>
      </c>
      <c r="C106" s="21" t="s">
        <v>405</v>
      </c>
      <c r="D106" s="21" t="s">
        <v>450</v>
      </c>
      <c r="E106" s="21" t="s">
        <v>451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453</v>
      </c>
      <c r="B107" s="21" t="s">
        <v>449</v>
      </c>
      <c r="C107" s="21" t="s">
        <v>405</v>
      </c>
      <c r="D107" s="21" t="s">
        <v>450</v>
      </c>
      <c r="E107" s="21" t="s">
        <v>451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454</v>
      </c>
      <c r="B108" s="21" t="s">
        <v>449</v>
      </c>
      <c r="C108" s="21" t="s">
        <v>405</v>
      </c>
      <c r="D108" s="21" t="s">
        <v>450</v>
      </c>
      <c r="E108" s="21" t="s">
        <v>451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455</v>
      </c>
      <c r="B109" s="21" t="s">
        <v>449</v>
      </c>
      <c r="C109" s="21" t="s">
        <v>405</v>
      </c>
      <c r="D109" s="21" t="s">
        <v>450</v>
      </c>
      <c r="E109" s="21" t="s">
        <v>451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456</v>
      </c>
      <c r="B110" s="21" t="s">
        <v>449</v>
      </c>
      <c r="C110" s="21" t="s">
        <v>405</v>
      </c>
      <c r="D110" s="21" t="s">
        <v>450</v>
      </c>
      <c r="E110" s="21" t="s">
        <v>451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457</v>
      </c>
      <c r="B111" s="21" t="s">
        <v>449</v>
      </c>
      <c r="C111" s="21" t="s">
        <v>405</v>
      </c>
      <c r="D111" s="21" t="s">
        <v>450</v>
      </c>
      <c r="E111" s="21" t="s">
        <v>451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458</v>
      </c>
      <c r="B112" s="21" t="s">
        <v>449</v>
      </c>
      <c r="C112" s="21" t="s">
        <v>405</v>
      </c>
      <c r="D112" s="21" t="s">
        <v>450</v>
      </c>
      <c r="E112" s="21" t="s">
        <v>451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459</v>
      </c>
      <c r="B113" s="21" t="s">
        <v>449</v>
      </c>
      <c r="C113" s="21" t="s">
        <v>405</v>
      </c>
      <c r="D113" s="21" t="s">
        <v>450</v>
      </c>
      <c r="E113" s="21" t="s">
        <v>451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460</v>
      </c>
      <c r="B114" s="21" t="s">
        <v>449</v>
      </c>
      <c r="C114" s="21" t="s">
        <v>405</v>
      </c>
      <c r="D114" s="21" t="s">
        <v>450</v>
      </c>
      <c r="E114" s="21" t="s">
        <v>451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461</v>
      </c>
      <c r="B115" s="21" t="s">
        <v>462</v>
      </c>
      <c r="C115" s="21" t="s">
        <v>405</v>
      </c>
      <c r="D115" s="21" t="s">
        <v>450</v>
      </c>
      <c r="E115" s="21" t="s">
        <v>451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463</v>
      </c>
      <c r="B116" s="21" t="s">
        <v>462</v>
      </c>
      <c r="C116" s="21" t="s">
        <v>405</v>
      </c>
      <c r="D116" s="21" t="s">
        <v>450</v>
      </c>
      <c r="E116" s="21" t="s">
        <v>451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464</v>
      </c>
      <c r="B117" s="21" t="s">
        <v>449</v>
      </c>
      <c r="C117" s="21" t="s">
        <v>405</v>
      </c>
      <c r="D117" s="21" t="s">
        <v>450</v>
      </c>
      <c r="E117" s="21" t="s">
        <v>451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465</v>
      </c>
      <c r="B118" s="21" t="s">
        <v>466</v>
      </c>
      <c r="C118" s="21" t="s">
        <v>405</v>
      </c>
      <c r="D118" s="21" t="s">
        <v>450</v>
      </c>
      <c r="E118" s="21" t="s">
        <v>467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468</v>
      </c>
      <c r="B119" s="21" t="s">
        <v>466</v>
      </c>
      <c r="C119" s="21" t="s">
        <v>405</v>
      </c>
      <c r="D119" s="21" t="s">
        <v>450</v>
      </c>
      <c r="E119" s="21" t="s">
        <v>467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469</v>
      </c>
      <c r="B120" s="21" t="s">
        <v>470</v>
      </c>
      <c r="C120" s="21" t="s">
        <v>405</v>
      </c>
      <c r="D120" s="21" t="s">
        <v>450</v>
      </c>
      <c r="E120" s="21" t="s">
        <v>467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471</v>
      </c>
      <c r="B121" s="21" t="s">
        <v>470</v>
      </c>
      <c r="C121" s="21" t="s">
        <v>405</v>
      </c>
      <c r="D121" s="21" t="s">
        <v>450</v>
      </c>
      <c r="E121" s="21" t="s">
        <v>467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472</v>
      </c>
      <c r="B122" s="21" t="s">
        <v>462</v>
      </c>
      <c r="C122" s="21" t="s">
        <v>405</v>
      </c>
      <c r="D122" s="21" t="s">
        <v>450</v>
      </c>
      <c r="E122" s="21" t="s">
        <v>467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473</v>
      </c>
      <c r="B123" s="21" t="s">
        <v>470</v>
      </c>
      <c r="C123" s="21" t="s">
        <v>405</v>
      </c>
      <c r="D123" s="21" t="s">
        <v>450</v>
      </c>
      <c r="E123" s="21" t="s">
        <v>467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474</v>
      </c>
      <c r="B124" s="21" t="s">
        <v>470</v>
      </c>
      <c r="C124" s="21" t="s">
        <v>405</v>
      </c>
      <c r="D124" s="21" t="s">
        <v>450</v>
      </c>
      <c r="E124" s="21" t="s">
        <v>467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475</v>
      </c>
      <c r="B125" s="21" t="s">
        <v>470</v>
      </c>
      <c r="C125" s="21" t="s">
        <v>405</v>
      </c>
      <c r="D125" s="21" t="s">
        <v>450</v>
      </c>
      <c r="E125" s="21" t="s">
        <v>467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476</v>
      </c>
      <c r="B126" s="21" t="s">
        <v>470</v>
      </c>
      <c r="C126" s="21" t="s">
        <v>405</v>
      </c>
      <c r="D126" s="21" t="s">
        <v>450</v>
      </c>
      <c r="E126" s="21" t="s">
        <v>467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477</v>
      </c>
      <c r="B127" s="21" t="s">
        <v>470</v>
      </c>
      <c r="C127" s="21" t="s">
        <v>405</v>
      </c>
      <c r="D127" s="21" t="s">
        <v>450</v>
      </c>
      <c r="E127" s="21" t="s">
        <v>467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478</v>
      </c>
      <c r="B128" s="21" t="s">
        <v>470</v>
      </c>
      <c r="C128" s="21" t="s">
        <v>405</v>
      </c>
      <c r="D128" s="21" t="s">
        <v>450</v>
      </c>
      <c r="E128" s="21" t="s">
        <v>467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479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480</v>
      </c>
      <c r="B3" s="12" t="s">
        <v>481</v>
      </c>
      <c r="C3" s="12" t="s">
        <v>482</v>
      </c>
      <c r="D3" s="12" t="s">
        <v>483</v>
      </c>
      <c r="E3" s="12" t="s">
        <v>484</v>
      </c>
      <c r="F3" s="12" t="s">
        <v>485</v>
      </c>
      <c r="G3" s="12" t="s">
        <v>486</v>
      </c>
      <c r="H3" s="12" t="s">
        <v>487</v>
      </c>
      <c r="I3" s="12" t="s">
        <v>488</v>
      </c>
      <c r="J3" s="12" t="s">
        <v>489</v>
      </c>
      <c r="K3" s="12" t="s">
        <v>490</v>
      </c>
      <c r="L3" s="12" t="s">
        <v>491</v>
      </c>
      <c r="M3" s="12" t="s">
        <v>492</v>
      </c>
      <c r="N3" s="12" t="s">
        <v>493</v>
      </c>
      <c r="O3" s="12" t="s">
        <v>494</v>
      </c>
      <c r="P3" s="12" t="s">
        <v>495</v>
      </c>
      <c r="Q3" s="12" t="s">
        <v>496</v>
      </c>
      <c r="R3" s="12" t="s">
        <v>497</v>
      </c>
      <c r="S3" s="12" t="s">
        <v>498</v>
      </c>
      <c r="T3" s="12" t="s">
        <v>499</v>
      </c>
      <c r="U3" s="12" t="s">
        <v>500</v>
      </c>
      <c r="V3" s="12" t="s">
        <v>501</v>
      </c>
      <c r="W3" s="12" t="s">
        <v>502</v>
      </c>
      <c r="X3" s="12" t="s">
        <v>503</v>
      </c>
      <c r="Y3" s="12" t="s">
        <v>504</v>
      </c>
      <c r="Z3" s="12" t="s">
        <v>505</v>
      </c>
      <c r="AA3" s="12" t="s">
        <v>506</v>
      </c>
      <c r="AB3" s="12" t="s">
        <v>507</v>
      </c>
      <c r="AC3" s="12" t="s">
        <v>508</v>
      </c>
      <c r="AD3" s="12" t="s">
        <v>509</v>
      </c>
      <c r="AE3" s="12" t="s">
        <v>510</v>
      </c>
      <c r="AF3" s="12" t="s">
        <v>511</v>
      </c>
      <c r="AG3" s="12" t="s">
        <v>512</v>
      </c>
      <c r="AH3" s="12" t="s">
        <v>513</v>
      </c>
      <c r="AI3" s="12" t="s">
        <v>514</v>
      </c>
      <c r="AJ3" s="12" t="s">
        <v>515</v>
      </c>
      <c r="AK3" s="12" t="s">
        <v>516</v>
      </c>
    </row>
    <row r="4" customFormat="false" ht="15" hidden="false" customHeight="true" outlineLevel="0" collapsed="false">
      <c r="A4" s="21" t="s">
        <v>517</v>
      </c>
      <c r="B4" s="21" t="s">
        <v>518</v>
      </c>
      <c r="C4" s="21" t="s">
        <v>519</v>
      </c>
      <c r="D4" s="21" t="s">
        <v>520</v>
      </c>
      <c r="E4" s="21" t="s">
        <v>39</v>
      </c>
      <c r="F4" s="21" t="s">
        <v>521</v>
      </c>
      <c r="G4" s="21" t="s">
        <v>522</v>
      </c>
      <c r="H4" s="21" t="s">
        <v>523</v>
      </c>
      <c r="I4" s="21" t="s">
        <v>524</v>
      </c>
      <c r="J4" s="21" t="s">
        <v>525</v>
      </c>
      <c r="K4" s="21" t="s">
        <v>526</v>
      </c>
      <c r="L4" s="21" t="s">
        <v>527</v>
      </c>
      <c r="M4" s="21" t="s">
        <v>528</v>
      </c>
      <c r="N4" s="21" t="s">
        <v>529</v>
      </c>
      <c r="O4" s="21" t="s">
        <v>530</v>
      </c>
      <c r="P4" s="21" t="s">
        <v>118</v>
      </c>
      <c r="Q4" s="21" t="s">
        <v>531</v>
      </c>
      <c r="R4" s="21" t="s">
        <v>123</v>
      </c>
      <c r="S4" s="21" t="s">
        <v>532</v>
      </c>
      <c r="T4" s="21" t="s">
        <v>139</v>
      </c>
      <c r="U4" s="21" t="s">
        <v>533</v>
      </c>
      <c r="V4" s="21" t="s">
        <v>173</v>
      </c>
      <c r="W4" s="21" t="s">
        <v>534</v>
      </c>
      <c r="X4" s="21" t="s">
        <v>521</v>
      </c>
      <c r="Y4" s="21" t="s">
        <v>240</v>
      </c>
      <c r="Z4" s="21" t="s">
        <v>535</v>
      </c>
      <c r="AA4" s="21" t="s">
        <v>249</v>
      </c>
      <c r="AB4" s="21" t="s">
        <v>536</v>
      </c>
      <c r="AC4" s="21" t="s">
        <v>537</v>
      </c>
      <c r="AD4" s="21" t="s">
        <v>538</v>
      </c>
      <c r="AE4" s="21" t="s">
        <v>539</v>
      </c>
      <c r="AF4" s="21" t="s">
        <v>540</v>
      </c>
      <c r="AG4" s="21" t="s">
        <v>240</v>
      </c>
      <c r="AH4" s="21" t="s">
        <v>541</v>
      </c>
      <c r="AI4" s="21" t="s">
        <v>542</v>
      </c>
      <c r="AJ4" s="21" t="s">
        <v>188</v>
      </c>
      <c r="AK4" s="21" t="s">
        <v>188</v>
      </c>
    </row>
    <row r="5" customFormat="false" ht="15" hidden="false" customHeight="true" outlineLevel="0" collapsed="false">
      <c r="A5" s="21" t="s">
        <v>543</v>
      </c>
      <c r="B5" s="21" t="s">
        <v>544</v>
      </c>
      <c r="C5" s="21" t="s">
        <v>545</v>
      </c>
      <c r="D5" s="21" t="s">
        <v>546</v>
      </c>
      <c r="E5" s="21" t="s">
        <v>547</v>
      </c>
      <c r="F5" s="21" t="s">
        <v>548</v>
      </c>
      <c r="G5" s="21" t="s">
        <v>549</v>
      </c>
      <c r="H5" s="21" t="s">
        <v>550</v>
      </c>
      <c r="I5" s="21" t="s">
        <v>551</v>
      </c>
      <c r="J5" s="21" t="s">
        <v>552</v>
      </c>
      <c r="K5" s="21" t="s">
        <v>553</v>
      </c>
      <c r="L5" s="21" t="s">
        <v>554</v>
      </c>
      <c r="M5" s="21" t="s">
        <v>103</v>
      </c>
      <c r="N5" s="21" t="s">
        <v>555</v>
      </c>
      <c r="O5" s="21" t="s">
        <v>116</v>
      </c>
      <c r="P5" s="21" t="s">
        <v>556</v>
      </c>
      <c r="Q5" s="21" t="s">
        <v>121</v>
      </c>
      <c r="R5" s="21" t="s">
        <v>557</v>
      </c>
      <c r="S5" s="21" t="s">
        <v>558</v>
      </c>
      <c r="T5" s="21" t="s">
        <v>559</v>
      </c>
      <c r="U5" s="21" t="s">
        <v>560</v>
      </c>
      <c r="V5" s="21" t="s">
        <v>561</v>
      </c>
      <c r="W5" s="21" t="s">
        <v>562</v>
      </c>
      <c r="X5" s="21" t="s">
        <v>189</v>
      </c>
      <c r="Y5" s="21" t="s">
        <v>236</v>
      </c>
      <c r="Z5" s="21" t="s">
        <v>563</v>
      </c>
      <c r="AA5" s="21" t="s">
        <v>564</v>
      </c>
      <c r="AB5" s="21" t="s">
        <v>565</v>
      </c>
      <c r="AC5" s="21" t="s">
        <v>566</v>
      </c>
      <c r="AD5" s="21" t="s">
        <v>567</v>
      </c>
      <c r="AE5" s="21" t="s">
        <v>272</v>
      </c>
      <c r="AF5" s="21" t="s">
        <v>568</v>
      </c>
      <c r="AG5" s="21" t="s">
        <v>236</v>
      </c>
      <c r="AH5" s="21" t="s">
        <v>282</v>
      </c>
      <c r="AI5" s="21" t="s">
        <v>569</v>
      </c>
      <c r="AJ5" s="21" t="s">
        <v>44</v>
      </c>
      <c r="AK5" s="21" t="s">
        <v>44</v>
      </c>
    </row>
    <row r="6" customFormat="false" ht="15" hidden="false" customHeight="true" outlineLevel="0" collapsed="false">
      <c r="A6" s="21" t="s">
        <v>31</v>
      </c>
      <c r="B6" s="21" t="s">
        <v>570</v>
      </c>
      <c r="C6" s="21" t="s">
        <v>571</v>
      </c>
      <c r="D6" s="21" t="s">
        <v>572</v>
      </c>
      <c r="E6" s="21" t="s">
        <v>573</v>
      </c>
      <c r="F6" s="21" t="s">
        <v>574</v>
      </c>
      <c r="G6" s="21" t="s">
        <v>575</v>
      </c>
      <c r="H6" s="21" t="s">
        <v>576</v>
      </c>
      <c r="I6" s="21" t="s">
        <v>577</v>
      </c>
      <c r="J6" s="21" t="s">
        <v>578</v>
      </c>
      <c r="K6" s="21" t="s">
        <v>579</v>
      </c>
      <c r="L6" s="21" t="s">
        <v>100</v>
      </c>
      <c r="M6" s="21" t="s">
        <v>580</v>
      </c>
      <c r="N6" s="21" t="s">
        <v>105</v>
      </c>
      <c r="O6" s="21" t="s">
        <v>581</v>
      </c>
      <c r="P6" s="21" t="s">
        <v>582</v>
      </c>
      <c r="Q6" s="21" t="s">
        <v>583</v>
      </c>
      <c r="R6" s="21" t="s">
        <v>584</v>
      </c>
      <c r="S6" s="21" t="s">
        <v>138</v>
      </c>
      <c r="T6" s="21" t="s">
        <v>585</v>
      </c>
      <c r="U6" s="21" t="s">
        <v>140</v>
      </c>
      <c r="V6" s="21" t="s">
        <v>586</v>
      </c>
      <c r="W6" s="21" t="s">
        <v>587</v>
      </c>
      <c r="X6" s="21" t="s">
        <v>588</v>
      </c>
      <c r="Y6" s="21" t="s">
        <v>220</v>
      </c>
      <c r="Z6" s="21" t="s">
        <v>588</v>
      </c>
      <c r="AA6" s="21" t="s">
        <v>589</v>
      </c>
      <c r="AB6" s="21" t="s">
        <v>590</v>
      </c>
      <c r="AC6" s="21" t="s">
        <v>591</v>
      </c>
      <c r="AD6" s="21" t="s">
        <v>592</v>
      </c>
      <c r="AE6" s="21" t="s">
        <v>593</v>
      </c>
      <c r="AF6" s="21" t="s">
        <v>594</v>
      </c>
      <c r="AG6" s="21" t="s">
        <v>220</v>
      </c>
      <c r="AH6" s="21" t="s">
        <v>591</v>
      </c>
      <c r="AI6" s="21" t="s">
        <v>595</v>
      </c>
      <c r="AK6" s="21" t="s">
        <v>174</v>
      </c>
    </row>
    <row r="7" customFormat="false" ht="15" hidden="false" customHeight="true" outlineLevel="0" collapsed="false">
      <c r="A7" s="21" t="s">
        <v>596</v>
      </c>
      <c r="B7" s="21" t="s">
        <v>33</v>
      </c>
      <c r="C7" s="21" t="s">
        <v>35</v>
      </c>
      <c r="D7" s="21" t="s">
        <v>597</v>
      </c>
      <c r="E7" s="21" t="s">
        <v>598</v>
      </c>
      <c r="F7" s="21" t="s">
        <v>599</v>
      </c>
      <c r="G7" s="21" t="s">
        <v>600</v>
      </c>
      <c r="H7" s="21" t="s">
        <v>601</v>
      </c>
      <c r="I7" s="21" t="s">
        <v>602</v>
      </c>
      <c r="J7" s="21" t="s">
        <v>603</v>
      </c>
      <c r="K7" s="21" t="s">
        <v>251</v>
      </c>
      <c r="L7" s="21" t="s">
        <v>604</v>
      </c>
      <c r="M7" s="21" t="s">
        <v>605</v>
      </c>
      <c r="N7" s="21" t="s">
        <v>606</v>
      </c>
      <c r="O7" s="21" t="s">
        <v>607</v>
      </c>
      <c r="P7" s="21" t="s">
        <v>608</v>
      </c>
      <c r="Q7" s="21" t="s">
        <v>609</v>
      </c>
      <c r="R7" s="21" t="s">
        <v>610</v>
      </c>
      <c r="S7" s="21" t="s">
        <v>152</v>
      </c>
      <c r="T7" s="21" t="s">
        <v>611</v>
      </c>
      <c r="U7" s="21" t="s">
        <v>612</v>
      </c>
      <c r="V7" s="21" t="s">
        <v>613</v>
      </c>
      <c r="W7" s="21" t="s">
        <v>614</v>
      </c>
      <c r="X7" s="21" t="s">
        <v>615</v>
      </c>
      <c r="Z7" s="21" t="s">
        <v>247</v>
      </c>
      <c r="AA7" s="21" t="s">
        <v>616</v>
      </c>
      <c r="AB7" s="21" t="s">
        <v>617</v>
      </c>
      <c r="AC7" s="21" t="s">
        <v>618</v>
      </c>
      <c r="AD7" s="21" t="s">
        <v>619</v>
      </c>
      <c r="AE7" s="21" t="s">
        <v>620</v>
      </c>
      <c r="AF7" s="21" t="s">
        <v>621</v>
      </c>
      <c r="AH7" s="21" t="s">
        <v>622</v>
      </c>
      <c r="AI7" s="21" t="s">
        <v>284</v>
      </c>
    </row>
    <row r="8" customFormat="false" ht="15" hidden="false" customHeight="true" outlineLevel="0" collapsed="false">
      <c r="A8" s="21" t="s">
        <v>623</v>
      </c>
      <c r="B8" s="21" t="s">
        <v>624</v>
      </c>
      <c r="C8" s="21" t="s">
        <v>625</v>
      </c>
      <c r="D8" s="21" t="s">
        <v>626</v>
      </c>
      <c r="E8" s="21" t="s">
        <v>627</v>
      </c>
      <c r="F8" s="21" t="s">
        <v>628</v>
      </c>
      <c r="G8" s="21" t="s">
        <v>629</v>
      </c>
      <c r="H8" s="21" t="s">
        <v>630</v>
      </c>
      <c r="I8" s="21" t="s">
        <v>631</v>
      </c>
      <c r="J8" s="21" t="s">
        <v>632</v>
      </c>
      <c r="L8" s="21" t="s">
        <v>633</v>
      </c>
      <c r="M8" s="21" t="s">
        <v>634</v>
      </c>
      <c r="N8" s="21" t="s">
        <v>635</v>
      </c>
      <c r="P8" s="21" t="s">
        <v>636</v>
      </c>
      <c r="Q8" s="21" t="s">
        <v>637</v>
      </c>
      <c r="R8" s="21" t="s">
        <v>638</v>
      </c>
      <c r="S8" s="21" t="s">
        <v>639</v>
      </c>
      <c r="U8" s="21" t="s">
        <v>640</v>
      </c>
      <c r="V8" s="21" t="s">
        <v>166</v>
      </c>
      <c r="W8" s="21" t="s">
        <v>167</v>
      </c>
      <c r="X8" s="21" t="s">
        <v>641</v>
      </c>
      <c r="Z8" s="21" t="s">
        <v>642</v>
      </c>
      <c r="AB8" s="21" t="s">
        <v>643</v>
      </c>
      <c r="AC8" s="21" t="s">
        <v>607</v>
      </c>
      <c r="AD8" s="21" t="s">
        <v>644</v>
      </c>
      <c r="AE8" s="21" t="s">
        <v>645</v>
      </c>
      <c r="AF8" s="21" t="s">
        <v>646</v>
      </c>
      <c r="AI8" s="21" t="s">
        <v>207</v>
      </c>
    </row>
    <row r="9" customFormat="false" ht="15" hidden="false" customHeight="true" outlineLevel="0" collapsed="false">
      <c r="B9" s="21" t="s">
        <v>647</v>
      </c>
      <c r="C9" s="21" t="s">
        <v>648</v>
      </c>
      <c r="D9" s="21" t="s">
        <v>37</v>
      </c>
      <c r="E9" s="21" t="s">
        <v>649</v>
      </c>
      <c r="F9" s="21" t="s">
        <v>650</v>
      </c>
      <c r="I9" s="21" t="s">
        <v>651</v>
      </c>
      <c r="L9" s="21" t="s">
        <v>652</v>
      </c>
      <c r="M9" s="21" t="s">
        <v>653</v>
      </c>
      <c r="N9" s="21" t="s">
        <v>654</v>
      </c>
      <c r="P9" s="21" t="s">
        <v>655</v>
      </c>
      <c r="R9" s="21" t="s">
        <v>656</v>
      </c>
      <c r="S9" s="21" t="s">
        <v>657</v>
      </c>
      <c r="V9" s="21" t="s">
        <v>658</v>
      </c>
      <c r="W9" s="21" t="s">
        <v>170</v>
      </c>
      <c r="AB9" s="21" t="s">
        <v>659</v>
      </c>
      <c r="AE9" s="21" t="s">
        <v>660</v>
      </c>
      <c r="AF9" s="21" t="s">
        <v>276</v>
      </c>
      <c r="AI9" s="21" t="s">
        <v>622</v>
      </c>
    </row>
    <row r="10" customFormat="false" ht="15" hidden="false" customHeight="true" outlineLevel="0" collapsed="false">
      <c r="C10" s="21" t="s">
        <v>661</v>
      </c>
      <c r="D10" s="21" t="s">
        <v>662</v>
      </c>
      <c r="E10" s="21" t="s">
        <v>663</v>
      </c>
      <c r="I10" s="21" t="s">
        <v>664</v>
      </c>
      <c r="L10" s="21" t="s">
        <v>665</v>
      </c>
      <c r="N10" s="21" t="s">
        <v>666</v>
      </c>
      <c r="R10" s="21" t="s">
        <v>667</v>
      </c>
      <c r="S10" s="21" t="s">
        <v>668</v>
      </c>
      <c r="W10" s="21" t="s">
        <v>669</v>
      </c>
      <c r="AB10" s="21" t="s">
        <v>670</v>
      </c>
      <c r="AF10" s="21" t="s">
        <v>671</v>
      </c>
    </row>
    <row r="11" customFormat="false" ht="15" hidden="false" customHeight="true" outlineLevel="0" collapsed="false">
      <c r="C11" s="21" t="s">
        <v>672</v>
      </c>
      <c r="D11" s="21" t="s">
        <v>673</v>
      </c>
      <c r="I11" s="21" t="s">
        <v>674</v>
      </c>
      <c r="L11" s="21" t="s">
        <v>675</v>
      </c>
      <c r="N11" s="21" t="s">
        <v>676</v>
      </c>
      <c r="R11" s="21" t="s">
        <v>677</v>
      </c>
      <c r="S11" s="21" t="s">
        <v>678</v>
      </c>
      <c r="W11" s="21" t="s">
        <v>679</v>
      </c>
      <c r="AB11" s="21" t="s">
        <v>680</v>
      </c>
    </row>
    <row r="12" customFormat="false" ht="15" hidden="false" customHeight="true" outlineLevel="0" collapsed="false">
      <c r="C12" s="21" t="s">
        <v>681</v>
      </c>
      <c r="D12" s="21" t="s">
        <v>682</v>
      </c>
      <c r="I12" s="21" t="s">
        <v>207</v>
      </c>
      <c r="L12" s="21" t="s">
        <v>683</v>
      </c>
      <c r="N12" s="21" t="s">
        <v>207</v>
      </c>
      <c r="R12" s="21" t="s">
        <v>684</v>
      </c>
      <c r="W12" s="21" t="s">
        <v>685</v>
      </c>
      <c r="AB12" s="21" t="s">
        <v>686</v>
      </c>
    </row>
    <row r="13" customFormat="false" ht="15" hidden="false" customHeight="true" outlineLevel="0" collapsed="false">
      <c r="L13" s="21" t="s">
        <v>687</v>
      </c>
      <c r="R13" s="21" t="s">
        <v>688</v>
      </c>
      <c r="W13" s="21" t="s">
        <v>174</v>
      </c>
      <c r="AB13" s="21" t="s">
        <v>207</v>
      </c>
    </row>
    <row r="14" customFormat="false" ht="15" hidden="false" customHeight="true" outlineLevel="0" collapsed="false">
      <c r="L14" s="21" t="s">
        <v>689</v>
      </c>
      <c r="R14" s="21" t="s">
        <v>690</v>
      </c>
    </row>
    <row r="15" customFormat="false" ht="15" hidden="false" customHeight="true" outlineLevel="0" collapsed="false">
      <c r="L15" s="21" t="s">
        <v>691</v>
      </c>
    </row>
    <row r="16" customFormat="false" ht="15" hidden="false" customHeight="true" outlineLevel="0" collapsed="false">
      <c r="L16" s="21" t="s">
        <v>207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2026-08-19T20:47:28Z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