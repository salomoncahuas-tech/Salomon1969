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3" autoFilterDateGrouping="1"/>
  </bookViews>
  <sheets>
    <sheet xmlns:r="http://schemas.openxmlformats.org/officeDocument/2006/relationships" name="Resumen" sheetId="1" state="visible" r:id="rId1"/>
    <sheet xmlns:r="http://schemas.openxmlformats.org/officeDocument/2006/relationships" name="F-DT-01" sheetId="2" state="visible" r:id="rId2"/>
    <sheet xmlns:r="http://schemas.openxmlformats.org/officeDocument/2006/relationships" name="F-DT-02" sheetId="3" state="visible" r:id="rId3"/>
    <sheet xmlns:r="http://schemas.openxmlformats.org/officeDocument/2006/relationships" name="F-DT-03" sheetId="4" state="visible" r:id="rId4"/>
    <sheet xmlns:r="http://schemas.openxmlformats.org/officeDocument/2006/relationships" name="F-DT-04" sheetId="5" state="visible" r:id="rId5"/>
    <sheet xmlns:r="http://schemas.openxmlformats.org/officeDocument/2006/relationships" name="F-DT-05" sheetId="6" state="visible" r:id="rId6"/>
    <sheet xmlns:r="http://schemas.openxmlformats.org/officeDocument/2006/relationships" name="Bloques V4" sheetId="7" state="visible" r:id="rId7"/>
    <sheet xmlns:r="http://schemas.openxmlformats.org/officeDocument/2006/relationships" name="_Listas" sheetId="8" state="visible" r:id="rId8"/>
    <sheet xmlns:r="http://schemas.openxmlformats.org/officeDocument/2006/relationships" name="Registro fotográfico" sheetId="9" state="visible" r:id="rId9"/>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fullCalcOnLoad="1"/>
</workbook>
</file>

<file path=xl/styles.xml><?xml version="1.0" encoding="utf-8"?>
<styleSheet xmlns="http://schemas.openxmlformats.org/spreadsheetml/2006/main">
  <numFmts count="0"/>
  <fonts count="22">
    <font>
      <name val="Calibri"/>
      <charset val="1"/>
      <family val="2"/>
      <color theme="1"/>
      <sz val="11"/>
    </font>
    <font>
      <name val="Arial"/>
      <charset val="1"/>
      <b val="1"/>
      <color rgb="FFFFFFFF"/>
      <sz val="12"/>
    </font>
    <font>
      <name val="Arial"/>
      <charset val="1"/>
      <b val="1"/>
      <color rgb="FFFFFFFF"/>
      <sz val="10"/>
    </font>
    <font>
      <name val="Arial"/>
      <charset val="1"/>
      <b val="1"/>
      <color rgb="FFFFFFFF"/>
      <sz val="14"/>
    </font>
    <font>
      <name val="Arial"/>
      <charset val="1"/>
      <i val="1"/>
      <color rgb="FF555555"/>
      <sz val="9"/>
    </font>
    <font>
      <name val="Arial"/>
      <charset val="1"/>
      <i val="1"/>
      <color rgb="FF666666"/>
      <sz val="8"/>
    </font>
    <font>
      <name val="Arial"/>
      <charset val="1"/>
      <b val="1"/>
      <color rgb="FFFFFFFF"/>
      <sz val="11"/>
    </font>
    <font>
      <name val="Arial"/>
      <charset val="1"/>
      <b val="1"/>
      <color rgb="FF000000"/>
      <sz val="10"/>
    </font>
    <font>
      <name val="Arial"/>
      <charset val="1"/>
      <color rgb="FF000000"/>
      <sz val="10"/>
    </font>
    <font>
      <name val="Arial"/>
      <charset val="1"/>
      <i val="1"/>
      <color rgb="FF333333"/>
      <sz val="10"/>
    </font>
    <font>
      <name val="Arial"/>
      <charset val="1"/>
      <i val="1"/>
      <color rgb="FF555555"/>
      <sz val="8"/>
    </font>
    <font>
      <name val="Arial"/>
      <charset val="1"/>
      <b val="1"/>
      <color rgb="FFFFFFFF"/>
      <sz val="9"/>
    </font>
    <font>
      <name val="Arial"/>
      <charset val="1"/>
      <color rgb="FF000000"/>
      <sz val="9"/>
    </font>
    <font>
      <name val="Arial"/>
      <charset val="1"/>
      <b val="1"/>
      <color rgb="FF1B4D2E"/>
      <sz val="11"/>
    </font>
    <font>
      <name val="Arial"/>
      <sz val="9"/>
    </font>
    <font>
      <name val="Arial"/>
      <i val="1"/>
      <sz val="9"/>
    </font>
    <font>
      <name val="Arial"/>
      <b val="1"/>
      <color rgb="00FFFFFF"/>
      <sz val="12"/>
    </font>
    <font>
      <name val="Arial"/>
      <b val="1"/>
      <color rgb="00FFFFFF"/>
      <sz val="9"/>
    </font>
    <font>
      <name val="Arial"/>
      <b val="1"/>
      <color rgb="00FFFFFF"/>
      <sz val="11"/>
    </font>
    <font>
      <name val="Arial"/>
      <b val="1"/>
      <sz val="9"/>
    </font>
    <font>
      <name val="Arial"/>
      <b val="1"/>
      <color rgb="00FFFFFF"/>
      <sz val="10"/>
    </font>
    <font>
      <name val="Arial"/>
      <i val="1"/>
      <sz val="8"/>
    </font>
  </fonts>
  <fills count="12">
    <fill>
      <patternFill/>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001B4D2E"/>
      </patternFill>
    </fill>
    <fill>
      <patternFill patternType="solid">
        <fgColor rgb="002E7D4F"/>
      </patternFill>
    </fill>
    <fill>
      <patternFill patternType="solid">
        <fgColor rgb="00FFFFFF"/>
      </patternFill>
    </fill>
    <fill>
      <patternFill patternType="solid">
        <fgColor rgb="00E8F1EC"/>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55">
    <xf numFmtId="0" fontId="0" fillId="0" borderId="0" pivotButton="0" quotePrefix="0" xfId="0"/>
    <xf numFmtId="0" fontId="7" fillId="4" borderId="1" applyAlignment="1" pivotButton="0" quotePrefix="0" xfId="0">
      <alignment horizontal="left" vertical="center" wrapText="1"/>
    </xf>
    <xf numFmtId="0" fontId="11" fillId="3" borderId="1" applyAlignment="1" pivotButton="0" quotePrefix="0" xfId="0">
      <alignment horizontal="center" vertical="center" wrapText="1"/>
    </xf>
    <xf numFmtId="0" fontId="12" fillId="5" borderId="1" applyAlignment="1" pivotButton="0" quotePrefix="0" xfId="0">
      <alignment horizontal="center" vertical="center" wrapText="1"/>
    </xf>
    <xf numFmtId="0" fontId="12" fillId="5" borderId="1" applyAlignment="1" pivotButton="0" quotePrefix="0" xfId="0">
      <alignment horizontal="left" vertical="center" wrapText="1"/>
    </xf>
    <xf numFmtId="0" fontId="12" fillId="4" borderId="1" applyAlignment="1" pivotButton="0" quotePrefix="0" xfId="0">
      <alignment horizontal="center" vertical="center" wrapText="1"/>
    </xf>
    <xf numFmtId="0" fontId="6" fillId="2" borderId="1" applyAlignment="1" pivotButton="0" quotePrefix="0" xfId="0">
      <alignment horizontal="center" vertical="center" wrapText="1"/>
    </xf>
    <xf numFmtId="0" fontId="12" fillId="4" borderId="1" applyAlignment="1" pivotButton="0" quotePrefix="0" xfId="0">
      <alignment horizontal="left" vertical="center" wrapText="1"/>
    </xf>
    <xf numFmtId="0" fontId="12" fillId="0" borderId="1" applyAlignment="1" pivotButton="0" quotePrefix="0" xfId="0">
      <alignment horizontal="left" vertical="center" wrapText="1"/>
    </xf>
    <xf numFmtId="3" fontId="12" fillId="0" borderId="1" applyAlignment="1" pivotButton="0" quotePrefix="0" xfId="0">
      <alignment horizontal="center" vertical="center" wrapText="1"/>
    </xf>
    <xf numFmtId="4" fontId="12" fillId="0" borderId="1" applyAlignment="1" pivotButton="0" quotePrefix="0" xfId="0">
      <alignment horizontal="center" vertical="center" wrapText="1"/>
    </xf>
    <xf numFmtId="0" fontId="0" fillId="0" borderId="4" pivotButton="0" quotePrefix="0" xfId="0"/>
    <xf numFmtId="0" fontId="9" fillId="6" borderId="1" applyAlignment="1" pivotButton="0" quotePrefix="0" xfId="0">
      <alignment horizontal="left" vertical="center" wrapText="1"/>
    </xf>
    <xf numFmtId="0" fontId="0" fillId="0" borderId="4" pivotButton="0" quotePrefix="0" xfId="0"/>
    <xf numFmtId="0" fontId="0" fillId="0" borderId="5" pivotButton="0" quotePrefix="0" xfId="0"/>
    <xf numFmtId="0" fontId="8" fillId="5" borderId="1" applyAlignment="1" pivotButton="0" quotePrefix="0" xfId="0">
      <alignment horizontal="left" vertical="center" wrapText="1"/>
    </xf>
    <xf numFmtId="0" fontId="1" fillId="2" borderId="0" applyAlignment="1" pivotButton="0" quotePrefix="0" xfId="0">
      <alignment horizontal="center" vertical="center" wrapText="1"/>
    </xf>
    <xf numFmtId="0" fontId="0" fillId="0" borderId="0" pivotButton="0" quotePrefix="0" xfId="0"/>
    <xf numFmtId="0" fontId="5" fillId="0" borderId="0"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3" borderId="0" applyAlignment="1" pivotButton="0" quotePrefix="0" xfId="0">
      <alignment horizontal="center" vertical="center" wrapText="1"/>
    </xf>
    <xf numFmtId="0" fontId="8" fillId="5" borderId="1" applyAlignment="1" pivotButton="0" quotePrefix="0" xfId="0">
      <alignment horizontal="left"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7" fillId="4" borderId="1" applyAlignment="1" pivotButton="0" quotePrefix="0" xfId="0">
      <alignment horizontal="left" vertical="center" wrapText="1"/>
    </xf>
    <xf numFmtId="0" fontId="10" fillId="7" borderId="1" applyAlignment="1" pivotButton="0" quotePrefix="0" xfId="0">
      <alignment horizontal="left" vertical="center" wrapText="1"/>
    </xf>
    <xf numFmtId="0" fontId="0" fillId="0" borderId="1" pivotButton="0" quotePrefix="0" xfId="0"/>
    <xf numFmtId="0" fontId="13" fillId="0" borderId="0" pivotButton="0" quotePrefix="0" xfId="0"/>
    <xf numFmtId="0" fontId="16" fillId="8" borderId="0" applyAlignment="1" pivotButton="0" quotePrefix="0" xfId="0">
      <alignment horizontal="center" vertical="center" wrapText="1"/>
    </xf>
    <xf numFmtId="0" fontId="17" fillId="8" borderId="0" applyAlignment="1" pivotButton="0" quotePrefix="0" xfId="0">
      <alignment horizontal="center" vertical="center" wrapText="1"/>
    </xf>
    <xf numFmtId="0" fontId="18" fillId="9" borderId="0" applyAlignment="1" pivotButton="0" quotePrefix="0" xfId="0">
      <alignment horizontal="center" vertical="center" wrapText="1"/>
    </xf>
    <xf numFmtId="0" fontId="19" fillId="10" borderId="11" applyAlignment="1" pivotButton="0" quotePrefix="0" xfId="0">
      <alignment horizontal="left" vertical="center" wrapText="1"/>
    </xf>
    <xf numFmtId="0" fontId="14" fillId="10" borderId="11" applyAlignment="1" pivotButton="0" quotePrefix="0" xfId="0">
      <alignment horizontal="left" vertical="center" wrapText="1"/>
    </xf>
    <xf numFmtId="0" fontId="19" fillId="11" borderId="11" applyAlignment="1" pivotButton="0" quotePrefix="0" xfId="0">
      <alignment horizontal="left" vertical="center" wrapText="1"/>
    </xf>
    <xf numFmtId="0" fontId="14" fillId="11" borderId="11" applyAlignment="1" pivotButton="0" quotePrefix="0" xfId="0">
      <alignment horizontal="left" vertical="center" wrapText="1"/>
    </xf>
    <xf numFmtId="0" fontId="20" fillId="9" borderId="0" applyAlignment="1" pivotButton="0" quotePrefix="0" xfId="0">
      <alignment horizontal="center" vertical="center" wrapText="1"/>
    </xf>
    <xf numFmtId="0" fontId="21" fillId="0" borderId="0" applyAlignment="1" pivotButton="0" quotePrefix="0" xfId="0">
      <alignment vertical="top" wrapText="1"/>
    </xf>
    <xf numFmtId="0" fontId="8" fillId="5" borderId="1" applyAlignment="1" pivotButton="0" quotePrefix="0" xfId="0">
      <alignment horizontal="right" vertical="center" wrapText="1"/>
    </xf>
    <xf numFmtId="0" fontId="14" fillId="5" borderId="11" applyAlignment="1" pivotButton="0" quotePrefix="0" xfId="0">
      <alignment horizontal="center" vertical="center" wrapText="1"/>
    </xf>
    <xf numFmtId="0" fontId="14" fillId="5" borderId="11" applyAlignment="1" pivotButton="0" quotePrefix="0" xfId="0">
      <alignment horizontal="left" vertical="center" wrapText="1"/>
    </xf>
    <xf numFmtId="0" fontId="8" fillId="5" borderId="1" applyAlignment="1" pivotButton="0" quotePrefix="0" xfId="0">
      <alignment horizontal="center" vertical="center" wrapText="1"/>
    </xf>
    <xf numFmtId="0" fontId="15" fillId="5" borderId="11" applyAlignment="1" pivotButton="0" quotePrefix="0" xfId="0">
      <alignment horizontal="left" vertical="center" wrapText="1"/>
    </xf>
    <xf numFmtId="0" fontId="18" fillId="8" borderId="0" applyAlignment="1" pivotButton="0" quotePrefix="0" xfId="0">
      <alignment horizontal="center" vertical="center"/>
    </xf>
    <xf numFmtId="0" fontId="20" fillId="9" borderId="0" applyAlignment="1" pivotButton="0" quotePrefix="0" xfId="0">
      <alignment horizontal="center" vertical="center"/>
    </xf>
    <xf numFmtId="0" fontId="17" fillId="9" borderId="0" applyAlignment="1" pivotButton="0" quotePrefix="0" xfId="0">
      <alignment horizontal="center" vertical="center"/>
    </xf>
    <xf numFmtId="0" fontId="17" fillId="8" borderId="11" applyAlignment="1" pivotButton="0" quotePrefix="0" xfId="0">
      <alignment horizontal="center" vertical="center" wrapText="1"/>
    </xf>
    <xf numFmtId="0" fontId="14" fillId="10" borderId="11" applyAlignment="1" pivotButton="0" quotePrefix="0" xfId="0">
      <alignment horizontal="center" vertical="center" wrapText="1"/>
    </xf>
    <xf numFmtId="0" fontId="14" fillId="11" borderId="1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001B4D2E"/>
    <outlinePr summaryBelow="1" summaryRight="1"/>
    <pageSetUpPr fitToPage="1"/>
  </sheetPr>
  <dimension ref="B2:C36"/>
  <sheetViews>
    <sheetView showGridLines="0" workbookViewId="0">
      <selection activeCell="A1" sqref="A1"/>
    </sheetView>
  </sheetViews>
  <sheetFormatPr baseColWidth="8" defaultRowHeight="15"/>
  <cols>
    <col width="4" customWidth="1" style="17" min="1" max="1"/>
    <col width="42" customWidth="1" style="17" min="2" max="2"/>
    <col width="68" customWidth="1" style="17" min="3" max="3"/>
  </cols>
  <sheetData>
    <row r="2" ht="22" customHeight="1" s="17">
      <c r="B2" s="35" t="inlineStr">
        <is>
          <t>AUTORIDAD NACIONAL DE INFRAESTRUCTURA — ANIN</t>
        </is>
      </c>
    </row>
    <row r="3" ht="16" customHeight="1" s="17">
      <c r="B3" s="36" t="inlineStr">
        <is>
          <t>DIRECCIÓN DE INTERVENCIONES MULTISECTORIALES Y DE EMERGENCIA — DIME</t>
        </is>
      </c>
    </row>
    <row r="4" ht="16" customHeight="1" s="17">
      <c r="B4" s="36" t="inlineStr">
        <is>
          <t>SUBDIRECCIÓN DE ESTUDIOS DE INVERSIÓN — SESDI</t>
        </is>
      </c>
    </row>
    <row r="5" ht="22" customHeight="1" s="17">
      <c r="B5" s="37" t="inlineStr">
        <is>
          <t>PROYECTO IN PIURA  |  CUI 2669244  |  DIAGNÓSTICO TERRITORIAL — BLOQUE 19</t>
        </is>
      </c>
    </row>
    <row r="7" ht="26" customHeight="1" s="17">
      <c r="B7" s="38" t="inlineStr">
        <is>
          <t>Código del bloque</t>
        </is>
      </c>
      <c r="C7" s="39" t="inlineStr">
        <is>
          <t>19</t>
        </is>
      </c>
    </row>
    <row r="8" ht="26" customHeight="1" s="17">
      <c r="B8" s="40" t="inlineStr">
        <is>
          <t>Microcuenca</t>
        </is>
      </c>
      <c r="C8" s="41" t="inlineStr">
        <is>
          <t>C1076-Q9592 (cuenca alta del río Piura)</t>
        </is>
      </c>
    </row>
    <row r="9" ht="26" customHeight="1" s="17">
      <c r="B9" s="38" t="inlineStr">
        <is>
          <t>Provincia / Distrito</t>
        </is>
      </c>
      <c r="C9" s="39" t="inlineStr">
        <is>
          <t>Huancabamba / Huarmaca</t>
        </is>
      </c>
    </row>
    <row r="10" ht="26" customHeight="1" s="17">
      <c r="B10" s="40" t="inlineStr">
        <is>
          <t>Zona operativa</t>
        </is>
      </c>
      <c r="C10" s="41" t="inlineStr">
        <is>
          <t>Z13</t>
        </is>
      </c>
    </row>
    <row r="11" ht="26" customHeight="1" s="17">
      <c r="B11" s="38" t="inlineStr">
        <is>
          <t>Centro poblado asociado</t>
        </is>
      </c>
      <c r="C11" s="39" t="inlineStr">
        <is>
          <t>Nuevo Progreso</t>
        </is>
      </c>
    </row>
    <row r="12" ht="26" customHeight="1" s="17">
      <c r="B12" s="40" t="inlineStr">
        <is>
          <t>Centroide del bloque (UTM 17S)</t>
        </is>
      </c>
      <c r="C12" s="41" t="inlineStr">
        <is>
          <t>E 665 942 m · N 9 391 144 m  (Centroides V6)</t>
        </is>
      </c>
    </row>
    <row r="13" ht="26" customHeight="1" s="17">
      <c r="B13" s="38" t="inlineStr">
        <is>
          <t>Superficie del bloque</t>
        </is>
      </c>
      <c r="C13" s="39" t="inlineStr">
        <is>
          <t>82.09 ha</t>
        </is>
      </c>
    </row>
    <row r="14" ht="26" customHeight="1" s="17">
      <c r="B14" s="40" t="inlineStr">
        <is>
          <t>Rango altitudinal</t>
        </is>
      </c>
      <c r="C14" s="41" t="inlineStr">
        <is>
          <t>2 000 – 2 500 msnm (Quechua alta); estaciones GPS 2 049 – 2 057 msnm</t>
        </is>
      </c>
    </row>
    <row r="15" ht="26" customHeight="1" s="17">
      <c r="B15" s="38" t="inlineStr">
        <is>
          <t>Ecosistema dominante (UP)</t>
        </is>
      </c>
      <c r="C15" s="39" t="inlineStr">
        <is>
          <t>Agroecosistema / Mosaico sobre matorral andino subhúmedo (condición de referencia)</t>
        </is>
      </c>
    </row>
    <row r="16" ht="26" customHeight="1" s="17">
      <c r="B16" s="40" t="inlineStr">
        <is>
          <t>Estado de conservación</t>
        </is>
      </c>
      <c r="C16" s="41" t="inlineStr">
        <is>
          <t>Alterado (intervención marcada)</t>
        </is>
      </c>
    </row>
    <row r="17" ht="26" customHeight="1" s="17">
      <c r="B17" s="38" t="inlineStr">
        <is>
          <t>NDVI mediana 2025 (clases)</t>
        </is>
      </c>
      <c r="C17" s="39" t="inlineStr">
        <is>
          <t>Vegetación alta ~62 % · mediana ~36 % · ligera ~2 % · sin tierra desnuda</t>
        </is>
      </c>
    </row>
    <row r="18" ht="26" customHeight="1" s="17">
      <c r="B18" s="40" t="inlineStr">
        <is>
          <t>MSAVI 2024 (clases)</t>
        </is>
      </c>
      <c r="C18" s="41" t="inlineStr">
        <is>
          <t>0.3813–0.4976 ~45 % · &gt;0.6139 ~28 % · 0.4976–0.6139 ~20 % · 0.2650–0.3813 ~6 %</t>
        </is>
      </c>
    </row>
    <row r="19" ht="26" customHeight="1" s="17">
      <c r="B19" s="38" t="inlineStr">
        <is>
          <t>Nivel general de erosión</t>
        </is>
      </c>
      <c r="C19" s="39" t="inlineStr">
        <is>
          <t>Moderada (surcos); inestabilidad activa en taludes de corte</t>
        </is>
      </c>
    </row>
    <row r="20" ht="26" customHeight="1" s="17">
      <c r="B20" s="40" t="inlineStr">
        <is>
          <t>Urgencia de intervención</t>
        </is>
      </c>
      <c r="C20" s="41" t="inlineStr">
        <is>
          <t>Alta</t>
        </is>
      </c>
    </row>
    <row r="21" ht="26" customHeight="1" s="17">
      <c r="B21" s="38" t="inlineStr">
        <is>
          <t>Fecha de inspección</t>
        </is>
      </c>
      <c r="C21" s="39" t="inlineStr">
        <is>
          <t>12 de agosto de 2026 (10:13 – 10:20 h)</t>
        </is>
      </c>
    </row>
    <row r="22" ht="26" customHeight="1" s="17">
      <c r="B22" s="40" t="inlineStr">
        <is>
          <t>Responsable de evaluación</t>
        </is>
      </c>
      <c r="C22" s="41" t="inlineStr">
        <is>
          <t>Ing. Héctor Cahuas Miller</t>
        </is>
      </c>
    </row>
    <row r="23" ht="26" customHeight="1" s="17">
      <c r="B23" s="38" t="inlineStr">
        <is>
          <t>Acceso</t>
        </is>
      </c>
      <c r="C23" s="39" t="inlineStr">
        <is>
          <t>PE-3N → trocha carrozable al CP Nuevo Progreso; vehicular 4x4 hasta el bloque</t>
        </is>
      </c>
    </row>
    <row r="24" ht="26" customHeight="1" s="17">
      <c r="B24" s="40" t="inlineStr">
        <is>
          <t>Estaciones fotográficas</t>
        </is>
      </c>
      <c r="C24" s="41" t="inlineStr">
        <is>
          <t>11 fotografías georreferenciadas (E 664 973 – 665 040 · N 9 390 735 – 9 390 801)</t>
        </is>
      </c>
    </row>
    <row r="25" ht="26" customHeight="1" s="17">
      <c r="B25" s="38" t="inlineStr">
        <is>
          <t>Sistema de coordenadas</t>
        </is>
      </c>
      <c r="C25" s="39" t="inlineStr">
        <is>
          <t>UTM WGS84 Zona 17S (EPSG:32717)</t>
        </is>
      </c>
    </row>
    <row r="27" ht="18" customHeight="1" s="17">
      <c r="B27" s="42" t="inlineStr">
        <is>
          <t>CONTENIDO DEL ARCHIVO</t>
        </is>
      </c>
    </row>
    <row r="28" ht="20" customHeight="1" s="17">
      <c r="B28" s="38" t="inlineStr">
        <is>
          <t>F-DT-01</t>
        </is>
      </c>
      <c r="C28" s="39" t="inlineStr">
        <is>
          <t>Datos generales y fisiografía del bloque</t>
        </is>
      </c>
    </row>
    <row r="29" ht="20" customHeight="1" s="17">
      <c r="B29" s="40" t="inlineStr">
        <is>
          <t>F-DT-02</t>
        </is>
      </c>
      <c r="C29" s="41" t="inlineStr">
        <is>
          <t>Suelo y procesos erosivos (incl. inventario georreferenciado de cárcavas/surcos)</t>
        </is>
      </c>
    </row>
    <row r="30" ht="20" customHeight="1" s="17">
      <c r="B30" s="38" t="inlineStr">
        <is>
          <t>F-DT-03</t>
        </is>
      </c>
      <c r="C30" s="39" t="inlineStr">
        <is>
          <t>Ecosistema: composición, estructura y valor ecológico</t>
        </is>
      </c>
    </row>
    <row r="31" ht="20" customHeight="1" s="17">
      <c r="B31" s="40" t="inlineStr">
        <is>
          <t>F-DT-04</t>
        </is>
      </c>
      <c r="C31" s="41" t="inlineStr">
        <is>
          <t>Causas e indicadores de degradación del ecosistema</t>
        </is>
      </c>
    </row>
    <row r="32" ht="20" customHeight="1" s="17">
      <c r="B32" s="38" t="inlineStr">
        <is>
          <t>F-DT-05</t>
        </is>
      </c>
      <c r="C32" s="39" t="inlineStr">
        <is>
          <t>Recursos hídricos y accesibilidad</t>
        </is>
      </c>
    </row>
    <row r="33" ht="20" customHeight="1" s="17">
      <c r="B33" s="40" t="inlineStr">
        <is>
          <t>Registro fotográfico</t>
        </is>
      </c>
      <c r="C33" s="41" t="inlineStr">
        <is>
          <t>Inventario georreferenciado de las 11 estaciones fotográficas del 12-08-2026</t>
        </is>
      </c>
    </row>
    <row r="34" ht="20" customHeight="1" s="17">
      <c r="B34" s="38" t="inlineStr">
        <is>
          <t>Bloques V4 / _Listas</t>
        </is>
      </c>
      <c r="C34" s="39" t="inlineStr">
        <is>
          <t>Catálogo maestro de bloques y listas de validación (no modificar)</t>
        </is>
      </c>
    </row>
    <row r="36" ht="52" customHeight="1" s="17">
      <c r="B36" s="43" t="inlineStr">
        <is>
          <t>Declaración de integridad de datos: ningún valor ausente ha sido estimado o inferido sin declararlo. Los campos que no pudieron sustentarse en observación de campo, imagen satelital o catálogo oficial se consignan explícitamente como «por verificar» o «por confirmar». La composición florística registrada corresponde al recorrido del 12-08-2026 y no constituye inventario botánico exhaustivo.</t>
        </is>
      </c>
    </row>
  </sheetData>
  <mergeCells count="6">
    <mergeCell ref="B2:C2"/>
    <mergeCell ref="B3:C3"/>
    <mergeCell ref="B5:C5"/>
    <mergeCell ref="B36:C36"/>
    <mergeCell ref="B27:C27"/>
    <mergeCell ref="B4:C4"/>
  </mergeCells>
  <pageMargins left="0.4" right="0.4" top="0.5" bottom="0.5"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H35"/>
  <sheetViews>
    <sheetView showGridLines="0" zoomScaleNormal="100" workbookViewId="0">
      <pane ySplit="6" topLeftCell="A7" activePane="bottomLeft" state="frozen"/>
      <selection pane="bottomLeft" activeCell="B26" sqref="B26:H26"/>
    </sheetView>
  </sheetViews>
  <sheetFormatPr baseColWidth="10" defaultColWidth="8.6640625" defaultRowHeight="14.4"/>
  <cols>
    <col width="38" customWidth="1" style="17" min="1" max="1"/>
    <col width="16" customWidth="1" style="17" min="2" max="4"/>
    <col width="24" customWidth="1" style="17" min="5" max="5"/>
    <col width="14" customWidth="1" style="17" min="6"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F-DT-01: DATOS GENERALES Y FISIOGRAFÍA DEL BLOQUE</t>
        </is>
      </c>
    </row>
    <row r="5" ht="27.75" customHeight="1" s="17">
      <c r="A5" s="21" t="inlineStr">
        <is>
          <t>Identificación del bloque e inventario rápido de parámetros fisiográficos observados a escala del bloque. Base para todos los formatos F-DT siguientes.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 Y LOCALIZACIÓN</t>
        </is>
      </c>
    </row>
    <row r="8" ht="19.5" customHeight="1" s="17">
      <c r="A8" s="31" t="inlineStr">
        <is>
          <t>Fecha (dd-mm-aaaa) *</t>
        </is>
      </c>
      <c r="B8" s="15" t="inlineStr">
        <is>
          <t>12-08-2026</t>
        </is>
      </c>
      <c r="C8" s="13" t="n"/>
      <c r="D8" s="14" t="n"/>
      <c r="E8" s="31" t="inlineStr">
        <is>
          <t>Hora de registro</t>
        </is>
      </c>
      <c r="F8" s="15" t="inlineStr">
        <is>
          <t>10:13 – 10:20 h</t>
        </is>
      </c>
      <c r="G8" s="13" t="n"/>
      <c r="H8" s="14" t="n"/>
    </row>
    <row r="9" ht="19.5" customHeight="1" s="17">
      <c r="A9" s="31" t="inlineStr">
        <is>
          <t>Brigada / Responsable *</t>
        </is>
      </c>
      <c r="B9" s="15" t="inlineStr">
        <is>
          <t>Ing. Héctor Cahuas Miller</t>
        </is>
      </c>
      <c r="C9" s="13" t="n"/>
      <c r="D9" s="14" t="n"/>
      <c r="E9" s="31" t="inlineStr">
        <is>
          <t>Ficha N° (correlativo)</t>
        </is>
      </c>
      <c r="F9" s="15" t="inlineStr">
        <is>
          <t>F-DT-19-2026</t>
        </is>
      </c>
      <c r="G9" s="13" t="n"/>
      <c r="H9" s="14" t="n"/>
    </row>
    <row r="10" ht="19.5" customHeight="1" s="17">
      <c r="A10" s="31" t="inlineStr">
        <is>
          <t>Código del Bloque *</t>
        </is>
      </c>
      <c r="B10" s="15" t="inlineStr">
        <is>
          <t>19</t>
        </is>
      </c>
      <c r="C10" s="13" t="n"/>
      <c r="D10" s="14" t="n"/>
      <c r="E10" s="31" t="inlineStr">
        <is>
          <t>Código de Microcuenca</t>
        </is>
      </c>
      <c r="F10" s="12">
        <f>IFERROR(VLOOKUP($B$10,tbl_Bloques,2,FALSE()),"")</f>
        <v/>
      </c>
      <c r="G10" s="13" t="n"/>
      <c r="H10" s="14" t="n"/>
    </row>
    <row r="11" ht="19.5" customHeight="1" s="17">
      <c r="A11" s="31" t="inlineStr">
        <is>
          <t>Provincia (auto)</t>
        </is>
      </c>
      <c r="B11" s="12">
        <f>IFERROR(VLOOKUP($B$10,tbl_Bloques,3,FALSE()),"")</f>
        <v/>
      </c>
      <c r="C11" s="13" t="n"/>
      <c r="D11" s="14" t="n"/>
      <c r="E11" s="31" t="inlineStr">
        <is>
          <t>Distrito (auto)</t>
        </is>
      </c>
      <c r="F11" s="12">
        <f>IFERROR(VLOOKUP($B$10,tbl_Bloques,4,FALSE()),"")</f>
        <v/>
      </c>
      <c r="G11" s="13" t="n"/>
      <c r="H11" s="14" t="n"/>
    </row>
    <row r="12" ht="19.5" customHeight="1" s="17">
      <c r="A12" s="31" t="inlineStr">
        <is>
          <t>Zona del bloque (auto)</t>
        </is>
      </c>
      <c r="B12" s="12">
        <f>IFERROR(VLOOKUP($B$10,tbl_Bloques,5,FALSE()),"")</f>
        <v/>
      </c>
      <c r="C12" s="13" t="n"/>
      <c r="D12" s="14" t="n"/>
      <c r="E12" s="31" t="inlineStr">
        <is>
          <t>Área del bloque (ha) — auto</t>
        </is>
      </c>
      <c r="F12" s="12">
        <f>IFERROR(VLOOKUP($B$10,tbl_Bloques,8,FALSE()),"")</f>
        <v/>
      </c>
      <c r="G12" s="13" t="n"/>
      <c r="H12" s="14" t="n"/>
    </row>
    <row r="13" ht="19.5" customHeight="1" s="17">
      <c r="A13" s="31" t="inlineStr">
        <is>
          <t>UTM ESTE punto de muestreo (m) *</t>
        </is>
      </c>
      <c r="B13" s="44" t="n">
        <v>664992</v>
      </c>
      <c r="C13" s="13" t="n"/>
      <c r="D13" s="14" t="n"/>
      <c r="E13" s="31" t="inlineStr">
        <is>
          <t>UTM NORTE punto de muestreo (m) *</t>
        </is>
      </c>
      <c r="F13" s="44" t="n">
        <v>9390773</v>
      </c>
      <c r="G13" s="13" t="n"/>
      <c r="H13" s="14" t="n"/>
    </row>
    <row r="14" ht="19.5" customHeight="1" s="17">
      <c r="A14" s="31" t="inlineStr">
        <is>
          <t>Altitud GPS (msnm) *</t>
        </is>
      </c>
      <c r="B14" s="44" t="n">
        <v>2054</v>
      </c>
      <c r="C14" s="13" t="n"/>
      <c r="D14" s="14" t="n"/>
      <c r="E14" s="31" t="inlineStr">
        <is>
          <t>Centro poblado más cercano</t>
        </is>
      </c>
      <c r="F14" s="15" t="inlineStr">
        <is>
          <t>Nuevo Progreso</t>
        </is>
      </c>
      <c r="G14" s="13" t="n"/>
      <c r="H14" s="14" t="n"/>
    </row>
    <row r="15" ht="19.5" customHeight="1" s="17">
      <c r="A15" s="31" t="inlineStr">
        <is>
          <t>Comunidad Campesina (si aplica)</t>
        </is>
      </c>
      <c r="B15" s="15" t="inlineStr">
        <is>
          <t>Por verificar en la fase social (no declarada durante la inspección)</t>
        </is>
      </c>
      <c r="C15" s="13" t="n"/>
      <c r="D15" s="13" t="n"/>
      <c r="E15" s="13" t="n"/>
      <c r="F15" s="13" t="n"/>
      <c r="G15" s="13" t="n"/>
      <c r="H15" s="14" t="n"/>
    </row>
    <row r="17" ht="21.75" customHeight="1" s="17">
      <c r="A17" s="19" t="inlineStr">
        <is>
          <t>2. CARACTERIZACIÓN FISIOGRÁFICA DEL BLOQUE</t>
        </is>
      </c>
    </row>
    <row r="18" ht="19.5" customHeight="1" s="17">
      <c r="A18" s="31" t="inlineStr">
        <is>
          <t>Forma predominante del terreno *</t>
        </is>
      </c>
      <c r="B18" s="15" t="inlineStr">
        <is>
          <t>Montañoso</t>
        </is>
      </c>
      <c r="C18" s="13" t="n"/>
      <c r="D18" s="13" t="n"/>
      <c r="E18" s="13" t="n"/>
      <c r="F18" s="13" t="n"/>
      <c r="G18" s="13" t="n"/>
      <c r="H18" s="14" t="n"/>
    </row>
    <row r="19" ht="19.5" customHeight="1" s="17">
      <c r="A19" s="31" t="inlineStr">
        <is>
          <t>Rango de pendiente dominante *</t>
        </is>
      </c>
      <c r="B19" s="15" t="inlineStr">
        <is>
          <t>25-50% (Mod. escarpado)</t>
        </is>
      </c>
      <c r="C19" s="13" t="n"/>
      <c r="D19" s="13" t="n"/>
      <c r="E19" s="13" t="n"/>
      <c r="F19" s="13" t="n"/>
      <c r="G19" s="13" t="n"/>
      <c r="H19" s="14" t="n"/>
    </row>
    <row r="20" ht="19.5" customHeight="1" s="17">
      <c r="A20" s="31" t="inlineStr">
        <is>
          <t>Posición fisiográfica *</t>
        </is>
      </c>
      <c r="B20" s="15" t="inlineStr">
        <is>
          <t>Ladera media</t>
        </is>
      </c>
      <c r="C20" s="13" t="n"/>
      <c r="D20" s="13" t="n"/>
      <c r="E20" s="13" t="n"/>
      <c r="F20" s="13" t="n"/>
      <c r="G20" s="13" t="n"/>
      <c r="H20" s="14" t="n"/>
    </row>
    <row r="21" ht="19.5" customHeight="1" s="17">
      <c r="A21" s="31" t="inlineStr">
        <is>
          <t>Exposición / Orientación dominante *</t>
        </is>
      </c>
      <c r="B21" s="15" t="inlineStr">
        <is>
          <t>Noroeste</t>
        </is>
      </c>
      <c r="C21" s="13" t="n"/>
      <c r="D21" s="13" t="n"/>
      <c r="E21" s="13" t="n"/>
      <c r="F21" s="13" t="n"/>
      <c r="G21" s="13" t="n"/>
      <c r="H21" s="14" t="n"/>
    </row>
    <row r="22" ht="19.5" customHeight="1" s="17">
      <c r="A22" s="31" t="inlineStr">
        <is>
          <t>Rango altitudinal del bloque *</t>
        </is>
      </c>
      <c r="B22" s="15" t="inlineStr">
        <is>
          <t>2000-2500 m (Quechua alta)</t>
        </is>
      </c>
      <c r="C22" s="13" t="n"/>
      <c r="D22" s="13" t="n"/>
      <c r="E22" s="13" t="n"/>
      <c r="F22" s="13" t="n"/>
      <c r="G22" s="13" t="n"/>
      <c r="H22" s="14" t="n"/>
    </row>
    <row r="23" ht="19.5" customHeight="1" s="17">
      <c r="A23" s="31" t="inlineStr">
        <is>
          <t>Paisaje dominante (descripción libre)</t>
        </is>
      </c>
      <c r="B23" s="15" t="inlineStr">
        <is>
          <t>Ladera montañosa de exposición noroeste sobre la margen derecha del valle del río Huancabamba. Mosaico de parcelas de secano (trigo, papa) con andenería rústica de muros de piedra, pastizal de kikuyo, macizos y bordes de plantaciones forestales exóticas (eucalipto, pino, ciprés) y matorral de chilca en taludes y linderos. El centro poblado Nuevo Progreso y la trocha carrozable de acceso ocupan el pie de ladera, en el límite noroeste del bloque.</t>
        </is>
      </c>
      <c r="C23" s="13" t="n"/>
      <c r="D23" s="13" t="n"/>
      <c r="E23" s="13" t="n"/>
      <c r="F23" s="13" t="n"/>
      <c r="G23" s="13" t="n"/>
      <c r="H23" s="14" t="n"/>
    </row>
    <row r="25" ht="21.75" customHeight="1" s="17">
      <c r="A25" s="19" t="inlineStr">
        <is>
          <t>3. INDICIOS DE REMOCIÓN EN MASA E INESTABILIDAD</t>
        </is>
      </c>
    </row>
    <row r="26" ht="19.5" customHeight="1" s="17">
      <c r="A26" s="31" t="inlineStr">
        <is>
          <t>Presencia de afloramientos rocosos</t>
        </is>
      </c>
      <c r="B26" s="15" t="inlineStr">
        <is>
          <t>Sí</t>
        </is>
      </c>
      <c r="C26" s="13" t="n"/>
      <c r="D26" s="13" t="n"/>
      <c r="E26" s="13" t="n"/>
      <c r="F26" s="13" t="n"/>
      <c r="G26" s="13" t="n"/>
      <c r="H26" s="14" t="n"/>
    </row>
    <row r="27" ht="19.5" customHeight="1" s="17">
      <c r="A27" s="31" t="inlineStr">
        <is>
          <t>Presencia de escarpes activos *</t>
        </is>
      </c>
      <c r="B27" s="15" t="inlineStr">
        <is>
          <t>Sí</t>
        </is>
      </c>
      <c r="C27" s="13" t="n"/>
      <c r="D27" s="13" t="n"/>
      <c r="E27" s="13" t="n"/>
      <c r="F27" s="13" t="n"/>
      <c r="G27" s="13" t="n"/>
      <c r="H27" s="14" t="n"/>
    </row>
    <row r="28" ht="19.5" customHeight="1" s="17">
      <c r="A28" s="31" t="inlineStr">
        <is>
          <t>¿Reptación de suelo observada? *</t>
        </is>
      </c>
      <c r="B28" s="15" t="inlineStr">
        <is>
          <t>No</t>
        </is>
      </c>
      <c r="C28" s="13" t="n"/>
      <c r="D28" s="13" t="n"/>
      <c r="E28" s="13" t="n"/>
      <c r="F28" s="13" t="n"/>
      <c r="G28" s="13" t="n"/>
      <c r="H28" s="14" t="n"/>
    </row>
    <row r="29" ht="19.5" customHeight="1" s="17">
      <c r="A29" s="31" t="inlineStr">
        <is>
          <t>¿Deslizamientos antiguos observados?</t>
        </is>
      </c>
      <c r="B29" s="15" t="inlineStr">
        <is>
          <t>No</t>
        </is>
      </c>
      <c r="C29" s="13" t="n"/>
      <c r="D29" s="13" t="n"/>
      <c r="E29" s="13" t="n"/>
      <c r="F29" s="13" t="n"/>
      <c r="G29" s="13" t="n"/>
      <c r="H29" s="14" t="n"/>
    </row>
    <row r="30" ht="19.5" customHeight="1" s="17">
      <c r="A30" s="31" t="inlineStr">
        <is>
          <t>¿Remociones en masa activas? *</t>
        </is>
      </c>
      <c r="B30" s="15" t="inlineStr">
        <is>
          <t>Sí</t>
        </is>
      </c>
      <c r="C30" s="13" t="n"/>
      <c r="D30" s="13" t="n"/>
      <c r="E30" s="13" t="n"/>
      <c r="F30" s="13" t="n"/>
      <c r="G30" s="13" t="n"/>
      <c r="H30" s="14" t="n"/>
    </row>
    <row r="32" ht="21.75" customHeight="1" s="17">
      <c r="A32" s="19" t="inlineStr">
        <is>
          <t>OBSERVACIONES</t>
        </is>
      </c>
    </row>
    <row r="33" ht="27.75" customHeight="1" s="17">
      <c r="A33" s="15" t="inlineStr">
        <is>
          <t>OBSERVACIONES: El recorrido de verificación cubrió la franja de pie de ladera del bloque, entre 2 049 y 2 057 msnm, accesible desde la trocha carrozable del CP Nuevo Progreso (11 estaciones fotográficas georreferenciadas entre E 664 973 – 665 040 y N 9 390 735 – 9 390 801). El sector medio y alto del polígono (hasta ~2 500 msnm) no fue recorrido; su caracterización se sustenta en observación panorámica, curvas de nivel y fotointerpretación (MSAVI 2024 / NDVI 2025). Los escarpes activos y las remociones en masa registradas corresponden a desprendimientos y derrumbes en taludes de corte de la trocha carrozable (Fotos 9, 10 y 11), con material suelto depositado sobre la plataforma; afectan directamente la vía y las viviendas ubicadas al pie del talud. No se observaron cicatrices de deslizamientos antiguos en el sector recorrido; su ausencia en el resto del bloque queda por verificar. Coordenadas en UTM WGS84 Zona 17S (EPSG:32717).</t>
        </is>
      </c>
      <c r="B33" s="24" t="n"/>
      <c r="C33" s="24" t="n"/>
      <c r="D33" s="24" t="n"/>
      <c r="E33" s="24" t="n"/>
      <c r="F33" s="24" t="n"/>
      <c r="G33" s="24" t="n"/>
      <c r="H33" s="25" t="n"/>
    </row>
    <row r="34" ht="27.75" customHeight="1" s="17">
      <c r="A34" s="26" t="n"/>
      <c r="H34" s="27" t="n"/>
    </row>
    <row r="35" ht="27.75" customHeight="1" s="17">
      <c r="A35" s="28" t="n"/>
      <c r="B35" s="29" t="n"/>
      <c r="C35" s="29" t="n"/>
      <c r="D35" s="29" t="n"/>
      <c r="E35" s="29" t="n"/>
      <c r="F35" s="29" t="n"/>
      <c r="G35" s="29" t="n"/>
      <c r="H35" s="30" t="n"/>
    </row>
  </sheetData>
  <mergeCells count="37">
    <mergeCell ref="B11:D11"/>
    <mergeCell ref="B14:D14"/>
    <mergeCell ref="B8:D8"/>
    <mergeCell ref="F8:H8"/>
    <mergeCell ref="B30:H30"/>
    <mergeCell ref="B13:D13"/>
    <mergeCell ref="B15:H15"/>
    <mergeCell ref="A1:H1"/>
    <mergeCell ref="B20:H20"/>
    <mergeCell ref="A6:H6"/>
    <mergeCell ref="B10:D10"/>
    <mergeCell ref="B26:H26"/>
    <mergeCell ref="A7:H7"/>
    <mergeCell ref="F13:H13"/>
    <mergeCell ref="A25:H25"/>
    <mergeCell ref="B9:D9"/>
    <mergeCell ref="F9:H9"/>
    <mergeCell ref="B22:H22"/>
    <mergeCell ref="A3:H3"/>
    <mergeCell ref="B27:H27"/>
    <mergeCell ref="F14:H14"/>
    <mergeCell ref="B18:H18"/>
    <mergeCell ref="B21:H21"/>
    <mergeCell ref="A2:H2"/>
    <mergeCell ref="A5:H5"/>
    <mergeCell ref="A32:H32"/>
    <mergeCell ref="F11:H11"/>
    <mergeCell ref="B23:H23"/>
    <mergeCell ref="A17:H17"/>
    <mergeCell ref="A4:H4"/>
    <mergeCell ref="F10:H10"/>
    <mergeCell ref="A33:H35"/>
    <mergeCell ref="B29:H29"/>
    <mergeCell ref="F12:H12"/>
    <mergeCell ref="B12:D12"/>
    <mergeCell ref="B19:H19"/>
    <mergeCell ref="B28:H28"/>
  </mergeCells>
  <dataValidations count="11">
    <dataValidation sqref="B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8" showDropDown="0" showInputMessage="0" showErrorMessage="0" allowBlank="1" errorTitle="Valor no válido" error="Seleccione un valor de la lista desplegable." promptTitle="Forma predominante del terreno" prompt="Elija una opción de la lista." type="list">
      <formula1>lst_FormaTerreno</formula1>
      <formula2>0</formula2>
    </dataValidation>
    <dataValidation sqref="B19" showDropDown="0" showInputMessage="0" showErrorMessage="0" allowBlank="1" errorTitle="Valor no válido" error="Seleccione un valor de la lista desplegable." promptTitle="Rango de pendiente dominante *" prompt="Elija una opción de la lista." type="list">
      <formula1>lst_RangoPendiente</formula1>
      <formula2>0</formula2>
    </dataValidation>
    <dataValidation sqref="B20" showDropDown="0" showInputMessage="0" showErrorMessage="0" allowBlank="1" errorTitle="Valor no válido" error="Seleccione un valor de la lista desplegable." promptTitle="Posición fisiográfica *" prompt="Elija una opción de la lista." type="list">
      <formula1>lst_PosicionFisio</formula1>
      <formula2>0</formula2>
    </dataValidation>
    <dataValidation sqref="B21" showDropDown="0" showInputMessage="0" showErrorMessage="0" allowBlank="1" errorTitle="Valor no válido" error="Seleccione un valor de la lista desplegable." promptTitle="Exposición / Orientación domin" prompt="Elija una opción de la lista." type="list">
      <formula1>lst_Exposicion</formula1>
      <formula2>0</formula2>
    </dataValidation>
    <dataValidation sqref="B22" showDropDown="0" showInputMessage="0" showErrorMessage="0" allowBlank="1" errorTitle="Valor no válido" error="Seleccione un valor de la lista desplegable." promptTitle="Rango altitudinal del bloque *" prompt="Elija una opción de la lista." type="list">
      <formula1>lst_RangoAltitud</formula1>
      <formula2>0</formula2>
    </dataValidation>
    <dataValidation sqref="B26" showDropDown="0" showInputMessage="0" showErrorMessage="0" allowBlank="1" errorTitle="Valor no válido" error="Seleccione un valor de la lista desplegable." promptTitle="Presencia de afloramientos roc" prompt="Elija una opción de la lista." type="list">
      <formula1>lst_SiNo</formula1>
      <formula2>0</formula2>
    </dataValidation>
    <dataValidation sqref="B27" showDropDown="0" showInputMessage="0" showErrorMessage="0" allowBlank="1" errorTitle="Valor no válido" error="Seleccione un valor de la lista desplegable." promptTitle="Presencia de escarpes activos " prompt="Elija una opción de la lista." type="list">
      <formula1>lst_SiNo</formula1>
      <formula2>0</formula2>
    </dataValidation>
    <dataValidation sqref="B28" showDropDown="0" showInputMessage="0" showErrorMessage="0" allowBlank="1" errorTitle="Valor no válido" error="Seleccione un valor de la lista desplegable." promptTitle="¿Reptación de suelo observada?" prompt="Elija una opción de la lista." type="list">
      <formula1>lst_SiNo</formula1>
      <formula2>0</formula2>
    </dataValidation>
    <dataValidation sqref="B29" showDropDown="0" showInputMessage="0" showErrorMessage="0" allowBlank="1" errorTitle="Valor no válido" error="Seleccione un valor de la lista desplegable." promptTitle="¿Deslizamientos antiguos obser" prompt="Elija una opción de la lista." type="list">
      <formula1>lst_SiNo</formula1>
      <formula2>0</formula2>
    </dataValidation>
    <dataValidation sqref="B30" showDropDown="0" showInputMessage="0" showErrorMessage="0" allowBlank="1" errorTitle="Valor no válido" error="Seleccione un valor de la lista desplegable." promptTitle="¿Remociones en masa activas? *" prompt="Elija una opción de la lista." type="list">
      <formula1>lst_SiNo</formula1>
      <formula2>0</formula2>
    </dataValidation>
  </dataValidations>
  <printOptions horizontalCentered="1"/>
  <pageMargins left="0.4" right="0.4" top="0.5" bottom="0.5" header="0.2" footer="0.2"/>
  <pageSetup orientation="portrait" paperSize="9" fitToHeight="0" fitToWidth="1" horizontalDpi="300" verticalDpi="300"/>
</worksheet>
</file>

<file path=xl/worksheets/sheet3.xml><?xml version="1.0" encoding="utf-8"?>
<worksheet xmlns="http://schemas.openxmlformats.org/spreadsheetml/2006/main">
  <sheetPr>
    <outlinePr summaryBelow="1" summaryRight="1"/>
    <pageSetUpPr fitToPage="1"/>
  </sheetPr>
  <dimension ref="A1:L44"/>
  <sheetViews>
    <sheetView showGridLines="0" zoomScaleNormal="100" workbookViewId="0">
      <pane ySplit="6" topLeftCell="A7" activePane="bottomLeft" state="frozen"/>
      <selection pane="bottomLeft" activeCell="D14" sqref="D14:L14"/>
    </sheetView>
  </sheetViews>
  <sheetFormatPr baseColWidth="10" defaultColWidth="8.6640625" defaultRowHeight="14.4"/>
  <cols>
    <col width="10" customWidth="1" style="17" min="1" max="1"/>
    <col width="26" customWidth="1" style="17" min="2" max="2"/>
    <col width="11" customWidth="1" style="17" min="3" max="3"/>
    <col width="12" customWidth="1" style="17" min="4" max="4"/>
    <col width="11" customWidth="1" style="17" min="5" max="5"/>
    <col width="12" customWidth="1" style="17" min="6" max="6"/>
    <col width="9" customWidth="1" style="17" min="7" max="9"/>
    <col width="18" customWidth="1" style="17" min="10" max="10"/>
    <col width="22" customWidth="1" style="17" min="11" max="11"/>
    <col width="14" customWidth="1" style="17" min="12" max="12"/>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F-DT-02: SUELO Y PROCESOS EROSIVOS (INCL. INVENTARIO DE CÁRCAVAS)</t>
        </is>
      </c>
    </row>
    <row r="5" ht="27.75" customHeight="1" s="17">
      <c r="A5" s="21" t="inlineStr">
        <is>
          <t>Caracterización de procesos erosivos del suelo a escala de bloque + inventario georreferenciado de cárcavas/surcos. Insumo para diseño de obras de control de erosión.</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(dd-mm-aaaa) *</t>
        </is>
      </c>
      <c r="B8" s="13" t="n"/>
      <c r="C8" s="14" t="n"/>
      <c r="D8" s="15" t="inlineStr">
        <is>
          <t>12-08-2026</t>
        </is>
      </c>
      <c r="E8" s="13" t="n"/>
      <c r="F8" s="14" t="n"/>
      <c r="G8" s="31" t="inlineStr">
        <is>
          <t>Responsable *</t>
        </is>
      </c>
      <c r="H8" s="13" t="n"/>
      <c r="I8" s="14" t="n"/>
      <c r="J8" s="15" t="inlineStr">
        <is>
          <t>Ing. Héctor Cahuas Miller</t>
        </is>
      </c>
      <c r="K8" s="13" t="n"/>
      <c r="L8" s="14" t="n"/>
    </row>
    <row r="9" ht="19.5" customHeight="1" s="17">
      <c r="A9" s="31" t="inlineStr">
        <is>
          <t>Código del Bloque *</t>
        </is>
      </c>
      <c r="B9" s="13" t="n"/>
      <c r="C9" s="14" t="n"/>
      <c r="D9" s="15" t="inlineStr">
        <is>
          <t>19</t>
        </is>
      </c>
      <c r="E9" s="13" t="n"/>
      <c r="F9" s="14" t="n"/>
      <c r="G9" s="31" t="inlineStr">
        <is>
          <t>Código de Microcuenca (auto)</t>
        </is>
      </c>
      <c r="H9" s="13" t="n"/>
      <c r="I9" s="14" t="n"/>
      <c r="J9" s="12">
        <f>IFERROR(VLOOKUP($D$9,tbl_Bloques,2,FALSE()),"")</f>
        <v/>
      </c>
      <c r="K9" s="13" t="n"/>
      <c r="L9" s="14" t="n"/>
    </row>
    <row r="10" ht="19.5" customHeight="1" s="17">
      <c r="A10" s="31" t="inlineStr">
        <is>
          <t>Distrito (auto)</t>
        </is>
      </c>
      <c r="B10" s="13" t="n"/>
      <c r="C10" s="14" t="n"/>
      <c r="D10" s="12">
        <f>IFERROR(VLOOKUP($D$9,tbl_Bloques,4,FALSE()),"")</f>
        <v/>
      </c>
      <c r="E10" s="13" t="n"/>
      <c r="F10" s="14" t="n"/>
      <c r="G10" s="31" t="inlineStr">
        <is>
          <t>Altitud (msnm)</t>
        </is>
      </c>
      <c r="H10" s="13" t="n"/>
      <c r="I10" s="14" t="n"/>
      <c r="J10" s="44" t="n">
        <v>2054</v>
      </c>
      <c r="K10" s="13" t="n"/>
      <c r="L10" s="14" t="n"/>
    </row>
    <row r="11" ht="19.5" customHeight="1" s="17">
      <c r="A11" s="31" t="inlineStr">
        <is>
          <t>UTM ESTE punto de muestreo *</t>
        </is>
      </c>
      <c r="B11" s="13" t="n"/>
      <c r="C11" s="14" t="n"/>
      <c r="D11" s="44" t="n">
        <v>664992</v>
      </c>
      <c r="E11" s="13" t="n"/>
      <c r="F11" s="14" t="n"/>
      <c r="G11" s="31" t="inlineStr">
        <is>
          <t>UTM NORTE punto de muestreo *</t>
        </is>
      </c>
      <c r="H11" s="13" t="n"/>
      <c r="I11" s="14" t="n"/>
      <c r="J11" s="44" t="n">
        <v>9390773</v>
      </c>
      <c r="K11" s="13" t="n"/>
      <c r="L11" s="14" t="n"/>
    </row>
    <row r="13" ht="21.75" customHeight="1" s="17">
      <c r="A13" s="19" t="inlineStr">
        <is>
          <t>2. DESCRIPCIÓN DE PROCESOS EROSIVOS DEL SUELO</t>
        </is>
      </c>
    </row>
    <row r="14" ht="19.5" customHeight="1" s="17">
      <c r="A14" s="31" t="inlineStr">
        <is>
          <t>Sellamiento / Costra superficial</t>
        </is>
      </c>
      <c r="B14" s="13" t="n"/>
      <c r="C14" s="14" t="n"/>
      <c r="D14" s="15" t="inlineStr">
        <is>
          <t>No</t>
        </is>
      </c>
      <c r="E14" s="13" t="n"/>
      <c r="F14" s="13" t="n"/>
      <c r="G14" s="13" t="n"/>
      <c r="H14" s="13" t="n"/>
      <c r="I14" s="13" t="n"/>
      <c r="J14" s="13" t="n"/>
      <c r="K14" s="13" t="n"/>
      <c r="L14" s="14" t="n"/>
    </row>
    <row r="15" ht="19.5" customHeight="1" s="17">
      <c r="A15" s="31" t="inlineStr">
        <is>
          <t>¿Compactación por pisoteo de ganado?</t>
        </is>
      </c>
      <c r="B15" s="13" t="n"/>
      <c r="C15" s="14" t="n"/>
      <c r="D15" s="15" t="inlineStr">
        <is>
          <t>Sí</t>
        </is>
      </c>
      <c r="E15" s="13" t="n"/>
      <c r="F15" s="13" t="n"/>
      <c r="G15" s="13" t="n"/>
      <c r="H15" s="13" t="n"/>
      <c r="I15" s="13" t="n"/>
      <c r="J15" s="13" t="n"/>
      <c r="K15" s="13" t="n"/>
      <c r="L15" s="14" t="n"/>
    </row>
    <row r="16" ht="19.5" customHeight="1" s="17">
      <c r="A16" s="31" t="inlineStr">
        <is>
          <t>¿Raíces expuestas en superficie?</t>
        </is>
      </c>
      <c r="B16" s="13" t="n"/>
      <c r="C16" s="14" t="n"/>
      <c r="D16" s="15" t="inlineStr">
        <is>
          <t>Sí</t>
        </is>
      </c>
      <c r="E16" s="13" t="n"/>
      <c r="F16" s="13" t="n"/>
      <c r="G16" s="13" t="n"/>
      <c r="H16" s="13" t="n"/>
      <c r="I16" s="13" t="n"/>
      <c r="J16" s="13" t="n"/>
      <c r="K16" s="13" t="n"/>
      <c r="L16" s="14" t="n"/>
    </row>
    <row r="17" ht="19.5" customHeight="1" s="17">
      <c r="A17" s="31" t="inlineStr">
        <is>
          <t>Nivel general de erosión observado *</t>
        </is>
      </c>
      <c r="B17" s="13" t="n"/>
      <c r="C17" s="14" t="n"/>
      <c r="D17" s="15" t="inlineStr">
        <is>
          <t>Moderada (surcos)</t>
        </is>
      </c>
      <c r="E17" s="13" t="n"/>
      <c r="F17" s="13" t="n"/>
      <c r="G17" s="13" t="n"/>
      <c r="H17" s="13" t="n"/>
      <c r="I17" s="13" t="n"/>
      <c r="J17" s="13" t="n"/>
      <c r="K17" s="13" t="n"/>
      <c r="L17" s="14" t="n"/>
    </row>
    <row r="19" ht="21.75" customHeight="1" s="17">
      <c r="A19" s="19" t="inlineStr">
        <is>
          <t>3. INVENTARIO GEORREFERENCIADO DE CÁRCAVAS / SURCOS</t>
        </is>
      </c>
    </row>
    <row r="20" ht="25.5" customHeight="1" s="17">
      <c r="A20" s="32" t="inlineStr">
        <is>
          <t>Registre una fila por cárcava o grupo de surcos homogéneos. Use los desplegables en columnas Tipo, Estado y Causa principal.</t>
        </is>
      </c>
      <c r="B20" s="13" t="n"/>
      <c r="C20" s="13" t="n"/>
      <c r="D20" s="13" t="n"/>
      <c r="E20" s="13" t="n"/>
      <c r="F20" s="13" t="n"/>
      <c r="G20" s="13" t="n"/>
      <c r="H20" s="13" t="n"/>
      <c r="I20" s="13" t="n"/>
      <c r="J20" s="13" t="n"/>
      <c r="K20" s="13" t="n"/>
      <c r="L20" s="14" t="n"/>
    </row>
    <row r="21" ht="31.5" customHeight="1" s="17">
      <c r="A21" s="2" t="inlineStr">
        <is>
          <t>Código
cárcava</t>
        </is>
      </c>
      <c r="B21" s="2" t="inlineStr">
        <is>
          <t>Tipo</t>
        </is>
      </c>
      <c r="C21" s="2" t="inlineStr">
        <is>
          <t>UTM ESTE
(inicio)</t>
        </is>
      </c>
      <c r="D21" s="2" t="inlineStr">
        <is>
          <t>UTM NORTE
(inicio)</t>
        </is>
      </c>
      <c r="E21" s="2" t="inlineStr">
        <is>
          <t>UTM ESTE
(fin)</t>
        </is>
      </c>
      <c r="F21" s="2" t="inlineStr">
        <is>
          <t>UTM NORTE
(fin)</t>
        </is>
      </c>
      <c r="G21" s="2" t="inlineStr">
        <is>
          <t>Long.
(m)</t>
        </is>
      </c>
      <c r="H21" s="2" t="inlineStr">
        <is>
          <t>Prof.
med. (m)</t>
        </is>
      </c>
      <c r="I21" s="2" t="inlineStr">
        <is>
          <t>Ancho
med. (m)</t>
        </is>
      </c>
      <c r="J21" s="2" t="inlineStr">
        <is>
          <t>Estado /
Actividad</t>
        </is>
      </c>
      <c r="K21" s="2" t="inlineStr">
        <is>
          <t>Causa
principal</t>
        </is>
      </c>
      <c r="L21" s="2" t="inlineStr">
        <is>
          <t>Cód.
Fotografía</t>
        </is>
      </c>
    </row>
    <row r="22" ht="19.5" customHeight="1" s="17">
      <c r="A22" s="45" t="inlineStr">
        <is>
          <t>C-01</t>
        </is>
      </c>
      <c r="B22" s="46" t="inlineStr">
        <is>
          <t>Cárcava incipiente (30-50 cm)</t>
        </is>
      </c>
      <c r="C22" s="45" t="n">
        <v>665040</v>
      </c>
      <c r="D22" s="45" t="n">
        <v>9390735</v>
      </c>
      <c r="E22" s="45" t="n">
        <v>665028</v>
      </c>
      <c r="F22" s="45" t="n">
        <v>9390718</v>
      </c>
      <c r="G22" s="45" t="n">
        <v>25</v>
      </c>
      <c r="H22" s="45" t="n">
        <v>0.4</v>
      </c>
      <c r="I22" s="45" t="n">
        <v>0.8</v>
      </c>
      <c r="J22" s="45" t="inlineStr">
        <is>
          <t>Activa</t>
        </is>
      </c>
      <c r="K22" s="46" t="inlineStr">
        <is>
          <t>Concentración natural de escorrentía</t>
        </is>
      </c>
      <c r="L22" s="46" t="inlineStr">
        <is>
          <t>F-10 / F-11</t>
        </is>
      </c>
    </row>
    <row r="23" ht="19.5" customHeight="1" s="17">
      <c r="A23" s="45" t="inlineStr">
        <is>
          <t>C-02</t>
        </is>
      </c>
      <c r="B23" s="46" t="inlineStr">
        <is>
          <t>Surco (&lt;30 cm)</t>
        </is>
      </c>
      <c r="C23" s="45" t="n">
        <v>665030</v>
      </c>
      <c r="D23" s="45" t="n">
        <v>9390737</v>
      </c>
      <c r="E23" s="45" t="n">
        <v>665019</v>
      </c>
      <c r="F23" s="45" t="n">
        <v>9390722</v>
      </c>
      <c r="G23" s="45" t="n">
        <v>15</v>
      </c>
      <c r="H23" s="45" t="n">
        <v>0.25</v>
      </c>
      <c r="I23" s="45" t="n">
        <v>0.5</v>
      </c>
      <c r="J23" s="45" t="inlineStr">
        <is>
          <t>Activa</t>
        </is>
      </c>
      <c r="K23" s="46" t="inlineStr">
        <is>
          <t>Caminos / huellas de ganado</t>
        </is>
      </c>
      <c r="L23" s="46" t="inlineStr">
        <is>
          <t>F-10</t>
        </is>
      </c>
    </row>
    <row r="24" ht="19.5" customHeight="1" s="17">
      <c r="A24" s="45" t="inlineStr">
        <is>
          <t>C-03</t>
        </is>
      </c>
      <c r="B24" s="46" t="inlineStr">
        <is>
          <t>Surco (&lt;30 cm)</t>
        </is>
      </c>
      <c r="C24" s="45" t="n">
        <v>664983</v>
      </c>
      <c r="D24" s="45" t="n">
        <v>9390801</v>
      </c>
      <c r="E24" s="45" t="n">
        <v>664996</v>
      </c>
      <c r="F24" s="45" t="n">
        <v>9390816</v>
      </c>
      <c r="G24" s="45" t="n">
        <v>20</v>
      </c>
      <c r="H24" s="45" t="n">
        <v>0.2</v>
      </c>
      <c r="I24" s="45" t="n">
        <v>0.4</v>
      </c>
      <c r="J24" s="45" t="inlineStr">
        <is>
          <t>Semi-activa</t>
        </is>
      </c>
      <c r="K24" s="46" t="inlineStr">
        <is>
          <t>Surcos de labranza en pendiente</t>
        </is>
      </c>
      <c r="L24" s="46" t="inlineStr">
        <is>
          <t>F-03</t>
        </is>
      </c>
    </row>
    <row r="25" ht="19.5" customHeight="1" s="17">
      <c r="A25" s="3" t="n"/>
      <c r="B25" s="3" t="n"/>
      <c r="C25" s="3" t="n"/>
      <c r="D25" s="3" t="n"/>
      <c r="E25" s="3" t="n"/>
      <c r="F25" s="3" t="n"/>
      <c r="G25" s="3" t="n"/>
      <c r="H25" s="3" t="n"/>
      <c r="I25" s="3" t="n"/>
      <c r="J25" s="3" t="n"/>
      <c r="K25" s="4" t="n"/>
      <c r="L25" s="3" t="n"/>
    </row>
    <row r="26" ht="19.5" customHeight="1" s="17">
      <c r="A26" s="3" t="n"/>
      <c r="B26" s="3" t="n"/>
      <c r="C26" s="3" t="n"/>
      <c r="D26" s="3" t="n"/>
      <c r="E26" s="3" t="n"/>
      <c r="F26" s="3" t="n"/>
      <c r="G26" s="3" t="n"/>
      <c r="H26" s="3" t="n"/>
      <c r="I26" s="3" t="n"/>
      <c r="J26" s="3" t="n"/>
      <c r="K26" s="4" t="n"/>
      <c r="L26" s="3" t="n"/>
    </row>
    <row r="27" ht="19.5" customHeight="1" s="17">
      <c r="A27" s="3" t="n"/>
      <c r="B27" s="3" t="n"/>
      <c r="C27" s="3" t="n"/>
      <c r="D27" s="3" t="n"/>
      <c r="E27" s="3" t="n"/>
      <c r="F27" s="3" t="n"/>
      <c r="G27" s="3" t="n"/>
      <c r="H27" s="3" t="n"/>
      <c r="I27" s="3" t="n"/>
      <c r="J27" s="3" t="n"/>
      <c r="K27" s="4" t="n"/>
      <c r="L27" s="3" t="n"/>
    </row>
    <row r="28" ht="19.5" customHeight="1" s="17">
      <c r="A28" s="3" t="n"/>
      <c r="B28" s="3" t="n"/>
      <c r="C28" s="3" t="n"/>
      <c r="D28" s="3" t="n"/>
      <c r="E28" s="3" t="n"/>
      <c r="F28" s="3" t="n"/>
      <c r="G28" s="3" t="n"/>
      <c r="H28" s="3" t="n"/>
      <c r="I28" s="3" t="n"/>
      <c r="J28" s="3" t="n"/>
      <c r="K28" s="4" t="n"/>
      <c r="L28" s="3" t="n"/>
    </row>
    <row r="29" ht="19.5" customHeight="1" s="17">
      <c r="A29" s="3" t="n"/>
      <c r="B29" s="3" t="n"/>
      <c r="C29" s="3" t="n"/>
      <c r="D29" s="3" t="n"/>
      <c r="E29" s="3" t="n"/>
      <c r="F29" s="3" t="n"/>
      <c r="G29" s="3" t="n"/>
      <c r="H29" s="3" t="n"/>
      <c r="I29" s="3" t="n"/>
      <c r="J29" s="3" t="n"/>
      <c r="K29" s="4" t="n"/>
      <c r="L29" s="3" t="n"/>
    </row>
    <row r="30" ht="19.5" customHeight="1" s="17">
      <c r="A30" s="3" t="n"/>
      <c r="B30" s="3" t="n"/>
      <c r="C30" s="3" t="n"/>
      <c r="D30" s="3" t="n"/>
      <c r="E30" s="3" t="n"/>
      <c r="F30" s="3" t="n"/>
      <c r="G30" s="3" t="n"/>
      <c r="H30" s="3" t="n"/>
      <c r="I30" s="3" t="n"/>
      <c r="J30" s="3" t="n"/>
      <c r="K30" s="4" t="n"/>
      <c r="L30" s="3" t="n"/>
    </row>
    <row r="31" ht="19.5" customHeight="1" s="17">
      <c r="A31" s="3" t="n"/>
      <c r="B31" s="3" t="n"/>
      <c r="C31" s="3" t="n"/>
      <c r="D31" s="3" t="n"/>
      <c r="E31" s="3" t="n"/>
      <c r="F31" s="3" t="n"/>
      <c r="G31" s="3" t="n"/>
      <c r="H31" s="3" t="n"/>
      <c r="I31" s="3" t="n"/>
      <c r="J31" s="3" t="n"/>
      <c r="K31" s="4" t="n"/>
      <c r="L31" s="3" t="n"/>
    </row>
    <row r="33" ht="21.75" customHeight="1" s="17">
      <c r="A33" s="19" t="inlineStr">
        <is>
          <t>4. SÍNTESIS DE PROCESOS EROSIVOS DEL BLOQUE</t>
        </is>
      </c>
    </row>
    <row r="34" ht="19.5" customHeight="1" s="17">
      <c r="A34" s="31" t="inlineStr">
        <is>
          <t>Nivel general de erosión (síntesis) *</t>
        </is>
      </c>
      <c r="B34" s="13" t="n"/>
      <c r="C34" s="14" t="n"/>
      <c r="D34" s="15" t="inlineStr">
        <is>
          <t>Moderada (surcos)</t>
        </is>
      </c>
      <c r="E34" s="13" t="n"/>
      <c r="F34" s="13" t="n"/>
      <c r="G34" s="13" t="n"/>
      <c r="H34" s="13" t="n"/>
      <c r="I34" s="13" t="n"/>
      <c r="J34" s="13" t="n"/>
      <c r="K34" s="13" t="n"/>
      <c r="L34" s="14" t="n"/>
    </row>
    <row r="35" ht="19.5" customHeight="1" s="17">
      <c r="A35" s="31" t="inlineStr">
        <is>
          <t>N° total de cárcavas registradas</t>
        </is>
      </c>
      <c r="B35" s="13" t="n"/>
      <c r="C35" s="14" t="n"/>
      <c r="D35" s="47" t="n">
        <v>3</v>
      </c>
      <c r="E35" s="13" t="n"/>
      <c r="F35" s="14" t="n"/>
      <c r="G35" s="31" t="inlineStr">
        <is>
          <t>Longitud total de cárcavas (m)</t>
        </is>
      </c>
      <c r="H35" s="13" t="n"/>
      <c r="I35" s="14" t="n"/>
      <c r="J35" s="47" t="n">
        <v>60</v>
      </c>
      <c r="K35" s="13" t="n"/>
      <c r="L35" s="14" t="n"/>
    </row>
    <row r="36" ht="19.5" customHeight="1" s="17">
      <c r="A36" s="31" t="inlineStr">
        <is>
          <t>% del bloque afectado por cárcavas</t>
        </is>
      </c>
      <c r="B36" s="13" t="n"/>
      <c r="C36" s="14" t="n"/>
      <c r="D36" s="47" t="inlineStr">
        <is>
          <t>&lt;1 %</t>
        </is>
      </c>
      <c r="E36" s="13" t="n"/>
      <c r="F36" s="14" t="n"/>
      <c r="G36" s="31" t="inlineStr">
        <is>
          <t>Erosión laminar observada (%)</t>
        </is>
      </c>
      <c r="H36" s="13" t="n"/>
      <c r="I36" s="14" t="n"/>
      <c r="J36" s="47" t="inlineStr">
        <is>
          <t>15 %</t>
        </is>
      </c>
      <c r="K36" s="13" t="n"/>
      <c r="L36" s="14" t="n"/>
    </row>
    <row r="37" ht="19.5" customHeight="1" s="17">
      <c r="A37" s="31" t="inlineStr">
        <is>
          <t>Patrón de cárcavas dominante</t>
        </is>
      </c>
      <c r="B37" s="13" t="n"/>
      <c r="C37" s="14" t="n"/>
      <c r="D37" s="15" t="inlineStr">
        <is>
          <t>Aislado</t>
        </is>
      </c>
      <c r="E37" s="13" t="n"/>
      <c r="F37" s="13" t="n"/>
      <c r="G37" s="13" t="n"/>
      <c r="H37" s="13" t="n"/>
      <c r="I37" s="13" t="n"/>
      <c r="J37" s="13" t="n"/>
      <c r="K37" s="13" t="n"/>
      <c r="L37" s="14" t="n"/>
    </row>
    <row r="38" ht="19.5" customHeight="1" s="17">
      <c r="A38" s="31" t="inlineStr">
        <is>
          <t>Presencia de socavamiento de cauce</t>
        </is>
      </c>
      <c r="B38" s="13" t="n"/>
      <c r="C38" s="14" t="n"/>
      <c r="D38" s="15" t="inlineStr">
        <is>
          <t>No</t>
        </is>
      </c>
      <c r="E38" s="13" t="n"/>
      <c r="F38" s="13" t="n"/>
      <c r="G38" s="13" t="n"/>
      <c r="H38" s="13" t="n"/>
      <c r="I38" s="13" t="n"/>
      <c r="J38" s="13" t="n"/>
      <c r="K38" s="13" t="n"/>
      <c r="L38" s="14" t="n"/>
    </row>
    <row r="39" ht="19.5" customHeight="1" s="17">
      <c r="A39" s="31" t="inlineStr">
        <is>
          <t>Urgencia de control</t>
        </is>
      </c>
      <c r="B39" s="13" t="n"/>
      <c r="C39" s="14" t="n"/>
      <c r="D39" s="15" t="inlineStr">
        <is>
          <t>Media</t>
        </is>
      </c>
      <c r="E39" s="13" t="n"/>
      <c r="F39" s="13" t="n"/>
      <c r="G39" s="13" t="n"/>
      <c r="H39" s="13" t="n"/>
      <c r="I39" s="13" t="n"/>
      <c r="J39" s="13" t="n"/>
      <c r="K39" s="13" t="n"/>
      <c r="L39" s="14" t="n"/>
    </row>
    <row r="41" ht="21.75" customHeight="1" s="17">
      <c r="A41" s="19" t="inlineStr">
        <is>
          <t>OBSERVACIONES</t>
        </is>
      </c>
    </row>
    <row r="42" ht="27.75" customHeight="1" s="17">
      <c r="A42" s="15" t="inlineStr">
        <is>
          <t>OBSERVACIONES: El proceso morfodinámico dominante en el sector verificado no es el carcavamiento sino la inestabilidad de taludes de corte de la trocha carrozable: se registraron desprendimientos de suelo y gravas con acumulación de material sobre la plataforma vial (Fotos 9 a 11), en cortes verticales de 3 a 6 m de altura sobre depósitos coluviales y roca meteorizada, sin vegetación de protección ni obras de sostenimiento. La erosión laminar (~15 %) se concentra en las parcelas de secano labradas a favor de la pendiente y en las franjas de pastizal de kikuyo con pisoteo de ganado; se observaron raíces expuestas y compactación superficial en dichas franjas. Los muros de piedra de la andenería rústica actúan como barreras parciales de retención de sedimentos. El inventario corresponde exclusivamente a la franja de pie de ladera recorrida; el sector medio y alto del bloque requiere inventario complementario.</t>
        </is>
      </c>
      <c r="B42" s="24" t="n"/>
      <c r="C42" s="24" t="n"/>
      <c r="D42" s="24" t="n"/>
      <c r="E42" s="24" t="n"/>
      <c r="F42" s="24" t="n"/>
      <c r="G42" s="24" t="n"/>
      <c r="H42" s="24" t="n"/>
      <c r="I42" s="24" t="n"/>
      <c r="J42" s="24" t="n"/>
      <c r="K42" s="24" t="n"/>
      <c r="L42" s="25" t="n"/>
    </row>
    <row r="43" ht="27.75" customHeight="1" s="17">
      <c r="A43" s="26" t="n"/>
      <c r="L43" s="27" t="n"/>
    </row>
    <row r="44" ht="27.75" customHeight="1" s="17">
      <c r="A44" s="28" t="n"/>
      <c r="B44" s="29" t="n"/>
      <c r="C44" s="29" t="n"/>
      <c r="D44" s="29" t="n"/>
      <c r="E44" s="29" t="n"/>
      <c r="F44" s="29" t="n"/>
      <c r="G44" s="29" t="n"/>
      <c r="H44" s="29" t="n"/>
      <c r="I44" s="29" t="n"/>
      <c r="J44" s="29" t="n"/>
      <c r="K44" s="29" t="n"/>
      <c r="L44" s="30" t="n"/>
    </row>
  </sheetData>
  <mergeCells count="53">
    <mergeCell ref="D11:F11"/>
    <mergeCell ref="G10:I10"/>
    <mergeCell ref="A7:L7"/>
    <mergeCell ref="A41:L41"/>
    <mergeCell ref="A37:C37"/>
    <mergeCell ref="J36:L36"/>
    <mergeCell ref="D17:L17"/>
    <mergeCell ref="J35:L35"/>
    <mergeCell ref="A3:L3"/>
    <mergeCell ref="D16:L16"/>
    <mergeCell ref="J11:L11"/>
    <mergeCell ref="A2:L2"/>
    <mergeCell ref="A33:L33"/>
    <mergeCell ref="D37:L37"/>
    <mergeCell ref="A42:L44"/>
    <mergeCell ref="A8:C8"/>
    <mergeCell ref="A5:L5"/>
    <mergeCell ref="A14:C14"/>
    <mergeCell ref="A17:C17"/>
    <mergeCell ref="G35:I35"/>
    <mergeCell ref="D9:F9"/>
    <mergeCell ref="A35:C35"/>
    <mergeCell ref="D39:L39"/>
    <mergeCell ref="D8:F8"/>
    <mergeCell ref="A38:C38"/>
    <mergeCell ref="A4:L4"/>
    <mergeCell ref="A10:C10"/>
    <mergeCell ref="A20:L20"/>
    <mergeCell ref="D15:L15"/>
    <mergeCell ref="A19:L19"/>
    <mergeCell ref="D38:L38"/>
    <mergeCell ref="D14:L14"/>
    <mergeCell ref="A13:L13"/>
    <mergeCell ref="A9:C9"/>
    <mergeCell ref="G9:I9"/>
    <mergeCell ref="J8:L8"/>
    <mergeCell ref="D35:F35"/>
    <mergeCell ref="A39:C39"/>
    <mergeCell ref="A34:C34"/>
    <mergeCell ref="A15:C15"/>
    <mergeCell ref="D10:F10"/>
    <mergeCell ref="G11:I11"/>
    <mergeCell ref="A36:C36"/>
    <mergeCell ref="A11:C11"/>
    <mergeCell ref="D34:L34"/>
    <mergeCell ref="J10:L10"/>
    <mergeCell ref="G36:I36"/>
    <mergeCell ref="A1:L1"/>
    <mergeCell ref="G8:I8"/>
    <mergeCell ref="D36:F36"/>
    <mergeCell ref="A6:L6"/>
    <mergeCell ref="J9:L9"/>
    <mergeCell ref="A16:C16"/>
  </mergeCells>
  <dataValidations count="12">
    <dataValidation sqref="D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D14" showDropDown="0" showInputMessage="0" showErrorMessage="0" allowBlank="1" errorTitle="Valor no válido" error="Seleccione un valor de la lista desplegable." promptTitle="Sellamiento / Costra superfici" prompt="Elija una opción de la lista." type="list">
      <formula1>lst_SiNo</formula1>
      <formula2>0</formula2>
    </dataValidation>
    <dataValidation sqref="D15" showDropDown="0" showInputMessage="0" showErrorMessage="0" allowBlank="1" errorTitle="Valor no válido" error="Seleccione un valor de la lista desplegable." promptTitle="¿Compactación por pisoteo de g" prompt="Elija una opción de la lista." type="list">
      <formula1>lst_SiNo</formula1>
      <formula2>0</formula2>
    </dataValidation>
    <dataValidation sqref="D16" showDropDown="0" showInputMessage="0" showErrorMessage="0" allowBlank="1" errorTitle="Valor no válido" error="Seleccione un valor de la lista desplegable." promptTitle="¿Raíces expuestas en superfici" prompt="Elija una opción de la lista." type="list">
      <formula1>lst_SiNo</formula1>
      <formula2>0</formula2>
    </dataValidation>
    <dataValidation sqref="D17" showDropDown="0" showInputMessage="0" showErrorMessage="0" allowBlank="1" errorTitle="Valor no válido" error="Seleccione un valor de la lista desplegable." promptTitle="Nivel general de erosión obser" prompt="Elija una opción de la lista." type="list">
      <formula1>lst_NivelErosion</formula1>
      <formula2>0</formula2>
    </dataValidation>
    <dataValidation sqref="B22:B31" showDropDown="0" showInputMessage="0" showErrorMessage="0" allowBlank="1" errorTitle="Valor no válido" error="Seleccione un valor de la lista desplegable." promptTitle="Tipo de cárcava" prompt="Elija una opción de la lista." type="list">
      <formula1>lst_TipoCarcava</formula1>
      <formula2>0</formula2>
    </dataValidation>
    <dataValidation sqref="J22:J31" showDropDown="0" showInputMessage="0" showErrorMessage="0" allowBlank="1" errorTitle="Valor no válido" error="Seleccione un valor de la lista desplegable." promptTitle="Estado / Actividad" prompt="Elija una opción de la lista." type="list">
      <formula1>lst_EstadoCarcava</formula1>
      <formula2>0</formula2>
    </dataValidation>
    <dataValidation sqref="K22:K31" showDropDown="0" showInputMessage="0" showErrorMessage="0" allowBlank="1" errorTitle="Valor no válido" error="Seleccione un valor de la lista desplegable." promptTitle="Causa principal" prompt="Elija una opción de la lista." type="list">
      <formula1>lst_CausaCarcava</formula1>
      <formula2>0</formula2>
    </dataValidation>
    <dataValidation sqref="D34" showDropDown="0" showInputMessage="0" showErrorMessage="0" allowBlank="1" errorTitle="Valor no válido" error="Seleccione un valor de la lista desplegable." promptTitle="Nivel general de erosión (sínt" prompt="Elija una opción de la lista." type="list">
      <formula1>lst_NivelErosion</formula1>
      <formula2>0</formula2>
    </dataValidation>
    <dataValidation sqref="D37" showDropDown="0" showInputMessage="0" showErrorMessage="0" allowBlank="1" errorTitle="Valor no válido" error="Seleccione un valor de la lista desplegable." promptTitle="Patrón de cárcavas dominante" prompt="Elija una opción de la lista." type="list">
      <formula1>lst_PatronCarcavas</formula1>
      <formula2>0</formula2>
    </dataValidation>
    <dataValidation sqref="D38" showDropDown="0" showInputMessage="0" showErrorMessage="0" allowBlank="1" errorTitle="Valor no válido" error="Seleccione un valor de la lista desplegable." promptTitle="Presencia de socavamiento de c" prompt="Elija una opción de la lista." type="list">
      <formula1>lst_SiNo</formula1>
      <formula2>0</formula2>
    </dataValidation>
    <dataValidation sqref="D39" showDropDown="0" showInputMessage="0" showErrorMessage="0" allowBlank="1" errorTitle="Valor no válido" error="Seleccione un valor de la lista desplegable." promptTitle="Urgencia de control" prompt="Elija una opción de la lista." type="list">
      <formula1>lst_Urgencia</formula1>
      <formula2>0</formula2>
    </dataValidation>
  </dataValidations>
  <printOptions horizontalCentered="1"/>
  <pageMargins left="0.4" right="0.4" top="0.5" bottom="0.5" header="0.2" footer="0.2"/>
  <pageSetup orientation="portrait" paperSize="9" fitToHeight="0" fitToWidth="1" horizontalDpi="300" verticalDpi="300"/>
</worksheet>
</file>

<file path=xl/worksheets/sheet4.xml><?xml version="1.0" encoding="utf-8"?>
<worksheet xmlns="http://schemas.openxmlformats.org/spreadsheetml/2006/main">
  <sheetPr>
    <outlinePr summaryBelow="1" summaryRight="1"/>
    <pageSetUpPr fitToPage="1"/>
  </sheetPr>
  <dimension ref="A1:I67"/>
  <sheetViews>
    <sheetView showGridLines="0" zoomScaleNormal="100" workbookViewId="0">
      <pane ySplit="6" topLeftCell="A7" activePane="bottomLeft" state="frozen"/>
      <selection pane="bottomLeft" activeCell="A1" sqref="A1:I1"/>
    </sheetView>
  </sheetViews>
  <sheetFormatPr baseColWidth="10" defaultColWidth="8.6640625" defaultRowHeight="14.4"/>
  <cols>
    <col width="8" customWidth="1" style="17" min="1" max="1"/>
    <col width="26" customWidth="1" style="17" min="2" max="2"/>
    <col width="24" customWidth="1" style="17" min="3" max="3"/>
    <col width="18" customWidth="1" style="17" min="4" max="4"/>
    <col width="22" customWidth="1" style="17" min="5" max="5"/>
    <col width="14" customWidth="1" style="17" min="6" max="6"/>
    <col width="17" customWidth="1" style="17" min="7" max="7"/>
    <col width="13" customWidth="1" style="17" min="8" max="8"/>
    <col width="12" customWidth="1" style="17" min="9" max="9"/>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F-DT-03: ECOSISTEMA: COMPOSICIÓN, ESTRUCTURA Y VALOR ECOLÓGICO</t>
        </is>
      </c>
    </row>
    <row r="5" ht="27.75" customHeight="1" s="17">
      <c r="A5" s="21" t="inlineStr">
        <is>
          <t>Caracterización ecológica del bloque: tipo de ecosistema, estado de conservación, estructura vertical, composición florística rápida y registro de especies clave/indicadoras.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t>
        </is>
      </c>
      <c r="B8" s="14" t="n"/>
      <c r="C8" s="15" t="inlineStr">
        <is>
          <t>12-08-2026</t>
        </is>
      </c>
      <c r="D8" s="14" t="n"/>
      <c r="E8" s="31" t="inlineStr">
        <is>
          <t>Responsable *</t>
        </is>
      </c>
      <c r="F8" s="14" t="n"/>
      <c r="G8" s="15" t="inlineStr">
        <is>
          <t>Ing. Héctor Cahuas Miller</t>
        </is>
      </c>
      <c r="H8" s="13" t="n"/>
      <c r="I8" s="14" t="n"/>
    </row>
    <row r="9" ht="19.5" customHeight="1" s="17">
      <c r="A9" s="31" t="inlineStr">
        <is>
          <t>Código del Bloque *</t>
        </is>
      </c>
      <c r="B9" s="14" t="n"/>
      <c r="C9" s="15" t="inlineStr">
        <is>
          <t>19</t>
        </is>
      </c>
      <c r="D9" s="14" t="n"/>
      <c r="E9" s="31" t="inlineStr">
        <is>
          <t>Microcuenca (auto)</t>
        </is>
      </c>
      <c r="F9" s="14" t="n"/>
      <c r="G9" s="12">
        <f>IFERROR(VLOOKUP($C$9,tbl_Bloques,2,FALSE()),"")</f>
        <v/>
      </c>
      <c r="H9" s="13" t="n"/>
      <c r="I9" s="14" t="n"/>
    </row>
    <row r="10" ht="19.5" customHeight="1" s="17">
      <c r="A10" s="31" t="inlineStr">
        <is>
          <t>Distrito (auto)</t>
        </is>
      </c>
      <c r="B10" s="14" t="n"/>
      <c r="C10" s="12">
        <f>IFERROR(VLOOKUP($C$9,tbl_Bloques,4,FALSE()),"")</f>
        <v/>
      </c>
      <c r="D10" s="14" t="n"/>
      <c r="E10" s="31" t="inlineStr">
        <is>
          <t>Parcela de muestreo</t>
        </is>
      </c>
      <c r="F10" s="14" t="n"/>
      <c r="G10" s="15" t="inlineStr">
        <is>
          <t>Recorrido de observación (no se instaló parcela permanente)</t>
        </is>
      </c>
      <c r="H10" s="13" t="n"/>
      <c r="I10" s="14" t="n"/>
    </row>
    <row r="11" ht="19.5" customHeight="1" s="17">
      <c r="A11" s="31" t="inlineStr">
        <is>
          <t>Dimensiones de parcela (m × m)</t>
        </is>
      </c>
      <c r="B11" s="14" t="n"/>
      <c r="C11" s="15" t="inlineStr">
        <is>
          <t>No aplica</t>
        </is>
      </c>
      <c r="D11" s="14" t="n"/>
      <c r="E11" s="31" t="inlineStr">
        <is>
          <t>Altitud (msnm)</t>
        </is>
      </c>
      <c r="F11" s="14" t="n"/>
      <c r="G11" s="15" t="inlineStr">
        <is>
          <t>2 049 – 2 057 (estaciones GPS)</t>
        </is>
      </c>
      <c r="H11" s="13" t="n"/>
      <c r="I11" s="14" t="n"/>
    </row>
    <row r="12" ht="19.5" customHeight="1" s="17">
      <c r="A12" s="31" t="inlineStr">
        <is>
          <t>Pendiente promedio de la parcela (%)</t>
        </is>
      </c>
      <c r="B12" s="14" t="n"/>
      <c r="C12" s="44" t="n">
        <v>35</v>
      </c>
      <c r="D12" s="14" t="n"/>
      <c r="E12" s="31" t="inlineStr">
        <is>
          <t>Cobertura vegetal total estimada (%) *</t>
        </is>
      </c>
      <c r="F12" s="14" t="n"/>
      <c r="G12" s="44" t="n">
        <v>85</v>
      </c>
      <c r="H12" s="13" t="n"/>
      <c r="I12" s="14" t="n"/>
    </row>
    <row r="13" ht="19.5" customHeight="1" s="17">
      <c r="A13" s="31" t="inlineStr">
        <is>
          <t>UTM ESTE esquina inferior *</t>
        </is>
      </c>
      <c r="B13" s="14" t="n"/>
      <c r="C13" s="44" t="n">
        <v>664973</v>
      </c>
      <c r="D13" s="14" t="n"/>
      <c r="E13" s="31" t="inlineStr">
        <is>
          <t>UTM NORTE esquina inferior *</t>
        </is>
      </c>
      <c r="F13" s="14" t="n"/>
      <c r="G13" s="44" t="n">
        <v>9390797</v>
      </c>
      <c r="H13" s="13" t="n"/>
      <c r="I13" s="14" t="n"/>
    </row>
    <row r="15" ht="21.75" customHeight="1" s="17">
      <c r="A15" s="19" t="inlineStr">
        <is>
          <t>2. CLASIFICACIÓN DEL ECOSISTEMA (UP)</t>
        </is>
      </c>
    </row>
    <row r="16" ht="19.5" customHeight="1" s="17">
      <c r="A16" s="31" t="inlineStr">
        <is>
          <t>Tipo de ecosistema MINAM (dominante) *</t>
        </is>
      </c>
      <c r="B16" s="14" t="n"/>
      <c r="C16" s="15" t="inlineStr">
        <is>
          <t>Agroecosistema / Mosaico</t>
        </is>
      </c>
      <c r="D16" s="13" t="n"/>
      <c r="E16" s="13" t="n"/>
      <c r="F16" s="13" t="n"/>
      <c r="G16" s="13" t="n"/>
      <c r="H16" s="13" t="n"/>
      <c r="I16" s="14" t="n"/>
    </row>
    <row r="17" ht="19.5" customHeight="1" s="17">
      <c r="A17" s="31" t="inlineStr">
        <is>
          <t>Superficie del ecosistema en el bloque (ha)</t>
        </is>
      </c>
      <c r="B17" s="14" t="n"/>
      <c r="C17" s="44" t="n">
        <v>82.09</v>
      </c>
      <c r="D17" s="13" t="n"/>
      <c r="E17" s="13" t="n"/>
      <c r="F17" s="13" t="n"/>
      <c r="G17" s="13" t="n"/>
      <c r="H17" s="13" t="n"/>
      <c r="I17" s="14" t="n"/>
    </row>
    <row r="18" ht="19.5" customHeight="1" s="17">
      <c r="A18" s="31" t="inlineStr">
        <is>
          <t>Estado de conservación general *</t>
        </is>
      </c>
      <c r="B18" s="14" t="n"/>
      <c r="C18" s="15" t="inlineStr">
        <is>
          <t>Alterado (intervención marcada)</t>
        </is>
      </c>
      <c r="D18" s="13" t="n"/>
      <c r="E18" s="13" t="n"/>
      <c r="F18" s="13" t="n"/>
      <c r="G18" s="13" t="n"/>
      <c r="H18" s="13" t="n"/>
      <c r="I18" s="14" t="n"/>
    </row>
    <row r="19" ht="19.5" customHeight="1" s="17">
      <c r="A19" s="31" t="inlineStr">
        <is>
          <t>Uso actual dominante del suelo *</t>
        </is>
      </c>
      <c r="B19" s="14" t="n"/>
      <c r="C19" s="15" t="inlineStr">
        <is>
          <t>Uso mixto</t>
        </is>
      </c>
      <c r="D19" s="13" t="n"/>
      <c r="E19" s="13" t="n"/>
      <c r="F19" s="13" t="n"/>
      <c r="G19" s="13" t="n"/>
      <c r="H19" s="13" t="n"/>
      <c r="I19" s="14" t="n"/>
    </row>
    <row r="21" ht="21.75" customHeight="1" s="17">
      <c r="A21" s="19" t="inlineStr">
        <is>
          <t>3. ESTRUCTURA DEL ECOSISTEMA</t>
        </is>
      </c>
    </row>
    <row r="22" ht="19.5" customHeight="1" s="17">
      <c r="A22" s="31" t="inlineStr">
        <is>
          <t>Cobertura del dosel arbóreo (%)</t>
        </is>
      </c>
      <c r="B22" s="14" t="n"/>
      <c r="C22" s="44" t="n">
        <v>25</v>
      </c>
      <c r="D22" s="14" t="n"/>
      <c r="E22" s="31" t="inlineStr">
        <is>
          <t>Cobertura arbustiva (%)</t>
        </is>
      </c>
      <c r="F22" s="14" t="n"/>
      <c r="G22" s="44" t="n">
        <v>20</v>
      </c>
      <c r="H22" s="13" t="n"/>
      <c r="I22" s="14" t="n"/>
    </row>
    <row r="23" ht="19.5" customHeight="1" s="17">
      <c r="A23" s="31" t="inlineStr">
        <is>
          <t>Cobertura herbácea-graminoide (%)</t>
        </is>
      </c>
      <c r="B23" s="14" t="n"/>
      <c r="C23" s="44" t="n">
        <v>40</v>
      </c>
      <c r="D23" s="14" t="n"/>
      <c r="E23" s="31" t="inlineStr">
        <is>
          <t>Cobertura de hojarasca (%)</t>
        </is>
      </c>
      <c r="F23" s="14" t="n"/>
      <c r="G23" s="44" t="n">
        <v>10</v>
      </c>
      <c r="H23" s="13" t="n"/>
      <c r="I23" s="14" t="n"/>
    </row>
    <row r="24" ht="19.5" customHeight="1" s="17">
      <c r="A24" s="31" t="inlineStr">
        <is>
          <t>Cobertura de suelo desnudo (%)</t>
        </is>
      </c>
      <c r="B24" s="14" t="n"/>
      <c r="C24" s="44" t="n">
        <v>15</v>
      </c>
      <c r="D24" s="14" t="n"/>
      <c r="E24" s="31" t="inlineStr">
        <is>
          <t>Altura promedio estrato dominante (m)</t>
        </is>
      </c>
      <c r="F24" s="14" t="n"/>
      <c r="G24" s="44" t="n">
        <v>8</v>
      </c>
      <c r="H24" s="13" t="n"/>
      <c r="I24" s="14" t="n"/>
    </row>
    <row r="25" ht="19.5" customHeight="1" s="17">
      <c r="A25" s="31" t="inlineStr">
        <is>
          <t>Altura máxima observada (m)</t>
        </is>
      </c>
      <c r="B25" s="14" t="n"/>
      <c r="C25" s="44" t="n">
        <v>18</v>
      </c>
      <c r="D25" s="14" t="n"/>
      <c r="E25" s="31" t="inlineStr">
        <is>
          <t>DAP promedio árboles DAP≥10 cm (cm)</t>
        </is>
      </c>
      <c r="F25" s="14" t="n"/>
      <c r="G25" s="44" t="n">
        <v>22</v>
      </c>
      <c r="H25" s="13" t="n"/>
      <c r="I25" s="14" t="n"/>
    </row>
    <row r="26" ht="19.5" customHeight="1" s="17">
      <c r="A26" s="31" t="inlineStr">
        <is>
          <t>Regeneración natural observada *</t>
        </is>
      </c>
      <c r="B26" s="14" t="n"/>
      <c r="C26" s="15" t="inlineStr">
        <is>
          <t>Escasa (&lt;10 pl./100m²)</t>
        </is>
      </c>
      <c r="D26" s="13" t="n"/>
      <c r="E26" s="13" t="n"/>
      <c r="F26" s="13" t="n"/>
      <c r="G26" s="13" t="n"/>
      <c r="H26" s="13" t="n"/>
      <c r="I26" s="14" t="n"/>
    </row>
    <row r="27" ht="19.5" customHeight="1" s="17">
      <c r="A27" s="31" t="inlineStr">
        <is>
          <t>Estado sanitario general del dosel *</t>
        </is>
      </c>
      <c r="B27" s="14" t="n"/>
      <c r="C27" s="15" t="inlineStr">
        <is>
          <t>Sano</t>
        </is>
      </c>
      <c r="D27" s="13" t="n"/>
      <c r="E27" s="13" t="n"/>
      <c r="F27" s="13" t="n"/>
      <c r="G27" s="13" t="n"/>
      <c r="H27" s="13" t="n"/>
      <c r="I27" s="14" t="n"/>
    </row>
    <row r="28" ht="19.5" customHeight="1" s="17">
      <c r="A28" s="31" t="inlineStr">
        <is>
          <t>Presencia de epífitas (cualitativa)</t>
        </is>
      </c>
      <c r="B28" s="14" t="n"/>
      <c r="C28" s="15" t="inlineStr">
        <is>
          <t>No</t>
        </is>
      </c>
      <c r="D28" s="13" t="n"/>
      <c r="E28" s="13" t="n"/>
      <c r="F28" s="13" t="n"/>
      <c r="G28" s="13" t="n"/>
      <c r="H28" s="13" t="n"/>
      <c r="I28" s="14" t="n"/>
    </row>
    <row r="29" ht="19.5" customHeight="1" s="17">
      <c r="A29" s="31" t="inlineStr">
        <is>
          <t>Fenología dominante (época de visita)</t>
        </is>
      </c>
      <c r="B29" s="14" t="n"/>
      <c r="C29" s="15" t="inlineStr">
        <is>
          <t>Vegetativo</t>
        </is>
      </c>
      <c r="D29" s="13" t="n"/>
      <c r="E29" s="13" t="n"/>
      <c r="F29" s="13" t="n"/>
      <c r="G29" s="13" t="n"/>
      <c r="H29" s="13" t="n"/>
      <c r="I29" s="14" t="n"/>
    </row>
    <row r="30" ht="19.5" customHeight="1" s="17">
      <c r="A30" s="31" t="inlineStr">
        <is>
          <t>Tipo de cobertura vegetal dominante *</t>
        </is>
      </c>
      <c r="B30" s="14" t="n"/>
      <c r="C30" s="15" t="inlineStr">
        <is>
          <t>Mixto / Mosaico</t>
        </is>
      </c>
      <c r="D30" s="13" t="n"/>
      <c r="E30" s="13" t="n"/>
      <c r="F30" s="13" t="n"/>
      <c r="G30" s="13" t="n"/>
      <c r="H30" s="13" t="n"/>
      <c r="I30" s="14" t="n"/>
    </row>
    <row r="32" ht="21.75" customHeight="1" s="17">
      <c r="A32" s="19" t="inlineStr">
        <is>
          <t>4. COMPOSICIÓN FLORÍSTICA — Registro rápido por estrato (mín. 15 especies)</t>
        </is>
      </c>
    </row>
    <row r="33" ht="43.5" customHeight="1" s="17">
      <c r="A33" s="32" t="inlineStr">
        <is>
          <t>ESTRATO: Arbóreo sup(&gt;15 m) | Arbóreo med(8-15 m) | Arbóreo bajo(4-8 m) | Arbustivo alto(1.5-4 m) | Arbustivo bajo(0.5-1.5 m) | Herbáceo(&lt;0.5 m) | Epífito | Trepador  ——  ORIGEN: Nativa | Endémica | Introducida | Invasora  ——  ABUNDANCIA: Dominante(&gt;40%) | Abundante(20-40%) | Frecuente(5-20%) | Ocasional(1-5%) | Rara(&lt;1%)</t>
        </is>
      </c>
      <c r="B33" s="13" t="n"/>
      <c r="C33" s="13" t="n"/>
      <c r="D33" s="13" t="n"/>
      <c r="E33" s="13" t="n"/>
      <c r="F33" s="13" t="n"/>
      <c r="G33" s="13" t="n"/>
      <c r="H33" s="13" t="n"/>
      <c r="I33" s="14" t="n"/>
    </row>
    <row r="34" ht="31.5" customHeight="1" s="17">
      <c r="A34" s="2" t="inlineStr">
        <is>
          <t>N°</t>
        </is>
      </c>
      <c r="B34" s="2" t="inlineStr">
        <is>
          <t>Nombre común/local</t>
        </is>
      </c>
      <c r="C34" s="2" t="inlineStr">
        <is>
          <t>Nombre científico
(preliminar)</t>
        </is>
      </c>
      <c r="D34" s="2" t="inlineStr">
        <is>
          <t>Familia</t>
        </is>
      </c>
      <c r="E34" s="2" t="inlineStr">
        <is>
          <t>Estrato</t>
        </is>
      </c>
      <c r="F34" s="2" t="inlineStr">
        <is>
          <t>Origen</t>
        </is>
      </c>
      <c r="G34" s="2" t="inlineStr">
        <is>
          <t>Abundancia</t>
        </is>
      </c>
      <c r="H34" s="2" t="inlineStr">
        <is>
          <t>DAP (cm)
[árboles]</t>
        </is>
      </c>
      <c r="I34" s="2" t="inlineStr">
        <is>
          <t>Altura (m)</t>
        </is>
      </c>
    </row>
    <row r="35" ht="18" customHeight="1" s="17">
      <c r="A35" s="5" t="n">
        <v>1</v>
      </c>
      <c r="B35" s="46" t="inlineStr">
        <is>
          <t>Eucalipto</t>
        </is>
      </c>
      <c r="C35" s="48" t="inlineStr">
        <is>
          <t>Eucalyptus globulus</t>
        </is>
      </c>
      <c r="D35" s="46" t="inlineStr">
        <is>
          <t>Myrtaceae</t>
        </is>
      </c>
      <c r="E35" s="46" t="inlineStr">
        <is>
          <t>Arbóreo superior (&gt;15 m)</t>
        </is>
      </c>
      <c r="F35" s="46" t="inlineStr">
        <is>
          <t>Introducida</t>
        </is>
      </c>
      <c r="G35" s="45" t="inlineStr">
        <is>
          <t>Abundante (20-40%)</t>
        </is>
      </c>
      <c r="H35" s="45" t="n">
        <v>30</v>
      </c>
      <c r="I35" s="45" t="n">
        <v>18</v>
      </c>
    </row>
    <row r="36" ht="18" customHeight="1" s="17">
      <c r="A36" s="5" t="n">
        <v>2</v>
      </c>
      <c r="B36" s="46" t="inlineStr">
        <is>
          <t>Pino</t>
        </is>
      </c>
      <c r="C36" s="48" t="inlineStr">
        <is>
          <t>Pinus sp. (cf. P. radiata)</t>
        </is>
      </c>
      <c r="D36" s="46" t="inlineStr">
        <is>
          <t>Pinaceae</t>
        </is>
      </c>
      <c r="E36" s="46" t="inlineStr">
        <is>
          <t>Arbóreo medio (8-15 m)</t>
        </is>
      </c>
      <c r="F36" s="46" t="inlineStr">
        <is>
          <t>Introducida</t>
        </is>
      </c>
      <c r="G36" s="45" t="inlineStr">
        <is>
          <t>Abundante (20-40%)</t>
        </is>
      </c>
      <c r="H36" s="45" t="n">
        <v>22</v>
      </c>
      <c r="I36" s="45" t="n">
        <v>12</v>
      </c>
    </row>
    <row r="37" ht="18" customHeight="1" s="17">
      <c r="A37" s="5" t="n">
        <v>3</v>
      </c>
      <c r="B37" s="46" t="inlineStr">
        <is>
          <t>Ciprés</t>
        </is>
      </c>
      <c r="C37" s="48" t="inlineStr">
        <is>
          <t>Cupressus sp. (cf. C. macrocarpa)</t>
        </is>
      </c>
      <c r="D37" s="46" t="inlineStr">
        <is>
          <t>Cupressaceae</t>
        </is>
      </c>
      <c r="E37" s="46" t="inlineStr">
        <is>
          <t>Arbóreo medio (8-15 m)</t>
        </is>
      </c>
      <c r="F37" s="46" t="inlineStr">
        <is>
          <t>Introducida</t>
        </is>
      </c>
      <c r="G37" s="45" t="inlineStr">
        <is>
          <t>Frecuente (5-20%)</t>
        </is>
      </c>
      <c r="H37" s="45" t="n">
        <v>25</v>
      </c>
      <c r="I37" s="45" t="n">
        <v>12</v>
      </c>
    </row>
    <row r="38" ht="18" customHeight="1" s="17">
      <c r="A38" s="5" t="n">
        <v>4</v>
      </c>
      <c r="B38" s="46" t="inlineStr">
        <is>
          <t>Chilca</t>
        </is>
      </c>
      <c r="C38" s="48" t="inlineStr">
        <is>
          <t>Baccharis latifolia (cf.)</t>
        </is>
      </c>
      <c r="D38" s="46" t="inlineStr">
        <is>
          <t>Asteraceae</t>
        </is>
      </c>
      <c r="E38" s="46" t="inlineStr">
        <is>
          <t>Arbustivo alto (1.5-4 m)</t>
        </is>
      </c>
      <c r="F38" s="46" t="inlineStr">
        <is>
          <t>Nativa</t>
        </is>
      </c>
      <c r="G38" s="45" t="inlineStr">
        <is>
          <t>Frecuente (5-20%)</t>
        </is>
      </c>
      <c r="H38" s="45" t="n"/>
      <c r="I38" s="45" t="n">
        <v>2.5</v>
      </c>
    </row>
    <row r="39" ht="18" customHeight="1" s="17">
      <c r="A39" s="5" t="n">
        <v>5</v>
      </c>
      <c r="B39" s="46" t="inlineStr">
        <is>
          <t>Kikuyo</t>
        </is>
      </c>
      <c r="C39" s="48" t="inlineStr">
        <is>
          <t>Cenchrus clandestinus (syn. Pennisetum clandestinum)</t>
        </is>
      </c>
      <c r="D39" s="46" t="inlineStr">
        <is>
          <t>Poaceae</t>
        </is>
      </c>
      <c r="E39" s="46" t="inlineStr">
        <is>
          <t>Herbáceo (&lt;0.5 m)</t>
        </is>
      </c>
      <c r="F39" s="46" t="inlineStr">
        <is>
          <t>Introducida</t>
        </is>
      </c>
      <c r="G39" s="45" t="inlineStr">
        <is>
          <t>Dominante (&gt;40%)</t>
        </is>
      </c>
      <c r="H39" s="45" t="n"/>
      <c r="I39" s="45" t="n">
        <v>0.3</v>
      </c>
    </row>
    <row r="40" ht="18" customHeight="1" s="17">
      <c r="A40" s="5" t="n">
        <v>6</v>
      </c>
      <c r="B40" s="46" t="inlineStr">
        <is>
          <t>Trigo (cultivo)</t>
        </is>
      </c>
      <c r="C40" s="48" t="inlineStr">
        <is>
          <t>Triticum aestivum</t>
        </is>
      </c>
      <c r="D40" s="46" t="inlineStr">
        <is>
          <t>Poaceae</t>
        </is>
      </c>
      <c r="E40" s="46" t="inlineStr">
        <is>
          <t>Herbáceo (&lt;0.5 m)</t>
        </is>
      </c>
      <c r="F40" s="46" t="inlineStr">
        <is>
          <t>Introducida</t>
        </is>
      </c>
      <c r="G40" s="45" t="inlineStr">
        <is>
          <t>Abundante (20-40%)</t>
        </is>
      </c>
      <c r="H40" s="45" t="n"/>
      <c r="I40" s="45" t="n">
        <v>0.9</v>
      </c>
    </row>
    <row r="41" ht="18" customHeight="1" s="17">
      <c r="A41" s="5" t="n">
        <v>7</v>
      </c>
      <c r="B41" s="46" t="inlineStr">
        <is>
          <t>Papa (cultivo)</t>
        </is>
      </c>
      <c r="C41" s="48" t="inlineStr">
        <is>
          <t>Solanum tuberosum</t>
        </is>
      </c>
      <c r="D41" s="46" t="inlineStr">
        <is>
          <t>Solanaceae</t>
        </is>
      </c>
      <c r="E41" s="46" t="inlineStr">
        <is>
          <t>Herbáceo (&lt;0.5 m)</t>
        </is>
      </c>
      <c r="F41" s="46" t="inlineStr">
        <is>
          <t>Introducida</t>
        </is>
      </c>
      <c r="G41" s="45" t="inlineStr">
        <is>
          <t>Frecuente (5-20%)</t>
        </is>
      </c>
      <c r="H41" s="45" t="n"/>
      <c r="I41" s="45" t="n">
        <v>0.6</v>
      </c>
    </row>
    <row r="42" ht="18" customHeight="1" s="17">
      <c r="A42" s="5" t="n">
        <v>8</v>
      </c>
      <c r="B42" s="4" t="n"/>
      <c r="C42" s="4" t="n"/>
      <c r="D42" s="4" t="n"/>
      <c r="E42" s="3" t="n"/>
      <c r="F42" s="3" t="n"/>
      <c r="G42" s="3" t="n"/>
      <c r="H42" s="3" t="n"/>
      <c r="I42" s="3" t="n"/>
    </row>
    <row r="43" ht="18" customHeight="1" s="17">
      <c r="A43" s="5" t="n">
        <v>9</v>
      </c>
      <c r="B43" s="4" t="n"/>
      <c r="C43" s="4" t="n"/>
      <c r="D43" s="4" t="n"/>
      <c r="E43" s="3" t="n"/>
      <c r="F43" s="3" t="n"/>
      <c r="G43" s="3" t="n"/>
      <c r="H43" s="3" t="n"/>
      <c r="I43" s="3" t="n"/>
    </row>
    <row r="44" ht="18" customHeight="1" s="17">
      <c r="A44" s="5" t="n">
        <v>10</v>
      </c>
      <c r="B44" s="4" t="n"/>
      <c r="C44" s="4" t="n"/>
      <c r="D44" s="4" t="n"/>
      <c r="E44" s="3" t="n"/>
      <c r="F44" s="3" t="n"/>
      <c r="G44" s="3" t="n"/>
      <c r="H44" s="3" t="n"/>
      <c r="I44" s="3" t="n"/>
    </row>
    <row r="45" ht="18" customHeight="1" s="17">
      <c r="A45" s="5" t="n">
        <v>11</v>
      </c>
      <c r="B45" s="4" t="n"/>
      <c r="C45" s="4" t="n"/>
      <c r="D45" s="4" t="n"/>
      <c r="E45" s="3" t="n"/>
      <c r="F45" s="3" t="n"/>
      <c r="G45" s="3" t="n"/>
      <c r="H45" s="3" t="n"/>
      <c r="I45" s="3" t="n"/>
    </row>
    <row r="46" ht="18" customHeight="1" s="17">
      <c r="A46" s="5" t="n">
        <v>12</v>
      </c>
      <c r="B46" s="4" t="n"/>
      <c r="C46" s="4" t="n"/>
      <c r="D46" s="4" t="n"/>
      <c r="E46" s="3" t="n"/>
      <c r="F46" s="3" t="n"/>
      <c r="G46" s="3" t="n"/>
      <c r="H46" s="3" t="n"/>
      <c r="I46" s="3" t="n"/>
    </row>
    <row r="47" ht="18" customHeight="1" s="17">
      <c r="A47" s="5" t="n">
        <v>13</v>
      </c>
      <c r="B47" s="4" t="n"/>
      <c r="C47" s="4" t="n"/>
      <c r="D47" s="4" t="n"/>
      <c r="E47" s="3" t="n"/>
      <c r="F47" s="3" t="n"/>
      <c r="G47" s="3" t="n"/>
      <c r="H47" s="3" t="n"/>
      <c r="I47" s="3" t="n"/>
    </row>
    <row r="48" ht="18" customHeight="1" s="17">
      <c r="A48" s="5" t="n">
        <v>14</v>
      </c>
      <c r="B48" s="4" t="n"/>
      <c r="C48" s="4" t="n"/>
      <c r="D48" s="4" t="n"/>
      <c r="E48" s="3" t="n"/>
      <c r="F48" s="3" t="n"/>
      <c r="G48" s="3" t="n"/>
      <c r="H48" s="3" t="n"/>
      <c r="I48" s="3" t="n"/>
    </row>
    <row r="49" ht="18" customHeight="1" s="17">
      <c r="A49" s="5" t="n">
        <v>15</v>
      </c>
      <c r="B49" s="4" t="n"/>
      <c r="C49" s="4" t="n"/>
      <c r="D49" s="4" t="n"/>
      <c r="E49" s="3" t="n"/>
      <c r="F49" s="3" t="n"/>
      <c r="G49" s="3" t="n"/>
      <c r="H49" s="3" t="n"/>
      <c r="I49" s="3" t="n"/>
    </row>
    <row r="51" ht="21.75" customHeight="1" s="17">
      <c r="A51" s="19" t="inlineStr">
        <is>
          <t>5. ESPECIES CLAVE / INDICADORAS</t>
        </is>
      </c>
    </row>
    <row r="52" ht="30" customHeight="1" s="17">
      <c r="A52" s="2" t="inlineStr">
        <is>
          <t>N°</t>
        </is>
      </c>
      <c r="B52" s="2" t="inlineStr">
        <is>
          <t>Nombre científico o común</t>
        </is>
      </c>
      <c r="C52" s="2" t="inlineStr">
        <is>
          <t>Categoría</t>
        </is>
      </c>
      <c r="D52" s="2" t="inlineStr">
        <is>
          <t>Estado UICN / D.S. 043</t>
        </is>
      </c>
      <c r="E52" s="2" t="inlineStr">
        <is>
          <t>UTM ESTE</t>
        </is>
      </c>
      <c r="F52" s="2" t="inlineStr">
        <is>
          <t>UTM NORTE</t>
        </is>
      </c>
      <c r="G52" s="2" t="inlineStr">
        <is>
          <t>N° indiv.</t>
        </is>
      </c>
      <c r="H52" s="2" t="inlineStr">
        <is>
          <t>Foto N°</t>
        </is>
      </c>
      <c r="I52" s="2" t="inlineStr">
        <is>
          <t>Observación</t>
        </is>
      </c>
    </row>
    <row r="53" ht="18" customHeight="1" s="17">
      <c r="A53" s="5" t="n">
        <v>1</v>
      </c>
      <c r="B53" s="46" t="inlineStr">
        <is>
          <t>Cenchrus clandestinus (kikuyo)</t>
        </is>
      </c>
      <c r="C53" s="46" t="inlineStr">
        <is>
          <t>Indicadora de perturbación</t>
        </is>
      </c>
      <c r="D53" s="46" t="inlineStr">
        <is>
          <t>No aplica</t>
        </is>
      </c>
      <c r="E53" s="45" t="n">
        <v>664973</v>
      </c>
      <c r="F53" s="45" t="n">
        <v>9390797</v>
      </c>
      <c r="G53" s="45" t="inlineStr">
        <is>
          <t>Cobertura continua</t>
        </is>
      </c>
      <c r="H53" s="45" t="inlineStr">
        <is>
          <t>F-04 / F-05</t>
        </is>
      </c>
      <c r="I53" s="46" t="inlineStr">
        <is>
          <t>Gramínea africana introducida, agresiva; forma césped denso que impide la regeneración de leñosas nativas.</t>
        </is>
      </c>
    </row>
    <row r="54" ht="18" customHeight="1" s="17">
      <c r="A54" s="5" t="n">
        <v>2</v>
      </c>
      <c r="B54" s="46" t="inlineStr">
        <is>
          <t>Baccharis latifolia (chilca)</t>
        </is>
      </c>
      <c r="C54" s="46" t="inlineStr">
        <is>
          <t>Indicadora de perturbación</t>
        </is>
      </c>
      <c r="D54" s="46" t="inlineStr">
        <is>
          <t>No aplica</t>
        </is>
      </c>
      <c r="E54" s="45" t="n">
        <v>664983</v>
      </c>
      <c r="F54" s="45" t="n">
        <v>9390801</v>
      </c>
      <c r="G54" s="45" t="inlineStr">
        <is>
          <t>Dispersa</t>
        </is>
      </c>
      <c r="H54" s="45" t="inlineStr">
        <is>
          <t>F-03 / F-10</t>
        </is>
      </c>
      <c r="I54" s="46" t="inlineStr">
        <is>
          <t>Arbustiva nativa colonizadora de taludes y suelos removidos; indicadora de perturbación reciente y con valor para estabilización biológica de taludes.</t>
        </is>
      </c>
    </row>
    <row r="55" ht="18" customHeight="1" s="17">
      <c r="A55" s="5" t="n">
        <v>3</v>
      </c>
      <c r="B55" s="46" t="inlineStr">
        <is>
          <t>Eucalyptus globulus (eucalipto)</t>
        </is>
      </c>
      <c r="C55" s="46" t="inlineStr">
        <is>
          <t>Indicadora de perturbación</t>
        </is>
      </c>
      <c r="D55" s="46" t="inlineStr">
        <is>
          <t>No aplica</t>
        </is>
      </c>
      <c r="E55" s="45" t="n">
        <v>665034</v>
      </c>
      <c r="F55" s="45" t="n">
        <v>9390736</v>
      </c>
      <c r="G55" s="45" t="inlineStr">
        <is>
          <t>Hileras y macizos</t>
        </is>
      </c>
      <c r="H55" s="45" t="inlineStr">
        <is>
          <t>F-08 / F-09</t>
        </is>
      </c>
      <c r="I55" s="46" t="inlineStr">
        <is>
          <t>Plantación exótica de alta demanda hídrica y efecto alelopático; sustituye a la vegetación nativa y eleva la respuesta espectral (NDVI/MSAVI) sin equivaler a recuperación ecosistémica.</t>
        </is>
      </c>
    </row>
    <row r="56" ht="18" customHeight="1" s="17">
      <c r="A56" s="5" t="n">
        <v>4</v>
      </c>
      <c r="B56" s="4" t="n"/>
      <c r="C56" s="4" t="n"/>
      <c r="D56" s="4" t="n"/>
      <c r="E56" s="3" t="n"/>
      <c r="F56" s="3" t="n"/>
      <c r="G56" s="3" t="n"/>
      <c r="H56" s="3" t="n"/>
      <c r="I56" s="4" t="n"/>
    </row>
    <row r="57" ht="18" customHeight="1" s="17">
      <c r="A57" s="5" t="n">
        <v>5</v>
      </c>
      <c r="B57" s="4" t="n"/>
      <c r="C57" s="4" t="n"/>
      <c r="D57" s="4" t="n"/>
      <c r="E57" s="3" t="n"/>
      <c r="F57" s="3" t="n"/>
      <c r="G57" s="3" t="n"/>
      <c r="H57" s="3" t="n"/>
      <c r="I57" s="4" t="n"/>
    </row>
    <row r="58" ht="18" customHeight="1" s="17">
      <c r="A58" s="5" t="n">
        <v>6</v>
      </c>
      <c r="B58" s="4" t="n"/>
      <c r="C58" s="4" t="n"/>
      <c r="D58" s="4" t="n"/>
      <c r="E58" s="3" t="n"/>
      <c r="F58" s="3" t="n"/>
      <c r="G58" s="3" t="n"/>
      <c r="H58" s="3" t="n"/>
      <c r="I58" s="4" t="n"/>
    </row>
    <row r="59" ht="18" customHeight="1" s="17">
      <c r="A59" s="5" t="n">
        <v>7</v>
      </c>
      <c r="B59" s="4" t="n"/>
      <c r="C59" s="4" t="n"/>
      <c r="D59" s="4" t="n"/>
      <c r="E59" s="3" t="n"/>
      <c r="F59" s="3" t="n"/>
      <c r="G59" s="3" t="n"/>
      <c r="H59" s="3" t="n"/>
      <c r="I59" s="4" t="n"/>
    </row>
    <row r="60" ht="18" customHeight="1" s="17">
      <c r="A60" s="5" t="n">
        <v>8</v>
      </c>
      <c r="B60" s="4" t="n"/>
      <c r="C60" s="4" t="n"/>
      <c r="D60" s="4" t="n"/>
      <c r="E60" s="3" t="n"/>
      <c r="F60" s="3" t="n"/>
      <c r="G60" s="3" t="n"/>
      <c r="H60" s="3" t="n"/>
      <c r="I60" s="4" t="n"/>
    </row>
    <row r="61" ht="18" customHeight="1" s="17">
      <c r="A61" s="5" t="n">
        <v>9</v>
      </c>
      <c r="B61" s="4" t="n"/>
      <c r="C61" s="4" t="n"/>
      <c r="D61" s="4" t="n"/>
      <c r="E61" s="3" t="n"/>
      <c r="F61" s="3" t="n"/>
      <c r="G61" s="3" t="n"/>
      <c r="H61" s="3" t="n"/>
      <c r="I61" s="4" t="n"/>
    </row>
    <row r="62" ht="18" customHeight="1" s="17">
      <c r="A62" s="5" t="n">
        <v>10</v>
      </c>
      <c r="B62" s="4" t="n"/>
      <c r="C62" s="4" t="n"/>
      <c r="D62" s="4" t="n"/>
      <c r="E62" s="3" t="n"/>
      <c r="F62" s="3" t="n"/>
      <c r="G62" s="3" t="n"/>
      <c r="H62" s="3" t="n"/>
      <c r="I62" s="4" t="n"/>
    </row>
    <row r="64" ht="21.75" customHeight="1" s="17">
      <c r="A64" s="19" t="inlineStr">
        <is>
          <t>OBSERVACIONES</t>
        </is>
      </c>
    </row>
    <row r="65" ht="27.75" customHeight="1" s="17">
      <c r="A65" s="15" t="inlineStr">
        <is>
          <t>OBSERVACIONES: La composición florística consignada corresponde al registro rápido efectuado durante la inspección del 12-08-2026 en la franja de pie de ladera; no constituye un inventario botánico exhaustivo y no alcanza el mínimo de 15 especies previsto en el formato, por lo que se declara explícitamente incompleta y pendiente de complementación con inventario de detalle en el sector medio y alto del bloque. Hallazgo diagnóstico principal: de las siete especies registradas, seis son introducidas y una es nativa (chilca). El estrato arbóreo está constituido íntegramente por plantaciones exóticas (eucalipto, pino, ciprés) y el estrato herbáceo por pastizal de kikuyo y cultivos anuales de secano. No se registraron especies leñosas nativas del matorral andino subhúmedo ni del bosque relicto montano de vertiente occidental, que corresponderían a la vegetación potencial del piso altitudinal 2 000–2 500 msnm en esta microcuenca. En consecuencia, el ecosistema dominante se clasifica como Agroecosistema / Mosaico, sobre una unidad productora cuya condición de referencia es el matorral andino subhúmedo con relictos de bosque montano. Nombres científicos preliminares (cf.), sujetos a validación taxonómica.</t>
        </is>
      </c>
      <c r="B65" s="24" t="n"/>
      <c r="C65" s="24" t="n"/>
      <c r="D65" s="24" t="n"/>
      <c r="E65" s="24" t="n"/>
      <c r="F65" s="24" t="n"/>
      <c r="G65" s="24" t="n"/>
      <c r="H65" s="24" t="n"/>
      <c r="I65" s="25" t="n"/>
    </row>
    <row r="66" ht="27.75" customHeight="1" s="17">
      <c r="A66" s="26" t="n"/>
      <c r="I66" s="27" t="n"/>
    </row>
    <row r="67" ht="27.75" customHeight="1" s="17">
      <c r="A67" s="28" t="n"/>
      <c r="B67" s="29" t="n"/>
      <c r="C67" s="29" t="n"/>
      <c r="D67" s="29" t="n"/>
      <c r="E67" s="29" t="n"/>
      <c r="F67" s="29" t="n"/>
      <c r="G67" s="29" t="n"/>
      <c r="H67" s="29" t="n"/>
      <c r="I67" s="30" t="n"/>
    </row>
  </sheetData>
  <mergeCells count="72">
    <mergeCell ref="A7:I7"/>
    <mergeCell ref="E12:F12"/>
    <mergeCell ref="A24:B24"/>
    <mergeCell ref="A30:B30"/>
    <mergeCell ref="G10:I10"/>
    <mergeCell ref="C24:D24"/>
    <mergeCell ref="A65:I67"/>
    <mergeCell ref="G13:I13"/>
    <mergeCell ref="C17:I17"/>
    <mergeCell ref="E24:F24"/>
    <mergeCell ref="A11:B11"/>
    <mergeCell ref="E23:F23"/>
    <mergeCell ref="A3:I3"/>
    <mergeCell ref="E8:F8"/>
    <mergeCell ref="C19:I19"/>
    <mergeCell ref="A21:I21"/>
    <mergeCell ref="G24:I24"/>
    <mergeCell ref="C28:I28"/>
    <mergeCell ref="A16:B16"/>
    <mergeCell ref="A2:I2"/>
    <mergeCell ref="C10:D10"/>
    <mergeCell ref="C18:I18"/>
    <mergeCell ref="A25:B25"/>
    <mergeCell ref="A5:I5"/>
    <mergeCell ref="E10:F10"/>
    <mergeCell ref="C25:D25"/>
    <mergeCell ref="A32:I32"/>
    <mergeCell ref="A33:I33"/>
    <mergeCell ref="E13:F13"/>
    <mergeCell ref="C22:D22"/>
    <mergeCell ref="C30:I30"/>
    <mergeCell ref="C9:D9"/>
    <mergeCell ref="A18:B18"/>
    <mergeCell ref="A27:B27"/>
    <mergeCell ref="E9:F9"/>
    <mergeCell ref="A4:I4"/>
    <mergeCell ref="A12:B12"/>
    <mergeCell ref="G25:I25"/>
    <mergeCell ref="C12:D12"/>
    <mergeCell ref="A26:B26"/>
    <mergeCell ref="G22:I22"/>
    <mergeCell ref="C26:I26"/>
    <mergeCell ref="C11:D11"/>
    <mergeCell ref="E11:F11"/>
    <mergeCell ref="G9:I9"/>
    <mergeCell ref="C29:I29"/>
    <mergeCell ref="G12:I12"/>
    <mergeCell ref="C16:I16"/>
    <mergeCell ref="A17:B17"/>
    <mergeCell ref="A23:B23"/>
    <mergeCell ref="A8:B8"/>
    <mergeCell ref="C23:D23"/>
    <mergeCell ref="A22:B22"/>
    <mergeCell ref="C8:D8"/>
    <mergeCell ref="G11:I11"/>
    <mergeCell ref="A64:I64"/>
    <mergeCell ref="A15:I15"/>
    <mergeCell ref="A29:B29"/>
    <mergeCell ref="A51:I51"/>
    <mergeCell ref="E25:F25"/>
    <mergeCell ref="A19:B19"/>
    <mergeCell ref="G23:I23"/>
    <mergeCell ref="A28:B28"/>
    <mergeCell ref="A1:I1"/>
    <mergeCell ref="G8:I8"/>
    <mergeCell ref="A13:B13"/>
    <mergeCell ref="A10:B10"/>
    <mergeCell ref="E22:F22"/>
    <mergeCell ref="C13:D13"/>
    <mergeCell ref="A6:I6"/>
    <mergeCell ref="A9:B9"/>
    <mergeCell ref="C27:I27"/>
  </mergeCells>
  <dataValidations count="14">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6" showDropDown="0" showInputMessage="0" showErrorMessage="0" allowBlank="1" errorTitle="Valor no válido" error="Seleccione un valor de la lista desplegable." promptTitle="Tipo de ecosistema MINAM (domi" prompt="Elija una opción de la lista." type="list">
      <formula1>lst_TipoEcosistema</formula1>
      <formula2>0</formula2>
    </dataValidation>
    <dataValidation sqref="C18" showDropDown="0" showInputMessage="0" showErrorMessage="0" allowBlank="1" errorTitle="Valor no válido" error="Seleccione un valor de la lista desplegable." promptTitle="Estado de conservación general" prompt="Elija una opción de la lista." type="list">
      <formula1>lst_EstadoConservacion</formula1>
      <formula2>0</formula2>
    </dataValidation>
    <dataValidation sqref="C19" showDropDown="0" showInputMessage="0" showErrorMessage="0" allowBlank="1" errorTitle="Valor no válido" error="Seleccione un valor de la lista desplegable." promptTitle="Uso actual dominante del suelo" prompt="Elija una opción de la lista." type="list">
      <formula1>lst_UsoSueloDom</formula1>
      <formula2>0</formula2>
    </dataValidation>
    <dataValidation sqref="C26" showDropDown="0" showInputMessage="0" showErrorMessage="0" allowBlank="1" errorTitle="Valor no válido" error="Seleccione un valor de la lista desplegable." promptTitle="Regeneración natural observada" prompt="Elija una opción de la lista." type="list">
      <formula1>lst_Regeneracion</formula1>
      <formula2>0</formula2>
    </dataValidation>
    <dataValidation sqref="C27" showDropDown="0" showInputMessage="0" showErrorMessage="0" allowBlank="1" errorTitle="Valor no válido" error="Seleccione un valor de la lista desplegable." promptTitle="Estado sanitario general del d" prompt="Elija una opción de la lista." type="list">
      <formula1>lst_EstadoSanitario</formula1>
      <formula2>0</formula2>
    </dataValidation>
    <dataValidation sqref="C28" showDropDown="0" showInputMessage="0" showErrorMessage="0" allowBlank="1" errorTitle="Valor no válido" error="Seleccione un valor de la lista desplegable." promptTitle="Presencia de epífitas (cualita" prompt="Elija una opción de la lista." type="list">
      <formula1>lst_SiNo</formula1>
      <formula2>0</formula2>
    </dataValidation>
    <dataValidation sqref="C29" showDropDown="0" showInputMessage="0" showErrorMessage="0" allowBlank="1" errorTitle="Valor no válido" error="Seleccione un valor de la lista desplegable." promptTitle="Fenología dominante (época de " prompt="Elija una opción de la lista." type="list">
      <formula1>lst_Fenologia</formula1>
      <formula2>0</formula2>
    </dataValidation>
    <dataValidation sqref="C30" showDropDown="0" showInputMessage="0" showErrorMessage="0" allowBlank="1" errorTitle="Valor no válido" error="Seleccione un valor de la lista desplegable." promptTitle="Tipo de cobertura vegetal domi" prompt="Elija una opción de la lista." type="list">
      <formula1>lst_TipoCobertura</formula1>
      <formula2>0</formula2>
    </dataValidation>
    <dataValidation sqref="E35:E49" showDropDown="0" showInputMessage="0" showErrorMessage="0" allowBlank="1" errorTitle="Valor no válido" error="Seleccione un valor de la lista desplegable." promptTitle="Estrato" prompt="Elija una opción de la lista." type="list">
      <formula1>lst_Estrato</formula1>
      <formula2>0</formula2>
    </dataValidation>
    <dataValidation sqref="F35:F49" showDropDown="0" showInputMessage="0" showErrorMessage="0" allowBlank="1" errorTitle="Valor no válido" error="Seleccione un valor de la lista desplegable." promptTitle="Origen" prompt="Elija una opción de la lista." type="list">
      <formula1>lst_Origen</formula1>
      <formula2>0</formula2>
    </dataValidation>
    <dataValidation sqref="G35:G49" showDropDown="0" showInputMessage="0" showErrorMessage="0" allowBlank="1" errorTitle="Valor no válido" error="Seleccione un valor de la lista desplegable." promptTitle="Abundancia" prompt="Elija una opción de la lista." type="list">
      <formula1>lst_Abundancia</formula1>
      <formula2>0</formula2>
    </dataValidation>
    <dataValidation sqref="C53:C62" showDropDown="0" showInputMessage="0" showErrorMessage="0" allowBlank="1" errorTitle="Valor no válido" error="Seleccione un valor de la lista desplegable." promptTitle="Categoría" prompt="Elija una opción de la lista." type="list">
      <formula1>lst_CategoriaIndicadora</formula1>
      <formula2>0</formula2>
    </dataValidation>
    <dataValidation sqref="D53:D62" showDropDown="0" showInputMessage="0" showErrorMessage="0" allowBlank="1" errorTitle="Valor no válido" error="Seleccione un valor de la lista desplegable." promptTitle="Estado UICN / D.S. 043" prompt="Elija una opción de la lista." type="list">
      <formula1>lst_EstadoUICN</formula1>
      <formula2>0</formula2>
    </dataValidation>
  </dataValidations>
  <printOptions horizontalCentered="1"/>
  <pageMargins left="0.4" right="0.4" top="0.5" bottom="0.5" header="0.2" footer="0.2"/>
  <pageSetup orientation="portrait" paperSize="9" fitToHeight="0" fitToWidth="1" horizontalDpi="300" verticalDpi="300"/>
</worksheet>
</file>

<file path=xl/worksheets/sheet5.xml><?xml version="1.0" encoding="utf-8"?>
<worksheet xmlns="http://schemas.openxmlformats.org/spreadsheetml/2006/main">
  <sheetPr>
    <outlinePr summaryBelow="1" summaryRight="1"/>
    <pageSetUpPr fitToPage="1"/>
  </sheetPr>
  <dimension ref="A1:G54"/>
  <sheetViews>
    <sheetView showGridLines="0" tabSelected="1" zoomScaleNormal="100" workbookViewId="0">
      <pane ySplit="6" topLeftCell="A7" activePane="bottomLeft" state="frozen"/>
      <selection pane="bottomLeft" activeCell="D15" sqref="D15"/>
    </sheetView>
  </sheetViews>
  <sheetFormatPr baseColWidth="10" defaultColWidth="8.6640625" defaultRowHeight="14.4"/>
  <cols>
    <col width="6" customWidth="1" style="17" min="1" max="1"/>
    <col width="32" customWidth="1" style="17" min="2" max="2"/>
    <col width="13" customWidth="1" style="17" min="3" max="3"/>
    <col width="14" customWidth="1" style="17" min="4" max="4"/>
    <col width="13" customWidth="1" style="17" min="5" max="5"/>
    <col width="14" customWidth="1" style="17" min="6" max="6"/>
    <col width="32" customWidth="1" style="17" min="7" max="7"/>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F-DT-04: CAUSAS E INDICADORES DE DEGRADACIÓN DEL ECOSISTEMA</t>
        </is>
      </c>
    </row>
    <row r="5" ht="27.75" customHeight="1" s="17">
      <c r="A5" s="21" t="inlineStr">
        <is>
          <t>Identificación y ponderación de causas directas de degradación (antrópicas y naturales) y registro de indicadores cuantitativos. Permite priorizar medidas de mitigación y gobernanza.</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t>
        </is>
      </c>
      <c r="B8" s="14" t="n"/>
      <c r="C8" s="15" t="inlineStr">
        <is>
          <t>12-08-2026</t>
        </is>
      </c>
      <c r="D8" s="13" t="n"/>
      <c r="E8" s="13" t="n"/>
      <c r="F8" s="13" t="n"/>
      <c r="G8" s="14" t="n"/>
    </row>
    <row r="9" ht="19.5" customHeight="1" s="17">
      <c r="A9" s="31" t="inlineStr">
        <is>
          <t>Responsable *</t>
        </is>
      </c>
      <c r="B9" s="14" t="n"/>
      <c r="C9" s="15" t="inlineStr">
        <is>
          <t>Ing. Héctor Cahuas Miller</t>
        </is>
      </c>
      <c r="D9" s="13" t="n"/>
      <c r="E9" s="13" t="n"/>
      <c r="F9" s="13" t="n"/>
      <c r="G9" s="14" t="n"/>
    </row>
    <row r="10" ht="19.5" customHeight="1" s="17">
      <c r="A10" s="31" t="inlineStr">
        <is>
          <t>Código del Bloque *</t>
        </is>
      </c>
      <c r="B10" s="14" t="n"/>
      <c r="C10" s="15" t="inlineStr">
        <is>
          <t>19</t>
        </is>
      </c>
      <c r="D10" s="13" t="n"/>
      <c r="E10" s="13" t="n"/>
      <c r="F10" s="13" t="n"/>
      <c r="G10" s="14" t="n"/>
    </row>
    <row r="11" ht="19.5" customHeight="1" s="17">
      <c r="A11" s="31" t="inlineStr">
        <is>
          <t>Microcuenca (auto)</t>
        </is>
      </c>
      <c r="B11" s="14" t="n"/>
      <c r="C11" s="12">
        <f>IFERROR(VLOOKUP($C$10,tbl_Bloques,2,FALSE()),"")</f>
        <v/>
      </c>
      <c r="D11" s="13" t="n"/>
      <c r="E11" s="13" t="n"/>
      <c r="F11" s="13" t="n"/>
      <c r="G11" s="14" t="n"/>
    </row>
    <row r="12" ht="21.75" customHeight="1" s="17">
      <c r="A12" s="6" t="inlineStr">
        <is>
          <t>2. MATRIZ DE CAUSAS DE DEGRADACIÓN</t>
        </is>
      </c>
      <c r="B12" s="13" t="n"/>
      <c r="C12" s="14" t="n"/>
      <c r="D12" s="13" t="n"/>
      <c r="E12" s="13" t="n"/>
      <c r="F12" s="13" t="n"/>
      <c r="G12" s="14" t="n"/>
    </row>
    <row r="13" ht="27.75" customHeight="1" s="17">
      <c r="A13" s="32" t="inlineStr">
        <is>
          <t>PRESENCIA: Sí / No  |  INTENSIDAD: Nula / Ligera / Moderada / Fuerte / Muy fuerte  |  EXTENSIÓN: % del bloque afectado  |  ANTIGÜEDAD: años aproximados.</t>
        </is>
      </c>
      <c r="B13" s="14" t="n"/>
      <c r="C13" s="33" t="n"/>
      <c r="D13" s="13" t="n"/>
      <c r="E13" s="13" t="n"/>
      <c r="F13" s="13" t="n"/>
      <c r="G13" s="14" t="n"/>
    </row>
    <row r="14" ht="31.5" customHeight="1" s="17">
      <c r="A14" s="2" t="inlineStr">
        <is>
          <t>N°</t>
        </is>
      </c>
      <c r="B14" s="2" t="inlineStr">
        <is>
          <t>Causa / Factor de degradación</t>
        </is>
      </c>
      <c r="C14" s="2" t="inlineStr">
        <is>
          <t>Presencia</t>
        </is>
      </c>
      <c r="D14" s="2" t="inlineStr">
        <is>
          <t>Intensidad</t>
        </is>
      </c>
      <c r="E14" s="2" t="inlineStr">
        <is>
          <t>Extensión
(% bloque)</t>
        </is>
      </c>
      <c r="F14" s="2" t="inlineStr">
        <is>
          <t>Antigüedad
(años aprox.)</t>
        </is>
      </c>
      <c r="G14" s="2" t="inlineStr">
        <is>
          <t>Evidencia observada / Descripción</t>
        </is>
      </c>
    </row>
    <row r="15" ht="18" customHeight="1" s="17">
      <c r="A15" s="5" t="n">
        <v>1</v>
      </c>
      <c r="B15" s="7" t="inlineStr">
        <is>
          <t>Sobrepastoreo (caprino/vacuno)</t>
        </is>
      </c>
      <c r="C15" s="45" t="inlineStr">
        <is>
          <t>Sí</t>
        </is>
      </c>
      <c r="D15" s="45" t="inlineStr">
        <is>
          <t>Moderada</t>
        </is>
      </c>
      <c r="E15" s="45" t="n">
        <v>25</v>
      </c>
      <c r="F15" s="45" t="inlineStr">
        <is>
          <t>&gt;10</t>
        </is>
      </c>
      <c r="G15" s="46" t="inlineStr">
        <is>
          <t>Pastizal de kikuyo pastoreado en la franja de pie de ladera; compactación superficial, pisoteo y raíces expuestas.</t>
        </is>
      </c>
    </row>
    <row r="16" ht="18" customHeight="1" s="17">
      <c r="A16" s="5" t="n">
        <v>2</v>
      </c>
      <c r="B16" s="7" t="inlineStr">
        <is>
          <t>Tala para leña</t>
        </is>
      </c>
      <c r="C16" s="45" t="inlineStr">
        <is>
          <t>Sí</t>
        </is>
      </c>
      <c r="D16" s="45" t="inlineStr">
        <is>
          <t>Ligera</t>
        </is>
      </c>
      <c r="E16" s="45" t="n">
        <v>5</v>
      </c>
      <c r="F16" s="45" t="inlineStr">
        <is>
          <t>&gt;10</t>
        </is>
      </c>
      <c r="G16" s="46" t="inlineStr">
        <is>
          <t>Extracción puntual de leña de matorral y de ramas de plantaciones exóticas para uso doméstico del CP Nuevo Progreso.</t>
        </is>
      </c>
    </row>
    <row r="17" ht="18" customHeight="1" s="17">
      <c r="A17" s="5" t="n">
        <v>3</v>
      </c>
      <c r="B17" s="7" t="inlineStr">
        <is>
          <t>Tala para carbón</t>
        </is>
      </c>
      <c r="C17" s="45" t="inlineStr">
        <is>
          <t>No</t>
        </is>
      </c>
      <c r="D17" s="45" t="inlineStr">
        <is>
          <t>Nula</t>
        </is>
      </c>
      <c r="E17" s="45" t="inlineStr">
        <is>
          <t>—</t>
        </is>
      </c>
      <c r="F17" s="45" t="inlineStr">
        <is>
          <t>—</t>
        </is>
      </c>
      <c r="G17" s="46" t="inlineStr">
        <is>
          <t>No se observaron hornos, carboneras ni evidencias de carbonización.</t>
        </is>
      </c>
    </row>
    <row r="18" ht="18" customHeight="1" s="17">
      <c r="A18" s="5" t="n">
        <v>4</v>
      </c>
      <c r="B18" s="7" t="inlineStr">
        <is>
          <t>Tala para madera</t>
        </is>
      </c>
      <c r="C18" s="45" t="inlineStr">
        <is>
          <t>Sí</t>
        </is>
      </c>
      <c r="D18" s="45" t="inlineStr">
        <is>
          <t>Ligera</t>
        </is>
      </c>
      <c r="E18" s="45" t="n">
        <v>10</v>
      </c>
      <c r="F18" s="45" t="inlineStr">
        <is>
          <t>&gt;10</t>
        </is>
      </c>
      <c r="G18" s="46" t="inlineStr">
        <is>
          <t>Aprovechamiento selectivo de eucalipto y pino de las plantaciones para construcción local (postes, viguería).</t>
        </is>
      </c>
    </row>
    <row r="19" ht="18" customHeight="1" s="17">
      <c r="A19" s="5" t="n">
        <v>5</v>
      </c>
      <c r="B19" s="7" t="inlineStr">
        <is>
          <t>Quema (renovación de pastos)</t>
        </is>
      </c>
      <c r="C19" s="45" t="inlineStr">
        <is>
          <t>No</t>
        </is>
      </c>
      <c r="D19" s="45" t="inlineStr">
        <is>
          <t>Nula</t>
        </is>
      </c>
      <c r="E19" s="45" t="inlineStr">
        <is>
          <t>—</t>
        </is>
      </c>
      <c r="F19" s="45" t="inlineStr">
        <is>
          <t>—</t>
        </is>
      </c>
      <c r="G19" s="46" t="inlineStr">
        <is>
          <t>No se observaron superficies quemadas ni rebrote post-fuego en el sector recorrido; por verificar en el sector alto.</t>
        </is>
      </c>
    </row>
    <row r="20" ht="18" customHeight="1" s="17">
      <c r="A20" s="5" t="n">
        <v>6</v>
      </c>
      <c r="B20" s="7" t="inlineStr">
        <is>
          <t>Quema accidental / Incendio</t>
        </is>
      </c>
      <c r="C20" s="45" t="inlineStr">
        <is>
          <t>No</t>
        </is>
      </c>
      <c r="D20" s="45" t="inlineStr">
        <is>
          <t>Nula</t>
        </is>
      </c>
      <c r="E20" s="45" t="inlineStr">
        <is>
          <t>—</t>
        </is>
      </c>
      <c r="F20" s="45" t="inlineStr">
        <is>
          <t>—</t>
        </is>
      </c>
      <c r="G20" s="46" t="inlineStr">
        <is>
          <t>Sin evidencia de incendios en el sector recorrido.</t>
        </is>
      </c>
    </row>
    <row r="21" ht="18" customHeight="1" s="17">
      <c r="A21" s="5" t="n">
        <v>7</v>
      </c>
      <c r="B21" s="7" t="inlineStr">
        <is>
          <t>Cambio de uso a agricultura</t>
        </is>
      </c>
      <c r="C21" s="45" t="inlineStr">
        <is>
          <t>Sí</t>
        </is>
      </c>
      <c r="D21" s="45" t="inlineStr">
        <is>
          <t>Fuerte</t>
        </is>
      </c>
      <c r="E21" s="45" t="n">
        <v>35</v>
      </c>
      <c r="F21" s="45" t="inlineStr">
        <is>
          <t>&gt;20</t>
        </is>
      </c>
      <c r="G21" s="46" t="inlineStr">
        <is>
          <t>Parcelas de trigo y papa en ladera de 25–50 % de pendiente, con andenería rústica de muros de piedra (Fotos 3 a 5).</t>
        </is>
      </c>
    </row>
    <row r="22" ht="18" customHeight="1" s="17">
      <c r="A22" s="5" t="n">
        <v>8</v>
      </c>
      <c r="B22" s="7" t="inlineStr">
        <is>
          <t>Cambio de uso a pastoreo</t>
        </is>
      </c>
      <c r="C22" s="45" t="inlineStr">
        <is>
          <t>Sí</t>
        </is>
      </c>
      <c r="D22" s="45" t="inlineStr">
        <is>
          <t>Moderada</t>
        </is>
      </c>
      <c r="E22" s="45" t="n">
        <v>25</v>
      </c>
      <c r="F22" s="45" t="inlineStr">
        <is>
          <t>&gt;20</t>
        </is>
      </c>
      <c r="G22" s="46" t="inlineStr">
        <is>
          <t>Conversión de matorral a pastizal cultivado de kikuyo para ganadería familiar.</t>
        </is>
      </c>
    </row>
    <row r="23" ht="18" customHeight="1" s="17">
      <c r="A23" s="5" t="n">
        <v>9</v>
      </c>
      <c r="B23" s="7" t="inlineStr">
        <is>
          <t>Expansión urbana / vial</t>
        </is>
      </c>
      <c r="C23" s="45" t="inlineStr">
        <is>
          <t>Sí</t>
        </is>
      </c>
      <c r="D23" s="45" t="inlineStr">
        <is>
          <t>Moderada</t>
        </is>
      </c>
      <c r="E23" s="45" t="n">
        <v>5</v>
      </c>
      <c r="F23" s="45" t="inlineStr">
        <is>
          <t>~10</t>
        </is>
      </c>
      <c r="G23" s="46" t="inlineStr">
        <is>
          <t>Trocha carrozable con cortes de talud verticales sin sostenimiento y expansión de viviendas del CP Nuevo Progreso sobre el pie de ladera (Fotos 1, 2, 8 y 9).</t>
        </is>
      </c>
    </row>
    <row r="24" ht="18" customHeight="1" s="17">
      <c r="A24" s="5" t="n">
        <v>10</v>
      </c>
      <c r="B24" s="7" t="inlineStr">
        <is>
          <t>Minería informal</t>
        </is>
      </c>
      <c r="C24" s="45" t="inlineStr">
        <is>
          <t>No</t>
        </is>
      </c>
      <c r="D24" s="45" t="inlineStr">
        <is>
          <t>Nula</t>
        </is>
      </c>
      <c r="E24" s="45" t="inlineStr">
        <is>
          <t>—</t>
        </is>
      </c>
      <c r="F24" s="45" t="inlineStr">
        <is>
          <t>—</t>
        </is>
      </c>
      <c r="G24" s="46" t="inlineStr">
        <is>
          <t>Sin evidencia de labores mineras; verificar catastro INGEMMET en gabinete.</t>
        </is>
      </c>
    </row>
    <row r="25" ht="18" customHeight="1" s="17">
      <c r="A25" s="5" t="n">
        <v>11</v>
      </c>
      <c r="B25" s="7" t="inlineStr">
        <is>
          <t>Extracción de áridos (cauces)</t>
        </is>
      </c>
      <c r="C25" s="45" t="inlineStr">
        <is>
          <t>No</t>
        </is>
      </c>
      <c r="D25" s="45" t="inlineStr">
        <is>
          <t>Nula</t>
        </is>
      </c>
      <c r="E25" s="45" t="inlineStr">
        <is>
          <t>—</t>
        </is>
      </c>
      <c r="F25" s="45" t="inlineStr">
        <is>
          <t>—</t>
        </is>
      </c>
      <c r="G25" s="46" t="inlineStr">
        <is>
          <t>Sin extracción de áridos observada dentro del polígono.</t>
        </is>
      </c>
    </row>
    <row r="26" ht="18" customHeight="1" s="17">
      <c r="A26" s="5" t="n">
        <v>12</v>
      </c>
      <c r="B26" s="7" t="inlineStr">
        <is>
          <t>Especies invasoras</t>
        </is>
      </c>
      <c r="C26" s="45" t="inlineStr">
        <is>
          <t>Sí</t>
        </is>
      </c>
      <c r="D26" s="45" t="inlineStr">
        <is>
          <t>Fuerte</t>
        </is>
      </c>
      <c r="E26" s="45" t="n">
        <v>40</v>
      </c>
      <c r="F26" s="45" t="inlineStr">
        <is>
          <t>&gt;20</t>
        </is>
      </c>
      <c r="G26" s="46" t="inlineStr">
        <is>
          <t>Dominancia de kikuyo (Cenchrus clandestinus) y de plantaciones de eucalipto, pino y ciprés en sustitución de la vegetación nativa.</t>
        </is>
      </c>
    </row>
    <row r="27" ht="18" customHeight="1" s="17">
      <c r="A27" s="5" t="n">
        <v>13</v>
      </c>
      <c r="B27" s="7" t="inlineStr">
        <is>
          <t>Erosión natural severa</t>
        </is>
      </c>
      <c r="C27" s="45" t="inlineStr">
        <is>
          <t>Sí</t>
        </is>
      </c>
      <c r="D27" s="45" t="inlineStr">
        <is>
          <t>Moderada</t>
        </is>
      </c>
      <c r="E27" s="45" t="n">
        <v>10</v>
      </c>
      <c r="F27" s="45" t="inlineStr">
        <is>
          <t>—</t>
        </is>
      </c>
      <c r="G27" s="46" t="inlineStr">
        <is>
          <t>Desprendimientos y derrumbes activos en taludes de corte de la trocha; erosión laminar en parcelas labradas a favor de la pendiente.</t>
        </is>
      </c>
    </row>
    <row r="28" ht="18" customHeight="1" s="17">
      <c r="A28" s="5" t="n">
        <v>14</v>
      </c>
      <c r="B28" s="7" t="inlineStr">
        <is>
          <t>Sequía prolongada / CC</t>
        </is>
      </c>
      <c r="C28" s="45" t="inlineStr">
        <is>
          <t>Sí</t>
        </is>
      </c>
      <c r="D28" s="45" t="inlineStr">
        <is>
          <t>Moderada</t>
        </is>
      </c>
      <c r="E28" s="45" t="n">
        <v>100</v>
      </c>
      <c r="F28" s="45" t="inlineStr">
        <is>
          <t>—</t>
        </is>
      </c>
      <c r="G28" s="46" t="inlineStr">
        <is>
          <t>Déficit hídrico futuro proyectado para el ámbito (modelo MPI-ESM1-2HR, SSP 5-8.5, 2021-2040); estación seca marcada al momento de la visita.</t>
        </is>
      </c>
    </row>
    <row r="29" ht="18" customHeight="1" s="17">
      <c r="A29" s="5" t="n">
        <v>15</v>
      </c>
      <c r="B29" s="7" t="inlineStr">
        <is>
          <t>Plagas o enfermedades forestales</t>
        </is>
      </c>
      <c r="C29" s="45" t="inlineStr">
        <is>
          <t>No</t>
        </is>
      </c>
      <c r="D29" s="45" t="inlineStr">
        <is>
          <t>Nula</t>
        </is>
      </c>
      <c r="E29" s="45" t="inlineStr">
        <is>
          <t>—</t>
        </is>
      </c>
      <c r="F29" s="45" t="inlineStr">
        <is>
          <t>—</t>
        </is>
      </c>
      <c r="G29" s="46" t="inlineStr">
        <is>
          <t>Dosel de plantaciones exóticas sin sintomatología evidente de plagas o enfermedades.</t>
        </is>
      </c>
    </row>
    <row r="30" ht="18" customHeight="1" s="17">
      <c r="A30" s="5" t="n">
        <v>16</v>
      </c>
      <c r="B30" s="7" t="inlineStr">
        <is>
          <t>Otro</t>
        </is>
      </c>
      <c r="C30" s="45" t="inlineStr">
        <is>
          <t>No</t>
        </is>
      </c>
      <c r="D30" s="45" t="inlineStr">
        <is>
          <t>Nula</t>
        </is>
      </c>
      <c r="E30" s="45" t="inlineStr">
        <is>
          <t>—</t>
        </is>
      </c>
      <c r="F30" s="45" t="inlineStr">
        <is>
          <t>—</t>
        </is>
      </c>
      <c r="G30" s="46" t="inlineStr">
        <is>
          <t>—</t>
        </is>
      </c>
    </row>
    <row r="32" ht="21.75" customHeight="1" s="17">
      <c r="A32" s="19" t="inlineStr">
        <is>
          <t>3. INDICADORES CUANTITATIVOS DE DEGRADACIÓN</t>
        </is>
      </c>
    </row>
    <row r="33" ht="25.5" customHeight="1" s="17">
      <c r="A33" s="32" t="inlineStr">
        <is>
          <t>Combina observación directa con información de gabinete (MSAVI, NDVI, Theil-Sen). NIVEL: Alto / Medio / Bajo según umbrales.</t>
        </is>
      </c>
      <c r="B33" s="13" t="n"/>
      <c r="C33" s="13" t="n"/>
      <c r="D33" s="13" t="n"/>
      <c r="E33" s="13" t="n"/>
      <c r="F33" s="13" t="n"/>
      <c r="G33" s="14" t="n"/>
    </row>
    <row r="34" ht="27.75" customHeight="1" s="17">
      <c r="A34" s="2" t="inlineStr">
        <is>
          <t>N°</t>
        </is>
      </c>
      <c r="B34" s="2" t="inlineStr">
        <is>
          <t>Indicador</t>
        </is>
      </c>
      <c r="C34" s="2" t="inlineStr">
        <is>
          <t>Unidad</t>
        </is>
      </c>
      <c r="D34" s="2" t="inlineStr">
        <is>
          <t>Valor</t>
        </is>
      </c>
      <c r="E34" s="2" t="inlineStr">
        <is>
          <t>Fuente</t>
        </is>
      </c>
      <c r="F34" s="2" t="inlineStr">
        <is>
          <t>Umbral / Referencia</t>
        </is>
      </c>
      <c r="G34" s="2" t="inlineStr">
        <is>
          <t>Nivel</t>
        </is>
      </c>
    </row>
    <row r="35" ht="21.75" customHeight="1" s="17">
      <c r="A35" s="5" t="n">
        <v>1</v>
      </c>
      <c r="B35" s="7" t="inlineStr">
        <is>
          <t>Cobertura vegetal total</t>
        </is>
      </c>
      <c r="C35" s="5" t="inlineStr">
        <is>
          <t>%</t>
        </is>
      </c>
      <c r="D35" s="45" t="n">
        <v>85</v>
      </c>
      <c r="E35" s="46" t="inlineStr">
        <is>
          <t>NDVI mediana 2025 (Sentinel-2) + estimación visual de campo</t>
        </is>
      </c>
      <c r="F35" s="7" t="inlineStr">
        <is>
          <t>&gt;60% bueno; 30-60% medio; &lt;30% malo</t>
        </is>
      </c>
      <c r="G35" s="45" t="inlineStr">
        <is>
          <t>Alto</t>
        </is>
      </c>
    </row>
    <row r="36" ht="21.75" customHeight="1" s="17">
      <c r="A36" s="5" t="n">
        <v>2</v>
      </c>
      <c r="B36" s="7" t="inlineStr">
        <is>
          <t>Porcentaje de suelo desnudo</t>
        </is>
      </c>
      <c r="C36" s="5" t="inlineStr">
        <is>
          <t>%</t>
        </is>
      </c>
      <c r="D36" s="45" t="n">
        <v>15</v>
      </c>
      <c r="E36" s="46" t="inlineStr">
        <is>
          <t>Estimación visual de campo (parcelas labradas y taludes)</t>
        </is>
      </c>
      <c r="F36" s="7" t="inlineStr">
        <is>
          <t>&lt;10% bueno; 10-30% medio; &gt;30% malo</t>
        </is>
      </c>
      <c r="G36" s="45" t="inlineStr">
        <is>
          <t>Medio</t>
        </is>
      </c>
    </row>
    <row r="37" ht="21.75" customHeight="1" s="17">
      <c r="A37" s="5" t="n">
        <v>3</v>
      </c>
      <c r="B37" s="7" t="inlineStr">
        <is>
          <t>Densidad de cárcavas</t>
        </is>
      </c>
      <c r="C37" s="5" t="inlineStr">
        <is>
          <t>N°/ha</t>
        </is>
      </c>
      <c r="D37" s="45" t="n">
        <v>0.04</v>
      </c>
      <c r="E37" s="46" t="inlineStr">
        <is>
          <t>Inventario de campo F-DT-02 (3 rasgos / 82.09 ha)</t>
        </is>
      </c>
      <c r="F37" s="7" t="inlineStr">
        <is>
          <t>0 nulo; 1-3 medio; &gt;3 alto</t>
        </is>
      </c>
      <c r="G37" s="45" t="inlineStr">
        <is>
          <t>Bajo</t>
        </is>
      </c>
    </row>
    <row r="38" ht="21.75" customHeight="1" s="17">
      <c r="A38" s="5" t="n">
        <v>4</v>
      </c>
      <c r="B38" s="7" t="inlineStr">
        <is>
          <t>Presencia de especies invasoras</t>
        </is>
      </c>
      <c r="C38" s="5" t="inlineStr">
        <is>
          <t>% área</t>
        </is>
      </c>
      <c r="D38" s="45" t="n">
        <v>40</v>
      </c>
      <c r="E38" s="46" t="inlineStr">
        <is>
          <t>Estimación areal de campo y fotointerpretación (kikuyo + plantaciones exóticas)</t>
        </is>
      </c>
      <c r="F38" s="7" t="inlineStr">
        <is>
          <t>&lt;5% bueno; 5-20% medio; &gt;20% alto</t>
        </is>
      </c>
      <c r="G38" s="45" t="inlineStr">
        <is>
          <t>Alto</t>
        </is>
      </c>
    </row>
    <row r="39" ht="21.75" customHeight="1" s="17">
      <c r="A39" s="5" t="n">
        <v>5</v>
      </c>
      <c r="B39" s="7" t="inlineStr">
        <is>
          <t>Carga ganadera estimada</t>
        </is>
      </c>
      <c r="C39" s="5" t="inlineStr">
        <is>
          <t>UA/ha</t>
        </is>
      </c>
      <c r="D39" s="45" t="n">
        <v>0.8</v>
      </c>
      <c r="E39" s="46" t="inlineStr">
        <is>
          <t>Estimación por pastoreo observado (vacuno/ovino familiar)</t>
        </is>
      </c>
      <c r="F39" s="7" t="inlineStr">
        <is>
          <t>Según tipo de ecosistema</t>
        </is>
      </c>
      <c r="G39" s="45" t="inlineStr">
        <is>
          <t>Medio</t>
        </is>
      </c>
    </row>
    <row r="40" ht="21.75" customHeight="1" s="17">
      <c r="A40" s="5" t="n">
        <v>6</v>
      </c>
      <c r="B40" s="7" t="inlineStr">
        <is>
          <t>Frecuencia de quemas últimos 5 años</t>
        </is>
      </c>
      <c r="C40" s="5" t="inlineStr">
        <is>
          <t>N°</t>
        </is>
      </c>
      <c r="D40" s="45" t="n">
        <v>0</v>
      </c>
      <c r="E40" s="46" t="inlineStr">
        <is>
          <t>Observación de campo; sin registro comunal disponible</t>
        </is>
      </c>
      <c r="F40" s="7" t="inlineStr">
        <is>
          <t>0 nulo; 1-2 medio; &gt;2 alto</t>
        </is>
      </c>
      <c r="G40" s="45" t="inlineStr">
        <is>
          <t>Bajo</t>
        </is>
      </c>
    </row>
    <row r="41" ht="21.75" customHeight="1" s="17">
      <c r="A41" s="5" t="n">
        <v>7</v>
      </c>
      <c r="B41" s="7" t="inlineStr">
        <is>
          <t>% área con pendiente &gt;50%</t>
        </is>
      </c>
      <c r="C41" s="5" t="inlineStr">
        <is>
          <t>%</t>
        </is>
      </c>
      <c r="D41" s="45" t="n">
        <v>30</v>
      </c>
      <c r="E41" s="46" t="inlineStr">
        <is>
          <t>Estimación a partir de curvas de nivel (equidistancia 50 m)</t>
        </is>
      </c>
      <c r="F41" s="7" t="inlineStr">
        <is>
          <t>Factor de susceptibilidad</t>
        </is>
      </c>
      <c r="G41" s="45" t="inlineStr">
        <is>
          <t>Medio</t>
        </is>
      </c>
    </row>
    <row r="42" ht="21.75" customHeight="1" s="17">
      <c r="A42" s="5" t="n">
        <v>8</v>
      </c>
      <c r="B42" s="7" t="inlineStr">
        <is>
          <t>Distancia a vía vecinal más cercana</t>
        </is>
      </c>
      <c r="C42" s="5" t="inlineStr">
        <is>
          <t>m</t>
        </is>
      </c>
      <c r="D42" s="45" t="n">
        <v>0</v>
      </c>
      <c r="E42" s="46" t="inlineStr">
        <is>
          <t>La trocha carrozable colinda con el límite NO del bloque</t>
        </is>
      </c>
      <c r="F42" s="7" t="inlineStr">
        <is>
          <t>A menor distancia → mayor presión</t>
        </is>
      </c>
      <c r="G42" s="45" t="inlineStr">
        <is>
          <t>Alto</t>
        </is>
      </c>
    </row>
    <row r="44" ht="21.75" customHeight="1" s="17">
      <c r="A44" s="19" t="inlineStr">
        <is>
          <t>4. SÍNTESIS DIAGNÓSTICA DE LA DEGRADACIÓN</t>
        </is>
      </c>
    </row>
    <row r="45" ht="19.5" customHeight="1" s="17">
      <c r="A45" s="31" t="inlineStr">
        <is>
          <t>Principales causas directas (texto libre)</t>
        </is>
      </c>
      <c r="B45" s="14" t="n"/>
      <c r="C45" s="15" t="inlineStr">
        <is>
          <t>(1) Cambio de uso del suelo a agricultura de secano en ladera (trigo, papa) y a pastizal cultivado de kikuyo; (2) sustitución de la vegetación leñosa nativa por plantaciones forestales exóticas (eucalipto, pino, ciprés); (3) apertura de trocha carrozable con cortes de talud sin sostenimiento y expansión del centro poblado sobre el pie de ladera.</t>
        </is>
      </c>
      <c r="D45" s="13" t="n"/>
      <c r="E45" s="13" t="n"/>
      <c r="F45" s="13" t="n"/>
      <c r="G45" s="14" t="n"/>
    </row>
    <row r="46" ht="19.5" customHeight="1" s="17">
      <c r="A46" s="31" t="inlineStr">
        <is>
          <t>Principal causa subyacente (motor)</t>
        </is>
      </c>
      <c r="B46" s="14" t="n"/>
      <c r="C46" s="15" t="inlineStr">
        <is>
          <t>Economía familiar de subsistencia basada en agricultura de secano y ganadería en ladera, sin ordenamiento del uso del suelo, sin prácticas de conservación de suelos y con oferta de asistencia técnica forestal históricamente orientada a especies exóticas de rápido crecimiento.</t>
        </is>
      </c>
      <c r="D46" s="13" t="n"/>
      <c r="E46" s="13" t="n"/>
      <c r="F46" s="13" t="n"/>
      <c r="G46" s="14" t="n"/>
    </row>
    <row r="47" ht="19.5" customHeight="1" s="17">
      <c r="A47" s="31" t="inlineStr">
        <is>
          <t>Velocidad de degradación percibida</t>
        </is>
      </c>
      <c r="B47" s="14" t="n"/>
      <c r="C47" s="15" t="inlineStr">
        <is>
          <t>Moderada</t>
        </is>
      </c>
      <c r="D47" s="13" t="n"/>
      <c r="E47" s="13" t="n"/>
      <c r="F47" s="13" t="n"/>
      <c r="G47" s="14" t="n"/>
    </row>
    <row r="48" ht="19.5" customHeight="1" s="17">
      <c r="A48" s="31" t="inlineStr">
        <is>
          <t>Reversibilidad técnica</t>
        </is>
      </c>
      <c r="B48" s="14" t="n"/>
      <c r="C48" s="15" t="inlineStr">
        <is>
          <t>Parcialmente reversible</t>
        </is>
      </c>
      <c r="D48" s="13" t="n"/>
      <c r="E48" s="13" t="n"/>
      <c r="F48" s="13" t="n"/>
      <c r="G48" s="14" t="n"/>
    </row>
    <row r="49" ht="19.5" customHeight="1" s="17">
      <c r="A49" s="31" t="inlineStr">
        <is>
          <t>Urgencia de intervención</t>
        </is>
      </c>
      <c r="B49" s="14" t="n"/>
      <c r="C49" s="15" t="inlineStr">
        <is>
          <t>Alta</t>
        </is>
      </c>
      <c r="D49" s="13" t="n"/>
      <c r="E49" s="13" t="n"/>
      <c r="F49" s="13" t="n"/>
      <c r="G49" s="14" t="n"/>
    </row>
    <row r="51" ht="21.75" customHeight="1" s="17">
      <c r="A51" s="19" t="inlineStr">
        <is>
          <t>OBSERVACIONES</t>
        </is>
      </c>
    </row>
    <row r="52" ht="27.75" customHeight="1" s="17">
      <c r="A52" s="15" t="inlineStr">
        <is>
          <t>OBSERVACIONES: La degradación del Bloque 19 no se expresa como pérdida de cobertura vegetal —los índices espectrales muestran vigor medio a alto— sino como sustitución de composición y pérdida de funcionalidad ecosistémica: el ecosistema nativo ha sido reemplazado por un mosaico agrícola-pecuario con plantaciones exóticas. Esta condición es relevante para el indicador de brecha (R.M. N° 00213-2024-MINAM), pues un valor alto de NDVI no debe interpretarse como ausencia de degradación. La urgencia de intervención se califica como Alta por la concurrencia de tres factores: remociones en masa activas en taludes que afectan la vía y viviendas del CP Nuevo Progreso, avance de la frontera agrícola sobre laderas de 25–50 % de pendiente, y ausencia casi total de regeneración natural de especies nativas.</t>
        </is>
      </c>
      <c r="B52" s="24" t="n"/>
      <c r="C52" s="24" t="n"/>
      <c r="D52" s="24" t="n"/>
      <c r="E52" s="24" t="n"/>
      <c r="F52" s="24" t="n"/>
      <c r="G52" s="25" t="n"/>
    </row>
    <row r="53" ht="27.75" customHeight="1" s="17">
      <c r="A53" s="26" t="n"/>
      <c r="G53" s="27" t="n"/>
    </row>
    <row r="54" ht="27.75" customHeight="1" s="17">
      <c r="A54" s="28" t="n"/>
      <c r="B54" s="29" t="n"/>
      <c r="C54" s="29" t="n"/>
      <c r="D54" s="29" t="n"/>
      <c r="E54" s="29" t="n"/>
      <c r="F54" s="29" t="n"/>
      <c r="G54" s="30" t="n"/>
    </row>
  </sheetData>
  <mergeCells count="33">
    <mergeCell ref="A32:G32"/>
    <mergeCell ref="A48:B48"/>
    <mergeCell ref="C49:G49"/>
    <mergeCell ref="A11:B11"/>
    <mergeCell ref="A49:B49"/>
    <mergeCell ref="A4:G4"/>
    <mergeCell ref="A45:B45"/>
    <mergeCell ref="C45:G45"/>
    <mergeCell ref="A44:G44"/>
    <mergeCell ref="C10:G10"/>
    <mergeCell ref="C47:G47"/>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13:B13"/>
    <mergeCell ref="A2:G2"/>
    <mergeCell ref="A9:B9"/>
    <mergeCell ref="C13:G13"/>
    <mergeCell ref="A33:G33"/>
    <mergeCell ref="A5:G5"/>
  </mergeCells>
  <dataValidations count="7">
    <dataValidation sqref="C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5:C30" showDropDown="0" showInputMessage="0" showErrorMessage="0" allowBlank="1" errorTitle="Valor no válido" error="Seleccione un valor de la lista desplegable." promptTitle="Presencia" prompt="Elija una opción de la lista." type="list">
      <formula1>lst_SiNo</formula1>
      <formula2>0</formula2>
    </dataValidation>
    <dataValidation sqref="D15:D30" showDropDown="0" showInputMessage="0" showErrorMessage="0" allowBlank="1" errorTitle="Valor no válido" error="Seleccione un valor de la lista desplegable." promptTitle="Intensidad" prompt="Elija una opción de la lista." type="list">
      <formula1>lst_Intensidad</formula1>
      <formula2>0</formula2>
    </dataValidation>
    <dataValidation sqref="G35:G42" showDropDown="0" showInputMessage="0" showErrorMessage="0" allowBlank="1" errorTitle="Valor no válido" error="Seleccione un valor de la lista desplegable." promptTitle="Nivel" prompt="Elija una opción de la lista." type="list">
      <formula1>lst_NivelInd</formula1>
      <formula2>0</formula2>
    </dataValidation>
    <dataValidation sqref="C47" showDropDown="0" showInputMessage="0" showErrorMessage="0" allowBlank="1" errorTitle="Valor no válido" error="Seleccione un valor de la lista desplegable." promptTitle="Velocidad de degradación perci" prompt="Elija una opción de la lista." type="list">
      <formula1>lst_Velocidad</formula1>
      <formula2>0</formula2>
    </dataValidation>
    <dataValidation sqref="C48" showDropDown="0" showInputMessage="0" showErrorMessage="0" allowBlank="1" errorTitle="Valor no válido" error="Seleccione un valor de la lista desplegable." promptTitle="Reversibilidad técnica" prompt="Elija una opción de la lista." type="list">
      <formula1>lst_Reversibilidad</formula1>
      <formula2>0</formula2>
    </dataValidation>
    <dataValidation sqref="C49" showDropDown="0" showInputMessage="0" showErrorMessage="0" allowBlank="1" errorTitle="Valor no válido" error="Seleccione un valor de la lista desplegable." promptTitle="Urgencia de intervención" prompt="Elija una opción de la lista." type="list">
      <formula1>lst_Urgencia</formula1>
      <formula2>0</formula2>
    </dataValidation>
  </dataValidations>
  <printOptions horizontalCentered="1"/>
  <pageMargins left="0.4" right="0.4" top="0.5" bottom="0.5" header="0.2" footer="0.2"/>
  <pageSetup orientation="portrait" paperSize="9" fitToHeight="0" fitToWidth="1" horizontalDpi="300" verticalDpi="300"/>
</worksheet>
</file>

<file path=xl/worksheets/sheet6.xml><?xml version="1.0" encoding="utf-8"?>
<worksheet xmlns="http://schemas.openxmlformats.org/spreadsheetml/2006/main">
  <sheetPr>
    <outlinePr summaryBelow="1" summaryRight="1"/>
    <pageSetUpPr fitToPage="1"/>
  </sheetPr>
  <dimension ref="A1:H51"/>
  <sheetViews>
    <sheetView showGridLines="0" zoomScaleNormal="100" workbookViewId="0">
      <pane ySplit="6" topLeftCell="A7" activePane="bottomLeft" state="frozen"/>
      <selection pane="bottomLeft" activeCell="A1" sqref="A1"/>
    </sheetView>
  </sheetViews>
  <sheetFormatPr baseColWidth="10" defaultColWidth="8.6640625" defaultRowHeight="14.4"/>
  <cols>
    <col width="8" customWidth="1" style="17" min="1" max="1"/>
    <col width="28" customWidth="1" style="17" min="2" max="2"/>
    <col width="12" customWidth="1" style="17" min="3" max="4"/>
    <col width="18" customWidth="1" style="17" min="5" max="5"/>
    <col width="24" customWidth="1" style="17" min="6" max="6"/>
    <col width="14" customWidth="1" style="17" min="7" max="7"/>
    <col width="26" customWidth="1" style="17" min="8"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F-DT-05: RECURSOS HÍDRICOS Y ACCESIBILIDAD</t>
        </is>
      </c>
    </row>
    <row r="5" ht="27.75" customHeight="1" s="17">
      <c r="A5" s="21" t="inlineStr">
        <is>
          <t>Inventario rápido de fuentes de agua dentro o colindantes al bloque + condiciones logísticas de acceso y seguridad. Insumo para diseño hidráulico y planificación operativa de campo.</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(dd-mm-aaaa) *</t>
        </is>
      </c>
      <c r="B8" s="14" t="n"/>
      <c r="C8" s="15" t="inlineStr">
        <is>
          <t>12-08-2026</t>
        </is>
      </c>
      <c r="D8" s="14" t="n"/>
      <c r="E8" s="31" t="inlineStr">
        <is>
          <t>Responsable *</t>
        </is>
      </c>
      <c r="F8" s="14" t="n"/>
      <c r="G8" s="15" t="inlineStr">
        <is>
          <t>Ing. Héctor Cahuas Miller</t>
        </is>
      </c>
      <c r="H8" s="14" t="n"/>
    </row>
    <row r="9" ht="19.5" customHeight="1" s="17">
      <c r="A9" s="31" t="inlineStr">
        <is>
          <t>Código del Bloque *</t>
        </is>
      </c>
      <c r="B9" s="14" t="n"/>
      <c r="C9" s="15" t="inlineStr">
        <is>
          <t>19</t>
        </is>
      </c>
      <c r="D9" s="14" t="n"/>
      <c r="E9" s="31" t="inlineStr">
        <is>
          <t>Microcuenca (auto)</t>
        </is>
      </c>
      <c r="F9" s="14" t="n"/>
      <c r="G9" s="12">
        <f>IFERROR(VLOOKUP($C$9,tbl_Bloques,2,FALSE()),"")</f>
        <v/>
      </c>
      <c r="H9" s="14" t="n"/>
    </row>
    <row r="10" ht="19.5" customHeight="1" s="17">
      <c r="A10" s="31" t="inlineStr">
        <is>
          <t>Distrito (auto)</t>
        </is>
      </c>
      <c r="B10" s="14" t="n"/>
      <c r="C10" s="12">
        <f>IFERROR(VLOOKUP($C$9,tbl_Bloques,4,FALSE()),"")</f>
        <v/>
      </c>
      <c r="D10" s="14" t="n"/>
      <c r="E10" s="31" t="inlineStr">
        <is>
          <t>Provincia (auto)</t>
        </is>
      </c>
      <c r="F10" s="14" t="n"/>
      <c r="G10" s="12">
        <f>IFERROR(VLOOKUP($C$9,tbl_Bloques,3,FALSE()),"")</f>
        <v/>
      </c>
      <c r="H10" s="14" t="n"/>
    </row>
    <row r="12" ht="21.75" customHeight="1" s="17">
      <c r="A12" s="19" t="inlineStr">
        <is>
          <t>2. INVENTARIO DE FUENTES DE AGUA (dentro o hasta 500 m del bloque)</t>
        </is>
      </c>
    </row>
    <row r="13" ht="27.75" customHeight="1" s="17">
      <c r="A13" s="32" t="inlineStr">
        <is>
          <t>Use los desplegables en columnas Tipo de fuente, Régimen y Calidad aparente. DISTANCIA: medida en metros desde el límite del bloque a la fuente.</t>
        </is>
      </c>
      <c r="B13" s="13" t="n"/>
      <c r="C13" s="13" t="n"/>
      <c r="D13" s="13" t="n"/>
      <c r="E13" s="13" t="n"/>
      <c r="F13" s="13" t="n"/>
      <c r="G13" s="13" t="n"/>
      <c r="H13" s="14" t="n"/>
    </row>
    <row r="14" ht="30" customHeight="1" s="17">
      <c r="A14" s="2" t="inlineStr">
        <is>
          <t>N°</t>
        </is>
      </c>
      <c r="B14" s="2" t="inlineStr">
        <is>
          <t>Tipo de fuente</t>
        </is>
      </c>
      <c r="C14" s="2" t="inlineStr">
        <is>
          <t>UTM ESTE</t>
        </is>
      </c>
      <c r="D14" s="2" t="inlineStr">
        <is>
          <t>UTM NORTE</t>
        </is>
      </c>
      <c r="E14" s="2" t="inlineStr">
        <is>
          <t>Régimen</t>
        </is>
      </c>
      <c r="F14" s="2" t="inlineStr">
        <is>
          <t>Calidad
aparente</t>
        </is>
      </c>
      <c r="G14" s="2" t="inlineStr">
        <is>
          <t>Distancia
bloque (m)</t>
        </is>
      </c>
      <c r="H14" s="2" t="inlineStr">
        <is>
          <t>Uso observado / Observaciones</t>
        </is>
      </c>
    </row>
    <row r="15" ht="19.5" customHeight="1" s="17">
      <c r="A15" s="5" t="n">
        <v>1</v>
      </c>
      <c r="B15" s="46" t="inlineStr">
        <is>
          <t>Otro</t>
        </is>
      </c>
      <c r="C15" s="45" t="n">
        <v>664978</v>
      </c>
      <c r="D15" s="45" t="n">
        <v>9390787</v>
      </c>
      <c r="E15" s="45" t="inlineStr">
        <is>
          <t>Permanente</t>
        </is>
      </c>
      <c r="F15" s="45" t="inlineStr">
        <is>
          <t>No evaluable</t>
        </is>
      </c>
      <c r="G15" s="45" t="n">
        <v>0</v>
      </c>
      <c r="H15" s="46" t="inlineStr">
        <is>
          <t>Caja de reunión / válvulas y estructura de almacenamiento del sistema de agua potable del CP Nuevo Progreso (Foto 7), colindante al límite NO del bloque. Operada por la organización comunal de saneamiento (JASS); ubicación de la captación matriz por confirmar en la fase social.</t>
        </is>
      </c>
    </row>
    <row r="16" ht="19.5" customHeight="1" s="17">
      <c r="A16" s="5" t="n">
        <v>2</v>
      </c>
      <c r="B16" s="3" t="n"/>
      <c r="C16" s="3" t="n"/>
      <c r="D16" s="3" t="n"/>
      <c r="E16" s="3" t="n"/>
      <c r="F16" s="3" t="n"/>
      <c r="G16" s="3" t="n"/>
      <c r="H16" s="4" t="n"/>
    </row>
    <row r="17" ht="19.5" customHeight="1" s="17">
      <c r="A17" s="5" t="n">
        <v>3</v>
      </c>
      <c r="B17" s="3" t="n"/>
      <c r="C17" s="3" t="n"/>
      <c r="D17" s="3" t="n"/>
      <c r="E17" s="3" t="n"/>
      <c r="F17" s="3" t="n"/>
      <c r="G17" s="3" t="n"/>
      <c r="H17" s="4" t="n"/>
    </row>
    <row r="18" ht="19.5" customHeight="1" s="17">
      <c r="A18" s="5" t="n">
        <v>4</v>
      </c>
      <c r="B18" s="3" t="n"/>
      <c r="C18" s="3" t="n"/>
      <c r="D18" s="3" t="n"/>
      <c r="E18" s="3" t="n"/>
      <c r="F18" s="3" t="n"/>
      <c r="G18" s="3" t="n"/>
      <c r="H18" s="4" t="n"/>
    </row>
    <row r="19" ht="19.5" customHeight="1" s="17">
      <c r="A19" s="5" t="n">
        <v>5</v>
      </c>
      <c r="B19" s="3" t="n"/>
      <c r="C19" s="3" t="n"/>
      <c r="D19" s="3" t="n"/>
      <c r="E19" s="3" t="n"/>
      <c r="F19" s="3" t="n"/>
      <c r="G19" s="3" t="n"/>
      <c r="H19" s="4" t="n"/>
    </row>
    <row r="20" ht="19.5" customHeight="1" s="17">
      <c r="A20" s="5" t="n">
        <v>6</v>
      </c>
      <c r="B20" s="3" t="n"/>
      <c r="C20" s="3" t="n"/>
      <c r="D20" s="3" t="n"/>
      <c r="E20" s="3" t="n"/>
      <c r="F20" s="3" t="n"/>
      <c r="G20" s="3" t="n"/>
      <c r="H20" s="4" t="n"/>
    </row>
    <row r="21" ht="19.5" customHeight="1" s="17">
      <c r="A21" s="5" t="n">
        <v>7</v>
      </c>
      <c r="B21" s="3" t="n"/>
      <c r="C21" s="3" t="n"/>
      <c r="D21" s="3" t="n"/>
      <c r="E21" s="3" t="n"/>
      <c r="F21" s="3" t="n"/>
      <c r="G21" s="3" t="n"/>
      <c r="H21" s="4" t="n"/>
    </row>
    <row r="22" ht="19.5" customHeight="1" s="17">
      <c r="A22" s="5" t="n">
        <v>8</v>
      </c>
      <c r="B22" s="3" t="n"/>
      <c r="C22" s="3" t="n"/>
      <c r="D22" s="3" t="n"/>
      <c r="E22" s="3" t="n"/>
      <c r="F22" s="3" t="n"/>
      <c r="G22" s="3" t="n"/>
      <c r="H22" s="4" t="n"/>
    </row>
    <row r="23" ht="19.5" customHeight="1" s="17">
      <c r="A23" s="5" t="n">
        <v>9</v>
      </c>
      <c r="B23" s="3" t="n"/>
      <c r="C23" s="3" t="n"/>
      <c r="D23" s="3" t="n"/>
      <c r="E23" s="3" t="n"/>
      <c r="F23" s="3" t="n"/>
      <c r="G23" s="3" t="n"/>
      <c r="H23" s="4" t="n"/>
    </row>
    <row r="24" ht="19.5" customHeight="1" s="17">
      <c r="A24" s="5" t="n">
        <v>10</v>
      </c>
      <c r="B24" s="3" t="n"/>
      <c r="C24" s="3" t="n"/>
      <c r="D24" s="3" t="n"/>
      <c r="E24" s="3" t="n"/>
      <c r="F24" s="3" t="n"/>
      <c r="G24" s="3" t="n"/>
      <c r="H24" s="4" t="n"/>
    </row>
    <row r="26" ht="21.75" customHeight="1" s="17">
      <c r="A26" s="19" t="inlineStr">
        <is>
          <t>3. ANÁLISIS HÍDRICO PRELIMINAR</t>
        </is>
      </c>
    </row>
    <row r="27" ht="19.5" customHeight="1" s="17">
      <c r="A27" s="31" t="inlineStr">
        <is>
          <t>¿Bloque en zona de recarga hídrica?</t>
        </is>
      </c>
      <c r="B27" s="14" t="n"/>
      <c r="C27" s="15" t="inlineStr">
        <is>
          <t>Sí</t>
        </is>
      </c>
      <c r="D27" s="13" t="n"/>
      <c r="E27" s="13" t="n"/>
      <c r="F27" s="13" t="n"/>
      <c r="G27" s="13" t="n"/>
      <c r="H27" s="14" t="n"/>
    </row>
    <row r="28" ht="19.5" customHeight="1" s="17">
      <c r="A28" s="31" t="inlineStr">
        <is>
          <t>¿Zonas de humedad persistente observadas?</t>
        </is>
      </c>
      <c r="B28" s="14" t="n"/>
      <c r="C28" s="15" t="inlineStr">
        <is>
          <t>No</t>
        </is>
      </c>
      <c r="D28" s="13" t="n"/>
      <c r="E28" s="13" t="n"/>
      <c r="F28" s="13" t="n"/>
      <c r="G28" s="13" t="n"/>
      <c r="H28" s="14" t="n"/>
    </row>
    <row r="29" ht="19.5" customHeight="1" s="17">
      <c r="A29" s="31" t="inlineStr">
        <is>
          <t>¿Escorrentía concentrada observada?</t>
        </is>
      </c>
      <c r="B29" s="14" t="n"/>
      <c r="C29" s="15" t="inlineStr">
        <is>
          <t>Sí</t>
        </is>
      </c>
      <c r="D29" s="13" t="n"/>
      <c r="E29" s="13" t="n"/>
      <c r="F29" s="13" t="n"/>
      <c r="G29" s="13" t="n"/>
      <c r="H29" s="14" t="n"/>
    </row>
    <row r="30" ht="19.5" customHeight="1" s="17">
      <c r="A30" s="31" t="inlineStr">
        <is>
          <t>Distancia a captación poblacional más cercana (m)</t>
        </is>
      </c>
      <c r="B30" s="14" t="n"/>
      <c r="C30" s="15" t="inlineStr">
        <is>
          <t>~50 m (infraestructura de almacenamiento del sistema de agua potable en el pie de ladera)</t>
        </is>
      </c>
      <c r="D30" s="13" t="n"/>
      <c r="E30" s="13" t="n"/>
      <c r="F30" s="13" t="n"/>
      <c r="G30" s="13" t="n"/>
      <c r="H30" s="14" t="n"/>
    </row>
    <row r="31" ht="19.5" customHeight="1" s="17">
      <c r="A31" s="31" t="inlineStr">
        <is>
          <t>Nombre de la JASS o captación asociada</t>
        </is>
      </c>
      <c r="B31" s="14" t="n"/>
      <c r="C31" s="15" t="inlineStr">
        <is>
          <t>JASS / Comité de agua potable del CP Nuevo Progreso (denominación exacta por confirmar)</t>
        </is>
      </c>
      <c r="D31" s="13" t="n"/>
      <c r="E31" s="13" t="n"/>
      <c r="F31" s="13" t="n"/>
      <c r="G31" s="13" t="n"/>
      <c r="H31" s="14" t="n"/>
    </row>
    <row r="32" ht="19.5" customHeight="1" s="17">
      <c r="A32" s="31" t="inlineStr">
        <is>
          <t>¿Interferencia con obras de riego?</t>
        </is>
      </c>
      <c r="B32" s="14" t="n"/>
      <c r="C32" s="15" t="inlineStr">
        <is>
          <t>No</t>
        </is>
      </c>
      <c r="D32" s="13" t="n"/>
      <c r="E32" s="13" t="n"/>
      <c r="F32" s="13" t="n"/>
      <c r="G32" s="13" t="n"/>
      <c r="H32" s="14" t="n"/>
    </row>
    <row r="33" ht="19.5" customHeight="1" s="17">
      <c r="A33" s="31" t="inlineStr">
        <is>
          <t>Nombre del sistema de riego (si aplica)</t>
        </is>
      </c>
      <c r="B33" s="14" t="n"/>
      <c r="C33" s="15" t="inlineStr">
        <is>
          <t>No aplica (agricultura de secano)</t>
        </is>
      </c>
      <c r="D33" s="13" t="n"/>
      <c r="E33" s="13" t="n"/>
      <c r="F33" s="13" t="n"/>
      <c r="G33" s="13" t="n"/>
      <c r="H33" s="14" t="n"/>
    </row>
    <row r="35" ht="21.75" customHeight="1" s="17">
      <c r="A35" s="19" t="inlineStr">
        <is>
          <t>4. ACCESIBILIDAD Y LOGÍSTICA</t>
        </is>
      </c>
    </row>
    <row r="36" ht="19.5" customHeight="1" s="17">
      <c r="A36" s="31" t="inlineStr">
        <is>
          <t>Modalidad de acceso al bloque *</t>
        </is>
      </c>
      <c r="B36" s="14" t="n"/>
      <c r="C36" s="15" t="inlineStr">
        <is>
          <t>Vehicular 4x4 hasta el bloque</t>
        </is>
      </c>
      <c r="D36" s="13" t="n"/>
      <c r="E36" s="13" t="n"/>
      <c r="F36" s="13" t="n"/>
      <c r="G36" s="13" t="n"/>
      <c r="H36" s="14" t="n"/>
    </row>
    <row r="37" ht="19.5" customHeight="1" s="17">
      <c r="A37" s="31" t="inlineStr">
        <is>
          <t>Vía principal de acceso (PE-/PI-/trocha) *</t>
        </is>
      </c>
      <c r="B37" s="14" t="n"/>
      <c r="C37" s="15" t="inlineStr">
        <is>
          <t>PE-3N (Nacional afirmada) → desvío a trocha carrozable Nuevo Progreso</t>
        </is>
      </c>
      <c r="D37" s="13" t="n"/>
      <c r="E37" s="13" t="n"/>
      <c r="F37" s="13" t="n"/>
      <c r="G37" s="13" t="n"/>
      <c r="H37" s="14" t="n"/>
    </row>
    <row r="38" ht="19.5" customHeight="1" s="17">
      <c r="A38" s="31" t="inlineStr">
        <is>
          <t>Tipo de vía final</t>
        </is>
      </c>
      <c r="B38" s="14" t="n"/>
      <c r="C38" s="15" t="inlineStr">
        <is>
          <t>Trocha carrozable</t>
        </is>
      </c>
      <c r="D38" s="13" t="n"/>
      <c r="E38" s="13" t="n"/>
      <c r="F38" s="13" t="n"/>
      <c r="G38" s="13" t="n"/>
      <c r="H38" s="14" t="n"/>
    </row>
    <row r="39" ht="19.5" customHeight="1" s="17">
      <c r="A39" s="31" t="inlineStr">
        <is>
          <t>Estado transitabilidad — época seca</t>
        </is>
      </c>
      <c r="B39" s="14" t="n"/>
      <c r="C39" s="15" t="inlineStr">
        <is>
          <t>Medio</t>
        </is>
      </c>
      <c r="D39" s="13" t="n"/>
      <c r="E39" s="13" t="n"/>
      <c r="F39" s="13" t="n"/>
      <c r="G39" s="13" t="n"/>
      <c r="H39" s="14" t="n"/>
    </row>
    <row r="40" ht="19.5" customHeight="1" s="17">
      <c r="A40" s="31" t="inlineStr">
        <is>
          <t>Estado transitabilidad — época lluviosa</t>
        </is>
      </c>
      <c r="B40" s="14" t="n"/>
      <c r="C40" s="15" t="inlineStr">
        <is>
          <t>Bajo</t>
        </is>
      </c>
      <c r="D40" s="13" t="n"/>
      <c r="E40" s="13" t="n"/>
      <c r="F40" s="13" t="n"/>
      <c r="G40" s="13" t="n"/>
      <c r="H40" s="14" t="n"/>
    </row>
    <row r="41" ht="19.5" customHeight="1" s="17">
      <c r="A41" s="31" t="inlineStr">
        <is>
          <t>Tiempo desde capital distrital (min)</t>
        </is>
      </c>
      <c r="B41" s="14" t="n"/>
      <c r="C41" s="15" t="inlineStr">
        <is>
          <t>Por confirmar</t>
        </is>
      </c>
      <c r="D41" s="14" t="n"/>
      <c r="E41" s="31" t="inlineStr">
        <is>
          <t>Tiempo desde capital provincial (min)</t>
        </is>
      </c>
      <c r="F41" s="14" t="n"/>
      <c r="G41" s="15" t="inlineStr">
        <is>
          <t>Por confirmar</t>
        </is>
      </c>
      <c r="H41" s="14" t="n"/>
    </row>
    <row r="42" ht="19.5" customHeight="1" s="17">
      <c r="A42" s="31" t="inlineStr">
        <is>
          <t>Señal celular</t>
        </is>
      </c>
      <c r="B42" s="14" t="n"/>
      <c r="C42" s="15" t="inlineStr">
        <is>
          <t>Parcial</t>
        </is>
      </c>
      <c r="D42" s="13" t="n"/>
      <c r="E42" s="13" t="n"/>
      <c r="F42" s="13" t="n"/>
      <c r="G42" s="13" t="n"/>
      <c r="H42" s="14" t="n"/>
    </row>
    <row r="43" ht="19.5" customHeight="1" s="17">
      <c r="A43" s="31" t="inlineStr">
        <is>
          <t>Operador celular dominante</t>
        </is>
      </c>
      <c r="B43" s="14" t="n"/>
      <c r="C43" s="15" t="inlineStr">
        <is>
          <t>Por verificar</t>
        </is>
      </c>
      <c r="D43" s="13" t="n"/>
      <c r="E43" s="13" t="n"/>
      <c r="F43" s="13" t="n"/>
      <c r="G43" s="13" t="n"/>
      <c r="H43" s="14" t="n"/>
    </row>
    <row r="44" ht="19.5" customHeight="1" s="17">
      <c r="A44" s="31" t="inlineStr">
        <is>
          <t>Alojamiento rural disponible</t>
        </is>
      </c>
      <c r="B44" s="14" t="n"/>
      <c r="C44" s="15" t="inlineStr">
        <is>
          <t>Sí</t>
        </is>
      </c>
      <c r="D44" s="13" t="n"/>
      <c r="E44" s="13" t="n"/>
      <c r="F44" s="13" t="n"/>
      <c r="G44" s="13" t="n"/>
      <c r="H44" s="14" t="n"/>
    </row>
    <row r="45" ht="19.5" customHeight="1" s="17">
      <c r="A45" s="31" t="inlineStr">
        <is>
          <t>¿Requiere autorización de Ronda Campesina? *</t>
        </is>
      </c>
      <c r="B45" s="14" t="n"/>
      <c r="C45" s="15" t="inlineStr">
        <is>
          <t>Sí</t>
        </is>
      </c>
      <c r="D45" s="13" t="n"/>
      <c r="E45" s="13" t="n"/>
      <c r="F45" s="13" t="n"/>
      <c r="G45" s="13" t="n"/>
      <c r="H45" s="14" t="n"/>
    </row>
    <row r="46" ht="19.5" customHeight="1" s="17">
      <c r="A46" s="31" t="inlineStr">
        <is>
          <t>Nombre / Contacto responsable de Ronda</t>
        </is>
      </c>
      <c r="B46" s="14" t="n"/>
      <c r="C46" s="15" t="inlineStr">
        <is>
          <t>Por confirmar en la fase social (dirigencia del CP Nuevo Progreso / organización rondera del distrito de Huarmaca)</t>
        </is>
      </c>
      <c r="D46" s="13" t="n"/>
      <c r="E46" s="13" t="n"/>
      <c r="F46" s="13" t="n"/>
      <c r="G46" s="13" t="n"/>
      <c r="H46" s="14" t="n"/>
    </row>
    <row r="48" ht="21.75" customHeight="1" s="17">
      <c r="A48" s="19" t="inlineStr">
        <is>
          <t>OBSERVACIONES</t>
        </is>
      </c>
    </row>
    <row r="49" ht="27.75" customHeight="1" s="17">
      <c r="A49" s="15" t="inlineStr">
        <is>
          <t>OBSERVACIONES: El bloque cumple función de zona de origen de escorrentía sobre la margen derecha del valle del río Huancabamba; no se identificaron manantiales, quebradas ni zonas de humedad persistente dentro de la franja recorrida, pero las curvas de nivel evidencian cauces de drenaje estacional en el sector medio y alto del polígono, pendientes de inventario. La escorrentía concentrada se observó sobre la plataforma de la trocha y en los taludes de corte. La proximidad inmediata de la infraestructura de agua potable del CP Nuevo Progreso al límite del bloque refuerza el argumento de servicio ecosistémico de regulación hídrica y debe considerarse en el diseño de las MRR-CCC y en los acuerdos de gobernanza (potencial MERESE). Existencia de bodegas y viviendas en el CP (Fotos 1 y 11); la disponibilidad efectiva de alojamiento y el operador celular dominante quedan por confirmar. La accesibilidad vehicular es favorable pero condicionada por la inestabilidad de los taludes de corte en época de lluvias.</t>
        </is>
      </c>
      <c r="B49" s="24" t="n"/>
      <c r="C49" s="24" t="n"/>
      <c r="D49" s="24" t="n"/>
      <c r="E49" s="24" t="n"/>
      <c r="F49" s="24" t="n"/>
      <c r="G49" s="24" t="n"/>
      <c r="H49" s="25" t="n"/>
    </row>
    <row r="50" ht="27.75" customHeight="1" s="17">
      <c r="A50" s="26" t="n"/>
      <c r="H50" s="27" t="n"/>
    </row>
    <row r="51" ht="27.75" customHeight="1" s="17">
      <c r="A51" s="28" t="n"/>
      <c r="B51" s="29" t="n"/>
      <c r="C51" s="29" t="n"/>
      <c r="D51" s="29" t="n"/>
      <c r="E51" s="29" t="n"/>
      <c r="F51" s="29" t="n"/>
      <c r="G51" s="29" t="n"/>
      <c r="H51" s="30" t="n"/>
    </row>
  </sheetData>
  <mergeCells count="63">
    <mergeCell ref="A48:H48"/>
    <mergeCell ref="A30:B30"/>
    <mergeCell ref="C44:H44"/>
    <mergeCell ref="C40:H40"/>
    <mergeCell ref="C31:H31"/>
    <mergeCell ref="A45:B45"/>
    <mergeCell ref="A36:B36"/>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6:B46"/>
    <mergeCell ref="C39:H39"/>
    <mergeCell ref="C9:D9"/>
    <mergeCell ref="A27:B27"/>
    <mergeCell ref="E9:F9"/>
    <mergeCell ref="A12:H12"/>
    <mergeCell ref="C32:H32"/>
    <mergeCell ref="A3:H3"/>
    <mergeCell ref="A26:H26"/>
    <mergeCell ref="C38:H38"/>
    <mergeCell ref="C28:H28"/>
    <mergeCell ref="A33:B33"/>
    <mergeCell ref="C37:H37"/>
    <mergeCell ref="A2:H2"/>
    <mergeCell ref="A42:B42"/>
    <mergeCell ref="A32:B32"/>
    <mergeCell ref="A5:H5"/>
    <mergeCell ref="A8:B8"/>
    <mergeCell ref="C30:H30"/>
    <mergeCell ref="C8:D8"/>
    <mergeCell ref="C33:H33"/>
    <mergeCell ref="A4:H4"/>
    <mergeCell ref="A38:B38"/>
    <mergeCell ref="C42:H42"/>
    <mergeCell ref="A29:B29"/>
    <mergeCell ref="A35:H35"/>
    <mergeCell ref="A43:B43"/>
    <mergeCell ref="E41:F41"/>
    <mergeCell ref="A10:B10"/>
    <mergeCell ref="A28:B28"/>
    <mergeCell ref="G41:H41"/>
    <mergeCell ref="C45:H45"/>
    <mergeCell ref="A13:H13"/>
    <mergeCell ref="A44:B44"/>
    <mergeCell ref="A40:B40"/>
    <mergeCell ref="A9:B9"/>
    <mergeCell ref="G9:H9"/>
    <mergeCell ref="A31:B31"/>
    <mergeCell ref="C29:H29"/>
    <mergeCell ref="A39:B39"/>
  </mergeCells>
  <dataValidations count="15">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5:B24" showDropDown="0" showInputMessage="0" showErrorMessage="0" allowBlank="1" errorTitle="Valor no válido" error="Seleccione un valor de la lista desplegable." promptTitle="Tipo de fuente" prompt="Elija una opción de la lista." type="list">
      <formula1>lst_TipoFuente</formula1>
      <formula2>0</formula2>
    </dataValidation>
    <dataValidation sqref="E15:E24" showDropDown="0" showInputMessage="0" showErrorMessage="0" allowBlank="1" errorTitle="Valor no válido" error="Seleccione un valor de la lista desplegable." promptTitle="Régimen" prompt="Elija una opción de la lista." type="list">
      <formula1>lst_RegimenHidrico</formula1>
      <formula2>0</formula2>
    </dataValidation>
    <dataValidation sqref="F15:F24" showDropDown="0" showInputMessage="0" showErrorMessage="0" allowBlank="1" errorTitle="Valor no válido" error="Seleccione un valor de la lista desplegable." promptTitle="Calidad aparente" prompt="Elija una opción de la lista." type="list">
      <formula1>lst_CalidadAgua</formula1>
      <formula2>0</formula2>
    </dataValidation>
    <dataValidation sqref="C27" showDropDown="0" showInputMessage="0" showErrorMessage="0" allowBlank="1" errorTitle="Valor no válido" error="Seleccione un valor de la lista desplegable." promptTitle="¿Bloque en zona de recarga híd" prompt="Elija una opción de la lista." type="list">
      <formula1>lst_SiNo</formula1>
      <formula2>0</formula2>
    </dataValidation>
    <dataValidation sqref="C28" showDropDown="0" showInputMessage="0" showErrorMessage="0" allowBlank="1" errorTitle="Valor no válido" error="Seleccione un valor de la lista desplegable." promptTitle="¿Zonas de humedad persistente " prompt="Elija una opción de la lista." type="list">
      <formula1>lst_SiNo</formula1>
      <formula2>0</formula2>
    </dataValidation>
    <dataValidation sqref="C29" showDropDown="0" showInputMessage="0" showErrorMessage="0" allowBlank="1" errorTitle="Valor no válido" error="Seleccione un valor de la lista desplegable." promptTitle="¿Escorrentía concentrada obser" prompt="Elija una opción de la lista." type="list">
      <formula1>lst_SiNo</formula1>
      <formula2>0</formula2>
    </dataValidation>
    <dataValidation sqref="C32" showDropDown="0" showInputMessage="0" showErrorMessage="0" allowBlank="1" errorTitle="Valor no válido" error="Seleccione un valor de la lista desplegable." promptTitle="¿Interferencia con obras de ri" prompt="Elija una opción de la lista." type="list">
      <formula1>lst_SiNo</formula1>
      <formula2>0</formula2>
    </dataValidation>
    <dataValidation sqref="C36" showDropDown="0" showInputMessage="0" showErrorMessage="0" allowBlank="1" errorTitle="Valor no válido" error="Seleccione un valor de la lista desplegable." promptTitle="Modalidad de acceso al bloque " prompt="Elija una opción de la lista." type="list">
      <formula1>lst_ModalidadAcceso</formula1>
      <formula2>0</formula2>
    </dataValidation>
    <dataValidation sqref="C38" showDropDown="0" showInputMessage="0" showErrorMessage="0" allowBlank="1" errorTitle="Valor no válido" error="Seleccione un valor de la lista desplegable." promptTitle="Tipo de vía final" prompt="Elija una opción de la lista." type="list">
      <formula1>lst_TipoVia</formula1>
      <formula2>0</formula2>
    </dataValidation>
    <dataValidation sqref="C39:C40" showDropDown="0" showInputMessage="0" showErrorMessage="0" allowBlank="1" errorTitle="Valor no válido" error="Seleccione un valor de la lista desplegable." promptTitle="Estado transitabilidad — época" prompt="Elija una opción de la lista." type="list">
      <formula1>lst_NivelTransitabilidad</formula1>
      <formula2>0</formula2>
    </dataValidation>
    <dataValidation sqref="C42" showDropDown="0" showInputMessage="0" showErrorMessage="0" allowBlank="1" errorTitle="Valor no válido" error="Seleccione un valor de la lista desplegable." promptTitle="Señal celular" prompt="Elija una opción de la lista." type="list">
      <formula1>lst_SenalCelular</formula1>
      <formula2>0</formula2>
    </dataValidation>
    <dataValidation sqref="C43" showDropDown="0" showInputMessage="0" showErrorMessage="0" allowBlank="1" errorTitle="Valor no válido" error="Seleccione un valor de la lista desplegable." promptTitle="Operador celular dominante" prompt="Elija una opción de la lista." type="list">
      <formula1>lst_Operador</formula1>
      <formula2>0</formula2>
    </dataValidation>
    <dataValidation sqref="C44" showDropDown="0" showInputMessage="0" showErrorMessage="0" allowBlank="1" errorTitle="Valor no válido" error="Seleccione un valor de la lista desplegable." promptTitle="Alojamiento rural disponible" prompt="Elija una opción de la lista." type="list">
      <formula1>lst_SiNo</formula1>
      <formula2>0</formula2>
    </dataValidation>
    <dataValidation sqref="C45" showDropDown="0" showInputMessage="0" showErrorMessage="0" allowBlank="1" errorTitle="Valor no válido" error="Seleccione un valor de la lista desplegable." promptTitle="¿Requiere autorización de Rond" prompt="Elija una opción de la lista." type="list">
      <formula1>lst_SiNo</formula1>
      <formula2>0</formula2>
    </dataValidation>
  </dataValidations>
  <printOptions horizontalCentered="1"/>
  <pageMargins left="0.4" right="0.4" top="0.5" bottom="0.5" header="0.2" footer="0.2"/>
  <pageSetup orientation="portrait" paperSize="9" fitToHeight="0" fitToWidth="1" horizontalDpi="300" verticalDpi="300"/>
</worksheet>
</file>

<file path=xl/worksheets/sheet7.xml><?xml version="1.0" encoding="utf-8"?>
<worksheet xmlns="http://schemas.openxmlformats.org/spreadsheetml/2006/main">
  <sheetPr>
    <outlinePr summaryBelow="1" summaryRight="1"/>
    <pageSetUpPr fitToPage="1"/>
  </sheetPr>
  <dimension ref="A1:H128"/>
  <sheetViews>
    <sheetView zoomScaleNormal="100" workbookViewId="0">
      <pane ySplit="1" topLeftCell="A2" activePane="bottomLeft" state="frozen"/>
      <selection pane="bottomLeft" activeCell="A1" sqref="A1"/>
    </sheetView>
  </sheetViews>
  <sheetFormatPr baseColWidth="10" defaultColWidth="8.6640625" defaultRowHeight="14.4"/>
  <cols>
    <col width="10" customWidth="1" style="17" min="1" max="1"/>
    <col width="16" customWidth="1" style="17" min="2" max="3"/>
    <col width="24" customWidth="1" style="17" min="4" max="4"/>
    <col width="8" customWidth="1" style="17" min="5" max="5"/>
    <col width="12" customWidth="1" style="17" min="6" max="7"/>
    <col width="11" customWidth="1" style="17" min="8" max="8"/>
  </cols>
  <sheetData>
    <row r="1" ht="15" customHeight="1" s="17">
      <c r="A1" s="2" t="inlineStr">
        <is>
          <t>codigo</t>
        </is>
      </c>
      <c r="B1" s="2" t="inlineStr">
        <is>
          <t>microcuenca</t>
        </is>
      </c>
      <c r="C1" s="2" t="inlineStr">
        <is>
          <t>provincia</t>
        </is>
      </c>
      <c r="D1" s="2" t="inlineStr">
        <is>
          <t>distrito</t>
        </is>
      </c>
      <c r="E1" s="2" t="inlineStr">
        <is>
          <t>zona</t>
        </is>
      </c>
      <c r="F1" s="2" t="inlineStr">
        <is>
          <t>este_utm</t>
        </is>
      </c>
      <c r="G1" s="2" t="inlineStr">
        <is>
          <t>norte_utm</t>
        </is>
      </c>
      <c r="H1" s="2" t="inlineStr">
        <is>
          <t>area_ha</t>
        </is>
      </c>
    </row>
    <row r="2" ht="15" customHeight="1" s="17">
      <c r="A2" s="8" t="inlineStr">
        <is>
          <t>M9B1</t>
        </is>
      </c>
      <c r="B2" s="8" t="inlineStr">
        <is>
          <t>C1096-Q9545</t>
        </is>
      </c>
      <c r="C2" s="8" t="inlineStr">
        <is>
          <t>Morropon</t>
        </is>
      </c>
      <c r="D2" s="8" t="inlineStr">
        <is>
          <t>Chulucanas</t>
        </is>
      </c>
      <c r="E2" s="8" t="inlineStr">
        <is>
          <t>Z01</t>
        </is>
      </c>
      <c r="F2" s="9" t="n">
        <v>595552</v>
      </c>
      <c r="G2" s="9" t="n">
        <v>9451222</v>
      </c>
      <c r="H2" s="10" t="n">
        <v>355.36</v>
      </c>
    </row>
    <row r="3" ht="15" customHeight="1" s="17">
      <c r="A3" s="8" t="inlineStr">
        <is>
          <t>M10B4</t>
        </is>
      </c>
      <c r="B3" s="8" t="inlineStr">
        <is>
          <t>C1096-Q9547</t>
        </is>
      </c>
      <c r="C3" s="8" t="inlineStr">
        <is>
          <t>Morropon</t>
        </is>
      </c>
      <c r="D3" s="8" t="inlineStr">
        <is>
          <t>Chulucanas</t>
        </is>
      </c>
      <c r="E3" s="8" t="inlineStr">
        <is>
          <t>Z01</t>
        </is>
      </c>
      <c r="F3" s="9" t="n">
        <v>596773</v>
      </c>
      <c r="G3" s="9" t="n">
        <v>9448273</v>
      </c>
      <c r="H3" s="10" t="n">
        <v>68.89</v>
      </c>
    </row>
    <row r="4" ht="15" customHeight="1" s="17">
      <c r="A4" s="8" t="inlineStr">
        <is>
          <t>25</t>
        </is>
      </c>
      <c r="B4" s="8" t="inlineStr">
        <is>
          <t>C1096-Q9547</t>
        </is>
      </c>
      <c r="C4" s="8" t="inlineStr">
        <is>
          <t>Morropon</t>
        </is>
      </c>
      <c r="D4" s="8" t="inlineStr">
        <is>
          <t>Chulucanas</t>
        </is>
      </c>
      <c r="E4" s="8" t="inlineStr">
        <is>
          <t>Z01</t>
        </is>
      </c>
      <c r="F4" s="9" t="n">
        <v>596578</v>
      </c>
      <c r="G4" s="9" t="n">
        <v>9442453</v>
      </c>
      <c r="H4" s="10" t="n">
        <v>53.48</v>
      </c>
    </row>
    <row r="5" ht="15" customHeight="1" s="17">
      <c r="A5" s="8" t="inlineStr">
        <is>
          <t>32</t>
        </is>
      </c>
      <c r="B5" s="8" t="inlineStr">
        <is>
          <t>C1096-Q9556</t>
        </is>
      </c>
      <c r="C5" s="8" t="inlineStr">
        <is>
          <t>Morropon</t>
        </is>
      </c>
      <c r="D5" s="8" t="inlineStr">
        <is>
          <t>Chulucanas</t>
        </is>
      </c>
      <c r="E5" s="8" t="inlineStr">
        <is>
          <t>Z01</t>
        </is>
      </c>
      <c r="F5" s="9" t="n">
        <v>599927</v>
      </c>
      <c r="G5" s="9" t="n">
        <v>9442604</v>
      </c>
      <c r="H5" s="10" t="n">
        <v>35.83</v>
      </c>
    </row>
    <row r="6" ht="15" customHeight="1" s="17">
      <c r="A6" s="8" t="inlineStr">
        <is>
          <t>22</t>
        </is>
      </c>
      <c r="B6" s="8" t="inlineStr">
        <is>
          <t>C1096-Q9556</t>
        </is>
      </c>
      <c r="C6" s="8" t="inlineStr">
        <is>
          <t>Morropon</t>
        </is>
      </c>
      <c r="D6" s="8" t="inlineStr">
        <is>
          <t>Chulucanas</t>
        </is>
      </c>
      <c r="E6" s="8" t="inlineStr">
        <is>
          <t>Z01</t>
        </is>
      </c>
      <c r="F6" s="9" t="n">
        <v>601122</v>
      </c>
      <c r="G6" s="9" t="n">
        <v>9443651</v>
      </c>
      <c r="H6" s="10" t="n">
        <v>79.33</v>
      </c>
    </row>
    <row r="7" ht="15" customHeight="1" s="17">
      <c r="A7" s="8" t="inlineStr">
        <is>
          <t>M17B1</t>
        </is>
      </c>
      <c r="B7" s="8" t="inlineStr">
        <is>
          <t>C1096-Q9556</t>
        </is>
      </c>
      <c r="C7" s="8" t="inlineStr">
        <is>
          <t>Morropon</t>
        </is>
      </c>
      <c r="D7" s="8" t="inlineStr">
        <is>
          <t>Chulucanas</t>
        </is>
      </c>
      <c r="E7" s="8" t="inlineStr">
        <is>
          <t>Z01</t>
        </is>
      </c>
      <c r="F7" s="9" t="n">
        <v>600644</v>
      </c>
      <c r="G7" s="9" t="n">
        <v>9440436</v>
      </c>
      <c r="H7" s="10" t="n">
        <v>42.45</v>
      </c>
    </row>
    <row r="8" ht="15" customHeight="1" s="17">
      <c r="A8" s="8" t="inlineStr">
        <is>
          <t>2</t>
        </is>
      </c>
      <c r="B8" s="8" t="inlineStr">
        <is>
          <t>C1096-Q9558</t>
        </is>
      </c>
      <c r="C8" s="8" t="inlineStr">
        <is>
          <t>Morropon</t>
        </is>
      </c>
      <c r="D8" s="8" t="inlineStr">
        <is>
          <t>Chulucanas</t>
        </is>
      </c>
      <c r="E8" s="8" t="inlineStr">
        <is>
          <t>Z01</t>
        </is>
      </c>
      <c r="F8" s="9" t="n">
        <v>603653</v>
      </c>
      <c r="G8" s="9" t="n">
        <v>9439351</v>
      </c>
      <c r="H8" s="10" t="n">
        <v>330.6</v>
      </c>
    </row>
    <row r="9" ht="15" customHeight="1" s="17">
      <c r="A9" s="8" t="inlineStr">
        <is>
          <t>M17B4</t>
        </is>
      </c>
      <c r="B9" s="8" t="inlineStr">
        <is>
          <t>C1096-Q9556</t>
        </is>
      </c>
      <c r="C9" s="8" t="inlineStr">
        <is>
          <t>Morropon</t>
        </is>
      </c>
      <c r="D9" s="8" t="inlineStr">
        <is>
          <t>Chulucanas</t>
        </is>
      </c>
      <c r="E9" s="8" t="inlineStr">
        <is>
          <t>Z01</t>
        </is>
      </c>
      <c r="F9" s="9" t="n">
        <v>604926</v>
      </c>
      <c r="G9" s="9" t="n">
        <v>9444327</v>
      </c>
      <c r="H9" s="10" t="n">
        <v>124.71</v>
      </c>
    </row>
    <row r="10" ht="15" customHeight="1" s="17">
      <c r="A10" s="8" t="inlineStr">
        <is>
          <t>M27B1</t>
        </is>
      </c>
      <c r="B10" s="8" t="inlineStr">
        <is>
          <t>C1096-Q9557</t>
        </is>
      </c>
      <c r="C10" s="8" t="inlineStr">
        <is>
          <t>Morropon</t>
        </is>
      </c>
      <c r="D10" s="8" t="inlineStr">
        <is>
          <t>Chulucanas</t>
        </is>
      </c>
      <c r="E10" s="8" t="inlineStr">
        <is>
          <t>Z01</t>
        </is>
      </c>
      <c r="F10" s="9" t="n">
        <v>593246</v>
      </c>
      <c r="G10" s="9" t="n">
        <v>9430139</v>
      </c>
      <c r="H10" s="10" t="n">
        <v>448.8</v>
      </c>
    </row>
    <row r="11" ht="15" customHeight="1" s="17">
      <c r="A11" s="8" t="inlineStr">
        <is>
          <t>3</t>
        </is>
      </c>
      <c r="B11" s="8" t="inlineStr">
        <is>
          <t>C1096-Q9545</t>
        </is>
      </c>
      <c r="C11" s="8" t="inlineStr">
        <is>
          <t>Ayabaca</t>
        </is>
      </c>
      <c r="D11" s="8" t="inlineStr">
        <is>
          <t>Frias</t>
        </is>
      </c>
      <c r="E11" s="8" t="inlineStr">
        <is>
          <t>Z02</t>
        </is>
      </c>
      <c r="F11" s="9" t="n">
        <v>606816</v>
      </c>
      <c r="G11" s="9" t="n">
        <v>9458469</v>
      </c>
      <c r="H11" s="10" t="n">
        <v>459.29</v>
      </c>
    </row>
    <row r="12" ht="15" customHeight="1" s="17">
      <c r="A12" s="8" t="inlineStr">
        <is>
          <t>6</t>
        </is>
      </c>
      <c r="B12" s="8" t="inlineStr">
        <is>
          <t>C1096-Q9547</t>
        </is>
      </c>
      <c r="C12" s="8" t="inlineStr">
        <is>
          <t>Ayabaca</t>
        </is>
      </c>
      <c r="D12" s="8" t="inlineStr">
        <is>
          <t>Frias</t>
        </is>
      </c>
      <c r="E12" s="8" t="inlineStr">
        <is>
          <t>Z02</t>
        </is>
      </c>
      <c r="F12" s="9" t="n">
        <v>605636</v>
      </c>
      <c r="G12" s="9" t="n">
        <v>9455269</v>
      </c>
      <c r="H12" s="10" t="n">
        <v>168.41</v>
      </c>
    </row>
    <row r="13" ht="15" customHeight="1" s="17">
      <c r="A13" s="8" t="inlineStr">
        <is>
          <t>36</t>
        </is>
      </c>
      <c r="B13" s="8" t="inlineStr">
        <is>
          <t>C1096-Q9547</t>
        </is>
      </c>
      <c r="C13" s="8" t="inlineStr">
        <is>
          <t>Ayabaca</t>
        </is>
      </c>
      <c r="D13" s="8" t="inlineStr">
        <is>
          <t>Frias</t>
        </is>
      </c>
      <c r="E13" s="8" t="inlineStr">
        <is>
          <t>Z02</t>
        </is>
      </c>
      <c r="F13" s="9" t="n">
        <v>606468</v>
      </c>
      <c r="G13" s="9" t="n">
        <v>9454689</v>
      </c>
      <c r="H13" s="10" t="n">
        <v>24.84</v>
      </c>
    </row>
    <row r="14" ht="15" customHeight="1" s="17">
      <c r="A14" s="8" t="inlineStr">
        <is>
          <t>M17B7</t>
        </is>
      </c>
      <c r="B14" s="8" t="inlineStr">
        <is>
          <t>C1096-Q9556</t>
        </is>
      </c>
      <c r="C14" s="8" t="inlineStr">
        <is>
          <t>Ayabaca</t>
        </is>
      </c>
      <c r="D14" s="8" t="inlineStr">
        <is>
          <t>Frias</t>
        </is>
      </c>
      <c r="E14" s="8" t="inlineStr">
        <is>
          <t>Z02</t>
        </is>
      </c>
      <c r="F14" s="9" t="n">
        <v>608472</v>
      </c>
      <c r="G14" s="9" t="n">
        <v>9448056</v>
      </c>
      <c r="H14" s="10" t="n">
        <v>258.84</v>
      </c>
    </row>
    <row r="15" ht="15" customHeight="1" s="17">
      <c r="A15" s="8" t="inlineStr">
        <is>
          <t>M17B6</t>
        </is>
      </c>
      <c r="B15" s="8" t="inlineStr">
        <is>
          <t>C1096-Q9556</t>
        </is>
      </c>
      <c r="C15" s="8" t="inlineStr">
        <is>
          <t>Ayabaca</t>
        </is>
      </c>
      <c r="D15" s="8" t="inlineStr">
        <is>
          <t>Frias</t>
        </is>
      </c>
      <c r="E15" s="8" t="inlineStr">
        <is>
          <t>Z02</t>
        </is>
      </c>
      <c r="F15" s="9" t="n">
        <v>607036</v>
      </c>
      <c r="G15" s="9" t="n">
        <v>9446211</v>
      </c>
      <c r="H15" s="10" t="n">
        <v>106.54</v>
      </c>
    </row>
    <row r="16" ht="15" customHeight="1" s="17">
      <c r="A16" s="8" t="inlineStr">
        <is>
          <t>M17B10</t>
        </is>
      </c>
      <c r="B16" s="8" t="inlineStr">
        <is>
          <t>C1096-Q9556</t>
        </is>
      </c>
      <c r="C16" s="8" t="inlineStr">
        <is>
          <t>Ayabaca</t>
        </is>
      </c>
      <c r="D16" s="8" t="inlineStr">
        <is>
          <t>Frias</t>
        </is>
      </c>
      <c r="E16" s="8" t="inlineStr">
        <is>
          <t>Z02</t>
        </is>
      </c>
      <c r="F16" s="9" t="n">
        <v>606173</v>
      </c>
      <c r="G16" s="9" t="n">
        <v>9447361</v>
      </c>
      <c r="H16" s="10" t="n">
        <v>75.36</v>
      </c>
    </row>
    <row r="17" ht="15" customHeight="1" s="17">
      <c r="A17" s="8" t="inlineStr">
        <is>
          <t>M17B5</t>
        </is>
      </c>
      <c r="B17" s="8" t="inlineStr">
        <is>
          <t>C1096-Q9556</t>
        </is>
      </c>
      <c r="C17" s="8" t="inlineStr">
        <is>
          <t>Ayabaca</t>
        </is>
      </c>
      <c r="D17" s="8" t="inlineStr">
        <is>
          <t>Frias</t>
        </is>
      </c>
      <c r="E17" s="8" t="inlineStr">
        <is>
          <t>Z02</t>
        </is>
      </c>
      <c r="F17" s="9" t="n">
        <v>608800</v>
      </c>
      <c r="G17" s="9" t="n">
        <v>9445585</v>
      </c>
      <c r="H17" s="10" t="n">
        <v>74.03</v>
      </c>
    </row>
    <row r="18" ht="15" customHeight="1" s="17">
      <c r="A18" s="8" t="inlineStr">
        <is>
          <t>27</t>
        </is>
      </c>
      <c r="B18" s="8" t="inlineStr">
        <is>
          <t>C1096-Q9556</t>
        </is>
      </c>
      <c r="C18" s="8" t="inlineStr">
        <is>
          <t>Ayabaca</t>
        </is>
      </c>
      <c r="D18" s="8" t="inlineStr">
        <is>
          <t>Frias</t>
        </is>
      </c>
      <c r="E18" s="8" t="inlineStr">
        <is>
          <t>Z02</t>
        </is>
      </c>
      <c r="F18" s="9" t="n">
        <v>613302</v>
      </c>
      <c r="G18" s="9" t="n">
        <v>9450231</v>
      </c>
      <c r="H18" s="10" t="n">
        <v>78.15000000000001</v>
      </c>
    </row>
    <row r="19" ht="15" customHeight="1" s="17">
      <c r="A19" s="8" t="inlineStr">
        <is>
          <t>39</t>
        </is>
      </c>
      <c r="B19" s="8" t="inlineStr">
        <is>
          <t>C1096-Q9564</t>
        </is>
      </c>
      <c r="C19" s="8" t="inlineStr">
        <is>
          <t>Ayabaca</t>
        </is>
      </c>
      <c r="D19" s="8" t="inlineStr">
        <is>
          <t>Frias</t>
        </is>
      </c>
      <c r="E19" s="8" t="inlineStr">
        <is>
          <t>Z02</t>
        </is>
      </c>
      <c r="F19" s="9" t="n">
        <v>618523</v>
      </c>
      <c r="G19" s="9" t="n">
        <v>9448918</v>
      </c>
      <c r="H19" s="10" t="n">
        <v>68.56999999999999</v>
      </c>
    </row>
    <row r="20" ht="15" customHeight="1" s="17">
      <c r="A20" s="8" t="inlineStr">
        <is>
          <t>56</t>
        </is>
      </c>
      <c r="B20" s="8" t="inlineStr">
        <is>
          <t>C1096-Q9564</t>
        </is>
      </c>
      <c r="C20" s="8" t="inlineStr">
        <is>
          <t>Ayabaca</t>
        </is>
      </c>
      <c r="D20" s="8" t="inlineStr">
        <is>
          <t>Frias</t>
        </is>
      </c>
      <c r="E20" s="8" t="inlineStr">
        <is>
          <t>Z02</t>
        </is>
      </c>
      <c r="F20" s="9" t="n">
        <v>631723</v>
      </c>
      <c r="G20" s="9" t="n">
        <v>9439702</v>
      </c>
      <c r="H20" s="10" t="n">
        <v>77.67</v>
      </c>
    </row>
    <row r="21" ht="15" customHeight="1" s="17">
      <c r="A21" s="8" t="inlineStr">
        <is>
          <t>12</t>
        </is>
      </c>
      <c r="B21" s="8" t="inlineStr">
        <is>
          <t>C1086-Q9570</t>
        </is>
      </c>
      <c r="C21" s="8" t="inlineStr">
        <is>
          <t>Morropon</t>
        </is>
      </c>
      <c r="D21" s="8" t="inlineStr">
        <is>
          <t>Santo Domingo</t>
        </is>
      </c>
      <c r="E21" s="8" t="inlineStr">
        <is>
          <t>Z03</t>
        </is>
      </c>
      <c r="F21" s="9" t="n">
        <v>625419</v>
      </c>
      <c r="G21" s="9" t="n">
        <v>9444932</v>
      </c>
      <c r="H21" s="10" t="n">
        <v>119.54</v>
      </c>
    </row>
    <row r="22" ht="15" customHeight="1" s="17">
      <c r="A22" s="8" t="inlineStr">
        <is>
          <t>82</t>
        </is>
      </c>
      <c r="B22" s="8" t="inlineStr">
        <is>
          <t>C1086-Q9570</t>
        </is>
      </c>
      <c r="C22" s="8" t="inlineStr">
        <is>
          <t>Morropon</t>
        </is>
      </c>
      <c r="D22" s="8" t="inlineStr">
        <is>
          <t>Santo Domingo</t>
        </is>
      </c>
      <c r="E22" s="8" t="inlineStr">
        <is>
          <t>Z03</t>
        </is>
      </c>
      <c r="F22" s="9" t="n">
        <v>621452</v>
      </c>
      <c r="G22" s="9" t="n">
        <v>9443855</v>
      </c>
      <c r="H22" s="10" t="n">
        <v>35.66</v>
      </c>
    </row>
    <row r="23" ht="15" customHeight="1" s="17">
      <c r="A23" s="8" t="inlineStr">
        <is>
          <t>13</t>
        </is>
      </c>
      <c r="B23" s="8" t="inlineStr">
        <is>
          <t>C1096-Q9564</t>
        </is>
      </c>
      <c r="C23" s="8" t="inlineStr">
        <is>
          <t>Morropon</t>
        </is>
      </c>
      <c r="D23" s="8" t="inlineStr">
        <is>
          <t>Santo Domingo</t>
        </is>
      </c>
      <c r="E23" s="8" t="inlineStr">
        <is>
          <t>Z03</t>
        </is>
      </c>
      <c r="F23" s="9" t="n">
        <v>620263</v>
      </c>
      <c r="G23" s="9" t="n">
        <v>9442343</v>
      </c>
      <c r="H23" s="10" t="n">
        <v>100.51</v>
      </c>
    </row>
    <row r="24" ht="15" customHeight="1" s="17">
      <c r="A24" s="8" t="inlineStr">
        <is>
          <t>78</t>
        </is>
      </c>
      <c r="B24" s="8" t="inlineStr">
        <is>
          <t>C1086-Q9570</t>
        </is>
      </c>
      <c r="C24" s="8" t="inlineStr">
        <is>
          <t>Morropon</t>
        </is>
      </c>
      <c r="D24" s="8" t="inlineStr">
        <is>
          <t>Santo Domingo</t>
        </is>
      </c>
      <c r="E24" s="8" t="inlineStr">
        <is>
          <t>Z03</t>
        </is>
      </c>
      <c r="F24" s="9" t="n">
        <v>619630</v>
      </c>
      <c r="G24" s="9" t="n">
        <v>9440043</v>
      </c>
      <c r="H24" s="10" t="n">
        <v>35.1</v>
      </c>
    </row>
    <row r="25" ht="15" customHeight="1" s="17">
      <c r="A25" s="8" t="inlineStr">
        <is>
          <t>11</t>
        </is>
      </c>
      <c r="B25" s="8" t="inlineStr">
        <is>
          <t>C1086-Q9570</t>
        </is>
      </c>
      <c r="C25" s="8" t="inlineStr">
        <is>
          <t>Morropon</t>
        </is>
      </c>
      <c r="D25" s="8" t="inlineStr">
        <is>
          <t>Santo Domingo</t>
        </is>
      </c>
      <c r="E25" s="8" t="inlineStr">
        <is>
          <t>Z03</t>
        </is>
      </c>
      <c r="F25" s="9" t="n">
        <v>620759</v>
      </c>
      <c r="G25" s="9" t="n">
        <v>9439988</v>
      </c>
      <c r="H25" s="10" t="n">
        <v>103.95</v>
      </c>
    </row>
    <row r="26" ht="15" customHeight="1" s="17">
      <c r="A26" s="8" t="inlineStr">
        <is>
          <t>23</t>
        </is>
      </c>
      <c r="B26" s="8" t="inlineStr">
        <is>
          <t>C1086-Q9570</t>
        </is>
      </c>
      <c r="C26" s="8" t="inlineStr">
        <is>
          <t>Morropon</t>
        </is>
      </c>
      <c r="D26" s="8" t="inlineStr">
        <is>
          <t>Santo Domingo</t>
        </is>
      </c>
      <c r="E26" s="8" t="inlineStr">
        <is>
          <t>Z03</t>
        </is>
      </c>
      <c r="F26" s="9" t="n">
        <v>619939</v>
      </c>
      <c r="G26" s="9" t="n">
        <v>9438544</v>
      </c>
      <c r="H26" s="10" t="n">
        <v>81.78</v>
      </c>
    </row>
    <row r="27" ht="15" customHeight="1" s="17">
      <c r="A27" s="8" t="inlineStr">
        <is>
          <t>15</t>
        </is>
      </c>
      <c r="B27" s="8" t="inlineStr">
        <is>
          <t>C1086-Q9570</t>
        </is>
      </c>
      <c r="C27" s="8" t="inlineStr">
        <is>
          <t>Morropon</t>
        </is>
      </c>
      <c r="D27" s="8" t="inlineStr">
        <is>
          <t>Santo Domingo</t>
        </is>
      </c>
      <c r="E27" s="8" t="inlineStr">
        <is>
          <t>Z03</t>
        </is>
      </c>
      <c r="F27" s="9" t="n">
        <v>620200</v>
      </c>
      <c r="G27" s="9" t="n">
        <v>9437862</v>
      </c>
      <c r="H27" s="10" t="n">
        <v>86.15000000000001</v>
      </c>
    </row>
    <row r="28" ht="15" customHeight="1" s="17">
      <c r="A28" s="8" t="inlineStr">
        <is>
          <t>M19B7</t>
        </is>
      </c>
      <c r="B28" s="8" t="inlineStr">
        <is>
          <t>C1086-Q9570</t>
        </is>
      </c>
      <c r="C28" s="8" t="inlineStr">
        <is>
          <t>Morropon</t>
        </is>
      </c>
      <c r="D28" s="8" t="inlineStr">
        <is>
          <t>Santo Domingo</t>
        </is>
      </c>
      <c r="E28" s="8" t="inlineStr">
        <is>
          <t>Z03</t>
        </is>
      </c>
      <c r="F28" s="9" t="n">
        <v>620770</v>
      </c>
      <c r="G28" s="9" t="n">
        <v>9436562</v>
      </c>
      <c r="H28" s="10" t="n">
        <v>34.17</v>
      </c>
    </row>
    <row r="29" ht="15" customHeight="1" s="17">
      <c r="A29" s="8" t="inlineStr">
        <is>
          <t>17</t>
        </is>
      </c>
      <c r="B29" s="8" t="inlineStr">
        <is>
          <t>C1086-Q9570</t>
        </is>
      </c>
      <c r="C29" s="8" t="inlineStr">
        <is>
          <t>Morropon</t>
        </is>
      </c>
      <c r="D29" s="8" t="inlineStr">
        <is>
          <t>Santo Domingo</t>
        </is>
      </c>
      <c r="E29" s="8" t="inlineStr">
        <is>
          <t>Z03</t>
        </is>
      </c>
      <c r="F29" s="9" t="n">
        <v>618661</v>
      </c>
      <c r="G29" s="9" t="n">
        <v>9438267</v>
      </c>
      <c r="H29" s="10" t="n">
        <v>96.08</v>
      </c>
    </row>
    <row r="30" ht="15" customHeight="1" s="17">
      <c r="A30" s="8" t="inlineStr">
        <is>
          <t>M8B2</t>
        </is>
      </c>
      <c r="B30" s="8" t="inlineStr">
        <is>
          <t>C1096-Q9558</t>
        </is>
      </c>
      <c r="C30" s="8" t="inlineStr">
        <is>
          <t>Morropon</t>
        </is>
      </c>
      <c r="D30" s="8" t="inlineStr">
        <is>
          <t>Santo Domingo</t>
        </is>
      </c>
      <c r="E30" s="8" t="inlineStr">
        <is>
          <t>Z03</t>
        </is>
      </c>
      <c r="F30" s="9" t="n">
        <v>617596</v>
      </c>
      <c r="G30" s="9" t="n">
        <v>9436227</v>
      </c>
      <c r="H30" s="10" t="n">
        <v>35.35</v>
      </c>
    </row>
    <row r="31" ht="15" customHeight="1" s="17">
      <c r="A31" s="8" t="inlineStr">
        <is>
          <t>57</t>
        </is>
      </c>
      <c r="B31" s="8" t="inlineStr">
        <is>
          <t>C1086-Q9576</t>
        </is>
      </c>
      <c r="C31" s="8" t="inlineStr">
        <is>
          <t>Morropon</t>
        </is>
      </c>
      <c r="D31" s="8" t="inlineStr">
        <is>
          <t>Chalaco</t>
        </is>
      </c>
      <c r="E31" s="8" t="inlineStr">
        <is>
          <t>Z04</t>
        </is>
      </c>
      <c r="F31" s="9" t="n">
        <v>631195</v>
      </c>
      <c r="G31" s="9" t="n">
        <v>9441777</v>
      </c>
      <c r="H31" s="10" t="n">
        <v>25.67</v>
      </c>
    </row>
    <row r="32" ht="15" customHeight="1" s="17">
      <c r="A32" s="8" t="inlineStr">
        <is>
          <t>59</t>
        </is>
      </c>
      <c r="B32" s="8" t="inlineStr">
        <is>
          <t>C1086-Q9570</t>
        </is>
      </c>
      <c r="C32" s="8" t="inlineStr">
        <is>
          <t>Morropon</t>
        </is>
      </c>
      <c r="D32" s="8" t="inlineStr">
        <is>
          <t>Chalaco</t>
        </is>
      </c>
      <c r="E32" s="8" t="inlineStr">
        <is>
          <t>Z04</t>
        </is>
      </c>
      <c r="F32" s="9" t="n">
        <v>631195</v>
      </c>
      <c r="G32" s="9" t="n">
        <v>9441777</v>
      </c>
      <c r="H32" s="10" t="n">
        <v>13.55</v>
      </c>
    </row>
    <row r="33" ht="15" customHeight="1" s="17">
      <c r="A33" s="8" t="inlineStr">
        <is>
          <t>M36B2</t>
        </is>
      </c>
      <c r="B33" s="8" t="inlineStr">
        <is>
          <t>C1086-Q9576</t>
        </is>
      </c>
      <c r="C33" s="8" t="inlineStr">
        <is>
          <t>Morropon</t>
        </is>
      </c>
      <c r="D33" s="8" t="inlineStr">
        <is>
          <t>Santa Catalina de Mossa</t>
        </is>
      </c>
      <c r="E33" s="8" t="inlineStr">
        <is>
          <t>Z04</t>
        </is>
      </c>
      <c r="F33" s="9" t="n">
        <v>626438</v>
      </c>
      <c r="G33" s="9" t="n">
        <v>9435060</v>
      </c>
      <c r="H33" s="10" t="n">
        <v>28.19</v>
      </c>
    </row>
    <row r="34" ht="15" customHeight="1" s="17">
      <c r="A34" s="8" t="inlineStr">
        <is>
          <t>42</t>
        </is>
      </c>
      <c r="B34" s="8" t="inlineStr">
        <is>
          <t>C1086-Q9570</t>
        </is>
      </c>
      <c r="C34" s="8" t="inlineStr">
        <is>
          <t>Morropon</t>
        </is>
      </c>
      <c r="D34" s="8" t="inlineStr">
        <is>
          <t>Santa Catalina de Mossa</t>
        </is>
      </c>
      <c r="E34" s="8" t="inlineStr">
        <is>
          <t>Z04</t>
        </is>
      </c>
      <c r="F34" s="9" t="n">
        <v>625152</v>
      </c>
      <c r="G34" s="9" t="n">
        <v>9435011</v>
      </c>
      <c r="H34" s="10" t="n">
        <v>80.62</v>
      </c>
    </row>
    <row r="35" ht="15" customHeight="1" s="17">
      <c r="A35" s="8" t="inlineStr">
        <is>
          <t>14</t>
        </is>
      </c>
      <c r="B35" s="8" t="inlineStr">
        <is>
          <t>C1086-Q9570</t>
        </is>
      </c>
      <c r="C35" s="8" t="inlineStr">
        <is>
          <t>Morropon</t>
        </is>
      </c>
      <c r="D35" s="8" t="inlineStr">
        <is>
          <t>Santa Catalina de Mossa</t>
        </is>
      </c>
      <c r="E35" s="8" t="inlineStr">
        <is>
          <t>Z04</t>
        </is>
      </c>
      <c r="F35" s="9" t="n">
        <v>624397</v>
      </c>
      <c r="G35" s="9" t="n">
        <v>9437085</v>
      </c>
      <c r="H35" s="10" t="n">
        <v>92.90000000000001</v>
      </c>
    </row>
    <row r="36" ht="15" customHeight="1" s="17">
      <c r="A36" s="8" t="inlineStr">
        <is>
          <t>58</t>
        </is>
      </c>
      <c r="B36" s="8" t="inlineStr">
        <is>
          <t>C1086-Q9569</t>
        </is>
      </c>
      <c r="C36" s="8" t="inlineStr">
        <is>
          <t>Morropon</t>
        </is>
      </c>
      <c r="D36" s="8" t="inlineStr">
        <is>
          <t>Santa Catalina de Mossa</t>
        </is>
      </c>
      <c r="E36" s="8" t="inlineStr">
        <is>
          <t>Z04</t>
        </is>
      </c>
      <c r="F36" s="9" t="n">
        <v>619094</v>
      </c>
      <c r="G36" s="9" t="n">
        <v>9426406</v>
      </c>
      <c r="H36" s="10" t="n">
        <v>11.47</v>
      </c>
    </row>
    <row r="37" ht="15" customHeight="1" s="17">
      <c r="A37" s="8" t="inlineStr">
        <is>
          <t>M19B2</t>
        </is>
      </c>
      <c r="B37" s="8" t="inlineStr">
        <is>
          <t>C1086-Q9570</t>
        </is>
      </c>
      <c r="C37" s="8" t="inlineStr">
        <is>
          <t>Morropon</t>
        </is>
      </c>
      <c r="D37" s="8" t="inlineStr">
        <is>
          <t>Morropon</t>
        </is>
      </c>
      <c r="E37" s="8" t="inlineStr">
        <is>
          <t>Z05</t>
        </is>
      </c>
      <c r="F37" s="9" t="n">
        <v>617715</v>
      </c>
      <c r="G37" s="9" t="n">
        <v>9427284</v>
      </c>
      <c r="H37" s="10" t="n">
        <v>74.37</v>
      </c>
    </row>
    <row r="38" ht="15" customHeight="1" s="17">
      <c r="A38" s="8" t="inlineStr">
        <is>
          <t>M32B3</t>
        </is>
      </c>
      <c r="B38" s="8" t="inlineStr">
        <is>
          <t>C1086-Q9569</t>
        </is>
      </c>
      <c r="C38" s="8" t="inlineStr">
        <is>
          <t>Morropon</t>
        </is>
      </c>
      <c r="D38" s="8" t="inlineStr">
        <is>
          <t>Morropon</t>
        </is>
      </c>
      <c r="E38" s="8" t="inlineStr">
        <is>
          <t>Z05</t>
        </is>
      </c>
      <c r="F38" s="9" t="n">
        <v>618248</v>
      </c>
      <c r="G38" s="9" t="n">
        <v>9426493</v>
      </c>
      <c r="H38" s="10" t="n">
        <v>50.97</v>
      </c>
    </row>
    <row r="39" ht="15" customHeight="1" s="17">
      <c r="A39" s="8" t="inlineStr">
        <is>
          <t>M6B10</t>
        </is>
      </c>
      <c r="B39" s="8" t="inlineStr">
        <is>
          <t>C1077-Q9566</t>
        </is>
      </c>
      <c r="C39" s="8" t="inlineStr">
        <is>
          <t>Morropon</t>
        </is>
      </c>
      <c r="D39" s="8" t="inlineStr">
        <is>
          <t>Buenos Aires</t>
        </is>
      </c>
      <c r="E39" s="8" t="inlineStr">
        <is>
          <t>Z06</t>
        </is>
      </c>
      <c r="F39" s="9" t="n">
        <v>618299</v>
      </c>
      <c r="G39" s="9" t="n">
        <v>9423119</v>
      </c>
      <c r="H39" s="10" t="n">
        <v>249.89</v>
      </c>
    </row>
    <row r="40" ht="15" customHeight="1" s="17">
      <c r="A40" s="8" t="inlineStr">
        <is>
          <t>M6B2-3</t>
        </is>
      </c>
      <c r="B40" s="8" t="inlineStr">
        <is>
          <t>C1077-Q9566</t>
        </is>
      </c>
      <c r="C40" s="8" t="inlineStr">
        <is>
          <t>Morropon</t>
        </is>
      </c>
      <c r="D40" s="8" t="inlineStr">
        <is>
          <t>Buenos Aires</t>
        </is>
      </c>
      <c r="E40" s="8" t="inlineStr">
        <is>
          <t>Z06</t>
        </is>
      </c>
      <c r="F40" s="9" t="n">
        <v>611305</v>
      </c>
      <c r="G40" s="9" t="n">
        <v>9419274</v>
      </c>
      <c r="H40" s="10" t="n">
        <v>160.98</v>
      </c>
    </row>
    <row r="41" ht="15" customHeight="1" s="17">
      <c r="A41" s="8" t="inlineStr">
        <is>
          <t>M6B2-2</t>
        </is>
      </c>
      <c r="B41" s="8" t="inlineStr">
        <is>
          <t>C1077-Q9566</t>
        </is>
      </c>
      <c r="C41" s="8" t="inlineStr">
        <is>
          <t>Morropon</t>
        </is>
      </c>
      <c r="D41" s="8" t="inlineStr">
        <is>
          <t>Buenos Aires</t>
        </is>
      </c>
      <c r="E41" s="8" t="inlineStr">
        <is>
          <t>Z06</t>
        </is>
      </c>
      <c r="F41" s="9" t="n">
        <v>611196</v>
      </c>
      <c r="G41" s="9" t="n">
        <v>9416725</v>
      </c>
      <c r="H41" s="10" t="n">
        <v>333.01</v>
      </c>
    </row>
    <row r="42" ht="15" customHeight="1" s="17">
      <c r="A42" s="8" t="inlineStr">
        <is>
          <t>M6B2-1</t>
        </is>
      </c>
      <c r="B42" s="8" t="inlineStr">
        <is>
          <t>C1077-Q9566</t>
        </is>
      </c>
      <c r="C42" s="8" t="inlineStr">
        <is>
          <t>Morropon</t>
        </is>
      </c>
      <c r="D42" s="8" t="inlineStr">
        <is>
          <t>Buenos Aires</t>
        </is>
      </c>
      <c r="E42" s="8" t="inlineStr">
        <is>
          <t>Z06</t>
        </is>
      </c>
      <c r="F42" s="9" t="n">
        <v>612864</v>
      </c>
      <c r="G42" s="9" t="n">
        <v>9413345</v>
      </c>
      <c r="H42" s="10" t="n">
        <v>514.36</v>
      </c>
    </row>
    <row r="43" ht="15" customHeight="1" s="17">
      <c r="A43" s="8" t="inlineStr">
        <is>
          <t>5</t>
        </is>
      </c>
      <c r="B43" s="8" t="inlineStr">
        <is>
          <t>C1077-Q9566</t>
        </is>
      </c>
      <c r="C43" s="8" t="inlineStr">
        <is>
          <t>Morropon</t>
        </is>
      </c>
      <c r="D43" s="8" t="inlineStr">
        <is>
          <t>Buenos Aires</t>
        </is>
      </c>
      <c r="E43" s="8" t="inlineStr">
        <is>
          <t>Z06</t>
        </is>
      </c>
      <c r="F43" s="9" t="n">
        <v>617860</v>
      </c>
      <c r="G43" s="9" t="n">
        <v>9413182</v>
      </c>
      <c r="H43" s="10" t="n">
        <v>295.73</v>
      </c>
    </row>
    <row r="44" ht="15" customHeight="1" s="17">
      <c r="A44" s="8" t="inlineStr">
        <is>
          <t>M1B1</t>
        </is>
      </c>
      <c r="B44" s="8" t="inlineStr">
        <is>
          <t>C1077-Q9580</t>
        </is>
      </c>
      <c r="C44" s="8" t="inlineStr">
        <is>
          <t>Morropon</t>
        </is>
      </c>
      <c r="D44" s="8" t="inlineStr">
        <is>
          <t>Buenos Aires</t>
        </is>
      </c>
      <c r="E44" s="8" t="inlineStr">
        <is>
          <t>Z06</t>
        </is>
      </c>
      <c r="F44" s="9" t="n">
        <v>617695</v>
      </c>
      <c r="G44" s="9" t="n">
        <v>9409136</v>
      </c>
      <c r="H44" s="10" t="n">
        <v>188.8</v>
      </c>
    </row>
    <row r="45" ht="15" customHeight="1" s="17">
      <c r="A45" s="8" t="inlineStr">
        <is>
          <t>M18B1</t>
        </is>
      </c>
      <c r="B45" s="8" t="inlineStr">
        <is>
          <t>C1077-Q9579</t>
        </is>
      </c>
      <c r="C45" s="8" t="inlineStr">
        <is>
          <t>Morropon</t>
        </is>
      </c>
      <c r="D45" s="8" t="inlineStr">
        <is>
          <t>Buenos Aires</t>
        </is>
      </c>
      <c r="E45" s="8" t="inlineStr">
        <is>
          <t>Z06</t>
        </is>
      </c>
      <c r="F45" s="9" t="n">
        <v>621058</v>
      </c>
      <c r="G45" s="9" t="n">
        <v>9410427</v>
      </c>
      <c r="H45" s="10" t="n">
        <v>160.36</v>
      </c>
    </row>
    <row r="46" ht="15" customHeight="1" s="17">
      <c r="A46" s="8" t="inlineStr">
        <is>
          <t>M3B9</t>
        </is>
      </c>
      <c r="B46" s="8" t="inlineStr">
        <is>
          <t>C1081-Q9582</t>
        </is>
      </c>
      <c r="C46" s="8" t="inlineStr">
        <is>
          <t>Morropon</t>
        </is>
      </c>
      <c r="D46" s="8" t="inlineStr">
        <is>
          <t>Salitral</t>
        </is>
      </c>
      <c r="E46" s="8" t="inlineStr">
        <is>
          <t>Z07</t>
        </is>
      </c>
      <c r="F46" s="9" t="n">
        <v>629338</v>
      </c>
      <c r="G46" s="9" t="n">
        <v>9413305</v>
      </c>
      <c r="H46" s="10" t="n">
        <v>294.2</v>
      </c>
    </row>
    <row r="47" ht="15" customHeight="1" s="17">
      <c r="A47" s="8" t="inlineStr">
        <is>
          <t>M3B1</t>
        </is>
      </c>
      <c r="B47" s="8" t="inlineStr">
        <is>
          <t>C1081-Q9582</t>
        </is>
      </c>
      <c r="C47" s="8" t="inlineStr">
        <is>
          <t>Morropon</t>
        </is>
      </c>
      <c r="D47" s="8" t="inlineStr">
        <is>
          <t>Salitral</t>
        </is>
      </c>
      <c r="E47" s="8" t="inlineStr">
        <is>
          <t>Z07</t>
        </is>
      </c>
      <c r="F47" s="9" t="n">
        <v>630685</v>
      </c>
      <c r="G47" s="9" t="n">
        <v>9410800</v>
      </c>
      <c r="H47" s="10" t="n">
        <v>80.98</v>
      </c>
    </row>
    <row r="48" ht="15" customHeight="1" s="17">
      <c r="A48" s="8" t="inlineStr">
        <is>
          <t>M7B1</t>
        </is>
      </c>
      <c r="B48" s="8" t="inlineStr">
        <is>
          <t>C1076-Q9581</t>
        </is>
      </c>
      <c r="C48" s="8" t="inlineStr">
        <is>
          <t>Morropon</t>
        </is>
      </c>
      <c r="D48" s="8" t="inlineStr">
        <is>
          <t>Salitral</t>
        </is>
      </c>
      <c r="E48" s="8" t="inlineStr">
        <is>
          <t>Z07</t>
        </is>
      </c>
      <c r="F48" s="9" t="n">
        <v>629006</v>
      </c>
      <c r="G48" s="9" t="n">
        <v>9407536</v>
      </c>
      <c r="H48" s="10" t="n">
        <v>130.43</v>
      </c>
    </row>
    <row r="49" ht="15" customHeight="1" s="17">
      <c r="A49" s="8" t="inlineStr">
        <is>
          <t>M7B2</t>
        </is>
      </c>
      <c r="B49" s="8" t="inlineStr">
        <is>
          <t>C1076-Q9581</t>
        </is>
      </c>
      <c r="C49" s="8" t="inlineStr">
        <is>
          <t>Morropon</t>
        </is>
      </c>
      <c r="D49" s="8" t="inlineStr">
        <is>
          <t>Salitral</t>
        </is>
      </c>
      <c r="E49" s="8" t="inlineStr">
        <is>
          <t>Z07</t>
        </is>
      </c>
      <c r="F49" s="9" t="n">
        <v>631438</v>
      </c>
      <c r="G49" s="9" t="n">
        <v>9403547</v>
      </c>
      <c r="H49" s="10" t="n">
        <v>115.38</v>
      </c>
    </row>
    <row r="50" ht="15" customHeight="1" s="17">
      <c r="A50" s="8" t="inlineStr">
        <is>
          <t>M7B3</t>
        </is>
      </c>
      <c r="B50" s="8" t="inlineStr">
        <is>
          <t>C1076-Q9581</t>
        </is>
      </c>
      <c r="C50" s="8" t="inlineStr">
        <is>
          <t>Morropon</t>
        </is>
      </c>
      <c r="D50" s="8" t="inlineStr">
        <is>
          <t>Salitral</t>
        </is>
      </c>
      <c r="E50" s="8" t="inlineStr">
        <is>
          <t>Z07</t>
        </is>
      </c>
      <c r="F50" s="9" t="n">
        <v>633232</v>
      </c>
      <c r="G50" s="9" t="n">
        <v>9401227</v>
      </c>
      <c r="H50" s="10" t="n">
        <v>65.73999999999999</v>
      </c>
    </row>
    <row r="51" ht="15" customHeight="1" s="17">
      <c r="A51" s="8" t="inlineStr">
        <is>
          <t>M7B6</t>
        </is>
      </c>
      <c r="B51" s="8" t="inlineStr">
        <is>
          <t>C1076-Q9581</t>
        </is>
      </c>
      <c r="C51" s="8" t="inlineStr">
        <is>
          <t>Morropon</t>
        </is>
      </c>
      <c r="D51" s="8" t="inlineStr">
        <is>
          <t>Salitral</t>
        </is>
      </c>
      <c r="E51" s="8" t="inlineStr">
        <is>
          <t>Z07</t>
        </is>
      </c>
      <c r="F51" s="9" t="n">
        <v>635110</v>
      </c>
      <c r="G51" s="9" t="n">
        <v>9399092</v>
      </c>
      <c r="H51" s="10" t="n">
        <v>91.29000000000001</v>
      </c>
    </row>
    <row r="52" ht="15" customHeight="1" s="17">
      <c r="A52" s="8" t="inlineStr">
        <is>
          <t>M2B1</t>
        </is>
      </c>
      <c r="B52" s="8" t="inlineStr">
        <is>
          <t>C1076-Q9584</t>
        </is>
      </c>
      <c r="C52" s="8" t="inlineStr">
        <is>
          <t>Morropon</t>
        </is>
      </c>
      <c r="D52" s="8" t="inlineStr">
        <is>
          <t>Salitral</t>
        </is>
      </c>
      <c r="E52" s="8" t="inlineStr">
        <is>
          <t>Z07</t>
        </is>
      </c>
      <c r="F52" s="9" t="n">
        <v>635876</v>
      </c>
      <c r="G52" s="9" t="n">
        <v>9397941</v>
      </c>
      <c r="H52" s="10" t="n">
        <v>81.79000000000001</v>
      </c>
    </row>
    <row r="53" ht="15" customHeight="1" s="17">
      <c r="A53" s="8" t="inlineStr">
        <is>
          <t>7</t>
        </is>
      </c>
      <c r="B53" s="8" t="inlineStr">
        <is>
          <t>C1076-Q9584</t>
        </is>
      </c>
      <c r="C53" s="8" t="inlineStr">
        <is>
          <t>Morropon</t>
        </is>
      </c>
      <c r="D53" s="8" t="inlineStr">
        <is>
          <t>Salitral</t>
        </is>
      </c>
      <c r="E53" s="8" t="inlineStr">
        <is>
          <t>Z07</t>
        </is>
      </c>
      <c r="F53" s="9" t="n">
        <v>639728</v>
      </c>
      <c r="G53" s="9" t="n">
        <v>9396836</v>
      </c>
      <c r="H53" s="10" t="n">
        <v>173.43</v>
      </c>
    </row>
    <row r="54" ht="15" customHeight="1" s="17">
      <c r="A54" s="8" t="inlineStr">
        <is>
          <t>M2B5</t>
        </is>
      </c>
      <c r="B54" s="8" t="inlineStr">
        <is>
          <t>C1076-Q9584</t>
        </is>
      </c>
      <c r="C54" s="8" t="inlineStr">
        <is>
          <t>Morropon</t>
        </is>
      </c>
      <c r="D54" s="8" t="inlineStr">
        <is>
          <t>Salitral</t>
        </is>
      </c>
      <c r="E54" s="8" t="inlineStr">
        <is>
          <t>Z07</t>
        </is>
      </c>
      <c r="F54" s="9" t="n">
        <v>639987</v>
      </c>
      <c r="G54" s="9" t="n">
        <v>9394392</v>
      </c>
      <c r="H54" s="10" t="n">
        <v>30.91</v>
      </c>
    </row>
    <row r="55" ht="15" customHeight="1" s="17">
      <c r="A55" s="8" t="inlineStr">
        <is>
          <t>1</t>
        </is>
      </c>
      <c r="B55" s="8" t="inlineStr">
        <is>
          <t>C1076-Q9584</t>
        </is>
      </c>
      <c r="C55" s="8" t="inlineStr">
        <is>
          <t>Morropon</t>
        </is>
      </c>
      <c r="D55" s="8" t="inlineStr">
        <is>
          <t>Salitral</t>
        </is>
      </c>
      <c r="E55" s="8" t="inlineStr">
        <is>
          <t>Z07</t>
        </is>
      </c>
      <c r="F55" s="9" t="n">
        <v>645575</v>
      </c>
      <c r="G55" s="9" t="n">
        <v>9393500</v>
      </c>
      <c r="H55" s="10" t="n">
        <v>1370.96</v>
      </c>
    </row>
    <row r="56" ht="15" customHeight="1" s="17">
      <c r="A56" s="8" t="inlineStr">
        <is>
          <t>M18B3</t>
        </is>
      </c>
      <c r="B56" s="8" t="inlineStr">
        <is>
          <t>C1077-Q9579</t>
        </is>
      </c>
      <c r="C56" s="8" t="inlineStr">
        <is>
          <t>Morropon</t>
        </is>
      </c>
      <c r="D56" s="8" t="inlineStr">
        <is>
          <t>Salitral</t>
        </is>
      </c>
      <c r="E56" s="8" t="inlineStr">
        <is>
          <t>Z07</t>
        </is>
      </c>
      <c r="F56" s="9" t="n">
        <v>625311</v>
      </c>
      <c r="G56" s="9" t="n">
        <v>9412195</v>
      </c>
      <c r="H56" s="10" t="n">
        <v>373.81</v>
      </c>
    </row>
    <row r="57" ht="15" customHeight="1" s="17">
      <c r="A57" s="8" t="inlineStr">
        <is>
          <t>M18B5</t>
        </is>
      </c>
      <c r="B57" s="8" t="inlineStr">
        <is>
          <t>C1077-Q9579</t>
        </is>
      </c>
      <c r="C57" s="8" t="inlineStr">
        <is>
          <t>Morropon</t>
        </is>
      </c>
      <c r="D57" s="8" t="inlineStr">
        <is>
          <t>Salitral</t>
        </is>
      </c>
      <c r="E57" s="8" t="inlineStr">
        <is>
          <t>Z07</t>
        </is>
      </c>
      <c r="F57" s="9" t="n">
        <v>621551</v>
      </c>
      <c r="G57" s="9" t="n">
        <v>9412989</v>
      </c>
      <c r="H57" s="10" t="n">
        <v>197.35</v>
      </c>
    </row>
    <row r="58" ht="15" customHeight="1" s="17">
      <c r="A58" s="8" t="inlineStr">
        <is>
          <t>M3B7</t>
        </is>
      </c>
      <c r="B58" s="8" t="inlineStr">
        <is>
          <t>C1081-Q9582</t>
        </is>
      </c>
      <c r="C58" s="8" t="inlineStr">
        <is>
          <t>Morropon</t>
        </is>
      </c>
      <c r="D58" s="8" t="inlineStr">
        <is>
          <t>San Juan de Bigote</t>
        </is>
      </c>
      <c r="E58" s="8" t="inlineStr">
        <is>
          <t>Z08</t>
        </is>
      </c>
      <c r="F58" s="9" t="n">
        <v>638309</v>
      </c>
      <c r="G58" s="9" t="n">
        <v>9415217</v>
      </c>
      <c r="H58" s="10" t="n">
        <v>122.95</v>
      </c>
    </row>
    <row r="59" ht="15" customHeight="1" s="17">
      <c r="A59" s="8" t="inlineStr">
        <is>
          <t>M3B6</t>
        </is>
      </c>
      <c r="B59" s="8" t="inlineStr">
        <is>
          <t>C1081-Q9582</t>
        </is>
      </c>
      <c r="C59" s="8" t="inlineStr">
        <is>
          <t>Morropon</t>
        </is>
      </c>
      <c r="D59" s="8" t="inlineStr">
        <is>
          <t>San Juan de Bigote</t>
        </is>
      </c>
      <c r="E59" s="8" t="inlineStr">
        <is>
          <t>Z08</t>
        </is>
      </c>
      <c r="F59" s="9" t="n">
        <v>637918</v>
      </c>
      <c r="G59" s="9" t="n">
        <v>9412134</v>
      </c>
      <c r="H59" s="10" t="n">
        <v>60.35</v>
      </c>
    </row>
    <row r="60" ht="15" customHeight="1" s="17">
      <c r="A60" s="8" t="inlineStr">
        <is>
          <t>77</t>
        </is>
      </c>
      <c r="B60" s="8" t="inlineStr">
        <is>
          <t>C1081-Q9583</t>
        </is>
      </c>
      <c r="C60" s="8" t="inlineStr">
        <is>
          <t>Morropon</t>
        </is>
      </c>
      <c r="D60" s="8" t="inlineStr">
        <is>
          <t>San Juan de Bigote</t>
        </is>
      </c>
      <c r="E60" s="8" t="inlineStr">
        <is>
          <t>Z08</t>
        </is>
      </c>
      <c r="F60" s="9" t="n">
        <v>638648</v>
      </c>
      <c r="G60" s="9" t="n">
        <v>9411370</v>
      </c>
      <c r="H60" s="10" t="n">
        <v>17.82</v>
      </c>
    </row>
    <row r="61" ht="15" customHeight="1" s="17">
      <c r="A61" s="8" t="inlineStr">
        <is>
          <t>M3B5</t>
        </is>
      </c>
      <c r="B61" s="8" t="inlineStr">
        <is>
          <t>C1081-Q9582</t>
        </is>
      </c>
      <c r="C61" s="8" t="inlineStr">
        <is>
          <t>Morropon</t>
        </is>
      </c>
      <c r="D61" s="8" t="inlineStr">
        <is>
          <t>San Juan de Bigote</t>
        </is>
      </c>
      <c r="E61" s="8" t="inlineStr">
        <is>
          <t>Z08</t>
        </is>
      </c>
      <c r="F61" s="9" t="n">
        <v>635887</v>
      </c>
      <c r="G61" s="9" t="n">
        <v>9411738</v>
      </c>
      <c r="H61" s="10" t="n">
        <v>52.74</v>
      </c>
    </row>
    <row r="62" ht="15" customHeight="1" s="17">
      <c r="A62" s="8" t="inlineStr">
        <is>
          <t>M3B3</t>
        </is>
      </c>
      <c r="B62" s="8" t="inlineStr">
        <is>
          <t>C1081-Q9582</t>
        </is>
      </c>
      <c r="C62" s="8" t="inlineStr">
        <is>
          <t>Morropon</t>
        </is>
      </c>
      <c r="D62" s="8" t="inlineStr">
        <is>
          <t>San Juan de Bigote</t>
        </is>
      </c>
      <c r="E62" s="8" t="inlineStr">
        <is>
          <t>Z08</t>
        </is>
      </c>
      <c r="F62" s="9" t="n">
        <v>633015</v>
      </c>
      <c r="G62" s="9" t="n">
        <v>9411483</v>
      </c>
      <c r="H62" s="10" t="n">
        <v>84.81999999999999</v>
      </c>
    </row>
    <row r="63" ht="15" customHeight="1" s="17">
      <c r="A63" s="8" t="inlineStr">
        <is>
          <t>M3B8</t>
        </is>
      </c>
      <c r="B63" s="8" t="inlineStr">
        <is>
          <t>C1081-Q9582</t>
        </is>
      </c>
      <c r="C63" s="8" t="inlineStr">
        <is>
          <t>Morropon</t>
        </is>
      </c>
      <c r="D63" s="8" t="inlineStr">
        <is>
          <t>San Juan de Bigote</t>
        </is>
      </c>
      <c r="E63" s="8" t="inlineStr">
        <is>
          <t>Z08</t>
        </is>
      </c>
      <c r="F63" s="9" t="n">
        <v>632119</v>
      </c>
      <c r="G63" s="9" t="n">
        <v>9415141</v>
      </c>
      <c r="H63" s="10" t="n">
        <v>565.58</v>
      </c>
    </row>
    <row r="64" ht="15" customHeight="1" s="17">
      <c r="A64" s="8" t="inlineStr">
        <is>
          <t>M11B3</t>
        </is>
      </c>
      <c r="B64" s="8" t="inlineStr">
        <is>
          <t>C1081-Q9583</t>
        </is>
      </c>
      <c r="C64" s="8" t="inlineStr">
        <is>
          <t>Morropon</t>
        </is>
      </c>
      <c r="D64" s="8" t="inlineStr">
        <is>
          <t>San Juan de Bigote</t>
        </is>
      </c>
      <c r="E64" s="8" t="inlineStr">
        <is>
          <t>Z08</t>
        </is>
      </c>
      <c r="F64" s="9" t="n">
        <v>642079</v>
      </c>
      <c r="G64" s="9" t="n">
        <v>9413823</v>
      </c>
      <c r="H64" s="10" t="n">
        <v>106.03</v>
      </c>
    </row>
    <row r="65" ht="15" customHeight="1" s="17">
      <c r="A65" s="8" t="inlineStr">
        <is>
          <t>55</t>
        </is>
      </c>
      <c r="B65" s="8" t="inlineStr">
        <is>
          <t>C1086-Q9575</t>
        </is>
      </c>
      <c r="C65" s="8" t="inlineStr">
        <is>
          <t>Morropon</t>
        </is>
      </c>
      <c r="D65" s="8" t="inlineStr">
        <is>
          <t>Yamango</t>
        </is>
      </c>
      <c r="E65" s="8" t="inlineStr">
        <is>
          <t>Z09</t>
        </is>
      </c>
      <c r="F65" s="9" t="n">
        <v>642690</v>
      </c>
      <c r="G65" s="9" t="n">
        <v>9438409</v>
      </c>
      <c r="H65" s="10" t="n">
        <v>0.86</v>
      </c>
    </row>
    <row r="66" ht="15" customHeight="1" s="17">
      <c r="A66" s="8" t="inlineStr">
        <is>
          <t>49</t>
        </is>
      </c>
      <c r="B66" s="8" t="inlineStr">
        <is>
          <t>C1086-Q9575</t>
        </is>
      </c>
      <c r="C66" s="8" t="inlineStr">
        <is>
          <t>Morropon</t>
        </is>
      </c>
      <c r="D66" s="8" t="inlineStr">
        <is>
          <t>Yamango</t>
        </is>
      </c>
      <c r="E66" s="8" t="inlineStr">
        <is>
          <t>Z09</t>
        </is>
      </c>
      <c r="F66" s="9" t="n">
        <v>642334</v>
      </c>
      <c r="G66" s="9" t="n">
        <v>9438263</v>
      </c>
      <c r="H66" s="10" t="n">
        <v>15.84</v>
      </c>
    </row>
    <row r="67" ht="15" customHeight="1" s="17">
      <c r="A67" s="8" t="inlineStr">
        <is>
          <t>52</t>
        </is>
      </c>
      <c r="B67" s="8" t="inlineStr">
        <is>
          <t>C1086-Q9575</t>
        </is>
      </c>
      <c r="C67" s="8" t="inlineStr">
        <is>
          <t>Morropon</t>
        </is>
      </c>
      <c r="D67" s="8" t="inlineStr">
        <is>
          <t>Yamango</t>
        </is>
      </c>
      <c r="E67" s="8" t="inlineStr">
        <is>
          <t>Z09</t>
        </is>
      </c>
      <c r="F67" s="9" t="n">
        <v>641522</v>
      </c>
      <c r="G67" s="9" t="n">
        <v>9438064</v>
      </c>
      <c r="H67" s="10" t="n">
        <v>11.06</v>
      </c>
    </row>
    <row r="68" ht="15" customHeight="1" s="17">
      <c r="A68" s="8" t="inlineStr">
        <is>
          <t>48</t>
        </is>
      </c>
      <c r="B68" s="8" t="inlineStr">
        <is>
          <t>C1086-Q9575</t>
        </is>
      </c>
      <c r="C68" s="8" t="inlineStr">
        <is>
          <t>Morropon</t>
        </is>
      </c>
      <c r="D68" s="8" t="inlineStr">
        <is>
          <t>Yamango</t>
        </is>
      </c>
      <c r="E68" s="8" t="inlineStr">
        <is>
          <t>Z09</t>
        </is>
      </c>
      <c r="F68" s="9" t="n">
        <v>639496</v>
      </c>
      <c r="G68" s="9" t="n">
        <v>9433679</v>
      </c>
      <c r="H68" s="10" t="n">
        <v>5.75</v>
      </c>
    </row>
    <row r="69" ht="15" customHeight="1" s="17">
      <c r="A69" s="8" t="inlineStr">
        <is>
          <t>46</t>
        </is>
      </c>
      <c r="B69" s="8" t="inlineStr">
        <is>
          <t>C1086-Q9575</t>
        </is>
      </c>
      <c r="C69" s="8" t="inlineStr">
        <is>
          <t>Morropon</t>
        </is>
      </c>
      <c r="D69" s="8" t="inlineStr">
        <is>
          <t>Yamango</t>
        </is>
      </c>
      <c r="E69" s="8" t="inlineStr">
        <is>
          <t>Z09</t>
        </is>
      </c>
      <c r="F69" s="9" t="n">
        <v>638751</v>
      </c>
      <c r="G69" s="9" t="n">
        <v>9433236</v>
      </c>
      <c r="H69" s="10" t="n">
        <v>18.87</v>
      </c>
    </row>
    <row r="70" ht="15" customHeight="1" s="17">
      <c r="A70" s="8" t="inlineStr">
        <is>
          <t>M28B2</t>
        </is>
      </c>
      <c r="B70" s="8" t="inlineStr">
        <is>
          <t>C1086-Q9575</t>
        </is>
      </c>
      <c r="C70" s="8" t="inlineStr">
        <is>
          <t>Morropon</t>
        </is>
      </c>
      <c r="D70" s="8" t="inlineStr">
        <is>
          <t>Yamango</t>
        </is>
      </c>
      <c r="E70" s="8" t="inlineStr">
        <is>
          <t>Z09</t>
        </is>
      </c>
      <c r="F70" s="9" t="n">
        <v>636249</v>
      </c>
      <c r="G70" s="9" t="n">
        <v>9425665</v>
      </c>
      <c r="H70" s="10" t="n">
        <v>90.2</v>
      </c>
    </row>
    <row r="71" ht="15" customHeight="1" s="17">
      <c r="A71" s="8" t="inlineStr">
        <is>
          <t>M28B3</t>
        </is>
      </c>
      <c r="B71" s="8" t="inlineStr">
        <is>
          <t>C1086-Q9575</t>
        </is>
      </c>
      <c r="C71" s="8" t="inlineStr">
        <is>
          <t>Morropon</t>
        </is>
      </c>
      <c r="D71" s="8" t="inlineStr">
        <is>
          <t>Yamango</t>
        </is>
      </c>
      <c r="E71" s="8" t="inlineStr">
        <is>
          <t>Z09</t>
        </is>
      </c>
      <c r="F71" s="9" t="n">
        <v>634061</v>
      </c>
      <c r="G71" s="9" t="n">
        <v>9426778</v>
      </c>
      <c r="H71" s="10" t="n">
        <v>58.29</v>
      </c>
    </row>
    <row r="72" ht="15" customHeight="1" s="17">
      <c r="A72" s="8" t="inlineStr">
        <is>
          <t>M28B4</t>
        </is>
      </c>
      <c r="B72" s="8" t="inlineStr">
        <is>
          <t>C1086-Q9575</t>
        </is>
      </c>
      <c r="C72" s="8" t="inlineStr">
        <is>
          <t>Morropon</t>
        </is>
      </c>
      <c r="D72" s="8" t="inlineStr">
        <is>
          <t>Yamango</t>
        </is>
      </c>
      <c r="E72" s="8" t="inlineStr">
        <is>
          <t>Z09</t>
        </is>
      </c>
      <c r="F72" s="9" t="n">
        <v>626078</v>
      </c>
      <c r="G72" s="9" t="n">
        <v>9427110</v>
      </c>
      <c r="H72" s="10" t="n">
        <v>283.43</v>
      </c>
    </row>
    <row r="73" ht="15" customHeight="1" s="17">
      <c r="A73" s="8" t="inlineStr">
        <is>
          <t>33</t>
        </is>
      </c>
      <c r="B73" s="8" t="inlineStr">
        <is>
          <t>C1081-Q9590</t>
        </is>
      </c>
      <c r="C73" s="8" t="inlineStr">
        <is>
          <t>Huancabamba</t>
        </is>
      </c>
      <c r="D73" s="8" t="inlineStr">
        <is>
          <t>Lalaquiz</t>
        </is>
      </c>
      <c r="E73" s="8" t="inlineStr">
        <is>
          <t>Z10</t>
        </is>
      </c>
      <c r="F73" s="9" t="n">
        <v>646466</v>
      </c>
      <c r="G73" s="9" t="n">
        <v>9431126</v>
      </c>
      <c r="H73" s="10" t="n">
        <v>29.68</v>
      </c>
    </row>
    <row r="74" ht="15" customHeight="1" s="17">
      <c r="A74" s="8" t="inlineStr">
        <is>
          <t>38</t>
        </is>
      </c>
      <c r="B74" s="8" t="inlineStr">
        <is>
          <t>C1081-Q9590</t>
        </is>
      </c>
      <c r="C74" s="8" t="inlineStr">
        <is>
          <t>Huancabamba</t>
        </is>
      </c>
      <c r="D74" s="8" t="inlineStr">
        <is>
          <t>Lalaquiz</t>
        </is>
      </c>
      <c r="E74" s="8" t="inlineStr">
        <is>
          <t>Z10</t>
        </is>
      </c>
      <c r="F74" s="9" t="n">
        <v>647123</v>
      </c>
      <c r="G74" s="9" t="n">
        <v>9427602</v>
      </c>
      <c r="H74" s="10" t="n">
        <v>44.2</v>
      </c>
    </row>
    <row r="75" ht="15" customHeight="1" s="17">
      <c r="A75" s="8" t="inlineStr">
        <is>
          <t>50</t>
        </is>
      </c>
      <c r="B75" s="8" t="inlineStr">
        <is>
          <t>C1081-Q9590</t>
        </is>
      </c>
      <c r="C75" s="8" t="inlineStr">
        <is>
          <t>Huancabamba</t>
        </is>
      </c>
      <c r="D75" s="8" t="inlineStr">
        <is>
          <t>Lalaquiz</t>
        </is>
      </c>
      <c r="E75" s="8" t="inlineStr">
        <is>
          <t>Z10</t>
        </is>
      </c>
      <c r="F75" s="9" t="n">
        <v>647350</v>
      </c>
      <c r="G75" s="9" t="n">
        <v>9427252</v>
      </c>
      <c r="H75" s="10" t="n">
        <v>19.27</v>
      </c>
    </row>
    <row r="76" ht="15" customHeight="1" s="17">
      <c r="A76" s="8" t="inlineStr">
        <is>
          <t>34</t>
        </is>
      </c>
      <c r="B76" s="8" t="inlineStr">
        <is>
          <t>C1081-Q9590</t>
        </is>
      </c>
      <c r="C76" s="8" t="inlineStr">
        <is>
          <t>Huancabamba</t>
        </is>
      </c>
      <c r="D76" s="8" t="inlineStr">
        <is>
          <t>Lalaquiz</t>
        </is>
      </c>
      <c r="E76" s="8" t="inlineStr">
        <is>
          <t>Z10</t>
        </is>
      </c>
      <c r="F76" s="9" t="n">
        <v>646483</v>
      </c>
      <c r="G76" s="9" t="n">
        <v>9426305</v>
      </c>
      <c r="H76" s="10" t="n">
        <v>28.45</v>
      </c>
    </row>
    <row r="77" ht="15" customHeight="1" s="17">
      <c r="A77" s="8" t="inlineStr">
        <is>
          <t>61</t>
        </is>
      </c>
      <c r="B77" s="8" t="inlineStr">
        <is>
          <t>C1081-Q9590</t>
        </is>
      </c>
      <c r="C77" s="8" t="inlineStr">
        <is>
          <t>Huancabamba</t>
        </is>
      </c>
      <c r="D77" s="8" t="inlineStr">
        <is>
          <t>Lalaquiz</t>
        </is>
      </c>
      <c r="E77" s="8" t="inlineStr">
        <is>
          <t>Z10</t>
        </is>
      </c>
      <c r="F77" s="9" t="n">
        <v>646236</v>
      </c>
      <c r="G77" s="9" t="n">
        <v>9425052</v>
      </c>
      <c r="H77" s="10" t="n">
        <v>26.83</v>
      </c>
    </row>
    <row r="78" ht="15" customHeight="1" s="17">
      <c r="A78" s="8" t="inlineStr">
        <is>
          <t>37</t>
        </is>
      </c>
      <c r="B78" s="8" t="inlineStr">
        <is>
          <t>C1081-Q9591</t>
        </is>
      </c>
      <c r="C78" s="8" t="inlineStr">
        <is>
          <t>Huancabamba</t>
        </is>
      </c>
      <c r="D78" s="8" t="inlineStr">
        <is>
          <t>Lalaquiz</t>
        </is>
      </c>
      <c r="E78" s="8" t="inlineStr">
        <is>
          <t>Z10</t>
        </is>
      </c>
      <c r="F78" s="9" t="n">
        <v>649081</v>
      </c>
      <c r="G78" s="9" t="n">
        <v>9424506</v>
      </c>
      <c r="H78" s="10" t="n">
        <v>35.49</v>
      </c>
    </row>
    <row r="79" ht="15" customHeight="1" s="17">
      <c r="A79" s="8" t="inlineStr">
        <is>
          <t>26</t>
        </is>
      </c>
      <c r="B79" s="8" t="inlineStr">
        <is>
          <t>C1081-Q9591</t>
        </is>
      </c>
      <c r="C79" s="8" t="inlineStr">
        <is>
          <t>Huancabamba</t>
        </is>
      </c>
      <c r="D79" s="8" t="inlineStr">
        <is>
          <t>Lalaquiz</t>
        </is>
      </c>
      <c r="E79" s="8" t="inlineStr">
        <is>
          <t>Z10</t>
        </is>
      </c>
      <c r="F79" s="9" t="n">
        <v>649472</v>
      </c>
      <c r="G79" s="9" t="n">
        <v>9425705</v>
      </c>
      <c r="H79" s="10" t="n">
        <v>46.96</v>
      </c>
    </row>
    <row r="80" ht="15" customHeight="1" s="17">
      <c r="A80" s="8" t="inlineStr">
        <is>
          <t>64</t>
        </is>
      </c>
      <c r="B80" s="8" t="inlineStr">
        <is>
          <t>C1081-Q9591</t>
        </is>
      </c>
      <c r="C80" s="8" t="inlineStr">
        <is>
          <t>Huancabamba</t>
        </is>
      </c>
      <c r="D80" s="8" t="inlineStr">
        <is>
          <t>Huancabamba</t>
        </is>
      </c>
      <c r="E80" s="8" t="inlineStr">
        <is>
          <t>Z11</t>
        </is>
      </c>
      <c r="F80" s="9" t="n">
        <v>657819</v>
      </c>
      <c r="G80" s="9" t="n">
        <v>9428541</v>
      </c>
      <c r="H80" s="10" t="n">
        <v>35.77</v>
      </c>
    </row>
    <row r="81" ht="22.35" customHeight="1" s="17">
      <c r="A81" s="8" t="inlineStr">
        <is>
          <t>54</t>
        </is>
      </c>
      <c r="B81" s="8" t="inlineStr">
        <is>
          <t>C1081-Q9591 (inferida)</t>
        </is>
      </c>
      <c r="C81" s="8" t="inlineStr">
        <is>
          <t>Huancabamba</t>
        </is>
      </c>
      <c r="D81" s="8" t="inlineStr">
        <is>
          <t>Huancabamba</t>
        </is>
      </c>
      <c r="E81" s="8" t="inlineStr">
        <is>
          <t>Z11</t>
        </is>
      </c>
      <c r="F81" s="9" t="n">
        <v>656897</v>
      </c>
      <c r="G81" s="9" t="n">
        <v>9426033</v>
      </c>
      <c r="H81" s="10" t="n">
        <v>40.26</v>
      </c>
    </row>
    <row r="82" ht="15" customHeight="1" s="17">
      <c r="A82" s="8" t="inlineStr">
        <is>
          <t>M30B5</t>
        </is>
      </c>
      <c r="B82" s="8" t="inlineStr">
        <is>
          <t>C1081-Q9591</t>
        </is>
      </c>
      <c r="C82" s="8" t="inlineStr">
        <is>
          <t>Huancabamba</t>
        </is>
      </c>
      <c r="D82" s="8" t="inlineStr">
        <is>
          <t>Huancabamba</t>
        </is>
      </c>
      <c r="E82" s="8" t="inlineStr">
        <is>
          <t>Z11</t>
        </is>
      </c>
      <c r="F82" s="9" t="n">
        <v>655263</v>
      </c>
      <c r="G82" s="9" t="n">
        <v>9427340</v>
      </c>
      <c r="H82" s="10" t="n">
        <v>90.90000000000001</v>
      </c>
    </row>
    <row r="83" ht="15" customHeight="1" s="17">
      <c r="A83" s="8" t="inlineStr">
        <is>
          <t>60</t>
        </is>
      </c>
      <c r="B83" s="8" t="inlineStr">
        <is>
          <t>C1081-Q9591</t>
        </is>
      </c>
      <c r="C83" s="8" t="inlineStr">
        <is>
          <t>Huancabamba</t>
        </is>
      </c>
      <c r="D83" s="8" t="inlineStr">
        <is>
          <t>Canchaque</t>
        </is>
      </c>
      <c r="E83" s="8" t="inlineStr">
        <is>
          <t>Z11</t>
        </is>
      </c>
      <c r="F83" s="9" t="n">
        <v>653850</v>
      </c>
      <c r="G83" s="9" t="n">
        <v>9426236</v>
      </c>
      <c r="H83" s="10" t="n">
        <v>40.13</v>
      </c>
    </row>
    <row r="84" ht="15" customHeight="1" s="17">
      <c r="A84" s="8" t="inlineStr">
        <is>
          <t>40</t>
        </is>
      </c>
      <c r="B84" s="8" t="inlineStr">
        <is>
          <t>C1081-Q9591</t>
        </is>
      </c>
      <c r="C84" s="8" t="inlineStr">
        <is>
          <t>Huancabamba</t>
        </is>
      </c>
      <c r="D84" s="8" t="inlineStr">
        <is>
          <t>Canchaque</t>
        </is>
      </c>
      <c r="E84" s="8" t="inlineStr">
        <is>
          <t>Z11</t>
        </is>
      </c>
      <c r="F84" s="9" t="n">
        <v>654137</v>
      </c>
      <c r="G84" s="9" t="n">
        <v>9424425</v>
      </c>
      <c r="H84" s="10" t="n">
        <v>28.52</v>
      </c>
    </row>
    <row r="85" ht="15" customHeight="1" s="17">
      <c r="A85" s="8" t="inlineStr">
        <is>
          <t>30</t>
        </is>
      </c>
      <c r="B85" s="8" t="inlineStr">
        <is>
          <t>C1081-Q9591</t>
        </is>
      </c>
      <c r="C85" s="8" t="inlineStr">
        <is>
          <t>Huancabamba</t>
        </is>
      </c>
      <c r="D85" s="8" t="inlineStr">
        <is>
          <t>Canchaque</t>
        </is>
      </c>
      <c r="E85" s="8" t="inlineStr">
        <is>
          <t>Z11</t>
        </is>
      </c>
      <c r="F85" s="9" t="n">
        <v>652758</v>
      </c>
      <c r="G85" s="9" t="n">
        <v>9424380</v>
      </c>
      <c r="H85" s="10" t="n">
        <v>34.87</v>
      </c>
    </row>
    <row r="86" ht="15" customHeight="1" s="17">
      <c r="A86" s="8" t="inlineStr">
        <is>
          <t>28</t>
        </is>
      </c>
      <c r="B86" s="8" t="inlineStr">
        <is>
          <t>C1081-Q9591</t>
        </is>
      </c>
      <c r="C86" s="8" t="inlineStr">
        <is>
          <t>Huancabamba</t>
        </is>
      </c>
      <c r="D86" s="8" t="inlineStr">
        <is>
          <t>Canchaque</t>
        </is>
      </c>
      <c r="E86" s="8" t="inlineStr">
        <is>
          <t>Z11</t>
        </is>
      </c>
      <c r="F86" s="9" t="n">
        <v>654188</v>
      </c>
      <c r="G86" s="9" t="n">
        <v>9422849</v>
      </c>
      <c r="H86" s="10" t="n">
        <v>52.97</v>
      </c>
    </row>
    <row r="87" ht="15" customHeight="1" s="17">
      <c r="A87" s="8" t="inlineStr">
        <is>
          <t>62</t>
        </is>
      </c>
      <c r="B87" s="8" t="inlineStr">
        <is>
          <t>C1081-Q9591</t>
        </is>
      </c>
      <c r="C87" s="8" t="inlineStr">
        <is>
          <t>Huancabamba</t>
        </is>
      </c>
      <c r="D87" s="8" t="inlineStr">
        <is>
          <t>Canchaque</t>
        </is>
      </c>
      <c r="E87" s="8" t="inlineStr">
        <is>
          <t>Z11</t>
        </is>
      </c>
      <c r="F87" s="9" t="n">
        <v>655046</v>
      </c>
      <c r="G87" s="9" t="n">
        <v>9420450</v>
      </c>
      <c r="H87" s="10" t="n">
        <v>73.81999999999999</v>
      </c>
    </row>
    <row r="88" ht="22.35" customHeight="1" s="17">
      <c r="A88" s="8" t="inlineStr">
        <is>
          <t>65</t>
        </is>
      </c>
      <c r="B88" s="8" t="inlineStr">
        <is>
          <t>C1081-Q9591 (inferida)</t>
        </is>
      </c>
      <c r="C88" s="8" t="inlineStr">
        <is>
          <t>Huancabamba</t>
        </is>
      </c>
      <c r="D88" s="8" t="inlineStr">
        <is>
          <t>Canchaque</t>
        </is>
      </c>
      <c r="E88" s="8" t="inlineStr">
        <is>
          <t>Z11</t>
        </is>
      </c>
      <c r="F88" s="9" t="n">
        <v>657541</v>
      </c>
      <c r="G88" s="9" t="n">
        <v>9421083</v>
      </c>
      <c r="H88" s="10" t="n">
        <v>53.93</v>
      </c>
    </row>
    <row r="89" ht="15" customHeight="1" s="17">
      <c r="A89" s="8" t="inlineStr">
        <is>
          <t>21</t>
        </is>
      </c>
      <c r="B89" s="8" t="inlineStr">
        <is>
          <t>C1081-Q9591</t>
        </is>
      </c>
      <c r="C89" s="8" t="inlineStr">
        <is>
          <t>Huancabamba</t>
        </is>
      </c>
      <c r="D89" s="8" t="inlineStr">
        <is>
          <t>Canchaque</t>
        </is>
      </c>
      <c r="E89" s="8" t="inlineStr">
        <is>
          <t>Z11</t>
        </is>
      </c>
      <c r="F89" s="9" t="n">
        <v>654604</v>
      </c>
      <c r="G89" s="9" t="n">
        <v>9417736</v>
      </c>
      <c r="H89" s="10" t="n">
        <v>84.23</v>
      </c>
    </row>
    <row r="90" ht="15" customHeight="1" s="17">
      <c r="A90" s="8" t="inlineStr">
        <is>
          <t>66</t>
        </is>
      </c>
      <c r="B90" s="8" t="inlineStr">
        <is>
          <t>C1081-Q9591</t>
        </is>
      </c>
      <c r="C90" s="8" t="inlineStr">
        <is>
          <t>Huancabamba</t>
        </is>
      </c>
      <c r="D90" s="8" t="inlineStr">
        <is>
          <t>Canchaque</t>
        </is>
      </c>
      <c r="E90" s="8" t="inlineStr">
        <is>
          <t>Z11</t>
        </is>
      </c>
      <c r="F90" s="9" t="n">
        <v>652566</v>
      </c>
      <c r="G90" s="9" t="n">
        <v>9417311</v>
      </c>
      <c r="H90" s="10" t="n">
        <v>102.34</v>
      </c>
    </row>
    <row r="91" ht="15" customHeight="1" s="17">
      <c r="A91" s="8" t="inlineStr">
        <is>
          <t>24</t>
        </is>
      </c>
      <c r="B91" s="8" t="inlineStr">
        <is>
          <t>C1081-Q9583</t>
        </is>
      </c>
      <c r="C91" s="8" t="inlineStr">
        <is>
          <t>Huancabamba</t>
        </is>
      </c>
      <c r="D91" s="8" t="inlineStr">
        <is>
          <t>Canchaque</t>
        </is>
      </c>
      <c r="E91" s="8" t="inlineStr">
        <is>
          <t>Z11</t>
        </is>
      </c>
      <c r="F91" s="9" t="n">
        <v>652191</v>
      </c>
      <c r="G91" s="9" t="n">
        <v>9414358</v>
      </c>
      <c r="H91" s="10" t="n">
        <v>90.16</v>
      </c>
    </row>
    <row r="92" ht="15" customHeight="1" s="17">
      <c r="A92" s="8" t="inlineStr">
        <is>
          <t>63</t>
        </is>
      </c>
      <c r="B92" s="8" t="inlineStr">
        <is>
          <t>C1081-Q9583</t>
        </is>
      </c>
      <c r="C92" s="8" t="inlineStr">
        <is>
          <t>Huancabamba</t>
        </is>
      </c>
      <c r="D92" s="8" t="inlineStr">
        <is>
          <t>Canchaque</t>
        </is>
      </c>
      <c r="E92" s="8" t="inlineStr">
        <is>
          <t>Z11</t>
        </is>
      </c>
      <c r="F92" s="9" t="n">
        <v>655059</v>
      </c>
      <c r="G92" s="9" t="n">
        <v>9413845</v>
      </c>
      <c r="H92" s="10" t="n">
        <v>50.46</v>
      </c>
    </row>
    <row r="93" ht="15" customHeight="1" s="17">
      <c r="A93" s="8" t="inlineStr">
        <is>
          <t>79</t>
        </is>
      </c>
      <c r="B93" s="8" t="inlineStr">
        <is>
          <t>C1076-Q9587</t>
        </is>
      </c>
      <c r="C93" s="8" t="inlineStr">
        <is>
          <t>Huancabamba</t>
        </is>
      </c>
      <c r="D93" s="8" t="inlineStr">
        <is>
          <t>Canchaque</t>
        </is>
      </c>
      <c r="E93" s="8" t="inlineStr">
        <is>
          <t>Z11</t>
        </is>
      </c>
      <c r="F93" s="9" t="n">
        <v>650305</v>
      </c>
      <c r="G93" s="9" t="n">
        <v>9402785</v>
      </c>
      <c r="H93" s="10" t="n">
        <v>94.81</v>
      </c>
    </row>
    <row r="94" ht="15" customHeight="1" s="17">
      <c r="A94" s="8" t="inlineStr">
        <is>
          <t>81</t>
        </is>
      </c>
      <c r="B94" s="8" t="inlineStr">
        <is>
          <t>C1076-Q9585</t>
        </is>
      </c>
      <c r="C94" s="8" t="inlineStr">
        <is>
          <t>Huancabamba</t>
        </is>
      </c>
      <c r="D94" s="8" t="inlineStr">
        <is>
          <t>Canchaque</t>
        </is>
      </c>
      <c r="E94" s="8" t="inlineStr">
        <is>
          <t>Z11</t>
        </is>
      </c>
      <c r="F94" s="9" t="n">
        <v>641538</v>
      </c>
      <c r="G94" s="9" t="n">
        <v>9401360</v>
      </c>
      <c r="H94" s="10" t="n">
        <v>8.93</v>
      </c>
    </row>
    <row r="95" ht="15" customHeight="1" s="17">
      <c r="A95" s="8" t="inlineStr">
        <is>
          <t>M22B1</t>
        </is>
      </c>
      <c r="B95" s="8" t="inlineStr">
        <is>
          <t>C1076-Q9586</t>
        </is>
      </c>
      <c r="C95" s="8" t="inlineStr">
        <is>
          <t>Huancabamba</t>
        </is>
      </c>
      <c r="D95" s="8" t="inlineStr">
        <is>
          <t>San Miguel de El Faique</t>
        </is>
      </c>
      <c r="E95" s="8" t="inlineStr">
        <is>
          <t>Z12</t>
        </is>
      </c>
      <c r="F95" s="9" t="n">
        <v>664082</v>
      </c>
      <c r="G95" s="9" t="n">
        <v>9404172</v>
      </c>
      <c r="H95" s="10" t="n">
        <v>55.17</v>
      </c>
    </row>
    <row r="96" ht="15" customHeight="1" s="17">
      <c r="A96" s="8" t="inlineStr">
        <is>
          <t>44</t>
        </is>
      </c>
      <c r="B96" s="8" t="inlineStr">
        <is>
          <t>C1076-Q9586</t>
        </is>
      </c>
      <c r="C96" s="8" t="inlineStr">
        <is>
          <t>Huancabamba</t>
        </is>
      </c>
      <c r="D96" s="8" t="inlineStr">
        <is>
          <t>San Miguel de El Faique</t>
        </is>
      </c>
      <c r="E96" s="8" t="inlineStr">
        <is>
          <t>Z12</t>
        </is>
      </c>
      <c r="F96" s="9" t="n">
        <v>663637</v>
      </c>
      <c r="G96" s="9" t="n">
        <v>9400618</v>
      </c>
      <c r="H96" s="10" t="n">
        <v>28.23</v>
      </c>
    </row>
    <row r="97" ht="15" customHeight="1" s="17">
      <c r="A97" s="8" t="inlineStr">
        <is>
          <t>47</t>
        </is>
      </c>
      <c r="B97" s="8" t="inlineStr">
        <is>
          <t>C1076-Q9586</t>
        </is>
      </c>
      <c r="C97" s="8" t="inlineStr">
        <is>
          <t>Huancabamba</t>
        </is>
      </c>
      <c r="D97" s="8" t="inlineStr">
        <is>
          <t>San Miguel de El Faique</t>
        </is>
      </c>
      <c r="E97" s="8" t="inlineStr">
        <is>
          <t>Z12</t>
        </is>
      </c>
      <c r="F97" s="9" t="n">
        <v>659649</v>
      </c>
      <c r="G97" s="9" t="n">
        <v>9401436</v>
      </c>
      <c r="H97" s="10" t="n">
        <v>13.55</v>
      </c>
    </row>
    <row r="98" ht="15" customHeight="1" s="17">
      <c r="A98" s="8" t="inlineStr">
        <is>
          <t>75</t>
        </is>
      </c>
      <c r="B98" s="8" t="inlineStr">
        <is>
          <t>C1076-Q9587</t>
        </is>
      </c>
      <c r="C98" s="8" t="inlineStr">
        <is>
          <t>Huancabamba</t>
        </is>
      </c>
      <c r="D98" s="8" t="inlineStr">
        <is>
          <t>San Miguel de El Faique</t>
        </is>
      </c>
      <c r="E98" s="8" t="inlineStr">
        <is>
          <t>Z12</t>
        </is>
      </c>
      <c r="F98" s="9" t="n">
        <v>657722</v>
      </c>
      <c r="G98" s="9" t="n">
        <v>9401669</v>
      </c>
      <c r="H98" s="10" t="n">
        <v>15.18</v>
      </c>
    </row>
    <row r="99" ht="15" customHeight="1" s="17">
      <c r="A99" s="8" t="inlineStr">
        <is>
          <t>9</t>
        </is>
      </c>
      <c r="B99" s="8" t="inlineStr">
        <is>
          <t>C1076-Q9586</t>
        </is>
      </c>
      <c r="C99" s="8" t="inlineStr">
        <is>
          <t>Huancabamba</t>
        </is>
      </c>
      <c r="D99" s="8" t="inlineStr">
        <is>
          <t>San Miguel de El Faique</t>
        </is>
      </c>
      <c r="E99" s="8" t="inlineStr">
        <is>
          <t>Z12</t>
        </is>
      </c>
      <c r="F99" s="9" t="n">
        <v>656578</v>
      </c>
      <c r="G99" s="9" t="n">
        <v>9397762</v>
      </c>
      <c r="H99" s="10" t="n">
        <v>109.86</v>
      </c>
    </row>
    <row r="100" ht="15" customHeight="1" s="17">
      <c r="A100" s="8" t="inlineStr">
        <is>
          <t>43</t>
        </is>
      </c>
      <c r="B100" s="8" t="inlineStr">
        <is>
          <t>C1076-Q9586</t>
        </is>
      </c>
      <c r="C100" s="8" t="inlineStr">
        <is>
          <t>Huancabamba</t>
        </is>
      </c>
      <c r="D100" s="8" t="inlineStr">
        <is>
          <t>San Miguel de El Faique</t>
        </is>
      </c>
      <c r="E100" s="8" t="inlineStr">
        <is>
          <t>Z12</t>
        </is>
      </c>
      <c r="F100" s="9" t="n">
        <v>656489</v>
      </c>
      <c r="G100" s="9" t="n">
        <v>9395403</v>
      </c>
      <c r="H100" s="10" t="n">
        <v>23.17</v>
      </c>
    </row>
    <row r="101" ht="15" customHeight="1" s="17">
      <c r="A101" s="8" t="inlineStr">
        <is>
          <t>35</t>
        </is>
      </c>
      <c r="B101" s="8" t="inlineStr">
        <is>
          <t>C1076-Q9586</t>
        </is>
      </c>
      <c r="C101" s="8" t="inlineStr">
        <is>
          <t>Huancabamba</t>
        </is>
      </c>
      <c r="D101" s="8" t="inlineStr">
        <is>
          <t>San Miguel de El Faique</t>
        </is>
      </c>
      <c r="E101" s="8" t="inlineStr">
        <is>
          <t>Z12</t>
        </is>
      </c>
      <c r="F101" s="9" t="n">
        <v>654607</v>
      </c>
      <c r="G101" s="9" t="n">
        <v>9395038</v>
      </c>
      <c r="H101" s="10" t="n">
        <v>30.8</v>
      </c>
    </row>
    <row r="102" ht="15" customHeight="1" s="17">
      <c r="A102" s="8" t="inlineStr">
        <is>
          <t>67</t>
        </is>
      </c>
      <c r="B102" s="8" t="inlineStr">
        <is>
          <t>C1076-Q9586</t>
        </is>
      </c>
      <c r="C102" s="8" t="inlineStr">
        <is>
          <t>Huancabamba</t>
        </is>
      </c>
      <c r="D102" s="8" t="inlineStr">
        <is>
          <t>San Miguel de El Faique</t>
        </is>
      </c>
      <c r="E102" s="8" t="inlineStr">
        <is>
          <t>Z12</t>
        </is>
      </c>
      <c r="F102" s="9" t="n">
        <v>654207</v>
      </c>
      <c r="G102" s="9" t="n">
        <v>9394210</v>
      </c>
      <c r="H102" s="10" t="n">
        <v>13.18</v>
      </c>
    </row>
    <row r="103" ht="15" customHeight="1" s="17">
      <c r="A103" s="8" t="inlineStr">
        <is>
          <t>M20B1</t>
        </is>
      </c>
      <c r="B103" s="8" t="inlineStr">
        <is>
          <t>C1076-Q9585</t>
        </is>
      </c>
      <c r="C103" s="8" t="inlineStr">
        <is>
          <t>Huancabamba</t>
        </is>
      </c>
      <c r="D103" s="8" t="inlineStr">
        <is>
          <t>San Miguel de El Faique</t>
        </is>
      </c>
      <c r="E103" s="8" t="inlineStr">
        <is>
          <t>Z12</t>
        </is>
      </c>
      <c r="F103" s="9" t="n">
        <v>641196</v>
      </c>
      <c r="G103" s="9" t="n">
        <v>9398710</v>
      </c>
      <c r="H103" s="10" t="n">
        <v>279.68</v>
      </c>
    </row>
    <row r="104" ht="15" customHeight="1" s="17">
      <c r="A104" s="8" t="inlineStr">
        <is>
          <t>M2B8</t>
        </is>
      </c>
      <c r="B104" s="8" t="inlineStr">
        <is>
          <t>C1076-Q9584</t>
        </is>
      </c>
      <c r="C104" s="8" t="inlineStr">
        <is>
          <t>Huancabamba</t>
        </is>
      </c>
      <c r="D104" s="8" t="inlineStr">
        <is>
          <t>San Miguel de El Faique</t>
        </is>
      </c>
      <c r="E104" s="8" t="inlineStr">
        <is>
          <t>Z12</t>
        </is>
      </c>
      <c r="F104" s="9" t="n">
        <v>639059</v>
      </c>
      <c r="G104" s="9" t="n">
        <v>9398295</v>
      </c>
      <c r="H104" s="10" t="n">
        <v>116.1</v>
      </c>
    </row>
    <row r="105" ht="15" customHeight="1" s="17">
      <c r="A105" s="8" t="inlineStr">
        <is>
          <t>29</t>
        </is>
      </c>
      <c r="B105" s="8" t="inlineStr">
        <is>
          <t>C1076-Q9592</t>
        </is>
      </c>
      <c r="C105" s="8" t="inlineStr">
        <is>
          <t>Huancabamba</t>
        </is>
      </c>
      <c r="D105" s="8" t="inlineStr">
        <is>
          <t>Huarmaca</t>
        </is>
      </c>
      <c r="E105" s="8" t="inlineStr">
        <is>
          <t>Z13</t>
        </is>
      </c>
      <c r="F105" s="9" t="n">
        <v>662123</v>
      </c>
      <c r="G105" s="9" t="n">
        <v>9397575</v>
      </c>
      <c r="H105" s="10" t="n">
        <v>40.1</v>
      </c>
    </row>
    <row r="106" ht="15" customHeight="1" s="17">
      <c r="A106" s="8" t="inlineStr">
        <is>
          <t>68</t>
        </is>
      </c>
      <c r="B106" s="8" t="inlineStr">
        <is>
          <t>C1076-Q9592</t>
        </is>
      </c>
      <c r="C106" s="8" t="inlineStr">
        <is>
          <t>Huancabamba</t>
        </is>
      </c>
      <c r="D106" s="8" t="inlineStr">
        <is>
          <t>Huarmaca</t>
        </is>
      </c>
      <c r="E106" s="8" t="inlineStr">
        <is>
          <t>Z13</t>
        </is>
      </c>
      <c r="F106" s="9" t="n">
        <v>664225</v>
      </c>
      <c r="G106" s="9" t="n">
        <v>9396339</v>
      </c>
      <c r="H106" s="10" t="n">
        <v>21.29</v>
      </c>
    </row>
    <row r="107" ht="15" customHeight="1" s="17">
      <c r="A107" s="8" t="inlineStr">
        <is>
          <t>53</t>
        </is>
      </c>
      <c r="B107" s="8" t="inlineStr">
        <is>
          <t>C1076-Q9592</t>
        </is>
      </c>
      <c r="C107" s="8" t="inlineStr">
        <is>
          <t>Huancabamba</t>
        </is>
      </c>
      <c r="D107" s="8" t="inlineStr">
        <is>
          <t>Huarmaca</t>
        </is>
      </c>
      <c r="E107" s="8" t="inlineStr">
        <is>
          <t>Z13</t>
        </is>
      </c>
      <c r="F107" s="9" t="n">
        <v>666537</v>
      </c>
      <c r="G107" s="9" t="n">
        <v>9395918</v>
      </c>
      <c r="H107" s="10" t="n">
        <v>13.06</v>
      </c>
    </row>
    <row r="108" ht="15" customHeight="1" s="17">
      <c r="A108" s="8" t="inlineStr">
        <is>
          <t>70</t>
        </is>
      </c>
      <c r="B108" s="8" t="inlineStr">
        <is>
          <t>C1076-Q9592</t>
        </is>
      </c>
      <c r="C108" s="8" t="inlineStr">
        <is>
          <t>Huancabamba</t>
        </is>
      </c>
      <c r="D108" s="8" t="inlineStr">
        <is>
          <t>Huarmaca</t>
        </is>
      </c>
      <c r="E108" s="8" t="inlineStr">
        <is>
          <t>Z13</t>
        </is>
      </c>
      <c r="F108" s="9" t="n">
        <v>666781</v>
      </c>
      <c r="G108" s="9" t="n">
        <v>9395573</v>
      </c>
      <c r="H108" s="10" t="n">
        <v>22.39</v>
      </c>
    </row>
    <row r="109" ht="15" customHeight="1" s="17">
      <c r="A109" s="8" t="inlineStr">
        <is>
          <t>31</t>
        </is>
      </c>
      <c r="B109" s="8" t="inlineStr">
        <is>
          <t>C1076-Q9592</t>
        </is>
      </c>
      <c r="C109" s="8" t="inlineStr">
        <is>
          <t>Huancabamba</t>
        </is>
      </c>
      <c r="D109" s="8" t="inlineStr">
        <is>
          <t>Huarmaca</t>
        </is>
      </c>
      <c r="E109" s="8" t="inlineStr">
        <is>
          <t>Z13</t>
        </is>
      </c>
      <c r="F109" s="9" t="n">
        <v>663334</v>
      </c>
      <c r="G109" s="9" t="n">
        <v>9392820</v>
      </c>
      <c r="H109" s="10" t="n">
        <v>47.58</v>
      </c>
    </row>
    <row r="110" ht="15" customHeight="1" s="17">
      <c r="A110" s="8" t="inlineStr">
        <is>
          <t>69</t>
        </is>
      </c>
      <c r="B110" s="8" t="inlineStr">
        <is>
          <t>C1076-Q9592</t>
        </is>
      </c>
      <c r="C110" s="8" t="inlineStr">
        <is>
          <t>Huancabamba</t>
        </is>
      </c>
      <c r="D110" s="8" t="inlineStr">
        <is>
          <t>Huarmaca</t>
        </is>
      </c>
      <c r="E110" s="8" t="inlineStr">
        <is>
          <t>Z13</t>
        </is>
      </c>
      <c r="F110" s="9" t="n">
        <v>663291</v>
      </c>
      <c r="G110" s="9" t="n">
        <v>9392332</v>
      </c>
      <c r="H110" s="10" t="n">
        <v>19.43</v>
      </c>
    </row>
    <row r="111" ht="15" customHeight="1" s="17">
      <c r="A111" s="8" t="inlineStr">
        <is>
          <t>72</t>
        </is>
      </c>
      <c r="B111" s="8" t="inlineStr">
        <is>
          <t>C1076-Q9592</t>
        </is>
      </c>
      <c r="C111" s="8" t="inlineStr">
        <is>
          <t>Huancabamba</t>
        </is>
      </c>
      <c r="D111" s="8" t="inlineStr">
        <is>
          <t>Huarmaca</t>
        </is>
      </c>
      <c r="E111" s="8" t="inlineStr">
        <is>
          <t>Z13</t>
        </is>
      </c>
      <c r="F111" s="9" t="n">
        <v>662236</v>
      </c>
      <c r="G111" s="9" t="n">
        <v>9391211</v>
      </c>
      <c r="H111" s="10" t="n">
        <v>12.4</v>
      </c>
    </row>
    <row r="112" ht="15" customHeight="1" s="17">
      <c r="A112" s="8" t="inlineStr">
        <is>
          <t>41</t>
        </is>
      </c>
      <c r="B112" s="8" t="inlineStr">
        <is>
          <t>C1076-Q9592</t>
        </is>
      </c>
      <c r="C112" s="8" t="inlineStr">
        <is>
          <t>Huancabamba</t>
        </is>
      </c>
      <c r="D112" s="8" t="inlineStr">
        <is>
          <t>Huarmaca</t>
        </is>
      </c>
      <c r="E112" s="8" t="inlineStr">
        <is>
          <t>Z13</t>
        </is>
      </c>
      <c r="F112" s="9" t="n">
        <v>660525</v>
      </c>
      <c r="G112" s="9" t="n">
        <v>9394327</v>
      </c>
      <c r="H112" s="10" t="n">
        <v>64.92</v>
      </c>
    </row>
    <row r="113" ht="15" customHeight="1" s="17">
      <c r="A113" s="8" t="inlineStr">
        <is>
          <t>73</t>
        </is>
      </c>
      <c r="B113" s="8" t="inlineStr">
        <is>
          <t>C1076-Q9592</t>
        </is>
      </c>
      <c r="C113" s="8" t="inlineStr">
        <is>
          <t>Huancabamba</t>
        </is>
      </c>
      <c r="D113" s="8" t="inlineStr">
        <is>
          <t>Huarmaca</t>
        </is>
      </c>
      <c r="E113" s="8" t="inlineStr">
        <is>
          <t>Z13</t>
        </is>
      </c>
      <c r="F113" s="9" t="n">
        <v>658547</v>
      </c>
      <c r="G113" s="9" t="n">
        <v>9395594</v>
      </c>
      <c r="H113" s="10" t="n">
        <v>54.29</v>
      </c>
    </row>
    <row r="114" ht="15" customHeight="1" s="17">
      <c r="A114" s="8" t="inlineStr">
        <is>
          <t>18</t>
        </is>
      </c>
      <c r="B114" s="8" t="inlineStr">
        <is>
          <t>C1076-Q9592</t>
        </is>
      </c>
      <c r="C114" s="8" t="inlineStr">
        <is>
          <t>Huancabamba</t>
        </is>
      </c>
      <c r="D114" s="8" t="inlineStr">
        <is>
          <t>Huarmaca</t>
        </is>
      </c>
      <c r="E114" s="8" t="inlineStr">
        <is>
          <t>Z13</t>
        </is>
      </c>
      <c r="F114" s="9" t="n">
        <v>656445</v>
      </c>
      <c r="G114" s="9" t="n">
        <v>9393180</v>
      </c>
      <c r="H114" s="10" t="n">
        <v>103.62</v>
      </c>
    </row>
    <row r="115" ht="15" customHeight="1" s="17">
      <c r="A115" s="8" t="inlineStr">
        <is>
          <t>74</t>
        </is>
      </c>
      <c r="B115" s="8" t="inlineStr">
        <is>
          <t>C1076-Q9588</t>
        </is>
      </c>
      <c r="C115" s="8" t="inlineStr">
        <is>
          <t>Huancabamba</t>
        </is>
      </c>
      <c r="D115" s="8" t="inlineStr">
        <is>
          <t>Huarmaca</t>
        </is>
      </c>
      <c r="E115" s="8" t="inlineStr">
        <is>
          <t>Z13</t>
        </is>
      </c>
      <c r="F115" s="9" t="n">
        <v>652449</v>
      </c>
      <c r="G115" s="9" t="n">
        <v>9389179</v>
      </c>
      <c r="H115" s="10" t="n">
        <v>29.23</v>
      </c>
    </row>
    <row r="116" ht="15" customHeight="1" s="17">
      <c r="A116" s="8" t="inlineStr">
        <is>
          <t>M12B1</t>
        </is>
      </c>
      <c r="B116" s="8" t="inlineStr">
        <is>
          <t>C1076-Q9588</t>
        </is>
      </c>
      <c r="C116" s="8" t="inlineStr">
        <is>
          <t>Huancabamba</t>
        </is>
      </c>
      <c r="D116" s="8" t="inlineStr">
        <is>
          <t>Huarmaca</t>
        </is>
      </c>
      <c r="E116" s="8" t="inlineStr">
        <is>
          <t>Z13</t>
        </is>
      </c>
      <c r="F116" s="9" t="n">
        <v>644546</v>
      </c>
      <c r="G116" s="9" t="n">
        <v>9389106</v>
      </c>
      <c r="H116" s="10" t="n">
        <v>268.39</v>
      </c>
    </row>
    <row r="117" ht="15" customHeight="1" s="17">
      <c r="A117" s="8" t="inlineStr">
        <is>
          <t>19</t>
        </is>
      </c>
      <c r="B117" s="8" t="inlineStr">
        <is>
          <t>C1076-Q9592</t>
        </is>
      </c>
      <c r="C117" s="8" t="inlineStr">
        <is>
          <t>Huancabamba</t>
        </is>
      </c>
      <c r="D117" s="8" t="inlineStr">
        <is>
          <t>Huarmaca</t>
        </is>
      </c>
      <c r="E117" s="8" t="inlineStr">
        <is>
          <t>Z13</t>
        </is>
      </c>
      <c r="F117" s="9" t="n">
        <v>665942</v>
      </c>
      <c r="G117" s="9" t="n">
        <v>9391144</v>
      </c>
      <c r="H117" s="10" t="n">
        <v>82.09</v>
      </c>
    </row>
    <row r="118" ht="15" customHeight="1" s="17">
      <c r="A118" s="8" t="inlineStr">
        <is>
          <t>M4B4</t>
        </is>
      </c>
      <c r="B118" s="8" t="inlineStr">
        <is>
          <t>C1076-Q9589</t>
        </is>
      </c>
      <c r="C118" s="8" t="inlineStr">
        <is>
          <t>Huancabamba</t>
        </is>
      </c>
      <c r="D118" s="8" t="inlineStr">
        <is>
          <t>Huarmaca</t>
        </is>
      </c>
      <c r="E118" s="8" t="inlineStr">
        <is>
          <t>Z14</t>
        </is>
      </c>
      <c r="F118" s="9" t="n">
        <v>642775</v>
      </c>
      <c r="G118" s="9" t="n">
        <v>9388574</v>
      </c>
      <c r="H118" s="10" t="n">
        <v>289.91</v>
      </c>
    </row>
    <row r="119" ht="15" customHeight="1" s="17">
      <c r="A119" s="8" t="inlineStr">
        <is>
          <t>M4B3</t>
        </is>
      </c>
      <c r="B119" s="8" t="inlineStr">
        <is>
          <t>C1076-Q9589</t>
        </is>
      </c>
      <c r="C119" s="8" t="inlineStr">
        <is>
          <t>Huancabamba</t>
        </is>
      </c>
      <c r="D119" s="8" t="inlineStr">
        <is>
          <t>Huarmaca</t>
        </is>
      </c>
      <c r="E119" s="8" t="inlineStr">
        <is>
          <t>Z14</t>
        </is>
      </c>
      <c r="F119" s="9" t="n">
        <v>643474</v>
      </c>
      <c r="G119" s="9" t="n">
        <v>9385620</v>
      </c>
      <c r="H119" s="10" t="n">
        <v>234.07</v>
      </c>
    </row>
    <row r="120" ht="15" customHeight="1" s="17">
      <c r="A120" s="8" t="inlineStr">
        <is>
          <t>10</t>
        </is>
      </c>
      <c r="B120" s="8" t="inlineStr">
        <is>
          <t>C1076-Q9593</t>
        </is>
      </c>
      <c r="C120" s="8" t="inlineStr">
        <is>
          <t>Huancabamba</t>
        </is>
      </c>
      <c r="D120" s="8" t="inlineStr">
        <is>
          <t>Huarmaca</t>
        </is>
      </c>
      <c r="E120" s="8" t="inlineStr">
        <is>
          <t>Z14</t>
        </is>
      </c>
      <c r="F120" s="9" t="n">
        <v>650830</v>
      </c>
      <c r="G120" s="9" t="n">
        <v>9382303</v>
      </c>
      <c r="H120" s="10" t="n">
        <v>150.21</v>
      </c>
    </row>
    <row r="121" ht="15" customHeight="1" s="17">
      <c r="A121" s="8" t="inlineStr">
        <is>
          <t>16</t>
        </is>
      </c>
      <c r="B121" s="8" t="inlineStr">
        <is>
          <t>C1076-Q9593</t>
        </is>
      </c>
      <c r="C121" s="8" t="inlineStr">
        <is>
          <t>Huancabamba</t>
        </is>
      </c>
      <c r="D121" s="8" t="inlineStr">
        <is>
          <t>Huarmaca</t>
        </is>
      </c>
      <c r="E121" s="8" t="inlineStr">
        <is>
          <t>Z14</t>
        </is>
      </c>
      <c r="F121" s="9" t="n">
        <v>652939</v>
      </c>
      <c r="G121" s="9" t="n">
        <v>9382105</v>
      </c>
      <c r="H121" s="10" t="n">
        <v>83.33</v>
      </c>
    </row>
    <row r="122" ht="15" customHeight="1" s="17">
      <c r="A122" s="8" t="inlineStr">
        <is>
          <t>4</t>
        </is>
      </c>
      <c r="B122" s="8" t="inlineStr">
        <is>
          <t>C1076-Q9588</t>
        </is>
      </c>
      <c r="C122" s="8" t="inlineStr">
        <is>
          <t>Huancabamba</t>
        </is>
      </c>
      <c r="D122" s="8" t="inlineStr">
        <is>
          <t>Huarmaca</t>
        </is>
      </c>
      <c r="E122" s="8" t="inlineStr">
        <is>
          <t>Z14</t>
        </is>
      </c>
      <c r="F122" s="9" t="n">
        <v>656549</v>
      </c>
      <c r="G122" s="9" t="n">
        <v>9382009</v>
      </c>
      <c r="H122" s="10" t="n">
        <v>230.1</v>
      </c>
    </row>
    <row r="123" ht="15" customHeight="1" s="17">
      <c r="A123" s="8" t="inlineStr">
        <is>
          <t>51</t>
        </is>
      </c>
      <c r="B123" s="8" t="inlineStr">
        <is>
          <t>C1076-Q9593</t>
        </is>
      </c>
      <c r="C123" s="8" t="inlineStr">
        <is>
          <t>Huancabamba</t>
        </is>
      </c>
      <c r="D123" s="8" t="inlineStr">
        <is>
          <t>Huarmaca</t>
        </is>
      </c>
      <c r="E123" s="8" t="inlineStr">
        <is>
          <t>Z14</t>
        </is>
      </c>
      <c r="F123" s="9" t="n">
        <v>656291</v>
      </c>
      <c r="G123" s="9" t="n">
        <v>9379096</v>
      </c>
      <c r="H123" s="10" t="n">
        <v>22.93</v>
      </c>
    </row>
    <row r="124" ht="15" customHeight="1" s="17">
      <c r="A124" s="8" t="inlineStr">
        <is>
          <t>76</t>
        </is>
      </c>
      <c r="B124" s="8" t="inlineStr">
        <is>
          <t>C1076-Q9593</t>
        </is>
      </c>
      <c r="C124" s="8" t="inlineStr">
        <is>
          <t>Huancabamba</t>
        </is>
      </c>
      <c r="D124" s="8" t="inlineStr">
        <is>
          <t>Huarmaca</t>
        </is>
      </c>
      <c r="E124" s="8" t="inlineStr">
        <is>
          <t>Z14</t>
        </is>
      </c>
      <c r="F124" s="9" t="n">
        <v>657922</v>
      </c>
      <c r="G124" s="9" t="n">
        <v>9377477</v>
      </c>
      <c r="H124" s="10" t="n">
        <v>19.62</v>
      </c>
    </row>
    <row r="125" ht="15" customHeight="1" s="17">
      <c r="A125" s="8" t="inlineStr">
        <is>
          <t>80</t>
        </is>
      </c>
      <c r="B125" s="8" t="inlineStr">
        <is>
          <t>C1076-Q9593</t>
        </is>
      </c>
      <c r="C125" s="8" t="inlineStr">
        <is>
          <t>Huancabamba</t>
        </is>
      </c>
      <c r="D125" s="8" t="inlineStr">
        <is>
          <t>Huarmaca</t>
        </is>
      </c>
      <c r="E125" s="8" t="inlineStr">
        <is>
          <t>Z14</t>
        </is>
      </c>
      <c r="F125" s="9" t="n">
        <v>657160</v>
      </c>
      <c r="G125" s="9" t="n">
        <v>9373050</v>
      </c>
      <c r="H125" s="10" t="n">
        <v>28.83</v>
      </c>
    </row>
    <row r="126" ht="15" customHeight="1" s="17">
      <c r="A126" s="8" t="inlineStr">
        <is>
          <t>71</t>
        </is>
      </c>
      <c r="B126" s="8" t="inlineStr">
        <is>
          <t>C1076-Q9593</t>
        </is>
      </c>
      <c r="C126" s="8" t="inlineStr">
        <is>
          <t>Huancabamba</t>
        </is>
      </c>
      <c r="D126" s="8" t="inlineStr">
        <is>
          <t>Huarmaca</t>
        </is>
      </c>
      <c r="E126" s="8" t="inlineStr">
        <is>
          <t>Z14</t>
        </is>
      </c>
      <c r="F126" s="9" t="n">
        <v>652104</v>
      </c>
      <c r="G126" s="9" t="n">
        <v>9373045</v>
      </c>
      <c r="H126" s="10" t="n">
        <v>10.67</v>
      </c>
    </row>
    <row r="127" ht="15" customHeight="1" s="17">
      <c r="A127" s="8" t="inlineStr">
        <is>
          <t>8</t>
        </is>
      </c>
      <c r="B127" s="8" t="inlineStr">
        <is>
          <t>C1076-Q9593</t>
        </is>
      </c>
      <c r="C127" s="8" t="inlineStr">
        <is>
          <t>Huancabamba</t>
        </is>
      </c>
      <c r="D127" s="8" t="inlineStr">
        <is>
          <t>Huarmaca</t>
        </is>
      </c>
      <c r="E127" s="8" t="inlineStr">
        <is>
          <t>Z14</t>
        </is>
      </c>
      <c r="F127" s="9" t="n">
        <v>651673</v>
      </c>
      <c r="G127" s="9" t="n">
        <v>9373383</v>
      </c>
      <c r="H127" s="10" t="n">
        <v>126.95</v>
      </c>
    </row>
    <row r="128" ht="15" customHeight="1" s="17">
      <c r="A128" s="8" t="inlineStr">
        <is>
          <t>20</t>
        </is>
      </c>
      <c r="B128" s="8" t="inlineStr">
        <is>
          <t>C1076-Q9593</t>
        </is>
      </c>
      <c r="C128" s="8" t="inlineStr">
        <is>
          <t>Huancabamba</t>
        </is>
      </c>
      <c r="D128" s="8" t="inlineStr">
        <is>
          <t>Huarmaca</t>
        </is>
      </c>
      <c r="E128" s="8" t="inlineStr">
        <is>
          <t>Z14</t>
        </is>
      </c>
      <c r="F128" s="9" t="n">
        <v>649847</v>
      </c>
      <c r="G128" s="9" t="n">
        <v>9376260</v>
      </c>
      <c r="H128" s="10" t="n">
        <v>81.33</v>
      </c>
    </row>
  </sheetData>
  <pageMargins left="0.4" right="0.4" top="0.5" bottom="0.5" header="0.511811023622047" footer="0.511811023622047"/>
  <pageSetup orientation="portrait" paperSize="9" fitToHeight="0" fitToWidth="1" horizontalDpi="300" verticalDpi="300"/>
</worksheet>
</file>

<file path=xl/worksheets/sheet8.xml><?xml version="1.0" encoding="utf-8"?>
<worksheet xmlns="http://schemas.openxmlformats.org/spreadsheetml/2006/main">
  <sheetPr>
    <outlinePr summaryBelow="1" summaryRight="1"/>
    <pageSetUpPr fitToPage="1"/>
  </sheetPr>
  <dimension ref="A1:AK16"/>
  <sheetViews>
    <sheetView zoomScaleNormal="100" workbookViewId="0">
      <pane ySplit="3" topLeftCell="A4" activePane="bottomLeft" state="frozen"/>
      <selection pane="bottomLeft" activeCell="A1" sqref="A1"/>
    </sheetView>
  </sheetViews>
  <sheetFormatPr baseColWidth="10" defaultColWidth="8.6640625" defaultRowHeight="14.4"/>
  <cols>
    <col width="22" customWidth="1" style="17" min="1" max="1"/>
    <col width="29" customWidth="1" style="17" min="2" max="2"/>
    <col width="22" customWidth="1" style="17" min="3" max="4"/>
    <col width="29" customWidth="1" style="17" min="5" max="5"/>
    <col width="31" customWidth="1" style="17" min="6" max="7"/>
    <col width="29" customWidth="1" style="17" min="8" max="8"/>
    <col width="38" customWidth="1" style="17" min="9" max="9"/>
    <col width="22" customWidth="1" style="17" min="10" max="11"/>
    <col width="53" customWidth="1" style="17" min="12" max="12"/>
    <col width="40" customWidth="1" style="17" min="13" max="13"/>
    <col width="31" customWidth="1" style="17" min="14" max="14"/>
    <col width="27" customWidth="1" style="17" min="15" max="15"/>
    <col width="22" customWidth="1" style="17" min="16" max="16"/>
    <col width="28" customWidth="1" style="17" min="17" max="17"/>
    <col width="22" customWidth="1" style="17" min="18" max="18"/>
    <col width="28" customWidth="1" style="17" min="19" max="19"/>
    <col width="22" customWidth="1" style="17" min="20" max="21"/>
    <col width="30" customWidth="1" style="17" min="22" max="22"/>
    <col width="34" customWidth="1" style="17" min="23" max="23"/>
    <col width="22" customWidth="1" style="17" min="24" max="26"/>
    <col width="25" customWidth="1" style="17" min="27" max="27"/>
    <col width="26" customWidth="1" style="17" min="28" max="28"/>
    <col width="22" customWidth="1" style="17" min="29" max="29"/>
    <col width="47" customWidth="1" style="17" min="30" max="30"/>
    <col width="33" customWidth="1" style="17" min="31" max="31"/>
    <col width="25" customWidth="1" style="17" min="32" max="32"/>
    <col width="22" customWidth="1" style="17" min="33" max="37"/>
  </cols>
  <sheetData>
    <row r="1" ht="15" customHeight="1" s="17">
      <c r="A1" s="34" t="inlineStr">
        <is>
          <t>Listas de opciones para validación de datos — IN Piura | Cada columna es un rango nombrado.</t>
        </is>
      </c>
    </row>
    <row r="3" ht="15" customHeight="1" s="17">
      <c r="A3" s="2" t="inlineStr">
        <is>
          <t>lst_FormaTerreno</t>
        </is>
      </c>
      <c r="B3" s="2" t="inlineStr">
        <is>
          <t>lst_RangoPendiente</t>
        </is>
      </c>
      <c r="C3" s="2" t="inlineStr">
        <is>
          <t>lst_PosicionFisio</t>
        </is>
      </c>
      <c r="D3" s="2" t="inlineStr">
        <is>
          <t>lst_Exposicion</t>
        </is>
      </c>
      <c r="E3" s="2" t="inlineStr">
        <is>
          <t>lst_RangoAltitud</t>
        </is>
      </c>
      <c r="F3" s="2" t="inlineStr">
        <is>
          <t>lst_NivelErosion</t>
        </is>
      </c>
      <c r="G3" s="2" t="inlineStr">
        <is>
          <t>lst_TipoCarcava</t>
        </is>
      </c>
      <c r="H3" s="2" t="inlineStr">
        <is>
          <t>lst_EstadoCarcava</t>
        </is>
      </c>
      <c r="I3" s="2" t="inlineStr">
        <is>
          <t>lst_CausaCarcava</t>
        </is>
      </c>
      <c r="J3" s="2" t="inlineStr">
        <is>
          <t>lst_PatronCarcavas</t>
        </is>
      </c>
      <c r="K3" s="2" t="inlineStr">
        <is>
          <t>lst_Urgencia</t>
        </is>
      </c>
      <c r="L3" s="2" t="inlineStr">
        <is>
          <t>lst_TipoEcosistema</t>
        </is>
      </c>
      <c r="M3" s="2" t="inlineStr">
        <is>
          <t>lst_EstadoConservacion</t>
        </is>
      </c>
      <c r="N3" s="2" t="inlineStr">
        <is>
          <t>lst_UsoSueloDom</t>
        </is>
      </c>
      <c r="O3" s="2" t="inlineStr">
        <is>
          <t>lst_Regeneracion</t>
        </is>
      </c>
      <c r="P3" s="2" t="inlineStr">
        <is>
          <t>lst_EstadoSanitario</t>
        </is>
      </c>
      <c r="Q3" s="2" t="inlineStr">
        <is>
          <t>lst_Fenologia</t>
        </is>
      </c>
      <c r="R3" s="2" t="inlineStr">
        <is>
          <t>lst_TipoCobertura</t>
        </is>
      </c>
      <c r="S3" s="2" t="inlineStr">
        <is>
          <t>lst_Estrato</t>
        </is>
      </c>
      <c r="T3" s="2" t="inlineStr">
        <is>
          <t>lst_Origen</t>
        </is>
      </c>
      <c r="U3" s="2" t="inlineStr">
        <is>
          <t>lst_Abundancia</t>
        </is>
      </c>
      <c r="V3" s="2" t="inlineStr">
        <is>
          <t>lst_CategoriaIndicadora</t>
        </is>
      </c>
      <c r="W3" s="2" t="inlineStr">
        <is>
          <t>lst_EstadoUICN</t>
        </is>
      </c>
      <c r="X3" s="2" t="inlineStr">
        <is>
          <t>lst_Intensidad</t>
        </is>
      </c>
      <c r="Y3" s="2" t="inlineStr">
        <is>
          <t>lst_NivelInd</t>
        </is>
      </c>
      <c r="Z3" s="2" t="inlineStr">
        <is>
          <t>lst_Velocidad</t>
        </is>
      </c>
      <c r="AA3" s="2" t="inlineStr">
        <is>
          <t>lst_Reversibilidad</t>
        </is>
      </c>
      <c r="AB3" s="2" t="inlineStr">
        <is>
          <t>lst_TipoFuente</t>
        </is>
      </c>
      <c r="AC3" s="2" t="inlineStr">
        <is>
          <t>lst_RegimenHidrico</t>
        </is>
      </c>
      <c r="AD3" s="2" t="inlineStr">
        <is>
          <t>lst_CalidadAgua</t>
        </is>
      </c>
      <c r="AE3" s="2" t="inlineStr">
        <is>
          <t>lst_ModalidadAcceso</t>
        </is>
      </c>
      <c r="AF3" s="2" t="inlineStr">
        <is>
          <t>lst_TipoVia</t>
        </is>
      </c>
      <c r="AG3" s="2" t="inlineStr">
        <is>
          <t>lst_NivelTransitabilidad</t>
        </is>
      </c>
      <c r="AH3" s="2" t="inlineStr">
        <is>
          <t>lst_SenalCelular</t>
        </is>
      </c>
      <c r="AI3" s="2" t="inlineStr">
        <is>
          <t>lst_Operador</t>
        </is>
      </c>
      <c r="AJ3" s="2" t="inlineStr">
        <is>
          <t>lst_SiNo</t>
        </is>
      </c>
      <c r="AK3" s="2" t="inlineStr">
        <is>
          <t>lst_SiNoNA</t>
        </is>
      </c>
    </row>
    <row r="4" ht="15" customHeight="1" s="17">
      <c r="A4" s="8" t="inlineStr">
        <is>
          <t>Plano</t>
        </is>
      </c>
      <c r="B4" s="8" t="inlineStr">
        <is>
          <t>0-8% (Plano-lig. inclinado)</t>
        </is>
      </c>
      <c r="C4" s="8" t="inlineStr">
        <is>
          <t>Cresta / Divortium</t>
        </is>
      </c>
      <c r="D4" s="8" t="inlineStr">
        <is>
          <t>Norte</t>
        </is>
      </c>
      <c r="E4" s="8" t="inlineStr">
        <is>
          <t>&lt;1000 m (Yunga)</t>
        </is>
      </c>
      <c r="F4" s="8" t="inlineStr">
        <is>
          <t>Nula</t>
        </is>
      </c>
      <c r="G4" s="8" t="inlineStr">
        <is>
          <t>Surco (&lt;30 cm)</t>
        </is>
      </c>
      <c r="H4" s="8" t="inlineStr">
        <is>
          <t>Activa</t>
        </is>
      </c>
      <c r="I4" s="8" t="inlineStr">
        <is>
          <t>Sobrepastoreo</t>
        </is>
      </c>
      <c r="J4" s="8" t="inlineStr">
        <is>
          <t>Dendrítico</t>
        </is>
      </c>
      <c r="K4" s="8" t="inlineStr">
        <is>
          <t>Crítica</t>
        </is>
      </c>
      <c r="L4" s="8" t="inlineStr">
        <is>
          <t>Páramo</t>
        </is>
      </c>
      <c r="M4" s="8" t="inlineStr">
        <is>
          <t>Conservado (sin intervención evidente)</t>
        </is>
      </c>
      <c r="N4" s="8" t="inlineStr">
        <is>
          <t>Forestal protección</t>
        </is>
      </c>
      <c r="O4" s="8" t="inlineStr">
        <is>
          <t>Abundante (&gt;50 pl./100m²)</t>
        </is>
      </c>
      <c r="P4" s="8" t="inlineStr">
        <is>
          <t>Sano</t>
        </is>
      </c>
      <c r="Q4" s="8" t="inlineStr">
        <is>
          <t>Vegetativo</t>
        </is>
      </c>
      <c r="R4" s="8" t="inlineStr">
        <is>
          <t>Bosque denso (&gt;70%)</t>
        </is>
      </c>
      <c r="S4" s="8" t="inlineStr">
        <is>
          <t>Arbóreo superior (&gt;15 m)</t>
        </is>
      </c>
      <c r="T4" s="8" t="inlineStr">
        <is>
          <t>Nativa</t>
        </is>
      </c>
      <c r="U4" s="8" t="inlineStr">
        <is>
          <t>Dominante (&gt;40%)</t>
        </is>
      </c>
      <c r="V4" s="8" t="inlineStr">
        <is>
          <t>Indicadora de buen estado</t>
        </is>
      </c>
      <c r="W4" s="8" t="inlineStr">
        <is>
          <t>EX — Extinto</t>
        </is>
      </c>
      <c r="X4" s="8" t="inlineStr">
        <is>
          <t>Nula</t>
        </is>
      </c>
      <c r="Y4" s="8" t="inlineStr">
        <is>
          <t>Alto</t>
        </is>
      </c>
      <c r="Z4" s="8" t="inlineStr">
        <is>
          <t>Muy rápida</t>
        </is>
      </c>
      <c r="AA4" s="8" t="inlineStr">
        <is>
          <t>Totalmente reversible</t>
        </is>
      </c>
      <c r="AB4" s="8" t="inlineStr">
        <is>
          <t>Manantial / Puquio</t>
        </is>
      </c>
      <c r="AC4" s="8" t="inlineStr">
        <is>
          <t>Permanente</t>
        </is>
      </c>
      <c r="AD4" s="8" t="inlineStr">
        <is>
          <t>Buena (clara, sin olor, sin sedimentos)</t>
        </is>
      </c>
      <c r="AE4" s="8" t="inlineStr">
        <is>
          <t>Vehicular 4x4 hasta el bloque</t>
        </is>
      </c>
      <c r="AF4" s="8" t="inlineStr">
        <is>
          <t>Nacional asfaltada</t>
        </is>
      </c>
      <c r="AG4" s="8" t="inlineStr">
        <is>
          <t>Alto</t>
        </is>
      </c>
      <c r="AH4" s="8" t="inlineStr">
        <is>
          <t>Completa</t>
        </is>
      </c>
      <c r="AI4" s="8" t="inlineStr">
        <is>
          <t>Movistar</t>
        </is>
      </c>
      <c r="AJ4" s="8" t="inlineStr">
        <is>
          <t>Sí</t>
        </is>
      </c>
      <c r="AK4" s="8" t="inlineStr">
        <is>
          <t>Sí</t>
        </is>
      </c>
    </row>
    <row r="5" ht="15" customHeight="1" s="17">
      <c r="A5" s="8" t="inlineStr">
        <is>
          <t>Ondulado</t>
        </is>
      </c>
      <c r="B5" s="8" t="inlineStr">
        <is>
          <t>8-15% (Mod. inclinado)</t>
        </is>
      </c>
      <c r="C5" s="8" t="inlineStr">
        <is>
          <t>Ladera alta</t>
        </is>
      </c>
      <c r="D5" s="8" t="inlineStr">
        <is>
          <t>Sur</t>
        </is>
      </c>
      <c r="E5" s="8" t="inlineStr">
        <is>
          <t>1000-1500 m (Quechua baja)</t>
        </is>
      </c>
      <c r="F5" s="8" t="inlineStr">
        <is>
          <t>Ligera (laminar)</t>
        </is>
      </c>
      <c r="G5" s="8" t="inlineStr">
        <is>
          <t>Cárcava incipiente (30-50 cm)</t>
        </is>
      </c>
      <c r="H5" s="8" t="inlineStr">
        <is>
          <t>Semi-activa</t>
        </is>
      </c>
      <c r="I5" s="8" t="inlineStr">
        <is>
          <t>Tala / pérdida de cobertura</t>
        </is>
      </c>
      <c r="J5" s="8" t="inlineStr">
        <is>
          <t>Paralelo</t>
        </is>
      </c>
      <c r="K5" s="8" t="inlineStr">
        <is>
          <t>Alta</t>
        </is>
      </c>
      <c r="L5" s="8" t="inlineStr">
        <is>
          <t>Bosque Relicto Montano V. Occidental (BMVO)</t>
        </is>
      </c>
      <c r="M5" s="8" t="inlineStr">
        <is>
          <t>Levemente alterado</t>
        </is>
      </c>
      <c r="N5" s="8" t="inlineStr">
        <is>
          <t>Forestal producción</t>
        </is>
      </c>
      <c r="O5" s="8" t="inlineStr">
        <is>
          <t>Regular (10-50 pl./100m²)</t>
        </is>
      </c>
      <c r="P5" s="8" t="inlineStr">
        <is>
          <t>Enfermo (plaga)</t>
        </is>
      </c>
      <c r="Q5" s="8" t="inlineStr">
        <is>
          <t>Floración</t>
        </is>
      </c>
      <c r="R5" s="8" t="inlineStr">
        <is>
          <t>Bosque ralo (30-70%)</t>
        </is>
      </c>
      <c r="S5" s="8" t="inlineStr">
        <is>
          <t>Arbóreo medio (8-15 m)</t>
        </is>
      </c>
      <c r="T5" s="8" t="inlineStr">
        <is>
          <t>Endémica</t>
        </is>
      </c>
      <c r="U5" s="8" t="inlineStr">
        <is>
          <t>Abundante (20-40%)</t>
        </is>
      </c>
      <c r="V5" s="8" t="inlineStr">
        <is>
          <t>Indicadora de perturbación</t>
        </is>
      </c>
      <c r="W5" s="8" t="inlineStr">
        <is>
          <t>EW — Extinto en Estado Silvestre</t>
        </is>
      </c>
      <c r="X5" s="8" t="inlineStr">
        <is>
          <t>Ligera</t>
        </is>
      </c>
      <c r="Y5" s="8" t="inlineStr">
        <is>
          <t>Medio</t>
        </is>
      </c>
      <c r="Z5" s="8" t="inlineStr">
        <is>
          <t>Rápida</t>
        </is>
      </c>
      <c r="AA5" s="8" t="inlineStr">
        <is>
          <t>Parcialmente reversible</t>
        </is>
      </c>
      <c r="AB5" s="8" t="inlineStr">
        <is>
          <t>Quebrada permanente</t>
        </is>
      </c>
      <c r="AC5" s="8" t="inlineStr">
        <is>
          <t>Estacional (lluvias)</t>
        </is>
      </c>
      <c r="AD5" s="8" t="inlineStr">
        <is>
          <t>Regular (ligeramente turbia o con sedimentos)</t>
        </is>
      </c>
      <c r="AE5" s="8" t="inlineStr">
        <is>
          <t>Vehicular + caminata &lt;30 min</t>
        </is>
      </c>
      <c r="AF5" s="8" t="inlineStr">
        <is>
          <t>Nacional afirmada</t>
        </is>
      </c>
      <c r="AG5" s="8" t="inlineStr">
        <is>
          <t>Medio</t>
        </is>
      </c>
      <c r="AH5" s="8" t="inlineStr">
        <is>
          <t>Parcial</t>
        </is>
      </c>
      <c r="AI5" s="8" t="inlineStr">
        <is>
          <t>Claro</t>
        </is>
      </c>
      <c r="AJ5" s="8" t="inlineStr">
        <is>
          <t>No</t>
        </is>
      </c>
      <c r="AK5" s="8" t="inlineStr">
        <is>
          <t>No</t>
        </is>
      </c>
    </row>
    <row r="6" ht="15" customHeight="1" s="17">
      <c r="A6" s="8" t="inlineStr">
        <is>
          <t>Colinoso</t>
        </is>
      </c>
      <c r="B6" s="8" t="inlineStr">
        <is>
          <t>15-25% (Fuert. inclinado)</t>
        </is>
      </c>
      <c r="C6" s="8" t="inlineStr">
        <is>
          <t>Ladera media</t>
        </is>
      </c>
      <c r="D6" s="8" t="inlineStr">
        <is>
          <t>Este</t>
        </is>
      </c>
      <c r="E6" s="8" t="inlineStr">
        <is>
          <t>1500-2000 m (Quechua media)</t>
        </is>
      </c>
      <c r="F6" s="8" t="inlineStr">
        <is>
          <t>Moderada (surcos)</t>
        </is>
      </c>
      <c r="G6" s="8" t="inlineStr">
        <is>
          <t>Cárcava somera (0.5-2 m)</t>
        </is>
      </c>
      <c r="H6" s="8" t="inlineStr">
        <is>
          <t>Estabilizada con vegetación</t>
        </is>
      </c>
      <c r="I6" s="8" t="inlineStr">
        <is>
          <t>Quema</t>
        </is>
      </c>
      <c r="J6" s="8" t="inlineStr">
        <is>
          <t>Lineal</t>
        </is>
      </c>
      <c r="K6" s="8" t="inlineStr">
        <is>
          <t>Media</t>
        </is>
      </c>
      <c r="L6" s="8" t="inlineStr">
        <is>
          <t>Bosque Estacionalmente Seco Colina/Montaña (Bes-cm)</t>
        </is>
      </c>
      <c r="M6" s="8" t="inlineStr">
        <is>
          <t>Medianamente alterado</t>
        </is>
      </c>
      <c r="N6" s="8" t="inlineStr">
        <is>
          <t>Pastoreo extensivo</t>
        </is>
      </c>
      <c r="O6" s="8" t="inlineStr">
        <is>
          <t>Escasa (&lt;10 pl./100m²)</t>
        </is>
      </c>
      <c r="P6" s="8" t="inlineStr">
        <is>
          <t>Enfermo (hongo)</t>
        </is>
      </c>
      <c r="Q6" s="8" t="inlineStr">
        <is>
          <t>Fructificación</t>
        </is>
      </c>
      <c r="R6" s="8" t="inlineStr">
        <is>
          <t>Matorral denso</t>
        </is>
      </c>
      <c r="S6" s="8" t="inlineStr">
        <is>
          <t>Arbóreo bajo (4-8 m)</t>
        </is>
      </c>
      <c r="T6" s="8" t="inlineStr">
        <is>
          <t>Introducida</t>
        </is>
      </c>
      <c r="U6" s="8" t="inlineStr">
        <is>
          <t>Frecuente (5-20%)</t>
        </is>
      </c>
      <c r="V6" s="8" t="inlineStr">
        <is>
          <t>Endémica del Perú</t>
        </is>
      </c>
      <c r="W6" s="8" t="inlineStr">
        <is>
          <t>CR — En Peligro Crítico</t>
        </is>
      </c>
      <c r="X6" s="8" t="inlineStr">
        <is>
          <t>Moderada</t>
        </is>
      </c>
      <c r="Y6" s="8" t="inlineStr">
        <is>
          <t>Bajo</t>
        </is>
      </c>
      <c r="Z6" s="8" t="inlineStr">
        <is>
          <t>Moderada</t>
        </is>
      </c>
      <c r="AA6" s="8" t="inlineStr">
        <is>
          <t>Difícilmente reversible</t>
        </is>
      </c>
      <c r="AB6" s="8" t="inlineStr">
        <is>
          <t>Quebrada estacional</t>
        </is>
      </c>
      <c r="AC6" s="8" t="inlineStr">
        <is>
          <t>Intermitente</t>
        </is>
      </c>
      <c r="AD6" s="8" t="inlineStr">
        <is>
          <t>Mala (turbia, con olor o color)</t>
        </is>
      </c>
      <c r="AE6" s="8" t="inlineStr">
        <is>
          <t>Vehicular + caminata 30-90 min</t>
        </is>
      </c>
      <c r="AF6" s="8" t="inlineStr">
        <is>
          <t>Departamental asfaltada</t>
        </is>
      </c>
      <c r="AG6" s="8" t="inlineStr">
        <is>
          <t>Bajo</t>
        </is>
      </c>
      <c r="AH6" s="8" t="inlineStr">
        <is>
          <t>Intermitente</t>
        </is>
      </c>
      <c r="AI6" s="8" t="inlineStr">
        <is>
          <t>Entel</t>
        </is>
      </c>
      <c r="AK6" s="8" t="inlineStr">
        <is>
          <t>No aplica</t>
        </is>
      </c>
    </row>
    <row r="7" ht="15" customHeight="1" s="17">
      <c r="A7" s="8" t="inlineStr">
        <is>
          <t>Montañoso</t>
        </is>
      </c>
      <c r="B7" s="8" t="inlineStr">
        <is>
          <t>25-50% (Mod. escarpado)</t>
        </is>
      </c>
      <c r="C7" s="8" t="inlineStr">
        <is>
          <t>Ladera baja</t>
        </is>
      </c>
      <c r="D7" s="8" t="inlineStr">
        <is>
          <t>Oeste</t>
        </is>
      </c>
      <c r="E7" s="8" t="inlineStr">
        <is>
          <t>2000-2500 m (Quechua alta)</t>
        </is>
      </c>
      <c r="F7" s="8" t="inlineStr">
        <is>
          <t>Fuerte (cárcavas incipientes)</t>
        </is>
      </c>
      <c r="G7" s="8" t="inlineStr">
        <is>
          <t>Cárcava profunda (2-5 m)</t>
        </is>
      </c>
      <c r="H7" s="8" t="inlineStr">
        <is>
          <t>Estabilizada con obras</t>
        </is>
      </c>
      <c r="I7" s="8" t="inlineStr">
        <is>
          <t>Surcos de labranza en pendiente</t>
        </is>
      </c>
      <c r="J7" s="8" t="inlineStr">
        <is>
          <t>Aislado</t>
        </is>
      </c>
      <c r="K7" s="8" t="inlineStr">
        <is>
          <t>Baja</t>
        </is>
      </c>
      <c r="L7" s="8" t="inlineStr">
        <is>
          <t>Bosque Estacionalmente Seco Llanura (Bes-ll)</t>
        </is>
      </c>
      <c r="M7" s="8" t="inlineStr">
        <is>
          <t>Alterado (intervención marcada)</t>
        </is>
      </c>
      <c r="N7" s="8" t="inlineStr">
        <is>
          <t>Pastoreo intensivo</t>
        </is>
      </c>
      <c r="O7" s="8" t="inlineStr">
        <is>
          <t>Ausente</t>
        </is>
      </c>
      <c r="P7" s="8" t="inlineStr">
        <is>
          <t>Daño mecánico</t>
        </is>
      </c>
      <c r="Q7" s="8" t="inlineStr">
        <is>
          <t>Caducifolio (hojas caídas)</t>
        </is>
      </c>
      <c r="R7" s="8" t="inlineStr">
        <is>
          <t>Matorral ralo</t>
        </is>
      </c>
      <c r="S7" s="8" t="inlineStr">
        <is>
          <t>Arbustivo alto (1.5-4 m)</t>
        </is>
      </c>
      <c r="T7" s="8" t="inlineStr">
        <is>
          <t>Invasora</t>
        </is>
      </c>
      <c r="U7" s="8" t="inlineStr">
        <is>
          <t>Ocasional (1-5%)</t>
        </is>
      </c>
      <c r="V7" s="8" t="inlineStr">
        <is>
          <t>Endémica norte / Piura</t>
        </is>
      </c>
      <c r="W7" s="8" t="inlineStr">
        <is>
          <t>EN — En Peligro</t>
        </is>
      </c>
      <c r="X7" s="8" t="inlineStr">
        <is>
          <t>Fuerte</t>
        </is>
      </c>
      <c r="Z7" s="8" t="inlineStr">
        <is>
          <t>Lenta</t>
        </is>
      </c>
      <c r="AA7" s="8" t="inlineStr">
        <is>
          <t>En recuperación</t>
        </is>
      </c>
      <c r="AB7" s="8" t="inlineStr">
        <is>
          <t>Río</t>
        </is>
      </c>
      <c r="AC7" s="8" t="inlineStr">
        <is>
          <t>Efímero</t>
        </is>
      </c>
      <c r="AD7" s="8" t="inlineStr">
        <is>
          <t>Muy mala (contaminación evidente)</t>
        </is>
      </c>
      <c r="AE7" s="8" t="inlineStr">
        <is>
          <t>Vehicular + caminata &gt;90 min</t>
        </is>
      </c>
      <c r="AF7" s="8" t="inlineStr">
        <is>
          <t>Departamental afirmada</t>
        </is>
      </c>
      <c r="AH7" s="8" t="inlineStr">
        <is>
          <t>Sin señal</t>
        </is>
      </c>
      <c r="AI7" s="8" t="inlineStr">
        <is>
          <t>Bitel</t>
        </is>
      </c>
    </row>
    <row r="8" ht="15" customHeight="1" s="17">
      <c r="A8" s="8" t="inlineStr">
        <is>
          <t>Muy escarpado</t>
        </is>
      </c>
      <c r="B8" s="8" t="inlineStr">
        <is>
          <t>50-75% (Escarpado)</t>
        </is>
      </c>
      <c r="C8" s="8" t="inlineStr">
        <is>
          <t>Pie de ladera</t>
        </is>
      </c>
      <c r="D8" s="8" t="inlineStr">
        <is>
          <t>Noreste</t>
        </is>
      </c>
      <c r="E8" s="8" t="inlineStr">
        <is>
          <t>2500-3000 m (Suni)</t>
        </is>
      </c>
      <c r="F8" s="8" t="inlineStr">
        <is>
          <t>Severa (cárcavas activas)</t>
        </is>
      </c>
      <c r="G8" s="8" t="inlineStr">
        <is>
          <t>Cárcava muy profunda (&gt;5 m)</t>
        </is>
      </c>
      <c r="H8" s="8" t="inlineStr">
        <is>
          <t>Inactiva</t>
        </is>
      </c>
      <c r="I8" s="8" t="inlineStr">
        <is>
          <t>Caminos / huellas de ganado</t>
        </is>
      </c>
      <c r="J8" s="8" t="inlineStr">
        <is>
          <t>Mixto</t>
        </is>
      </c>
      <c r="L8" s="8" t="inlineStr">
        <is>
          <t>Bosque Estacionalmente Seco Ribereño (Bes-rb)</t>
        </is>
      </c>
      <c r="M8" s="8" t="inlineStr">
        <is>
          <t>Muy alterado / Degradado</t>
        </is>
      </c>
      <c r="N8" s="8" t="inlineStr">
        <is>
          <t>Agricultura secano</t>
        </is>
      </c>
      <c r="P8" s="8" t="inlineStr">
        <is>
          <t>Muerto en pie</t>
        </is>
      </c>
      <c r="Q8" s="8" t="inlineStr">
        <is>
          <t>Latencia / Estrés hídrico</t>
        </is>
      </c>
      <c r="R8" s="8" t="inlineStr">
        <is>
          <t>Pastizal natural</t>
        </is>
      </c>
      <c r="S8" s="8" t="inlineStr">
        <is>
          <t>Arbustivo bajo (0.5-1.5 m)</t>
        </is>
      </c>
      <c r="U8" s="8" t="inlineStr">
        <is>
          <t>Rara (&lt;1%)</t>
        </is>
      </c>
      <c r="V8" s="8" t="inlineStr">
        <is>
          <t>Amenazada (D.S. 043-2006-AG)</t>
        </is>
      </c>
      <c r="W8" s="8" t="inlineStr">
        <is>
          <t>VU — Vulnerable</t>
        </is>
      </c>
      <c r="X8" s="8" t="inlineStr">
        <is>
          <t>Muy fuerte</t>
        </is>
      </c>
      <c r="Z8" s="8" t="inlineStr">
        <is>
          <t>Estable</t>
        </is>
      </c>
      <c r="AB8" s="8" t="inlineStr">
        <is>
          <t>Canal de riego</t>
        </is>
      </c>
      <c r="AC8" s="8" t="inlineStr">
        <is>
          <t>Ausente</t>
        </is>
      </c>
      <c r="AD8" s="8" t="inlineStr">
        <is>
          <t>No evaluable</t>
        </is>
      </c>
      <c r="AE8" s="8" t="inlineStr">
        <is>
          <t>Requiere acémila (páramo/jalca)</t>
        </is>
      </c>
      <c r="AF8" s="8" t="inlineStr">
        <is>
          <t>Vecinal afirmada</t>
        </is>
      </c>
      <c r="AI8" s="8" t="inlineStr">
        <is>
          <t>Otro</t>
        </is>
      </c>
    </row>
    <row r="9" ht="15" customHeight="1" s="17">
      <c r="B9" s="8" t="inlineStr">
        <is>
          <t>&gt;75% (Muy escarpado)</t>
        </is>
      </c>
      <c r="C9" s="8" t="inlineStr">
        <is>
          <t>Terraza aluvial</t>
        </is>
      </c>
      <c r="D9" s="8" t="inlineStr">
        <is>
          <t>Noroeste</t>
        </is>
      </c>
      <c r="E9" s="8" t="inlineStr">
        <is>
          <t>3000-3500 m (Puna baja)</t>
        </is>
      </c>
      <c r="F9" s="8" t="inlineStr">
        <is>
          <t>Extrema</t>
        </is>
      </c>
      <c r="I9" s="8" t="inlineStr">
        <is>
          <t>Concentración natural de escorrentía</t>
        </is>
      </c>
      <c r="L9" s="8" t="inlineStr">
        <is>
          <t>Matorral Andino árido</t>
        </is>
      </c>
      <c r="M9" s="8" t="inlineStr">
        <is>
          <t>En restauración / Recuperación</t>
        </is>
      </c>
      <c r="N9" s="8" t="inlineStr">
        <is>
          <t>Agricultura bajo riego</t>
        </is>
      </c>
      <c r="P9" s="8" t="inlineStr">
        <is>
          <t>Rebrote vigoroso</t>
        </is>
      </c>
      <c r="R9" s="8" t="inlineStr">
        <is>
          <t>Pastizal cultivado</t>
        </is>
      </c>
      <c r="S9" s="8" t="inlineStr">
        <is>
          <t>Herbáceo (&lt;0.5 m)</t>
        </is>
      </c>
      <c r="V9" s="8" t="inlineStr">
        <is>
          <t>Clave cultural</t>
        </is>
      </c>
      <c r="W9" s="8" t="inlineStr">
        <is>
          <t>NT — Casi Amenazado</t>
        </is>
      </c>
      <c r="AB9" s="8" t="inlineStr">
        <is>
          <t>Reservorio / Represa</t>
        </is>
      </c>
      <c r="AE9" s="8" t="inlineStr">
        <is>
          <t>Inaccesible en lluvias</t>
        </is>
      </c>
      <c r="AF9" s="8" t="inlineStr">
        <is>
          <t>Trocha carrozable</t>
        </is>
      </c>
      <c r="AI9" s="8" t="inlineStr">
        <is>
          <t>Sin señal</t>
        </is>
      </c>
    </row>
    <row r="10" ht="15" customHeight="1" s="17">
      <c r="C10" s="8" t="inlineStr">
        <is>
          <t>Cauce / Ribera</t>
        </is>
      </c>
      <c r="D10" s="8" t="inlineStr">
        <is>
          <t>Sureste</t>
        </is>
      </c>
      <c r="E10" s="8" t="inlineStr">
        <is>
          <t>&gt;3500 m (Puna/Jalca)</t>
        </is>
      </c>
      <c r="I10" s="8" t="inlineStr">
        <is>
          <t>Socavamiento de cauce</t>
        </is>
      </c>
      <c r="L10" s="8" t="inlineStr">
        <is>
          <t>Matorral Andino semiárido</t>
        </is>
      </c>
      <c r="N10" s="8" t="inlineStr">
        <is>
          <t>Sin uso aparente / Abandonado</t>
        </is>
      </c>
      <c r="R10" s="8" t="inlineStr">
        <is>
          <t>Cultivo anual</t>
        </is>
      </c>
      <c r="S10" s="8" t="inlineStr">
        <is>
          <t>Epífito</t>
        </is>
      </c>
      <c r="W10" s="8" t="inlineStr">
        <is>
          <t>LC — Preocupación Menor</t>
        </is>
      </c>
      <c r="AB10" s="8" t="inlineStr">
        <is>
          <t>Laguna / Humedal</t>
        </is>
      </c>
      <c r="AF10" s="8" t="inlineStr">
        <is>
          <t>Camino de herradura</t>
        </is>
      </c>
    </row>
    <row r="11" ht="15" customHeight="1" s="17">
      <c r="C11" s="8" t="inlineStr">
        <is>
          <t>Llanura / Pampa</t>
        </is>
      </c>
      <c r="D11" s="8" t="inlineStr">
        <is>
          <t>Suroeste</t>
        </is>
      </c>
      <c r="I11" s="8" t="inlineStr">
        <is>
          <t>Cambio de uso del suelo</t>
        </is>
      </c>
      <c r="L11" s="8" t="inlineStr">
        <is>
          <t>Matorral Andino subhúmedo</t>
        </is>
      </c>
      <c r="N11" s="8" t="inlineStr">
        <is>
          <t>Uso mixto</t>
        </is>
      </c>
      <c r="R11" s="8" t="inlineStr">
        <is>
          <t>Cultivo permanente</t>
        </is>
      </c>
      <c r="S11" s="8" t="inlineStr">
        <is>
          <t>Trepador</t>
        </is>
      </c>
      <c r="W11" s="8" t="inlineStr">
        <is>
          <t>DD — Datos Insuficientes</t>
        </is>
      </c>
      <c r="AB11" s="8" t="inlineStr">
        <is>
          <t>Pozo / Galería filtrante</t>
        </is>
      </c>
    </row>
    <row r="12" ht="15" customHeight="1" s="17">
      <c r="C12" s="8" t="inlineStr">
        <is>
          <t>Cima (sin exp.)</t>
        </is>
      </c>
      <c r="D12" s="8" t="inlineStr">
        <is>
          <t>Cima (sin dom.)</t>
        </is>
      </c>
      <c r="I12" s="8" t="inlineStr">
        <is>
          <t>Otro</t>
        </is>
      </c>
      <c r="L12" s="8" t="inlineStr">
        <is>
          <t>Matorral Andino húmedo</t>
        </is>
      </c>
      <c r="N12" s="8" t="inlineStr">
        <is>
          <t>Otro</t>
        </is>
      </c>
      <c r="R12" s="8" t="inlineStr">
        <is>
          <t>Suelo desnudo</t>
        </is>
      </c>
      <c r="W12" s="8" t="inlineStr">
        <is>
          <t>NE — No Evaluado</t>
        </is>
      </c>
      <c r="AB12" s="8" t="inlineStr">
        <is>
          <t>Bofedal</t>
        </is>
      </c>
    </row>
    <row r="13" ht="15" customHeight="1" s="17">
      <c r="L13" s="8" t="inlineStr">
        <is>
          <t>Pastizal andino / Jalca</t>
        </is>
      </c>
      <c r="R13" s="8" t="inlineStr">
        <is>
          <t>Afloramiento rocoso</t>
        </is>
      </c>
      <c r="W13" s="8" t="inlineStr">
        <is>
          <t>No aplica</t>
        </is>
      </c>
      <c r="AB13" s="8" t="inlineStr">
        <is>
          <t>Otro</t>
        </is>
      </c>
    </row>
    <row r="14" ht="15" customHeight="1" s="17">
      <c r="L14" s="8" t="inlineStr">
        <is>
          <t>Agroecosistema / Mosaico</t>
        </is>
      </c>
      <c r="R14" s="8" t="inlineStr">
        <is>
          <t>Mixto / Mosaico</t>
        </is>
      </c>
    </row>
    <row r="15" ht="15" customHeight="1" s="17">
      <c r="L15" s="8" t="inlineStr">
        <is>
          <t>Área urbana / rural</t>
        </is>
      </c>
    </row>
    <row r="16" ht="15" customHeight="1" s="17">
      <c r="L16" s="8" t="inlineStr">
        <is>
          <t>Otro</t>
        </is>
      </c>
    </row>
  </sheetData>
  <mergeCells count="1">
    <mergeCell ref="A1:H1"/>
  </mergeCells>
  <pageMargins left="0.4" right="0.4" top="0.5" bottom="0.5" header="0.511811023622047" footer="0.511811023622047"/>
  <pageSetup orientation="portrait" paperSize="9" fitToHeight="0" fitToWidth="1" horizontalDpi="300" verticalDpi="300"/>
</worksheet>
</file>

<file path=xl/worksheets/sheet9.xml><?xml version="1.0" encoding="utf-8"?>
<worksheet xmlns="http://schemas.openxmlformats.org/spreadsheetml/2006/main">
  <sheetPr>
    <tabColor rgb="001B4D2E"/>
    <outlinePr summaryBelow="1" summaryRight="1"/>
    <pageSetUpPr fitToPage="1"/>
  </sheetPr>
  <dimension ref="A1:G18"/>
  <sheetViews>
    <sheetView showGridLines="0" workbookViewId="0">
      <pane ySplit="5" topLeftCell="A6" activePane="bottomLeft" state="frozen"/>
      <selection pane="bottomLeft" activeCell="A1" sqref="A1"/>
    </sheetView>
  </sheetViews>
  <sheetFormatPr baseColWidth="8" defaultRowHeight="15"/>
  <cols>
    <col width="8" customWidth="1" style="17" min="1" max="1"/>
    <col width="12" customWidth="1" style="17" min="2" max="2"/>
    <col width="14" customWidth="1" style="17" min="3" max="3"/>
    <col width="14" customWidth="1" style="17" min="4" max="4"/>
    <col width="10" customWidth="1" style="17" min="5" max="5"/>
    <col width="10" customWidth="1" style="17" min="6" max="6"/>
    <col width="52" customWidth="1" style="17" min="7" max="7"/>
  </cols>
  <sheetData>
    <row r="1" ht="20" customHeight="1" s="17">
      <c r="A1" s="49" t="inlineStr">
        <is>
          <t>AUTORIDAD NACIONAL DE INFRAESTRUCTURA — ANIN  |  DIME — SESDI</t>
        </is>
      </c>
    </row>
    <row r="2" ht="20" customHeight="1" s="17">
      <c r="A2" s="50" t="inlineStr">
        <is>
          <t>PROYECTO IN PIURA · CUI 2669244 · DIAGNÓSTICO TERRITORIAL — BLOQUE 19</t>
        </is>
      </c>
    </row>
    <row r="3" ht="20" customHeight="1" s="17">
      <c r="A3" s="51" t="inlineStr">
        <is>
          <t>REGISTRO FOTOGRÁFICO GEORREFERENCIADO — Inspección del 12 de agosto de 2026 · Ing. Héctor Cahuas Miller</t>
        </is>
      </c>
    </row>
    <row r="5" ht="30" customHeight="1" s="17">
      <c r="A5" s="52" t="inlineStr">
        <is>
          <t>Foto N°</t>
        </is>
      </c>
      <c r="B5" s="52" t="inlineStr">
        <is>
          <t>Hora</t>
        </is>
      </c>
      <c r="C5" s="52" t="inlineStr">
        <is>
          <t>UTM ESTE</t>
        </is>
      </c>
      <c r="D5" s="52" t="inlineStr">
        <is>
          <t>UTM NORTE</t>
        </is>
      </c>
      <c r="E5" s="52" t="inlineStr">
        <is>
          <t>Altitud
(msnm)</t>
        </is>
      </c>
      <c r="F5" s="52" t="inlineStr">
        <is>
          <t>Azimut de
toma</t>
        </is>
      </c>
      <c r="G5" s="52" t="inlineStr">
        <is>
          <t>Descripción del registro</t>
        </is>
      </c>
    </row>
    <row r="6" ht="42" customHeight="1" s="17">
      <c r="A6" s="53" t="inlineStr">
        <is>
          <t>F-01</t>
        </is>
      </c>
      <c r="B6" s="53" t="inlineStr">
        <is>
          <t>10:13:19</t>
        </is>
      </c>
      <c r="C6" s="53" t="n">
        <v>665020</v>
      </c>
      <c r="D6" s="53" t="n">
        <v>9390748</v>
      </c>
      <c r="E6" s="53" t="n">
        <v>2055.4</v>
      </c>
      <c r="F6" s="53" t="inlineStr">
        <is>
          <t>157° SE</t>
        </is>
      </c>
      <c r="G6" s="39" t="inlineStr">
        <is>
          <t>Trocha carrozable de acceso al CP Nuevo Progreso; al fondo, ladera del bloque con plantaciones dispersas de pino y matorral. Talud de corte izquierdo sin sostenimiento.</t>
        </is>
      </c>
    </row>
    <row r="7" ht="42" customHeight="1" s="17">
      <c r="A7" s="54" t="inlineStr">
        <is>
          <t>F-02</t>
        </is>
      </c>
      <c r="B7" s="54" t="inlineStr">
        <is>
          <t>10:14:17</t>
        </is>
      </c>
      <c r="C7" s="54" t="n">
        <v>664992</v>
      </c>
      <c r="D7" s="54" t="n">
        <v>9390773</v>
      </c>
      <c r="E7" s="54" t="n">
        <v>2054.6</v>
      </c>
      <c r="F7" s="54" t="inlineStr">
        <is>
          <t>137° SE</t>
        </is>
      </c>
      <c r="G7" s="41" t="inlineStr">
        <is>
          <t>Calle principal del CP Nuevo Progreso (viviendas, bodegas); ladera del bloque al fondo con mosaico de cultivos, pastizal y plantaciones forestales exóticas.</t>
        </is>
      </c>
    </row>
    <row r="8" ht="42" customHeight="1" s="17">
      <c r="A8" s="53" t="inlineStr">
        <is>
          <t>F-03</t>
        </is>
      </c>
      <c r="B8" s="53" t="inlineStr">
        <is>
          <t>10:15:18</t>
        </is>
      </c>
      <c r="C8" s="53" t="n">
        <v>664983</v>
      </c>
      <c r="D8" s="53" t="n">
        <v>9390801</v>
      </c>
      <c r="E8" s="53" t="n">
        <v>2050.1</v>
      </c>
      <c r="F8" s="53" t="inlineStr">
        <is>
          <t>107° E</t>
        </is>
      </c>
      <c r="G8" s="39" t="inlineStr">
        <is>
          <t>Parcela de cultivo de secano en ladera con muro de piedra de andenería rústica; borde superior con matorral de chilca y arbolado exótico.</t>
        </is>
      </c>
    </row>
    <row r="9" ht="42" customHeight="1" s="17">
      <c r="A9" s="54" t="inlineStr">
        <is>
          <t>F-04</t>
        </is>
      </c>
      <c r="B9" s="54" t="inlineStr">
        <is>
          <t>10:15:46</t>
        </is>
      </c>
      <c r="C9" s="54" t="n">
        <v>664973</v>
      </c>
      <c r="D9" s="54" t="n">
        <v>9390797</v>
      </c>
      <c r="E9" s="54" t="n">
        <v>2049.9</v>
      </c>
      <c r="F9" s="54" t="inlineStr">
        <is>
          <t>100° E</t>
        </is>
      </c>
      <c r="G9" s="41" t="inlineStr">
        <is>
          <t>Parcela de trigo en fase de maduración sobre ladera de fuerte pendiente; hilera superior de eucalipto y ciprés; pastizal de kikuyo en los bordes.</t>
        </is>
      </c>
    </row>
    <row r="10" ht="42" customHeight="1" s="17">
      <c r="A10" s="53" t="inlineStr">
        <is>
          <t>F-05</t>
        </is>
      </c>
      <c r="B10" s="53" t="inlineStr">
        <is>
          <t>10:15:56</t>
        </is>
      </c>
      <c r="C10" s="53" t="n">
        <v>664974</v>
      </c>
      <c r="D10" s="53" t="n">
        <v>9390794</v>
      </c>
      <c r="E10" s="53" t="n">
        <v>2050.2</v>
      </c>
      <c r="F10" s="53" t="inlineStr">
        <is>
          <t>98° E</t>
        </is>
      </c>
      <c r="G10" s="39" t="inlineStr">
        <is>
          <t>Misma parcela de trigo, encuadre complementario; se aprecia el límite entre cultivo, pastizal y arbolado exótico en la parte alta de la ladera.</t>
        </is>
      </c>
    </row>
    <row r="11" ht="42" customHeight="1" s="17">
      <c r="A11" s="54" t="inlineStr">
        <is>
          <t>F-06</t>
        </is>
      </c>
      <c r="B11" s="54" t="inlineStr">
        <is>
          <t>10:15:59</t>
        </is>
      </c>
      <c r="C11" s="54" t="n">
        <v>664974</v>
      </c>
      <c r="D11" s="54" t="n">
        <v>9390794</v>
      </c>
      <c r="E11" s="54" t="n">
        <v>2050.1</v>
      </c>
      <c r="F11" s="54" t="inlineStr">
        <is>
          <t>131° SE</t>
        </is>
      </c>
      <c r="G11" s="41" t="inlineStr">
        <is>
          <t>Trocha carrozable y viviendas del CP; talud de corte con material suelto y vegetación arbustiva de recolonización.</t>
        </is>
      </c>
    </row>
    <row r="12" ht="42" customHeight="1" s="17">
      <c r="A12" s="53" t="inlineStr">
        <is>
          <t>F-07</t>
        </is>
      </c>
      <c r="B12" s="53" t="inlineStr">
        <is>
          <t>10:16:27</t>
        </is>
      </c>
      <c r="C12" s="53" t="n">
        <v>664978</v>
      </c>
      <c r="D12" s="53" t="n">
        <v>9390787</v>
      </c>
      <c r="E12" s="53" t="n">
        <v>2050.3</v>
      </c>
      <c r="F12" s="53" t="inlineStr">
        <is>
          <t>230° SW</t>
        </is>
      </c>
      <c r="G12" s="39" t="inlineStr">
        <is>
          <t>Caja de reunión / válvulas y estructura de almacenamiento del sistema de agua potable del CP Nuevo Progreso, colindante al límite NO del bloque.</t>
        </is>
      </c>
    </row>
    <row r="13" ht="42" customHeight="1" s="17">
      <c r="A13" s="54" t="inlineStr">
        <is>
          <t>F-08</t>
        </is>
      </c>
      <c r="B13" s="54" t="inlineStr">
        <is>
          <t>10:17:37</t>
        </is>
      </c>
      <c r="C13" s="54" t="n">
        <v>664998</v>
      </c>
      <c r="D13" s="54" t="n">
        <v>9390771</v>
      </c>
      <c r="E13" s="54" t="n">
        <v>2053</v>
      </c>
      <c r="F13" s="54" t="inlineStr">
        <is>
          <t>164° S</t>
        </is>
      </c>
      <c r="G13" s="41" t="inlineStr">
        <is>
          <t>Corte de talud vertical inmediatamente contiguo a vivienda; material coluvial suelto sin obra de sostenimiento — condición de exposición y fragilidad.</t>
        </is>
      </c>
    </row>
    <row r="14" ht="42" customHeight="1" s="17">
      <c r="A14" s="53" t="inlineStr">
        <is>
          <t>F-09</t>
        </is>
      </c>
      <c r="B14" s="53" t="inlineStr">
        <is>
          <t>10:18:30</t>
        </is>
      </c>
      <c r="C14" s="53" t="n">
        <v>665034</v>
      </c>
      <c r="D14" s="53" t="n">
        <v>9390736</v>
      </c>
      <c r="E14" s="53" t="n">
        <v>2057.1</v>
      </c>
      <c r="F14" s="53" t="inlineStr">
        <is>
          <t>127° SE</t>
        </is>
      </c>
      <c r="G14" s="39" t="inlineStr">
        <is>
          <t>Trocha carrozable, vivienda al pie de talud y ladera del bloque con plantaciones de pino y eucalipto sobre mosaico agrícola.</t>
        </is>
      </c>
    </row>
    <row r="15" ht="42" customHeight="1" s="17">
      <c r="A15" s="54" t="inlineStr">
        <is>
          <t>F-10</t>
        </is>
      </c>
      <c r="B15" s="54" t="inlineStr">
        <is>
          <t>10:18:43</t>
        </is>
      </c>
      <c r="C15" s="54" t="n">
        <v>665030</v>
      </c>
      <c r="D15" s="54" t="n">
        <v>9390737</v>
      </c>
      <c r="E15" s="54" t="n">
        <v>2056.4</v>
      </c>
      <c r="F15" s="54" t="inlineStr">
        <is>
          <t>95° E</t>
        </is>
      </c>
      <c r="G15" s="41" t="inlineStr">
        <is>
          <t>Talud de corte con desprendimiento reciente: material de suelo y gravas depositado sobre la plataforma vial. Evidencia de remoción en masa activa.</t>
        </is>
      </c>
    </row>
    <row r="16" ht="42" customHeight="1" s="17">
      <c r="A16" s="53" t="inlineStr">
        <is>
          <t>F-11</t>
        </is>
      </c>
      <c r="B16" s="53" t="inlineStr">
        <is>
          <t>10:19:26</t>
        </is>
      </c>
      <c r="C16" s="53" t="n">
        <v>665040</v>
      </c>
      <c r="D16" s="53" t="n">
        <v>9390735</v>
      </c>
      <c r="E16" s="53" t="n">
        <v>2054.6</v>
      </c>
      <c r="F16" s="53" t="inlineStr">
        <is>
          <t>71° E</t>
        </is>
      </c>
      <c r="G16" s="39" t="inlineStr">
        <is>
          <t>Talud erosionado con incisión incipiente por escorrentía concentrada y matorral de chilca en recolonización; bloques y gravas al pie del corte.</t>
        </is>
      </c>
    </row>
    <row r="18" ht="40" customHeight="1" s="17">
      <c r="A18" s="43" t="inlineStr">
        <is>
          <t>Coordenadas UTM WGS84 Zona 17S (EPSG:32717), tomadas con GPS de smartphone con sello impreso en imagen. Las 11 estaciones se distribuyen en la franja de pie de ladera (2 049 – 2 057 msnm) accesible desde la trocha carrozable; el sector medio y alto del bloque (hasta ~2 500 msnm) no fue recorrido.</t>
        </is>
      </c>
    </row>
  </sheetData>
  <mergeCells count="4">
    <mergeCell ref="A3:G3"/>
    <mergeCell ref="A2:G2"/>
    <mergeCell ref="A1:G1"/>
    <mergeCell ref="A18:G18"/>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2026-05-08T03:16:44Z</dcterms:created>
  <dcterms:modified xmlns:dcterms="http://purl.org/dc/terms/" xmlns:xsi="http://www.w3.org/2001/XMLSchema-instance" xsi:type="dcterms:W3CDTF">2026-09-07T01:05:15Z</dcterms:modified>
  <cp:lastModifiedBy>Hector Salomón Cahuas Miller</cp:lastModifiedBy>
  <cp:revision>0</cp:revision>
</cp:coreProperties>
</file>