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ll\Downloads\DIAGNOSTICO BLOQUE 44\"/>
    </mc:Choice>
  </mc:AlternateContent>
  <xr:revisionPtr revIDLastSave="0" documentId="13_ncr:1_{644DB16E-7A9F-4500-A443-92E02F8AD91C}" xr6:coauthVersionLast="47" xr6:coauthVersionMax="47" xr10:uidLastSave="{00000000-0000-0000-0000-000000000000}"/>
  <bookViews>
    <workbookView xWindow="-108" yWindow="-108" windowWidth="23256" windowHeight="12456" tabRatio="500" activeTab="4" xr2:uid="{00000000-000D-0000-FFFF-FFFF00000000}"/>
  </bookViews>
  <sheets>
    <sheet name="F-DT-01" sheetId="1" r:id="rId1"/>
    <sheet name="F-DT-02" sheetId="2" r:id="rId2"/>
    <sheet name="F-DT-03" sheetId="3" r:id="rId3"/>
    <sheet name="F-DT-04" sheetId="4" r:id="rId4"/>
    <sheet name="F-DT-05" sheetId="5" r:id="rId5"/>
    <sheet name="Bloques V4" sheetId="6" r:id="rId6"/>
    <sheet name="_Listas" sheetId="7" r:id="rId7"/>
  </sheets>
  <definedNames>
    <definedName name="lst_Abundancia">_Listas!$U$4:$U$8</definedName>
    <definedName name="lst_CalidadAgua">_Listas!$AD$4:$AD$8</definedName>
    <definedName name="lst_CategoriaIndicadora">_Listas!$V$4:$V$9</definedName>
    <definedName name="lst_CausaCarcava">_Listas!$I$4:$I$12</definedName>
    <definedName name="lst_CodigoBloque">'Bloques V4'!$A$2:$A$128</definedName>
    <definedName name="lst_EstadoCarcava">_Listas!$H$4:$H$8</definedName>
    <definedName name="lst_EstadoConservacion">_Listas!$M$4:$M$9</definedName>
    <definedName name="lst_EstadoSanitario">_Listas!$P$4:$P$9</definedName>
    <definedName name="lst_EstadoUICN">_Listas!$W$4:$W$13</definedName>
    <definedName name="lst_Estrato">_Listas!$S$4:$S$11</definedName>
    <definedName name="lst_Exposicion">_Listas!$D$4:$D$12</definedName>
    <definedName name="lst_Fenologia">_Listas!$Q$4:$Q$8</definedName>
    <definedName name="lst_FormaTerreno">_Listas!$A$4:$A$8</definedName>
    <definedName name="lst_Intensidad">_Listas!$X$4:$X$8</definedName>
    <definedName name="lst_ModalidadAcceso">_Listas!$AE$4:$AE$9</definedName>
    <definedName name="lst_NivelErosion">_Listas!$F$4:$F$9</definedName>
    <definedName name="lst_NivelInd">_Listas!$Y$4:$Y$6</definedName>
    <definedName name="lst_NivelTransitabilidad">_Listas!$AG$4:$AG$6</definedName>
    <definedName name="lst_Operador">_Listas!$AI$4:$AI$9</definedName>
    <definedName name="lst_Origen">_Listas!$T$4:$T$7</definedName>
    <definedName name="lst_PatronCarcavas">_Listas!$J$4:$J$8</definedName>
    <definedName name="lst_PosicionFisio">_Listas!$C$4:$C$12</definedName>
    <definedName name="lst_RangoAltitud">_Listas!$E$4:$E$10</definedName>
    <definedName name="lst_RangoPendiente">_Listas!$B$4:$B$9</definedName>
    <definedName name="lst_Regeneracion">_Listas!$O$4:$O$7</definedName>
    <definedName name="lst_RegimenHidrico">_Listas!$AC$4:$AC$8</definedName>
    <definedName name="lst_Reversibilidad">_Listas!$AA$4:$AA$7</definedName>
    <definedName name="lst_SenalCelular">_Listas!$AH$4:$AH$7</definedName>
    <definedName name="lst_SiNo">_Listas!$AJ$4:$AJ$5</definedName>
    <definedName name="lst_SiNoNA">_Listas!$AK$4:$AK$6</definedName>
    <definedName name="lst_TipoCarcava">_Listas!$G$4:$G$8</definedName>
    <definedName name="lst_TipoCobertura">_Listas!$R$4:$R$14</definedName>
    <definedName name="lst_TipoEcosistema">_Listas!$L$4:$L$16</definedName>
    <definedName name="lst_TipoFuente">_Listas!$AB$4:$AB$13</definedName>
    <definedName name="lst_TipoVia">_Listas!$AF$4:$AF$10</definedName>
    <definedName name="lst_Urgencia">_Listas!$K$4:$K$7</definedName>
    <definedName name="lst_UsoSueloDom">_Listas!$N$4:$N$12</definedName>
    <definedName name="lst_Velocidad">_Listas!$Z$4:$Z$8</definedName>
    <definedName name="tbl_Bloques">'Bloques V4'!$A$2:$H$128</definedName>
    <definedName name="_xlnm.Print_Titles" localSheetId="0">'F-DT-01'!$1:$6</definedName>
    <definedName name="_xlnm.Print_Titles" localSheetId="1">'F-DT-02'!$1:$6</definedName>
    <definedName name="_xlnm.Print_Titles" localSheetId="2">'F-DT-03'!$1:$6</definedName>
    <definedName name="_xlnm.Print_Titles" localSheetId="3">'F-DT-04'!$1:$6</definedName>
    <definedName name="_xlnm.Print_Titles" localSheetId="4">'F-DT-05'!$1:$6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5" l="1"/>
  <c r="C10" i="5"/>
  <c r="G9" i="5"/>
  <c r="C10" i="3"/>
  <c r="G9" i="3"/>
  <c r="D10" i="2"/>
  <c r="J9" i="2"/>
  <c r="F12" i="1"/>
  <c r="B12" i="1"/>
  <c r="F11" i="1"/>
  <c r="B11" i="1"/>
  <c r="F10" i="1"/>
  <c r="C11" i="4"/>
</calcChain>
</file>

<file path=xl/sharedStrings.xml><?xml version="1.0" encoding="utf-8"?>
<sst xmlns="http://schemas.openxmlformats.org/spreadsheetml/2006/main" count="1358" uniqueCount="703">
  <si>
    <t>AUTORIDAD NACIONAL DE INFRAESTRUCTURA — ANIN</t>
  </si>
  <si>
    <t>DIME — Dirección de Intervenciones Multisectoriales y de Emergencia  |  SESDI — Subdirección de Estudios de Inversión</t>
  </si>
  <si>
    <t>PROYECTO IN PIURA  |  CUI 2669244  |  Recuperación de servicios de regulación de riesgos naturales y regulación hídrica — Cuenca Alta del Río Piura</t>
  </si>
  <si>
    <t>F-DT-01: DATOS GENERALES Y FISIOGRAFÍA DEL BLOQUE</t>
  </si>
  <si>
    <t>Identificación del bloque e inventario rápido de parámetros fisiográficos observados a escala del bloque. Base para todos los formatos F-DT siguientes.</t>
  </si>
  <si>
    <t>★ Campos obligatorios marcados con *  |  Celdas naranjas = ingreso manual  |  Celdas grises = autocalculadas (NO modificar)  |  Despliegue las flechas para elegir opciones de las listas.</t>
  </si>
  <si>
    <t>1. DATOS GENERALES Y LOCALIZACIÓN</t>
  </si>
  <si>
    <t>Fecha (dd-mm-aaaa) *</t>
  </si>
  <si>
    <t>22-07-2026</t>
  </si>
  <si>
    <t>Hora de registro</t>
  </si>
  <si>
    <t>15:00 - 15:24</t>
  </si>
  <si>
    <t>Brigada / Responsable *</t>
  </si>
  <si>
    <t>Ing. Hector S. Cahuas Miller</t>
  </si>
  <si>
    <t>Ficha N° (correlativo)</t>
  </si>
  <si>
    <t>F-DT-01/B44</t>
  </si>
  <si>
    <t>Código del Bloque *</t>
  </si>
  <si>
    <t>44</t>
  </si>
  <si>
    <t>Código de Microcuenca</t>
  </si>
  <si>
    <t>Provincia (auto)</t>
  </si>
  <si>
    <t>Distrito (auto)</t>
  </si>
  <si>
    <t>Zona del bloque (auto)</t>
  </si>
  <si>
    <t>Área del bloque (ha) — auto</t>
  </si>
  <si>
    <t>UTM ESTE punto de muestreo (m) *</t>
  </si>
  <si>
    <t>UTM NORTE punto de muestreo (m) *</t>
  </si>
  <si>
    <t>Altitud GPS (msnm) *</t>
  </si>
  <si>
    <t>Por verificar</t>
  </si>
  <si>
    <t>Centro poblado más cercano</t>
  </si>
  <si>
    <t>CRUZ DE PIEDRA</t>
  </si>
  <si>
    <t>Comunidad Campesina (si aplica)</t>
  </si>
  <si>
    <t>2. CARACTERIZACIÓN FISIOGRÁFICA DEL BLOQUE</t>
  </si>
  <si>
    <t>Forma predominante del terreno *</t>
  </si>
  <si>
    <t>Montañoso</t>
  </si>
  <si>
    <t>Rango de pendiente dominante *</t>
  </si>
  <si>
    <t>25-50% (Mod. escarpado)</t>
  </si>
  <si>
    <t>Posición fisiográfica *</t>
  </si>
  <si>
    <t>Ladera alta</t>
  </si>
  <si>
    <t>Exposición / Orientación dominante *</t>
  </si>
  <si>
    <t>Oeste</t>
  </si>
  <si>
    <t>Rango altitudinal del bloque *</t>
  </si>
  <si>
    <t>3000-3500 m (Puna baja)</t>
  </si>
  <si>
    <t>Paisaje dominante (descripción libre)</t>
  </si>
  <si>
    <t>Altiplanicie y laderas altas de páramo/jalca con pajonal continuo de macollos, arbustos bajos dispersos y afloramientos rocosos; parches de matorral siempreverde en cabeceras de quebrada y depresiones húmedas. Cimas redondeadas por encima del nivel del mar de nubes al momento de la visita.</t>
  </si>
  <si>
    <t>3. INDICIOS DE REMOCIÓN EN MASA E INESTABILIDAD</t>
  </si>
  <si>
    <t>Presencia de afloramientos rocosos</t>
  </si>
  <si>
    <t>Sí</t>
  </si>
  <si>
    <t>Presencia de escarpes activos *</t>
  </si>
  <si>
    <t>No</t>
  </si>
  <si>
    <t>¿Reptación de suelo observada? *</t>
  </si>
  <si>
    <t>¿Deslizamientos antiguos observados?</t>
  </si>
  <si>
    <t>¿Remociones en masa activas? *</t>
  </si>
  <si>
    <t>OBSERVACIONES</t>
  </si>
  <si>
    <t>Verificación de campo del 22/07/2026 (15:00–15:24 h), recorrido de reconocimiento sobre el sector central-norte del bloque, entre los puntos 663788 E / 9400631 N y 663799 E / 9400943 N (UTM WGS84 17S). Centroide del bloque según catálogo Centroides_Bloques_V5: 663 636,85 E · 9 400 617,91 N. La altitud GPS no fue registrada por el equipo de campo y se consigna como "Por verificar"; a título referencial, el perfil de elevación de Google Earth sobre el recorrido arroja cotas entre 3 079 y 3 232 msnm (media 3 172 msnm), con el punto de control a 3 188 msnm. La exposición "Oeste" corresponde al sector muestreado, donde el transecto medido asciende de oeste a este; el bloque abarca además vertientes con drenaje hacia la quebrada del límite norte, por lo que la exposición dominante a escala de polígono queda pendiente de confirmación en GIS. Se observa reptación de suelo expresada como terracetas de pisoteo continuas en ladera; no se observaron escarpes activos, deslizamientos antiguos ni remociones en masa activas. Afloramientos rocosos presentes en cimas y crestas.</t>
  </si>
  <si>
    <t>F-DT-02: SUELO Y PROCESOS EROSIVOS (INCL. INVENTARIO DE CÁRCAVAS)</t>
  </si>
  <si>
    <t>Caracterización de procesos erosivos del suelo a escala de bloque + inventario georreferenciado de cárcavas/surcos. Insumo para diseño de obras de control de erosión.</t>
  </si>
  <si>
    <t>1. DATOS GENERALES</t>
  </si>
  <si>
    <t>Responsable *</t>
  </si>
  <si>
    <t>Código de Microcuenca (auto)</t>
  </si>
  <si>
    <t>Altitud (msnm)</t>
  </si>
  <si>
    <t>UTM ESTE punto de muestreo *</t>
  </si>
  <si>
    <t>UTM NORTE punto de muestreo *</t>
  </si>
  <si>
    <t>2. DESCRIPCIÓN DE PROCESOS EROSIVOS DEL SUELO</t>
  </si>
  <si>
    <t>Sellamiento / Costra superficial</t>
  </si>
  <si>
    <t>¿Compactación por pisoteo de ganado?</t>
  </si>
  <si>
    <t>¿Raíces expuestas en superficie?</t>
  </si>
  <si>
    <t>Nivel general de erosión observado *</t>
  </si>
  <si>
    <t>Ligera (laminar)</t>
  </si>
  <si>
    <t>3. INVENTARIO GEORREFERENCIADO DE CÁRCAVAS / SURCOS</t>
  </si>
  <si>
    <t>Registre una fila por cárcava o grupo de surcos homogéneos. Use los desplegables en columnas Tipo, Estado y Causa principal.</t>
  </si>
  <si>
    <t>Código
cárcava</t>
  </si>
  <si>
    <t>Tipo</t>
  </si>
  <si>
    <t>UTM ESTE
(inicio)</t>
  </si>
  <si>
    <t>UTM NORTE
(inicio)</t>
  </si>
  <si>
    <t>UTM ESTE
(fin)</t>
  </si>
  <si>
    <t>UTM NORTE
(fin)</t>
  </si>
  <si>
    <t>Long.
(m)</t>
  </si>
  <si>
    <t>Prof.
med. (m)</t>
  </si>
  <si>
    <t>Ancho
med. (m)</t>
  </si>
  <si>
    <t>Estado /
Actividad</t>
  </si>
  <si>
    <t>Causa
principal</t>
  </si>
  <si>
    <t>Cód.
Fotografía</t>
  </si>
  <si>
    <t>4. SÍNTESIS DE PROCESOS EROSIVOS DEL BLOQUE</t>
  </si>
  <si>
    <t>Nivel general de erosión (síntesis) *</t>
  </si>
  <si>
    <t>N° total de cárcavas registradas</t>
  </si>
  <si>
    <t>Longitud total de cárcavas (m)</t>
  </si>
  <si>
    <t>% del bloque afectado por cárcavas</t>
  </si>
  <si>
    <t>Erosión laminar observada (%)</t>
  </si>
  <si>
    <t>Patrón de cárcavas dominante</t>
  </si>
  <si>
    <t>Presencia de socavamiento de cauce</t>
  </si>
  <si>
    <t>Urgencia de control</t>
  </si>
  <si>
    <t>Media</t>
  </si>
  <si>
    <t>No se registraron cárcavas ni surcos definidos dentro del sector recorrido; el inventario georreferenciado se entrega vacío. El proceso erosivo dominante es el terraceteo por pisoteo de ganado (terracetas paralelas al contorno con banquetas de suelo descubierto), asociado a erosión laminar incipiente entre macollos. No se efectuaron mediciones instrumentales de longitud, profundidad ni ancho. El porcentaje de erosión laminar y la densidad de cárcavas por hectárea quedan por verificar mediante levantamiento detallado. La urgencia de control se califica como Media: no hay cárcavas activas, pero la pérdida de la capa orgánica del páramo por pisoteo continuo es un proceso de difícil reversión.</t>
  </si>
  <si>
    <t>F-DT-03: ECOSISTEMA: COMPOSICIÓN, ESTRUCTURA Y VALOR ECOLÓGICO</t>
  </si>
  <si>
    <t>Caracterización ecológica del bloque: tipo de ecosistema, estado de conservación, estructura vertical, composición florística rápida y registro de especies clave/indicadoras.</t>
  </si>
  <si>
    <t>Fecha *</t>
  </si>
  <si>
    <t>Microcuenca (auto)</t>
  </si>
  <si>
    <t>Parcela de muestreo</t>
  </si>
  <si>
    <t>Recorrido de reconocimiento (sin parcela permanente)</t>
  </si>
  <si>
    <t>Dimensiones de parcela (m × m)</t>
  </si>
  <si>
    <t>No aplica</t>
  </si>
  <si>
    <t>Pendiente promedio de la parcela (%)</t>
  </si>
  <si>
    <t>Cobertura vegetal total estimada (%) *</t>
  </si>
  <si>
    <t>UTM ESTE esquina inferior *</t>
  </si>
  <si>
    <t>UTM NORTE esquina inferior *</t>
  </si>
  <si>
    <t>2. CLASIFICACIÓN DEL ECOSISTEMA (UP)</t>
  </si>
  <si>
    <t>Tipo de ecosistema MINAM (dominante) *</t>
  </si>
  <si>
    <t>Páramo</t>
  </si>
  <si>
    <t>Superficie del ecosistema en el bloque (ha)</t>
  </si>
  <si>
    <t>Estado de conservación general *</t>
  </si>
  <si>
    <t>Medianamente alterado</t>
  </si>
  <si>
    <t>Uso actual dominante del suelo *</t>
  </si>
  <si>
    <t>Pastoreo extensivo</t>
  </si>
  <si>
    <t>3. ESTRUCTURA DEL ECOSISTEMA</t>
  </si>
  <si>
    <t>Cobertura del dosel arbóreo (%)</t>
  </si>
  <si>
    <t>Cobertura arbustiva (%)</t>
  </si>
  <si>
    <t>Cobertura herbácea-graminoide (%)</t>
  </si>
  <si>
    <t>Cobertura de hojarasca (%)</t>
  </si>
  <si>
    <t>Cobertura de suelo desnudo (%)</t>
  </si>
  <si>
    <t>Altura promedio estrato dominante (m)</t>
  </si>
  <si>
    <t>Altura máxima observada (m)</t>
  </si>
  <si>
    <t>DAP promedio árboles DAP≥10 cm (cm)</t>
  </si>
  <si>
    <t>Regeneración natural observada *</t>
  </si>
  <si>
    <t>Estado sanitario general del dosel *</t>
  </si>
  <si>
    <t>Presencia de epífitas (cualitativa)</t>
  </si>
  <si>
    <t>Fenología dominante (época de visita)</t>
  </si>
  <si>
    <t>Vegetativo</t>
  </si>
  <si>
    <t>Tipo de cobertura vegetal dominante *</t>
  </si>
  <si>
    <t>Pastizal natural</t>
  </si>
  <si>
    <t>4. COMPOSICIÓN FLORÍSTICA — Registro rápido por estrato (mín. 15 especies)</t>
  </si>
  <si>
    <t>ESTRATO: Arbóreo sup(&gt;15 m) | Arbóreo med(8-15 m) | Arbóreo bajo(4-8 m) | Arbustivo alto(1.5-4 m) | Arbustivo bajo(0.5-1.5 m) | Herbáceo(&lt;0.5 m) | Epífito | Trepador  ——  ORIGEN: Nativa | Endémica | Introducida | Invasora  ——  ABUNDANCIA: Dominante(&gt;40%) | Abundante(20-40%) | Frecuente(5-20%) | Ocasional(1-5%) | Rara(&lt;1%)</t>
  </si>
  <si>
    <t>N°</t>
  </si>
  <si>
    <t>Nombre común/local</t>
  </si>
  <si>
    <t>Nombre científico
(preliminar)</t>
  </si>
  <si>
    <t>Familia</t>
  </si>
  <si>
    <t>Estrato</t>
  </si>
  <si>
    <t>Origen</t>
  </si>
  <si>
    <t>Abundancia</t>
  </si>
  <si>
    <t>DAP (cm)
[árboles]</t>
  </si>
  <si>
    <t>Altura (m)</t>
  </si>
  <si>
    <t>Paja / pajonal (macollo graminoide)</t>
  </si>
  <si>
    <t>Por determinar</t>
  </si>
  <si>
    <t>Poaceae (por confirmar)</t>
  </si>
  <si>
    <t>Herbáceo (&lt;0.5 m)</t>
  </si>
  <si>
    <t>Nativa</t>
  </si>
  <si>
    <t>Dominante (&gt;40%)</t>
  </si>
  <si>
    <t>Subarbusto postrado de follaje rojizo</t>
  </si>
  <si>
    <t>Frecuente (5-20%)</t>
  </si>
  <si>
    <t>Cojin verde (hierba en almohadilla / briofita)</t>
  </si>
  <si>
    <t>Arbusto resinoso de hoja pequena verde-amarillenta</t>
  </si>
  <si>
    <t>Arbustivo bajo (0.5-1.5 m)</t>
  </si>
  <si>
    <t>Arbusto de hoja coriacea verde oscuro</t>
  </si>
  <si>
    <t>Ocasional (1-5%)</t>
  </si>
  <si>
    <t>Arbusto de flores blancas</t>
  </si>
  <si>
    <t>Liquenes foliosos y costrosos sobre suelo y roca</t>
  </si>
  <si>
    <t>Herbacea de flor amarilla</t>
  </si>
  <si>
    <t>Rara (&lt;1%)</t>
  </si>
  <si>
    <t>Parche de matorral denso siempreverde (borde de quebrada)</t>
  </si>
  <si>
    <t>Arbustivo alto (1.5-4 m)</t>
  </si>
  <si>
    <t>Arbolito aislado en cabecera de quebrada</t>
  </si>
  <si>
    <t>5. ESPECIES CLAVE / INDICADORAS</t>
  </si>
  <si>
    <t>Nombre científico o común</t>
  </si>
  <si>
    <t>Categoría</t>
  </si>
  <si>
    <t>Estado UICN / D.S. 043</t>
  </si>
  <si>
    <t>UTM ESTE</t>
  </si>
  <si>
    <t>UTM NORTE</t>
  </si>
  <si>
    <t>N° indiv.</t>
  </si>
  <si>
    <t>Foto N°</t>
  </si>
  <si>
    <t>Observación</t>
  </si>
  <si>
    <t>El bloque corresponde a Páramo (26,89 ha) con un componente menor de Matorral andino (1,34 ha), según REPORTE_ECOSISTEMAS_BLOQUES_V5; total 28,23 ha. No existe estrato arbóreo, por lo que los campos de regeneración natural, estado sanitario del dosel y DAP no aplican y se dejan en blanco. Las coberturas son estimaciones oculares apoyadas en el índice MSAVI 2024 (valor de bloque: 0,511). La lista florística es PRELIMINAR y se registra por morfotipos observados; no se alcanzó el mínimo de 15 especies porque la visita fue un recorrido de reconocimiento sin colecta botánica. Los nombres científicos, familias y categorías de conservación (D.S. 043-2006-AG) quedan sujetos a determinación botánica formal y se consignan como "Por determinar". La sección de especies clave/indicadoras se entrega vacía por la misma razón.</t>
  </si>
  <si>
    <t>F-DT-04: CAUSAS E INDICADORES DE DEGRADACIÓN DEL ECOSISTEMA</t>
  </si>
  <si>
    <t>Identificación y ponderación de causas directas de degradación (antrópicas y naturales) y registro de indicadores cuantitativos. Permite priorizar medidas de mitigación y gobernanza.</t>
  </si>
  <si>
    <t>2. MATRIZ DE CAUSAS DE DEGRADACIÓN</t>
  </si>
  <si>
    <t>PRESENCIA: Sí / No  |  INTENSIDAD: Nula / Ligera / Moderada / Fuerte / Muy fuerte  |  EXTENSIÓN: % del bloque afectado  |  ANTIGÜEDAD: años aproximados.</t>
  </si>
  <si>
    <t>Causa / Factor de degradación</t>
  </si>
  <si>
    <t>Presencia</t>
  </si>
  <si>
    <t>Intensidad</t>
  </si>
  <si>
    <t>Extensión
(% bloque)</t>
  </si>
  <si>
    <t>Antigüedad
(años aprox.)</t>
  </si>
  <si>
    <t>Evidencia observada / Descripción</t>
  </si>
  <si>
    <t>Sobrepastoreo (caprino/vacuno)</t>
  </si>
  <si>
    <t>Moderada</t>
  </si>
  <si>
    <t>Terracetas de pisoteo continuas y paralelas al contorno en toda la ladera muestreada, con banquetas de suelo descubierto; sendas de ganado. Carga ganadera (UA/ha) por verificar.</t>
  </si>
  <si>
    <t>Tala para leña</t>
  </si>
  <si>
    <t>Nula</t>
  </si>
  <si>
    <t>Ecosistema no arboreo; sin extraccion de lena observada</t>
  </si>
  <si>
    <t>Tala para carbón</t>
  </si>
  <si>
    <t>Sin evidencia de hornos ni carbonizacion</t>
  </si>
  <si>
    <t>Tala para madera</t>
  </si>
  <si>
    <t>Sin individuos arboreos aprovechables</t>
  </si>
  <si>
    <t>Quema (renovación de pastos)</t>
  </si>
  <si>
    <t>Presencia no concluyente: se observan manchas de coloración pardo-rojiza que podrían corresponder a subarbustos de follaje rojizo o a quema antigua. Requiere verificación con focos de calor y entrevista comunal.</t>
  </si>
  <si>
    <t>Quema accidental / Incendio</t>
  </si>
  <si>
    <t>Por verificar; sin cicatriz de incendio inequivoca en el recorrido</t>
  </si>
  <si>
    <t>Cambio de uso a agricultura</t>
  </si>
  <si>
    <t>Sin parcelas agricolas dentro del bloque</t>
  </si>
  <si>
    <t>Cambio de uso a pastoreo</t>
  </si>
  <si>
    <t>El pastoreo ocurre sobre pastizal natural, sin conversion de uso</t>
  </si>
  <si>
    <t>Expansión urbana / vial</t>
  </si>
  <si>
    <t>Sin edificaciones; camino de herradura adyacente al limite occidental</t>
  </si>
  <si>
    <t>Minería informal</t>
  </si>
  <si>
    <t>Sin labores mineras observadas</t>
  </si>
  <si>
    <t>Extracción de áridos (cauces)</t>
  </si>
  <si>
    <t>Sin cauces con extraccion de material</t>
  </si>
  <si>
    <t>Especies invasoras</t>
  </si>
  <si>
    <t>Por verificar; requiere determinacion botanica</t>
  </si>
  <si>
    <t>Erosión natural severa</t>
  </si>
  <si>
    <t>Sin carcavas ni escarpes activos observados</t>
  </si>
  <si>
    <t>Sequía prolongada / CC</t>
  </si>
  <si>
    <t>Por verificar; requiere serie climatica SENAMHI</t>
  </si>
  <si>
    <t>Plagas o enfermedades forestales</t>
  </si>
  <si>
    <t>Sin sintomas de plagas observados</t>
  </si>
  <si>
    <t>Otro</t>
  </si>
  <si>
    <t>Pérdida progresiva de la capa orgánica del páramo por pisoteo, con reducción de la capacidad de infiltración y almacenamiento hídrico. Requiere cuantificación específica.</t>
  </si>
  <si>
    <t>3. INDICADORES CUANTITATIVOS DE DEGRADACIÓN</t>
  </si>
  <si>
    <t>Combina observación directa con información de gabinete (MSAVI, NDVI, Theil-Sen). NIVEL: Alto / Medio / Bajo según umbrales.</t>
  </si>
  <si>
    <t>Indicador</t>
  </si>
  <si>
    <t>Unidad</t>
  </si>
  <si>
    <t>Valor</t>
  </si>
  <si>
    <t>Fuente</t>
  </si>
  <si>
    <t>Umbral / Referencia</t>
  </si>
  <si>
    <t>Nivel</t>
  </si>
  <si>
    <t>Cobertura vegetal total</t>
  </si>
  <si>
    <t>%</t>
  </si>
  <si>
    <t>Estimacion ocular de campo + MSAVI 2024 (0.511)</t>
  </si>
  <si>
    <t>&gt;60% bueno; 30-60% medio; &lt;30% malo</t>
  </si>
  <si>
    <t>Alto</t>
  </si>
  <si>
    <t>Porcentaje de suelo desnudo</t>
  </si>
  <si>
    <t>Estimacion ocular de campo</t>
  </si>
  <si>
    <t>&lt;10% bueno; 10-30% medio; &gt;30% malo</t>
  </si>
  <si>
    <t>Bajo</t>
  </si>
  <si>
    <t>Densidad de cárcavas</t>
  </si>
  <si>
    <t>N°/ha</t>
  </si>
  <si>
    <t>Observacion directa (sin carcavas registradas)</t>
  </si>
  <si>
    <t>0 nulo; 1-3 medio; &gt;3 alto</t>
  </si>
  <si>
    <t>Presencia de especies invasoras</t>
  </si>
  <si>
    <t>% área</t>
  </si>
  <si>
    <t>Requiere determinacion botanica</t>
  </si>
  <si>
    <t>&lt;5% bueno; 5-20% medio; &gt;20% alto</t>
  </si>
  <si>
    <t>Carga ganadera estimada</t>
  </si>
  <si>
    <t>UA/ha</t>
  </si>
  <si>
    <t>Requiere censo pecuario / entrevista comunal</t>
  </si>
  <si>
    <t>Según tipo de ecosistema</t>
  </si>
  <si>
    <t>Frecuencia de quemas últimos 5 años</t>
  </si>
  <si>
    <t>Requiere serie de focos de calor y entrevista comunal</t>
  </si>
  <si>
    <t>0 nulo; 1-2 medio; &gt;2 alto</t>
  </si>
  <si>
    <t>% área con pendiente &gt;50%</t>
  </si>
  <si>
    <t>Perfil de elevacion Google Earth (pend. media 28.8%, max 56.4%)</t>
  </si>
  <si>
    <t>Factor de susceptibilidad</t>
  </si>
  <si>
    <t>Distancia a vía vecinal más cercana</t>
  </si>
  <si>
    <t>m</t>
  </si>
  <si>
    <t>Camino adyacente al limite occidental; medicion GIS pendiente</t>
  </si>
  <si>
    <t>A menor distancia → mayor presión</t>
  </si>
  <si>
    <t>4. SÍNTESIS DIAGNÓSTICA DE LA DEGRADACIÓN</t>
  </si>
  <si>
    <t>Principales causas directas (texto libre)</t>
  </si>
  <si>
    <t>Sobrepastoreo extensivo con terraceteo por pisoteo y compactación superficial, sobre un ecosistema de páramo de alta fragilidad y lenta recuperación.</t>
  </si>
  <si>
    <t>Principal causa subyacente (motor)</t>
  </si>
  <si>
    <t>Ausencia de un régimen de manejo del pastizal altoandino (sin control de carga, sin rotación ni clausura), en terrenos de uso comunal/privado sin instrumento de gestión.</t>
  </si>
  <si>
    <t>Velocidad de degradación percibida</t>
  </si>
  <si>
    <t>Lenta</t>
  </si>
  <si>
    <t>Reversibilidad técnica</t>
  </si>
  <si>
    <t>Parcialmente reversible</t>
  </si>
  <si>
    <t>Urgencia de intervención</t>
  </si>
  <si>
    <t>Alta</t>
  </si>
  <si>
    <t>La urgencia de intervención se califica como Alta pese a que la cobertura vegetal se mantiene elevada (≈85 %): el páramo es un ecosistema clave para la regulación hídrica de la cabecera de la microcuenca C1076-Q9586 y su degradación por pisoteo es de reversión lenta y costosa. La velocidad de degradación se califica como Lenta y la reversibilidad como Parcialmente reversible. Los indicadores de especies invasoras, carga ganadera, frecuencia de quemas y distancia a vía quedan como "Por verificar": no fueron medidos instrumentalmente ni se dispone de fuente secundaria validada.</t>
  </si>
  <si>
    <t>F-DT-05: RECURSOS HÍDRICOS Y ACCESIBILIDAD</t>
  </si>
  <si>
    <t>Inventario rápido de fuentes de agua dentro o colindantes al bloque + condiciones logísticas de acceso y seguridad. Insumo para diseño hidráulico y planificación operativa de campo.</t>
  </si>
  <si>
    <t>2. INVENTARIO DE FUENTES DE AGUA (dentro o hasta 500 m del bloque)</t>
  </si>
  <si>
    <t>Use los desplegables en columnas Tipo de fuente, Régimen y Calidad aparente. DISTANCIA: medida en metros desde el límite del bloque a la fuente.</t>
  </si>
  <si>
    <t>Tipo de fuente</t>
  </si>
  <si>
    <t>Régimen</t>
  </si>
  <si>
    <t>Calidad
aparente</t>
  </si>
  <si>
    <t>Distancia
bloque (m)</t>
  </si>
  <si>
    <t>Uso observado / Observaciones</t>
  </si>
  <si>
    <t>3. ANÁLISIS HÍDRICO PRELIMINAR</t>
  </si>
  <si>
    <t>¿Bloque en zona de recarga hídrica?</t>
  </si>
  <si>
    <t>¿Zonas de humedad persistente observadas?</t>
  </si>
  <si>
    <t>¿Escorrentía concentrada observada?</t>
  </si>
  <si>
    <t>Distancia a captación poblacional más cercana (m)</t>
  </si>
  <si>
    <t>Nombre de la JASS o captación asociada</t>
  </si>
  <si>
    <t>¿Interferencia con obras de riego?</t>
  </si>
  <si>
    <t>Nombre del sistema de riego (si aplica)</t>
  </si>
  <si>
    <t>4. ACCESIBILIDAD Y LOGÍSTICA</t>
  </si>
  <si>
    <t>Modalidad de acceso al bloque *</t>
  </si>
  <si>
    <t>Vehicular + caminata &lt;30 min</t>
  </si>
  <si>
    <t>Vía principal de acceso (PE-/PI-/trocha) *</t>
  </si>
  <si>
    <t>Por verificar. Acceso referencial desde la capital distrital San Miguel de El Faique hacia el C.P. Cruz de Piedra, empalmando con camino de herradura hacia la zona de páramo.</t>
  </si>
  <si>
    <t>Tipo de vía final</t>
  </si>
  <si>
    <t>Camino de herradura</t>
  </si>
  <si>
    <t>Estado transitabilidad — época seca</t>
  </si>
  <si>
    <t>Estado transitabilidad — época lluviosa</t>
  </si>
  <si>
    <t>Tiempo desde capital distrital (min)</t>
  </si>
  <si>
    <t>Tiempo desde capital provincial (min)</t>
  </si>
  <si>
    <t>Señal celular</t>
  </si>
  <si>
    <t>Operador celular dominante</t>
  </si>
  <si>
    <t>Alojamiento rural disponible</t>
  </si>
  <si>
    <t>¿Requiere autorización de Ronda Campesina? *</t>
  </si>
  <si>
    <t>Nombre / Contacto responsable de Ronda</t>
  </si>
  <si>
    <t>No se identificaron manantiales, bofedales ni captaciones poblacionales dentro del sector recorrido, por lo que el inventario de fuentes se entrega vacío. La red hídrica cartográfica muestra una quebrada en el límite norte del bloque, pendiente de verificación en campo. Se confirma condición de zona de recarga: el bloque se ubica en cabecera de microcuenca por encima de los 3 000 msnm y durante la visita se registró inmersión en el nivel del mar de nubes, con parches de cojines y briofitas verdes entre terracetas que evidencian humedad persistente. La distancia a la captación poblacional más cercana, el nombre de la JASS, la interferencia con obras de riego, los tiempos de viaje, la transitabilidad estacional, la señal celular, el alojamiento rural y el contacto de la Ronda Campesina quedan por verificar. La modalidad de acceso y el tipo de vía final consignados son preliminares y requieren confirmación.</t>
  </si>
  <si>
    <t>codigo</t>
  </si>
  <si>
    <t>microcuenca</t>
  </si>
  <si>
    <t>provincia</t>
  </si>
  <si>
    <t>distrito</t>
  </si>
  <si>
    <t>zona</t>
  </si>
  <si>
    <t>este_utm</t>
  </si>
  <si>
    <t>norte_utm</t>
  </si>
  <si>
    <t>area_ha</t>
  </si>
  <si>
    <t>M9B1</t>
  </si>
  <si>
    <t>C1096-Q9545</t>
  </si>
  <si>
    <t>Morropon</t>
  </si>
  <si>
    <t>Chulucanas</t>
  </si>
  <si>
    <t>Z01</t>
  </si>
  <si>
    <t>M10B4</t>
  </si>
  <si>
    <t>C1096-Q9547</t>
  </si>
  <si>
    <t>25</t>
  </si>
  <si>
    <t>32</t>
  </si>
  <si>
    <t>C1096-Q9556</t>
  </si>
  <si>
    <t>22</t>
  </si>
  <si>
    <t>M17B1</t>
  </si>
  <si>
    <t>2</t>
  </si>
  <si>
    <t>C1096-Q9558</t>
  </si>
  <si>
    <t>M17B4</t>
  </si>
  <si>
    <t>M27B1</t>
  </si>
  <si>
    <t>C1096-Q9557</t>
  </si>
  <si>
    <t>3</t>
  </si>
  <si>
    <t>Ayabaca</t>
  </si>
  <si>
    <t>Frias</t>
  </si>
  <si>
    <t>Z02</t>
  </si>
  <si>
    <t>6</t>
  </si>
  <si>
    <t>36</t>
  </si>
  <si>
    <t>M17B7</t>
  </si>
  <si>
    <t>M17B6</t>
  </si>
  <si>
    <t>M17B10</t>
  </si>
  <si>
    <t>M17B5</t>
  </si>
  <si>
    <t>27</t>
  </si>
  <si>
    <t>39</t>
  </si>
  <si>
    <t>C1096-Q9564</t>
  </si>
  <si>
    <t>56</t>
  </si>
  <si>
    <t>12</t>
  </si>
  <si>
    <t>C1086-Q9570</t>
  </si>
  <si>
    <t>Santo Domingo</t>
  </si>
  <si>
    <t>Z03</t>
  </si>
  <si>
    <t>82</t>
  </si>
  <si>
    <t>13</t>
  </si>
  <si>
    <t>78</t>
  </si>
  <si>
    <t>11</t>
  </si>
  <si>
    <t>23</t>
  </si>
  <si>
    <t>15</t>
  </si>
  <si>
    <t>M19B7</t>
  </si>
  <si>
    <t>17</t>
  </si>
  <si>
    <t>M8B2</t>
  </si>
  <si>
    <t>57</t>
  </si>
  <si>
    <t>C1086-Q9576</t>
  </si>
  <si>
    <t>Chalaco</t>
  </si>
  <si>
    <t>Z04</t>
  </si>
  <si>
    <t>59</t>
  </si>
  <si>
    <t>M36B2</t>
  </si>
  <si>
    <t>Santa Catalina de Mossa</t>
  </si>
  <si>
    <t>42</t>
  </si>
  <si>
    <t>14</t>
  </si>
  <si>
    <t>58</t>
  </si>
  <si>
    <t>C1086-Q9569</t>
  </si>
  <si>
    <t>M19B2</t>
  </si>
  <si>
    <t>Z05</t>
  </si>
  <si>
    <t>M32B3</t>
  </si>
  <si>
    <t>M6B10</t>
  </si>
  <si>
    <t>C1077-Q9566</t>
  </si>
  <si>
    <t>Buenos Aires</t>
  </si>
  <si>
    <t>Z06</t>
  </si>
  <si>
    <t>M6B2-3</t>
  </si>
  <si>
    <t>M6B2-2</t>
  </si>
  <si>
    <t>M6B2-1</t>
  </si>
  <si>
    <t>5</t>
  </si>
  <si>
    <t>M1B1</t>
  </si>
  <si>
    <t>C1077-Q9580</t>
  </si>
  <si>
    <t>M18B1</t>
  </si>
  <si>
    <t>C1077-Q9579</t>
  </si>
  <si>
    <t>M3B9</t>
  </si>
  <si>
    <t>C1081-Q9582</t>
  </si>
  <si>
    <t>Salitral</t>
  </si>
  <si>
    <t>Z07</t>
  </si>
  <si>
    <t>M3B1</t>
  </si>
  <si>
    <t>M7B1</t>
  </si>
  <si>
    <t>C1076-Q9581</t>
  </si>
  <si>
    <t>M7B2</t>
  </si>
  <si>
    <t>M7B3</t>
  </si>
  <si>
    <t>M7B6</t>
  </si>
  <si>
    <t>M2B1</t>
  </si>
  <si>
    <t>C1076-Q9584</t>
  </si>
  <si>
    <t>7</t>
  </si>
  <si>
    <t>M2B5</t>
  </si>
  <si>
    <t>1</t>
  </si>
  <si>
    <t>M18B3</t>
  </si>
  <si>
    <t>M18B5</t>
  </si>
  <si>
    <t>M3B7</t>
  </si>
  <si>
    <t>San Juan de Bigote</t>
  </si>
  <si>
    <t>Z08</t>
  </si>
  <si>
    <t>M3B6</t>
  </si>
  <si>
    <t>77</t>
  </si>
  <si>
    <t>C1081-Q9583</t>
  </si>
  <si>
    <t>M3B5</t>
  </si>
  <si>
    <t>M3B3</t>
  </si>
  <si>
    <t>M3B8</t>
  </si>
  <si>
    <t>M11B3</t>
  </si>
  <si>
    <t>55</t>
  </si>
  <si>
    <t>C1086-Q9575</t>
  </si>
  <si>
    <t>Yamango</t>
  </si>
  <si>
    <t>Z09</t>
  </si>
  <si>
    <t>49</t>
  </si>
  <si>
    <t>52</t>
  </si>
  <si>
    <t>48</t>
  </si>
  <si>
    <t>46</t>
  </si>
  <si>
    <t>M28B2</t>
  </si>
  <si>
    <t>M28B3</t>
  </si>
  <si>
    <t>M28B4</t>
  </si>
  <si>
    <t>33</t>
  </si>
  <si>
    <t>C1081-Q9590</t>
  </si>
  <si>
    <t>Huancabamba</t>
  </si>
  <si>
    <t>Lalaquiz</t>
  </si>
  <si>
    <t>Z10</t>
  </si>
  <si>
    <t>38</t>
  </si>
  <si>
    <t>50</t>
  </si>
  <si>
    <t>34</t>
  </si>
  <si>
    <t>61</t>
  </si>
  <si>
    <t>37</t>
  </si>
  <si>
    <t>C1081-Q9591</t>
  </si>
  <si>
    <t>26</t>
  </si>
  <si>
    <t>64</t>
  </si>
  <si>
    <t>Z11</t>
  </si>
  <si>
    <t>54</t>
  </si>
  <si>
    <t>C1081-Q9591 (inferida)</t>
  </si>
  <si>
    <t>M30B5</t>
  </si>
  <si>
    <t>60</t>
  </si>
  <si>
    <t>Canchaque</t>
  </si>
  <si>
    <t>40</t>
  </si>
  <si>
    <t>30</t>
  </si>
  <si>
    <t>28</t>
  </si>
  <si>
    <t>62</t>
  </si>
  <si>
    <t>65</t>
  </si>
  <si>
    <t>21</t>
  </si>
  <si>
    <t>66</t>
  </si>
  <si>
    <t>24</t>
  </si>
  <si>
    <t>63</t>
  </si>
  <si>
    <t>79</t>
  </si>
  <si>
    <t>C1076-Q9587</t>
  </si>
  <si>
    <t>81</t>
  </si>
  <si>
    <t>C1076-Q9585</t>
  </si>
  <si>
    <t>M22B1</t>
  </si>
  <si>
    <t>C1076-Q9586</t>
  </si>
  <si>
    <t>San Miguel de El Faique</t>
  </si>
  <si>
    <t>Z12</t>
  </si>
  <si>
    <t>47</t>
  </si>
  <si>
    <t>75</t>
  </si>
  <si>
    <t>9</t>
  </si>
  <si>
    <t>43</t>
  </si>
  <si>
    <t>35</t>
  </si>
  <si>
    <t>67</t>
  </si>
  <si>
    <t>M20B1</t>
  </si>
  <si>
    <t>M2B8</t>
  </si>
  <si>
    <t>29</t>
  </si>
  <si>
    <t>C1076-Q9592</t>
  </si>
  <si>
    <t>Huarmaca</t>
  </si>
  <si>
    <t>Z13</t>
  </si>
  <si>
    <t>68</t>
  </si>
  <si>
    <t>53</t>
  </si>
  <si>
    <t>70</t>
  </si>
  <si>
    <t>31</t>
  </si>
  <si>
    <t>69</t>
  </si>
  <si>
    <t>72</t>
  </si>
  <si>
    <t>41</t>
  </si>
  <si>
    <t>73</t>
  </si>
  <si>
    <t>18</t>
  </si>
  <si>
    <t>74</t>
  </si>
  <si>
    <t>C1076-Q9588</t>
  </si>
  <si>
    <t>M12B1</t>
  </si>
  <si>
    <t>19</t>
  </si>
  <si>
    <t>M4B4</t>
  </si>
  <si>
    <t>C1076-Q9589</t>
  </si>
  <si>
    <t>Z14</t>
  </si>
  <si>
    <t>M4B3</t>
  </si>
  <si>
    <t>10</t>
  </si>
  <si>
    <t>C1076-Q9593</t>
  </si>
  <si>
    <t>16</t>
  </si>
  <si>
    <t>4</t>
  </si>
  <si>
    <t>51</t>
  </si>
  <si>
    <t>76</t>
  </si>
  <si>
    <t>80</t>
  </si>
  <si>
    <t>71</t>
  </si>
  <si>
    <t>8</t>
  </si>
  <si>
    <t>20</t>
  </si>
  <si>
    <t>Listas de opciones para validación de datos — IN Piura | Cada columna es un rango nombrado.</t>
  </si>
  <si>
    <t>lst_FormaTerreno</t>
  </si>
  <si>
    <t>lst_RangoPendiente</t>
  </si>
  <si>
    <t>lst_PosicionFisio</t>
  </si>
  <si>
    <t>lst_Exposicion</t>
  </si>
  <si>
    <t>lst_RangoAltitud</t>
  </si>
  <si>
    <t>lst_NivelErosion</t>
  </si>
  <si>
    <t>lst_TipoCarcava</t>
  </si>
  <si>
    <t>lst_EstadoCarcava</t>
  </si>
  <si>
    <t>lst_CausaCarcava</t>
  </si>
  <si>
    <t>lst_PatronCarcavas</t>
  </si>
  <si>
    <t>lst_Urgencia</t>
  </si>
  <si>
    <t>lst_TipoEcosistema</t>
  </si>
  <si>
    <t>lst_EstadoConservacion</t>
  </si>
  <si>
    <t>lst_UsoSueloDom</t>
  </si>
  <si>
    <t>lst_Regeneracion</t>
  </si>
  <si>
    <t>lst_EstadoSanitario</t>
  </si>
  <si>
    <t>lst_Fenologia</t>
  </si>
  <si>
    <t>lst_TipoCobertura</t>
  </si>
  <si>
    <t>lst_Estrato</t>
  </si>
  <si>
    <t>lst_Origen</t>
  </si>
  <si>
    <t>lst_Abundancia</t>
  </si>
  <si>
    <t>lst_CategoriaIndicadora</t>
  </si>
  <si>
    <t>lst_EstadoUICN</t>
  </si>
  <si>
    <t>lst_Intensidad</t>
  </si>
  <si>
    <t>lst_NivelInd</t>
  </si>
  <si>
    <t>lst_Velocidad</t>
  </si>
  <si>
    <t>lst_Reversibilidad</t>
  </si>
  <si>
    <t>lst_TipoFuente</t>
  </si>
  <si>
    <t>lst_RegimenHidrico</t>
  </si>
  <si>
    <t>lst_CalidadAgua</t>
  </si>
  <si>
    <t>lst_ModalidadAcceso</t>
  </si>
  <si>
    <t>lst_TipoVia</t>
  </si>
  <si>
    <t>lst_NivelTransitabilidad</t>
  </si>
  <si>
    <t>lst_SenalCelular</t>
  </si>
  <si>
    <t>lst_Operador</t>
  </si>
  <si>
    <t>lst_SiNo</t>
  </si>
  <si>
    <t>lst_SiNoNA</t>
  </si>
  <si>
    <t>Plano</t>
  </si>
  <si>
    <t>0-8% (Plano-lig. inclinado)</t>
  </si>
  <si>
    <t>Cresta / Divortium</t>
  </si>
  <si>
    <t>Norte</t>
  </si>
  <si>
    <t>&lt;1000 m (Yunga)</t>
  </si>
  <si>
    <t>Surco (&lt;30 cm)</t>
  </si>
  <si>
    <t>Activa</t>
  </si>
  <si>
    <t>Sobrepastoreo</t>
  </si>
  <si>
    <t>Dendrítico</t>
  </si>
  <si>
    <t>Crítica</t>
  </si>
  <si>
    <t>Conservado (sin intervención evidente)</t>
  </si>
  <si>
    <t>Forestal protección</t>
  </si>
  <si>
    <t>Abundante (&gt;50 pl./100m²)</t>
  </si>
  <si>
    <t>Sano</t>
  </si>
  <si>
    <t>Bosque denso (&gt;70%)</t>
  </si>
  <si>
    <t>Arbóreo superior (&gt;15 m)</t>
  </si>
  <si>
    <t>Indicadora de buen estado</t>
  </si>
  <si>
    <t>EX — Extinto</t>
  </si>
  <si>
    <t>Muy rápida</t>
  </si>
  <si>
    <t>Totalmente reversible</t>
  </si>
  <si>
    <t>Manantial / Puquio</t>
  </si>
  <si>
    <t>Permanente</t>
  </si>
  <si>
    <t>Buena (clara, sin olor, sin sedimentos)</t>
  </si>
  <si>
    <t>Vehicular 4x4 hasta el bloque</t>
  </si>
  <si>
    <t>Nacional asfaltada</t>
  </si>
  <si>
    <t>Completa</t>
  </si>
  <si>
    <t>Movistar</t>
  </si>
  <si>
    <t>Ondulado</t>
  </si>
  <si>
    <t>8-15% (Mod. inclinado)</t>
  </si>
  <si>
    <t>Sur</t>
  </si>
  <si>
    <t>1000-1500 m (Quechua baja)</t>
  </si>
  <si>
    <t>Cárcava incipiente (30-50 cm)</t>
  </si>
  <si>
    <t>Semi-activa</t>
  </si>
  <si>
    <t>Tala / pérdida de cobertura</t>
  </si>
  <si>
    <t>Paralelo</t>
  </si>
  <si>
    <t>Bosque Relicto Montano V. Occidental (BMVO)</t>
  </si>
  <si>
    <t>Levemente alterado</t>
  </si>
  <si>
    <t>Forestal producción</t>
  </si>
  <si>
    <t>Regular (10-50 pl./100m²)</t>
  </si>
  <si>
    <t>Enfermo (plaga)</t>
  </si>
  <si>
    <t>Floración</t>
  </si>
  <si>
    <t>Bosque ralo (30-70%)</t>
  </si>
  <si>
    <t>Arbóreo medio (8-15 m)</t>
  </si>
  <si>
    <t>Endémica</t>
  </si>
  <si>
    <t>Abundante (20-40%)</t>
  </si>
  <si>
    <t>Indicadora de perturbación</t>
  </si>
  <si>
    <t>EW — Extinto en Estado Silvestre</t>
  </si>
  <si>
    <t>Ligera</t>
  </si>
  <si>
    <t>Medio</t>
  </si>
  <si>
    <t>Rápida</t>
  </si>
  <si>
    <t>Quebrada permanente</t>
  </si>
  <si>
    <t>Estacional (lluvias)</t>
  </si>
  <si>
    <t>Regular (ligeramente turbia o con sedimentos)</t>
  </si>
  <si>
    <t>Nacional afirmada</t>
  </si>
  <si>
    <t>Parcial</t>
  </si>
  <si>
    <t>Claro</t>
  </si>
  <si>
    <t>Colinoso</t>
  </si>
  <si>
    <t>15-25% (Fuert. inclinado)</t>
  </si>
  <si>
    <t>Ladera media</t>
  </si>
  <si>
    <t>Este</t>
  </si>
  <si>
    <t>1500-2000 m (Quechua media)</t>
  </si>
  <si>
    <t>Moderada (surcos)</t>
  </si>
  <si>
    <t>Cárcava somera (0.5-2 m)</t>
  </si>
  <si>
    <t>Estabilizada con vegetación</t>
  </si>
  <si>
    <t>Quema</t>
  </si>
  <si>
    <t>Lineal</t>
  </si>
  <si>
    <t>Bosque Estacionalmente Seco Colina/Montaña (Bes-cm)</t>
  </si>
  <si>
    <t>Escasa (&lt;10 pl./100m²)</t>
  </si>
  <si>
    <t>Enfermo (hongo)</t>
  </si>
  <si>
    <t>Fructificación</t>
  </si>
  <si>
    <t>Matorral denso</t>
  </si>
  <si>
    <t>Arbóreo bajo (4-8 m)</t>
  </si>
  <si>
    <t>Introducida</t>
  </si>
  <si>
    <t>Endémica del Perú</t>
  </si>
  <si>
    <t>CR — En Peligro Crítico</t>
  </si>
  <si>
    <t>Difícilmente reversible</t>
  </si>
  <si>
    <t>Quebrada estacional</t>
  </si>
  <si>
    <t>Intermitente</t>
  </si>
  <si>
    <t>Mala (turbia, con olor o color)</t>
  </si>
  <si>
    <t>Vehicular + caminata 30-90 min</t>
  </si>
  <si>
    <t>Departamental asfaltada</t>
  </si>
  <si>
    <t>Entel</t>
  </si>
  <si>
    <t>Ladera baja</t>
  </si>
  <si>
    <t>2000-2500 m (Quechua alta)</t>
  </si>
  <si>
    <t>Fuerte (cárcavas incipientes)</t>
  </si>
  <si>
    <t>Cárcava profunda (2-5 m)</t>
  </si>
  <si>
    <t>Estabilizada con obras</t>
  </si>
  <si>
    <t>Surcos de labranza en pendiente</t>
  </si>
  <si>
    <t>Aislado</t>
  </si>
  <si>
    <t>Baja</t>
  </si>
  <si>
    <t>Bosque Estacionalmente Seco Llanura (Bes-ll)</t>
  </si>
  <si>
    <t>Alterado (intervención marcada)</t>
  </si>
  <si>
    <t>Pastoreo intensivo</t>
  </si>
  <si>
    <t>Ausente</t>
  </si>
  <si>
    <t>Daño mecánico</t>
  </si>
  <si>
    <t>Caducifolio (hojas caídas)</t>
  </si>
  <si>
    <t>Matorral ralo</t>
  </si>
  <si>
    <t>Invasora</t>
  </si>
  <si>
    <t>Endémica norte / Piura</t>
  </si>
  <si>
    <t>EN — En Peligro</t>
  </si>
  <si>
    <t>Fuerte</t>
  </si>
  <si>
    <t>En recuperación</t>
  </si>
  <si>
    <t>Río</t>
  </si>
  <si>
    <t>Efímero</t>
  </si>
  <si>
    <t>Muy mala (contaminación evidente)</t>
  </si>
  <si>
    <t>Vehicular + caminata &gt;90 min</t>
  </si>
  <si>
    <t>Departamental afirmada</t>
  </si>
  <si>
    <t>Sin señal</t>
  </si>
  <si>
    <t>Bitel</t>
  </si>
  <si>
    <t>Muy escarpado</t>
  </si>
  <si>
    <t>50-75% (Escarpado)</t>
  </si>
  <si>
    <t>Pie de ladera</t>
  </si>
  <si>
    <t>Noreste</t>
  </si>
  <si>
    <t>2500-3000 m (Suni)</t>
  </si>
  <si>
    <t>Severa (cárcavas activas)</t>
  </si>
  <si>
    <t>Cárcava muy profunda (&gt;5 m)</t>
  </si>
  <si>
    <t>Inactiva</t>
  </si>
  <si>
    <t>Caminos / huellas de ganado</t>
  </si>
  <si>
    <t>Mixto</t>
  </si>
  <si>
    <t>Bosque Estacionalmente Seco Ribereño (Bes-rb)</t>
  </si>
  <si>
    <t>Muy alterado / Degradado</t>
  </si>
  <si>
    <t>Agricultura secano</t>
  </si>
  <si>
    <t>Muerto en pie</t>
  </si>
  <si>
    <t>Latencia / Estrés hídrico</t>
  </si>
  <si>
    <t>Amenazada (D.S. 043-2006-AG)</t>
  </si>
  <si>
    <t>VU — Vulnerable</t>
  </si>
  <si>
    <t>Muy fuerte</t>
  </si>
  <si>
    <t>Estable</t>
  </si>
  <si>
    <t>Canal de riego</t>
  </si>
  <si>
    <t>No evaluable</t>
  </si>
  <si>
    <t>Requiere acémila (páramo/jalca)</t>
  </si>
  <si>
    <t>Vecinal afirmada</t>
  </si>
  <si>
    <t>&gt;75% (Muy escarpado)</t>
  </si>
  <si>
    <t>Terraza aluvial</t>
  </si>
  <si>
    <t>Noroeste</t>
  </si>
  <si>
    <t>Extrema</t>
  </si>
  <si>
    <t>Concentración natural de escorrentía</t>
  </si>
  <si>
    <t>Matorral Andino árido</t>
  </si>
  <si>
    <t>En restauración / Recuperación</t>
  </si>
  <si>
    <t>Agricultura bajo riego</t>
  </si>
  <si>
    <t>Rebrote vigoroso</t>
  </si>
  <si>
    <t>Pastizal cultivado</t>
  </si>
  <si>
    <t>Clave cultural</t>
  </si>
  <si>
    <t>NT — Casi Amenazado</t>
  </si>
  <si>
    <t>Reservorio / Represa</t>
  </si>
  <si>
    <t>Inaccesible en lluvias</t>
  </si>
  <si>
    <t>Trocha carrozable</t>
  </si>
  <si>
    <t>Cauce / Ribera</t>
  </si>
  <si>
    <t>Sureste</t>
  </si>
  <si>
    <t>&gt;3500 m (Puna/Jalca)</t>
  </si>
  <si>
    <t>Socavamiento de cauce</t>
  </si>
  <si>
    <t>Matorral Andino semiárido</t>
  </si>
  <si>
    <t>Sin uso aparente / Abandonado</t>
  </si>
  <si>
    <t>Cultivo anual</t>
  </si>
  <si>
    <t>Epífito</t>
  </si>
  <si>
    <t>LC — Preocupación Menor</t>
  </si>
  <si>
    <t>Laguna / Humedal</t>
  </si>
  <si>
    <t>Llanura / Pampa</t>
  </si>
  <si>
    <t>Suroeste</t>
  </si>
  <si>
    <t>Cambio de uso del suelo</t>
  </si>
  <si>
    <t>Matorral Andino subhúmedo</t>
  </si>
  <si>
    <t>Uso mixto</t>
  </si>
  <si>
    <t>Cultivo permanente</t>
  </si>
  <si>
    <t>Trepador</t>
  </si>
  <si>
    <t>DD — Datos Insuficientes</t>
  </si>
  <si>
    <t>Pozo / Galería filtrante</t>
  </si>
  <si>
    <t>Cima (sin exp.)</t>
  </si>
  <si>
    <t>Cima (sin dom.)</t>
  </si>
  <si>
    <t>Matorral Andino húmedo</t>
  </si>
  <si>
    <t>Suelo desnudo</t>
  </si>
  <si>
    <t>NE — No Evaluado</t>
  </si>
  <si>
    <t>Bofedal</t>
  </si>
  <si>
    <t>Pastizal andino / Jalca</t>
  </si>
  <si>
    <t>Afloramiento rocoso</t>
  </si>
  <si>
    <t>Agroecosistema / Mosaico</t>
  </si>
  <si>
    <t>Mixto / Mosaico</t>
  </si>
  <si>
    <t>Área urbana / 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</si>
</sst>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charset val="1"/>
    </font>
    <font>
      <b/>
      <sz val="12"/>
      <color rgb="FFFFFFFF"/>
      <name val="Arial"/>
      <family val="2"/>
    </font>
    <font>
      <b/>
      <sz val="10"/>
      <color rgb="FFFFFFFF"/>
      <name val="Arial"/>
      <family val="2"/>
    </font>
    <font>
      <b/>
      <sz val="14"/>
      <color rgb="FFFFFFFF"/>
      <name val="Arial"/>
      <family val="2"/>
    </font>
    <font>
      <i/>
      <sz val="9"/>
      <color rgb="FF555555"/>
      <name val="Arial"/>
      <family val="2"/>
    </font>
    <font>
      <i/>
      <sz val="8"/>
      <color rgb="FF666666"/>
      <name val="Arial"/>
      <family val="2"/>
    </font>
    <font>
      <b/>
      <sz val="11"/>
      <color rgb="FFFFFFFF"/>
      <name val="Arial"/>
      <family val="2"/>
    </font>
    <font>
      <b/>
      <sz val="10"/>
      <color rgb="FF000000"/>
      <name val="Arial"/>
      <family val="2"/>
    </font>
    <font>
      <sz val="10"/>
      <color rgb="FF000000"/>
      <name val="Arial"/>
      <family val="2"/>
    </font>
    <font>
      <i/>
      <sz val="10"/>
      <color rgb="FF333333"/>
      <name val="Arial"/>
      <family val="2"/>
    </font>
    <font>
      <i/>
      <sz val="8"/>
      <color rgb="FF555555"/>
      <name val="Arial"/>
      <family val="2"/>
    </font>
    <font>
      <b/>
      <sz val="9"/>
      <color rgb="FFFFFFFF"/>
      <name val="Arial"/>
      <family val="2"/>
    </font>
    <font>
      <sz val="9"/>
      <color rgb="FF000000"/>
      <name val="Arial"/>
      <family val="2"/>
    </font>
    <font>
      <b/>
      <sz val="11"/>
      <color rgb="FF1B4D2E"/>
      <name val="Arial"/>
      <family val="2"/>
    </font>
  </fonts>
  <fills count="8">
    <fill>
      <patternFill patternType="none"/>
    </fill>
    <fill>
      <patternFill patternType="gray125"/>
    </fill>
    <fill>
      <patternFill patternType="solid">
        <fgColor rgb="FF1B4D2E"/>
        <bgColor rgb="FF333333"/>
      </patternFill>
    </fill>
    <fill>
      <patternFill patternType="solid">
        <fgColor rgb="FF2E7D4F"/>
        <bgColor rgb="FF008080"/>
      </patternFill>
    </fill>
    <fill>
      <patternFill patternType="solid">
        <fgColor rgb="FFD7E4DC"/>
        <bgColor rgb="FFEEF2F5"/>
      </patternFill>
    </fill>
    <fill>
      <patternFill patternType="solid">
        <fgColor rgb="FFFFE4C4"/>
        <bgColor rgb="FFFFF8DC"/>
      </patternFill>
    </fill>
    <fill>
      <patternFill patternType="solid">
        <fgColor rgb="FFEEF2F5"/>
        <bgColor rgb="FFFFF8DC"/>
      </patternFill>
    </fill>
    <fill>
      <patternFill patternType="solid">
        <fgColor rgb="FFFFF8DC"/>
        <bgColor rgb="FFFFFFFF"/>
      </patternFill>
    </fill>
  </fills>
  <borders count="4">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s>
  <cellStyleXfs count="1">
    <xf numFmtId="0" fontId="0" fillId="0" borderId="0"/>
  </cellStyleXfs>
  <cellXfs count="26">
    <xf numFmtId="0" fontId="0" fillId="0" borderId="0" xfId="0"/>
    <xf numFmtId="0" fontId="13" fillId="0" borderId="0" xfId="0" applyFont="1"/>
    <xf numFmtId="0" fontId="8" fillId="5" borderId="1" xfId="0" applyFont="1" applyFill="1" applyBorder="1" applyAlignment="1">
      <alignment horizontal="left" vertical="top" wrapText="1"/>
    </xf>
    <xf numFmtId="0" fontId="0" fillId="0" borderId="1" xfId="0" applyBorder="1"/>
    <xf numFmtId="0" fontId="10" fillId="7" borderId="1" xfId="0" applyFont="1" applyFill="1" applyBorder="1" applyAlignment="1">
      <alignment horizontal="left" vertical="center" wrapText="1"/>
    </xf>
    <xf numFmtId="0" fontId="0" fillId="0" borderId="3" xfId="0" applyBorder="1"/>
    <xf numFmtId="0" fontId="9"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6" fillId="2" borderId="0" xfId="0" applyFont="1" applyFill="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1" fillId="2" borderId="0" xfId="0" applyFont="1" applyFill="1" applyAlignment="1">
      <alignment horizontal="center" vertical="center" wrapText="1"/>
    </xf>
    <xf numFmtId="0" fontId="7" fillId="4"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0" fillId="0" borderId="2" xfId="0" applyBorder="1"/>
    <xf numFmtId="0" fontId="12" fillId="4" borderId="1" xfId="0" applyFont="1" applyFill="1" applyBorder="1" applyAlignment="1">
      <alignment horizontal="left" vertical="center" wrapText="1"/>
    </xf>
    <xf numFmtId="0" fontId="12" fillId="0" borderId="1" xfId="0" applyFont="1" applyBorder="1" applyAlignment="1">
      <alignment horizontal="left" vertical="center" wrapText="1"/>
    </xf>
    <xf numFmtId="3" fontId="12" fillId="0" borderId="1" xfId="0" applyNumberFormat="1" applyFont="1" applyBorder="1" applyAlignment="1">
      <alignment horizontal="center" vertical="center" wrapText="1"/>
    </xf>
    <xf numFmtId="4" fontId="12"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8DC"/>
      <rgbColor rgb="FFEEF2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7E4DC"/>
      <rgbColor rgb="FFFFFF99"/>
      <rgbColor rgb="FF99CCFF"/>
      <rgbColor rgb="FFFF99CC"/>
      <rgbColor rgb="FFCC99FF"/>
      <rgbColor rgb="FFFFE4C4"/>
      <rgbColor rgb="FF3366FF"/>
      <rgbColor rgb="FF33CCCC"/>
      <rgbColor rgb="FF99CC00"/>
      <rgbColor rgb="FFFFCC00"/>
      <rgbColor rgb="FFFF9900"/>
      <rgbColor rgb="FFFF6600"/>
      <rgbColor rgb="FF666666"/>
      <rgbColor rgb="FF969696"/>
      <rgbColor rgb="FF003366"/>
      <rgbColor rgb="FF2E7D4F"/>
      <rgbColor rgb="FF003300"/>
      <rgbColor rgb="FF1B4D2E"/>
      <rgbColor rgb="FF993300"/>
      <rgbColor rgb="FF993366"/>
      <rgbColor rgb="FF555555"/>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5"/>
  <sheetViews>
    <sheetView showGridLines="0" zoomScaleNormal="100" workbookViewId="0">
      <pane ySplit="6" topLeftCell="A20" activePane="bottomLeft" state="frozen"/>
      <selection pane="bottomLeft" activeCell="B26" sqref="B26"/>
    </sheetView>
  </sheetViews>
  <sheetFormatPr baseColWidth="10" defaultColWidth="8.6640625" defaultRowHeight="14.4" x14ac:dyDescent="0.3"/>
  <cols>
    <col min="1" max="1" width="38" customWidth="1"/>
    <col min="2" max="4" width="16" customWidth="1"/>
    <col min="5" max="5" width="24" customWidth="1"/>
    <col min="6" max="8" width="14"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3</v>
      </c>
      <c r="B4" s="12"/>
      <c r="C4" s="12"/>
      <c r="D4" s="12"/>
      <c r="E4" s="12"/>
      <c r="F4" s="12"/>
      <c r="G4" s="12"/>
      <c r="H4" s="12"/>
    </row>
    <row r="5" spans="1:8" ht="27.75" customHeight="1" x14ac:dyDescent="0.3">
      <c r="A5" s="11" t="s">
        <v>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6</v>
      </c>
      <c r="B7" s="9"/>
      <c r="C7" s="9"/>
      <c r="D7" s="9"/>
      <c r="E7" s="9"/>
      <c r="F7" s="9"/>
      <c r="G7" s="9"/>
      <c r="H7" s="9"/>
    </row>
    <row r="8" spans="1:8" ht="19.5" customHeight="1" x14ac:dyDescent="0.3">
      <c r="A8" s="15" t="s">
        <v>7</v>
      </c>
      <c r="B8" s="7" t="s">
        <v>8</v>
      </c>
      <c r="C8" s="7"/>
      <c r="D8" s="7"/>
      <c r="E8" s="15" t="s">
        <v>9</v>
      </c>
      <c r="F8" s="7" t="s">
        <v>10</v>
      </c>
      <c r="G8" s="7"/>
      <c r="H8" s="7"/>
    </row>
    <row r="9" spans="1:8" ht="19.5" customHeight="1" x14ac:dyDescent="0.3">
      <c r="A9" s="15" t="s">
        <v>11</v>
      </c>
      <c r="B9" s="7" t="s">
        <v>12</v>
      </c>
      <c r="C9" s="7"/>
      <c r="D9" s="7"/>
      <c r="E9" s="15" t="s">
        <v>13</v>
      </c>
      <c r="F9" s="7" t="s">
        <v>14</v>
      </c>
      <c r="G9" s="7"/>
      <c r="H9" s="7"/>
    </row>
    <row r="10" spans="1:8" ht="19.5" customHeight="1" x14ac:dyDescent="0.3">
      <c r="A10" s="15" t="s">
        <v>15</v>
      </c>
      <c r="B10" s="7" t="s">
        <v>16</v>
      </c>
      <c r="C10" s="7"/>
      <c r="D10" s="7"/>
      <c r="E10" s="15" t="s">
        <v>17</v>
      </c>
      <c r="F10" s="6" t="str">
        <f>IFERROR(VLOOKUP($B$10,tbl_Bloques,2,FALSE()),"")</f>
        <v>C1076-Q9586</v>
      </c>
      <c r="G10" s="6"/>
      <c r="H10" s="6"/>
    </row>
    <row r="11" spans="1:8" ht="19.5" customHeight="1" x14ac:dyDescent="0.3">
      <c r="A11" s="15" t="s">
        <v>18</v>
      </c>
      <c r="B11" s="6" t="str">
        <f>IFERROR(VLOOKUP($B$10,tbl_Bloques,3,FALSE()),"")</f>
        <v>Huancabamba</v>
      </c>
      <c r="C11" s="6"/>
      <c r="D11" s="6"/>
      <c r="E11" s="15" t="s">
        <v>19</v>
      </c>
      <c r="F11" s="6" t="str">
        <f>IFERROR(VLOOKUP($B$10,tbl_Bloques,4,FALSE()),"")</f>
        <v>San Miguel de El Faique</v>
      </c>
      <c r="G11" s="6"/>
      <c r="H11" s="6"/>
    </row>
    <row r="12" spans="1:8" ht="19.5" customHeight="1" x14ac:dyDescent="0.3">
      <c r="A12" s="15" t="s">
        <v>20</v>
      </c>
      <c r="B12" s="6" t="str">
        <f>IFERROR(VLOOKUP($B$10,tbl_Bloques,5,FALSE()),"")</f>
        <v>Z12</v>
      </c>
      <c r="C12" s="6"/>
      <c r="D12" s="6"/>
      <c r="E12" s="15" t="s">
        <v>21</v>
      </c>
      <c r="F12" s="6">
        <f>IFERROR(VLOOKUP($B$10,tbl_Bloques,8,FALSE()),"")</f>
        <v>28.23</v>
      </c>
      <c r="G12" s="6"/>
      <c r="H12" s="6"/>
    </row>
    <row r="13" spans="1:8" ht="19.5" customHeight="1" x14ac:dyDescent="0.3">
      <c r="A13" s="15" t="s">
        <v>22</v>
      </c>
      <c r="B13" s="7">
        <v>663790</v>
      </c>
      <c r="C13" s="7"/>
      <c r="D13" s="7"/>
      <c r="E13" s="15" t="s">
        <v>23</v>
      </c>
      <c r="F13" s="7">
        <v>9400681</v>
      </c>
      <c r="G13" s="7"/>
      <c r="H13" s="7"/>
    </row>
    <row r="14" spans="1:8" ht="19.5" customHeight="1" x14ac:dyDescent="0.3">
      <c r="A14" s="15" t="s">
        <v>24</v>
      </c>
      <c r="B14" s="7" t="s">
        <v>25</v>
      </c>
      <c r="C14" s="7"/>
      <c r="D14" s="7"/>
      <c r="E14" s="15" t="s">
        <v>26</v>
      </c>
      <c r="F14" s="7" t="s">
        <v>27</v>
      </c>
      <c r="G14" s="7"/>
      <c r="H14" s="7"/>
    </row>
    <row r="15" spans="1:8" ht="19.5" customHeight="1" x14ac:dyDescent="0.3">
      <c r="A15" s="15" t="s">
        <v>28</v>
      </c>
      <c r="B15" s="7" t="s">
        <v>25</v>
      </c>
      <c r="C15" s="7"/>
      <c r="D15" s="7"/>
      <c r="E15" s="7"/>
      <c r="F15" s="7"/>
      <c r="G15" s="7"/>
      <c r="H15" s="7"/>
    </row>
    <row r="17" spans="1:8" ht="21.75" customHeight="1" x14ac:dyDescent="0.3">
      <c r="A17" s="9" t="s">
        <v>29</v>
      </c>
      <c r="B17" s="9"/>
      <c r="C17" s="9"/>
      <c r="D17" s="9"/>
      <c r="E17" s="9"/>
      <c r="F17" s="9"/>
      <c r="G17" s="9"/>
      <c r="H17" s="9"/>
    </row>
    <row r="18" spans="1:8" ht="19.5" customHeight="1" x14ac:dyDescent="0.3">
      <c r="A18" s="15" t="s">
        <v>30</v>
      </c>
      <c r="B18" s="7" t="s">
        <v>31</v>
      </c>
      <c r="C18" s="7"/>
      <c r="D18" s="7"/>
      <c r="E18" s="7"/>
      <c r="F18" s="7"/>
      <c r="G18" s="7"/>
      <c r="H18" s="7"/>
    </row>
    <row r="19" spans="1:8" ht="19.5" customHeight="1" x14ac:dyDescent="0.3">
      <c r="A19" s="15" t="s">
        <v>32</v>
      </c>
      <c r="B19" s="7" t="s">
        <v>33</v>
      </c>
      <c r="C19" s="7"/>
      <c r="D19" s="7"/>
      <c r="E19" s="7"/>
      <c r="F19" s="7"/>
      <c r="G19" s="7"/>
      <c r="H19" s="7"/>
    </row>
    <row r="20" spans="1:8" ht="19.5" customHeight="1" x14ac:dyDescent="0.3">
      <c r="A20" s="15" t="s">
        <v>34</v>
      </c>
      <c r="B20" s="7" t="s">
        <v>35</v>
      </c>
      <c r="C20" s="7"/>
      <c r="D20" s="7"/>
      <c r="E20" s="7"/>
      <c r="F20" s="7"/>
      <c r="G20" s="7"/>
      <c r="H20" s="7"/>
    </row>
    <row r="21" spans="1:8" ht="19.5" customHeight="1" x14ac:dyDescent="0.3">
      <c r="A21" s="15" t="s">
        <v>36</v>
      </c>
      <c r="B21" s="7" t="s">
        <v>37</v>
      </c>
      <c r="C21" s="7"/>
      <c r="D21" s="7"/>
      <c r="E21" s="7"/>
      <c r="F21" s="7"/>
      <c r="G21" s="7"/>
      <c r="H21" s="7"/>
    </row>
    <row r="22" spans="1:8" ht="19.5" customHeight="1" x14ac:dyDescent="0.3">
      <c r="A22" s="15" t="s">
        <v>38</v>
      </c>
      <c r="B22" s="7" t="s">
        <v>39</v>
      </c>
      <c r="C22" s="7"/>
      <c r="D22" s="7"/>
      <c r="E22" s="7"/>
      <c r="F22" s="7"/>
      <c r="G22" s="7"/>
      <c r="H22" s="7"/>
    </row>
    <row r="23" spans="1:8" ht="19.5" customHeight="1" x14ac:dyDescent="0.3">
      <c r="A23" s="15" t="s">
        <v>40</v>
      </c>
      <c r="B23" s="7" t="s">
        <v>41</v>
      </c>
      <c r="C23" s="7"/>
      <c r="D23" s="7"/>
      <c r="E23" s="7"/>
      <c r="F23" s="7"/>
      <c r="G23" s="7"/>
      <c r="H23" s="7"/>
    </row>
    <row r="25" spans="1:8" ht="21.75" customHeight="1" x14ac:dyDescent="0.3">
      <c r="A25" s="9" t="s">
        <v>42</v>
      </c>
      <c r="B25" s="9"/>
      <c r="C25" s="9"/>
      <c r="D25" s="9"/>
      <c r="E25" s="9"/>
      <c r="F25" s="9"/>
      <c r="G25" s="9"/>
      <c r="H25" s="9"/>
    </row>
    <row r="26" spans="1:8" ht="19.5" customHeight="1" x14ac:dyDescent="0.3">
      <c r="A26" s="15" t="s">
        <v>43</v>
      </c>
      <c r="B26" s="7" t="s">
        <v>44</v>
      </c>
      <c r="C26" s="7"/>
      <c r="D26" s="7"/>
      <c r="E26" s="7"/>
      <c r="F26" s="7"/>
      <c r="G26" s="7"/>
      <c r="H26" s="7"/>
    </row>
    <row r="27" spans="1:8" ht="19.5" customHeight="1" x14ac:dyDescent="0.3">
      <c r="A27" s="15" t="s">
        <v>45</v>
      </c>
      <c r="B27" s="7" t="s">
        <v>46</v>
      </c>
      <c r="C27" s="7"/>
      <c r="D27" s="7"/>
      <c r="E27" s="7"/>
      <c r="F27" s="7"/>
      <c r="G27" s="7"/>
      <c r="H27" s="7"/>
    </row>
    <row r="28" spans="1:8" ht="19.5" customHeight="1" x14ac:dyDescent="0.3">
      <c r="A28" s="15" t="s">
        <v>47</v>
      </c>
      <c r="B28" s="7" t="s">
        <v>44</v>
      </c>
      <c r="C28" s="7"/>
      <c r="D28" s="7"/>
      <c r="E28" s="7"/>
      <c r="F28" s="7"/>
      <c r="G28" s="7"/>
      <c r="H28" s="7"/>
    </row>
    <row r="29" spans="1:8" ht="19.5" customHeight="1" x14ac:dyDescent="0.3">
      <c r="A29" s="15" t="s">
        <v>48</v>
      </c>
      <c r="B29" s="7" t="s">
        <v>46</v>
      </c>
      <c r="C29" s="7"/>
      <c r="D29" s="7"/>
      <c r="E29" s="7"/>
      <c r="F29" s="7"/>
      <c r="G29" s="7"/>
      <c r="H29" s="7"/>
    </row>
    <row r="30" spans="1:8" ht="19.5" customHeight="1" x14ac:dyDescent="0.3">
      <c r="A30" s="15" t="s">
        <v>49</v>
      </c>
      <c r="B30" s="7" t="s">
        <v>46</v>
      </c>
      <c r="C30" s="7"/>
      <c r="D30" s="7"/>
      <c r="E30" s="7"/>
      <c r="F30" s="7"/>
      <c r="G30" s="7"/>
      <c r="H30" s="7"/>
    </row>
    <row r="32" spans="1:8" ht="21.75" customHeight="1" x14ac:dyDescent="0.3">
      <c r="A32" s="9" t="s">
        <v>50</v>
      </c>
      <c r="B32" s="9"/>
      <c r="C32" s="9"/>
      <c r="D32" s="9"/>
      <c r="E32" s="9"/>
      <c r="F32" s="9"/>
      <c r="G32" s="9"/>
      <c r="H32" s="9"/>
    </row>
    <row r="33" spans="1:8" ht="27.75" customHeight="1" x14ac:dyDescent="0.3">
      <c r="A33" s="2" t="s">
        <v>51</v>
      </c>
      <c r="B33" s="2"/>
      <c r="C33" s="2"/>
      <c r="D33" s="2"/>
      <c r="E33" s="2"/>
      <c r="F33" s="2"/>
      <c r="G33" s="2"/>
      <c r="H33" s="2"/>
    </row>
    <row r="34" spans="1:8" ht="27.75" customHeight="1" x14ac:dyDescent="0.3">
      <c r="A34" s="2"/>
      <c r="B34" s="2"/>
      <c r="C34" s="2"/>
      <c r="D34" s="2"/>
      <c r="E34" s="2"/>
      <c r="F34" s="2"/>
      <c r="G34" s="2"/>
      <c r="H34" s="2"/>
    </row>
    <row r="35" spans="1:8" ht="27.75" customHeight="1" x14ac:dyDescent="0.3">
      <c r="A35" s="2"/>
      <c r="B35" s="2"/>
      <c r="C35" s="2"/>
      <c r="D35" s="2"/>
      <c r="E35" s="2"/>
      <c r="F35" s="2"/>
      <c r="G35" s="2"/>
      <c r="H35" s="2"/>
    </row>
  </sheetData>
  <mergeCells count="37">
    <mergeCell ref="B28:H28"/>
    <mergeCell ref="B29:H29"/>
    <mergeCell ref="B30:H30"/>
    <mergeCell ref="A32:H32"/>
    <mergeCell ref="A33:H35"/>
    <mergeCell ref="B22:H22"/>
    <mergeCell ref="B23:H23"/>
    <mergeCell ref="A25:H25"/>
    <mergeCell ref="B26:H26"/>
    <mergeCell ref="B27:H27"/>
    <mergeCell ref="A17:H17"/>
    <mergeCell ref="B18:H18"/>
    <mergeCell ref="B19:H19"/>
    <mergeCell ref="B20:H20"/>
    <mergeCell ref="B21:H21"/>
    <mergeCell ref="B13:D13"/>
    <mergeCell ref="F13:H13"/>
    <mergeCell ref="B14:D14"/>
    <mergeCell ref="F14:H14"/>
    <mergeCell ref="B15:H15"/>
    <mergeCell ref="B10:D10"/>
    <mergeCell ref="F10:H10"/>
    <mergeCell ref="B11:D11"/>
    <mergeCell ref="F11:H11"/>
    <mergeCell ref="B12:D12"/>
    <mergeCell ref="F12:H12"/>
    <mergeCell ref="A6:H6"/>
    <mergeCell ref="A7:H7"/>
    <mergeCell ref="B8:D8"/>
    <mergeCell ref="F8:H8"/>
    <mergeCell ref="B9:D9"/>
    <mergeCell ref="F9:H9"/>
    <mergeCell ref="A1:H1"/>
    <mergeCell ref="A2:H2"/>
    <mergeCell ref="A3:H3"/>
    <mergeCell ref="A4:H4"/>
    <mergeCell ref="A5:H5"/>
  </mergeCells>
  <dataValidations count="11">
    <dataValidation type="list" allowBlank="1" errorTitle="Valor no válido" error="Seleccione un valor de la lista desplegable." promptTitle="Código de Bloque" prompt="Elija una opción de la lista." sqref="B10" xr:uid="{00000000-0002-0000-0000-000000000000}">
      <formula1>lst_CodigoBloque</formula1>
      <formula2>0</formula2>
    </dataValidation>
    <dataValidation type="list" allowBlank="1" errorTitle="Valor no válido" error="Seleccione un valor de la lista desplegable." promptTitle="Forma predominante del terreno" prompt="Elija una opción de la lista." sqref="B18" xr:uid="{00000000-0002-0000-0000-000001000000}">
      <formula1>lst_FormaTerreno</formula1>
      <formula2>0</formula2>
    </dataValidation>
    <dataValidation type="list" allowBlank="1" errorTitle="Valor no válido" error="Seleccione un valor de la lista desplegable." promptTitle="Rango de pendiente dominante *" prompt="Elija una opción de la lista." sqref="B19" xr:uid="{00000000-0002-0000-0000-000002000000}">
      <formula1>lst_RangoPendiente</formula1>
      <formula2>0</formula2>
    </dataValidation>
    <dataValidation type="list" allowBlank="1" errorTitle="Valor no válido" error="Seleccione un valor de la lista desplegable." promptTitle="Posición fisiográfica *" prompt="Elija una opción de la lista." sqref="B20" xr:uid="{00000000-0002-0000-0000-000003000000}">
      <formula1>lst_PosicionFisio</formula1>
      <formula2>0</formula2>
    </dataValidation>
    <dataValidation type="list" allowBlank="1" errorTitle="Valor no válido" error="Seleccione un valor de la lista desplegable." promptTitle="Exposición / Orientación domin" prompt="Elija una opción de la lista." sqref="B21" xr:uid="{00000000-0002-0000-0000-000004000000}">
      <formula1>lst_Exposicion</formula1>
      <formula2>0</formula2>
    </dataValidation>
    <dataValidation type="list" allowBlank="1" errorTitle="Valor no válido" error="Seleccione un valor de la lista desplegable." promptTitle="Rango altitudinal del bloque *" prompt="Elija una opción de la lista." sqref="B22" xr:uid="{00000000-0002-0000-0000-000005000000}">
      <formula1>lst_RangoAltitud</formula1>
      <formula2>0</formula2>
    </dataValidation>
    <dataValidation type="list" allowBlank="1" errorTitle="Valor no válido" error="Seleccione un valor de la lista desplegable." promptTitle="Presencia de afloramientos roc" prompt="Elija una opción de la lista." sqref="B26" xr:uid="{00000000-0002-0000-0000-000006000000}">
      <formula1>lst_SiNo</formula1>
      <formula2>0</formula2>
    </dataValidation>
    <dataValidation type="list" allowBlank="1" errorTitle="Valor no válido" error="Seleccione un valor de la lista desplegable." promptTitle="Presencia de escarpes activos " prompt="Elija una opción de la lista." sqref="B27" xr:uid="{00000000-0002-0000-0000-000007000000}">
      <formula1>lst_SiNo</formula1>
      <formula2>0</formula2>
    </dataValidation>
    <dataValidation type="list" allowBlank="1" errorTitle="Valor no válido" error="Seleccione un valor de la lista desplegable." promptTitle="¿Reptación de suelo observada?" prompt="Elija una opción de la lista." sqref="B28" xr:uid="{00000000-0002-0000-0000-000008000000}">
      <formula1>lst_SiNo</formula1>
      <formula2>0</formula2>
    </dataValidation>
    <dataValidation type="list" allowBlank="1" errorTitle="Valor no válido" error="Seleccione un valor de la lista desplegable." promptTitle="¿Deslizamientos antiguos obser" prompt="Elija una opción de la lista." sqref="B29" xr:uid="{00000000-0002-0000-0000-000009000000}">
      <formula1>lst_SiNo</formula1>
      <formula2>0</formula2>
    </dataValidation>
    <dataValidation type="list" allowBlank="1" errorTitle="Valor no válido" error="Seleccione un valor de la lista desplegable." promptTitle="¿Remociones en masa activas? *" prompt="Elija una opción de la lista." sqref="B30" xr:uid="{00000000-0002-0000-0000-00000A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44"/>
  <sheetViews>
    <sheetView showGridLines="0" zoomScaleNormal="100" workbookViewId="0">
      <pane ySplit="6" topLeftCell="A33" activePane="bottomLeft" state="frozen"/>
      <selection pane="bottomLeft" activeCell="D14" sqref="D14:L14"/>
    </sheetView>
  </sheetViews>
  <sheetFormatPr baseColWidth="10" defaultColWidth="8.6640625" defaultRowHeight="14.4" x14ac:dyDescent="0.3"/>
  <cols>
    <col min="1" max="1" width="10" customWidth="1"/>
    <col min="2" max="2" width="26" customWidth="1"/>
    <col min="3" max="3" width="11" customWidth="1"/>
    <col min="4" max="4" width="12" customWidth="1"/>
    <col min="5" max="5" width="11" customWidth="1"/>
    <col min="6" max="6" width="12" customWidth="1"/>
    <col min="7" max="9" width="9" customWidth="1"/>
    <col min="10" max="10" width="18" customWidth="1"/>
    <col min="11" max="11" width="22" customWidth="1"/>
    <col min="12" max="12" width="14" customWidth="1"/>
  </cols>
  <sheetData>
    <row r="1" spans="1:12" ht="21.75" customHeight="1" x14ac:dyDescent="0.3">
      <c r="A1" s="14" t="s">
        <v>0</v>
      </c>
      <c r="B1" s="14"/>
      <c r="C1" s="14"/>
      <c r="D1" s="14"/>
      <c r="E1" s="14"/>
      <c r="F1" s="14"/>
      <c r="G1" s="14"/>
      <c r="H1" s="14"/>
      <c r="I1" s="14"/>
      <c r="J1" s="14"/>
      <c r="K1" s="14"/>
      <c r="L1" s="14"/>
    </row>
    <row r="2" spans="1:12" ht="18" customHeight="1" x14ac:dyDescent="0.3">
      <c r="A2" s="13" t="s">
        <v>1</v>
      </c>
      <c r="B2" s="13"/>
      <c r="C2" s="13"/>
      <c r="D2" s="13"/>
      <c r="E2" s="13"/>
      <c r="F2" s="13"/>
      <c r="G2" s="13"/>
      <c r="H2" s="13"/>
      <c r="I2" s="13"/>
      <c r="J2" s="13"/>
      <c r="K2" s="13"/>
      <c r="L2" s="13"/>
    </row>
    <row r="3" spans="1:12" ht="30" customHeight="1" x14ac:dyDescent="0.3">
      <c r="A3" s="13" t="s">
        <v>2</v>
      </c>
      <c r="B3" s="13"/>
      <c r="C3" s="13"/>
      <c r="D3" s="13"/>
      <c r="E3" s="13"/>
      <c r="F3" s="13"/>
      <c r="G3" s="13"/>
      <c r="H3" s="13"/>
      <c r="I3" s="13"/>
      <c r="J3" s="13"/>
      <c r="K3" s="13"/>
      <c r="L3" s="13"/>
    </row>
    <row r="4" spans="1:12" ht="27.75" customHeight="1" x14ac:dyDescent="0.3">
      <c r="A4" s="12" t="s">
        <v>52</v>
      </c>
      <c r="B4" s="12"/>
      <c r="C4" s="12"/>
      <c r="D4" s="12"/>
      <c r="E4" s="12"/>
      <c r="F4" s="12"/>
      <c r="G4" s="12"/>
      <c r="H4" s="12"/>
      <c r="I4" s="12"/>
      <c r="J4" s="12"/>
      <c r="K4" s="12"/>
      <c r="L4" s="12"/>
    </row>
    <row r="5" spans="1:12" ht="27.75" customHeight="1" x14ac:dyDescent="0.3">
      <c r="A5" s="11" t="s">
        <v>53</v>
      </c>
      <c r="B5" s="11"/>
      <c r="C5" s="11"/>
      <c r="D5" s="11"/>
      <c r="E5" s="11"/>
      <c r="F5" s="11"/>
      <c r="G5" s="11"/>
      <c r="H5" s="11"/>
      <c r="I5" s="11"/>
      <c r="J5" s="11"/>
      <c r="K5" s="11"/>
      <c r="L5" s="11"/>
    </row>
    <row r="6" spans="1:12" ht="24" customHeight="1" x14ac:dyDescent="0.3">
      <c r="A6" s="10" t="s">
        <v>5</v>
      </c>
      <c r="B6" s="10"/>
      <c r="C6" s="10"/>
      <c r="D6" s="10"/>
      <c r="E6" s="10"/>
      <c r="F6" s="10"/>
      <c r="G6" s="10"/>
      <c r="H6" s="10"/>
      <c r="I6" s="10"/>
      <c r="J6" s="10"/>
      <c r="K6" s="10"/>
      <c r="L6" s="10"/>
    </row>
    <row r="7" spans="1:12" ht="21.75" customHeight="1" x14ac:dyDescent="0.3">
      <c r="A7" s="9" t="s">
        <v>54</v>
      </c>
      <c r="B7" s="9"/>
      <c r="C7" s="9"/>
      <c r="D7" s="9"/>
      <c r="E7" s="9"/>
      <c r="F7" s="9"/>
      <c r="G7" s="9"/>
      <c r="H7" s="9"/>
      <c r="I7" s="9"/>
      <c r="J7" s="9"/>
      <c r="K7" s="9"/>
      <c r="L7" s="9"/>
    </row>
    <row r="8" spans="1:12" ht="19.5" customHeight="1" x14ac:dyDescent="0.3">
      <c r="A8" s="8" t="s">
        <v>7</v>
      </c>
      <c r="B8" s="8"/>
      <c r="C8" s="8"/>
      <c r="D8" s="7" t="s">
        <v>8</v>
      </c>
      <c r="E8" s="7"/>
      <c r="F8" s="7"/>
      <c r="G8" s="8" t="s">
        <v>55</v>
      </c>
      <c r="H8" s="8"/>
      <c r="I8" s="8"/>
      <c r="J8" s="7" t="s">
        <v>12</v>
      </c>
      <c r="K8" s="7"/>
      <c r="L8" s="7"/>
    </row>
    <row r="9" spans="1:12" ht="19.5" customHeight="1" x14ac:dyDescent="0.3">
      <c r="A9" s="8" t="s">
        <v>15</v>
      </c>
      <c r="B9" s="8"/>
      <c r="C9" s="8"/>
      <c r="D9" s="7" t="s">
        <v>16</v>
      </c>
      <c r="E9" s="7"/>
      <c r="F9" s="7"/>
      <c r="G9" s="8" t="s">
        <v>56</v>
      </c>
      <c r="H9" s="8"/>
      <c r="I9" s="8"/>
      <c r="J9" s="6" t="str">
        <f>IFERROR(VLOOKUP($D$9,tbl_Bloques,2,FALSE()),"")</f>
        <v>C1076-Q9586</v>
      </c>
      <c r="K9" s="6"/>
      <c r="L9" s="6"/>
    </row>
    <row r="10" spans="1:12" ht="19.5" customHeight="1" x14ac:dyDescent="0.3">
      <c r="A10" s="8" t="s">
        <v>19</v>
      </c>
      <c r="B10" s="8"/>
      <c r="C10" s="8"/>
      <c r="D10" s="6" t="str">
        <f>IFERROR(VLOOKUP($D$9,tbl_Bloques,4,FALSE()),"")</f>
        <v>San Miguel de El Faique</v>
      </c>
      <c r="E10" s="6"/>
      <c r="F10" s="6"/>
      <c r="G10" s="8" t="s">
        <v>57</v>
      </c>
      <c r="H10" s="8"/>
      <c r="I10" s="8"/>
      <c r="J10" s="7" t="s">
        <v>25</v>
      </c>
      <c r="K10" s="7"/>
      <c r="L10" s="7"/>
    </row>
    <row r="11" spans="1:12" ht="19.5" customHeight="1" x14ac:dyDescent="0.3">
      <c r="A11" s="8" t="s">
        <v>58</v>
      </c>
      <c r="B11" s="8"/>
      <c r="C11" s="8"/>
      <c r="D11" s="7">
        <v>663790</v>
      </c>
      <c r="E11" s="7"/>
      <c r="F11" s="7"/>
      <c r="G11" s="8" t="s">
        <v>59</v>
      </c>
      <c r="H11" s="8"/>
      <c r="I11" s="8"/>
      <c r="J11" s="7">
        <v>9400681</v>
      </c>
      <c r="K11" s="7"/>
      <c r="L11" s="7"/>
    </row>
    <row r="13" spans="1:12" ht="21.75" customHeight="1" x14ac:dyDescent="0.3">
      <c r="A13" s="9" t="s">
        <v>60</v>
      </c>
      <c r="B13" s="9"/>
      <c r="C13" s="9"/>
      <c r="D13" s="9"/>
      <c r="E13" s="9"/>
      <c r="F13" s="9"/>
      <c r="G13" s="9"/>
      <c r="H13" s="9"/>
      <c r="I13" s="9"/>
      <c r="J13" s="9"/>
      <c r="K13" s="9"/>
      <c r="L13" s="9"/>
    </row>
    <row r="14" spans="1:12" ht="19.5" customHeight="1" x14ac:dyDescent="0.3">
      <c r="A14" s="8" t="s">
        <v>61</v>
      </c>
      <c r="B14" s="8"/>
      <c r="C14" s="8"/>
      <c r="D14" s="7"/>
      <c r="E14" s="7"/>
      <c r="F14" s="7"/>
      <c r="G14" s="7"/>
      <c r="H14" s="7"/>
      <c r="I14" s="7"/>
      <c r="J14" s="7"/>
      <c r="K14" s="7"/>
      <c r="L14" s="7"/>
    </row>
    <row r="15" spans="1:12" ht="19.5" customHeight="1" x14ac:dyDescent="0.3">
      <c r="A15" s="8" t="s">
        <v>62</v>
      </c>
      <c r="B15" s="8"/>
      <c r="C15" s="8"/>
      <c r="D15" s="7" t="s">
        <v>44</v>
      </c>
      <c r="E15" s="7"/>
      <c r="F15" s="7"/>
      <c r="G15" s="7"/>
      <c r="H15" s="7"/>
      <c r="I15" s="7"/>
      <c r="J15" s="7"/>
      <c r="K15" s="7"/>
      <c r="L15" s="7"/>
    </row>
    <row r="16" spans="1:12" ht="19.5" customHeight="1" x14ac:dyDescent="0.3">
      <c r="A16" s="8" t="s">
        <v>63</v>
      </c>
      <c r="B16" s="8"/>
      <c r="C16" s="8"/>
      <c r="D16" s="7"/>
      <c r="E16" s="7"/>
      <c r="F16" s="7"/>
      <c r="G16" s="7"/>
      <c r="H16" s="7"/>
      <c r="I16" s="7"/>
      <c r="J16" s="7"/>
      <c r="K16" s="7"/>
      <c r="L16" s="7"/>
    </row>
    <row r="17" spans="1:12" ht="19.5" customHeight="1" x14ac:dyDescent="0.3">
      <c r="A17" s="8" t="s">
        <v>64</v>
      </c>
      <c r="B17" s="8"/>
      <c r="C17" s="8"/>
      <c r="D17" s="7" t="s">
        <v>65</v>
      </c>
      <c r="E17" s="7"/>
      <c r="F17" s="7"/>
      <c r="G17" s="7"/>
      <c r="H17" s="7"/>
      <c r="I17" s="7"/>
      <c r="J17" s="7"/>
      <c r="K17" s="7"/>
      <c r="L17" s="7"/>
    </row>
    <row r="19" spans="1:12" ht="21.75" customHeight="1" x14ac:dyDescent="0.3">
      <c r="A19" s="9" t="s">
        <v>66</v>
      </c>
      <c r="B19" s="9"/>
      <c r="C19" s="9"/>
      <c r="D19" s="9"/>
      <c r="E19" s="9"/>
      <c r="F19" s="9"/>
      <c r="G19" s="9"/>
      <c r="H19" s="9"/>
      <c r="I19" s="9"/>
      <c r="J19" s="9"/>
      <c r="K19" s="9"/>
      <c r="L19" s="9"/>
    </row>
    <row r="20" spans="1:12" ht="25.5" customHeight="1" x14ac:dyDescent="0.3">
      <c r="A20" s="4" t="s">
        <v>67</v>
      </c>
      <c r="B20" s="4"/>
      <c r="C20" s="4"/>
      <c r="D20" s="4"/>
      <c r="E20" s="4"/>
      <c r="F20" s="4"/>
      <c r="G20" s="4"/>
      <c r="H20" s="4"/>
      <c r="I20" s="4"/>
      <c r="J20" s="4"/>
      <c r="K20" s="4"/>
      <c r="L20" s="4"/>
    </row>
    <row r="21" spans="1:12" ht="31.5" customHeight="1" x14ac:dyDescent="0.3">
      <c r="A21" s="16" t="s">
        <v>68</v>
      </c>
      <c r="B21" s="16" t="s">
        <v>69</v>
      </c>
      <c r="C21" s="16" t="s">
        <v>70</v>
      </c>
      <c r="D21" s="16" t="s">
        <v>71</v>
      </c>
      <c r="E21" s="16" t="s">
        <v>72</v>
      </c>
      <c r="F21" s="16" t="s">
        <v>73</v>
      </c>
      <c r="G21" s="16" t="s">
        <v>74</v>
      </c>
      <c r="H21" s="16" t="s">
        <v>75</v>
      </c>
      <c r="I21" s="16" t="s">
        <v>76</v>
      </c>
      <c r="J21" s="16" t="s">
        <v>77</v>
      </c>
      <c r="K21" s="16" t="s">
        <v>78</v>
      </c>
      <c r="L21" s="16" t="s">
        <v>79</v>
      </c>
    </row>
    <row r="22" spans="1:12" ht="19.5" customHeight="1" x14ac:dyDescent="0.3">
      <c r="A22" s="17"/>
      <c r="B22" s="17"/>
      <c r="C22" s="17"/>
      <c r="D22" s="17"/>
      <c r="E22" s="17"/>
      <c r="F22" s="17"/>
      <c r="G22" s="17"/>
      <c r="H22" s="17"/>
      <c r="I22" s="17"/>
      <c r="J22" s="17"/>
      <c r="K22" s="18"/>
      <c r="L22" s="17"/>
    </row>
    <row r="23" spans="1:12" ht="19.5" customHeight="1" x14ac:dyDescent="0.3">
      <c r="A23" s="17"/>
      <c r="B23" s="17"/>
      <c r="C23" s="17"/>
      <c r="D23" s="17"/>
      <c r="E23" s="17"/>
      <c r="F23" s="17"/>
      <c r="G23" s="17"/>
      <c r="H23" s="17"/>
      <c r="I23" s="17"/>
      <c r="J23" s="17"/>
      <c r="K23" s="18"/>
      <c r="L23" s="17"/>
    </row>
    <row r="24" spans="1:12" ht="19.5" customHeight="1" x14ac:dyDescent="0.3">
      <c r="A24" s="17"/>
      <c r="B24" s="17"/>
      <c r="C24" s="17"/>
      <c r="D24" s="17"/>
      <c r="E24" s="17"/>
      <c r="F24" s="17"/>
      <c r="G24" s="17"/>
      <c r="H24" s="17"/>
      <c r="I24" s="17"/>
      <c r="J24" s="17"/>
      <c r="K24" s="18"/>
      <c r="L24" s="17"/>
    </row>
    <row r="25" spans="1:12" ht="19.5" customHeight="1" x14ac:dyDescent="0.3">
      <c r="A25" s="17"/>
      <c r="B25" s="17"/>
      <c r="C25" s="17"/>
      <c r="D25" s="17"/>
      <c r="E25" s="17"/>
      <c r="F25" s="17"/>
      <c r="G25" s="17"/>
      <c r="H25" s="17"/>
      <c r="I25" s="17"/>
      <c r="J25" s="17"/>
      <c r="K25" s="18"/>
      <c r="L25" s="17"/>
    </row>
    <row r="26" spans="1:12" ht="19.5" customHeight="1" x14ac:dyDescent="0.3">
      <c r="A26" s="17"/>
      <c r="B26" s="17"/>
      <c r="C26" s="17"/>
      <c r="D26" s="17"/>
      <c r="E26" s="17"/>
      <c r="F26" s="17"/>
      <c r="G26" s="17"/>
      <c r="H26" s="17"/>
      <c r="I26" s="17"/>
      <c r="J26" s="17"/>
      <c r="K26" s="18"/>
      <c r="L26" s="17"/>
    </row>
    <row r="27" spans="1:12" ht="19.5" customHeight="1" x14ac:dyDescent="0.3">
      <c r="A27" s="17"/>
      <c r="B27" s="17"/>
      <c r="C27" s="17"/>
      <c r="D27" s="17"/>
      <c r="E27" s="17"/>
      <c r="F27" s="17"/>
      <c r="G27" s="17"/>
      <c r="H27" s="17"/>
      <c r="I27" s="17"/>
      <c r="J27" s="17"/>
      <c r="K27" s="18"/>
      <c r="L27" s="17"/>
    </row>
    <row r="28" spans="1:12" ht="19.5" customHeight="1" x14ac:dyDescent="0.3">
      <c r="A28" s="17"/>
      <c r="B28" s="17"/>
      <c r="C28" s="17"/>
      <c r="D28" s="17"/>
      <c r="E28" s="17"/>
      <c r="F28" s="17"/>
      <c r="G28" s="17"/>
      <c r="H28" s="17"/>
      <c r="I28" s="17"/>
      <c r="J28" s="17"/>
      <c r="K28" s="18"/>
      <c r="L28" s="17"/>
    </row>
    <row r="29" spans="1:12" ht="19.5" customHeight="1" x14ac:dyDescent="0.3">
      <c r="A29" s="17"/>
      <c r="B29" s="17"/>
      <c r="C29" s="17"/>
      <c r="D29" s="17"/>
      <c r="E29" s="17"/>
      <c r="F29" s="17"/>
      <c r="G29" s="17"/>
      <c r="H29" s="17"/>
      <c r="I29" s="17"/>
      <c r="J29" s="17"/>
      <c r="K29" s="18"/>
      <c r="L29" s="17"/>
    </row>
    <row r="30" spans="1:12" ht="19.5" customHeight="1" x14ac:dyDescent="0.3">
      <c r="A30" s="17"/>
      <c r="B30" s="17"/>
      <c r="C30" s="17"/>
      <c r="D30" s="17"/>
      <c r="E30" s="17"/>
      <c r="F30" s="17"/>
      <c r="G30" s="17"/>
      <c r="H30" s="17"/>
      <c r="I30" s="17"/>
      <c r="J30" s="17"/>
      <c r="K30" s="18"/>
      <c r="L30" s="17"/>
    </row>
    <row r="31" spans="1:12" ht="19.5" customHeight="1" x14ac:dyDescent="0.3">
      <c r="A31" s="17"/>
      <c r="B31" s="17"/>
      <c r="C31" s="17"/>
      <c r="D31" s="17"/>
      <c r="E31" s="17"/>
      <c r="F31" s="17"/>
      <c r="G31" s="17"/>
      <c r="H31" s="17"/>
      <c r="I31" s="17"/>
      <c r="J31" s="17"/>
      <c r="K31" s="18"/>
      <c r="L31" s="17"/>
    </row>
    <row r="33" spans="1:12" ht="21.75" customHeight="1" x14ac:dyDescent="0.3">
      <c r="A33" s="9" t="s">
        <v>80</v>
      </c>
      <c r="B33" s="9"/>
      <c r="C33" s="9"/>
      <c r="D33" s="9"/>
      <c r="E33" s="9"/>
      <c r="F33" s="9"/>
      <c r="G33" s="9"/>
      <c r="H33" s="9"/>
      <c r="I33" s="9"/>
      <c r="J33" s="9"/>
      <c r="K33" s="9"/>
      <c r="L33" s="9"/>
    </row>
    <row r="34" spans="1:12" ht="19.5" customHeight="1" x14ac:dyDescent="0.3">
      <c r="A34" s="8" t="s">
        <v>81</v>
      </c>
      <c r="B34" s="8"/>
      <c r="C34" s="8"/>
      <c r="D34" s="7" t="s">
        <v>65</v>
      </c>
      <c r="E34" s="7"/>
      <c r="F34" s="7"/>
      <c r="G34" s="7"/>
      <c r="H34" s="7"/>
      <c r="I34" s="7"/>
      <c r="J34" s="7"/>
      <c r="K34" s="7"/>
      <c r="L34" s="7"/>
    </row>
    <row r="35" spans="1:12" ht="19.5" customHeight="1" x14ac:dyDescent="0.3">
      <c r="A35" s="8" t="s">
        <v>82</v>
      </c>
      <c r="B35" s="8"/>
      <c r="C35" s="8"/>
      <c r="D35" s="7">
        <v>0</v>
      </c>
      <c r="E35" s="7"/>
      <c r="F35" s="7"/>
      <c r="G35" s="8" t="s">
        <v>83</v>
      </c>
      <c r="H35" s="8"/>
      <c r="I35" s="8"/>
      <c r="J35" s="7">
        <v>0</v>
      </c>
      <c r="K35" s="7"/>
      <c r="L35" s="7"/>
    </row>
    <row r="36" spans="1:12" ht="19.5" customHeight="1" x14ac:dyDescent="0.3">
      <c r="A36" s="8" t="s">
        <v>84</v>
      </c>
      <c r="B36" s="8"/>
      <c r="C36" s="8"/>
      <c r="D36" s="7">
        <v>0</v>
      </c>
      <c r="E36" s="7"/>
      <c r="F36" s="7"/>
      <c r="G36" s="8" t="s">
        <v>85</v>
      </c>
      <c r="H36" s="8"/>
      <c r="I36" s="8"/>
      <c r="J36" s="7" t="s">
        <v>25</v>
      </c>
      <c r="K36" s="7"/>
      <c r="L36" s="7"/>
    </row>
    <row r="37" spans="1:12" ht="19.5" customHeight="1" x14ac:dyDescent="0.3">
      <c r="A37" s="8" t="s">
        <v>86</v>
      </c>
      <c r="B37" s="8"/>
      <c r="C37" s="8"/>
      <c r="D37" s="7"/>
      <c r="E37" s="7"/>
      <c r="F37" s="7"/>
      <c r="G37" s="7"/>
      <c r="H37" s="7"/>
      <c r="I37" s="7"/>
      <c r="J37" s="7"/>
      <c r="K37" s="7"/>
      <c r="L37" s="7"/>
    </row>
    <row r="38" spans="1:12" ht="19.5" customHeight="1" x14ac:dyDescent="0.3">
      <c r="A38" s="8" t="s">
        <v>87</v>
      </c>
      <c r="B38" s="8"/>
      <c r="C38" s="8"/>
      <c r="D38" s="7" t="s">
        <v>46</v>
      </c>
      <c r="E38" s="7"/>
      <c r="F38" s="7"/>
      <c r="G38" s="7"/>
      <c r="H38" s="7"/>
      <c r="I38" s="7"/>
      <c r="J38" s="7"/>
      <c r="K38" s="7"/>
      <c r="L38" s="7"/>
    </row>
    <row r="39" spans="1:12" ht="19.5" customHeight="1" x14ac:dyDescent="0.3">
      <c r="A39" s="8" t="s">
        <v>88</v>
      </c>
      <c r="B39" s="8"/>
      <c r="C39" s="8"/>
      <c r="D39" s="7" t="s">
        <v>89</v>
      </c>
      <c r="E39" s="7"/>
      <c r="F39" s="7"/>
      <c r="G39" s="7"/>
      <c r="H39" s="7"/>
      <c r="I39" s="7"/>
      <c r="J39" s="7"/>
      <c r="K39" s="7"/>
      <c r="L39" s="7"/>
    </row>
    <row r="41" spans="1:12" ht="21.75" customHeight="1" x14ac:dyDescent="0.3">
      <c r="A41" s="9" t="s">
        <v>50</v>
      </c>
      <c r="B41" s="9"/>
      <c r="C41" s="9"/>
      <c r="D41" s="9"/>
      <c r="E41" s="9"/>
      <c r="F41" s="9"/>
      <c r="G41" s="9"/>
      <c r="H41" s="9"/>
      <c r="I41" s="9"/>
      <c r="J41" s="9"/>
      <c r="K41" s="9"/>
      <c r="L41" s="9"/>
    </row>
    <row r="42" spans="1:12" ht="27.75" customHeight="1" x14ac:dyDescent="0.3">
      <c r="A42" s="2" t="s">
        <v>90</v>
      </c>
      <c r="B42" s="2"/>
      <c r="C42" s="2"/>
      <c r="D42" s="2"/>
      <c r="E42" s="2"/>
      <c r="F42" s="2"/>
      <c r="G42" s="2"/>
      <c r="H42" s="2"/>
      <c r="I42" s="2"/>
      <c r="J42" s="2"/>
      <c r="K42" s="2"/>
      <c r="L42" s="2"/>
    </row>
    <row r="43" spans="1:12" ht="27.75" customHeight="1" x14ac:dyDescent="0.3">
      <c r="A43" s="2"/>
      <c r="B43" s="2"/>
      <c r="C43" s="2"/>
      <c r="D43" s="2"/>
      <c r="E43" s="2"/>
      <c r="F43" s="2"/>
      <c r="G43" s="2"/>
      <c r="H43" s="2"/>
      <c r="I43" s="2"/>
      <c r="J43" s="2"/>
      <c r="K43" s="2"/>
      <c r="L43" s="2"/>
    </row>
    <row r="44" spans="1:12" ht="27.75" customHeight="1" x14ac:dyDescent="0.3">
      <c r="A44" s="2"/>
      <c r="B44" s="2"/>
      <c r="C44" s="2"/>
      <c r="D44" s="2"/>
      <c r="E44" s="2"/>
      <c r="F44" s="2"/>
      <c r="G44" s="2"/>
      <c r="H44" s="2"/>
      <c r="I44" s="2"/>
      <c r="J44" s="2"/>
      <c r="K44" s="2"/>
      <c r="L44" s="2"/>
    </row>
  </sheetData>
  <mergeCells count="53">
    <mergeCell ref="A42:L44"/>
    <mergeCell ref="A38:C38"/>
    <mergeCell ref="D38:L38"/>
    <mergeCell ref="A39:C39"/>
    <mergeCell ref="D39:L39"/>
    <mergeCell ref="A41:L41"/>
    <mergeCell ref="A36:C36"/>
    <mergeCell ref="D36:F36"/>
    <mergeCell ref="G36:I36"/>
    <mergeCell ref="J36:L36"/>
    <mergeCell ref="A37:C37"/>
    <mergeCell ref="D37:L37"/>
    <mergeCell ref="A34:C34"/>
    <mergeCell ref="D34:L34"/>
    <mergeCell ref="A35:C35"/>
    <mergeCell ref="D35:F35"/>
    <mergeCell ref="G35:I35"/>
    <mergeCell ref="J35:L35"/>
    <mergeCell ref="A17:C17"/>
    <mergeCell ref="D17:L17"/>
    <mergeCell ref="A19:L19"/>
    <mergeCell ref="A20:L20"/>
    <mergeCell ref="A33:L33"/>
    <mergeCell ref="A14:C14"/>
    <mergeCell ref="D14:L14"/>
    <mergeCell ref="A15:C15"/>
    <mergeCell ref="D15:L15"/>
    <mergeCell ref="A16:C16"/>
    <mergeCell ref="D16:L16"/>
    <mergeCell ref="A11:C11"/>
    <mergeCell ref="D11:F11"/>
    <mergeCell ref="G11:I11"/>
    <mergeCell ref="J11:L11"/>
    <mergeCell ref="A13:L13"/>
    <mergeCell ref="A9:C9"/>
    <mergeCell ref="D9:F9"/>
    <mergeCell ref="G9:I9"/>
    <mergeCell ref="J9:L9"/>
    <mergeCell ref="A10:C10"/>
    <mergeCell ref="D10:F10"/>
    <mergeCell ref="G10:I10"/>
    <mergeCell ref="J10:L10"/>
    <mergeCell ref="A6:L6"/>
    <mergeCell ref="A7:L7"/>
    <mergeCell ref="A8:C8"/>
    <mergeCell ref="D8:F8"/>
    <mergeCell ref="G8:I8"/>
    <mergeCell ref="J8:L8"/>
    <mergeCell ref="A1:L1"/>
    <mergeCell ref="A2:L2"/>
    <mergeCell ref="A3:L3"/>
    <mergeCell ref="A4:L4"/>
    <mergeCell ref="A5:L5"/>
  </mergeCells>
  <dataValidations count="12">
    <dataValidation type="list" allowBlank="1" errorTitle="Valor no válido" error="Seleccione un valor de la lista desplegable." promptTitle="Código de Bloque" prompt="Elija una opción de la lista." sqref="D9" xr:uid="{00000000-0002-0000-0100-000000000000}">
      <formula1>lst_CodigoBloque</formula1>
      <formula2>0</formula2>
    </dataValidation>
    <dataValidation type="list" allowBlank="1" errorTitle="Valor no válido" error="Seleccione un valor de la lista desplegable." promptTitle="Sellamiento / Costra superfici" prompt="Elija una opción de la lista." sqref="D14" xr:uid="{00000000-0002-0000-0100-000001000000}">
      <formula1>lst_SiNo</formula1>
      <formula2>0</formula2>
    </dataValidation>
    <dataValidation type="list" allowBlank="1" errorTitle="Valor no válido" error="Seleccione un valor de la lista desplegable." promptTitle="¿Compactación por pisoteo de g" prompt="Elija una opción de la lista." sqref="D15" xr:uid="{00000000-0002-0000-0100-000002000000}">
      <formula1>lst_SiNo</formula1>
      <formula2>0</formula2>
    </dataValidation>
    <dataValidation type="list" allowBlank="1" errorTitle="Valor no válido" error="Seleccione un valor de la lista desplegable." promptTitle="¿Raíces expuestas en superfici" prompt="Elija una opción de la lista." sqref="D16" xr:uid="{00000000-0002-0000-0100-000003000000}">
      <formula1>lst_SiNo</formula1>
      <formula2>0</formula2>
    </dataValidation>
    <dataValidation type="list" allowBlank="1" errorTitle="Valor no válido" error="Seleccione un valor de la lista desplegable." promptTitle="Nivel general de erosión obser" prompt="Elija una opción de la lista." sqref="D17" xr:uid="{00000000-0002-0000-0100-000004000000}">
      <formula1>lst_NivelErosion</formula1>
      <formula2>0</formula2>
    </dataValidation>
    <dataValidation type="list" allowBlank="1" errorTitle="Valor no válido" error="Seleccione un valor de la lista desplegable." promptTitle="Tipo de cárcava" prompt="Elija una opción de la lista." sqref="B22:B31" xr:uid="{00000000-0002-0000-0100-000005000000}">
      <formula1>lst_TipoCarcava</formula1>
      <formula2>0</formula2>
    </dataValidation>
    <dataValidation type="list" allowBlank="1" errorTitle="Valor no válido" error="Seleccione un valor de la lista desplegable." promptTitle="Estado / Actividad" prompt="Elija una opción de la lista." sqref="J22:J31" xr:uid="{00000000-0002-0000-0100-000006000000}">
      <formula1>lst_EstadoCarcava</formula1>
      <formula2>0</formula2>
    </dataValidation>
    <dataValidation type="list" allowBlank="1" errorTitle="Valor no válido" error="Seleccione un valor de la lista desplegable." promptTitle="Causa principal" prompt="Elija una opción de la lista." sqref="K22:K31" xr:uid="{00000000-0002-0000-0100-000007000000}">
      <formula1>lst_CausaCarcava</formula1>
      <formula2>0</formula2>
    </dataValidation>
    <dataValidation type="list" allowBlank="1" errorTitle="Valor no válido" error="Seleccione un valor de la lista desplegable." promptTitle="Nivel general de erosión (sínt" prompt="Elija una opción de la lista." sqref="D34" xr:uid="{00000000-0002-0000-0100-000008000000}">
      <formula1>lst_NivelErosion</formula1>
      <formula2>0</formula2>
    </dataValidation>
    <dataValidation type="list" allowBlank="1" errorTitle="Valor no válido" error="Seleccione un valor de la lista desplegable." promptTitle="Patrón de cárcavas dominante" prompt="Elija una opción de la lista." sqref="D37" xr:uid="{00000000-0002-0000-0100-000009000000}">
      <formula1>lst_PatronCarcavas</formula1>
      <formula2>0</formula2>
    </dataValidation>
    <dataValidation type="list" allowBlank="1" errorTitle="Valor no válido" error="Seleccione un valor de la lista desplegable." promptTitle="Presencia de socavamiento de c" prompt="Elija una opción de la lista." sqref="D38" xr:uid="{00000000-0002-0000-0100-00000A000000}">
      <formula1>lst_SiNo</formula1>
      <formula2>0</formula2>
    </dataValidation>
    <dataValidation type="list" allowBlank="1" errorTitle="Valor no válido" error="Seleccione un valor de la lista desplegable." promptTitle="Urgencia de control" prompt="Elija una opción de la lista." sqref="D39" xr:uid="{00000000-0002-0000-0100-00000B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67"/>
  <sheetViews>
    <sheetView showGridLines="0" zoomScaleNormal="100" workbookViewId="0">
      <pane ySplit="6" topLeftCell="A55" activePane="bottomLeft" state="frozen"/>
      <selection pane="bottomLeft" activeCell="A65" sqref="A65:I67"/>
    </sheetView>
  </sheetViews>
  <sheetFormatPr baseColWidth="10" defaultColWidth="8.6640625" defaultRowHeight="14.4" x14ac:dyDescent="0.3"/>
  <cols>
    <col min="1" max="1" width="8" customWidth="1"/>
    <col min="2" max="2" width="26" customWidth="1"/>
    <col min="3" max="3" width="24" customWidth="1"/>
    <col min="4" max="4" width="18" customWidth="1"/>
    <col min="5" max="5" width="22" customWidth="1"/>
    <col min="6" max="6" width="14" customWidth="1"/>
    <col min="7" max="7" width="17" customWidth="1"/>
    <col min="8" max="8" width="13" customWidth="1"/>
    <col min="9" max="9" width="12" customWidth="1"/>
  </cols>
  <sheetData>
    <row r="1" spans="1:9" ht="21.75" customHeight="1" x14ac:dyDescent="0.3">
      <c r="A1" s="14" t="s">
        <v>0</v>
      </c>
      <c r="B1" s="14"/>
      <c r="C1" s="14"/>
      <c r="D1" s="14"/>
      <c r="E1" s="14"/>
      <c r="F1" s="14"/>
      <c r="G1" s="14"/>
      <c r="H1" s="14"/>
      <c r="I1" s="14"/>
    </row>
    <row r="2" spans="1:9" ht="18" customHeight="1" x14ac:dyDescent="0.3">
      <c r="A2" s="13" t="s">
        <v>1</v>
      </c>
      <c r="B2" s="13"/>
      <c r="C2" s="13"/>
      <c r="D2" s="13"/>
      <c r="E2" s="13"/>
      <c r="F2" s="13"/>
      <c r="G2" s="13"/>
      <c r="H2" s="13"/>
      <c r="I2" s="13"/>
    </row>
    <row r="3" spans="1:9" ht="30" customHeight="1" x14ac:dyDescent="0.3">
      <c r="A3" s="13" t="s">
        <v>2</v>
      </c>
      <c r="B3" s="13"/>
      <c r="C3" s="13"/>
      <c r="D3" s="13"/>
      <c r="E3" s="13"/>
      <c r="F3" s="13"/>
      <c r="G3" s="13"/>
      <c r="H3" s="13"/>
      <c r="I3" s="13"/>
    </row>
    <row r="4" spans="1:9" ht="27.75" customHeight="1" x14ac:dyDescent="0.3">
      <c r="A4" s="12" t="s">
        <v>91</v>
      </c>
      <c r="B4" s="12"/>
      <c r="C4" s="12"/>
      <c r="D4" s="12"/>
      <c r="E4" s="12"/>
      <c r="F4" s="12"/>
      <c r="G4" s="12"/>
      <c r="H4" s="12"/>
      <c r="I4" s="12"/>
    </row>
    <row r="5" spans="1:9" ht="27.75" customHeight="1" x14ac:dyDescent="0.3">
      <c r="A5" s="11" t="s">
        <v>92</v>
      </c>
      <c r="B5" s="11"/>
      <c r="C5" s="11"/>
      <c r="D5" s="11"/>
      <c r="E5" s="11"/>
      <c r="F5" s="11"/>
      <c r="G5" s="11"/>
      <c r="H5" s="11"/>
      <c r="I5" s="11"/>
    </row>
    <row r="6" spans="1:9" ht="24" customHeight="1" x14ac:dyDescent="0.3">
      <c r="A6" s="10" t="s">
        <v>5</v>
      </c>
      <c r="B6" s="10"/>
      <c r="C6" s="10"/>
      <c r="D6" s="10"/>
      <c r="E6" s="10"/>
      <c r="F6" s="10"/>
      <c r="G6" s="10"/>
      <c r="H6" s="10"/>
      <c r="I6" s="10"/>
    </row>
    <row r="7" spans="1:9" ht="21.75" customHeight="1" x14ac:dyDescent="0.3">
      <c r="A7" s="9" t="s">
        <v>54</v>
      </c>
      <c r="B7" s="9"/>
      <c r="C7" s="9"/>
      <c r="D7" s="9"/>
      <c r="E7" s="9"/>
      <c r="F7" s="9"/>
      <c r="G7" s="9"/>
      <c r="H7" s="9"/>
      <c r="I7" s="9"/>
    </row>
    <row r="8" spans="1:9" ht="19.5" customHeight="1" x14ac:dyDescent="0.3">
      <c r="A8" s="8" t="s">
        <v>93</v>
      </c>
      <c r="B8" s="8"/>
      <c r="C8" s="7" t="s">
        <v>8</v>
      </c>
      <c r="D8" s="7"/>
      <c r="E8" s="8" t="s">
        <v>55</v>
      </c>
      <c r="F8" s="8"/>
      <c r="G8" s="7" t="s">
        <v>12</v>
      </c>
      <c r="H8" s="7"/>
      <c r="I8" s="7"/>
    </row>
    <row r="9" spans="1:9" ht="19.5" customHeight="1" x14ac:dyDescent="0.3">
      <c r="A9" s="8" t="s">
        <v>15</v>
      </c>
      <c r="B9" s="8"/>
      <c r="C9" s="7" t="s">
        <v>16</v>
      </c>
      <c r="D9" s="7"/>
      <c r="E9" s="8" t="s">
        <v>94</v>
      </c>
      <c r="F9" s="8"/>
      <c r="G9" s="6" t="str">
        <f>IFERROR(VLOOKUP($C$9,tbl_Bloques,2,FALSE()),"")</f>
        <v>C1076-Q9586</v>
      </c>
      <c r="H9" s="6"/>
      <c r="I9" s="6"/>
    </row>
    <row r="10" spans="1:9" ht="19.5" customHeight="1" x14ac:dyDescent="0.3">
      <c r="A10" s="8" t="s">
        <v>19</v>
      </c>
      <c r="B10" s="8"/>
      <c r="C10" s="6" t="str">
        <f>IFERROR(VLOOKUP($C$9,tbl_Bloques,4,FALSE()),"")</f>
        <v>San Miguel de El Faique</v>
      </c>
      <c r="D10" s="6"/>
      <c r="E10" s="8" t="s">
        <v>95</v>
      </c>
      <c r="F10" s="8"/>
      <c r="G10" s="7" t="s">
        <v>96</v>
      </c>
      <c r="H10" s="7"/>
      <c r="I10" s="7"/>
    </row>
    <row r="11" spans="1:9" ht="19.5" customHeight="1" x14ac:dyDescent="0.3">
      <c r="A11" s="8" t="s">
        <v>97</v>
      </c>
      <c r="B11" s="8"/>
      <c r="C11" s="7" t="s">
        <v>98</v>
      </c>
      <c r="D11" s="7"/>
      <c r="E11" s="8" t="s">
        <v>57</v>
      </c>
      <c r="F11" s="8"/>
      <c r="G11" s="7" t="s">
        <v>25</v>
      </c>
      <c r="H11" s="7"/>
      <c r="I11" s="7"/>
    </row>
    <row r="12" spans="1:9" ht="19.5" customHeight="1" x14ac:dyDescent="0.3">
      <c r="A12" s="8" t="s">
        <v>99</v>
      </c>
      <c r="B12" s="8"/>
      <c r="C12" s="7">
        <v>28.8</v>
      </c>
      <c r="D12" s="7"/>
      <c r="E12" s="8" t="s">
        <v>100</v>
      </c>
      <c r="F12" s="8"/>
      <c r="G12" s="7">
        <v>85</v>
      </c>
      <c r="H12" s="7"/>
      <c r="I12" s="7"/>
    </row>
    <row r="13" spans="1:9" ht="19.5" customHeight="1" x14ac:dyDescent="0.3">
      <c r="A13" s="8" t="s">
        <v>101</v>
      </c>
      <c r="B13" s="8"/>
      <c r="C13" s="7">
        <v>663790</v>
      </c>
      <c r="D13" s="7"/>
      <c r="E13" s="8" t="s">
        <v>102</v>
      </c>
      <c r="F13" s="8"/>
      <c r="G13" s="7">
        <v>9400681</v>
      </c>
      <c r="H13" s="7"/>
      <c r="I13" s="7"/>
    </row>
    <row r="15" spans="1:9" ht="21.75" customHeight="1" x14ac:dyDescent="0.3">
      <c r="A15" s="9" t="s">
        <v>103</v>
      </c>
      <c r="B15" s="9"/>
      <c r="C15" s="9"/>
      <c r="D15" s="9"/>
      <c r="E15" s="9"/>
      <c r="F15" s="9"/>
      <c r="G15" s="9"/>
      <c r="H15" s="9"/>
      <c r="I15" s="9"/>
    </row>
    <row r="16" spans="1:9" ht="19.5" customHeight="1" x14ac:dyDescent="0.3">
      <c r="A16" s="8" t="s">
        <v>104</v>
      </c>
      <c r="B16" s="8"/>
      <c r="C16" s="7" t="s">
        <v>105</v>
      </c>
      <c r="D16" s="7"/>
      <c r="E16" s="7"/>
      <c r="F16" s="7"/>
      <c r="G16" s="7"/>
      <c r="H16" s="7"/>
      <c r="I16" s="7"/>
    </row>
    <row r="17" spans="1:9" ht="19.5" customHeight="1" x14ac:dyDescent="0.3">
      <c r="A17" s="8" t="s">
        <v>106</v>
      </c>
      <c r="B17" s="8"/>
      <c r="C17" s="7">
        <v>26.89</v>
      </c>
      <c r="D17" s="7"/>
      <c r="E17" s="7"/>
      <c r="F17" s="7"/>
      <c r="G17" s="7"/>
      <c r="H17" s="7"/>
      <c r="I17" s="7"/>
    </row>
    <row r="18" spans="1:9" ht="19.5" customHeight="1" x14ac:dyDescent="0.3">
      <c r="A18" s="8" t="s">
        <v>107</v>
      </c>
      <c r="B18" s="8"/>
      <c r="C18" s="7" t="s">
        <v>108</v>
      </c>
      <c r="D18" s="7"/>
      <c r="E18" s="7"/>
      <c r="F18" s="7"/>
      <c r="G18" s="7"/>
      <c r="H18" s="7"/>
      <c r="I18" s="7"/>
    </row>
    <row r="19" spans="1:9" ht="19.5" customHeight="1" x14ac:dyDescent="0.3">
      <c r="A19" s="8" t="s">
        <v>109</v>
      </c>
      <c r="B19" s="8"/>
      <c r="C19" s="7" t="s">
        <v>110</v>
      </c>
      <c r="D19" s="7"/>
      <c r="E19" s="7"/>
      <c r="F19" s="7"/>
      <c r="G19" s="7"/>
      <c r="H19" s="7"/>
      <c r="I19" s="7"/>
    </row>
    <row r="21" spans="1:9" ht="21.75" customHeight="1" x14ac:dyDescent="0.3">
      <c r="A21" s="9" t="s">
        <v>111</v>
      </c>
      <c r="B21" s="9"/>
      <c r="C21" s="9"/>
      <c r="D21" s="9"/>
      <c r="E21" s="9"/>
      <c r="F21" s="9"/>
      <c r="G21" s="9"/>
      <c r="H21" s="9"/>
      <c r="I21" s="9"/>
    </row>
    <row r="22" spans="1:9" ht="19.5" customHeight="1" x14ac:dyDescent="0.3">
      <c r="A22" s="8" t="s">
        <v>112</v>
      </c>
      <c r="B22" s="8"/>
      <c r="C22" s="7">
        <v>0</v>
      </c>
      <c r="D22" s="7"/>
      <c r="E22" s="8" t="s">
        <v>113</v>
      </c>
      <c r="F22" s="8"/>
      <c r="G22" s="7">
        <v>10</v>
      </c>
      <c r="H22" s="7"/>
      <c r="I22" s="7"/>
    </row>
    <row r="23" spans="1:9" ht="19.5" customHeight="1" x14ac:dyDescent="0.3">
      <c r="A23" s="8" t="s">
        <v>114</v>
      </c>
      <c r="B23" s="8"/>
      <c r="C23" s="7">
        <v>80</v>
      </c>
      <c r="D23" s="7"/>
      <c r="E23" s="8" t="s">
        <v>115</v>
      </c>
      <c r="F23" s="8"/>
      <c r="G23" s="7" t="s">
        <v>25</v>
      </c>
      <c r="H23" s="7"/>
      <c r="I23" s="7"/>
    </row>
    <row r="24" spans="1:9" ht="19.5" customHeight="1" x14ac:dyDescent="0.3">
      <c r="A24" s="8" t="s">
        <v>116</v>
      </c>
      <c r="B24" s="8"/>
      <c r="C24" s="7">
        <v>8</v>
      </c>
      <c r="D24" s="7"/>
      <c r="E24" s="8" t="s">
        <v>117</v>
      </c>
      <c r="F24" s="8"/>
      <c r="G24" s="7">
        <v>0.5</v>
      </c>
      <c r="H24" s="7"/>
      <c r="I24" s="7"/>
    </row>
    <row r="25" spans="1:9" ht="19.5" customHeight="1" x14ac:dyDescent="0.3">
      <c r="A25" s="8" t="s">
        <v>118</v>
      </c>
      <c r="B25" s="8"/>
      <c r="C25" s="7">
        <v>1.5</v>
      </c>
      <c r="D25" s="7"/>
      <c r="E25" s="8" t="s">
        <v>119</v>
      </c>
      <c r="F25" s="8"/>
      <c r="G25" s="7" t="s">
        <v>98</v>
      </c>
      <c r="H25" s="7"/>
      <c r="I25" s="7"/>
    </row>
    <row r="26" spans="1:9" ht="19.5" customHeight="1" x14ac:dyDescent="0.3">
      <c r="A26" s="8" t="s">
        <v>120</v>
      </c>
      <c r="B26" s="8"/>
      <c r="C26" s="7"/>
      <c r="D26" s="7"/>
      <c r="E26" s="7"/>
      <c r="F26" s="7"/>
      <c r="G26" s="7"/>
      <c r="H26" s="7"/>
      <c r="I26" s="7"/>
    </row>
    <row r="27" spans="1:9" ht="19.5" customHeight="1" x14ac:dyDescent="0.3">
      <c r="A27" s="8" t="s">
        <v>121</v>
      </c>
      <c r="B27" s="8"/>
      <c r="C27" s="7"/>
      <c r="D27" s="7"/>
      <c r="E27" s="7"/>
      <c r="F27" s="7"/>
      <c r="G27" s="7"/>
      <c r="H27" s="7"/>
      <c r="I27" s="7"/>
    </row>
    <row r="28" spans="1:9" ht="19.5" customHeight="1" x14ac:dyDescent="0.3">
      <c r="A28" s="8" t="s">
        <v>122</v>
      </c>
      <c r="B28" s="8"/>
      <c r="C28" s="7" t="s">
        <v>46</v>
      </c>
      <c r="D28" s="7"/>
      <c r="E28" s="7"/>
      <c r="F28" s="7"/>
      <c r="G28" s="7"/>
      <c r="H28" s="7"/>
      <c r="I28" s="7"/>
    </row>
    <row r="29" spans="1:9" ht="19.5" customHeight="1" x14ac:dyDescent="0.3">
      <c r="A29" s="8" t="s">
        <v>123</v>
      </c>
      <c r="B29" s="8"/>
      <c r="C29" s="7" t="s">
        <v>124</v>
      </c>
      <c r="D29" s="7"/>
      <c r="E29" s="7"/>
      <c r="F29" s="7"/>
      <c r="G29" s="7"/>
      <c r="H29" s="7"/>
      <c r="I29" s="7"/>
    </row>
    <row r="30" spans="1:9" ht="19.5" customHeight="1" x14ac:dyDescent="0.3">
      <c r="A30" s="8" t="s">
        <v>125</v>
      </c>
      <c r="B30" s="8"/>
      <c r="C30" s="7" t="s">
        <v>126</v>
      </c>
      <c r="D30" s="7"/>
      <c r="E30" s="7"/>
      <c r="F30" s="7"/>
      <c r="G30" s="7"/>
      <c r="H30" s="7"/>
      <c r="I30" s="7"/>
    </row>
    <row r="32" spans="1:9" ht="21.75" customHeight="1" x14ac:dyDescent="0.3">
      <c r="A32" s="9" t="s">
        <v>127</v>
      </c>
      <c r="B32" s="9"/>
      <c r="C32" s="9"/>
      <c r="D32" s="9"/>
      <c r="E32" s="9"/>
      <c r="F32" s="9"/>
      <c r="G32" s="9"/>
      <c r="H32" s="9"/>
      <c r="I32" s="9"/>
    </row>
    <row r="33" spans="1:9" ht="43.5" customHeight="1" x14ac:dyDescent="0.3">
      <c r="A33" s="4" t="s">
        <v>128</v>
      </c>
      <c r="B33" s="4"/>
      <c r="C33" s="4"/>
      <c r="D33" s="4"/>
      <c r="E33" s="4"/>
      <c r="F33" s="4"/>
      <c r="G33" s="4"/>
      <c r="H33" s="4"/>
      <c r="I33" s="4"/>
    </row>
    <row r="34" spans="1:9" ht="31.5" customHeight="1" x14ac:dyDescent="0.3">
      <c r="A34" s="16" t="s">
        <v>129</v>
      </c>
      <c r="B34" s="16" t="s">
        <v>130</v>
      </c>
      <c r="C34" s="16" t="s">
        <v>131</v>
      </c>
      <c r="D34" s="16" t="s">
        <v>132</v>
      </c>
      <c r="E34" s="16" t="s">
        <v>133</v>
      </c>
      <c r="F34" s="16" t="s">
        <v>134</v>
      </c>
      <c r="G34" s="16" t="s">
        <v>135</v>
      </c>
      <c r="H34" s="16" t="s">
        <v>136</v>
      </c>
      <c r="I34" s="16" t="s">
        <v>137</v>
      </c>
    </row>
    <row r="35" spans="1:9" ht="18" customHeight="1" x14ac:dyDescent="0.3">
      <c r="A35" s="19">
        <v>1</v>
      </c>
      <c r="B35" s="18" t="s">
        <v>138</v>
      </c>
      <c r="C35" s="18" t="s">
        <v>139</v>
      </c>
      <c r="D35" s="18" t="s">
        <v>140</v>
      </c>
      <c r="E35" s="17" t="s">
        <v>141</v>
      </c>
      <c r="F35" s="17" t="s">
        <v>142</v>
      </c>
      <c r="G35" s="17" t="s">
        <v>143</v>
      </c>
      <c r="H35" s="17"/>
      <c r="I35" s="17"/>
    </row>
    <row r="36" spans="1:9" ht="18" customHeight="1" x14ac:dyDescent="0.3">
      <c r="A36" s="19">
        <v>2</v>
      </c>
      <c r="B36" s="18" t="s">
        <v>144</v>
      </c>
      <c r="C36" s="18" t="s">
        <v>139</v>
      </c>
      <c r="D36" s="18" t="s">
        <v>139</v>
      </c>
      <c r="E36" s="17" t="s">
        <v>141</v>
      </c>
      <c r="F36" s="17" t="s">
        <v>142</v>
      </c>
      <c r="G36" s="17" t="s">
        <v>145</v>
      </c>
      <c r="H36" s="17"/>
      <c r="I36" s="17"/>
    </row>
    <row r="37" spans="1:9" ht="18" customHeight="1" x14ac:dyDescent="0.3">
      <c r="A37" s="19">
        <v>3</v>
      </c>
      <c r="B37" s="18" t="s">
        <v>146</v>
      </c>
      <c r="C37" s="18" t="s">
        <v>139</v>
      </c>
      <c r="D37" s="18" t="s">
        <v>139</v>
      </c>
      <c r="E37" s="17" t="s">
        <v>141</v>
      </c>
      <c r="F37" s="17" t="s">
        <v>142</v>
      </c>
      <c r="G37" s="17" t="s">
        <v>145</v>
      </c>
      <c r="H37" s="17"/>
      <c r="I37" s="17"/>
    </row>
    <row r="38" spans="1:9" ht="18" customHeight="1" x14ac:dyDescent="0.3">
      <c r="A38" s="19">
        <v>4</v>
      </c>
      <c r="B38" s="18" t="s">
        <v>147</v>
      </c>
      <c r="C38" s="18" t="s">
        <v>139</v>
      </c>
      <c r="D38" s="18" t="s">
        <v>139</v>
      </c>
      <c r="E38" s="17" t="s">
        <v>148</v>
      </c>
      <c r="F38" s="17" t="s">
        <v>142</v>
      </c>
      <c r="G38" s="17" t="s">
        <v>145</v>
      </c>
      <c r="H38" s="17"/>
      <c r="I38" s="17"/>
    </row>
    <row r="39" spans="1:9" ht="18" customHeight="1" x14ac:dyDescent="0.3">
      <c r="A39" s="19">
        <v>5</v>
      </c>
      <c r="B39" s="18" t="s">
        <v>149</v>
      </c>
      <c r="C39" s="18" t="s">
        <v>139</v>
      </c>
      <c r="D39" s="18" t="s">
        <v>139</v>
      </c>
      <c r="E39" s="17" t="s">
        <v>148</v>
      </c>
      <c r="F39" s="17" t="s">
        <v>142</v>
      </c>
      <c r="G39" s="17" t="s">
        <v>150</v>
      </c>
      <c r="H39" s="17"/>
      <c r="I39" s="17"/>
    </row>
    <row r="40" spans="1:9" ht="18" customHeight="1" x14ac:dyDescent="0.3">
      <c r="A40" s="19">
        <v>6</v>
      </c>
      <c r="B40" s="18" t="s">
        <v>151</v>
      </c>
      <c r="C40" s="18" t="s">
        <v>139</v>
      </c>
      <c r="D40" s="18" t="s">
        <v>139</v>
      </c>
      <c r="E40" s="17" t="s">
        <v>148</v>
      </c>
      <c r="F40" s="17" t="s">
        <v>142</v>
      </c>
      <c r="G40" s="17" t="s">
        <v>150</v>
      </c>
      <c r="H40" s="17"/>
      <c r="I40" s="17"/>
    </row>
    <row r="41" spans="1:9" ht="18" customHeight="1" x14ac:dyDescent="0.3">
      <c r="A41" s="19">
        <v>7</v>
      </c>
      <c r="B41" s="18" t="s">
        <v>152</v>
      </c>
      <c r="C41" s="18" t="s">
        <v>139</v>
      </c>
      <c r="D41" s="18" t="s">
        <v>139</v>
      </c>
      <c r="E41" s="17" t="s">
        <v>141</v>
      </c>
      <c r="F41" s="17" t="s">
        <v>142</v>
      </c>
      <c r="G41" s="17" t="s">
        <v>150</v>
      </c>
      <c r="H41" s="17"/>
      <c r="I41" s="17"/>
    </row>
    <row r="42" spans="1:9" ht="18" customHeight="1" x14ac:dyDescent="0.3">
      <c r="A42" s="19">
        <v>8</v>
      </c>
      <c r="B42" s="18" t="s">
        <v>153</v>
      </c>
      <c r="C42" s="18" t="s">
        <v>139</v>
      </c>
      <c r="D42" s="18" t="s">
        <v>139</v>
      </c>
      <c r="E42" s="17" t="s">
        <v>141</v>
      </c>
      <c r="F42" s="17" t="s">
        <v>142</v>
      </c>
      <c r="G42" s="17" t="s">
        <v>154</v>
      </c>
      <c r="H42" s="17"/>
      <c r="I42" s="17"/>
    </row>
    <row r="43" spans="1:9" ht="18" customHeight="1" x14ac:dyDescent="0.3">
      <c r="A43" s="19">
        <v>9</v>
      </c>
      <c r="B43" s="18" t="s">
        <v>155</v>
      </c>
      <c r="C43" s="18" t="s">
        <v>139</v>
      </c>
      <c r="D43" s="18" t="s">
        <v>139</v>
      </c>
      <c r="E43" s="17" t="s">
        <v>156</v>
      </c>
      <c r="F43" s="17" t="s">
        <v>142</v>
      </c>
      <c r="G43" s="17" t="s">
        <v>150</v>
      </c>
      <c r="H43" s="17"/>
      <c r="I43" s="17"/>
    </row>
    <row r="44" spans="1:9" ht="18" customHeight="1" x14ac:dyDescent="0.3">
      <c r="A44" s="19">
        <v>10</v>
      </c>
      <c r="B44" s="18" t="s">
        <v>157</v>
      </c>
      <c r="C44" s="18" t="s">
        <v>139</v>
      </c>
      <c r="D44" s="18" t="s">
        <v>139</v>
      </c>
      <c r="E44" s="17" t="s">
        <v>156</v>
      </c>
      <c r="F44" s="17" t="s">
        <v>142</v>
      </c>
      <c r="G44" s="17" t="s">
        <v>154</v>
      </c>
      <c r="H44" s="17"/>
      <c r="I44" s="17"/>
    </row>
    <row r="45" spans="1:9" ht="18" customHeight="1" x14ac:dyDescent="0.3">
      <c r="A45" s="19">
        <v>11</v>
      </c>
      <c r="B45" s="18"/>
      <c r="C45" s="18"/>
      <c r="D45" s="18"/>
      <c r="E45" s="17"/>
      <c r="F45" s="17"/>
      <c r="G45" s="17"/>
      <c r="H45" s="17"/>
      <c r="I45" s="17"/>
    </row>
    <row r="46" spans="1:9" ht="18" customHeight="1" x14ac:dyDescent="0.3">
      <c r="A46" s="19">
        <v>12</v>
      </c>
      <c r="B46" s="18"/>
      <c r="C46" s="18"/>
      <c r="D46" s="18"/>
      <c r="E46" s="17"/>
      <c r="F46" s="17"/>
      <c r="G46" s="17"/>
      <c r="H46" s="17"/>
      <c r="I46" s="17"/>
    </row>
    <row r="47" spans="1:9" ht="18" customHeight="1" x14ac:dyDescent="0.3">
      <c r="A47" s="19">
        <v>13</v>
      </c>
      <c r="B47" s="18"/>
      <c r="C47" s="18"/>
      <c r="D47" s="18"/>
      <c r="E47" s="17"/>
      <c r="F47" s="17"/>
      <c r="G47" s="17"/>
      <c r="H47" s="17"/>
      <c r="I47" s="17"/>
    </row>
    <row r="48" spans="1:9" ht="18" customHeight="1" x14ac:dyDescent="0.3">
      <c r="A48" s="19">
        <v>14</v>
      </c>
      <c r="B48" s="18"/>
      <c r="C48" s="18"/>
      <c r="D48" s="18"/>
      <c r="E48" s="17"/>
      <c r="F48" s="17"/>
      <c r="G48" s="17"/>
      <c r="H48" s="17"/>
      <c r="I48" s="17"/>
    </row>
    <row r="49" spans="1:9" ht="18" customHeight="1" x14ac:dyDescent="0.3">
      <c r="A49" s="19">
        <v>15</v>
      </c>
      <c r="B49" s="18"/>
      <c r="C49" s="18"/>
      <c r="D49" s="18"/>
      <c r="E49" s="17"/>
      <c r="F49" s="17"/>
      <c r="G49" s="17"/>
      <c r="H49" s="17"/>
      <c r="I49" s="17"/>
    </row>
    <row r="51" spans="1:9" ht="21.75" customHeight="1" x14ac:dyDescent="0.3">
      <c r="A51" s="9" t="s">
        <v>158</v>
      </c>
      <c r="B51" s="9"/>
      <c r="C51" s="9"/>
      <c r="D51" s="9"/>
      <c r="E51" s="9"/>
      <c r="F51" s="9"/>
      <c r="G51" s="9"/>
      <c r="H51" s="9"/>
      <c r="I51" s="9"/>
    </row>
    <row r="52" spans="1:9" ht="30" customHeight="1" x14ac:dyDescent="0.3">
      <c r="A52" s="16" t="s">
        <v>129</v>
      </c>
      <c r="B52" s="16" t="s">
        <v>159</v>
      </c>
      <c r="C52" s="16" t="s">
        <v>160</v>
      </c>
      <c r="D52" s="16" t="s">
        <v>161</v>
      </c>
      <c r="E52" s="16" t="s">
        <v>162</v>
      </c>
      <c r="F52" s="16" t="s">
        <v>163</v>
      </c>
      <c r="G52" s="16" t="s">
        <v>164</v>
      </c>
      <c r="H52" s="16" t="s">
        <v>165</v>
      </c>
      <c r="I52" s="16" t="s">
        <v>166</v>
      </c>
    </row>
    <row r="53" spans="1:9" ht="18" customHeight="1" x14ac:dyDescent="0.3">
      <c r="A53" s="19">
        <v>1</v>
      </c>
      <c r="B53" s="18"/>
      <c r="C53" s="18"/>
      <c r="D53" s="18"/>
      <c r="E53" s="17"/>
      <c r="F53" s="17"/>
      <c r="G53" s="17"/>
      <c r="H53" s="17"/>
      <c r="I53" s="18"/>
    </row>
    <row r="54" spans="1:9" ht="18" customHeight="1" x14ac:dyDescent="0.3">
      <c r="A54" s="19">
        <v>2</v>
      </c>
      <c r="B54" s="18"/>
      <c r="C54" s="18"/>
      <c r="D54" s="18"/>
      <c r="E54" s="17"/>
      <c r="F54" s="17"/>
      <c r="G54" s="17"/>
      <c r="H54" s="17"/>
      <c r="I54" s="18"/>
    </row>
    <row r="55" spans="1:9" ht="18" customHeight="1" x14ac:dyDescent="0.3">
      <c r="A55" s="19">
        <v>3</v>
      </c>
      <c r="B55" s="18"/>
      <c r="C55" s="18"/>
      <c r="D55" s="18"/>
      <c r="E55" s="17"/>
      <c r="F55" s="17"/>
      <c r="G55" s="17"/>
      <c r="H55" s="17"/>
      <c r="I55" s="18"/>
    </row>
    <row r="56" spans="1:9" ht="18" customHeight="1" x14ac:dyDescent="0.3">
      <c r="A56" s="19">
        <v>4</v>
      </c>
      <c r="B56" s="18"/>
      <c r="C56" s="18"/>
      <c r="D56" s="18"/>
      <c r="E56" s="17"/>
      <c r="F56" s="17"/>
      <c r="G56" s="17"/>
      <c r="H56" s="17"/>
      <c r="I56" s="18"/>
    </row>
    <row r="57" spans="1:9" ht="18" customHeight="1" x14ac:dyDescent="0.3">
      <c r="A57" s="19">
        <v>5</v>
      </c>
      <c r="B57" s="18"/>
      <c r="C57" s="18"/>
      <c r="D57" s="18"/>
      <c r="E57" s="17"/>
      <c r="F57" s="17"/>
      <c r="G57" s="17"/>
      <c r="H57" s="17"/>
      <c r="I57" s="18"/>
    </row>
    <row r="58" spans="1:9" ht="18" customHeight="1" x14ac:dyDescent="0.3">
      <c r="A58" s="19">
        <v>6</v>
      </c>
      <c r="B58" s="18"/>
      <c r="C58" s="18"/>
      <c r="D58" s="18"/>
      <c r="E58" s="17"/>
      <c r="F58" s="17"/>
      <c r="G58" s="17"/>
      <c r="H58" s="17"/>
      <c r="I58" s="18"/>
    </row>
    <row r="59" spans="1:9" ht="18" customHeight="1" x14ac:dyDescent="0.3">
      <c r="A59" s="19">
        <v>7</v>
      </c>
      <c r="B59" s="18"/>
      <c r="C59" s="18"/>
      <c r="D59" s="18"/>
      <c r="E59" s="17"/>
      <c r="F59" s="17"/>
      <c r="G59" s="17"/>
      <c r="H59" s="17"/>
      <c r="I59" s="18"/>
    </row>
    <row r="60" spans="1:9" ht="18" customHeight="1" x14ac:dyDescent="0.3">
      <c r="A60" s="19">
        <v>8</v>
      </c>
      <c r="B60" s="18"/>
      <c r="C60" s="18"/>
      <c r="D60" s="18"/>
      <c r="E60" s="17"/>
      <c r="F60" s="17"/>
      <c r="G60" s="17"/>
      <c r="H60" s="17"/>
      <c r="I60" s="18"/>
    </row>
    <row r="61" spans="1:9" ht="18" customHeight="1" x14ac:dyDescent="0.3">
      <c r="A61" s="19">
        <v>9</v>
      </c>
      <c r="B61" s="18"/>
      <c r="C61" s="18"/>
      <c r="D61" s="18"/>
      <c r="E61" s="17"/>
      <c r="F61" s="17"/>
      <c r="G61" s="17"/>
      <c r="H61" s="17"/>
      <c r="I61" s="18"/>
    </row>
    <row r="62" spans="1:9" ht="18" customHeight="1" x14ac:dyDescent="0.3">
      <c r="A62" s="19">
        <v>10</v>
      </c>
      <c r="B62" s="18"/>
      <c r="C62" s="18"/>
      <c r="D62" s="18"/>
      <c r="E62" s="17"/>
      <c r="F62" s="17"/>
      <c r="G62" s="17"/>
      <c r="H62" s="17"/>
      <c r="I62" s="18"/>
    </row>
    <row r="64" spans="1:9" ht="21.75" customHeight="1" x14ac:dyDescent="0.3">
      <c r="A64" s="9" t="s">
        <v>50</v>
      </c>
      <c r="B64" s="9"/>
      <c r="C64" s="9"/>
      <c r="D64" s="9"/>
      <c r="E64" s="9"/>
      <c r="F64" s="9"/>
      <c r="G64" s="9"/>
      <c r="H64" s="9"/>
      <c r="I64" s="9"/>
    </row>
    <row r="65" spans="1:9" ht="27.75" customHeight="1" x14ac:dyDescent="0.3">
      <c r="A65" s="2" t="s">
        <v>167</v>
      </c>
      <c r="B65" s="2"/>
      <c r="C65" s="2"/>
      <c r="D65" s="2"/>
      <c r="E65" s="2"/>
      <c r="F65" s="2"/>
      <c r="G65" s="2"/>
      <c r="H65" s="2"/>
      <c r="I65" s="2"/>
    </row>
    <row r="66" spans="1:9" ht="27.75" customHeight="1" x14ac:dyDescent="0.3">
      <c r="A66" s="2"/>
      <c r="B66" s="2"/>
      <c r="C66" s="2"/>
      <c r="D66" s="2"/>
      <c r="E66" s="2"/>
      <c r="F66" s="2"/>
      <c r="G66" s="2"/>
      <c r="H66" s="2"/>
      <c r="I66" s="2"/>
    </row>
    <row r="67" spans="1:9" ht="27.75" customHeight="1" x14ac:dyDescent="0.3">
      <c r="A67" s="2"/>
      <c r="B67" s="2"/>
      <c r="C67" s="2"/>
      <c r="D67" s="2"/>
      <c r="E67" s="2"/>
      <c r="F67" s="2"/>
      <c r="G67" s="2"/>
      <c r="H67" s="2"/>
      <c r="I67" s="2"/>
    </row>
  </sheetData>
  <mergeCells count="72">
    <mergeCell ref="A64:I64"/>
    <mergeCell ref="A65:I67"/>
    <mergeCell ref="A30:B30"/>
    <mergeCell ref="C30:I30"/>
    <mergeCell ref="A32:I32"/>
    <mergeCell ref="A33:I33"/>
    <mergeCell ref="A51:I51"/>
    <mergeCell ref="A27:B27"/>
    <mergeCell ref="C27:I27"/>
    <mergeCell ref="A28:B28"/>
    <mergeCell ref="C28:I28"/>
    <mergeCell ref="A29:B29"/>
    <mergeCell ref="C29:I29"/>
    <mergeCell ref="A25:B25"/>
    <mergeCell ref="C25:D25"/>
    <mergeCell ref="E25:F25"/>
    <mergeCell ref="G25:I25"/>
    <mergeCell ref="A26:B26"/>
    <mergeCell ref="C26:I26"/>
    <mergeCell ref="A23:B23"/>
    <mergeCell ref="C23:D23"/>
    <mergeCell ref="E23:F23"/>
    <mergeCell ref="G23:I23"/>
    <mergeCell ref="A24:B24"/>
    <mergeCell ref="C24:D24"/>
    <mergeCell ref="E24:F24"/>
    <mergeCell ref="G24:I24"/>
    <mergeCell ref="A19:B19"/>
    <mergeCell ref="C19:I19"/>
    <mergeCell ref="A21:I21"/>
    <mergeCell ref="A22:B22"/>
    <mergeCell ref="C22:D22"/>
    <mergeCell ref="E22:F22"/>
    <mergeCell ref="G22:I22"/>
    <mergeCell ref="A16:B16"/>
    <mergeCell ref="C16:I16"/>
    <mergeCell ref="A17:B17"/>
    <mergeCell ref="C17:I17"/>
    <mergeCell ref="A18:B18"/>
    <mergeCell ref="C18:I18"/>
    <mergeCell ref="A13:B13"/>
    <mergeCell ref="C13:D13"/>
    <mergeCell ref="E13:F13"/>
    <mergeCell ref="G13:I13"/>
    <mergeCell ref="A15:I15"/>
    <mergeCell ref="A11:B11"/>
    <mergeCell ref="C11:D11"/>
    <mergeCell ref="E11:F11"/>
    <mergeCell ref="G11:I11"/>
    <mergeCell ref="A12:B12"/>
    <mergeCell ref="C12:D12"/>
    <mergeCell ref="E12:F12"/>
    <mergeCell ref="G12:I12"/>
    <mergeCell ref="A9:B9"/>
    <mergeCell ref="C9:D9"/>
    <mergeCell ref="E9:F9"/>
    <mergeCell ref="G9:I9"/>
    <mergeCell ref="A10:B10"/>
    <mergeCell ref="C10:D10"/>
    <mergeCell ref="E10:F10"/>
    <mergeCell ref="G10:I10"/>
    <mergeCell ref="A6:I6"/>
    <mergeCell ref="A7:I7"/>
    <mergeCell ref="A8:B8"/>
    <mergeCell ref="C8:D8"/>
    <mergeCell ref="E8:F8"/>
    <mergeCell ref="G8:I8"/>
    <mergeCell ref="A1:I1"/>
    <mergeCell ref="A2:I2"/>
    <mergeCell ref="A3:I3"/>
    <mergeCell ref="A4:I4"/>
    <mergeCell ref="A5:I5"/>
  </mergeCells>
  <dataValidations count="14">
    <dataValidation type="list" allowBlank="1" errorTitle="Valor no válido" error="Seleccione un valor de la lista desplegable." promptTitle="Código de Bloque" prompt="Elija una opción de la lista." sqref="C9" xr:uid="{00000000-0002-0000-0200-000000000000}">
      <formula1>lst_CodigoBloque</formula1>
      <formula2>0</formula2>
    </dataValidation>
    <dataValidation type="list" allowBlank="1" errorTitle="Valor no válido" error="Seleccione un valor de la lista desplegable." promptTitle="Tipo de ecosistema MINAM (domi" prompt="Elija una opción de la lista." sqref="C16" xr:uid="{00000000-0002-0000-0200-000001000000}">
      <formula1>lst_TipoEcosistema</formula1>
      <formula2>0</formula2>
    </dataValidation>
    <dataValidation type="list" allowBlank="1" errorTitle="Valor no válido" error="Seleccione un valor de la lista desplegable." promptTitle="Estado de conservación general" prompt="Elija una opción de la lista." sqref="C18" xr:uid="{00000000-0002-0000-0200-000002000000}">
      <formula1>lst_EstadoConservacion</formula1>
      <formula2>0</formula2>
    </dataValidation>
    <dataValidation type="list" allowBlank="1" errorTitle="Valor no válido" error="Seleccione un valor de la lista desplegable." promptTitle="Uso actual dominante del suelo" prompt="Elija una opción de la lista." sqref="C19" xr:uid="{00000000-0002-0000-0200-000003000000}">
      <formula1>lst_UsoSueloDom</formula1>
      <formula2>0</formula2>
    </dataValidation>
    <dataValidation type="list" allowBlank="1" errorTitle="Valor no válido" error="Seleccione un valor de la lista desplegable." promptTitle="Regeneración natural observada" prompt="Elija una opción de la lista." sqref="C26" xr:uid="{00000000-0002-0000-0200-000004000000}">
      <formula1>lst_Regeneracion</formula1>
      <formula2>0</formula2>
    </dataValidation>
    <dataValidation type="list" allowBlank="1" errorTitle="Valor no válido" error="Seleccione un valor de la lista desplegable." promptTitle="Estado sanitario general del d" prompt="Elija una opción de la lista." sqref="C27" xr:uid="{00000000-0002-0000-0200-000005000000}">
      <formula1>lst_EstadoSanitario</formula1>
      <formula2>0</formula2>
    </dataValidation>
    <dataValidation type="list" allowBlank="1" errorTitle="Valor no válido" error="Seleccione un valor de la lista desplegable." promptTitle="Presencia de epífitas (cualita" prompt="Elija una opción de la lista." sqref="C28" xr:uid="{00000000-0002-0000-0200-000006000000}">
      <formula1>lst_SiNo</formula1>
      <formula2>0</formula2>
    </dataValidation>
    <dataValidation type="list" allowBlank="1" errorTitle="Valor no válido" error="Seleccione un valor de la lista desplegable." promptTitle="Fenología dominante (época de " prompt="Elija una opción de la lista." sqref="C29" xr:uid="{00000000-0002-0000-0200-000007000000}">
      <formula1>lst_Fenologia</formula1>
      <formula2>0</formula2>
    </dataValidation>
    <dataValidation type="list" allowBlank="1" errorTitle="Valor no válido" error="Seleccione un valor de la lista desplegable." promptTitle="Tipo de cobertura vegetal domi" prompt="Elija una opción de la lista." sqref="C30" xr:uid="{00000000-0002-0000-0200-000008000000}">
      <formula1>lst_TipoCobertura</formula1>
      <formula2>0</formula2>
    </dataValidation>
    <dataValidation type="list" allowBlank="1" errorTitle="Valor no válido" error="Seleccione un valor de la lista desplegable." promptTitle="Estrato" prompt="Elija una opción de la lista." sqref="E35:E49" xr:uid="{00000000-0002-0000-0200-000009000000}">
      <formula1>lst_Estrato</formula1>
      <formula2>0</formula2>
    </dataValidation>
    <dataValidation type="list" allowBlank="1" errorTitle="Valor no válido" error="Seleccione un valor de la lista desplegable." promptTitle="Origen" prompt="Elija una opción de la lista." sqref="F35:F49" xr:uid="{00000000-0002-0000-0200-00000A000000}">
      <formula1>lst_Origen</formula1>
      <formula2>0</formula2>
    </dataValidation>
    <dataValidation type="list" allowBlank="1" errorTitle="Valor no válido" error="Seleccione un valor de la lista desplegable." promptTitle="Abundancia" prompt="Elija una opción de la lista." sqref="G35:G49" xr:uid="{00000000-0002-0000-0200-00000B000000}">
      <formula1>lst_Abundancia</formula1>
      <formula2>0</formula2>
    </dataValidation>
    <dataValidation type="list" allowBlank="1" errorTitle="Valor no válido" error="Seleccione un valor de la lista desplegable." promptTitle="Categoría" prompt="Elija una opción de la lista." sqref="C53:C62" xr:uid="{00000000-0002-0000-0200-00000C000000}">
      <formula1>lst_CategoriaIndicadora</formula1>
      <formula2>0</formula2>
    </dataValidation>
    <dataValidation type="list" allowBlank="1" errorTitle="Valor no válido" error="Seleccione un valor de la lista desplegable." promptTitle="Estado UICN / D.S. 043" prompt="Elija una opción de la lista." sqref="D53:D62" xr:uid="{00000000-0002-0000-0200-00000D000000}">
      <formula1>lst_EstadoUICN</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54"/>
  <sheetViews>
    <sheetView showGridLines="0" zoomScaleNormal="100" workbookViewId="0">
      <pane ySplit="6" topLeftCell="A32" activePane="bottomLeft" state="frozen"/>
      <selection pane="bottomLeft" activeCell="D35" sqref="D35:G42"/>
    </sheetView>
  </sheetViews>
  <sheetFormatPr baseColWidth="10" defaultColWidth="8.6640625" defaultRowHeight="14.4" x14ac:dyDescent="0.3"/>
  <cols>
    <col min="1" max="1" width="6" customWidth="1"/>
    <col min="2" max="2" width="32" customWidth="1"/>
    <col min="3" max="3" width="13" customWidth="1"/>
    <col min="4" max="4" width="14" customWidth="1"/>
    <col min="5" max="5" width="13" customWidth="1"/>
    <col min="6" max="6" width="14" customWidth="1"/>
    <col min="7" max="7" width="32" customWidth="1"/>
  </cols>
  <sheetData>
    <row r="1" spans="1:7" ht="21.75" customHeight="1" x14ac:dyDescent="0.3">
      <c r="A1" s="14" t="s">
        <v>0</v>
      </c>
      <c r="B1" s="14"/>
      <c r="C1" s="14"/>
      <c r="D1" s="14"/>
      <c r="E1" s="14"/>
      <c r="F1" s="14"/>
      <c r="G1" s="14"/>
    </row>
    <row r="2" spans="1:7" ht="18" customHeight="1" x14ac:dyDescent="0.3">
      <c r="A2" s="13" t="s">
        <v>1</v>
      </c>
      <c r="B2" s="13"/>
      <c r="C2" s="13"/>
      <c r="D2" s="13"/>
      <c r="E2" s="13"/>
      <c r="F2" s="13"/>
      <c r="G2" s="13"/>
    </row>
    <row r="3" spans="1:7" ht="30" customHeight="1" x14ac:dyDescent="0.3">
      <c r="A3" s="13" t="s">
        <v>2</v>
      </c>
      <c r="B3" s="13"/>
      <c r="C3" s="13"/>
      <c r="D3" s="13"/>
      <c r="E3" s="13"/>
      <c r="F3" s="13"/>
      <c r="G3" s="13"/>
    </row>
    <row r="4" spans="1:7" ht="27.75" customHeight="1" x14ac:dyDescent="0.3">
      <c r="A4" s="12" t="s">
        <v>168</v>
      </c>
      <c r="B4" s="12"/>
      <c r="C4" s="12"/>
      <c r="D4" s="12"/>
      <c r="E4" s="12"/>
      <c r="F4" s="12"/>
      <c r="G4" s="12"/>
    </row>
    <row r="5" spans="1:7" ht="27.75" customHeight="1" x14ac:dyDescent="0.3">
      <c r="A5" s="11" t="s">
        <v>169</v>
      </c>
      <c r="B5" s="11"/>
      <c r="C5" s="11"/>
      <c r="D5" s="11"/>
      <c r="E5" s="11"/>
      <c r="F5" s="11"/>
      <c r="G5" s="11"/>
    </row>
    <row r="6" spans="1:7" ht="24" customHeight="1" x14ac:dyDescent="0.3">
      <c r="A6" s="10" t="s">
        <v>5</v>
      </c>
      <c r="B6" s="10"/>
      <c r="C6" s="10"/>
      <c r="D6" s="10"/>
      <c r="E6" s="10"/>
      <c r="F6" s="10"/>
      <c r="G6" s="10"/>
    </row>
    <row r="7" spans="1:7" ht="21.75" customHeight="1" x14ac:dyDescent="0.3">
      <c r="A7" s="9" t="s">
        <v>54</v>
      </c>
      <c r="B7" s="9"/>
      <c r="C7" s="9"/>
      <c r="D7" s="9"/>
      <c r="E7" s="9"/>
      <c r="F7" s="9"/>
      <c r="G7" s="9"/>
    </row>
    <row r="8" spans="1:7" ht="19.5" customHeight="1" x14ac:dyDescent="0.3">
      <c r="A8" s="8" t="s">
        <v>93</v>
      </c>
      <c r="B8" s="8"/>
      <c r="C8" s="7" t="s">
        <v>8</v>
      </c>
      <c r="D8" s="7"/>
      <c r="E8" s="7"/>
      <c r="F8" s="7"/>
      <c r="G8" s="7"/>
    </row>
    <row r="9" spans="1:7" ht="19.5" customHeight="1" x14ac:dyDescent="0.3">
      <c r="A9" s="8" t="s">
        <v>55</v>
      </c>
      <c r="B9" s="8"/>
      <c r="C9" s="7" t="s">
        <v>12</v>
      </c>
      <c r="D9" s="7"/>
      <c r="E9" s="7"/>
      <c r="F9" s="7"/>
      <c r="G9" s="7"/>
    </row>
    <row r="10" spans="1:7" ht="19.5" customHeight="1" x14ac:dyDescent="0.3">
      <c r="A10" s="8" t="s">
        <v>15</v>
      </c>
      <c r="B10" s="8"/>
      <c r="C10" s="7" t="s">
        <v>16</v>
      </c>
      <c r="D10" s="7"/>
      <c r="E10" s="7"/>
      <c r="F10" s="7"/>
      <c r="G10" s="7"/>
    </row>
    <row r="11" spans="1:7" ht="19.5" customHeight="1" x14ac:dyDescent="0.3">
      <c r="A11" s="8" t="s">
        <v>94</v>
      </c>
      <c r="B11" s="8"/>
      <c r="C11" s="6" t="str">
        <f>IFERROR(VLOOKUP($C$10,tbl_Bloques,2,FALSE()),"")</f>
        <v>C1076-Q9586</v>
      </c>
      <c r="D11" s="6"/>
      <c r="E11" s="6"/>
      <c r="F11" s="6"/>
      <c r="G11" s="6"/>
    </row>
    <row r="12" spans="1:7" ht="21.75" customHeight="1" x14ac:dyDescent="0.3">
      <c r="A12" s="20" t="s">
        <v>170</v>
      </c>
      <c r="B12" s="21"/>
      <c r="C12" s="5"/>
      <c r="D12" s="5"/>
      <c r="E12" s="5"/>
      <c r="F12" s="5"/>
      <c r="G12" s="5"/>
    </row>
    <row r="13" spans="1:7" ht="27.75" customHeight="1" x14ac:dyDescent="0.3">
      <c r="A13" s="4" t="s">
        <v>171</v>
      </c>
      <c r="B13" s="4"/>
      <c r="C13" s="3"/>
      <c r="D13" s="3"/>
      <c r="E13" s="3"/>
      <c r="F13" s="3"/>
      <c r="G13" s="3"/>
    </row>
    <row r="14" spans="1:7" ht="31.5" customHeight="1" x14ac:dyDescent="0.3">
      <c r="A14" s="16" t="s">
        <v>129</v>
      </c>
      <c r="B14" s="16" t="s">
        <v>172</v>
      </c>
      <c r="C14" s="16" t="s">
        <v>173</v>
      </c>
      <c r="D14" s="16" t="s">
        <v>174</v>
      </c>
      <c r="E14" s="16" t="s">
        <v>175</v>
      </c>
      <c r="F14" s="16" t="s">
        <v>176</v>
      </c>
      <c r="G14" s="16" t="s">
        <v>177</v>
      </c>
    </row>
    <row r="15" spans="1:7" ht="18" customHeight="1" x14ac:dyDescent="0.3">
      <c r="A15" s="19">
        <v>1</v>
      </c>
      <c r="B15" s="22" t="s">
        <v>178</v>
      </c>
      <c r="C15" s="17" t="s">
        <v>44</v>
      </c>
      <c r="D15" s="17" t="s">
        <v>179</v>
      </c>
      <c r="E15" s="17">
        <v>70</v>
      </c>
      <c r="F15" s="17" t="s">
        <v>25</v>
      </c>
      <c r="G15" s="18" t="s">
        <v>180</v>
      </c>
    </row>
    <row r="16" spans="1:7" ht="18" customHeight="1" x14ac:dyDescent="0.3">
      <c r="A16" s="19">
        <v>2</v>
      </c>
      <c r="B16" s="22" t="s">
        <v>181</v>
      </c>
      <c r="C16" s="17" t="s">
        <v>46</v>
      </c>
      <c r="D16" s="17" t="s">
        <v>182</v>
      </c>
      <c r="E16" s="17">
        <v>0</v>
      </c>
      <c r="F16" s="17"/>
      <c r="G16" s="18" t="s">
        <v>183</v>
      </c>
    </row>
    <row r="17" spans="1:7" ht="18" customHeight="1" x14ac:dyDescent="0.3">
      <c r="A17" s="19">
        <v>3</v>
      </c>
      <c r="B17" s="22" t="s">
        <v>184</v>
      </c>
      <c r="C17" s="17" t="s">
        <v>46</v>
      </c>
      <c r="D17" s="17" t="s">
        <v>182</v>
      </c>
      <c r="E17" s="17">
        <v>0</v>
      </c>
      <c r="F17" s="17"/>
      <c r="G17" s="18" t="s">
        <v>185</v>
      </c>
    </row>
    <row r="18" spans="1:7" ht="18" customHeight="1" x14ac:dyDescent="0.3">
      <c r="A18" s="19">
        <v>4</v>
      </c>
      <c r="B18" s="22" t="s">
        <v>186</v>
      </c>
      <c r="C18" s="17" t="s">
        <v>46</v>
      </c>
      <c r="D18" s="17" t="s">
        <v>182</v>
      </c>
      <c r="E18" s="17">
        <v>0</v>
      </c>
      <c r="F18" s="17"/>
      <c r="G18" s="18" t="s">
        <v>187</v>
      </c>
    </row>
    <row r="19" spans="1:7" ht="18" customHeight="1" x14ac:dyDescent="0.3">
      <c r="A19" s="19">
        <v>5</v>
      </c>
      <c r="B19" s="22" t="s">
        <v>188</v>
      </c>
      <c r="C19" s="17"/>
      <c r="D19" s="17"/>
      <c r="E19" s="17"/>
      <c r="F19" s="17"/>
      <c r="G19" s="18" t="s">
        <v>189</v>
      </c>
    </row>
    <row r="20" spans="1:7" ht="18" customHeight="1" x14ac:dyDescent="0.3">
      <c r="A20" s="19">
        <v>6</v>
      </c>
      <c r="B20" s="22" t="s">
        <v>190</v>
      </c>
      <c r="C20" s="17"/>
      <c r="D20" s="17"/>
      <c r="E20" s="17"/>
      <c r="F20" s="17"/>
      <c r="G20" s="18" t="s">
        <v>191</v>
      </c>
    </row>
    <row r="21" spans="1:7" ht="18" customHeight="1" x14ac:dyDescent="0.3">
      <c r="A21" s="19">
        <v>7</v>
      </c>
      <c r="B21" s="22" t="s">
        <v>192</v>
      </c>
      <c r="C21" s="17" t="s">
        <v>46</v>
      </c>
      <c r="D21" s="17" t="s">
        <v>182</v>
      </c>
      <c r="E21" s="17">
        <v>0</v>
      </c>
      <c r="F21" s="17"/>
      <c r="G21" s="18" t="s">
        <v>193</v>
      </c>
    </row>
    <row r="22" spans="1:7" ht="18" customHeight="1" x14ac:dyDescent="0.3">
      <c r="A22" s="19">
        <v>8</v>
      </c>
      <c r="B22" s="22" t="s">
        <v>194</v>
      </c>
      <c r="C22" s="17" t="s">
        <v>46</v>
      </c>
      <c r="D22" s="17" t="s">
        <v>182</v>
      </c>
      <c r="E22" s="17">
        <v>0</v>
      </c>
      <c r="F22" s="17"/>
      <c r="G22" s="18" t="s">
        <v>195</v>
      </c>
    </row>
    <row r="23" spans="1:7" ht="18" customHeight="1" x14ac:dyDescent="0.3">
      <c r="A23" s="19">
        <v>9</v>
      </c>
      <c r="B23" s="22" t="s">
        <v>196</v>
      </c>
      <c r="C23" s="17" t="s">
        <v>46</v>
      </c>
      <c r="D23" s="17" t="s">
        <v>182</v>
      </c>
      <c r="E23" s="17">
        <v>0</v>
      </c>
      <c r="F23" s="17"/>
      <c r="G23" s="18" t="s">
        <v>197</v>
      </c>
    </row>
    <row r="24" spans="1:7" ht="18" customHeight="1" x14ac:dyDescent="0.3">
      <c r="A24" s="19">
        <v>10</v>
      </c>
      <c r="B24" s="22" t="s">
        <v>198</v>
      </c>
      <c r="C24" s="17" t="s">
        <v>46</v>
      </c>
      <c r="D24" s="17" t="s">
        <v>182</v>
      </c>
      <c r="E24" s="17">
        <v>0</v>
      </c>
      <c r="F24" s="17"/>
      <c r="G24" s="18" t="s">
        <v>199</v>
      </c>
    </row>
    <row r="25" spans="1:7" ht="18" customHeight="1" x14ac:dyDescent="0.3">
      <c r="A25" s="19">
        <v>11</v>
      </c>
      <c r="B25" s="22" t="s">
        <v>200</v>
      </c>
      <c r="C25" s="17" t="s">
        <v>46</v>
      </c>
      <c r="D25" s="17" t="s">
        <v>182</v>
      </c>
      <c r="E25" s="17">
        <v>0</v>
      </c>
      <c r="F25" s="17"/>
      <c r="G25" s="18" t="s">
        <v>201</v>
      </c>
    </row>
    <row r="26" spans="1:7" ht="18" customHeight="1" x14ac:dyDescent="0.3">
      <c r="A26" s="19">
        <v>12</v>
      </c>
      <c r="B26" s="22" t="s">
        <v>202</v>
      </c>
      <c r="C26" s="17"/>
      <c r="D26" s="17"/>
      <c r="E26" s="17"/>
      <c r="F26" s="17"/>
      <c r="G26" s="18" t="s">
        <v>203</v>
      </c>
    </row>
    <row r="27" spans="1:7" ht="18" customHeight="1" x14ac:dyDescent="0.3">
      <c r="A27" s="19">
        <v>13</v>
      </c>
      <c r="B27" s="22" t="s">
        <v>204</v>
      </c>
      <c r="C27" s="17" t="s">
        <v>46</v>
      </c>
      <c r="D27" s="17" t="s">
        <v>182</v>
      </c>
      <c r="E27" s="17">
        <v>0</v>
      </c>
      <c r="F27" s="17"/>
      <c r="G27" s="18" t="s">
        <v>205</v>
      </c>
    </row>
    <row r="28" spans="1:7" ht="18" customHeight="1" x14ac:dyDescent="0.3">
      <c r="A28" s="19">
        <v>14</v>
      </c>
      <c r="B28" s="22" t="s">
        <v>206</v>
      </c>
      <c r="C28" s="17"/>
      <c r="D28" s="17"/>
      <c r="E28" s="17"/>
      <c r="F28" s="17"/>
      <c r="G28" s="18" t="s">
        <v>207</v>
      </c>
    </row>
    <row r="29" spans="1:7" ht="18" customHeight="1" x14ac:dyDescent="0.3">
      <c r="A29" s="19">
        <v>15</v>
      </c>
      <c r="B29" s="22" t="s">
        <v>208</v>
      </c>
      <c r="C29" s="17" t="s">
        <v>46</v>
      </c>
      <c r="D29" s="17" t="s">
        <v>182</v>
      </c>
      <c r="E29" s="17">
        <v>0</v>
      </c>
      <c r="F29" s="17"/>
      <c r="G29" s="18" t="s">
        <v>209</v>
      </c>
    </row>
    <row r="30" spans="1:7" ht="18" customHeight="1" x14ac:dyDescent="0.3">
      <c r="A30" s="19">
        <v>16</v>
      </c>
      <c r="B30" s="22" t="s">
        <v>210</v>
      </c>
      <c r="C30" s="17"/>
      <c r="D30" s="17"/>
      <c r="E30" s="17"/>
      <c r="F30" s="17"/>
      <c r="G30" s="18" t="s">
        <v>211</v>
      </c>
    </row>
    <row r="32" spans="1:7" ht="21.75" customHeight="1" x14ac:dyDescent="0.3">
      <c r="A32" s="9" t="s">
        <v>212</v>
      </c>
      <c r="B32" s="9"/>
      <c r="C32" s="9"/>
      <c r="D32" s="9"/>
      <c r="E32" s="9"/>
      <c r="F32" s="9"/>
      <c r="G32" s="9"/>
    </row>
    <row r="33" spans="1:7" ht="25.5" customHeight="1" x14ac:dyDescent="0.3">
      <c r="A33" s="4" t="s">
        <v>213</v>
      </c>
      <c r="B33" s="4"/>
      <c r="C33" s="4"/>
      <c r="D33" s="4"/>
      <c r="E33" s="4"/>
      <c r="F33" s="4"/>
      <c r="G33" s="4"/>
    </row>
    <row r="34" spans="1:7" ht="27.75" customHeight="1" x14ac:dyDescent="0.3">
      <c r="A34" s="16" t="s">
        <v>129</v>
      </c>
      <c r="B34" s="16" t="s">
        <v>214</v>
      </c>
      <c r="C34" s="16" t="s">
        <v>215</v>
      </c>
      <c r="D34" s="16" t="s">
        <v>216</v>
      </c>
      <c r="E34" s="16" t="s">
        <v>217</v>
      </c>
      <c r="F34" s="16" t="s">
        <v>218</v>
      </c>
      <c r="G34" s="16" t="s">
        <v>219</v>
      </c>
    </row>
    <row r="35" spans="1:7" ht="21.75" customHeight="1" x14ac:dyDescent="0.3">
      <c r="A35" s="19">
        <v>1</v>
      </c>
      <c r="B35" s="22" t="s">
        <v>220</v>
      </c>
      <c r="C35" s="19" t="s">
        <v>221</v>
      </c>
      <c r="D35" s="17">
        <v>85</v>
      </c>
      <c r="E35" s="18" t="s">
        <v>222</v>
      </c>
      <c r="F35" s="22" t="s">
        <v>223</v>
      </c>
      <c r="G35" s="17" t="s">
        <v>224</v>
      </c>
    </row>
    <row r="36" spans="1:7" ht="21.75" customHeight="1" x14ac:dyDescent="0.3">
      <c r="A36" s="19">
        <v>2</v>
      </c>
      <c r="B36" s="22" t="s">
        <v>225</v>
      </c>
      <c r="C36" s="19" t="s">
        <v>221</v>
      </c>
      <c r="D36" s="17">
        <v>8</v>
      </c>
      <c r="E36" s="18" t="s">
        <v>226</v>
      </c>
      <c r="F36" s="22" t="s">
        <v>227</v>
      </c>
      <c r="G36" s="17" t="s">
        <v>228</v>
      </c>
    </row>
    <row r="37" spans="1:7" ht="21.75" customHeight="1" x14ac:dyDescent="0.3">
      <c r="A37" s="19">
        <v>3</v>
      </c>
      <c r="B37" s="22" t="s">
        <v>229</v>
      </c>
      <c r="C37" s="19" t="s">
        <v>230</v>
      </c>
      <c r="D37" s="17">
        <v>0</v>
      </c>
      <c r="E37" s="18" t="s">
        <v>231</v>
      </c>
      <c r="F37" s="22" t="s">
        <v>232</v>
      </c>
      <c r="G37" s="17" t="s">
        <v>228</v>
      </c>
    </row>
    <row r="38" spans="1:7" ht="21.75" customHeight="1" x14ac:dyDescent="0.3">
      <c r="A38" s="19">
        <v>4</v>
      </c>
      <c r="B38" s="22" t="s">
        <v>233</v>
      </c>
      <c r="C38" s="19" t="s">
        <v>234</v>
      </c>
      <c r="D38" s="17" t="s">
        <v>25</v>
      </c>
      <c r="E38" s="18" t="s">
        <v>235</v>
      </c>
      <c r="F38" s="22" t="s">
        <v>236</v>
      </c>
      <c r="G38" s="17"/>
    </row>
    <row r="39" spans="1:7" ht="21.75" customHeight="1" x14ac:dyDescent="0.3">
      <c r="A39" s="19">
        <v>5</v>
      </c>
      <c r="B39" s="22" t="s">
        <v>237</v>
      </c>
      <c r="C39" s="19" t="s">
        <v>238</v>
      </c>
      <c r="D39" s="17" t="s">
        <v>25</v>
      </c>
      <c r="E39" s="18" t="s">
        <v>239</v>
      </c>
      <c r="F39" s="22" t="s">
        <v>240</v>
      </c>
      <c r="G39" s="17"/>
    </row>
    <row r="40" spans="1:7" ht="21.75" customHeight="1" x14ac:dyDescent="0.3">
      <c r="A40" s="19">
        <v>6</v>
      </c>
      <c r="B40" s="22" t="s">
        <v>241</v>
      </c>
      <c r="C40" s="19" t="s">
        <v>129</v>
      </c>
      <c r="D40" s="17" t="s">
        <v>25</v>
      </c>
      <c r="E40" s="18" t="s">
        <v>242</v>
      </c>
      <c r="F40" s="22" t="s">
        <v>243</v>
      </c>
      <c r="G40" s="17"/>
    </row>
    <row r="41" spans="1:7" ht="21.75" customHeight="1" x14ac:dyDescent="0.3">
      <c r="A41" s="19">
        <v>7</v>
      </c>
      <c r="B41" s="22" t="s">
        <v>244</v>
      </c>
      <c r="C41" s="19" t="s">
        <v>221</v>
      </c>
      <c r="D41" s="17">
        <v>15</v>
      </c>
      <c r="E41" s="18" t="s">
        <v>245</v>
      </c>
      <c r="F41" s="22" t="s">
        <v>246</v>
      </c>
      <c r="G41" s="17" t="s">
        <v>228</v>
      </c>
    </row>
    <row r="42" spans="1:7" ht="21.75" customHeight="1" x14ac:dyDescent="0.3">
      <c r="A42" s="19">
        <v>8</v>
      </c>
      <c r="B42" s="22" t="s">
        <v>247</v>
      </c>
      <c r="C42" s="19" t="s">
        <v>248</v>
      </c>
      <c r="D42" s="17" t="s">
        <v>25</v>
      </c>
      <c r="E42" s="18" t="s">
        <v>249</v>
      </c>
      <c r="F42" s="22" t="s">
        <v>250</v>
      </c>
      <c r="G42" s="17"/>
    </row>
    <row r="44" spans="1:7" ht="21.75" customHeight="1" x14ac:dyDescent="0.3">
      <c r="A44" s="9" t="s">
        <v>251</v>
      </c>
      <c r="B44" s="9"/>
      <c r="C44" s="9"/>
      <c r="D44" s="9"/>
      <c r="E44" s="9"/>
      <c r="F44" s="9"/>
      <c r="G44" s="9"/>
    </row>
    <row r="45" spans="1:7" ht="19.5" customHeight="1" x14ac:dyDescent="0.3">
      <c r="A45" s="8" t="s">
        <v>252</v>
      </c>
      <c r="B45" s="8"/>
      <c r="C45" s="7" t="s">
        <v>253</v>
      </c>
      <c r="D45" s="7"/>
      <c r="E45" s="7"/>
      <c r="F45" s="7"/>
      <c r="G45" s="7"/>
    </row>
    <row r="46" spans="1:7" ht="19.5" customHeight="1" x14ac:dyDescent="0.3">
      <c r="A46" s="8" t="s">
        <v>254</v>
      </c>
      <c r="B46" s="8"/>
      <c r="C46" s="7" t="s">
        <v>255</v>
      </c>
      <c r="D46" s="7"/>
      <c r="E46" s="7"/>
      <c r="F46" s="7"/>
      <c r="G46" s="7"/>
    </row>
    <row r="47" spans="1:7" ht="19.5" customHeight="1" x14ac:dyDescent="0.3">
      <c r="A47" s="8" t="s">
        <v>256</v>
      </c>
      <c r="B47" s="8"/>
      <c r="C47" s="7" t="s">
        <v>257</v>
      </c>
      <c r="D47" s="7"/>
      <c r="E47" s="7"/>
      <c r="F47" s="7"/>
      <c r="G47" s="7"/>
    </row>
    <row r="48" spans="1:7" ht="19.5" customHeight="1" x14ac:dyDescent="0.3">
      <c r="A48" s="8" t="s">
        <v>258</v>
      </c>
      <c r="B48" s="8"/>
      <c r="C48" s="7" t="s">
        <v>259</v>
      </c>
      <c r="D48" s="7"/>
      <c r="E48" s="7"/>
      <c r="F48" s="7"/>
      <c r="G48" s="7"/>
    </row>
    <row r="49" spans="1:7" ht="19.5" customHeight="1" x14ac:dyDescent="0.3">
      <c r="A49" s="8" t="s">
        <v>260</v>
      </c>
      <c r="B49" s="8"/>
      <c r="C49" s="7" t="s">
        <v>261</v>
      </c>
      <c r="D49" s="7"/>
      <c r="E49" s="7"/>
      <c r="F49" s="7"/>
      <c r="G49" s="7"/>
    </row>
    <row r="51" spans="1:7" ht="21.75" customHeight="1" x14ac:dyDescent="0.3">
      <c r="A51" s="9" t="s">
        <v>50</v>
      </c>
      <c r="B51" s="9"/>
      <c r="C51" s="9"/>
      <c r="D51" s="9"/>
      <c r="E51" s="9"/>
      <c r="F51" s="9"/>
      <c r="G51" s="9"/>
    </row>
    <row r="52" spans="1:7" ht="27.75" customHeight="1" x14ac:dyDescent="0.3">
      <c r="A52" s="2" t="s">
        <v>262</v>
      </c>
      <c r="B52" s="2"/>
      <c r="C52" s="2"/>
      <c r="D52" s="2"/>
      <c r="E52" s="2"/>
      <c r="F52" s="2"/>
      <c r="G52" s="2"/>
    </row>
    <row r="53" spans="1:7" ht="27.75" customHeight="1" x14ac:dyDescent="0.3">
      <c r="A53" s="2"/>
      <c r="B53" s="2"/>
      <c r="C53" s="2"/>
      <c r="D53" s="2"/>
      <c r="E53" s="2"/>
      <c r="F53" s="2"/>
      <c r="G53" s="2"/>
    </row>
    <row r="54" spans="1:7" ht="27.75" customHeight="1" x14ac:dyDescent="0.3">
      <c r="A54" s="2"/>
      <c r="B54" s="2"/>
      <c r="C54" s="2"/>
      <c r="D54" s="2"/>
      <c r="E54" s="2"/>
      <c r="F54" s="2"/>
      <c r="G54" s="2"/>
    </row>
  </sheetData>
  <mergeCells count="33">
    <mergeCell ref="A52:G54"/>
    <mergeCell ref="A48:B48"/>
    <mergeCell ref="C48:G48"/>
    <mergeCell ref="A49:B49"/>
    <mergeCell ref="C49:G49"/>
    <mergeCell ref="A51:G51"/>
    <mergeCell ref="A45:B45"/>
    <mergeCell ref="C45:G45"/>
    <mergeCell ref="A46:B46"/>
    <mergeCell ref="C46:G46"/>
    <mergeCell ref="A47:B47"/>
    <mergeCell ref="C47:G47"/>
    <mergeCell ref="A13:B13"/>
    <mergeCell ref="C13:G13"/>
    <mergeCell ref="A32:G32"/>
    <mergeCell ref="A33:G33"/>
    <mergeCell ref="A44:G44"/>
    <mergeCell ref="A10:B10"/>
    <mergeCell ref="C10:G10"/>
    <mergeCell ref="A11:B11"/>
    <mergeCell ref="C11:G11"/>
    <mergeCell ref="C12:G12"/>
    <mergeCell ref="A6:G6"/>
    <mergeCell ref="A7:G7"/>
    <mergeCell ref="A8:B8"/>
    <mergeCell ref="C8:G8"/>
    <mergeCell ref="A9:B9"/>
    <mergeCell ref="C9:G9"/>
    <mergeCell ref="A1:G1"/>
    <mergeCell ref="A2:G2"/>
    <mergeCell ref="A3:G3"/>
    <mergeCell ref="A4:G4"/>
    <mergeCell ref="A5:G5"/>
  </mergeCells>
  <dataValidations count="7">
    <dataValidation type="list" allowBlank="1" errorTitle="Valor no válido" error="Seleccione un valor de la lista desplegable." promptTitle="Código de Bloque" prompt="Elija una opción de la lista." sqref="C10" xr:uid="{00000000-0002-0000-0300-000000000000}">
      <formula1>lst_CodigoBloque</formula1>
      <formula2>0</formula2>
    </dataValidation>
    <dataValidation type="list" allowBlank="1" errorTitle="Valor no válido" error="Seleccione un valor de la lista desplegable." promptTitle="Presencia" prompt="Elija una opción de la lista." sqref="C15:C30" xr:uid="{00000000-0002-0000-0300-000001000000}">
      <formula1>lst_SiNo</formula1>
      <formula2>0</formula2>
    </dataValidation>
    <dataValidation type="list" allowBlank="1" errorTitle="Valor no válido" error="Seleccione un valor de la lista desplegable." promptTitle="Intensidad" prompt="Elija una opción de la lista." sqref="D15:D30" xr:uid="{00000000-0002-0000-0300-000002000000}">
      <formula1>lst_Intensidad</formula1>
      <formula2>0</formula2>
    </dataValidation>
    <dataValidation type="list" allowBlank="1" errorTitle="Valor no válido" error="Seleccione un valor de la lista desplegable." promptTitle="Nivel" prompt="Elija una opción de la lista." sqref="G35:G42" xr:uid="{00000000-0002-0000-0300-000003000000}">
      <formula1>lst_NivelInd</formula1>
      <formula2>0</formula2>
    </dataValidation>
    <dataValidation type="list" allowBlank="1" errorTitle="Valor no válido" error="Seleccione un valor de la lista desplegable." promptTitle="Velocidad de degradación perci" prompt="Elija una opción de la lista." sqref="C47" xr:uid="{00000000-0002-0000-0300-000004000000}">
      <formula1>lst_Velocidad</formula1>
      <formula2>0</formula2>
    </dataValidation>
    <dataValidation type="list" allowBlank="1" errorTitle="Valor no válido" error="Seleccione un valor de la lista desplegable." promptTitle="Reversibilidad técnica" prompt="Elija una opción de la lista." sqref="C48" xr:uid="{00000000-0002-0000-0300-000005000000}">
      <formula1>lst_Reversibilidad</formula1>
      <formula2>0</formula2>
    </dataValidation>
    <dataValidation type="list" allowBlank="1" errorTitle="Valor no válido" error="Seleccione un valor de la lista desplegable." promptTitle="Urgencia de intervención" prompt="Elija una opción de la lista." sqref="C49" xr:uid="{00000000-0002-0000-0300-000006000000}">
      <formula1>lst_Urgencia</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51"/>
  <sheetViews>
    <sheetView showGridLines="0" tabSelected="1" zoomScaleNormal="100" workbookViewId="0">
      <pane ySplit="6" topLeftCell="A40" activePane="bottomLeft" state="frozen"/>
      <selection pane="bottomLeft" activeCell="C46" sqref="C46:H46"/>
    </sheetView>
  </sheetViews>
  <sheetFormatPr baseColWidth="10" defaultColWidth="8.6640625" defaultRowHeight="14.4" x14ac:dyDescent="0.3"/>
  <cols>
    <col min="1" max="1" width="8" customWidth="1"/>
    <col min="2" max="2" width="28" customWidth="1"/>
    <col min="3" max="4" width="12" customWidth="1"/>
    <col min="5" max="5" width="18" customWidth="1"/>
    <col min="6" max="6" width="24" customWidth="1"/>
    <col min="7" max="7" width="14" customWidth="1"/>
    <col min="8" max="8" width="26" customWidth="1"/>
  </cols>
  <sheetData>
    <row r="1" spans="1:8" ht="21.75" customHeight="1" x14ac:dyDescent="0.3">
      <c r="A1" s="14" t="s">
        <v>0</v>
      </c>
      <c r="B1" s="14"/>
      <c r="C1" s="14"/>
      <c r="D1" s="14"/>
      <c r="E1" s="14"/>
      <c r="F1" s="14"/>
      <c r="G1" s="14"/>
      <c r="H1" s="14"/>
    </row>
    <row r="2" spans="1:8" ht="18" customHeight="1" x14ac:dyDescent="0.3">
      <c r="A2" s="13" t="s">
        <v>1</v>
      </c>
      <c r="B2" s="13"/>
      <c r="C2" s="13"/>
      <c r="D2" s="13"/>
      <c r="E2" s="13"/>
      <c r="F2" s="13"/>
      <c r="G2" s="13"/>
      <c r="H2" s="13"/>
    </row>
    <row r="3" spans="1:8" ht="30" customHeight="1" x14ac:dyDescent="0.3">
      <c r="A3" s="13" t="s">
        <v>2</v>
      </c>
      <c r="B3" s="13"/>
      <c r="C3" s="13"/>
      <c r="D3" s="13"/>
      <c r="E3" s="13"/>
      <c r="F3" s="13"/>
      <c r="G3" s="13"/>
      <c r="H3" s="13"/>
    </row>
    <row r="4" spans="1:8" ht="27.75" customHeight="1" x14ac:dyDescent="0.3">
      <c r="A4" s="12" t="s">
        <v>263</v>
      </c>
      <c r="B4" s="12"/>
      <c r="C4" s="12"/>
      <c r="D4" s="12"/>
      <c r="E4" s="12"/>
      <c r="F4" s="12"/>
      <c r="G4" s="12"/>
      <c r="H4" s="12"/>
    </row>
    <row r="5" spans="1:8" ht="27.75" customHeight="1" x14ac:dyDescent="0.3">
      <c r="A5" s="11" t="s">
        <v>264</v>
      </c>
      <c r="B5" s="11"/>
      <c r="C5" s="11"/>
      <c r="D5" s="11"/>
      <c r="E5" s="11"/>
      <c r="F5" s="11"/>
      <c r="G5" s="11"/>
      <c r="H5" s="11"/>
    </row>
    <row r="6" spans="1:8" ht="24" customHeight="1" x14ac:dyDescent="0.3">
      <c r="A6" s="10" t="s">
        <v>5</v>
      </c>
      <c r="B6" s="10"/>
      <c r="C6" s="10"/>
      <c r="D6" s="10"/>
      <c r="E6" s="10"/>
      <c r="F6" s="10"/>
      <c r="G6" s="10"/>
      <c r="H6" s="10"/>
    </row>
    <row r="7" spans="1:8" ht="21.75" customHeight="1" x14ac:dyDescent="0.3">
      <c r="A7" s="9" t="s">
        <v>54</v>
      </c>
      <c r="B7" s="9"/>
      <c r="C7" s="9"/>
      <c r="D7" s="9"/>
      <c r="E7" s="9"/>
      <c r="F7" s="9"/>
      <c r="G7" s="9"/>
      <c r="H7" s="9"/>
    </row>
    <row r="8" spans="1:8" ht="19.5" customHeight="1" x14ac:dyDescent="0.3">
      <c r="A8" s="8" t="s">
        <v>7</v>
      </c>
      <c r="B8" s="8"/>
      <c r="C8" s="7" t="s">
        <v>8</v>
      </c>
      <c r="D8" s="7"/>
      <c r="E8" s="8" t="s">
        <v>55</v>
      </c>
      <c r="F8" s="8"/>
      <c r="G8" s="7" t="s">
        <v>12</v>
      </c>
      <c r="H8" s="7"/>
    </row>
    <row r="9" spans="1:8" ht="19.5" customHeight="1" x14ac:dyDescent="0.3">
      <c r="A9" s="8" t="s">
        <v>15</v>
      </c>
      <c r="B9" s="8"/>
      <c r="C9" s="7" t="s">
        <v>16</v>
      </c>
      <c r="D9" s="7"/>
      <c r="E9" s="8" t="s">
        <v>94</v>
      </c>
      <c r="F9" s="8"/>
      <c r="G9" s="6" t="str">
        <f>IFERROR(VLOOKUP($C$9,tbl_Bloques,2,FALSE()),"")</f>
        <v>C1076-Q9586</v>
      </c>
      <c r="H9" s="6"/>
    </row>
    <row r="10" spans="1:8" ht="19.5" customHeight="1" x14ac:dyDescent="0.3">
      <c r="A10" s="8" t="s">
        <v>19</v>
      </c>
      <c r="B10" s="8"/>
      <c r="C10" s="6" t="str">
        <f>IFERROR(VLOOKUP($C$9,tbl_Bloques,4,FALSE()),"")</f>
        <v>San Miguel de El Faique</v>
      </c>
      <c r="D10" s="6"/>
      <c r="E10" s="8" t="s">
        <v>18</v>
      </c>
      <c r="F10" s="8"/>
      <c r="G10" s="6" t="str">
        <f>IFERROR(VLOOKUP($C$9,tbl_Bloques,3,FALSE()),"")</f>
        <v>Huancabamba</v>
      </c>
      <c r="H10" s="6"/>
    </row>
    <row r="12" spans="1:8" ht="21.75" customHeight="1" x14ac:dyDescent="0.3">
      <c r="A12" s="9" t="s">
        <v>265</v>
      </c>
      <c r="B12" s="9"/>
      <c r="C12" s="9"/>
      <c r="D12" s="9"/>
      <c r="E12" s="9"/>
      <c r="F12" s="9"/>
      <c r="G12" s="9"/>
      <c r="H12" s="9"/>
    </row>
    <row r="13" spans="1:8" ht="27.75" customHeight="1" x14ac:dyDescent="0.3">
      <c r="A13" s="4" t="s">
        <v>266</v>
      </c>
      <c r="B13" s="4"/>
      <c r="C13" s="4"/>
      <c r="D13" s="4"/>
      <c r="E13" s="4"/>
      <c r="F13" s="4"/>
      <c r="G13" s="4"/>
      <c r="H13" s="4"/>
    </row>
    <row r="14" spans="1:8" ht="30" customHeight="1" x14ac:dyDescent="0.3">
      <c r="A14" s="16" t="s">
        <v>129</v>
      </c>
      <c r="B14" s="16" t="s">
        <v>267</v>
      </c>
      <c r="C14" s="16" t="s">
        <v>162</v>
      </c>
      <c r="D14" s="16" t="s">
        <v>163</v>
      </c>
      <c r="E14" s="16" t="s">
        <v>268</v>
      </c>
      <c r="F14" s="16" t="s">
        <v>269</v>
      </c>
      <c r="G14" s="16" t="s">
        <v>270</v>
      </c>
      <c r="H14" s="16" t="s">
        <v>271</v>
      </c>
    </row>
    <row r="15" spans="1:8" ht="19.5" customHeight="1" x14ac:dyDescent="0.3">
      <c r="A15" s="19">
        <v>1</v>
      </c>
      <c r="B15" s="17"/>
      <c r="C15" s="17"/>
      <c r="D15" s="17"/>
      <c r="E15" s="17"/>
      <c r="F15" s="17"/>
      <c r="G15" s="17"/>
      <c r="H15" s="18"/>
    </row>
    <row r="16" spans="1:8" ht="19.5" customHeight="1" x14ac:dyDescent="0.3">
      <c r="A16" s="19">
        <v>2</v>
      </c>
      <c r="B16" s="17"/>
      <c r="C16" s="17"/>
      <c r="D16" s="17"/>
      <c r="E16" s="17"/>
      <c r="F16" s="17"/>
      <c r="G16" s="17"/>
      <c r="H16" s="18"/>
    </row>
    <row r="17" spans="1:8" ht="19.5" customHeight="1" x14ac:dyDescent="0.3">
      <c r="A17" s="19">
        <v>3</v>
      </c>
      <c r="B17" s="17"/>
      <c r="C17" s="17"/>
      <c r="D17" s="17"/>
      <c r="E17" s="17"/>
      <c r="F17" s="17"/>
      <c r="G17" s="17"/>
      <c r="H17" s="18"/>
    </row>
    <row r="18" spans="1:8" ht="19.5" customHeight="1" x14ac:dyDescent="0.3">
      <c r="A18" s="19">
        <v>4</v>
      </c>
      <c r="B18" s="17"/>
      <c r="C18" s="17"/>
      <c r="D18" s="17"/>
      <c r="E18" s="17"/>
      <c r="F18" s="17"/>
      <c r="G18" s="17"/>
      <c r="H18" s="18"/>
    </row>
    <row r="19" spans="1:8" ht="19.5" customHeight="1" x14ac:dyDescent="0.3">
      <c r="A19" s="19">
        <v>5</v>
      </c>
      <c r="B19" s="17"/>
      <c r="C19" s="17"/>
      <c r="D19" s="17"/>
      <c r="E19" s="17"/>
      <c r="F19" s="17"/>
      <c r="G19" s="17"/>
      <c r="H19" s="18"/>
    </row>
    <row r="20" spans="1:8" ht="19.5" customHeight="1" x14ac:dyDescent="0.3">
      <c r="A20" s="19">
        <v>6</v>
      </c>
      <c r="B20" s="17"/>
      <c r="C20" s="17"/>
      <c r="D20" s="17"/>
      <c r="E20" s="17"/>
      <c r="F20" s="17"/>
      <c r="G20" s="17"/>
      <c r="H20" s="18"/>
    </row>
    <row r="21" spans="1:8" ht="19.5" customHeight="1" x14ac:dyDescent="0.3">
      <c r="A21" s="19">
        <v>7</v>
      </c>
      <c r="B21" s="17"/>
      <c r="C21" s="17"/>
      <c r="D21" s="17"/>
      <c r="E21" s="17"/>
      <c r="F21" s="17"/>
      <c r="G21" s="17"/>
      <c r="H21" s="18"/>
    </row>
    <row r="22" spans="1:8" ht="19.5" customHeight="1" x14ac:dyDescent="0.3">
      <c r="A22" s="19">
        <v>8</v>
      </c>
      <c r="B22" s="17"/>
      <c r="C22" s="17"/>
      <c r="D22" s="17"/>
      <c r="E22" s="17"/>
      <c r="F22" s="17"/>
      <c r="G22" s="17"/>
      <c r="H22" s="18"/>
    </row>
    <row r="23" spans="1:8" ht="19.5" customHeight="1" x14ac:dyDescent="0.3">
      <c r="A23" s="19">
        <v>9</v>
      </c>
      <c r="B23" s="17"/>
      <c r="C23" s="17"/>
      <c r="D23" s="17"/>
      <c r="E23" s="17"/>
      <c r="F23" s="17"/>
      <c r="G23" s="17"/>
      <c r="H23" s="18"/>
    </row>
    <row r="24" spans="1:8" ht="19.5" customHeight="1" x14ac:dyDescent="0.3">
      <c r="A24" s="19">
        <v>10</v>
      </c>
      <c r="B24" s="17"/>
      <c r="C24" s="17"/>
      <c r="D24" s="17"/>
      <c r="E24" s="17"/>
      <c r="F24" s="17"/>
      <c r="G24" s="17"/>
      <c r="H24" s="18"/>
    </row>
    <row r="26" spans="1:8" ht="21.75" customHeight="1" x14ac:dyDescent="0.3">
      <c r="A26" s="9" t="s">
        <v>272</v>
      </c>
      <c r="B26" s="9"/>
      <c r="C26" s="9"/>
      <c r="D26" s="9"/>
      <c r="E26" s="9"/>
      <c r="F26" s="9"/>
      <c r="G26" s="9"/>
      <c r="H26" s="9"/>
    </row>
    <row r="27" spans="1:8" ht="19.5" customHeight="1" x14ac:dyDescent="0.3">
      <c r="A27" s="8" t="s">
        <v>273</v>
      </c>
      <c r="B27" s="8"/>
      <c r="C27" s="7" t="s">
        <v>44</v>
      </c>
      <c r="D27" s="7"/>
      <c r="E27" s="7"/>
      <c r="F27" s="7"/>
      <c r="G27" s="7"/>
      <c r="H27" s="7"/>
    </row>
    <row r="28" spans="1:8" ht="19.5" customHeight="1" x14ac:dyDescent="0.3">
      <c r="A28" s="8" t="s">
        <v>274</v>
      </c>
      <c r="B28" s="8"/>
      <c r="C28" s="7" t="s">
        <v>44</v>
      </c>
      <c r="D28" s="7"/>
      <c r="E28" s="7"/>
      <c r="F28" s="7"/>
      <c r="G28" s="7"/>
      <c r="H28" s="7"/>
    </row>
    <row r="29" spans="1:8" ht="19.5" customHeight="1" x14ac:dyDescent="0.3">
      <c r="A29" s="8" t="s">
        <v>275</v>
      </c>
      <c r="B29" s="8"/>
      <c r="C29" s="7" t="s">
        <v>46</v>
      </c>
      <c r="D29" s="7"/>
      <c r="E29" s="7"/>
      <c r="F29" s="7"/>
      <c r="G29" s="7"/>
      <c r="H29" s="7"/>
    </row>
    <row r="30" spans="1:8" ht="19.5" customHeight="1" x14ac:dyDescent="0.3">
      <c r="A30" s="8" t="s">
        <v>276</v>
      </c>
      <c r="B30" s="8"/>
      <c r="C30" s="7" t="s">
        <v>25</v>
      </c>
      <c r="D30" s="7"/>
      <c r="E30" s="7"/>
      <c r="F30" s="7"/>
      <c r="G30" s="7"/>
      <c r="H30" s="7"/>
    </row>
    <row r="31" spans="1:8" ht="19.5" customHeight="1" x14ac:dyDescent="0.3">
      <c r="A31" s="8" t="s">
        <v>277</v>
      </c>
      <c r="B31" s="8"/>
      <c r="C31" s="7" t="s">
        <v>25</v>
      </c>
      <c r="D31" s="7"/>
      <c r="E31" s="7"/>
      <c r="F31" s="7"/>
      <c r="G31" s="7"/>
      <c r="H31" s="7"/>
    </row>
    <row r="32" spans="1:8" ht="19.5" customHeight="1" x14ac:dyDescent="0.3">
      <c r="A32" s="8" t="s">
        <v>278</v>
      </c>
      <c r="B32" s="8"/>
      <c r="C32" s="7"/>
      <c r="D32" s="7"/>
      <c r="E32" s="7"/>
      <c r="F32" s="7"/>
      <c r="G32" s="7"/>
      <c r="H32" s="7"/>
    </row>
    <row r="33" spans="1:8" ht="19.5" customHeight="1" x14ac:dyDescent="0.3">
      <c r="A33" s="8" t="s">
        <v>279</v>
      </c>
      <c r="B33" s="8"/>
      <c r="C33" s="7" t="s">
        <v>25</v>
      </c>
      <c r="D33" s="7"/>
      <c r="E33" s="7"/>
      <c r="F33" s="7"/>
      <c r="G33" s="7"/>
      <c r="H33" s="7"/>
    </row>
    <row r="35" spans="1:8" ht="21.75" customHeight="1" x14ac:dyDescent="0.3">
      <c r="A35" s="9" t="s">
        <v>280</v>
      </c>
      <c r="B35" s="9"/>
      <c r="C35" s="9"/>
      <c r="D35" s="9"/>
      <c r="E35" s="9"/>
      <c r="F35" s="9"/>
      <c r="G35" s="9"/>
      <c r="H35" s="9"/>
    </row>
    <row r="36" spans="1:8" ht="19.5" customHeight="1" x14ac:dyDescent="0.3">
      <c r="A36" s="8" t="s">
        <v>281</v>
      </c>
      <c r="B36" s="8"/>
      <c r="C36" s="7" t="s">
        <v>282</v>
      </c>
      <c r="D36" s="7"/>
      <c r="E36" s="7"/>
      <c r="F36" s="7"/>
      <c r="G36" s="7"/>
      <c r="H36" s="7"/>
    </row>
    <row r="37" spans="1:8" ht="19.5" customHeight="1" x14ac:dyDescent="0.3">
      <c r="A37" s="8" t="s">
        <v>283</v>
      </c>
      <c r="B37" s="8"/>
      <c r="C37" s="7" t="s">
        <v>284</v>
      </c>
      <c r="D37" s="7"/>
      <c r="E37" s="7"/>
      <c r="F37" s="7"/>
      <c r="G37" s="7"/>
      <c r="H37" s="7"/>
    </row>
    <row r="38" spans="1:8" ht="19.5" customHeight="1" x14ac:dyDescent="0.3">
      <c r="A38" s="8" t="s">
        <v>285</v>
      </c>
      <c r="B38" s="8"/>
      <c r="C38" s="7" t="s">
        <v>286</v>
      </c>
      <c r="D38" s="7"/>
      <c r="E38" s="7"/>
      <c r="F38" s="7"/>
      <c r="G38" s="7"/>
      <c r="H38" s="7"/>
    </row>
    <row r="39" spans="1:8" ht="19.5" customHeight="1" x14ac:dyDescent="0.3">
      <c r="A39" s="8" t="s">
        <v>287</v>
      </c>
      <c r="B39" s="8"/>
      <c r="C39" s="7" t="s">
        <v>574</v>
      </c>
      <c r="D39" s="7"/>
      <c r="E39" s="7"/>
      <c r="F39" s="7"/>
      <c r="G39" s="7"/>
      <c r="H39" s="7"/>
    </row>
    <row r="40" spans="1:8" ht="19.5" customHeight="1" x14ac:dyDescent="0.3">
      <c r="A40" s="8" t="s">
        <v>288</v>
      </c>
      <c r="B40" s="8"/>
      <c r="C40" s="7" t="s">
        <v>228</v>
      </c>
      <c r="D40" s="7"/>
      <c r="E40" s="7"/>
      <c r="F40" s="7"/>
      <c r="G40" s="7"/>
      <c r="H40" s="7"/>
    </row>
    <row r="41" spans="1:8" ht="19.5" customHeight="1" x14ac:dyDescent="0.3">
      <c r="A41" s="8" t="s">
        <v>289</v>
      </c>
      <c r="B41" s="8"/>
      <c r="C41" s="7" t="s">
        <v>25</v>
      </c>
      <c r="D41" s="7"/>
      <c r="E41" s="8" t="s">
        <v>290</v>
      </c>
      <c r="F41" s="8"/>
      <c r="G41" s="7" t="s">
        <v>25</v>
      </c>
      <c r="H41" s="7"/>
    </row>
    <row r="42" spans="1:8" ht="19.5" customHeight="1" x14ac:dyDescent="0.3">
      <c r="A42" s="8" t="s">
        <v>291</v>
      </c>
      <c r="B42" s="8"/>
      <c r="C42" s="7" t="s">
        <v>633</v>
      </c>
      <c r="D42" s="7"/>
      <c r="E42" s="7"/>
      <c r="F42" s="7"/>
      <c r="G42" s="7"/>
      <c r="H42" s="7"/>
    </row>
    <row r="43" spans="1:8" ht="19.5" customHeight="1" x14ac:dyDescent="0.3">
      <c r="A43" s="8" t="s">
        <v>292</v>
      </c>
      <c r="B43" s="8"/>
      <c r="C43" s="7"/>
      <c r="D43" s="7"/>
      <c r="E43" s="7"/>
      <c r="F43" s="7"/>
      <c r="G43" s="7"/>
      <c r="H43" s="7"/>
    </row>
    <row r="44" spans="1:8" ht="19.5" customHeight="1" x14ac:dyDescent="0.3">
      <c r="A44" s="8" t="s">
        <v>293</v>
      </c>
      <c r="B44" s="8"/>
      <c r="C44" s="7" t="s">
        <v>46</v>
      </c>
      <c r="D44" s="7"/>
      <c r="E44" s="7"/>
      <c r="F44" s="7"/>
      <c r="G44" s="7"/>
      <c r="H44" s="7"/>
    </row>
    <row r="45" spans="1:8" ht="19.5" customHeight="1" x14ac:dyDescent="0.3">
      <c r="A45" s="8" t="s">
        <v>294</v>
      </c>
      <c r="B45" s="8"/>
      <c r="C45" s="7" t="s">
        <v>44</v>
      </c>
      <c r="D45" s="7"/>
      <c r="E45" s="7"/>
      <c r="F45" s="7"/>
      <c r="G45" s="7"/>
      <c r="H45" s="7"/>
    </row>
    <row r="46" spans="1:8" ht="19.5" customHeight="1" x14ac:dyDescent="0.3">
      <c r="A46" s="8" t="s">
        <v>295</v>
      </c>
      <c r="B46" s="8"/>
      <c r="C46" s="7" t="s">
        <v>25</v>
      </c>
      <c r="D46" s="7"/>
      <c r="E46" s="7"/>
      <c r="F46" s="7"/>
      <c r="G46" s="7"/>
      <c r="H46" s="7"/>
    </row>
    <row r="48" spans="1:8" ht="21.75" customHeight="1" x14ac:dyDescent="0.3">
      <c r="A48" s="9" t="s">
        <v>50</v>
      </c>
      <c r="B48" s="9"/>
      <c r="C48" s="9"/>
      <c r="D48" s="9"/>
      <c r="E48" s="9"/>
      <c r="F48" s="9"/>
      <c r="G48" s="9"/>
      <c r="H48" s="9"/>
    </row>
    <row r="49" spans="1:8" ht="27.75" customHeight="1" x14ac:dyDescent="0.3">
      <c r="A49" s="2" t="s">
        <v>296</v>
      </c>
      <c r="B49" s="2"/>
      <c r="C49" s="2"/>
      <c r="D49" s="2"/>
      <c r="E49" s="2"/>
      <c r="F49" s="2"/>
      <c r="G49" s="2"/>
      <c r="H49" s="2"/>
    </row>
    <row r="50" spans="1:8" ht="27.75" customHeight="1" x14ac:dyDescent="0.3">
      <c r="A50" s="2"/>
      <c r="B50" s="2"/>
      <c r="C50" s="2"/>
      <c r="D50" s="2"/>
      <c r="E50" s="2"/>
      <c r="F50" s="2"/>
      <c r="G50" s="2"/>
      <c r="H50" s="2"/>
    </row>
    <row r="51" spans="1:8" ht="27.75" customHeight="1" x14ac:dyDescent="0.3">
      <c r="A51" s="2"/>
      <c r="B51" s="2"/>
      <c r="C51" s="2"/>
      <c r="D51" s="2"/>
      <c r="E51" s="2"/>
      <c r="F51" s="2"/>
      <c r="G51" s="2"/>
      <c r="H51" s="2"/>
    </row>
  </sheetData>
  <mergeCells count="63">
    <mergeCell ref="A46:B46"/>
    <mergeCell ref="C46:H46"/>
    <mergeCell ref="A48:H48"/>
    <mergeCell ref="A49:H51"/>
    <mergeCell ref="A43:B43"/>
    <mergeCell ref="C43:H43"/>
    <mergeCell ref="A44:B44"/>
    <mergeCell ref="C44:H44"/>
    <mergeCell ref="A45:B45"/>
    <mergeCell ref="C45:H45"/>
    <mergeCell ref="A41:B41"/>
    <mergeCell ref="C41:D41"/>
    <mergeCell ref="E41:F41"/>
    <mergeCell ref="G41:H41"/>
    <mergeCell ref="A42:B42"/>
    <mergeCell ref="C42:H42"/>
    <mergeCell ref="A38:B38"/>
    <mergeCell ref="C38:H38"/>
    <mergeCell ref="A39:B39"/>
    <mergeCell ref="C39:H39"/>
    <mergeCell ref="A40:B40"/>
    <mergeCell ref="C40:H40"/>
    <mergeCell ref="A35:H35"/>
    <mergeCell ref="A36:B36"/>
    <mergeCell ref="C36:H36"/>
    <mergeCell ref="A37:B37"/>
    <mergeCell ref="C37:H37"/>
    <mergeCell ref="A31:B31"/>
    <mergeCell ref="C31:H31"/>
    <mergeCell ref="A32:B32"/>
    <mergeCell ref="C32:H32"/>
    <mergeCell ref="A33:B33"/>
    <mergeCell ref="C33:H33"/>
    <mergeCell ref="A28:B28"/>
    <mergeCell ref="C28:H28"/>
    <mergeCell ref="A29:B29"/>
    <mergeCell ref="C29:H29"/>
    <mergeCell ref="A30:B30"/>
    <mergeCell ref="C30:H30"/>
    <mergeCell ref="A12:H12"/>
    <mergeCell ref="A13:H13"/>
    <mergeCell ref="A26:H26"/>
    <mergeCell ref="A27:B27"/>
    <mergeCell ref="C27:H27"/>
    <mergeCell ref="A9:B9"/>
    <mergeCell ref="C9:D9"/>
    <mergeCell ref="E9:F9"/>
    <mergeCell ref="G9:H9"/>
    <mergeCell ref="A10:B10"/>
    <mergeCell ref="C10:D10"/>
    <mergeCell ref="E10:F10"/>
    <mergeCell ref="G10:H10"/>
    <mergeCell ref="A6:H6"/>
    <mergeCell ref="A7:H7"/>
    <mergeCell ref="A8:B8"/>
    <mergeCell ref="C8:D8"/>
    <mergeCell ref="E8:F8"/>
    <mergeCell ref="G8:H8"/>
    <mergeCell ref="A1:H1"/>
    <mergeCell ref="A2:H2"/>
    <mergeCell ref="A3:H3"/>
    <mergeCell ref="A4:H4"/>
    <mergeCell ref="A5:H5"/>
  </mergeCells>
  <dataValidations count="15">
    <dataValidation type="list" allowBlank="1" errorTitle="Valor no válido" error="Seleccione un valor de la lista desplegable." promptTitle="Código de Bloque" prompt="Elija una opción de la lista." sqref="C9" xr:uid="{00000000-0002-0000-0400-000000000000}">
      <formula1>lst_CodigoBloque</formula1>
      <formula2>0</formula2>
    </dataValidation>
    <dataValidation type="list" allowBlank="1" errorTitle="Valor no válido" error="Seleccione un valor de la lista desplegable." promptTitle="Tipo de fuente" prompt="Elija una opción de la lista." sqref="B15:B24" xr:uid="{00000000-0002-0000-0400-000001000000}">
      <formula1>lst_TipoFuente</formula1>
      <formula2>0</formula2>
    </dataValidation>
    <dataValidation type="list" allowBlank="1" errorTitle="Valor no válido" error="Seleccione un valor de la lista desplegable." promptTitle="Régimen" prompt="Elija una opción de la lista." sqref="E15:E24" xr:uid="{00000000-0002-0000-0400-000002000000}">
      <formula1>lst_RegimenHidrico</formula1>
      <formula2>0</formula2>
    </dataValidation>
    <dataValidation type="list" allowBlank="1" errorTitle="Valor no válido" error="Seleccione un valor de la lista desplegable." promptTitle="Calidad aparente" prompt="Elija una opción de la lista." sqref="F15:F24" xr:uid="{00000000-0002-0000-0400-000003000000}">
      <formula1>lst_CalidadAgua</formula1>
      <formula2>0</formula2>
    </dataValidation>
    <dataValidation type="list" allowBlank="1" errorTitle="Valor no válido" error="Seleccione un valor de la lista desplegable." promptTitle="¿Bloque en zona de recarga híd" prompt="Elija una opción de la lista." sqref="C27" xr:uid="{00000000-0002-0000-0400-000004000000}">
      <formula1>lst_SiNo</formula1>
      <formula2>0</formula2>
    </dataValidation>
    <dataValidation type="list" allowBlank="1" errorTitle="Valor no válido" error="Seleccione un valor de la lista desplegable." promptTitle="¿Zonas de humedad persistente " prompt="Elija una opción de la lista." sqref="C28" xr:uid="{00000000-0002-0000-0400-000005000000}">
      <formula1>lst_SiNo</formula1>
      <formula2>0</formula2>
    </dataValidation>
    <dataValidation type="list" allowBlank="1" errorTitle="Valor no válido" error="Seleccione un valor de la lista desplegable." promptTitle="¿Escorrentía concentrada obser" prompt="Elija una opción de la lista." sqref="C29" xr:uid="{00000000-0002-0000-0400-000006000000}">
      <formula1>lst_SiNo</formula1>
      <formula2>0</formula2>
    </dataValidation>
    <dataValidation type="list" allowBlank="1" errorTitle="Valor no válido" error="Seleccione un valor de la lista desplegable." promptTitle="¿Interferencia con obras de ri" prompt="Elija una opción de la lista." sqref="C32" xr:uid="{00000000-0002-0000-0400-000007000000}">
      <formula1>lst_SiNo</formula1>
      <formula2>0</formula2>
    </dataValidation>
    <dataValidation type="list" allowBlank="1" errorTitle="Valor no válido" error="Seleccione un valor de la lista desplegable." promptTitle="Modalidad de acceso al bloque " prompt="Elija una opción de la lista." sqref="C36" xr:uid="{00000000-0002-0000-0400-000008000000}">
      <formula1>lst_ModalidadAcceso</formula1>
      <formula2>0</formula2>
    </dataValidation>
    <dataValidation type="list" allowBlank="1" errorTitle="Valor no válido" error="Seleccione un valor de la lista desplegable." promptTitle="Tipo de vía final" prompt="Elija una opción de la lista." sqref="C38" xr:uid="{00000000-0002-0000-0400-000009000000}">
      <formula1>lst_TipoVia</formula1>
      <formula2>0</formula2>
    </dataValidation>
    <dataValidation type="list" allowBlank="1" errorTitle="Valor no válido" error="Seleccione un valor de la lista desplegable." promptTitle="Estado transitabilidad — época" prompt="Elija una opción de la lista." sqref="C39:C40" xr:uid="{00000000-0002-0000-0400-00000A000000}">
      <formula1>lst_NivelTransitabilidad</formula1>
      <formula2>0</formula2>
    </dataValidation>
    <dataValidation type="list" allowBlank="1" errorTitle="Valor no válido" error="Seleccione un valor de la lista desplegable." promptTitle="Señal celular" prompt="Elija una opción de la lista." sqref="C42" xr:uid="{00000000-0002-0000-0400-00000B000000}">
      <formula1>lst_SenalCelular</formula1>
      <formula2>0</formula2>
    </dataValidation>
    <dataValidation type="list" allowBlank="1" errorTitle="Valor no válido" error="Seleccione un valor de la lista desplegable." promptTitle="Operador celular dominante" prompt="Elija una opción de la lista." sqref="C43" xr:uid="{00000000-0002-0000-0400-00000C000000}">
      <formula1>lst_Operador</formula1>
      <formula2>0</formula2>
    </dataValidation>
    <dataValidation type="list" allowBlank="1" errorTitle="Valor no válido" error="Seleccione un valor de la lista desplegable." promptTitle="Alojamiento rural disponible" prompt="Elija una opción de la lista." sqref="C44" xr:uid="{00000000-0002-0000-0400-00000D000000}">
      <formula1>lst_SiNo</formula1>
      <formula2>0</formula2>
    </dataValidation>
    <dataValidation type="list" allowBlank="1" errorTitle="Valor no válido" error="Seleccione un valor de la lista desplegable." promptTitle="¿Requiere autorización de Rond" prompt="Elija una opción de la lista." sqref="C45" xr:uid="{00000000-0002-0000-0400-00000E000000}">
      <formula1>lst_SiNo</formula1>
      <formula2>0</formula2>
    </dataValidation>
  </dataValidations>
  <printOptions horizontalCentered="1"/>
  <pageMargins left="0.4" right="0.4" top="0.5" bottom="0.5" header="0.511811023622047" footer="0.511811023622047"/>
  <pageSetup paperSize="9"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28"/>
  <sheetViews>
    <sheetView zoomScaleNormal="100" workbookViewId="0">
      <pane ySplit="1" topLeftCell="A2" activePane="bottomLeft" state="frozen"/>
      <selection pane="bottomLeft"/>
    </sheetView>
  </sheetViews>
  <sheetFormatPr baseColWidth="10" defaultColWidth="8.6640625" defaultRowHeight="14.4" x14ac:dyDescent="0.3"/>
  <cols>
    <col min="1" max="1" width="10" customWidth="1"/>
    <col min="2" max="3" width="16" customWidth="1"/>
    <col min="4" max="4" width="24" customWidth="1"/>
    <col min="5" max="5" width="8" customWidth="1"/>
    <col min="6" max="7" width="12" customWidth="1"/>
    <col min="8" max="8" width="11" customWidth="1"/>
  </cols>
  <sheetData>
    <row r="1" spans="1:8" ht="15" customHeight="1" x14ac:dyDescent="0.3">
      <c r="A1" s="16" t="s">
        <v>297</v>
      </c>
      <c r="B1" s="16" t="s">
        <v>298</v>
      </c>
      <c r="C1" s="16" t="s">
        <v>299</v>
      </c>
      <c r="D1" s="16" t="s">
        <v>300</v>
      </c>
      <c r="E1" s="16" t="s">
        <v>301</v>
      </c>
      <c r="F1" s="16" t="s">
        <v>302</v>
      </c>
      <c r="G1" s="16" t="s">
        <v>303</v>
      </c>
      <c r="H1" s="16" t="s">
        <v>304</v>
      </c>
    </row>
    <row r="2" spans="1:8" ht="15" customHeight="1" x14ac:dyDescent="0.3">
      <c r="A2" s="23" t="s">
        <v>305</v>
      </c>
      <c r="B2" s="23" t="s">
        <v>306</v>
      </c>
      <c r="C2" s="23" t="s">
        <v>307</v>
      </c>
      <c r="D2" s="23" t="s">
        <v>308</v>
      </c>
      <c r="E2" s="23" t="s">
        <v>309</v>
      </c>
      <c r="F2" s="24">
        <v>595552</v>
      </c>
      <c r="G2" s="24">
        <v>9451222</v>
      </c>
      <c r="H2" s="25">
        <v>355.36</v>
      </c>
    </row>
    <row r="3" spans="1:8" ht="15" customHeight="1" x14ac:dyDescent="0.3">
      <c r="A3" s="23" t="s">
        <v>310</v>
      </c>
      <c r="B3" s="23" t="s">
        <v>311</v>
      </c>
      <c r="C3" s="23" t="s">
        <v>307</v>
      </c>
      <c r="D3" s="23" t="s">
        <v>308</v>
      </c>
      <c r="E3" s="23" t="s">
        <v>309</v>
      </c>
      <c r="F3" s="24">
        <v>596773</v>
      </c>
      <c r="G3" s="24">
        <v>9448273</v>
      </c>
      <c r="H3" s="25">
        <v>68.89</v>
      </c>
    </row>
    <row r="4" spans="1:8" ht="15" customHeight="1" x14ac:dyDescent="0.3">
      <c r="A4" s="23" t="s">
        <v>312</v>
      </c>
      <c r="B4" s="23" t="s">
        <v>311</v>
      </c>
      <c r="C4" s="23" t="s">
        <v>307</v>
      </c>
      <c r="D4" s="23" t="s">
        <v>308</v>
      </c>
      <c r="E4" s="23" t="s">
        <v>309</v>
      </c>
      <c r="F4" s="24">
        <v>596578</v>
      </c>
      <c r="G4" s="24">
        <v>9442453</v>
      </c>
      <c r="H4" s="25">
        <v>53.48</v>
      </c>
    </row>
    <row r="5" spans="1:8" ht="15" customHeight="1" x14ac:dyDescent="0.3">
      <c r="A5" s="23" t="s">
        <v>313</v>
      </c>
      <c r="B5" s="23" t="s">
        <v>314</v>
      </c>
      <c r="C5" s="23" t="s">
        <v>307</v>
      </c>
      <c r="D5" s="23" t="s">
        <v>308</v>
      </c>
      <c r="E5" s="23" t="s">
        <v>309</v>
      </c>
      <c r="F5" s="24">
        <v>599927</v>
      </c>
      <c r="G5" s="24">
        <v>9442604</v>
      </c>
      <c r="H5" s="25">
        <v>35.83</v>
      </c>
    </row>
    <row r="6" spans="1:8" ht="15" customHeight="1" x14ac:dyDescent="0.3">
      <c r="A6" s="23" t="s">
        <v>315</v>
      </c>
      <c r="B6" s="23" t="s">
        <v>314</v>
      </c>
      <c r="C6" s="23" t="s">
        <v>307</v>
      </c>
      <c r="D6" s="23" t="s">
        <v>308</v>
      </c>
      <c r="E6" s="23" t="s">
        <v>309</v>
      </c>
      <c r="F6" s="24">
        <v>601122</v>
      </c>
      <c r="G6" s="24">
        <v>9443651</v>
      </c>
      <c r="H6" s="25">
        <v>79.33</v>
      </c>
    </row>
    <row r="7" spans="1:8" ht="15" customHeight="1" x14ac:dyDescent="0.3">
      <c r="A7" s="23" t="s">
        <v>316</v>
      </c>
      <c r="B7" s="23" t="s">
        <v>314</v>
      </c>
      <c r="C7" s="23" t="s">
        <v>307</v>
      </c>
      <c r="D7" s="23" t="s">
        <v>308</v>
      </c>
      <c r="E7" s="23" t="s">
        <v>309</v>
      </c>
      <c r="F7" s="24">
        <v>600644</v>
      </c>
      <c r="G7" s="24">
        <v>9440436</v>
      </c>
      <c r="H7" s="25">
        <v>42.45</v>
      </c>
    </row>
    <row r="8" spans="1:8" ht="15" customHeight="1" x14ac:dyDescent="0.3">
      <c r="A8" s="23" t="s">
        <v>317</v>
      </c>
      <c r="B8" s="23" t="s">
        <v>318</v>
      </c>
      <c r="C8" s="23" t="s">
        <v>307</v>
      </c>
      <c r="D8" s="23" t="s">
        <v>308</v>
      </c>
      <c r="E8" s="23" t="s">
        <v>309</v>
      </c>
      <c r="F8" s="24">
        <v>603653</v>
      </c>
      <c r="G8" s="24">
        <v>9439351</v>
      </c>
      <c r="H8" s="25">
        <v>330.6</v>
      </c>
    </row>
    <row r="9" spans="1:8" ht="15" customHeight="1" x14ac:dyDescent="0.3">
      <c r="A9" s="23" t="s">
        <v>319</v>
      </c>
      <c r="B9" s="23" t="s">
        <v>314</v>
      </c>
      <c r="C9" s="23" t="s">
        <v>307</v>
      </c>
      <c r="D9" s="23" t="s">
        <v>308</v>
      </c>
      <c r="E9" s="23" t="s">
        <v>309</v>
      </c>
      <c r="F9" s="24">
        <v>604926</v>
      </c>
      <c r="G9" s="24">
        <v>9444327</v>
      </c>
      <c r="H9" s="25">
        <v>124.71</v>
      </c>
    </row>
    <row r="10" spans="1:8" ht="15" customHeight="1" x14ac:dyDescent="0.3">
      <c r="A10" s="23" t="s">
        <v>320</v>
      </c>
      <c r="B10" s="23" t="s">
        <v>321</v>
      </c>
      <c r="C10" s="23" t="s">
        <v>307</v>
      </c>
      <c r="D10" s="23" t="s">
        <v>308</v>
      </c>
      <c r="E10" s="23" t="s">
        <v>309</v>
      </c>
      <c r="F10" s="24">
        <v>593246</v>
      </c>
      <c r="G10" s="24">
        <v>9430139</v>
      </c>
      <c r="H10" s="25">
        <v>448.8</v>
      </c>
    </row>
    <row r="11" spans="1:8" ht="15" customHeight="1" x14ac:dyDescent="0.3">
      <c r="A11" s="23" t="s">
        <v>322</v>
      </c>
      <c r="B11" s="23" t="s">
        <v>306</v>
      </c>
      <c r="C11" s="23" t="s">
        <v>323</v>
      </c>
      <c r="D11" s="23" t="s">
        <v>324</v>
      </c>
      <c r="E11" s="23" t="s">
        <v>325</v>
      </c>
      <c r="F11" s="24">
        <v>606816</v>
      </c>
      <c r="G11" s="24">
        <v>9458469</v>
      </c>
      <c r="H11" s="25">
        <v>459.29</v>
      </c>
    </row>
    <row r="12" spans="1:8" ht="15" customHeight="1" x14ac:dyDescent="0.3">
      <c r="A12" s="23" t="s">
        <v>326</v>
      </c>
      <c r="B12" s="23" t="s">
        <v>311</v>
      </c>
      <c r="C12" s="23" t="s">
        <v>323</v>
      </c>
      <c r="D12" s="23" t="s">
        <v>324</v>
      </c>
      <c r="E12" s="23" t="s">
        <v>325</v>
      </c>
      <c r="F12" s="24">
        <v>605636</v>
      </c>
      <c r="G12" s="24">
        <v>9455269</v>
      </c>
      <c r="H12" s="25">
        <v>168.41</v>
      </c>
    </row>
    <row r="13" spans="1:8" ht="15" customHeight="1" x14ac:dyDescent="0.3">
      <c r="A13" s="23" t="s">
        <v>327</v>
      </c>
      <c r="B13" s="23" t="s">
        <v>311</v>
      </c>
      <c r="C13" s="23" t="s">
        <v>323</v>
      </c>
      <c r="D13" s="23" t="s">
        <v>324</v>
      </c>
      <c r="E13" s="23" t="s">
        <v>325</v>
      </c>
      <c r="F13" s="24">
        <v>606468</v>
      </c>
      <c r="G13" s="24">
        <v>9454689</v>
      </c>
      <c r="H13" s="25">
        <v>24.84</v>
      </c>
    </row>
    <row r="14" spans="1:8" ht="15" customHeight="1" x14ac:dyDescent="0.3">
      <c r="A14" s="23" t="s">
        <v>328</v>
      </c>
      <c r="B14" s="23" t="s">
        <v>314</v>
      </c>
      <c r="C14" s="23" t="s">
        <v>323</v>
      </c>
      <c r="D14" s="23" t="s">
        <v>324</v>
      </c>
      <c r="E14" s="23" t="s">
        <v>325</v>
      </c>
      <c r="F14" s="24">
        <v>608472</v>
      </c>
      <c r="G14" s="24">
        <v>9448056</v>
      </c>
      <c r="H14" s="25">
        <v>258.83999999999997</v>
      </c>
    </row>
    <row r="15" spans="1:8" ht="15" customHeight="1" x14ac:dyDescent="0.3">
      <c r="A15" s="23" t="s">
        <v>329</v>
      </c>
      <c r="B15" s="23" t="s">
        <v>314</v>
      </c>
      <c r="C15" s="23" t="s">
        <v>323</v>
      </c>
      <c r="D15" s="23" t="s">
        <v>324</v>
      </c>
      <c r="E15" s="23" t="s">
        <v>325</v>
      </c>
      <c r="F15" s="24">
        <v>607036</v>
      </c>
      <c r="G15" s="24">
        <v>9446211</v>
      </c>
      <c r="H15" s="25">
        <v>106.54</v>
      </c>
    </row>
    <row r="16" spans="1:8" ht="15" customHeight="1" x14ac:dyDescent="0.3">
      <c r="A16" s="23" t="s">
        <v>330</v>
      </c>
      <c r="B16" s="23" t="s">
        <v>314</v>
      </c>
      <c r="C16" s="23" t="s">
        <v>323</v>
      </c>
      <c r="D16" s="23" t="s">
        <v>324</v>
      </c>
      <c r="E16" s="23" t="s">
        <v>325</v>
      </c>
      <c r="F16" s="24">
        <v>606173</v>
      </c>
      <c r="G16" s="24">
        <v>9447361</v>
      </c>
      <c r="H16" s="25">
        <v>75.36</v>
      </c>
    </row>
    <row r="17" spans="1:8" ht="15" customHeight="1" x14ac:dyDescent="0.3">
      <c r="A17" s="23" t="s">
        <v>331</v>
      </c>
      <c r="B17" s="23" t="s">
        <v>314</v>
      </c>
      <c r="C17" s="23" t="s">
        <v>323</v>
      </c>
      <c r="D17" s="23" t="s">
        <v>324</v>
      </c>
      <c r="E17" s="23" t="s">
        <v>325</v>
      </c>
      <c r="F17" s="24">
        <v>608800</v>
      </c>
      <c r="G17" s="24">
        <v>9445585</v>
      </c>
      <c r="H17" s="25">
        <v>74.03</v>
      </c>
    </row>
    <row r="18" spans="1:8" ht="15" customHeight="1" x14ac:dyDescent="0.3">
      <c r="A18" s="23" t="s">
        <v>332</v>
      </c>
      <c r="B18" s="23" t="s">
        <v>314</v>
      </c>
      <c r="C18" s="23" t="s">
        <v>323</v>
      </c>
      <c r="D18" s="23" t="s">
        <v>324</v>
      </c>
      <c r="E18" s="23" t="s">
        <v>325</v>
      </c>
      <c r="F18" s="24">
        <v>613302</v>
      </c>
      <c r="G18" s="24">
        <v>9450231</v>
      </c>
      <c r="H18" s="25">
        <v>78.150000000000006</v>
      </c>
    </row>
    <row r="19" spans="1:8" ht="15" customHeight="1" x14ac:dyDescent="0.3">
      <c r="A19" s="23" t="s">
        <v>333</v>
      </c>
      <c r="B19" s="23" t="s">
        <v>334</v>
      </c>
      <c r="C19" s="23" t="s">
        <v>323</v>
      </c>
      <c r="D19" s="23" t="s">
        <v>324</v>
      </c>
      <c r="E19" s="23" t="s">
        <v>325</v>
      </c>
      <c r="F19" s="24">
        <v>618523</v>
      </c>
      <c r="G19" s="24">
        <v>9448918</v>
      </c>
      <c r="H19" s="25">
        <v>68.569999999999993</v>
      </c>
    </row>
    <row r="20" spans="1:8" ht="15" customHeight="1" x14ac:dyDescent="0.3">
      <c r="A20" s="23" t="s">
        <v>335</v>
      </c>
      <c r="B20" s="23" t="s">
        <v>334</v>
      </c>
      <c r="C20" s="23" t="s">
        <v>323</v>
      </c>
      <c r="D20" s="23" t="s">
        <v>324</v>
      </c>
      <c r="E20" s="23" t="s">
        <v>325</v>
      </c>
      <c r="F20" s="24">
        <v>631723</v>
      </c>
      <c r="G20" s="24">
        <v>9439702</v>
      </c>
      <c r="H20" s="25">
        <v>77.67</v>
      </c>
    </row>
    <row r="21" spans="1:8" ht="15" customHeight="1" x14ac:dyDescent="0.3">
      <c r="A21" s="23" t="s">
        <v>336</v>
      </c>
      <c r="B21" s="23" t="s">
        <v>337</v>
      </c>
      <c r="C21" s="23" t="s">
        <v>307</v>
      </c>
      <c r="D21" s="23" t="s">
        <v>338</v>
      </c>
      <c r="E21" s="23" t="s">
        <v>339</v>
      </c>
      <c r="F21" s="24">
        <v>625419</v>
      </c>
      <c r="G21" s="24">
        <v>9444932</v>
      </c>
      <c r="H21" s="25">
        <v>119.54</v>
      </c>
    </row>
    <row r="22" spans="1:8" ht="15" customHeight="1" x14ac:dyDescent="0.3">
      <c r="A22" s="23" t="s">
        <v>340</v>
      </c>
      <c r="B22" s="23" t="s">
        <v>337</v>
      </c>
      <c r="C22" s="23" t="s">
        <v>307</v>
      </c>
      <c r="D22" s="23" t="s">
        <v>338</v>
      </c>
      <c r="E22" s="23" t="s">
        <v>339</v>
      </c>
      <c r="F22" s="24">
        <v>621452</v>
      </c>
      <c r="G22" s="24">
        <v>9443855</v>
      </c>
      <c r="H22" s="25">
        <v>35.659999999999997</v>
      </c>
    </row>
    <row r="23" spans="1:8" ht="15" customHeight="1" x14ac:dyDescent="0.3">
      <c r="A23" s="23" t="s">
        <v>341</v>
      </c>
      <c r="B23" s="23" t="s">
        <v>334</v>
      </c>
      <c r="C23" s="23" t="s">
        <v>307</v>
      </c>
      <c r="D23" s="23" t="s">
        <v>338</v>
      </c>
      <c r="E23" s="23" t="s">
        <v>339</v>
      </c>
      <c r="F23" s="24">
        <v>620263</v>
      </c>
      <c r="G23" s="24">
        <v>9442343</v>
      </c>
      <c r="H23" s="25">
        <v>100.51</v>
      </c>
    </row>
    <row r="24" spans="1:8" ht="15" customHeight="1" x14ac:dyDescent="0.3">
      <c r="A24" s="23" t="s">
        <v>342</v>
      </c>
      <c r="B24" s="23" t="s">
        <v>337</v>
      </c>
      <c r="C24" s="23" t="s">
        <v>307</v>
      </c>
      <c r="D24" s="23" t="s">
        <v>338</v>
      </c>
      <c r="E24" s="23" t="s">
        <v>339</v>
      </c>
      <c r="F24" s="24">
        <v>619630</v>
      </c>
      <c r="G24" s="24">
        <v>9440043</v>
      </c>
      <c r="H24" s="25">
        <v>35.1</v>
      </c>
    </row>
    <row r="25" spans="1:8" ht="15" customHeight="1" x14ac:dyDescent="0.3">
      <c r="A25" s="23" t="s">
        <v>343</v>
      </c>
      <c r="B25" s="23" t="s">
        <v>337</v>
      </c>
      <c r="C25" s="23" t="s">
        <v>307</v>
      </c>
      <c r="D25" s="23" t="s">
        <v>338</v>
      </c>
      <c r="E25" s="23" t="s">
        <v>339</v>
      </c>
      <c r="F25" s="24">
        <v>620759</v>
      </c>
      <c r="G25" s="24">
        <v>9439988</v>
      </c>
      <c r="H25" s="25">
        <v>103.95</v>
      </c>
    </row>
    <row r="26" spans="1:8" ht="15" customHeight="1" x14ac:dyDescent="0.3">
      <c r="A26" s="23" t="s">
        <v>344</v>
      </c>
      <c r="B26" s="23" t="s">
        <v>337</v>
      </c>
      <c r="C26" s="23" t="s">
        <v>307</v>
      </c>
      <c r="D26" s="23" t="s">
        <v>338</v>
      </c>
      <c r="E26" s="23" t="s">
        <v>339</v>
      </c>
      <c r="F26" s="24">
        <v>619939</v>
      </c>
      <c r="G26" s="24">
        <v>9438544</v>
      </c>
      <c r="H26" s="25">
        <v>81.78</v>
      </c>
    </row>
    <row r="27" spans="1:8" ht="15" customHeight="1" x14ac:dyDescent="0.3">
      <c r="A27" s="23" t="s">
        <v>345</v>
      </c>
      <c r="B27" s="23" t="s">
        <v>337</v>
      </c>
      <c r="C27" s="23" t="s">
        <v>307</v>
      </c>
      <c r="D27" s="23" t="s">
        <v>338</v>
      </c>
      <c r="E27" s="23" t="s">
        <v>339</v>
      </c>
      <c r="F27" s="24">
        <v>620200</v>
      </c>
      <c r="G27" s="24">
        <v>9437862</v>
      </c>
      <c r="H27" s="25">
        <v>86.15</v>
      </c>
    </row>
    <row r="28" spans="1:8" ht="15" customHeight="1" x14ac:dyDescent="0.3">
      <c r="A28" s="23" t="s">
        <v>346</v>
      </c>
      <c r="B28" s="23" t="s">
        <v>337</v>
      </c>
      <c r="C28" s="23" t="s">
        <v>307</v>
      </c>
      <c r="D28" s="23" t="s">
        <v>338</v>
      </c>
      <c r="E28" s="23" t="s">
        <v>339</v>
      </c>
      <c r="F28" s="24">
        <v>620770</v>
      </c>
      <c r="G28" s="24">
        <v>9436562</v>
      </c>
      <c r="H28" s="25">
        <v>34.17</v>
      </c>
    </row>
    <row r="29" spans="1:8" ht="15" customHeight="1" x14ac:dyDescent="0.3">
      <c r="A29" s="23" t="s">
        <v>347</v>
      </c>
      <c r="B29" s="23" t="s">
        <v>337</v>
      </c>
      <c r="C29" s="23" t="s">
        <v>307</v>
      </c>
      <c r="D29" s="23" t="s">
        <v>338</v>
      </c>
      <c r="E29" s="23" t="s">
        <v>339</v>
      </c>
      <c r="F29" s="24">
        <v>618661</v>
      </c>
      <c r="G29" s="24">
        <v>9438267</v>
      </c>
      <c r="H29" s="25">
        <v>96.08</v>
      </c>
    </row>
    <row r="30" spans="1:8" ht="15" customHeight="1" x14ac:dyDescent="0.3">
      <c r="A30" s="23" t="s">
        <v>348</v>
      </c>
      <c r="B30" s="23" t="s">
        <v>318</v>
      </c>
      <c r="C30" s="23" t="s">
        <v>307</v>
      </c>
      <c r="D30" s="23" t="s">
        <v>338</v>
      </c>
      <c r="E30" s="23" t="s">
        <v>339</v>
      </c>
      <c r="F30" s="24">
        <v>617596</v>
      </c>
      <c r="G30" s="24">
        <v>9436227</v>
      </c>
      <c r="H30" s="25">
        <v>35.35</v>
      </c>
    </row>
    <row r="31" spans="1:8" ht="15" customHeight="1" x14ac:dyDescent="0.3">
      <c r="A31" s="23" t="s">
        <v>349</v>
      </c>
      <c r="B31" s="23" t="s">
        <v>350</v>
      </c>
      <c r="C31" s="23" t="s">
        <v>307</v>
      </c>
      <c r="D31" s="23" t="s">
        <v>351</v>
      </c>
      <c r="E31" s="23" t="s">
        <v>352</v>
      </c>
      <c r="F31" s="24">
        <v>631195</v>
      </c>
      <c r="G31" s="24">
        <v>9441777</v>
      </c>
      <c r="H31" s="25">
        <v>25.67</v>
      </c>
    </row>
    <row r="32" spans="1:8" ht="15" customHeight="1" x14ac:dyDescent="0.3">
      <c r="A32" s="23" t="s">
        <v>353</v>
      </c>
      <c r="B32" s="23" t="s">
        <v>337</v>
      </c>
      <c r="C32" s="23" t="s">
        <v>307</v>
      </c>
      <c r="D32" s="23" t="s">
        <v>351</v>
      </c>
      <c r="E32" s="23" t="s">
        <v>352</v>
      </c>
      <c r="F32" s="24">
        <v>631195</v>
      </c>
      <c r="G32" s="24">
        <v>9441777</v>
      </c>
      <c r="H32" s="25">
        <v>13.55</v>
      </c>
    </row>
    <row r="33" spans="1:8" ht="15" customHeight="1" x14ac:dyDescent="0.3">
      <c r="A33" s="23" t="s">
        <v>354</v>
      </c>
      <c r="B33" s="23" t="s">
        <v>350</v>
      </c>
      <c r="C33" s="23" t="s">
        <v>307</v>
      </c>
      <c r="D33" s="23" t="s">
        <v>355</v>
      </c>
      <c r="E33" s="23" t="s">
        <v>352</v>
      </c>
      <c r="F33" s="24">
        <v>626438</v>
      </c>
      <c r="G33" s="24">
        <v>9435060</v>
      </c>
      <c r="H33" s="25">
        <v>28.19</v>
      </c>
    </row>
    <row r="34" spans="1:8" ht="15" customHeight="1" x14ac:dyDescent="0.3">
      <c r="A34" s="23" t="s">
        <v>356</v>
      </c>
      <c r="B34" s="23" t="s">
        <v>337</v>
      </c>
      <c r="C34" s="23" t="s">
        <v>307</v>
      </c>
      <c r="D34" s="23" t="s">
        <v>355</v>
      </c>
      <c r="E34" s="23" t="s">
        <v>352</v>
      </c>
      <c r="F34" s="24">
        <v>625152</v>
      </c>
      <c r="G34" s="24">
        <v>9435011</v>
      </c>
      <c r="H34" s="25">
        <v>80.62</v>
      </c>
    </row>
    <row r="35" spans="1:8" ht="15" customHeight="1" x14ac:dyDescent="0.3">
      <c r="A35" s="23" t="s">
        <v>357</v>
      </c>
      <c r="B35" s="23" t="s">
        <v>337</v>
      </c>
      <c r="C35" s="23" t="s">
        <v>307</v>
      </c>
      <c r="D35" s="23" t="s">
        <v>355</v>
      </c>
      <c r="E35" s="23" t="s">
        <v>352</v>
      </c>
      <c r="F35" s="24">
        <v>624397</v>
      </c>
      <c r="G35" s="24">
        <v>9437085</v>
      </c>
      <c r="H35" s="25">
        <v>92.9</v>
      </c>
    </row>
    <row r="36" spans="1:8" ht="15" customHeight="1" x14ac:dyDescent="0.3">
      <c r="A36" s="23" t="s">
        <v>358</v>
      </c>
      <c r="B36" s="23" t="s">
        <v>359</v>
      </c>
      <c r="C36" s="23" t="s">
        <v>307</v>
      </c>
      <c r="D36" s="23" t="s">
        <v>355</v>
      </c>
      <c r="E36" s="23" t="s">
        <v>352</v>
      </c>
      <c r="F36" s="24">
        <v>619094</v>
      </c>
      <c r="G36" s="24">
        <v>9426406</v>
      </c>
      <c r="H36" s="25">
        <v>11.47</v>
      </c>
    </row>
    <row r="37" spans="1:8" ht="15" customHeight="1" x14ac:dyDescent="0.3">
      <c r="A37" s="23" t="s">
        <v>360</v>
      </c>
      <c r="B37" s="23" t="s">
        <v>337</v>
      </c>
      <c r="C37" s="23" t="s">
        <v>307</v>
      </c>
      <c r="D37" s="23" t="s">
        <v>307</v>
      </c>
      <c r="E37" s="23" t="s">
        <v>361</v>
      </c>
      <c r="F37" s="24">
        <v>617715</v>
      </c>
      <c r="G37" s="24">
        <v>9427284</v>
      </c>
      <c r="H37" s="25">
        <v>74.37</v>
      </c>
    </row>
    <row r="38" spans="1:8" ht="15" customHeight="1" x14ac:dyDescent="0.3">
      <c r="A38" s="23" t="s">
        <v>362</v>
      </c>
      <c r="B38" s="23" t="s">
        <v>359</v>
      </c>
      <c r="C38" s="23" t="s">
        <v>307</v>
      </c>
      <c r="D38" s="23" t="s">
        <v>307</v>
      </c>
      <c r="E38" s="23" t="s">
        <v>361</v>
      </c>
      <c r="F38" s="24">
        <v>618248</v>
      </c>
      <c r="G38" s="24">
        <v>9426493</v>
      </c>
      <c r="H38" s="25">
        <v>50.97</v>
      </c>
    </row>
    <row r="39" spans="1:8" ht="15" customHeight="1" x14ac:dyDescent="0.3">
      <c r="A39" s="23" t="s">
        <v>363</v>
      </c>
      <c r="B39" s="23" t="s">
        <v>364</v>
      </c>
      <c r="C39" s="23" t="s">
        <v>307</v>
      </c>
      <c r="D39" s="23" t="s">
        <v>365</v>
      </c>
      <c r="E39" s="23" t="s">
        <v>366</v>
      </c>
      <c r="F39" s="24">
        <v>618299</v>
      </c>
      <c r="G39" s="24">
        <v>9423119</v>
      </c>
      <c r="H39" s="25">
        <v>249.89</v>
      </c>
    </row>
    <row r="40" spans="1:8" ht="15" customHeight="1" x14ac:dyDescent="0.3">
      <c r="A40" s="23" t="s">
        <v>367</v>
      </c>
      <c r="B40" s="23" t="s">
        <v>364</v>
      </c>
      <c r="C40" s="23" t="s">
        <v>307</v>
      </c>
      <c r="D40" s="23" t="s">
        <v>365</v>
      </c>
      <c r="E40" s="23" t="s">
        <v>366</v>
      </c>
      <c r="F40" s="24">
        <v>611305</v>
      </c>
      <c r="G40" s="24">
        <v>9419274</v>
      </c>
      <c r="H40" s="25">
        <v>160.97999999999999</v>
      </c>
    </row>
    <row r="41" spans="1:8" ht="15" customHeight="1" x14ac:dyDescent="0.3">
      <c r="A41" s="23" t="s">
        <v>368</v>
      </c>
      <c r="B41" s="23" t="s">
        <v>364</v>
      </c>
      <c r="C41" s="23" t="s">
        <v>307</v>
      </c>
      <c r="D41" s="23" t="s">
        <v>365</v>
      </c>
      <c r="E41" s="23" t="s">
        <v>366</v>
      </c>
      <c r="F41" s="24">
        <v>611196</v>
      </c>
      <c r="G41" s="24">
        <v>9416725</v>
      </c>
      <c r="H41" s="25">
        <v>333.01</v>
      </c>
    </row>
    <row r="42" spans="1:8" ht="15" customHeight="1" x14ac:dyDescent="0.3">
      <c r="A42" s="23" t="s">
        <v>369</v>
      </c>
      <c r="B42" s="23" t="s">
        <v>364</v>
      </c>
      <c r="C42" s="23" t="s">
        <v>307</v>
      </c>
      <c r="D42" s="23" t="s">
        <v>365</v>
      </c>
      <c r="E42" s="23" t="s">
        <v>366</v>
      </c>
      <c r="F42" s="24">
        <v>612864</v>
      </c>
      <c r="G42" s="24">
        <v>9413345</v>
      </c>
      <c r="H42" s="25">
        <v>514.36</v>
      </c>
    </row>
    <row r="43" spans="1:8" ht="15" customHeight="1" x14ac:dyDescent="0.3">
      <c r="A43" s="23" t="s">
        <v>370</v>
      </c>
      <c r="B43" s="23" t="s">
        <v>364</v>
      </c>
      <c r="C43" s="23" t="s">
        <v>307</v>
      </c>
      <c r="D43" s="23" t="s">
        <v>365</v>
      </c>
      <c r="E43" s="23" t="s">
        <v>366</v>
      </c>
      <c r="F43" s="24">
        <v>617860</v>
      </c>
      <c r="G43" s="24">
        <v>9413182</v>
      </c>
      <c r="H43" s="25">
        <v>295.73</v>
      </c>
    </row>
    <row r="44" spans="1:8" ht="15" customHeight="1" x14ac:dyDescent="0.3">
      <c r="A44" s="23" t="s">
        <v>371</v>
      </c>
      <c r="B44" s="23" t="s">
        <v>372</v>
      </c>
      <c r="C44" s="23" t="s">
        <v>307</v>
      </c>
      <c r="D44" s="23" t="s">
        <v>365</v>
      </c>
      <c r="E44" s="23" t="s">
        <v>366</v>
      </c>
      <c r="F44" s="24">
        <v>617695</v>
      </c>
      <c r="G44" s="24">
        <v>9409136</v>
      </c>
      <c r="H44" s="25">
        <v>188.8</v>
      </c>
    </row>
    <row r="45" spans="1:8" ht="15" customHeight="1" x14ac:dyDescent="0.3">
      <c r="A45" s="23" t="s">
        <v>373</v>
      </c>
      <c r="B45" s="23" t="s">
        <v>374</v>
      </c>
      <c r="C45" s="23" t="s">
        <v>307</v>
      </c>
      <c r="D45" s="23" t="s">
        <v>365</v>
      </c>
      <c r="E45" s="23" t="s">
        <v>366</v>
      </c>
      <c r="F45" s="24">
        <v>621058</v>
      </c>
      <c r="G45" s="24">
        <v>9410427</v>
      </c>
      <c r="H45" s="25">
        <v>160.36000000000001</v>
      </c>
    </row>
    <row r="46" spans="1:8" ht="15" customHeight="1" x14ac:dyDescent="0.3">
      <c r="A46" s="23" t="s">
        <v>375</v>
      </c>
      <c r="B46" s="23" t="s">
        <v>376</v>
      </c>
      <c r="C46" s="23" t="s">
        <v>307</v>
      </c>
      <c r="D46" s="23" t="s">
        <v>377</v>
      </c>
      <c r="E46" s="23" t="s">
        <v>378</v>
      </c>
      <c r="F46" s="24">
        <v>629338</v>
      </c>
      <c r="G46" s="24">
        <v>9413305</v>
      </c>
      <c r="H46" s="25">
        <v>294.2</v>
      </c>
    </row>
    <row r="47" spans="1:8" ht="15" customHeight="1" x14ac:dyDescent="0.3">
      <c r="A47" s="23" t="s">
        <v>379</v>
      </c>
      <c r="B47" s="23" t="s">
        <v>376</v>
      </c>
      <c r="C47" s="23" t="s">
        <v>307</v>
      </c>
      <c r="D47" s="23" t="s">
        <v>377</v>
      </c>
      <c r="E47" s="23" t="s">
        <v>378</v>
      </c>
      <c r="F47" s="24">
        <v>630685</v>
      </c>
      <c r="G47" s="24">
        <v>9410800</v>
      </c>
      <c r="H47" s="25">
        <v>80.98</v>
      </c>
    </row>
    <row r="48" spans="1:8" ht="15" customHeight="1" x14ac:dyDescent="0.3">
      <c r="A48" s="23" t="s">
        <v>380</v>
      </c>
      <c r="B48" s="23" t="s">
        <v>381</v>
      </c>
      <c r="C48" s="23" t="s">
        <v>307</v>
      </c>
      <c r="D48" s="23" t="s">
        <v>377</v>
      </c>
      <c r="E48" s="23" t="s">
        <v>378</v>
      </c>
      <c r="F48" s="24">
        <v>629006</v>
      </c>
      <c r="G48" s="24">
        <v>9407536</v>
      </c>
      <c r="H48" s="25">
        <v>130.43</v>
      </c>
    </row>
    <row r="49" spans="1:8" ht="15" customHeight="1" x14ac:dyDescent="0.3">
      <c r="A49" s="23" t="s">
        <v>382</v>
      </c>
      <c r="B49" s="23" t="s">
        <v>381</v>
      </c>
      <c r="C49" s="23" t="s">
        <v>307</v>
      </c>
      <c r="D49" s="23" t="s">
        <v>377</v>
      </c>
      <c r="E49" s="23" t="s">
        <v>378</v>
      </c>
      <c r="F49" s="24">
        <v>631438</v>
      </c>
      <c r="G49" s="24">
        <v>9403547</v>
      </c>
      <c r="H49" s="25">
        <v>115.38</v>
      </c>
    </row>
    <row r="50" spans="1:8" ht="15" customHeight="1" x14ac:dyDescent="0.3">
      <c r="A50" s="23" t="s">
        <v>383</v>
      </c>
      <c r="B50" s="23" t="s">
        <v>381</v>
      </c>
      <c r="C50" s="23" t="s">
        <v>307</v>
      </c>
      <c r="D50" s="23" t="s">
        <v>377</v>
      </c>
      <c r="E50" s="23" t="s">
        <v>378</v>
      </c>
      <c r="F50" s="24">
        <v>633232</v>
      </c>
      <c r="G50" s="24">
        <v>9401227</v>
      </c>
      <c r="H50" s="25">
        <v>65.739999999999995</v>
      </c>
    </row>
    <row r="51" spans="1:8" ht="15" customHeight="1" x14ac:dyDescent="0.3">
      <c r="A51" s="23" t="s">
        <v>384</v>
      </c>
      <c r="B51" s="23" t="s">
        <v>381</v>
      </c>
      <c r="C51" s="23" t="s">
        <v>307</v>
      </c>
      <c r="D51" s="23" t="s">
        <v>377</v>
      </c>
      <c r="E51" s="23" t="s">
        <v>378</v>
      </c>
      <c r="F51" s="24">
        <v>635110</v>
      </c>
      <c r="G51" s="24">
        <v>9399092</v>
      </c>
      <c r="H51" s="25">
        <v>91.29</v>
      </c>
    </row>
    <row r="52" spans="1:8" ht="15" customHeight="1" x14ac:dyDescent="0.3">
      <c r="A52" s="23" t="s">
        <v>385</v>
      </c>
      <c r="B52" s="23" t="s">
        <v>386</v>
      </c>
      <c r="C52" s="23" t="s">
        <v>307</v>
      </c>
      <c r="D52" s="23" t="s">
        <v>377</v>
      </c>
      <c r="E52" s="23" t="s">
        <v>378</v>
      </c>
      <c r="F52" s="24">
        <v>635876</v>
      </c>
      <c r="G52" s="24">
        <v>9397941</v>
      </c>
      <c r="H52" s="25">
        <v>81.790000000000006</v>
      </c>
    </row>
    <row r="53" spans="1:8" ht="15" customHeight="1" x14ac:dyDescent="0.3">
      <c r="A53" s="23" t="s">
        <v>387</v>
      </c>
      <c r="B53" s="23" t="s">
        <v>386</v>
      </c>
      <c r="C53" s="23" t="s">
        <v>307</v>
      </c>
      <c r="D53" s="23" t="s">
        <v>377</v>
      </c>
      <c r="E53" s="23" t="s">
        <v>378</v>
      </c>
      <c r="F53" s="24">
        <v>639728</v>
      </c>
      <c r="G53" s="24">
        <v>9396836</v>
      </c>
      <c r="H53" s="25">
        <v>173.43</v>
      </c>
    </row>
    <row r="54" spans="1:8" ht="15" customHeight="1" x14ac:dyDescent="0.3">
      <c r="A54" s="23" t="s">
        <v>388</v>
      </c>
      <c r="B54" s="23" t="s">
        <v>386</v>
      </c>
      <c r="C54" s="23" t="s">
        <v>307</v>
      </c>
      <c r="D54" s="23" t="s">
        <v>377</v>
      </c>
      <c r="E54" s="23" t="s">
        <v>378</v>
      </c>
      <c r="F54" s="24">
        <v>639987</v>
      </c>
      <c r="G54" s="24">
        <v>9394392</v>
      </c>
      <c r="H54" s="25">
        <v>30.91</v>
      </c>
    </row>
    <row r="55" spans="1:8" ht="15" customHeight="1" x14ac:dyDescent="0.3">
      <c r="A55" s="23" t="s">
        <v>389</v>
      </c>
      <c r="B55" s="23" t="s">
        <v>386</v>
      </c>
      <c r="C55" s="23" t="s">
        <v>307</v>
      </c>
      <c r="D55" s="23" t="s">
        <v>377</v>
      </c>
      <c r="E55" s="23" t="s">
        <v>378</v>
      </c>
      <c r="F55" s="24">
        <v>645575</v>
      </c>
      <c r="G55" s="24">
        <v>9393500</v>
      </c>
      <c r="H55" s="25">
        <v>1370.96</v>
      </c>
    </row>
    <row r="56" spans="1:8" ht="15" customHeight="1" x14ac:dyDescent="0.3">
      <c r="A56" s="23" t="s">
        <v>390</v>
      </c>
      <c r="B56" s="23" t="s">
        <v>374</v>
      </c>
      <c r="C56" s="23" t="s">
        <v>307</v>
      </c>
      <c r="D56" s="23" t="s">
        <v>377</v>
      </c>
      <c r="E56" s="23" t="s">
        <v>378</v>
      </c>
      <c r="F56" s="24">
        <v>625311</v>
      </c>
      <c r="G56" s="24">
        <v>9412195</v>
      </c>
      <c r="H56" s="25">
        <v>373.81</v>
      </c>
    </row>
    <row r="57" spans="1:8" ht="15" customHeight="1" x14ac:dyDescent="0.3">
      <c r="A57" s="23" t="s">
        <v>391</v>
      </c>
      <c r="B57" s="23" t="s">
        <v>374</v>
      </c>
      <c r="C57" s="23" t="s">
        <v>307</v>
      </c>
      <c r="D57" s="23" t="s">
        <v>377</v>
      </c>
      <c r="E57" s="23" t="s">
        <v>378</v>
      </c>
      <c r="F57" s="24">
        <v>621551</v>
      </c>
      <c r="G57" s="24">
        <v>9412989</v>
      </c>
      <c r="H57" s="25">
        <v>197.35</v>
      </c>
    </row>
    <row r="58" spans="1:8" ht="15" customHeight="1" x14ac:dyDescent="0.3">
      <c r="A58" s="23" t="s">
        <v>392</v>
      </c>
      <c r="B58" s="23" t="s">
        <v>376</v>
      </c>
      <c r="C58" s="23" t="s">
        <v>307</v>
      </c>
      <c r="D58" s="23" t="s">
        <v>393</v>
      </c>
      <c r="E58" s="23" t="s">
        <v>394</v>
      </c>
      <c r="F58" s="24">
        <v>638309</v>
      </c>
      <c r="G58" s="24">
        <v>9415217</v>
      </c>
      <c r="H58" s="25">
        <v>122.95</v>
      </c>
    </row>
    <row r="59" spans="1:8" ht="15" customHeight="1" x14ac:dyDescent="0.3">
      <c r="A59" s="23" t="s">
        <v>395</v>
      </c>
      <c r="B59" s="23" t="s">
        <v>376</v>
      </c>
      <c r="C59" s="23" t="s">
        <v>307</v>
      </c>
      <c r="D59" s="23" t="s">
        <v>393</v>
      </c>
      <c r="E59" s="23" t="s">
        <v>394</v>
      </c>
      <c r="F59" s="24">
        <v>637918</v>
      </c>
      <c r="G59" s="24">
        <v>9412134</v>
      </c>
      <c r="H59" s="25">
        <v>60.35</v>
      </c>
    </row>
    <row r="60" spans="1:8" ht="15" customHeight="1" x14ac:dyDescent="0.3">
      <c r="A60" s="23" t="s">
        <v>396</v>
      </c>
      <c r="B60" s="23" t="s">
        <v>397</v>
      </c>
      <c r="C60" s="23" t="s">
        <v>307</v>
      </c>
      <c r="D60" s="23" t="s">
        <v>393</v>
      </c>
      <c r="E60" s="23" t="s">
        <v>394</v>
      </c>
      <c r="F60" s="24">
        <v>638648</v>
      </c>
      <c r="G60" s="24">
        <v>9411370</v>
      </c>
      <c r="H60" s="25">
        <v>17.82</v>
      </c>
    </row>
    <row r="61" spans="1:8" ht="15" customHeight="1" x14ac:dyDescent="0.3">
      <c r="A61" s="23" t="s">
        <v>398</v>
      </c>
      <c r="B61" s="23" t="s">
        <v>376</v>
      </c>
      <c r="C61" s="23" t="s">
        <v>307</v>
      </c>
      <c r="D61" s="23" t="s">
        <v>393</v>
      </c>
      <c r="E61" s="23" t="s">
        <v>394</v>
      </c>
      <c r="F61" s="24">
        <v>635887</v>
      </c>
      <c r="G61" s="24">
        <v>9411738</v>
      </c>
      <c r="H61" s="25">
        <v>52.74</v>
      </c>
    </row>
    <row r="62" spans="1:8" ht="15" customHeight="1" x14ac:dyDescent="0.3">
      <c r="A62" s="23" t="s">
        <v>399</v>
      </c>
      <c r="B62" s="23" t="s">
        <v>376</v>
      </c>
      <c r="C62" s="23" t="s">
        <v>307</v>
      </c>
      <c r="D62" s="23" t="s">
        <v>393</v>
      </c>
      <c r="E62" s="23" t="s">
        <v>394</v>
      </c>
      <c r="F62" s="24">
        <v>633015</v>
      </c>
      <c r="G62" s="24">
        <v>9411483</v>
      </c>
      <c r="H62" s="25">
        <v>84.82</v>
      </c>
    </row>
    <row r="63" spans="1:8" ht="15" customHeight="1" x14ac:dyDescent="0.3">
      <c r="A63" s="23" t="s">
        <v>400</v>
      </c>
      <c r="B63" s="23" t="s">
        <v>376</v>
      </c>
      <c r="C63" s="23" t="s">
        <v>307</v>
      </c>
      <c r="D63" s="23" t="s">
        <v>393</v>
      </c>
      <c r="E63" s="23" t="s">
        <v>394</v>
      </c>
      <c r="F63" s="24">
        <v>632119</v>
      </c>
      <c r="G63" s="24">
        <v>9415141</v>
      </c>
      <c r="H63" s="25">
        <v>565.58000000000004</v>
      </c>
    </row>
    <row r="64" spans="1:8" ht="15" customHeight="1" x14ac:dyDescent="0.3">
      <c r="A64" s="23" t="s">
        <v>401</v>
      </c>
      <c r="B64" s="23" t="s">
        <v>397</v>
      </c>
      <c r="C64" s="23" t="s">
        <v>307</v>
      </c>
      <c r="D64" s="23" t="s">
        <v>393</v>
      </c>
      <c r="E64" s="23" t="s">
        <v>394</v>
      </c>
      <c r="F64" s="24">
        <v>642079</v>
      </c>
      <c r="G64" s="24">
        <v>9413823</v>
      </c>
      <c r="H64" s="25">
        <v>106.03</v>
      </c>
    </row>
    <row r="65" spans="1:8" ht="15" customHeight="1" x14ac:dyDescent="0.3">
      <c r="A65" s="23" t="s">
        <v>402</v>
      </c>
      <c r="B65" s="23" t="s">
        <v>403</v>
      </c>
      <c r="C65" s="23" t="s">
        <v>307</v>
      </c>
      <c r="D65" s="23" t="s">
        <v>404</v>
      </c>
      <c r="E65" s="23" t="s">
        <v>405</v>
      </c>
      <c r="F65" s="24">
        <v>642690</v>
      </c>
      <c r="G65" s="24">
        <v>9438409</v>
      </c>
      <c r="H65" s="25">
        <v>0.86</v>
      </c>
    </row>
    <row r="66" spans="1:8" ht="15" customHeight="1" x14ac:dyDescent="0.3">
      <c r="A66" s="23" t="s">
        <v>406</v>
      </c>
      <c r="B66" s="23" t="s">
        <v>403</v>
      </c>
      <c r="C66" s="23" t="s">
        <v>307</v>
      </c>
      <c r="D66" s="23" t="s">
        <v>404</v>
      </c>
      <c r="E66" s="23" t="s">
        <v>405</v>
      </c>
      <c r="F66" s="24">
        <v>642334</v>
      </c>
      <c r="G66" s="24">
        <v>9438263</v>
      </c>
      <c r="H66" s="25">
        <v>15.84</v>
      </c>
    </row>
    <row r="67" spans="1:8" ht="15" customHeight="1" x14ac:dyDescent="0.3">
      <c r="A67" s="23" t="s">
        <v>407</v>
      </c>
      <c r="B67" s="23" t="s">
        <v>403</v>
      </c>
      <c r="C67" s="23" t="s">
        <v>307</v>
      </c>
      <c r="D67" s="23" t="s">
        <v>404</v>
      </c>
      <c r="E67" s="23" t="s">
        <v>405</v>
      </c>
      <c r="F67" s="24">
        <v>641522</v>
      </c>
      <c r="G67" s="24">
        <v>9438064</v>
      </c>
      <c r="H67" s="25">
        <v>11.06</v>
      </c>
    </row>
    <row r="68" spans="1:8" ht="15" customHeight="1" x14ac:dyDescent="0.3">
      <c r="A68" s="23" t="s">
        <v>408</v>
      </c>
      <c r="B68" s="23" t="s">
        <v>403</v>
      </c>
      <c r="C68" s="23" t="s">
        <v>307</v>
      </c>
      <c r="D68" s="23" t="s">
        <v>404</v>
      </c>
      <c r="E68" s="23" t="s">
        <v>405</v>
      </c>
      <c r="F68" s="24">
        <v>639496</v>
      </c>
      <c r="G68" s="24">
        <v>9433679</v>
      </c>
      <c r="H68" s="25">
        <v>5.75</v>
      </c>
    </row>
    <row r="69" spans="1:8" ht="15" customHeight="1" x14ac:dyDescent="0.3">
      <c r="A69" s="23" t="s">
        <v>409</v>
      </c>
      <c r="B69" s="23" t="s">
        <v>403</v>
      </c>
      <c r="C69" s="23" t="s">
        <v>307</v>
      </c>
      <c r="D69" s="23" t="s">
        <v>404</v>
      </c>
      <c r="E69" s="23" t="s">
        <v>405</v>
      </c>
      <c r="F69" s="24">
        <v>638751</v>
      </c>
      <c r="G69" s="24">
        <v>9433236</v>
      </c>
      <c r="H69" s="25">
        <v>18.87</v>
      </c>
    </row>
    <row r="70" spans="1:8" ht="15" customHeight="1" x14ac:dyDescent="0.3">
      <c r="A70" s="23" t="s">
        <v>410</v>
      </c>
      <c r="B70" s="23" t="s">
        <v>403</v>
      </c>
      <c r="C70" s="23" t="s">
        <v>307</v>
      </c>
      <c r="D70" s="23" t="s">
        <v>404</v>
      </c>
      <c r="E70" s="23" t="s">
        <v>405</v>
      </c>
      <c r="F70" s="24">
        <v>636249</v>
      </c>
      <c r="G70" s="24">
        <v>9425665</v>
      </c>
      <c r="H70" s="25">
        <v>90.2</v>
      </c>
    </row>
    <row r="71" spans="1:8" ht="15" customHeight="1" x14ac:dyDescent="0.3">
      <c r="A71" s="23" t="s">
        <v>411</v>
      </c>
      <c r="B71" s="23" t="s">
        <v>403</v>
      </c>
      <c r="C71" s="23" t="s">
        <v>307</v>
      </c>
      <c r="D71" s="23" t="s">
        <v>404</v>
      </c>
      <c r="E71" s="23" t="s">
        <v>405</v>
      </c>
      <c r="F71" s="24">
        <v>634061</v>
      </c>
      <c r="G71" s="24">
        <v>9426778</v>
      </c>
      <c r="H71" s="25">
        <v>58.29</v>
      </c>
    </row>
    <row r="72" spans="1:8" ht="15" customHeight="1" x14ac:dyDescent="0.3">
      <c r="A72" s="23" t="s">
        <v>412</v>
      </c>
      <c r="B72" s="23" t="s">
        <v>403</v>
      </c>
      <c r="C72" s="23" t="s">
        <v>307</v>
      </c>
      <c r="D72" s="23" t="s">
        <v>404</v>
      </c>
      <c r="E72" s="23" t="s">
        <v>405</v>
      </c>
      <c r="F72" s="24">
        <v>626078</v>
      </c>
      <c r="G72" s="24">
        <v>9427110</v>
      </c>
      <c r="H72" s="25">
        <v>283.43</v>
      </c>
    </row>
    <row r="73" spans="1:8" ht="15" customHeight="1" x14ac:dyDescent="0.3">
      <c r="A73" s="23" t="s">
        <v>413</v>
      </c>
      <c r="B73" s="23" t="s">
        <v>414</v>
      </c>
      <c r="C73" s="23" t="s">
        <v>415</v>
      </c>
      <c r="D73" s="23" t="s">
        <v>416</v>
      </c>
      <c r="E73" s="23" t="s">
        <v>417</v>
      </c>
      <c r="F73" s="24">
        <v>646466</v>
      </c>
      <c r="G73" s="24">
        <v>9431126</v>
      </c>
      <c r="H73" s="25">
        <v>29.68</v>
      </c>
    </row>
    <row r="74" spans="1:8" ht="15" customHeight="1" x14ac:dyDescent="0.3">
      <c r="A74" s="23" t="s">
        <v>418</v>
      </c>
      <c r="B74" s="23" t="s">
        <v>414</v>
      </c>
      <c r="C74" s="23" t="s">
        <v>415</v>
      </c>
      <c r="D74" s="23" t="s">
        <v>416</v>
      </c>
      <c r="E74" s="23" t="s">
        <v>417</v>
      </c>
      <c r="F74" s="24">
        <v>647123</v>
      </c>
      <c r="G74" s="24">
        <v>9427602</v>
      </c>
      <c r="H74" s="25">
        <v>44.2</v>
      </c>
    </row>
    <row r="75" spans="1:8" ht="15" customHeight="1" x14ac:dyDescent="0.3">
      <c r="A75" s="23" t="s">
        <v>419</v>
      </c>
      <c r="B75" s="23" t="s">
        <v>414</v>
      </c>
      <c r="C75" s="23" t="s">
        <v>415</v>
      </c>
      <c r="D75" s="23" t="s">
        <v>416</v>
      </c>
      <c r="E75" s="23" t="s">
        <v>417</v>
      </c>
      <c r="F75" s="24">
        <v>647350</v>
      </c>
      <c r="G75" s="24">
        <v>9427252</v>
      </c>
      <c r="H75" s="25">
        <v>19.27</v>
      </c>
    </row>
    <row r="76" spans="1:8" ht="15" customHeight="1" x14ac:dyDescent="0.3">
      <c r="A76" s="23" t="s">
        <v>420</v>
      </c>
      <c r="B76" s="23" t="s">
        <v>414</v>
      </c>
      <c r="C76" s="23" t="s">
        <v>415</v>
      </c>
      <c r="D76" s="23" t="s">
        <v>416</v>
      </c>
      <c r="E76" s="23" t="s">
        <v>417</v>
      </c>
      <c r="F76" s="24">
        <v>646483</v>
      </c>
      <c r="G76" s="24">
        <v>9426305</v>
      </c>
      <c r="H76" s="25">
        <v>28.45</v>
      </c>
    </row>
    <row r="77" spans="1:8" ht="15" customHeight="1" x14ac:dyDescent="0.3">
      <c r="A77" s="23" t="s">
        <v>421</v>
      </c>
      <c r="B77" s="23" t="s">
        <v>414</v>
      </c>
      <c r="C77" s="23" t="s">
        <v>415</v>
      </c>
      <c r="D77" s="23" t="s">
        <v>416</v>
      </c>
      <c r="E77" s="23" t="s">
        <v>417</v>
      </c>
      <c r="F77" s="24">
        <v>646236</v>
      </c>
      <c r="G77" s="24">
        <v>9425052</v>
      </c>
      <c r="H77" s="25">
        <v>26.83</v>
      </c>
    </row>
    <row r="78" spans="1:8" ht="15" customHeight="1" x14ac:dyDescent="0.3">
      <c r="A78" s="23" t="s">
        <v>422</v>
      </c>
      <c r="B78" s="23" t="s">
        <v>423</v>
      </c>
      <c r="C78" s="23" t="s">
        <v>415</v>
      </c>
      <c r="D78" s="23" t="s">
        <v>416</v>
      </c>
      <c r="E78" s="23" t="s">
        <v>417</v>
      </c>
      <c r="F78" s="24">
        <v>649081</v>
      </c>
      <c r="G78" s="24">
        <v>9424506</v>
      </c>
      <c r="H78" s="25">
        <v>35.49</v>
      </c>
    </row>
    <row r="79" spans="1:8" ht="15" customHeight="1" x14ac:dyDescent="0.3">
      <c r="A79" s="23" t="s">
        <v>424</v>
      </c>
      <c r="B79" s="23" t="s">
        <v>423</v>
      </c>
      <c r="C79" s="23" t="s">
        <v>415</v>
      </c>
      <c r="D79" s="23" t="s">
        <v>416</v>
      </c>
      <c r="E79" s="23" t="s">
        <v>417</v>
      </c>
      <c r="F79" s="24">
        <v>649472</v>
      </c>
      <c r="G79" s="24">
        <v>9425705</v>
      </c>
      <c r="H79" s="25">
        <v>46.96</v>
      </c>
    </row>
    <row r="80" spans="1:8" ht="15" customHeight="1" x14ac:dyDescent="0.3">
      <c r="A80" s="23" t="s">
        <v>425</v>
      </c>
      <c r="B80" s="23" t="s">
        <v>423</v>
      </c>
      <c r="C80" s="23" t="s">
        <v>415</v>
      </c>
      <c r="D80" s="23" t="s">
        <v>415</v>
      </c>
      <c r="E80" s="23" t="s">
        <v>426</v>
      </c>
      <c r="F80" s="24">
        <v>657819</v>
      </c>
      <c r="G80" s="24">
        <v>9428541</v>
      </c>
      <c r="H80" s="25">
        <v>35.770000000000003</v>
      </c>
    </row>
    <row r="81" spans="1:8" ht="21.75" customHeight="1" x14ac:dyDescent="0.3">
      <c r="A81" s="23" t="s">
        <v>427</v>
      </c>
      <c r="B81" s="23" t="s">
        <v>428</v>
      </c>
      <c r="C81" s="23" t="s">
        <v>415</v>
      </c>
      <c r="D81" s="23" t="s">
        <v>415</v>
      </c>
      <c r="E81" s="23" t="s">
        <v>426</v>
      </c>
      <c r="F81" s="24">
        <v>656897</v>
      </c>
      <c r="G81" s="24">
        <v>9426033</v>
      </c>
      <c r="H81" s="25">
        <v>40.26</v>
      </c>
    </row>
    <row r="82" spans="1:8" ht="15" customHeight="1" x14ac:dyDescent="0.3">
      <c r="A82" s="23" t="s">
        <v>429</v>
      </c>
      <c r="B82" s="23" t="s">
        <v>423</v>
      </c>
      <c r="C82" s="23" t="s">
        <v>415</v>
      </c>
      <c r="D82" s="23" t="s">
        <v>415</v>
      </c>
      <c r="E82" s="23" t="s">
        <v>426</v>
      </c>
      <c r="F82" s="24">
        <v>655263</v>
      </c>
      <c r="G82" s="24">
        <v>9427340</v>
      </c>
      <c r="H82" s="25">
        <v>90.9</v>
      </c>
    </row>
    <row r="83" spans="1:8" ht="15" customHeight="1" x14ac:dyDescent="0.3">
      <c r="A83" s="23" t="s">
        <v>430</v>
      </c>
      <c r="B83" s="23" t="s">
        <v>423</v>
      </c>
      <c r="C83" s="23" t="s">
        <v>415</v>
      </c>
      <c r="D83" s="23" t="s">
        <v>431</v>
      </c>
      <c r="E83" s="23" t="s">
        <v>426</v>
      </c>
      <c r="F83" s="24">
        <v>653850</v>
      </c>
      <c r="G83" s="24">
        <v>9426236</v>
      </c>
      <c r="H83" s="25">
        <v>40.130000000000003</v>
      </c>
    </row>
    <row r="84" spans="1:8" ht="15" customHeight="1" x14ac:dyDescent="0.3">
      <c r="A84" s="23" t="s">
        <v>432</v>
      </c>
      <c r="B84" s="23" t="s">
        <v>423</v>
      </c>
      <c r="C84" s="23" t="s">
        <v>415</v>
      </c>
      <c r="D84" s="23" t="s">
        <v>431</v>
      </c>
      <c r="E84" s="23" t="s">
        <v>426</v>
      </c>
      <c r="F84" s="24">
        <v>654137</v>
      </c>
      <c r="G84" s="24">
        <v>9424425</v>
      </c>
      <c r="H84" s="25">
        <v>28.52</v>
      </c>
    </row>
    <row r="85" spans="1:8" ht="15" customHeight="1" x14ac:dyDescent="0.3">
      <c r="A85" s="23" t="s">
        <v>433</v>
      </c>
      <c r="B85" s="23" t="s">
        <v>423</v>
      </c>
      <c r="C85" s="23" t="s">
        <v>415</v>
      </c>
      <c r="D85" s="23" t="s">
        <v>431</v>
      </c>
      <c r="E85" s="23" t="s">
        <v>426</v>
      </c>
      <c r="F85" s="24">
        <v>652758</v>
      </c>
      <c r="G85" s="24">
        <v>9424380</v>
      </c>
      <c r="H85" s="25">
        <v>34.869999999999997</v>
      </c>
    </row>
    <row r="86" spans="1:8" ht="15" customHeight="1" x14ac:dyDescent="0.3">
      <c r="A86" s="23" t="s">
        <v>434</v>
      </c>
      <c r="B86" s="23" t="s">
        <v>423</v>
      </c>
      <c r="C86" s="23" t="s">
        <v>415</v>
      </c>
      <c r="D86" s="23" t="s">
        <v>431</v>
      </c>
      <c r="E86" s="23" t="s">
        <v>426</v>
      </c>
      <c r="F86" s="24">
        <v>654188</v>
      </c>
      <c r="G86" s="24">
        <v>9422849</v>
      </c>
      <c r="H86" s="25">
        <v>52.97</v>
      </c>
    </row>
    <row r="87" spans="1:8" ht="15" customHeight="1" x14ac:dyDescent="0.3">
      <c r="A87" s="23" t="s">
        <v>435</v>
      </c>
      <c r="B87" s="23" t="s">
        <v>423</v>
      </c>
      <c r="C87" s="23" t="s">
        <v>415</v>
      </c>
      <c r="D87" s="23" t="s">
        <v>431</v>
      </c>
      <c r="E87" s="23" t="s">
        <v>426</v>
      </c>
      <c r="F87" s="24">
        <v>655046</v>
      </c>
      <c r="G87" s="24">
        <v>9420450</v>
      </c>
      <c r="H87" s="25">
        <v>73.819999999999993</v>
      </c>
    </row>
    <row r="88" spans="1:8" ht="21.75" customHeight="1" x14ac:dyDescent="0.3">
      <c r="A88" s="23" t="s">
        <v>436</v>
      </c>
      <c r="B88" s="23" t="s">
        <v>428</v>
      </c>
      <c r="C88" s="23" t="s">
        <v>415</v>
      </c>
      <c r="D88" s="23" t="s">
        <v>431</v>
      </c>
      <c r="E88" s="23" t="s">
        <v>426</v>
      </c>
      <c r="F88" s="24">
        <v>657541</v>
      </c>
      <c r="G88" s="24">
        <v>9421083</v>
      </c>
      <c r="H88" s="25">
        <v>53.93</v>
      </c>
    </row>
    <row r="89" spans="1:8" ht="15" customHeight="1" x14ac:dyDescent="0.3">
      <c r="A89" s="23" t="s">
        <v>437</v>
      </c>
      <c r="B89" s="23" t="s">
        <v>423</v>
      </c>
      <c r="C89" s="23" t="s">
        <v>415</v>
      </c>
      <c r="D89" s="23" t="s">
        <v>431</v>
      </c>
      <c r="E89" s="23" t="s">
        <v>426</v>
      </c>
      <c r="F89" s="24">
        <v>654604</v>
      </c>
      <c r="G89" s="24">
        <v>9417736</v>
      </c>
      <c r="H89" s="25">
        <v>84.23</v>
      </c>
    </row>
    <row r="90" spans="1:8" ht="15" customHeight="1" x14ac:dyDescent="0.3">
      <c r="A90" s="23" t="s">
        <v>438</v>
      </c>
      <c r="B90" s="23" t="s">
        <v>423</v>
      </c>
      <c r="C90" s="23" t="s">
        <v>415</v>
      </c>
      <c r="D90" s="23" t="s">
        <v>431</v>
      </c>
      <c r="E90" s="23" t="s">
        <v>426</v>
      </c>
      <c r="F90" s="24">
        <v>652566</v>
      </c>
      <c r="G90" s="24">
        <v>9417311</v>
      </c>
      <c r="H90" s="25">
        <v>102.34</v>
      </c>
    </row>
    <row r="91" spans="1:8" ht="15" customHeight="1" x14ac:dyDescent="0.3">
      <c r="A91" s="23" t="s">
        <v>439</v>
      </c>
      <c r="B91" s="23" t="s">
        <v>397</v>
      </c>
      <c r="C91" s="23" t="s">
        <v>415</v>
      </c>
      <c r="D91" s="23" t="s">
        <v>431</v>
      </c>
      <c r="E91" s="23" t="s">
        <v>426</v>
      </c>
      <c r="F91" s="24">
        <v>652191</v>
      </c>
      <c r="G91" s="24">
        <v>9414358</v>
      </c>
      <c r="H91" s="25">
        <v>90.16</v>
      </c>
    </row>
    <row r="92" spans="1:8" ht="15" customHeight="1" x14ac:dyDescent="0.3">
      <c r="A92" s="23" t="s">
        <v>440</v>
      </c>
      <c r="B92" s="23" t="s">
        <v>397</v>
      </c>
      <c r="C92" s="23" t="s">
        <v>415</v>
      </c>
      <c r="D92" s="23" t="s">
        <v>431</v>
      </c>
      <c r="E92" s="23" t="s">
        <v>426</v>
      </c>
      <c r="F92" s="24">
        <v>655059</v>
      </c>
      <c r="G92" s="24">
        <v>9413845</v>
      </c>
      <c r="H92" s="25">
        <v>50.46</v>
      </c>
    </row>
    <row r="93" spans="1:8" ht="15" customHeight="1" x14ac:dyDescent="0.3">
      <c r="A93" s="23" t="s">
        <v>441</v>
      </c>
      <c r="B93" s="23" t="s">
        <v>442</v>
      </c>
      <c r="C93" s="23" t="s">
        <v>415</v>
      </c>
      <c r="D93" s="23" t="s">
        <v>431</v>
      </c>
      <c r="E93" s="23" t="s">
        <v>426</v>
      </c>
      <c r="F93" s="24">
        <v>650305</v>
      </c>
      <c r="G93" s="24">
        <v>9402785</v>
      </c>
      <c r="H93" s="25">
        <v>94.81</v>
      </c>
    </row>
    <row r="94" spans="1:8" ht="15" customHeight="1" x14ac:dyDescent="0.3">
      <c r="A94" s="23" t="s">
        <v>443</v>
      </c>
      <c r="B94" s="23" t="s">
        <v>444</v>
      </c>
      <c r="C94" s="23" t="s">
        <v>415</v>
      </c>
      <c r="D94" s="23" t="s">
        <v>431</v>
      </c>
      <c r="E94" s="23" t="s">
        <v>426</v>
      </c>
      <c r="F94" s="24">
        <v>641538</v>
      </c>
      <c r="G94" s="24">
        <v>9401360</v>
      </c>
      <c r="H94" s="25">
        <v>8.93</v>
      </c>
    </row>
    <row r="95" spans="1:8" ht="15" customHeight="1" x14ac:dyDescent="0.3">
      <c r="A95" s="23" t="s">
        <v>445</v>
      </c>
      <c r="B95" s="23" t="s">
        <v>446</v>
      </c>
      <c r="C95" s="23" t="s">
        <v>415</v>
      </c>
      <c r="D95" s="23" t="s">
        <v>447</v>
      </c>
      <c r="E95" s="23" t="s">
        <v>448</v>
      </c>
      <c r="F95" s="24">
        <v>664082</v>
      </c>
      <c r="G95" s="24">
        <v>9404172</v>
      </c>
      <c r="H95" s="25">
        <v>55.17</v>
      </c>
    </row>
    <row r="96" spans="1:8" ht="15" customHeight="1" x14ac:dyDescent="0.3">
      <c r="A96" s="23" t="s">
        <v>16</v>
      </c>
      <c r="B96" s="23" t="s">
        <v>446</v>
      </c>
      <c r="C96" s="23" t="s">
        <v>415</v>
      </c>
      <c r="D96" s="23" t="s">
        <v>447</v>
      </c>
      <c r="E96" s="23" t="s">
        <v>448</v>
      </c>
      <c r="F96" s="24">
        <v>663637</v>
      </c>
      <c r="G96" s="24">
        <v>9400618</v>
      </c>
      <c r="H96" s="25">
        <v>28.23</v>
      </c>
    </row>
    <row r="97" spans="1:8" ht="15" customHeight="1" x14ac:dyDescent="0.3">
      <c r="A97" s="23" t="s">
        <v>449</v>
      </c>
      <c r="B97" s="23" t="s">
        <v>446</v>
      </c>
      <c r="C97" s="23" t="s">
        <v>415</v>
      </c>
      <c r="D97" s="23" t="s">
        <v>447</v>
      </c>
      <c r="E97" s="23" t="s">
        <v>448</v>
      </c>
      <c r="F97" s="24">
        <v>659649</v>
      </c>
      <c r="G97" s="24">
        <v>9401436</v>
      </c>
      <c r="H97" s="25">
        <v>13.55</v>
      </c>
    </row>
    <row r="98" spans="1:8" ht="15" customHeight="1" x14ac:dyDescent="0.3">
      <c r="A98" s="23" t="s">
        <v>450</v>
      </c>
      <c r="B98" s="23" t="s">
        <v>442</v>
      </c>
      <c r="C98" s="23" t="s">
        <v>415</v>
      </c>
      <c r="D98" s="23" t="s">
        <v>447</v>
      </c>
      <c r="E98" s="23" t="s">
        <v>448</v>
      </c>
      <c r="F98" s="24">
        <v>657722</v>
      </c>
      <c r="G98" s="24">
        <v>9401669</v>
      </c>
      <c r="H98" s="25">
        <v>15.18</v>
      </c>
    </row>
    <row r="99" spans="1:8" ht="15" customHeight="1" x14ac:dyDescent="0.3">
      <c r="A99" s="23" t="s">
        <v>451</v>
      </c>
      <c r="B99" s="23" t="s">
        <v>446</v>
      </c>
      <c r="C99" s="23" t="s">
        <v>415</v>
      </c>
      <c r="D99" s="23" t="s">
        <v>447</v>
      </c>
      <c r="E99" s="23" t="s">
        <v>448</v>
      </c>
      <c r="F99" s="24">
        <v>656578</v>
      </c>
      <c r="G99" s="24">
        <v>9397762</v>
      </c>
      <c r="H99" s="25">
        <v>109.86</v>
      </c>
    </row>
    <row r="100" spans="1:8" ht="15" customHeight="1" x14ac:dyDescent="0.3">
      <c r="A100" s="23" t="s">
        <v>452</v>
      </c>
      <c r="B100" s="23" t="s">
        <v>446</v>
      </c>
      <c r="C100" s="23" t="s">
        <v>415</v>
      </c>
      <c r="D100" s="23" t="s">
        <v>447</v>
      </c>
      <c r="E100" s="23" t="s">
        <v>448</v>
      </c>
      <c r="F100" s="24">
        <v>656489</v>
      </c>
      <c r="G100" s="24">
        <v>9395403</v>
      </c>
      <c r="H100" s="25">
        <v>23.17</v>
      </c>
    </row>
    <row r="101" spans="1:8" ht="15" customHeight="1" x14ac:dyDescent="0.3">
      <c r="A101" s="23" t="s">
        <v>453</v>
      </c>
      <c r="B101" s="23" t="s">
        <v>446</v>
      </c>
      <c r="C101" s="23" t="s">
        <v>415</v>
      </c>
      <c r="D101" s="23" t="s">
        <v>447</v>
      </c>
      <c r="E101" s="23" t="s">
        <v>448</v>
      </c>
      <c r="F101" s="24">
        <v>654607</v>
      </c>
      <c r="G101" s="24">
        <v>9395038</v>
      </c>
      <c r="H101" s="25">
        <v>30.8</v>
      </c>
    </row>
    <row r="102" spans="1:8" ht="15" customHeight="1" x14ac:dyDescent="0.3">
      <c r="A102" s="23" t="s">
        <v>454</v>
      </c>
      <c r="B102" s="23" t="s">
        <v>446</v>
      </c>
      <c r="C102" s="23" t="s">
        <v>415</v>
      </c>
      <c r="D102" s="23" t="s">
        <v>447</v>
      </c>
      <c r="E102" s="23" t="s">
        <v>448</v>
      </c>
      <c r="F102" s="24">
        <v>654207</v>
      </c>
      <c r="G102" s="24">
        <v>9394210</v>
      </c>
      <c r="H102" s="25">
        <v>13.18</v>
      </c>
    </row>
    <row r="103" spans="1:8" ht="15" customHeight="1" x14ac:dyDescent="0.3">
      <c r="A103" s="23" t="s">
        <v>455</v>
      </c>
      <c r="B103" s="23" t="s">
        <v>444</v>
      </c>
      <c r="C103" s="23" t="s">
        <v>415</v>
      </c>
      <c r="D103" s="23" t="s">
        <v>447</v>
      </c>
      <c r="E103" s="23" t="s">
        <v>448</v>
      </c>
      <c r="F103" s="24">
        <v>641196</v>
      </c>
      <c r="G103" s="24">
        <v>9398710</v>
      </c>
      <c r="H103" s="25">
        <v>279.68</v>
      </c>
    </row>
    <row r="104" spans="1:8" ht="15" customHeight="1" x14ac:dyDescent="0.3">
      <c r="A104" s="23" t="s">
        <v>456</v>
      </c>
      <c r="B104" s="23" t="s">
        <v>386</v>
      </c>
      <c r="C104" s="23" t="s">
        <v>415</v>
      </c>
      <c r="D104" s="23" t="s">
        <v>447</v>
      </c>
      <c r="E104" s="23" t="s">
        <v>448</v>
      </c>
      <c r="F104" s="24">
        <v>639059</v>
      </c>
      <c r="G104" s="24">
        <v>9398295</v>
      </c>
      <c r="H104" s="25">
        <v>116.1</v>
      </c>
    </row>
    <row r="105" spans="1:8" ht="15" customHeight="1" x14ac:dyDescent="0.3">
      <c r="A105" s="23" t="s">
        <v>457</v>
      </c>
      <c r="B105" s="23" t="s">
        <v>458</v>
      </c>
      <c r="C105" s="23" t="s">
        <v>415</v>
      </c>
      <c r="D105" s="23" t="s">
        <v>459</v>
      </c>
      <c r="E105" s="23" t="s">
        <v>460</v>
      </c>
      <c r="F105" s="24">
        <v>662123</v>
      </c>
      <c r="G105" s="24">
        <v>9397575</v>
      </c>
      <c r="H105" s="25">
        <v>40.1</v>
      </c>
    </row>
    <row r="106" spans="1:8" ht="15" customHeight="1" x14ac:dyDescent="0.3">
      <c r="A106" s="23" t="s">
        <v>461</v>
      </c>
      <c r="B106" s="23" t="s">
        <v>458</v>
      </c>
      <c r="C106" s="23" t="s">
        <v>415</v>
      </c>
      <c r="D106" s="23" t="s">
        <v>459</v>
      </c>
      <c r="E106" s="23" t="s">
        <v>460</v>
      </c>
      <c r="F106" s="24">
        <v>664225</v>
      </c>
      <c r="G106" s="24">
        <v>9396339</v>
      </c>
      <c r="H106" s="25">
        <v>21.29</v>
      </c>
    </row>
    <row r="107" spans="1:8" ht="15" customHeight="1" x14ac:dyDescent="0.3">
      <c r="A107" s="23" t="s">
        <v>462</v>
      </c>
      <c r="B107" s="23" t="s">
        <v>458</v>
      </c>
      <c r="C107" s="23" t="s">
        <v>415</v>
      </c>
      <c r="D107" s="23" t="s">
        <v>459</v>
      </c>
      <c r="E107" s="23" t="s">
        <v>460</v>
      </c>
      <c r="F107" s="24">
        <v>666537</v>
      </c>
      <c r="G107" s="24">
        <v>9395918</v>
      </c>
      <c r="H107" s="25">
        <v>13.06</v>
      </c>
    </row>
    <row r="108" spans="1:8" ht="15" customHeight="1" x14ac:dyDescent="0.3">
      <c r="A108" s="23" t="s">
        <v>463</v>
      </c>
      <c r="B108" s="23" t="s">
        <v>458</v>
      </c>
      <c r="C108" s="23" t="s">
        <v>415</v>
      </c>
      <c r="D108" s="23" t="s">
        <v>459</v>
      </c>
      <c r="E108" s="23" t="s">
        <v>460</v>
      </c>
      <c r="F108" s="24">
        <v>666781</v>
      </c>
      <c r="G108" s="24">
        <v>9395573</v>
      </c>
      <c r="H108" s="25">
        <v>22.39</v>
      </c>
    </row>
    <row r="109" spans="1:8" ht="15" customHeight="1" x14ac:dyDescent="0.3">
      <c r="A109" s="23" t="s">
        <v>464</v>
      </c>
      <c r="B109" s="23" t="s">
        <v>458</v>
      </c>
      <c r="C109" s="23" t="s">
        <v>415</v>
      </c>
      <c r="D109" s="23" t="s">
        <v>459</v>
      </c>
      <c r="E109" s="23" t="s">
        <v>460</v>
      </c>
      <c r="F109" s="24">
        <v>663334</v>
      </c>
      <c r="G109" s="24">
        <v>9392820</v>
      </c>
      <c r="H109" s="25">
        <v>47.58</v>
      </c>
    </row>
    <row r="110" spans="1:8" ht="15" customHeight="1" x14ac:dyDescent="0.3">
      <c r="A110" s="23" t="s">
        <v>465</v>
      </c>
      <c r="B110" s="23" t="s">
        <v>458</v>
      </c>
      <c r="C110" s="23" t="s">
        <v>415</v>
      </c>
      <c r="D110" s="23" t="s">
        <v>459</v>
      </c>
      <c r="E110" s="23" t="s">
        <v>460</v>
      </c>
      <c r="F110" s="24">
        <v>663291</v>
      </c>
      <c r="G110" s="24">
        <v>9392332</v>
      </c>
      <c r="H110" s="25">
        <v>19.43</v>
      </c>
    </row>
    <row r="111" spans="1:8" ht="15" customHeight="1" x14ac:dyDescent="0.3">
      <c r="A111" s="23" t="s">
        <v>466</v>
      </c>
      <c r="B111" s="23" t="s">
        <v>458</v>
      </c>
      <c r="C111" s="23" t="s">
        <v>415</v>
      </c>
      <c r="D111" s="23" t="s">
        <v>459</v>
      </c>
      <c r="E111" s="23" t="s">
        <v>460</v>
      </c>
      <c r="F111" s="24">
        <v>662236</v>
      </c>
      <c r="G111" s="24">
        <v>9391211</v>
      </c>
      <c r="H111" s="25">
        <v>12.4</v>
      </c>
    </row>
    <row r="112" spans="1:8" ht="15" customHeight="1" x14ac:dyDescent="0.3">
      <c r="A112" s="23" t="s">
        <v>467</v>
      </c>
      <c r="B112" s="23" t="s">
        <v>458</v>
      </c>
      <c r="C112" s="23" t="s">
        <v>415</v>
      </c>
      <c r="D112" s="23" t="s">
        <v>459</v>
      </c>
      <c r="E112" s="23" t="s">
        <v>460</v>
      </c>
      <c r="F112" s="24">
        <v>660525</v>
      </c>
      <c r="G112" s="24">
        <v>9394327</v>
      </c>
      <c r="H112" s="25">
        <v>64.92</v>
      </c>
    </row>
    <row r="113" spans="1:8" ht="15" customHeight="1" x14ac:dyDescent="0.3">
      <c r="A113" s="23" t="s">
        <v>468</v>
      </c>
      <c r="B113" s="23" t="s">
        <v>458</v>
      </c>
      <c r="C113" s="23" t="s">
        <v>415</v>
      </c>
      <c r="D113" s="23" t="s">
        <v>459</v>
      </c>
      <c r="E113" s="23" t="s">
        <v>460</v>
      </c>
      <c r="F113" s="24">
        <v>658547</v>
      </c>
      <c r="G113" s="24">
        <v>9395594</v>
      </c>
      <c r="H113" s="25">
        <v>54.29</v>
      </c>
    </row>
    <row r="114" spans="1:8" ht="15" customHeight="1" x14ac:dyDescent="0.3">
      <c r="A114" s="23" t="s">
        <v>469</v>
      </c>
      <c r="B114" s="23" t="s">
        <v>458</v>
      </c>
      <c r="C114" s="23" t="s">
        <v>415</v>
      </c>
      <c r="D114" s="23" t="s">
        <v>459</v>
      </c>
      <c r="E114" s="23" t="s">
        <v>460</v>
      </c>
      <c r="F114" s="24">
        <v>656445</v>
      </c>
      <c r="G114" s="24">
        <v>9393180</v>
      </c>
      <c r="H114" s="25">
        <v>103.62</v>
      </c>
    </row>
    <row r="115" spans="1:8" ht="15" customHeight="1" x14ac:dyDescent="0.3">
      <c r="A115" s="23" t="s">
        <v>470</v>
      </c>
      <c r="B115" s="23" t="s">
        <v>471</v>
      </c>
      <c r="C115" s="23" t="s">
        <v>415</v>
      </c>
      <c r="D115" s="23" t="s">
        <v>459</v>
      </c>
      <c r="E115" s="23" t="s">
        <v>460</v>
      </c>
      <c r="F115" s="24">
        <v>652449</v>
      </c>
      <c r="G115" s="24">
        <v>9389179</v>
      </c>
      <c r="H115" s="25">
        <v>29.23</v>
      </c>
    </row>
    <row r="116" spans="1:8" ht="15" customHeight="1" x14ac:dyDescent="0.3">
      <c r="A116" s="23" t="s">
        <v>472</v>
      </c>
      <c r="B116" s="23" t="s">
        <v>471</v>
      </c>
      <c r="C116" s="23" t="s">
        <v>415</v>
      </c>
      <c r="D116" s="23" t="s">
        <v>459</v>
      </c>
      <c r="E116" s="23" t="s">
        <v>460</v>
      </c>
      <c r="F116" s="24">
        <v>644546</v>
      </c>
      <c r="G116" s="24">
        <v>9389106</v>
      </c>
      <c r="H116" s="25">
        <v>268.39</v>
      </c>
    </row>
    <row r="117" spans="1:8" ht="15" customHeight="1" x14ac:dyDescent="0.3">
      <c r="A117" s="23" t="s">
        <v>473</v>
      </c>
      <c r="B117" s="23" t="s">
        <v>458</v>
      </c>
      <c r="C117" s="23" t="s">
        <v>415</v>
      </c>
      <c r="D117" s="23" t="s">
        <v>459</v>
      </c>
      <c r="E117" s="23" t="s">
        <v>460</v>
      </c>
      <c r="F117" s="24">
        <v>665942</v>
      </c>
      <c r="G117" s="24">
        <v>9391144</v>
      </c>
      <c r="H117" s="25">
        <v>82.09</v>
      </c>
    </row>
    <row r="118" spans="1:8" ht="15" customHeight="1" x14ac:dyDescent="0.3">
      <c r="A118" s="23" t="s">
        <v>474</v>
      </c>
      <c r="B118" s="23" t="s">
        <v>475</v>
      </c>
      <c r="C118" s="23" t="s">
        <v>415</v>
      </c>
      <c r="D118" s="23" t="s">
        <v>459</v>
      </c>
      <c r="E118" s="23" t="s">
        <v>476</v>
      </c>
      <c r="F118" s="24">
        <v>642775</v>
      </c>
      <c r="G118" s="24">
        <v>9388574</v>
      </c>
      <c r="H118" s="25">
        <v>289.91000000000003</v>
      </c>
    </row>
    <row r="119" spans="1:8" ht="15" customHeight="1" x14ac:dyDescent="0.3">
      <c r="A119" s="23" t="s">
        <v>477</v>
      </c>
      <c r="B119" s="23" t="s">
        <v>475</v>
      </c>
      <c r="C119" s="23" t="s">
        <v>415</v>
      </c>
      <c r="D119" s="23" t="s">
        <v>459</v>
      </c>
      <c r="E119" s="23" t="s">
        <v>476</v>
      </c>
      <c r="F119" s="24">
        <v>643474</v>
      </c>
      <c r="G119" s="24">
        <v>9385620</v>
      </c>
      <c r="H119" s="25">
        <v>234.07</v>
      </c>
    </row>
    <row r="120" spans="1:8" ht="15" customHeight="1" x14ac:dyDescent="0.3">
      <c r="A120" s="23" t="s">
        <v>478</v>
      </c>
      <c r="B120" s="23" t="s">
        <v>479</v>
      </c>
      <c r="C120" s="23" t="s">
        <v>415</v>
      </c>
      <c r="D120" s="23" t="s">
        <v>459</v>
      </c>
      <c r="E120" s="23" t="s">
        <v>476</v>
      </c>
      <c r="F120" s="24">
        <v>650830</v>
      </c>
      <c r="G120" s="24">
        <v>9382303</v>
      </c>
      <c r="H120" s="25">
        <v>150.21</v>
      </c>
    </row>
    <row r="121" spans="1:8" ht="15" customHeight="1" x14ac:dyDescent="0.3">
      <c r="A121" s="23" t="s">
        <v>480</v>
      </c>
      <c r="B121" s="23" t="s">
        <v>479</v>
      </c>
      <c r="C121" s="23" t="s">
        <v>415</v>
      </c>
      <c r="D121" s="23" t="s">
        <v>459</v>
      </c>
      <c r="E121" s="23" t="s">
        <v>476</v>
      </c>
      <c r="F121" s="24">
        <v>652939</v>
      </c>
      <c r="G121" s="24">
        <v>9382105</v>
      </c>
      <c r="H121" s="25">
        <v>83.33</v>
      </c>
    </row>
    <row r="122" spans="1:8" ht="15" customHeight="1" x14ac:dyDescent="0.3">
      <c r="A122" s="23" t="s">
        <v>481</v>
      </c>
      <c r="B122" s="23" t="s">
        <v>471</v>
      </c>
      <c r="C122" s="23" t="s">
        <v>415</v>
      </c>
      <c r="D122" s="23" t="s">
        <v>459</v>
      </c>
      <c r="E122" s="23" t="s">
        <v>476</v>
      </c>
      <c r="F122" s="24">
        <v>656549</v>
      </c>
      <c r="G122" s="24">
        <v>9382009</v>
      </c>
      <c r="H122" s="25">
        <v>230.1</v>
      </c>
    </row>
    <row r="123" spans="1:8" ht="15" customHeight="1" x14ac:dyDescent="0.3">
      <c r="A123" s="23" t="s">
        <v>482</v>
      </c>
      <c r="B123" s="23" t="s">
        <v>479</v>
      </c>
      <c r="C123" s="23" t="s">
        <v>415</v>
      </c>
      <c r="D123" s="23" t="s">
        <v>459</v>
      </c>
      <c r="E123" s="23" t="s">
        <v>476</v>
      </c>
      <c r="F123" s="24">
        <v>656291</v>
      </c>
      <c r="G123" s="24">
        <v>9379096</v>
      </c>
      <c r="H123" s="25">
        <v>22.93</v>
      </c>
    </row>
    <row r="124" spans="1:8" ht="15" customHeight="1" x14ac:dyDescent="0.3">
      <c r="A124" s="23" t="s">
        <v>483</v>
      </c>
      <c r="B124" s="23" t="s">
        <v>479</v>
      </c>
      <c r="C124" s="23" t="s">
        <v>415</v>
      </c>
      <c r="D124" s="23" t="s">
        <v>459</v>
      </c>
      <c r="E124" s="23" t="s">
        <v>476</v>
      </c>
      <c r="F124" s="24">
        <v>657922</v>
      </c>
      <c r="G124" s="24">
        <v>9377477</v>
      </c>
      <c r="H124" s="25">
        <v>19.62</v>
      </c>
    </row>
    <row r="125" spans="1:8" ht="15" customHeight="1" x14ac:dyDescent="0.3">
      <c r="A125" s="23" t="s">
        <v>484</v>
      </c>
      <c r="B125" s="23" t="s">
        <v>479</v>
      </c>
      <c r="C125" s="23" t="s">
        <v>415</v>
      </c>
      <c r="D125" s="23" t="s">
        <v>459</v>
      </c>
      <c r="E125" s="23" t="s">
        <v>476</v>
      </c>
      <c r="F125" s="24">
        <v>657160</v>
      </c>
      <c r="G125" s="24">
        <v>9373050</v>
      </c>
      <c r="H125" s="25">
        <v>28.83</v>
      </c>
    </row>
    <row r="126" spans="1:8" ht="15" customHeight="1" x14ac:dyDescent="0.3">
      <c r="A126" s="23" t="s">
        <v>485</v>
      </c>
      <c r="B126" s="23" t="s">
        <v>479</v>
      </c>
      <c r="C126" s="23" t="s">
        <v>415</v>
      </c>
      <c r="D126" s="23" t="s">
        <v>459</v>
      </c>
      <c r="E126" s="23" t="s">
        <v>476</v>
      </c>
      <c r="F126" s="24">
        <v>652104</v>
      </c>
      <c r="G126" s="24">
        <v>9373045</v>
      </c>
      <c r="H126" s="25">
        <v>10.67</v>
      </c>
    </row>
    <row r="127" spans="1:8" ht="15" customHeight="1" x14ac:dyDescent="0.3">
      <c r="A127" s="23" t="s">
        <v>486</v>
      </c>
      <c r="B127" s="23" t="s">
        <v>479</v>
      </c>
      <c r="C127" s="23" t="s">
        <v>415</v>
      </c>
      <c r="D127" s="23" t="s">
        <v>459</v>
      </c>
      <c r="E127" s="23" t="s">
        <v>476</v>
      </c>
      <c r="F127" s="24">
        <v>651673</v>
      </c>
      <c r="G127" s="24">
        <v>9373383</v>
      </c>
      <c r="H127" s="25">
        <v>126.95</v>
      </c>
    </row>
    <row r="128" spans="1:8" ht="15" customHeight="1" x14ac:dyDescent="0.3">
      <c r="A128" s="23" t="s">
        <v>487</v>
      </c>
      <c r="B128" s="23" t="s">
        <v>479</v>
      </c>
      <c r="C128" s="23" t="s">
        <v>415</v>
      </c>
      <c r="D128" s="23" t="s">
        <v>459</v>
      </c>
      <c r="E128" s="23" t="s">
        <v>476</v>
      </c>
      <c r="F128" s="24">
        <v>649847</v>
      </c>
      <c r="G128" s="24">
        <v>9376260</v>
      </c>
      <c r="H128" s="25">
        <v>81.33</v>
      </c>
    </row>
  </sheetData>
  <pageMargins left="0.75" right="0.75" top="1" bottom="1" header="0.511811023622047" footer="0.511811023622047"/>
  <pageSetup paperSize="9"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K16"/>
  <sheetViews>
    <sheetView zoomScaleNormal="100" workbookViewId="0">
      <pane ySplit="3" topLeftCell="A4" activePane="bottomLeft" state="frozen"/>
      <selection pane="bottomLeft"/>
    </sheetView>
  </sheetViews>
  <sheetFormatPr baseColWidth="10" defaultColWidth="8.6640625" defaultRowHeight="14.4" x14ac:dyDescent="0.3"/>
  <cols>
    <col min="1" max="1" width="22" customWidth="1"/>
    <col min="2" max="2" width="29" customWidth="1"/>
    <col min="3" max="4" width="22" customWidth="1"/>
    <col min="5" max="5" width="29" customWidth="1"/>
    <col min="6" max="7" width="31" customWidth="1"/>
    <col min="8" max="8" width="29" customWidth="1"/>
    <col min="9" max="9" width="38" customWidth="1"/>
    <col min="10" max="11" width="22" customWidth="1"/>
    <col min="12" max="12" width="53" customWidth="1"/>
    <col min="13" max="13" width="40" customWidth="1"/>
    <col min="14" max="14" width="31" customWidth="1"/>
    <col min="15" max="15" width="27" customWidth="1"/>
    <col min="16" max="16" width="22" customWidth="1"/>
    <col min="17" max="17" width="28" customWidth="1"/>
    <col min="18" max="18" width="22" customWidth="1"/>
    <col min="19" max="19" width="28" customWidth="1"/>
    <col min="20" max="21" width="22" customWidth="1"/>
    <col min="22" max="22" width="30" customWidth="1"/>
    <col min="23" max="23" width="34" customWidth="1"/>
    <col min="24" max="26" width="22" customWidth="1"/>
    <col min="27" max="27" width="25" customWidth="1"/>
    <col min="28" max="28" width="26" customWidth="1"/>
    <col min="29" max="29" width="22" customWidth="1"/>
    <col min="30" max="30" width="47" customWidth="1"/>
    <col min="31" max="31" width="33" customWidth="1"/>
    <col min="32" max="32" width="25" customWidth="1"/>
    <col min="33" max="37" width="22" customWidth="1"/>
  </cols>
  <sheetData>
    <row r="1" spans="1:37" ht="15" customHeight="1" x14ac:dyDescent="0.3">
      <c r="A1" s="1" t="s">
        <v>488</v>
      </c>
      <c r="B1" s="1"/>
      <c r="C1" s="1"/>
      <c r="D1" s="1"/>
      <c r="E1" s="1"/>
      <c r="F1" s="1"/>
      <c r="G1" s="1"/>
      <c r="H1" s="1"/>
    </row>
    <row r="3" spans="1:37" ht="15" customHeight="1" x14ac:dyDescent="0.3">
      <c r="A3" s="16" t="s">
        <v>489</v>
      </c>
      <c r="B3" s="16" t="s">
        <v>490</v>
      </c>
      <c r="C3" s="16" t="s">
        <v>491</v>
      </c>
      <c r="D3" s="16" t="s">
        <v>492</v>
      </c>
      <c r="E3" s="16" t="s">
        <v>493</v>
      </c>
      <c r="F3" s="16" t="s">
        <v>494</v>
      </c>
      <c r="G3" s="16" t="s">
        <v>495</v>
      </c>
      <c r="H3" s="16" t="s">
        <v>496</v>
      </c>
      <c r="I3" s="16" t="s">
        <v>497</v>
      </c>
      <c r="J3" s="16" t="s">
        <v>498</v>
      </c>
      <c r="K3" s="16" t="s">
        <v>499</v>
      </c>
      <c r="L3" s="16" t="s">
        <v>500</v>
      </c>
      <c r="M3" s="16" t="s">
        <v>501</v>
      </c>
      <c r="N3" s="16" t="s">
        <v>502</v>
      </c>
      <c r="O3" s="16" t="s">
        <v>503</v>
      </c>
      <c r="P3" s="16" t="s">
        <v>504</v>
      </c>
      <c r="Q3" s="16" t="s">
        <v>505</v>
      </c>
      <c r="R3" s="16" t="s">
        <v>506</v>
      </c>
      <c r="S3" s="16" t="s">
        <v>507</v>
      </c>
      <c r="T3" s="16" t="s">
        <v>508</v>
      </c>
      <c r="U3" s="16" t="s">
        <v>509</v>
      </c>
      <c r="V3" s="16" t="s">
        <v>510</v>
      </c>
      <c r="W3" s="16" t="s">
        <v>511</v>
      </c>
      <c r="X3" s="16" t="s">
        <v>512</v>
      </c>
      <c r="Y3" s="16" t="s">
        <v>513</v>
      </c>
      <c r="Z3" s="16" t="s">
        <v>514</v>
      </c>
      <c r="AA3" s="16" t="s">
        <v>515</v>
      </c>
      <c r="AB3" s="16" t="s">
        <v>516</v>
      </c>
      <c r="AC3" s="16" t="s">
        <v>517</v>
      </c>
      <c r="AD3" s="16" t="s">
        <v>518</v>
      </c>
      <c r="AE3" s="16" t="s">
        <v>519</v>
      </c>
      <c r="AF3" s="16" t="s">
        <v>520</v>
      </c>
      <c r="AG3" s="16" t="s">
        <v>521</v>
      </c>
      <c r="AH3" s="16" t="s">
        <v>522</v>
      </c>
      <c r="AI3" s="16" t="s">
        <v>523</v>
      </c>
      <c r="AJ3" s="16" t="s">
        <v>524</v>
      </c>
      <c r="AK3" s="16" t="s">
        <v>525</v>
      </c>
    </row>
    <row r="4" spans="1:37" ht="15" customHeight="1" x14ac:dyDescent="0.3">
      <c r="A4" s="23" t="s">
        <v>526</v>
      </c>
      <c r="B4" s="23" t="s">
        <v>527</v>
      </c>
      <c r="C4" s="23" t="s">
        <v>528</v>
      </c>
      <c r="D4" s="23" t="s">
        <v>529</v>
      </c>
      <c r="E4" s="23" t="s">
        <v>530</v>
      </c>
      <c r="F4" s="23" t="s">
        <v>182</v>
      </c>
      <c r="G4" s="23" t="s">
        <v>531</v>
      </c>
      <c r="H4" s="23" t="s">
        <v>532</v>
      </c>
      <c r="I4" s="23" t="s">
        <v>533</v>
      </c>
      <c r="J4" s="23" t="s">
        <v>534</v>
      </c>
      <c r="K4" s="23" t="s">
        <v>535</v>
      </c>
      <c r="L4" s="23" t="s">
        <v>105</v>
      </c>
      <c r="M4" s="23" t="s">
        <v>536</v>
      </c>
      <c r="N4" s="23" t="s">
        <v>537</v>
      </c>
      <c r="O4" s="23" t="s">
        <v>538</v>
      </c>
      <c r="P4" s="23" t="s">
        <v>539</v>
      </c>
      <c r="Q4" s="23" t="s">
        <v>124</v>
      </c>
      <c r="R4" s="23" t="s">
        <v>540</v>
      </c>
      <c r="S4" s="23" t="s">
        <v>541</v>
      </c>
      <c r="T4" s="23" t="s">
        <v>142</v>
      </c>
      <c r="U4" s="23" t="s">
        <v>143</v>
      </c>
      <c r="V4" s="23" t="s">
        <v>542</v>
      </c>
      <c r="W4" s="23" t="s">
        <v>543</v>
      </c>
      <c r="X4" s="23" t="s">
        <v>182</v>
      </c>
      <c r="Y4" s="23" t="s">
        <v>224</v>
      </c>
      <c r="Z4" s="23" t="s">
        <v>544</v>
      </c>
      <c r="AA4" s="23" t="s">
        <v>545</v>
      </c>
      <c r="AB4" s="23" t="s">
        <v>546</v>
      </c>
      <c r="AC4" s="23" t="s">
        <v>547</v>
      </c>
      <c r="AD4" s="23" t="s">
        <v>548</v>
      </c>
      <c r="AE4" s="23" t="s">
        <v>549</v>
      </c>
      <c r="AF4" s="23" t="s">
        <v>550</v>
      </c>
      <c r="AG4" s="23" t="s">
        <v>224</v>
      </c>
      <c r="AH4" s="23" t="s">
        <v>551</v>
      </c>
      <c r="AI4" s="23" t="s">
        <v>552</v>
      </c>
      <c r="AJ4" s="23" t="s">
        <v>44</v>
      </c>
      <c r="AK4" s="23" t="s">
        <v>44</v>
      </c>
    </row>
    <row r="5" spans="1:37" ht="15" customHeight="1" x14ac:dyDescent="0.3">
      <c r="A5" s="23" t="s">
        <v>553</v>
      </c>
      <c r="B5" s="23" t="s">
        <v>554</v>
      </c>
      <c r="C5" s="23" t="s">
        <v>35</v>
      </c>
      <c r="D5" s="23" t="s">
        <v>555</v>
      </c>
      <c r="E5" s="23" t="s">
        <v>556</v>
      </c>
      <c r="F5" s="23" t="s">
        <v>65</v>
      </c>
      <c r="G5" s="23" t="s">
        <v>557</v>
      </c>
      <c r="H5" s="23" t="s">
        <v>558</v>
      </c>
      <c r="I5" s="23" t="s">
        <v>559</v>
      </c>
      <c r="J5" s="23" t="s">
        <v>560</v>
      </c>
      <c r="K5" s="23" t="s">
        <v>261</v>
      </c>
      <c r="L5" s="23" t="s">
        <v>561</v>
      </c>
      <c r="M5" s="23" t="s">
        <v>562</v>
      </c>
      <c r="N5" s="23" t="s">
        <v>563</v>
      </c>
      <c r="O5" s="23" t="s">
        <v>564</v>
      </c>
      <c r="P5" s="23" t="s">
        <v>565</v>
      </c>
      <c r="Q5" s="23" t="s">
        <v>566</v>
      </c>
      <c r="R5" s="23" t="s">
        <v>567</v>
      </c>
      <c r="S5" s="23" t="s">
        <v>568</v>
      </c>
      <c r="T5" s="23" t="s">
        <v>569</v>
      </c>
      <c r="U5" s="23" t="s">
        <v>570</v>
      </c>
      <c r="V5" s="23" t="s">
        <v>571</v>
      </c>
      <c r="W5" s="23" t="s">
        <v>572</v>
      </c>
      <c r="X5" s="23" t="s">
        <v>573</v>
      </c>
      <c r="Y5" s="23" t="s">
        <v>574</v>
      </c>
      <c r="Z5" s="23" t="s">
        <v>575</v>
      </c>
      <c r="AA5" s="23" t="s">
        <v>259</v>
      </c>
      <c r="AB5" s="23" t="s">
        <v>576</v>
      </c>
      <c r="AC5" s="23" t="s">
        <v>577</v>
      </c>
      <c r="AD5" s="23" t="s">
        <v>578</v>
      </c>
      <c r="AE5" s="23" t="s">
        <v>282</v>
      </c>
      <c r="AF5" s="23" t="s">
        <v>579</v>
      </c>
      <c r="AG5" s="23" t="s">
        <v>574</v>
      </c>
      <c r="AH5" s="23" t="s">
        <v>580</v>
      </c>
      <c r="AI5" s="23" t="s">
        <v>581</v>
      </c>
      <c r="AJ5" s="23" t="s">
        <v>46</v>
      </c>
      <c r="AK5" s="23" t="s">
        <v>46</v>
      </c>
    </row>
    <row r="6" spans="1:37" ht="15" customHeight="1" x14ac:dyDescent="0.3">
      <c r="A6" s="23" t="s">
        <v>582</v>
      </c>
      <c r="B6" s="23" t="s">
        <v>583</v>
      </c>
      <c r="C6" s="23" t="s">
        <v>584</v>
      </c>
      <c r="D6" s="23" t="s">
        <v>585</v>
      </c>
      <c r="E6" s="23" t="s">
        <v>586</v>
      </c>
      <c r="F6" s="23" t="s">
        <v>587</v>
      </c>
      <c r="G6" s="23" t="s">
        <v>588</v>
      </c>
      <c r="H6" s="23" t="s">
        <v>589</v>
      </c>
      <c r="I6" s="23" t="s">
        <v>590</v>
      </c>
      <c r="J6" s="23" t="s">
        <v>591</v>
      </c>
      <c r="K6" s="23" t="s">
        <v>89</v>
      </c>
      <c r="L6" s="23" t="s">
        <v>592</v>
      </c>
      <c r="M6" s="23" t="s">
        <v>108</v>
      </c>
      <c r="N6" s="23" t="s">
        <v>110</v>
      </c>
      <c r="O6" s="23" t="s">
        <v>593</v>
      </c>
      <c r="P6" s="23" t="s">
        <v>594</v>
      </c>
      <c r="Q6" s="23" t="s">
        <v>595</v>
      </c>
      <c r="R6" s="23" t="s">
        <v>596</v>
      </c>
      <c r="S6" s="23" t="s">
        <v>597</v>
      </c>
      <c r="T6" s="23" t="s">
        <v>598</v>
      </c>
      <c r="U6" s="23" t="s">
        <v>145</v>
      </c>
      <c r="V6" s="23" t="s">
        <v>599</v>
      </c>
      <c r="W6" s="23" t="s">
        <v>600</v>
      </c>
      <c r="X6" s="23" t="s">
        <v>179</v>
      </c>
      <c r="Y6" s="23" t="s">
        <v>228</v>
      </c>
      <c r="Z6" s="23" t="s">
        <v>179</v>
      </c>
      <c r="AA6" s="23" t="s">
        <v>601</v>
      </c>
      <c r="AB6" s="23" t="s">
        <v>602</v>
      </c>
      <c r="AC6" s="23" t="s">
        <v>603</v>
      </c>
      <c r="AD6" s="23" t="s">
        <v>604</v>
      </c>
      <c r="AE6" s="23" t="s">
        <v>605</v>
      </c>
      <c r="AF6" s="23" t="s">
        <v>606</v>
      </c>
      <c r="AG6" s="23" t="s">
        <v>228</v>
      </c>
      <c r="AH6" s="23" t="s">
        <v>603</v>
      </c>
      <c r="AI6" s="23" t="s">
        <v>607</v>
      </c>
      <c r="AK6" s="23" t="s">
        <v>98</v>
      </c>
    </row>
    <row r="7" spans="1:37" ht="15" customHeight="1" x14ac:dyDescent="0.3">
      <c r="A7" s="23" t="s">
        <v>31</v>
      </c>
      <c r="B7" s="23" t="s">
        <v>33</v>
      </c>
      <c r="C7" s="23" t="s">
        <v>608</v>
      </c>
      <c r="D7" s="23" t="s">
        <v>37</v>
      </c>
      <c r="E7" s="23" t="s">
        <v>609</v>
      </c>
      <c r="F7" s="23" t="s">
        <v>610</v>
      </c>
      <c r="G7" s="23" t="s">
        <v>611</v>
      </c>
      <c r="H7" s="23" t="s">
        <v>612</v>
      </c>
      <c r="I7" s="23" t="s">
        <v>613</v>
      </c>
      <c r="J7" s="23" t="s">
        <v>614</v>
      </c>
      <c r="K7" s="23" t="s">
        <v>615</v>
      </c>
      <c r="L7" s="23" t="s">
        <v>616</v>
      </c>
      <c r="M7" s="23" t="s">
        <v>617</v>
      </c>
      <c r="N7" s="23" t="s">
        <v>618</v>
      </c>
      <c r="O7" s="23" t="s">
        <v>619</v>
      </c>
      <c r="P7" s="23" t="s">
        <v>620</v>
      </c>
      <c r="Q7" s="23" t="s">
        <v>621</v>
      </c>
      <c r="R7" s="23" t="s">
        <v>622</v>
      </c>
      <c r="S7" s="23" t="s">
        <v>156</v>
      </c>
      <c r="T7" s="23" t="s">
        <v>623</v>
      </c>
      <c r="U7" s="23" t="s">
        <v>150</v>
      </c>
      <c r="V7" s="23" t="s">
        <v>624</v>
      </c>
      <c r="W7" s="23" t="s">
        <v>625</v>
      </c>
      <c r="X7" s="23" t="s">
        <v>626</v>
      </c>
      <c r="Z7" s="23" t="s">
        <v>257</v>
      </c>
      <c r="AA7" s="23" t="s">
        <v>627</v>
      </c>
      <c r="AB7" s="23" t="s">
        <v>628</v>
      </c>
      <c r="AC7" s="23" t="s">
        <v>629</v>
      </c>
      <c r="AD7" s="23" t="s">
        <v>630</v>
      </c>
      <c r="AE7" s="23" t="s">
        <v>631</v>
      </c>
      <c r="AF7" s="23" t="s">
        <v>632</v>
      </c>
      <c r="AH7" s="23" t="s">
        <v>633</v>
      </c>
      <c r="AI7" s="23" t="s">
        <v>634</v>
      </c>
    </row>
    <row r="8" spans="1:37" ht="15" customHeight="1" x14ac:dyDescent="0.3">
      <c r="A8" s="23" t="s">
        <v>635</v>
      </c>
      <c r="B8" s="23" t="s">
        <v>636</v>
      </c>
      <c r="C8" s="23" t="s">
        <v>637</v>
      </c>
      <c r="D8" s="23" t="s">
        <v>638</v>
      </c>
      <c r="E8" s="23" t="s">
        <v>639</v>
      </c>
      <c r="F8" s="23" t="s">
        <v>640</v>
      </c>
      <c r="G8" s="23" t="s">
        <v>641</v>
      </c>
      <c r="H8" s="23" t="s">
        <v>642</v>
      </c>
      <c r="I8" s="23" t="s">
        <v>643</v>
      </c>
      <c r="J8" s="23" t="s">
        <v>644</v>
      </c>
      <c r="L8" s="23" t="s">
        <v>645</v>
      </c>
      <c r="M8" s="23" t="s">
        <v>646</v>
      </c>
      <c r="N8" s="23" t="s">
        <v>647</v>
      </c>
      <c r="P8" s="23" t="s">
        <v>648</v>
      </c>
      <c r="Q8" s="23" t="s">
        <v>649</v>
      </c>
      <c r="R8" s="23" t="s">
        <v>126</v>
      </c>
      <c r="S8" s="23" t="s">
        <v>148</v>
      </c>
      <c r="U8" s="23" t="s">
        <v>154</v>
      </c>
      <c r="V8" s="23" t="s">
        <v>650</v>
      </c>
      <c r="W8" s="23" t="s">
        <v>651</v>
      </c>
      <c r="X8" s="23" t="s">
        <v>652</v>
      </c>
      <c r="Z8" s="23" t="s">
        <v>653</v>
      </c>
      <c r="AB8" s="23" t="s">
        <v>654</v>
      </c>
      <c r="AC8" s="23" t="s">
        <v>619</v>
      </c>
      <c r="AD8" s="23" t="s">
        <v>655</v>
      </c>
      <c r="AE8" s="23" t="s">
        <v>656</v>
      </c>
      <c r="AF8" s="23" t="s">
        <v>657</v>
      </c>
      <c r="AI8" s="23" t="s">
        <v>210</v>
      </c>
    </row>
    <row r="9" spans="1:37" ht="15" customHeight="1" x14ac:dyDescent="0.3">
      <c r="B9" s="23" t="s">
        <v>658</v>
      </c>
      <c r="C9" s="23" t="s">
        <v>659</v>
      </c>
      <c r="D9" s="23" t="s">
        <v>660</v>
      </c>
      <c r="E9" s="23" t="s">
        <v>39</v>
      </c>
      <c r="F9" s="23" t="s">
        <v>661</v>
      </c>
      <c r="I9" s="23" t="s">
        <v>662</v>
      </c>
      <c r="L9" s="23" t="s">
        <v>663</v>
      </c>
      <c r="M9" s="23" t="s">
        <v>664</v>
      </c>
      <c r="N9" s="23" t="s">
        <v>665</v>
      </c>
      <c r="P9" s="23" t="s">
        <v>666</v>
      </c>
      <c r="R9" s="23" t="s">
        <v>667</v>
      </c>
      <c r="S9" s="23" t="s">
        <v>141</v>
      </c>
      <c r="V9" s="23" t="s">
        <v>668</v>
      </c>
      <c r="W9" s="23" t="s">
        <v>669</v>
      </c>
      <c r="AB9" s="23" t="s">
        <v>670</v>
      </c>
      <c r="AE9" s="23" t="s">
        <v>671</v>
      </c>
      <c r="AF9" s="23" t="s">
        <v>672</v>
      </c>
      <c r="AI9" s="23" t="s">
        <v>633</v>
      </c>
    </row>
    <row r="10" spans="1:37" ht="15" customHeight="1" x14ac:dyDescent="0.3">
      <c r="C10" s="23" t="s">
        <v>673</v>
      </c>
      <c r="D10" s="23" t="s">
        <v>674</v>
      </c>
      <c r="E10" s="23" t="s">
        <v>675</v>
      </c>
      <c r="I10" s="23" t="s">
        <v>676</v>
      </c>
      <c r="L10" s="23" t="s">
        <v>677</v>
      </c>
      <c r="N10" s="23" t="s">
        <v>678</v>
      </c>
      <c r="R10" s="23" t="s">
        <v>679</v>
      </c>
      <c r="S10" s="23" t="s">
        <v>680</v>
      </c>
      <c r="W10" s="23" t="s">
        <v>681</v>
      </c>
      <c r="AB10" s="23" t="s">
        <v>682</v>
      </c>
      <c r="AF10" s="23" t="s">
        <v>286</v>
      </c>
    </row>
    <row r="11" spans="1:37" ht="15" customHeight="1" x14ac:dyDescent="0.3">
      <c r="C11" s="23" t="s">
        <v>683</v>
      </c>
      <c r="D11" s="23" t="s">
        <v>684</v>
      </c>
      <c r="I11" s="23" t="s">
        <v>685</v>
      </c>
      <c r="L11" s="23" t="s">
        <v>686</v>
      </c>
      <c r="N11" s="23" t="s">
        <v>687</v>
      </c>
      <c r="R11" s="23" t="s">
        <v>688</v>
      </c>
      <c r="S11" s="23" t="s">
        <v>689</v>
      </c>
      <c r="W11" s="23" t="s">
        <v>690</v>
      </c>
      <c r="AB11" s="23" t="s">
        <v>691</v>
      </c>
    </row>
    <row r="12" spans="1:37" ht="15" customHeight="1" x14ac:dyDescent="0.3">
      <c r="C12" s="23" t="s">
        <v>692</v>
      </c>
      <c r="D12" s="23" t="s">
        <v>693</v>
      </c>
      <c r="I12" s="23" t="s">
        <v>210</v>
      </c>
      <c r="L12" s="23" t="s">
        <v>694</v>
      </c>
      <c r="N12" s="23" t="s">
        <v>210</v>
      </c>
      <c r="R12" s="23" t="s">
        <v>695</v>
      </c>
      <c r="W12" s="23" t="s">
        <v>696</v>
      </c>
      <c r="AB12" s="23" t="s">
        <v>697</v>
      </c>
    </row>
    <row r="13" spans="1:37" ht="15" customHeight="1" x14ac:dyDescent="0.3">
      <c r="L13" s="23" t="s">
        <v>698</v>
      </c>
      <c r="R13" s="23" t="s">
        <v>699</v>
      </c>
      <c r="W13" s="23" t="s">
        <v>98</v>
      </c>
      <c r="AB13" s="23" t="s">
        <v>210</v>
      </c>
    </row>
    <row r="14" spans="1:37" ht="15" customHeight="1" x14ac:dyDescent="0.3">
      <c r="L14" s="23" t="s">
        <v>700</v>
      </c>
      <c r="R14" s="23" t="s">
        <v>701</v>
      </c>
    </row>
    <row r="15" spans="1:37" ht="15" customHeight="1" x14ac:dyDescent="0.3">
      <c r="L15" s="23" t="s">
        <v>702</v>
      </c>
    </row>
    <row r="16" spans="1:37" ht="15" customHeight="1" x14ac:dyDescent="0.3">
      <c r="L16" s="23" t="s">
        <v>210</v>
      </c>
    </row>
  </sheetData>
  <mergeCells count="1">
    <mergeCell ref="A1:H1"/>
  </mergeCells>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44</vt:i4>
      </vt:variant>
    </vt:vector>
  </HeadingPairs>
  <TitlesOfParts>
    <vt:vector size="51" baseType="lpstr">
      <vt:lpstr>F-DT-01</vt:lpstr>
      <vt:lpstr>F-DT-02</vt:lpstr>
      <vt:lpstr>F-DT-03</vt:lpstr>
      <vt:lpstr>F-DT-04</vt:lpstr>
      <vt:lpstr>F-DT-05</vt:lpstr>
      <vt:lpstr>Bloques V4</vt:lpstr>
      <vt:lpstr>_Listas</vt:lpstr>
      <vt:lpstr>lst_Abundancia</vt:lpstr>
      <vt:lpstr>lst_CalidadAgua</vt:lpstr>
      <vt:lpstr>lst_CategoriaIndicadora</vt:lpstr>
      <vt:lpstr>lst_CausaCarcava</vt:lpstr>
      <vt:lpstr>lst_CodigoBloque</vt:lpstr>
      <vt:lpstr>lst_EstadoCarcava</vt:lpstr>
      <vt:lpstr>lst_EstadoConservacion</vt:lpstr>
      <vt:lpstr>lst_EstadoSanitario</vt:lpstr>
      <vt:lpstr>lst_EstadoUICN</vt:lpstr>
      <vt:lpstr>lst_Estrato</vt:lpstr>
      <vt:lpstr>lst_Exposicion</vt:lpstr>
      <vt:lpstr>lst_Fenologia</vt:lpstr>
      <vt:lpstr>lst_FormaTerreno</vt:lpstr>
      <vt:lpstr>lst_Intensidad</vt:lpstr>
      <vt:lpstr>lst_ModalidadAcceso</vt:lpstr>
      <vt:lpstr>lst_NivelErosion</vt:lpstr>
      <vt:lpstr>lst_NivelInd</vt:lpstr>
      <vt:lpstr>lst_NivelTransitabilidad</vt:lpstr>
      <vt:lpstr>lst_Operador</vt:lpstr>
      <vt:lpstr>lst_Origen</vt:lpstr>
      <vt:lpstr>lst_PatronCarcavas</vt:lpstr>
      <vt:lpstr>lst_PosicionFisio</vt:lpstr>
      <vt:lpstr>lst_RangoAltitud</vt:lpstr>
      <vt:lpstr>lst_RangoPendiente</vt:lpstr>
      <vt:lpstr>lst_Regeneracion</vt:lpstr>
      <vt:lpstr>lst_RegimenHidrico</vt:lpstr>
      <vt:lpstr>lst_Reversibilidad</vt:lpstr>
      <vt:lpstr>lst_SenalCelular</vt:lpstr>
      <vt:lpstr>lst_SiNo</vt:lpstr>
      <vt:lpstr>lst_SiNoNA</vt:lpstr>
      <vt:lpstr>lst_TipoCarcava</vt:lpstr>
      <vt:lpstr>lst_TipoCobertura</vt:lpstr>
      <vt:lpstr>lst_TipoEcosistema</vt:lpstr>
      <vt:lpstr>lst_TipoFuente</vt:lpstr>
      <vt:lpstr>lst_TipoVia</vt:lpstr>
      <vt:lpstr>lst_Urgencia</vt:lpstr>
      <vt:lpstr>lst_UsoSueloDom</vt:lpstr>
      <vt:lpstr>lst_Velocidad</vt:lpstr>
      <vt:lpstr>tbl_Bloques</vt:lpstr>
      <vt:lpstr>'F-DT-01'!Títulos_a_imprimir</vt:lpstr>
      <vt:lpstr>'F-DT-02'!Títulos_a_imprimir</vt:lpstr>
      <vt:lpstr>'F-DT-03'!Títulos_a_imprimir</vt:lpstr>
      <vt:lpstr>'F-DT-04'!Títulos_a_imprimir</vt:lpstr>
      <vt:lpstr>'F-DT-05'!Títulos_a_imprimir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Hector Salomón Cahuas Miller</cp:lastModifiedBy>
  <cp:revision>0</cp:revision>
  <dcterms:created xsi:type="dcterms:W3CDTF">2026-05-08T03:16:44Z</dcterms:created>
  <dcterms:modified xsi:type="dcterms:W3CDTF">2026-07-28T02:08:27Z</dcterms:modified>
  <dc:language>en-US</dc:language>
</cp:coreProperties>
</file>