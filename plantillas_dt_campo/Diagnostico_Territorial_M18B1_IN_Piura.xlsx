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45b075c037decc03/DIAGNOSTICOS TERRITORIALES BLOQUES/M18B1/"/>
    </mc:Choice>
  </mc:AlternateContent>
  <xr:revisionPtr revIDLastSave="12" documentId="13_ncr:1_{08D4770A-F983-4518-9B23-A22A0FC68E04}" xr6:coauthVersionLast="47" xr6:coauthVersionMax="47" xr10:uidLastSave="{6482430C-C330-45CD-952C-F1D79CCEDF27}"/>
  <bookViews>
    <workbookView xWindow="-108" yWindow="-108" windowWidth="23256" windowHeight="12456" tabRatio="500" activeTab="4" xr2:uid="{00000000-000D-0000-FFFF-FFFF00000000}"/>
  </bookViews>
  <sheets>
    <sheet name="F-DT-01" sheetId="1" r:id="rId1"/>
    <sheet name="F-DT-02" sheetId="2" r:id="rId2"/>
    <sheet name="F-DT-03" sheetId="3" r:id="rId3"/>
    <sheet name="F-DT-04" sheetId="4" r:id="rId4"/>
    <sheet name="F-DT-05" sheetId="5" r:id="rId5"/>
    <sheet name="Bloques V4" sheetId="6" r:id="rId6"/>
    <sheet name="_Listas" sheetId="7" r:id="rId7"/>
  </sheets>
  <definedNames>
    <definedName name="lst_Abundancia">_Listas!$U$4:$U$8</definedName>
    <definedName name="lst_CalidadAgua">_Listas!$AD$4:$AD$8</definedName>
    <definedName name="lst_CategoriaIndicadora">_Listas!$V$4:$V$9</definedName>
    <definedName name="lst_CausaCarcava">_Listas!$I$4:$I$12</definedName>
    <definedName name="lst_CodigoBloque">'Bloques V4'!$A$2:$A$128</definedName>
    <definedName name="lst_EstadoCarcava">_Listas!$H$4:$H$8</definedName>
    <definedName name="lst_EstadoConservacion">_Listas!$M$4:$M$9</definedName>
    <definedName name="lst_EstadoSanitario">_Listas!$P$4:$P$9</definedName>
    <definedName name="lst_EstadoUICN">_Listas!$W$4:$W$13</definedName>
    <definedName name="lst_Estrato">_Listas!$S$4:$S$11</definedName>
    <definedName name="lst_Exposicion">_Listas!$D$4:$D$12</definedName>
    <definedName name="lst_Fenologia">_Listas!$Q$4:$Q$8</definedName>
    <definedName name="lst_FormaTerreno">_Listas!$A$4:$A$8</definedName>
    <definedName name="lst_Intensidad">_Listas!$X$4:$X$8</definedName>
    <definedName name="lst_ModalidadAcceso">_Listas!$AE$4:$AE$9</definedName>
    <definedName name="lst_NivelErosion">_Listas!$F$4:$F$9</definedName>
    <definedName name="lst_NivelInd">_Listas!$Y$4:$Y$6</definedName>
    <definedName name="lst_NivelTransitabilidad">_Listas!$AG$4:$AG$6</definedName>
    <definedName name="lst_Operador">_Listas!$AI$4:$AI$9</definedName>
    <definedName name="lst_Origen">_Listas!$T$4:$T$7</definedName>
    <definedName name="lst_PatronCarcavas">_Listas!$J$4:$J$8</definedName>
    <definedName name="lst_PosicionFisio">_Listas!$C$4:$C$12</definedName>
    <definedName name="lst_RangoAltitud">_Listas!$E$4:$E$10</definedName>
    <definedName name="lst_RangoPendiente">_Listas!$B$4:$B$9</definedName>
    <definedName name="lst_Regeneracion">_Listas!$O$4:$O$7</definedName>
    <definedName name="lst_RegimenHidrico">_Listas!$AC$4:$AC$8</definedName>
    <definedName name="lst_Reversibilidad">_Listas!$AA$4:$AA$7</definedName>
    <definedName name="lst_SenalCelular">_Listas!$AH$4:$AH$7</definedName>
    <definedName name="lst_SiNo">_Listas!$AJ$4:$AJ$5</definedName>
    <definedName name="lst_SiNoNA">_Listas!$AK$4:$AK$6</definedName>
    <definedName name="lst_TipoCarcava">_Listas!$G$4:$G$8</definedName>
    <definedName name="lst_TipoCobertura">_Listas!$R$4:$R$14</definedName>
    <definedName name="lst_TipoEcosistema">_Listas!$L$4:$L$16</definedName>
    <definedName name="lst_TipoFuente">_Listas!$AB$4:$AB$13</definedName>
    <definedName name="lst_TipoVia">_Listas!$AF$4:$AF$10</definedName>
    <definedName name="lst_Urgencia">_Listas!$K$4:$K$7</definedName>
    <definedName name="lst_UsoSueloDom">_Listas!$N$4:$N$12</definedName>
    <definedName name="lst_Velocidad">_Listas!$Z$4:$Z$8</definedName>
    <definedName name="tbl_Bloques">'Bloques V4'!$A$2:$H$128</definedName>
    <definedName name="_xlnm.Print_Titles" localSheetId="0">'F-DT-01'!$1:$6</definedName>
    <definedName name="_xlnm.Print_Titles" localSheetId="1">'F-DT-02'!$1:$6</definedName>
    <definedName name="_xlnm.Print_Titles" localSheetId="2">'F-DT-03'!$1:$6</definedName>
    <definedName name="_xlnm.Print_Titles" localSheetId="3">'F-DT-04'!$1:$6</definedName>
    <definedName name="_xlnm.Print_Titles" localSheetId="4">'F-DT-05'!$1:$6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10" i="5" l="1"/>
  <c r="C10" i="5"/>
  <c r="G9" i="5"/>
  <c r="C10" i="3"/>
  <c r="G9" i="3"/>
  <c r="D10" i="2"/>
  <c r="J9" i="2"/>
  <c r="F12" i="1"/>
  <c r="B12" i="1"/>
  <c r="F11" i="1"/>
  <c r="B11" i="1"/>
  <c r="F10" i="1"/>
  <c r="C11" i="4"/>
</calcChain>
</file>

<file path=xl/sharedStrings.xml><?xml version="1.0" encoding="utf-8"?>
<sst xmlns="http://schemas.openxmlformats.org/spreadsheetml/2006/main" count="1438" uniqueCount="762">
  <si>
    <t>AUTORIDAD NACIONAL DE INFRAESTRUCTURA — ANIN</t>
  </si>
  <si>
    <t>DIME — Dirección de Intervenciones Multisectoriales y de Emergencia  |  SESDI — Subdirección de Estudios de Inversión</t>
  </si>
  <si>
    <t>PROYECTO IN PIURA  |  CUI 2669244  |  Recuperación de servicios de regulación de riesgos naturales y regulación hídrica — Cuenca Alta del Río Piura</t>
  </si>
  <si>
    <t>F-DT-01: DATOS GENERALES Y FISIOGRAFÍA DEL BLOQUE</t>
  </si>
  <si>
    <t>Identificación del bloque e inventario rápido de parámetros fisiográficos observados a escala del bloque. Base para todos los formatos F-DT siguientes.</t>
  </si>
  <si>
    <t>★ Campos obligatorios marcados con *  |  Celdas naranjas = ingreso manual  |  Celdas grises = autocalculadas (NO modificar)  |  Despliegue las flechas para elegir opciones de las listas.</t>
  </si>
  <si>
    <t>1. DATOS GENERALES Y LOCALIZACIÓN</t>
  </si>
  <si>
    <t>Fecha (dd-mm-aaaa) *</t>
  </si>
  <si>
    <t>14-05-2026</t>
  </si>
  <si>
    <t>Hora de registro</t>
  </si>
  <si>
    <t>08:00 – 09:20</t>
  </si>
  <si>
    <t>Brigada / Responsable *</t>
  </si>
  <si>
    <t>Brigada 1A / Ing. H. S. Cahuas Miller</t>
  </si>
  <si>
    <t>Ficha N° (correlativo)</t>
  </si>
  <si>
    <t>DT-M18B1-001</t>
  </si>
  <si>
    <t>Código del Bloque *</t>
  </si>
  <si>
    <t>M18B1</t>
  </si>
  <si>
    <t>Código de Microcuenca</t>
  </si>
  <si>
    <t>Provincia (auto)</t>
  </si>
  <si>
    <t>Distrito (auto)</t>
  </si>
  <si>
    <t>Zona del bloque (auto)</t>
  </si>
  <si>
    <t>Área del bloque (ha) — auto</t>
  </si>
  <si>
    <t>UTM ESTE punto de muestreo (m) *</t>
  </si>
  <si>
    <t>UTM NORTE punto de muestreo (m) *</t>
  </si>
  <si>
    <t>Altitud GPS (msnm) *</t>
  </si>
  <si>
    <t>Centro poblado más cercano</t>
  </si>
  <si>
    <t>Hualas / Villa Malacasi / Mangamanga</t>
  </si>
  <si>
    <t>Comunidad Campesina (si aplica)</t>
  </si>
  <si>
    <t>No aplica (no es Comunidad Campesina reconocida)</t>
  </si>
  <si>
    <t>2. CARACTERIZACIÓN FISIOGRÁFICA DEL BLOQUE</t>
  </si>
  <si>
    <t>Forma predominante del terreno *</t>
  </si>
  <si>
    <t>Colinoso</t>
  </si>
  <si>
    <t>Rango de pendiente dominante *</t>
  </si>
  <si>
    <t>15-25% (Fuert. inclinado)</t>
  </si>
  <si>
    <t>Posición fisiográfica *</t>
  </si>
  <si>
    <t>Ladera media</t>
  </si>
  <si>
    <t>Exposición / Orientación dominante *</t>
  </si>
  <si>
    <t>Norte</t>
  </si>
  <si>
    <t>Rango altitudinal del bloque *</t>
  </si>
  <si>
    <t>&lt;1000 m (Yunga)</t>
  </si>
  <si>
    <t>Paisaje dominante (descripción libre)</t>
  </si>
  <si>
    <t>Paisaje colinoso de bosque estacionalmente seco de colina y montaña ubicado en margen izquierda del río Piura. Tres niveles altitudinales identificados: zona ribereña (143–170 msnm) con vegetación arbórea más desarrollada, ladera media (170–230 msnm) con bosque ralo dominado por charán y pasallo, y cimas y crestas (230–290 msnm) con cobertura arbustiva-cactácea. Quebradas estacionales (Qbda. Hualas y Qbda. Mayor) drenan hacia el río Piura. Faja de desbosque observada en sector central, asociada a línea eléctrica de alta tensión rural.</t>
  </si>
  <si>
    <t>3. INDICIOS DE REMOCIÓN EN MASA E INESTABILIDAD</t>
  </si>
  <si>
    <t>Presencia de afloramientos rocosos</t>
  </si>
  <si>
    <t>Sí</t>
  </si>
  <si>
    <t>Presencia de escarpes activos *</t>
  </si>
  <si>
    <t>No</t>
  </si>
  <si>
    <t>¿Reptación de suelo observada? *</t>
  </si>
  <si>
    <t>¿Deslizamientos antiguos observados?</t>
  </si>
  <si>
    <t>¿Remociones en masa activas? *</t>
  </si>
  <si>
    <t>OBSERVACIONES</t>
  </si>
  <si>
    <t>F-DT-02: SUELO Y PROCESOS EROSIVOS (INCL. INVENTARIO DE CÁRCAVAS)</t>
  </si>
  <si>
    <t>Caracterización de procesos erosivos del suelo a escala de bloque + inventario georreferenciado de cárcavas/surcos. Insumo para diseño de obras de control de erosión.</t>
  </si>
  <si>
    <t>1. DATOS GENERALES</t>
  </si>
  <si>
    <t>Responsable *</t>
  </si>
  <si>
    <t>Ing. H. S. Cahuas Miller</t>
  </si>
  <si>
    <t>Código de Microcuenca (auto)</t>
  </si>
  <si>
    <t>Altitud (msnm)</t>
  </si>
  <si>
    <t>UTM ESTE punto de muestreo *</t>
  </si>
  <si>
    <t>UTM NORTE punto de muestreo *</t>
  </si>
  <si>
    <t>2. DESCRIPCIÓN DE PROCESOS EROSIVOS DEL SUELO</t>
  </si>
  <si>
    <t>Sellamiento / Costra superficial</t>
  </si>
  <si>
    <t>¿Compactación por pisoteo de ganado?</t>
  </si>
  <si>
    <t>¿Raíces expuestas en superficie?</t>
  </si>
  <si>
    <t>Nivel general de erosión observado *</t>
  </si>
  <si>
    <t>Moderada (surcos)</t>
  </si>
  <si>
    <t>3. INVENTARIO GEORREFERENCIADO DE CÁRCAVAS / SURCOS</t>
  </si>
  <si>
    <t>Registre una fila por cárcava o grupo de surcos homogéneos. Use los desplegables en columnas Tipo, Estado y Causa principal.</t>
  </si>
  <si>
    <t>Código
cárcava</t>
  </si>
  <si>
    <t>Tipo</t>
  </si>
  <si>
    <t>UTM ESTE
(inicio)</t>
  </si>
  <si>
    <t>UTM NORTE
(inicio)</t>
  </si>
  <si>
    <t>UTM ESTE
(fin)</t>
  </si>
  <si>
    <t>UTM NORTE
(fin)</t>
  </si>
  <si>
    <t>Long.
(m)</t>
  </si>
  <si>
    <t>Prof.
med. (m)</t>
  </si>
  <si>
    <t>Ancho
med. (m)</t>
  </si>
  <si>
    <t>Estado /
Actividad</t>
  </si>
  <si>
    <t>Causa
principal</t>
  </si>
  <si>
    <t>Cód.
Fotografía</t>
  </si>
  <si>
    <t>4. SÍNTESIS DE PROCESOS EROSIVOS DEL BLOQUE</t>
  </si>
  <si>
    <t>Nivel general de erosión (síntesis) *</t>
  </si>
  <si>
    <t>N° total de cárcavas registradas</t>
  </si>
  <si>
    <t>Longitud total de cárcavas (m)</t>
  </si>
  <si>
    <t>% del bloque afectado por cárcavas</t>
  </si>
  <si>
    <t>Erosión laminar observada (%)</t>
  </si>
  <si>
    <t>Patrón de cárcavas dominante</t>
  </si>
  <si>
    <t>Aislado</t>
  </si>
  <si>
    <t>Presencia de socavamiento de cauce</t>
  </si>
  <si>
    <t>Urgencia de control</t>
  </si>
  <si>
    <t>Media</t>
  </si>
  <si>
    <t>F-DT-03: ECOSISTEMA: COMPOSICIÓN, ESTRUCTURA Y VALOR ECOLÓGICO</t>
  </si>
  <si>
    <t>Caracterización ecológica del bloque: tipo de ecosistema, estado de conservación, estructura vertical, composición florística rápida y registro de especies clave/indicadoras.</t>
  </si>
  <si>
    <t>Fecha *</t>
  </si>
  <si>
    <t>Microcuenca (auto)</t>
  </si>
  <si>
    <t>Parcela de muestreo</t>
  </si>
  <si>
    <t>P-01 (Punto representativo de bloque)</t>
  </si>
  <si>
    <t>Dimensiones de parcela (m × m)</t>
  </si>
  <si>
    <t>Pendiente promedio de la parcela (%)</t>
  </si>
  <si>
    <t>Cobertura vegetal total estimada (%) *</t>
  </si>
  <si>
    <t>UTM ESTE esquina inferior *</t>
  </si>
  <si>
    <t>UTM NORTE esquina inferior *</t>
  </si>
  <si>
    <t>2. CLASIFICACIÓN DEL ECOSISTEMA (UP)</t>
  </si>
  <si>
    <t>Tipo de ecosistema MINAM (dominante) *</t>
  </si>
  <si>
    <t>Bosque Estacionalmente Seco Colina/Montaña (Bes-cm)</t>
  </si>
  <si>
    <t>Superficie del ecosistema en el bloque (ha)</t>
  </si>
  <si>
    <t>Estado de conservación general *</t>
  </si>
  <si>
    <t>Medianamente alterado</t>
  </si>
  <si>
    <t>Uso actual dominante del suelo *</t>
  </si>
  <si>
    <t>Forestal protección</t>
  </si>
  <si>
    <t>3. ESTRUCTURA DEL ECOSISTEMA</t>
  </si>
  <si>
    <t>Cobertura del dosel arbóreo (%)</t>
  </si>
  <si>
    <t>Cobertura arbustiva (%)</t>
  </si>
  <si>
    <t>Cobertura herbácea-graminoide (%)</t>
  </si>
  <si>
    <t>Cobertura de hojarasca (%)</t>
  </si>
  <si>
    <t>Cobertura de suelo desnudo (%)</t>
  </si>
  <si>
    <t>Altura promedio estrato dominante (m)</t>
  </si>
  <si>
    <t>Altura máxima observada (m)</t>
  </si>
  <si>
    <t>DAP promedio árboles DAP≥10 cm (cm)</t>
  </si>
  <si>
    <t>Regeneración natural observada *</t>
  </si>
  <si>
    <t>Regular (10-50 pl./100m²)</t>
  </si>
  <si>
    <t>Estado sanitario general del dosel *</t>
  </si>
  <si>
    <t>Sano</t>
  </si>
  <si>
    <t>Presencia de epífitas (cualitativa)</t>
  </si>
  <si>
    <t>Presencia ocasional de Tillandsia spp. (salvajinas) sobre árboles de Pasallo y Charán; cobertura epífita estimada &lt;5%.</t>
  </si>
  <si>
    <t>Fenología dominante (época de visita)</t>
  </si>
  <si>
    <t>Floración</t>
  </si>
  <si>
    <t>Tipo de cobertura vegetal dominante *</t>
  </si>
  <si>
    <t>Bosque ralo (30-70%)</t>
  </si>
  <si>
    <t>4. COMPOSICIÓN FLORÍSTICA — Registro rápido por estrato (mín. 15 especies)</t>
  </si>
  <si>
    <t>ESTRATO: Arbóreo sup(&gt;15 m) | Arbóreo med(8-15 m) | Arbóreo bajo(4-8 m) | Arbustivo alto(1.5-4 m) | Arbustivo bajo(0.5-1.5 m) | Herbáceo(&lt;0.5 m) | Epífito | Trepador  ——  ORIGEN: Nativa | Endémica | Introducida | Invasora  ——  ABUNDANCIA: Dominante(&gt;40%) | Abundante(20-40%) | Frecuente(5-20%) | Ocasional(1-5%) | Rara(&lt;1%)</t>
  </si>
  <si>
    <t>N°</t>
  </si>
  <si>
    <t>Nombre común/local</t>
  </si>
  <si>
    <t>Nombre científico
(preliminar)</t>
  </si>
  <si>
    <t>Familia</t>
  </si>
  <si>
    <t>Estrato</t>
  </si>
  <si>
    <t>Origen</t>
  </si>
  <si>
    <t>Abundancia</t>
  </si>
  <si>
    <t>DAP (cm)
[árboles]</t>
  </si>
  <si>
    <t>Altura (m)</t>
  </si>
  <si>
    <t>Charán</t>
  </si>
  <si>
    <t>Caesalpinia paipai</t>
  </si>
  <si>
    <t>Fabaceae</t>
  </si>
  <si>
    <t>Arbóreo bajo (4-8 m)</t>
  </si>
  <si>
    <t>Nativa</t>
  </si>
  <si>
    <t>Dominante (&gt;40%)</t>
  </si>
  <si>
    <t>4-6</t>
  </si>
  <si>
    <t>Pasallo</t>
  </si>
  <si>
    <t>Eriotheca ruizii</t>
  </si>
  <si>
    <t>Malvaceae</t>
  </si>
  <si>
    <t>Arbóreo medio (8-15 m)</t>
  </si>
  <si>
    <t>Abundante (20-40%)</t>
  </si>
  <si>
    <t>8-12</t>
  </si>
  <si>
    <t>Hualtaco</t>
  </si>
  <si>
    <t>Loxopterygium huasango</t>
  </si>
  <si>
    <t>Anacardiaceae</t>
  </si>
  <si>
    <t>Frecuente (5-20%)</t>
  </si>
  <si>
    <t>5-8</t>
  </si>
  <si>
    <t>Algarrobo</t>
  </si>
  <si>
    <t>Prosopis pallida</t>
  </si>
  <si>
    <t>6-10</t>
  </si>
  <si>
    <t>Faique / Espino amarillo</t>
  </si>
  <si>
    <t>Vachellia macracantha</t>
  </si>
  <si>
    <t>3-5</t>
  </si>
  <si>
    <t>Ocasional (1-5%)</t>
  </si>
  <si>
    <t>Arbustivo alto (1.5-4 m)</t>
  </si>
  <si>
    <t>Cordia lutea</t>
  </si>
  <si>
    <t>Cordiaceae</t>
  </si>
  <si>
    <t>2-4</t>
  </si>
  <si>
    <t>Cardo / Cactus columnar</t>
  </si>
  <si>
    <t>Armatocereus cartwrightianus</t>
  </si>
  <si>
    <t>Cactaceae</t>
  </si>
  <si>
    <t>Arbustivo bajo (0.5-1.5 m)</t>
  </si>
  <si>
    <t>Bejuco / Campanilla</t>
  </si>
  <si>
    <t>Ipomoea carnea</t>
  </si>
  <si>
    <t>Convolvulaceae</t>
  </si>
  <si>
    <t>Trepador</t>
  </si>
  <si>
    <t>Salvajina</t>
  </si>
  <si>
    <t>Tillandsia usneoides</t>
  </si>
  <si>
    <t>Bromeliaceae</t>
  </si>
  <si>
    <t>Epífito</t>
  </si>
  <si>
    <t>Pasto natural / Aerea</t>
  </si>
  <si>
    <t>Eragrostis sp.</t>
  </si>
  <si>
    <t>Poaceae</t>
  </si>
  <si>
    <t>Herbáceo (&lt;0.5 m)</t>
  </si>
  <si>
    <t>&lt;0.5</t>
  </si>
  <si>
    <t>1-2</t>
  </si>
  <si>
    <t>Verbena</t>
  </si>
  <si>
    <t>Lantana camara</t>
  </si>
  <si>
    <t>Verbenaceae</t>
  </si>
  <si>
    <t>0.8-1.5</t>
  </si>
  <si>
    <t>5. ESPECIES CLAVE / INDICADORAS</t>
  </si>
  <si>
    <t>Nombre científico o común</t>
  </si>
  <si>
    <t>Categoría</t>
  </si>
  <si>
    <t>Estado UICN / D.S. 043</t>
  </si>
  <si>
    <t>UTM ESTE</t>
  </si>
  <si>
    <t>UTM NORTE</t>
  </si>
  <si>
    <t>N° indiv.</t>
  </si>
  <si>
    <t>Foto N°</t>
  </si>
  <si>
    <t>Observación</t>
  </si>
  <si>
    <t>Loxopterygium huasango (Hualtaco)</t>
  </si>
  <si>
    <t>Amenazada (D.S. 043-2006-AG)</t>
  </si>
  <si>
    <t>VU — Vulnerable</t>
  </si>
  <si>
    <t>5+ tocones</t>
  </si>
  <si>
    <t>Evidencia de tala selectiva intensa; presencia residual mediante tocones secos</t>
  </si>
  <si>
    <t>Eriotheca ruizii (Pasallo)</t>
  </si>
  <si>
    <t>Indicadora de buen estado</t>
  </si>
  <si>
    <t>LC — Preocupación Menor</t>
  </si>
  <si>
    <t>Especie clave del Bes-cm; individuos adultos con buena estructura</t>
  </si>
  <si>
    <t>Caesalpinia paipai (Charán)</t>
  </si>
  <si>
    <t>15+</t>
  </si>
  <si>
    <t>Especie dominante; árboles en floración con inflorescencias rojas</t>
  </si>
  <si>
    <t>Prosopis pallida (Algarrobo)</t>
  </si>
  <si>
    <t>Clave cultural</t>
  </si>
  <si>
    <t>Importancia económico-cultural local (sombra, leña, forraje)</t>
  </si>
  <si>
    <t>Vachellia macracantha (Faique)</t>
  </si>
  <si>
    <t>Indicadora de perturbación</t>
  </si>
  <si>
    <t>Asociado a zonas de mayor disturbio cerca de captación de agua</t>
  </si>
  <si>
    <t>Erythrina velutina (Pajul)</t>
  </si>
  <si>
    <t>Endémica norte / Piura</t>
  </si>
  <si>
    <t>Individuo con flores rojas tubulares en floración; ejemplar singular</t>
  </si>
  <si>
    <t>Armatocereus cartwrightianus (Cardo)</t>
  </si>
  <si>
    <t>Endémica del Perú</t>
  </si>
  <si>
    <t>Cactácea columnar característica del Bes-cm; en cimas y crestas</t>
  </si>
  <si>
    <t>EN — En Peligro</t>
  </si>
  <si>
    <t>F-DT-04: CAUSAS E INDICADORES DE DEGRADACIÓN DEL ECOSISTEMA</t>
  </si>
  <si>
    <t>Identificación y ponderación de causas directas de degradación (antrópicas y naturales) y registro de indicadores cuantitativos. Permite priorizar medidas de mitigación y gobernanza.</t>
  </si>
  <si>
    <t>2. MATRIZ DE CAUSAS DE DEGRADACIÓN</t>
  </si>
  <si>
    <t>PRESENCIA: Sí / No  |  INTENSIDAD: Nula / Ligera / Moderada / Fuerte / Muy fuerte  |  EXTENSIÓN: % del bloque afectado  |  ANTIGÜEDAD: años aproximados.</t>
  </si>
  <si>
    <t>Causa / Factor de degradación</t>
  </si>
  <si>
    <t>Presencia</t>
  </si>
  <si>
    <t>Intensidad</t>
  </si>
  <si>
    <t>Extensión
(% bloque)</t>
  </si>
  <si>
    <t>Antigüedad
(años aprox.)</t>
  </si>
  <si>
    <t>Evidencia observada / Descripción</t>
  </si>
  <si>
    <t>Sobrepastoreo (caprino/vacuno)</t>
  </si>
  <si>
    <t>Moderada</t>
  </si>
  <si>
    <t>10+</t>
  </si>
  <si>
    <t>Huellas de ganado caprino-vacuno, ramoneo en regeneración, compactación de suelos en senderos</t>
  </si>
  <si>
    <t>Tala para leña</t>
  </si>
  <si>
    <t>Tocones observados (621384E/9410649N, imagen 1); ramas de árboles secos retiradas</t>
  </si>
  <si>
    <t>Tala para carbón</t>
  </si>
  <si>
    <t>Ligera</t>
  </si>
  <si>
    <t>Tala para madera</t>
  </si>
  <si>
    <t>Tocones de Hualtaco (Loxopterygium huasango) — especie maderable amenazada</t>
  </si>
  <si>
    <t>Quema (renovación de pastos)</t>
  </si>
  <si>
    <t>5</t>
  </si>
  <si>
    <t>Áreas con vegetación de rebrote; presencia de tallos chamuscados en herbazales</t>
  </si>
  <si>
    <t>Quema accidental / Incendio</t>
  </si>
  <si>
    <t>Nula</t>
  </si>
  <si>
    <t>No se observaron evidencias de incendios accidentales recientes</t>
  </si>
  <si>
    <t>Cambio de uso a agricultura</t>
  </si>
  <si>
    <t>Sin avance agrícola dentro del bloque; cultivos confinados al valle bajo de la PE-02A</t>
  </si>
  <si>
    <t>Cambio de uso a pastoreo</t>
  </si>
  <si>
    <t>Áreas degradadas con dominio de gramíneas en cimas y crestas</t>
  </si>
  <si>
    <t>Expansión urbana / vial</t>
  </si>
  <si>
    <t>5+</t>
  </si>
  <si>
    <t>Línea eléctrica rural cruza el bloque (621081E/9410592N); vía PE-02A en límite norte</t>
  </si>
  <si>
    <t>Minería informal</t>
  </si>
  <si>
    <t>No se observan actividades mineras dentro o adyacentes al bloque</t>
  </si>
  <si>
    <t>Extracción de áridos (cauces)</t>
  </si>
  <si>
    <t>Extracción de áridos restringida al cauce del río Piura, fuera del bloque</t>
  </si>
  <si>
    <t>Especies invasoras</t>
  </si>
  <si>
    <t>No se observaron especies invasoras de importancia (e.g. Eucalyptus, Schinus molle)</t>
  </si>
  <si>
    <t>Erosión natural severa</t>
  </si>
  <si>
    <t>Afloramientos rocosos y socavamiento incipiente en cabecera de Qbda. Hualas</t>
  </si>
  <si>
    <t>Sequía prolongada / CC</t>
  </si>
  <si>
    <t>Bosque seco estacional: 5-6 meses sin precipitaciones; estrés hídrico estructural</t>
  </si>
  <si>
    <t>Plagas o enfermedades forestales</t>
  </si>
  <si>
    <t>No se observaron síntomas de plagas o enfermedades en el dosel</t>
  </si>
  <si>
    <t>Otro</t>
  </si>
  <si>
    <t>Otro: Fragmentación por faja de desbosque (servidumbre eléctrica); pérdida de conectividad</t>
  </si>
  <si>
    <t>3. INDICADORES CUANTITATIVOS DE DEGRADACIÓN</t>
  </si>
  <si>
    <t>Combina observación directa con información de gabinete (MSAVI, NDVI, Theil-Sen). NIVEL: Alto / Medio / Bajo según umbrales.</t>
  </si>
  <si>
    <t>Indicador</t>
  </si>
  <si>
    <t>Unidad</t>
  </si>
  <si>
    <t>Valor</t>
  </si>
  <si>
    <t>Fuente</t>
  </si>
  <si>
    <t>Umbral / Referencia</t>
  </si>
  <si>
    <t>Nivel</t>
  </si>
  <si>
    <t>Cobertura vegetal total</t>
  </si>
  <si>
    <t>%</t>
  </si>
  <si>
    <t>Observación de campo + MSAVI Sentinel-2 (2024) = 0.334</t>
  </si>
  <si>
    <t>&gt;60% bueno; 30-60% medio; &lt;30% malo</t>
  </si>
  <si>
    <t>Medio</t>
  </si>
  <si>
    <t>Porcentaje de suelo desnudo</t>
  </si>
  <si>
    <t>Observación de campo (estimación visual)</t>
  </si>
  <si>
    <t>&lt;10% bueno; 10-30% medio; &gt;30% malo</t>
  </si>
  <si>
    <t>Densidad de cárcavas</t>
  </si>
  <si>
    <t>N°/ha</t>
  </si>
  <si>
    <t>Inventario de campo (track GPS 14-may-2026)</t>
  </si>
  <si>
    <t>0 nulo; 1-3 medio; &gt;3 alto</t>
  </si>
  <si>
    <t>Bajo</t>
  </si>
  <si>
    <t>Presencia de especies invasoras</t>
  </si>
  <si>
    <t>% área</t>
  </si>
  <si>
    <t>&lt;1</t>
  </si>
  <si>
    <t>Observación de campo</t>
  </si>
  <si>
    <t>&lt;5% bueno; 5-20% medio; &gt;20% alto</t>
  </si>
  <si>
    <t>Carga ganadera estimada</t>
  </si>
  <si>
    <t>UA/ha</t>
  </si>
  <si>
    <t>0.4-0.6</t>
  </si>
  <si>
    <t>Estimación a partir de huellas y ramoneo observados</t>
  </si>
  <si>
    <t>Según tipo de ecosistema</t>
  </si>
  <si>
    <t>Frecuencia de quemas últimos 5 años</t>
  </si>
  <si>
    <t>Inferida de evidencia campo y consulta local preliminar</t>
  </si>
  <si>
    <t>0 nulo; 1-2 medio; &gt;2 alto</t>
  </si>
  <si>
    <t>% área con pendiente &gt;50%</t>
  </si>
  <si>
    <t>DEM ALOS PALSAR + perfiles topográficos (Google Earth)</t>
  </si>
  <si>
    <t>Factor de susceptibilidad</t>
  </si>
  <si>
    <t>Distancia a vía vecinal más cercana</t>
  </si>
  <si>
    <t>m</t>
  </si>
  <si>
    <t>Medición en Google Earth desde vía PE-02A</t>
  </si>
  <si>
    <t>A menor distancia → mayor presión</t>
  </si>
  <si>
    <t>Alto</t>
  </si>
  <si>
    <t>4. SÍNTESIS DIAGNÓSTICA DE LA DEGRADACIÓN</t>
  </si>
  <si>
    <t>Principales causas directas (texto libre)</t>
  </si>
  <si>
    <t>Tala selectiva histórica de especies maderables (Hualtaco, Charán), sobrepastoreo extensivo de ganado caprino-vacuno con compactación moderada de suelos, quema esporádica para renovación de pastos, y fragmentación del hábitat por línea eléctrica rural y proximidad a vía nacional PE-02A. Sequía estacional crónica (5-6 meses) como condicionante climático estructural.</t>
  </si>
  <si>
    <t>Principal causa subyacente (motor)</t>
  </si>
  <si>
    <t>Presión antrópica difusa por proximidad a centros poblados (Hualas, Villa Malacasi, Mangamanga) y al eje de la vía PE-02A; uso histórico del bosque seco para extracción de leña y pastoreo extensivo sin manejo, agravado por debilidad de gobernanza forestal local en bosque seco de propiedad mixta (predios privados y comunal).</t>
  </si>
  <si>
    <t>Velocidad de degradación percibida</t>
  </si>
  <si>
    <t>Lenta</t>
  </si>
  <si>
    <t>Reversibilidad técnica</t>
  </si>
  <si>
    <t>Parcialmente reversible</t>
  </si>
  <si>
    <t>Urgencia de intervención</t>
  </si>
  <si>
    <t>Alta</t>
  </si>
  <si>
    <t>F-DT-05: RECURSOS HÍDRICOS Y ACCESIBILIDAD</t>
  </si>
  <si>
    <t>Inventario rápido de fuentes de agua dentro o colindantes al bloque + condiciones logísticas de acceso y seguridad. Insumo para diseño hidráulico y planificación operativa de campo.</t>
  </si>
  <si>
    <t>2. INVENTARIO DE FUENTES DE AGUA (dentro o hasta 500 m del bloque)</t>
  </si>
  <si>
    <t>Use los desplegables en columnas Tipo de fuente, Régimen y Calidad aparente. DISTANCIA: medida en metros desde el límite del bloque a la fuente.</t>
  </si>
  <si>
    <t>Tipo de fuente</t>
  </si>
  <si>
    <t>Régimen</t>
  </si>
  <si>
    <t>Calidad
aparente</t>
  </si>
  <si>
    <t>Distancia
bloque (m)</t>
  </si>
  <si>
    <t>Uso observado / Observaciones</t>
  </si>
  <si>
    <t>Quebrada estacional</t>
  </si>
  <si>
    <t>Estacional (lluvias)</t>
  </si>
  <si>
    <t>Regular (ligeramente turbia o con sedimentos)</t>
  </si>
  <si>
    <t>Qbda. Hualas — drena el bloque hacia el río Piura</t>
  </si>
  <si>
    <t>Río</t>
  </si>
  <si>
    <t>Permanente</t>
  </si>
  <si>
    <t>Río Piura — receptor de la escorrentía del bloque</t>
  </si>
  <si>
    <t>Efímero</t>
  </si>
  <si>
    <t>No evaluable</t>
  </si>
  <si>
    <t>Río Seco — cauce de quebrada seca en límite SW</t>
  </si>
  <si>
    <t>Qbda. Mayor — drenaje secundario interno del bloque</t>
  </si>
  <si>
    <t>Pozo / Galería filtrante</t>
  </si>
  <si>
    <t>Buena (clara, sin olor, sin sedimentos)</t>
  </si>
  <si>
    <t>Captación con tanque elevado para uso doméstico — JASS Hualas (imagen 18)</t>
  </si>
  <si>
    <t>3. ANÁLISIS HÍDRICO PRELIMINAR</t>
  </si>
  <si>
    <t>¿Bloque en zona de recarga hídrica?</t>
  </si>
  <si>
    <t>¿Zonas de humedad persistente observadas?</t>
  </si>
  <si>
    <t>¿Escorrentía concentrada observada?</t>
  </si>
  <si>
    <t>Distancia a captación poblacional más cercana (m)</t>
  </si>
  <si>
    <t>Nombre de la JASS o captación asociada</t>
  </si>
  <si>
    <t>¿Interferencia con obras de riego?</t>
  </si>
  <si>
    <t>Nombre del sistema de riego (si aplica)</t>
  </si>
  <si>
    <t>No aplica (sistemas de riego del valle bajo del río Piura, fuera del bloque)</t>
  </si>
  <si>
    <t>4. ACCESIBILIDAD Y LOGÍSTICA</t>
  </si>
  <si>
    <t>Modalidad de acceso al bloque *</t>
  </si>
  <si>
    <t>Vehicular + caminata &lt;30 min</t>
  </si>
  <si>
    <t>Vía principal de acceso (PE-/PI-/trocha) *</t>
  </si>
  <si>
    <t>PE-02A (Buenos Aires – Salitral); empalme con trocha de herradura al bloque</t>
  </si>
  <si>
    <t>Tipo de vía final</t>
  </si>
  <si>
    <t>Camino de herradura</t>
  </si>
  <si>
    <t>Estado transitabilidad — época seca</t>
  </si>
  <si>
    <t>Estado transitabilidad — época lluviosa</t>
  </si>
  <si>
    <t>Tiempo desde capital distrital (min)</t>
  </si>
  <si>
    <t>Tiempo desde capital provincial (min)</t>
  </si>
  <si>
    <t>Señal celular</t>
  </si>
  <si>
    <t>Parcial</t>
  </si>
  <si>
    <t>Operador celular dominante</t>
  </si>
  <si>
    <t>Claro (antena identificada en el sector — ver imagen satelital "Antena Operador Claro")</t>
  </si>
  <si>
    <t>Alojamiento rural disponible</t>
  </si>
  <si>
    <t>No (alojamiento disponible en Buenos Aires y Salitral)</t>
  </si>
  <si>
    <t>¿Requiere autorización de Ronda Campesina? *</t>
  </si>
  <si>
    <t>Nombre / Contacto responsable de Ronda</t>
  </si>
  <si>
    <t>codigo</t>
  </si>
  <si>
    <t>microcuenca</t>
  </si>
  <si>
    <t>provincia</t>
  </si>
  <si>
    <t>distrito</t>
  </si>
  <si>
    <t>zona</t>
  </si>
  <si>
    <t>este_utm</t>
  </si>
  <si>
    <t>norte_utm</t>
  </si>
  <si>
    <t>area_ha</t>
  </si>
  <si>
    <t>M9B1</t>
  </si>
  <si>
    <t>C1096-Q9545</t>
  </si>
  <si>
    <t>Morropon</t>
  </si>
  <si>
    <t>Chulucanas</t>
  </si>
  <si>
    <t>Z01</t>
  </si>
  <si>
    <t>M10B4</t>
  </si>
  <si>
    <t>C1096-Q9547</t>
  </si>
  <si>
    <t>25</t>
  </si>
  <si>
    <t>32</t>
  </si>
  <si>
    <t>C1096-Q9556</t>
  </si>
  <si>
    <t>22</t>
  </si>
  <si>
    <t>M17B1</t>
  </si>
  <si>
    <t>2</t>
  </si>
  <si>
    <t>C1096-Q9558</t>
  </si>
  <si>
    <t>M17B4</t>
  </si>
  <si>
    <t>M27B1</t>
  </si>
  <si>
    <t>C1096-Q9557</t>
  </si>
  <si>
    <t>3</t>
  </si>
  <si>
    <t>Ayabaca</t>
  </si>
  <si>
    <t>Frias</t>
  </si>
  <si>
    <t>Z02</t>
  </si>
  <si>
    <t>6</t>
  </si>
  <si>
    <t>36</t>
  </si>
  <si>
    <t>M17B7</t>
  </si>
  <si>
    <t>M17B6</t>
  </si>
  <si>
    <t>M17B10</t>
  </si>
  <si>
    <t>M17B5</t>
  </si>
  <si>
    <t>27</t>
  </si>
  <si>
    <t>39</t>
  </si>
  <si>
    <t>C1096-Q9564</t>
  </si>
  <si>
    <t>56</t>
  </si>
  <si>
    <t>12</t>
  </si>
  <si>
    <t>C1086-Q9570</t>
  </si>
  <si>
    <t>Santo Domingo</t>
  </si>
  <si>
    <t>Z03</t>
  </si>
  <si>
    <t>82</t>
  </si>
  <si>
    <t>13</t>
  </si>
  <si>
    <t>78</t>
  </si>
  <si>
    <t>11</t>
  </si>
  <si>
    <t>23</t>
  </si>
  <si>
    <t>15</t>
  </si>
  <si>
    <t>M19B7</t>
  </si>
  <si>
    <t>17</t>
  </si>
  <si>
    <t>M8B2</t>
  </si>
  <si>
    <t>57</t>
  </si>
  <si>
    <t>C1086-Q9576</t>
  </si>
  <si>
    <t>Chalaco</t>
  </si>
  <si>
    <t>Z04</t>
  </si>
  <si>
    <t>59</t>
  </si>
  <si>
    <t>M36B2</t>
  </si>
  <si>
    <t>Santa Catalina de Mossa</t>
  </si>
  <si>
    <t>42</t>
  </si>
  <si>
    <t>14</t>
  </si>
  <si>
    <t>58</t>
  </si>
  <si>
    <t>C1086-Q9569</t>
  </si>
  <si>
    <t>M19B2</t>
  </si>
  <si>
    <t>Z05</t>
  </si>
  <si>
    <t>M32B3</t>
  </si>
  <si>
    <t>M6B10</t>
  </si>
  <si>
    <t>C1077-Q9566</t>
  </si>
  <si>
    <t>Buenos Aires</t>
  </si>
  <si>
    <t>Z06</t>
  </si>
  <si>
    <t>M6B2-3</t>
  </si>
  <si>
    <t>M6B2-2</t>
  </si>
  <si>
    <t>M6B2-1</t>
  </si>
  <si>
    <t>M1B1</t>
  </si>
  <si>
    <t>C1077-Q9580</t>
  </si>
  <si>
    <t>C1077-Q9579</t>
  </si>
  <si>
    <t>M3B9</t>
  </si>
  <si>
    <t>C1081-Q9582</t>
  </si>
  <si>
    <t>Salitral</t>
  </si>
  <si>
    <t>Z07</t>
  </si>
  <si>
    <t>M3B1</t>
  </si>
  <si>
    <t>M7B1</t>
  </si>
  <si>
    <t>C1076-Q9581</t>
  </si>
  <si>
    <t>M7B2</t>
  </si>
  <si>
    <t>M7B3</t>
  </si>
  <si>
    <t>M7B6</t>
  </si>
  <si>
    <t>M2B1</t>
  </si>
  <si>
    <t>C1076-Q9584</t>
  </si>
  <si>
    <t>7</t>
  </si>
  <si>
    <t>M2B5</t>
  </si>
  <si>
    <t>1</t>
  </si>
  <si>
    <t>M18B3</t>
  </si>
  <si>
    <t>M18B5</t>
  </si>
  <si>
    <t>M3B7</t>
  </si>
  <si>
    <t>San Juan de Bigote</t>
  </si>
  <si>
    <t>Z08</t>
  </si>
  <si>
    <t>M3B6</t>
  </si>
  <si>
    <t>77</t>
  </si>
  <si>
    <t>C1081-Q9583</t>
  </si>
  <si>
    <t>M3B5</t>
  </si>
  <si>
    <t>M3B3</t>
  </si>
  <si>
    <t>M3B8</t>
  </si>
  <si>
    <t>M11B3</t>
  </si>
  <si>
    <t>55</t>
  </si>
  <si>
    <t>C1086-Q9575</t>
  </si>
  <si>
    <t>Yamango</t>
  </si>
  <si>
    <t>Z09</t>
  </si>
  <si>
    <t>49</t>
  </si>
  <si>
    <t>52</t>
  </si>
  <si>
    <t>48</t>
  </si>
  <si>
    <t>46</t>
  </si>
  <si>
    <t>M28B2</t>
  </si>
  <si>
    <t>M28B3</t>
  </si>
  <si>
    <t>M28B4</t>
  </si>
  <si>
    <t>33</t>
  </si>
  <si>
    <t>C1081-Q9590</t>
  </si>
  <si>
    <t>Huancabamba</t>
  </si>
  <si>
    <t>Lalaquiz</t>
  </si>
  <si>
    <t>Z10</t>
  </si>
  <si>
    <t>38</t>
  </si>
  <si>
    <t>50</t>
  </si>
  <si>
    <t>34</t>
  </si>
  <si>
    <t>61</t>
  </si>
  <si>
    <t>37</t>
  </si>
  <si>
    <t>C1081-Q9591</t>
  </si>
  <si>
    <t>26</t>
  </si>
  <si>
    <t>64</t>
  </si>
  <si>
    <t>Z11</t>
  </si>
  <si>
    <t>54</t>
  </si>
  <si>
    <t>C1081-Q9591 (inferida)</t>
  </si>
  <si>
    <t>M30B5</t>
  </si>
  <si>
    <t>60</t>
  </si>
  <si>
    <t>Canchaque</t>
  </si>
  <si>
    <t>40</t>
  </si>
  <si>
    <t>30</t>
  </si>
  <si>
    <t>28</t>
  </si>
  <si>
    <t>62</t>
  </si>
  <si>
    <t>65</t>
  </si>
  <si>
    <t>21</t>
  </si>
  <si>
    <t>66</t>
  </si>
  <si>
    <t>24</t>
  </si>
  <si>
    <t>63</t>
  </si>
  <si>
    <t>79</t>
  </si>
  <si>
    <t>C1076-Q9587</t>
  </si>
  <si>
    <t>81</t>
  </si>
  <si>
    <t>C1076-Q9585</t>
  </si>
  <si>
    <t>M22B1</t>
  </si>
  <si>
    <t>C1076-Q9586</t>
  </si>
  <si>
    <t>San Miguel de El Faique</t>
  </si>
  <si>
    <t>Z12</t>
  </si>
  <si>
    <t>44</t>
  </si>
  <si>
    <t>47</t>
  </si>
  <si>
    <t>75</t>
  </si>
  <si>
    <t>9</t>
  </si>
  <si>
    <t>43</t>
  </si>
  <si>
    <t>35</t>
  </si>
  <si>
    <t>67</t>
  </si>
  <si>
    <t>M20B1</t>
  </si>
  <si>
    <t>M2B8</t>
  </si>
  <si>
    <t>29</t>
  </si>
  <si>
    <t>C1076-Q9592</t>
  </si>
  <si>
    <t>Huarmaca</t>
  </si>
  <si>
    <t>Z13</t>
  </si>
  <si>
    <t>68</t>
  </si>
  <si>
    <t>53</t>
  </si>
  <si>
    <t>70</t>
  </si>
  <si>
    <t>31</t>
  </si>
  <si>
    <t>69</t>
  </si>
  <si>
    <t>72</t>
  </si>
  <si>
    <t>41</t>
  </si>
  <si>
    <t>73</t>
  </si>
  <si>
    <t>18</t>
  </si>
  <si>
    <t>74</t>
  </si>
  <si>
    <t>C1076-Q9588</t>
  </si>
  <si>
    <t>M12B1</t>
  </si>
  <si>
    <t>19</t>
  </si>
  <si>
    <t>M4B4</t>
  </si>
  <si>
    <t>C1076-Q9589</t>
  </si>
  <si>
    <t>Z14</t>
  </si>
  <si>
    <t>M4B3</t>
  </si>
  <si>
    <t>10</t>
  </si>
  <si>
    <t>C1076-Q9593</t>
  </si>
  <si>
    <t>16</t>
  </si>
  <si>
    <t>4</t>
  </si>
  <si>
    <t>51</t>
  </si>
  <si>
    <t>76</t>
  </si>
  <si>
    <t>80</t>
  </si>
  <si>
    <t>71</t>
  </si>
  <si>
    <t>8</t>
  </si>
  <si>
    <t>20</t>
  </si>
  <si>
    <t>Listas de opciones para validación de datos — IN Piura | Cada columna es un rango nombrado.</t>
  </si>
  <si>
    <t>lst_FormaTerreno</t>
  </si>
  <si>
    <t>lst_RangoPendiente</t>
  </si>
  <si>
    <t>lst_PosicionFisio</t>
  </si>
  <si>
    <t>lst_Exposicion</t>
  </si>
  <si>
    <t>lst_RangoAltitud</t>
  </si>
  <si>
    <t>lst_NivelErosion</t>
  </si>
  <si>
    <t>lst_TipoCarcava</t>
  </si>
  <si>
    <t>lst_EstadoCarcava</t>
  </si>
  <si>
    <t>lst_CausaCarcava</t>
  </si>
  <si>
    <t>lst_PatronCarcavas</t>
  </si>
  <si>
    <t>lst_Urgencia</t>
  </si>
  <si>
    <t>lst_TipoEcosistema</t>
  </si>
  <si>
    <t>lst_EstadoConservacion</t>
  </si>
  <si>
    <t>lst_UsoSueloDom</t>
  </si>
  <si>
    <t>lst_Regeneracion</t>
  </si>
  <si>
    <t>lst_EstadoSanitario</t>
  </si>
  <si>
    <t>lst_Fenologia</t>
  </si>
  <si>
    <t>lst_TipoCobertura</t>
  </si>
  <si>
    <t>lst_Estrato</t>
  </si>
  <si>
    <t>lst_Origen</t>
  </si>
  <si>
    <t>lst_Abundancia</t>
  </si>
  <si>
    <t>lst_CategoriaIndicadora</t>
  </si>
  <si>
    <t>lst_EstadoUICN</t>
  </si>
  <si>
    <t>lst_Intensidad</t>
  </si>
  <si>
    <t>lst_NivelInd</t>
  </si>
  <si>
    <t>lst_Velocidad</t>
  </si>
  <si>
    <t>lst_Reversibilidad</t>
  </si>
  <si>
    <t>lst_TipoFuente</t>
  </si>
  <si>
    <t>lst_RegimenHidrico</t>
  </si>
  <si>
    <t>lst_CalidadAgua</t>
  </si>
  <si>
    <t>lst_ModalidadAcceso</t>
  </si>
  <si>
    <t>lst_TipoVia</t>
  </si>
  <si>
    <t>lst_NivelTransitabilidad</t>
  </si>
  <si>
    <t>lst_SenalCelular</t>
  </si>
  <si>
    <t>lst_Operador</t>
  </si>
  <si>
    <t>lst_SiNo</t>
  </si>
  <si>
    <t>lst_SiNoNA</t>
  </si>
  <si>
    <t>Plano</t>
  </si>
  <si>
    <t>0-8% (Plano-lig. inclinado)</t>
  </si>
  <si>
    <t>Cresta / Divortium</t>
  </si>
  <si>
    <t>Surco (&lt;30 cm)</t>
  </si>
  <si>
    <t>Activa</t>
  </si>
  <si>
    <t>Sobrepastoreo</t>
  </si>
  <si>
    <t>Dendrítico</t>
  </si>
  <si>
    <t>Crítica</t>
  </si>
  <si>
    <t>Páramo</t>
  </si>
  <si>
    <t>Conservado (sin intervención evidente)</t>
  </si>
  <si>
    <t>Abundante (&gt;50 pl./100m²)</t>
  </si>
  <si>
    <t>Vegetativo</t>
  </si>
  <si>
    <t>Bosque denso (&gt;70%)</t>
  </si>
  <si>
    <t>Arbóreo superior (&gt;15 m)</t>
  </si>
  <si>
    <t>EX — Extinto</t>
  </si>
  <si>
    <t>Muy rápida</t>
  </si>
  <si>
    <t>Totalmente reversible</t>
  </si>
  <si>
    <t>Manantial / Puquio</t>
  </si>
  <si>
    <t>Vehicular 4x4 hasta el bloque</t>
  </si>
  <si>
    <t>Nacional asfaltada</t>
  </si>
  <si>
    <t>Completa</t>
  </si>
  <si>
    <t>Movistar</t>
  </si>
  <si>
    <t>Ondulado</t>
  </si>
  <si>
    <t>8-15% (Mod. inclinado)</t>
  </si>
  <si>
    <t>Ladera alta</t>
  </si>
  <si>
    <t>Sur</t>
  </si>
  <si>
    <t>1000-1500 m (Quechua baja)</t>
  </si>
  <si>
    <t>Ligera (laminar)</t>
  </si>
  <si>
    <t>Cárcava incipiente (30-50 cm)</t>
  </si>
  <si>
    <t>Semi-activa</t>
  </si>
  <si>
    <t>Tala / pérdida de cobertura</t>
  </si>
  <si>
    <t>Paralelo</t>
  </si>
  <si>
    <t>Bosque Relicto Montano V. Occidental (BMVO)</t>
  </si>
  <si>
    <t>Levemente alterado</t>
  </si>
  <si>
    <t>Forestal producción</t>
  </si>
  <si>
    <t>Enfermo (plaga)</t>
  </si>
  <si>
    <t>Endémica</t>
  </si>
  <si>
    <t>EW — Extinto en Estado Silvestre</t>
  </si>
  <si>
    <t>Rápida</t>
  </si>
  <si>
    <t>Quebrada permanente</t>
  </si>
  <si>
    <t>Nacional afirmada</t>
  </si>
  <si>
    <t>Claro</t>
  </si>
  <si>
    <t>Este</t>
  </si>
  <si>
    <t>1500-2000 m (Quechua media)</t>
  </si>
  <si>
    <t>Cárcava somera (0.5-2 m)</t>
  </si>
  <si>
    <t>Estabilizada con vegetación</t>
  </si>
  <si>
    <t>Quema</t>
  </si>
  <si>
    <t>Lineal</t>
  </si>
  <si>
    <t>Pastoreo extensivo</t>
  </si>
  <si>
    <t>Escasa (&lt;10 pl./100m²)</t>
  </si>
  <si>
    <t>Enfermo (hongo)</t>
  </si>
  <si>
    <t>Fructificación</t>
  </si>
  <si>
    <t>Matorral denso</t>
  </si>
  <si>
    <t>Introducida</t>
  </si>
  <si>
    <t>CR — En Peligro Crítico</t>
  </si>
  <si>
    <t>Difícilmente reversible</t>
  </si>
  <si>
    <t>Intermitente</t>
  </si>
  <si>
    <t>Mala (turbia, con olor o color)</t>
  </si>
  <si>
    <t>Vehicular + caminata 30-90 min</t>
  </si>
  <si>
    <t>Departamental asfaltada</t>
  </si>
  <si>
    <t>Entel</t>
  </si>
  <si>
    <t>No aplica</t>
  </si>
  <si>
    <t>Montañoso</t>
  </si>
  <si>
    <t>25-50% (Mod. escarpado)</t>
  </si>
  <si>
    <t>Ladera baja</t>
  </si>
  <si>
    <t>Oeste</t>
  </si>
  <si>
    <t>2000-2500 m (Quechua alta)</t>
  </si>
  <si>
    <t>Fuerte (cárcavas incipientes)</t>
  </si>
  <si>
    <t>Cárcava profunda (2-5 m)</t>
  </si>
  <si>
    <t>Estabilizada con obras</t>
  </si>
  <si>
    <t>Surcos de labranza en pendiente</t>
  </si>
  <si>
    <t>Baja</t>
  </si>
  <si>
    <t>Bosque Estacionalmente Seco Llanura (Bes-ll)</t>
  </si>
  <si>
    <t>Alterado (intervención marcada)</t>
  </si>
  <si>
    <t>Pastoreo intensivo</t>
  </si>
  <si>
    <t>Ausente</t>
  </si>
  <si>
    <t>Daño mecánico</t>
  </si>
  <si>
    <t>Caducifolio (hojas caídas)</t>
  </si>
  <si>
    <t>Matorral ralo</t>
  </si>
  <si>
    <t>Invasora</t>
  </si>
  <si>
    <t>Fuerte</t>
  </si>
  <si>
    <t>En recuperación</t>
  </si>
  <si>
    <t>Muy mala (contaminación evidente)</t>
  </si>
  <si>
    <t>Vehicular + caminata &gt;90 min</t>
  </si>
  <si>
    <t>Departamental afirmada</t>
  </si>
  <si>
    <t>Sin señal</t>
  </si>
  <si>
    <t>Bitel</t>
  </si>
  <si>
    <t>Muy escarpado</t>
  </si>
  <si>
    <t>50-75% (Escarpado)</t>
  </si>
  <si>
    <t>Pie de ladera</t>
  </si>
  <si>
    <t>Noreste</t>
  </si>
  <si>
    <t>2500-3000 m (Suni)</t>
  </si>
  <si>
    <t>Severa (cárcavas activas)</t>
  </si>
  <si>
    <t>Cárcava muy profunda (&gt;5 m)</t>
  </si>
  <si>
    <t>Inactiva</t>
  </si>
  <si>
    <t>Caminos / huellas de ganado</t>
  </si>
  <si>
    <t>Mixto</t>
  </si>
  <si>
    <t>Bosque Estacionalmente Seco Ribereño (Bes-rb)</t>
  </si>
  <si>
    <t>Muy alterado / Degradado</t>
  </si>
  <si>
    <t>Agricultura secano</t>
  </si>
  <si>
    <t>Muerto en pie</t>
  </si>
  <si>
    <t>Latencia / Estrés hídrico</t>
  </si>
  <si>
    <t>Pastizal natural</t>
  </si>
  <si>
    <t>Rara (&lt;1%)</t>
  </si>
  <si>
    <t>Muy fuerte</t>
  </si>
  <si>
    <t>Estable</t>
  </si>
  <si>
    <t>Canal de riego</t>
  </si>
  <si>
    <t>Requiere acémila (páramo/jalca)</t>
  </si>
  <si>
    <t>Vecinal afirmada</t>
  </si>
  <si>
    <t>&gt;75% (Muy escarpado)</t>
  </si>
  <si>
    <t>Terraza aluvial</t>
  </si>
  <si>
    <t>Noroeste</t>
  </si>
  <si>
    <t>3000-3500 m (Puna baja)</t>
  </si>
  <si>
    <t>Extrema</t>
  </si>
  <si>
    <t>Concentración natural de escorrentía</t>
  </si>
  <si>
    <t>Matorral Andino árido</t>
  </si>
  <si>
    <t>En restauración / Recuperación</t>
  </si>
  <si>
    <t>Agricultura bajo riego</t>
  </si>
  <si>
    <t>Rebrote vigoroso</t>
  </si>
  <si>
    <t>Pastizal cultivado</t>
  </si>
  <si>
    <t>NT — Casi Amenazado</t>
  </si>
  <si>
    <t>Reservorio / Represa</t>
  </si>
  <si>
    <t>Inaccesible en lluvias</t>
  </si>
  <si>
    <t>Trocha carrozable</t>
  </si>
  <si>
    <t>Cauce / Ribera</t>
  </si>
  <si>
    <t>Sureste</t>
  </si>
  <si>
    <t>&gt;3500 m (Puna/Jalca)</t>
  </si>
  <si>
    <t>Socavamiento de cauce</t>
  </si>
  <si>
    <t>Matorral Andino semiárido</t>
  </si>
  <si>
    <t>Sin uso aparente / Abandonado</t>
  </si>
  <si>
    <t>Cultivo anual</t>
  </si>
  <si>
    <t>Laguna / Humedal</t>
  </si>
  <si>
    <t>Llanura / Pampa</t>
  </si>
  <si>
    <t>Suroeste</t>
  </si>
  <si>
    <t>Cambio de uso del suelo</t>
  </si>
  <si>
    <t>Matorral Andino subhúmedo</t>
  </si>
  <si>
    <t>Uso mixto</t>
  </si>
  <si>
    <t>Cultivo permanente</t>
  </si>
  <si>
    <t>DD — Datos Insuficientes</t>
  </si>
  <si>
    <t>Cima (sin exp.)</t>
  </si>
  <si>
    <t>Cima (sin dom.)</t>
  </si>
  <si>
    <t>Matorral Andino húmedo</t>
  </si>
  <si>
    <t>Suelo desnudo</t>
  </si>
  <si>
    <t>NE — No Evaluado</t>
  </si>
  <si>
    <t>Bofedal</t>
  </si>
  <si>
    <t>Pastizal andino / Jalca</t>
  </si>
  <si>
    <t>Afloramiento rocoso</t>
  </si>
  <si>
    <t>Agroecosistema / Mosaico</t>
  </si>
  <si>
    <t>Mixto / Mosaico</t>
  </si>
  <si>
    <t>Área urbana / rural</t>
  </si>
  <si>
    <t>Bloque accesible desde CP Hualas por trocha de herradura ascendente. El sector NE limita con la vía nacional PE-02A (Buenos Aires–Salitral) que constituye el principal eje de presión antrópica. Afloramientos rocosos masivos observados en cabecera de Qbda. Hualas (coord. 621118E/9410535N, imagen 8), correspondientes a rocas metamórficas-ígneas del complejo basal. La pendiente máxima puntual alcanza 46% en los flancos de la Qbda. Mayor, con pendiente media de 17-25% en la mayor parte del área del bloque. No se identificaron evidencias de movimientos en masa actuales ni pasados.</t>
  </si>
  <si>
    <t>Durante el recorrido del 14-may-2026 (track GPS Garmin sr66) no se identificaron cárcavas desarrolladas (≥30 cm de profundidad) dentro del bloque M18B1. Los procesos erosivos dominantes son: (i) erosión laminar moderada en ~25% del área, evidenciada por pedregosidad superficial; (ii) compactación del suelo por pisoteo de ganado caprino-vacuno, particularmente en caminos y senderos de tránsito; (iii) socavamiento incipiente del cauce de la Qbda. Hualas (coord. 621118E/9410535N) con exposición de matriz rocosa. La ausencia de cárcavas y deslizamientos sugiere una estabilidad geomorfológica relativamente buena, aunque la cobertura vegetal degradada y la pendiente fuerte demandan medidas preventivas (zanjas de infiltración, revegetación).</t>
  </si>
  <si>
    <t>15-20</t>
  </si>
  <si>
    <t>Overo</t>
  </si>
  <si>
    <t>El bloque M18B1 conserva una estructura típica del Bosque Estacionalmente Seco de Colina y Montaña (Bes-cm) en estado medianamente alterado. La cobertura vegetal estimada de 65% (consistente con MSAVI 2024 = 0.334) refleja un ecosistema en transición entre el rango "medio" y "bajo" de los umbrales MINAM. Las especies características del bosque seco norperuano (Charán, Pasallo, Hualtaco, Algarrobo, Faique) están presentes, con dominancia clara de Charán en el estrato arbóreo bajo. La presencia de tocones de Hualtaco evidencia tala selectiva. La regeneración natural es regular, con rebrotes activos en charán y faique. Cactáceas columnares (Armatocereus) caracterizan las posiciones altas del bloque. La fenología de floración observada (mayo) es propia del período post-lluvias del bosque seco.</t>
  </si>
  <si>
    <t>La degradación del bloque M18B1 corresponde a un patrón típico del bosque seco sometido a presión antrópica de larga data. A pesar de la pérdida de cobertura por tala selectiva y extracción de leña, el ecosistema mantiene capacidad de resiliencia evidenciada por la regeneración natural regular (rebrotes vigorosos de Charán y Faique) y la presencia de individuos adultos de especies clave. Las MRR-CCC apropiadas combinarían: (i) revegetación enriquecedora con especies nativas dominantes (Charán, Pasallo, Hualtaco, Algarrobo); (ii) protección de regeneración natural mediante cercos vivos; (iii) zanjas de infiltración en pendientes 15-25%; (iv) clausura temporal coordinada con titulares y JASS Hualas; y (v) sistema de alerta y vigilancia comunitaria.</t>
  </si>
  <si>
    <t>Renelmo Carhuapoma</t>
  </si>
  <si>
    <t>El bloque M18B1 presenta condiciones de acceso favorables por su proximidad a la vía nacional PE-02A (Buenos Aires – Salitral) en su límite norte, lo cual reduce significativamente los costos logísticos de implementación de las MRR-CCC. La presencia de una captación poblacional (Hualas) inmediatamente adyacente al bloque constituye un activo relevante: la protección del bloque tiene beneficio directo para la regulación de riesgos naturales. Esta condición debe incorporarse en la formulación de instrumentos de retribución por servicios ecosistémicos (MERESE) y en la estrategia de gobernanza local. La autorización formal de la Ronda Campesina y coordinación con el teniente gobernador son requisitos previos a la ejecución de actividades de campo extendidas.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</si>
</sst>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
    </font>
    <font>
      <b/>
      <sz val="12"/>
      <color rgb="FFFFFFFF"/>
      <name val="Arial"/>
      <charset val="1"/>
    </font>
    <font>
      <b/>
      <sz val="10"/>
      <color rgb="FFFFFFFF"/>
      <name val="Arial"/>
      <charset val="1"/>
    </font>
    <font>
      <b/>
      <sz val="14"/>
      <color rgb="FFFFFFFF"/>
      <name val="Arial"/>
      <charset val="1"/>
    </font>
    <font>
      <i/>
      <sz val="9"/>
      <color rgb="FF555555"/>
      <name val="Arial"/>
      <charset val="1"/>
    </font>
    <font>
      <i/>
      <sz val="8"/>
      <color rgb="FF666666"/>
      <name val="Arial"/>
      <charset val="1"/>
    </font>
    <font>
      <b/>
      <sz val="11"/>
      <color rgb="FFFFFFFF"/>
      <name val="Arial"/>
      <charset val="1"/>
    </font>
    <font>
      <b/>
      <sz val="10"/>
      <color rgb="FF000000"/>
      <name val="Arial"/>
      <charset val="1"/>
    </font>
    <font>
      <sz val="10"/>
      <color rgb="FF000000"/>
      <name val="Arial"/>
      <charset val="1"/>
    </font>
    <font>
      <i/>
      <sz val="10"/>
      <color rgb="FF333333"/>
      <name val="Arial"/>
      <charset val="1"/>
    </font>
    <font>
      <i/>
      <sz val="8"/>
      <color rgb="FF555555"/>
      <name val="Arial"/>
      <charset val="1"/>
    </font>
    <font>
      <b/>
      <sz val="9"/>
      <color rgb="FFFFFFFF"/>
      <name val="Arial"/>
      <charset val="1"/>
    </font>
    <font>
      <sz val="9"/>
      <color rgb="FF000000"/>
      <name val="Arial"/>
      <charset val="1"/>
    </font>
    <font>
      <b/>
      <sz val="11"/>
      <color rgb="FF1B4D2E"/>
      <name val="Arial"/>
      <charset val="1"/>
    </font>
  </fonts>
  <fills count="8">
    <fill>
      <patternFill patternType="none"/>
    </fill>
    <fill>
      <patternFill patternType="gray125"/>
    </fill>
    <fill>
      <patternFill patternType="solid">
        <fgColor rgb="FF1B4D2E"/>
        <bgColor rgb="FF333333"/>
      </patternFill>
    </fill>
    <fill>
      <patternFill patternType="solid">
        <fgColor rgb="FF2E7D4F"/>
        <bgColor rgb="FF008080"/>
      </patternFill>
    </fill>
    <fill>
      <patternFill patternType="solid">
        <fgColor rgb="FFD7E4DC"/>
        <bgColor rgb="FFEEF2F5"/>
      </patternFill>
    </fill>
    <fill>
      <patternFill patternType="solid">
        <fgColor rgb="FFFFE4C4"/>
        <bgColor rgb="FFFFF8DC"/>
      </patternFill>
    </fill>
    <fill>
      <patternFill patternType="solid">
        <fgColor rgb="FFEEF2F5"/>
        <bgColor rgb="FFFFF8DC"/>
      </patternFill>
    </fill>
    <fill>
      <patternFill patternType="solid">
        <fgColor rgb="FFFFF8DC"/>
        <bgColor rgb="FFFFFFFF"/>
      </patternFill>
    </fill>
  </fills>
  <borders count="4">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s>
  <cellStyleXfs count="1">
    <xf numFmtId="0" fontId="0" fillId="0" borderId="0"/>
  </cellStyleXfs>
  <cellXfs count="26">
    <xf numFmtId="0" fontId="0" fillId="0" borderId="0" xfId="0"/>
    <xf numFmtId="0" fontId="7" fillId="4" borderId="1" xfId="0" applyFont="1" applyFill="1" applyBorder="1" applyAlignment="1">
      <alignment horizontal="left" vertical="center" wrapText="1"/>
    </xf>
    <xf numFmtId="0" fontId="11" fillId="3"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2" fillId="5" borderId="1" xfId="0" applyFont="1" applyFill="1" applyBorder="1" applyAlignment="1">
      <alignment horizontal="left" vertical="center" wrapText="1"/>
    </xf>
    <xf numFmtId="0" fontId="12" fillId="4"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0" fillId="0" borderId="2" xfId="0" applyBorder="1"/>
    <xf numFmtId="0" fontId="12" fillId="4" borderId="1" xfId="0" applyFont="1" applyFill="1" applyBorder="1" applyAlignment="1">
      <alignment horizontal="left" vertical="center" wrapText="1"/>
    </xf>
    <xf numFmtId="0" fontId="12" fillId="0" borderId="1" xfId="0" applyFont="1" applyBorder="1" applyAlignment="1">
      <alignment horizontal="left" vertical="center" wrapText="1"/>
    </xf>
    <xf numFmtId="3" fontId="12" fillId="0" borderId="1" xfId="0" applyNumberFormat="1" applyFont="1" applyBorder="1" applyAlignment="1">
      <alignment horizontal="center" vertical="center" wrapText="1"/>
    </xf>
    <xf numFmtId="4" fontId="12" fillId="0" borderId="1" xfId="0" applyNumberFormat="1" applyFont="1" applyBorder="1" applyAlignment="1">
      <alignment horizontal="center" vertical="center" wrapText="1"/>
    </xf>
    <xf numFmtId="0" fontId="7" fillId="4" borderId="1" xfId="0" applyFont="1" applyFill="1" applyBorder="1" applyAlignment="1">
      <alignment horizontal="left" vertical="center" wrapText="1"/>
    </xf>
    <xf numFmtId="0" fontId="8" fillId="5" borderId="1" xfId="0" applyFont="1" applyFill="1" applyBorder="1" applyAlignment="1">
      <alignment horizontal="left" vertical="center" wrapText="1"/>
    </xf>
    <xf numFmtId="0" fontId="6" fillId="2" borderId="0" xfId="0" applyFont="1" applyFill="1" applyAlignment="1">
      <alignment horizontal="center" vertical="center" wrapText="1"/>
    </xf>
    <xf numFmtId="0" fontId="8" fillId="5" borderId="1" xfId="0" applyFont="1" applyFill="1" applyBorder="1" applyAlignment="1">
      <alignment horizontal="left" vertical="top" wrapText="1"/>
    </xf>
    <xf numFmtId="0" fontId="10" fillId="7" borderId="1" xfId="0" applyFont="1" applyFill="1" applyBorder="1" applyAlignment="1">
      <alignment horizontal="left" vertical="center" wrapText="1"/>
    </xf>
    <xf numFmtId="0" fontId="9" fillId="6" borderId="1" xfId="0" applyFont="1" applyFill="1" applyBorder="1" applyAlignment="1">
      <alignment horizontal="left" vertical="center" wrapText="1"/>
    </xf>
    <xf numFmtId="0" fontId="5" fillId="0" borderId="0" xfId="0" applyFont="1" applyAlignment="1">
      <alignment horizontal="center" vertical="center" wrapText="1"/>
    </xf>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3" fillId="3" borderId="0" xfId="0" applyFont="1" applyFill="1" applyAlignment="1">
      <alignment horizontal="center" vertical="center" wrapText="1"/>
    </xf>
    <xf numFmtId="0" fontId="4" fillId="0" borderId="0" xfId="0" applyFont="1" applyAlignment="1">
      <alignment horizontal="center" vertical="center" wrapText="1"/>
    </xf>
    <xf numFmtId="0" fontId="0" fillId="0" borderId="1" xfId="0" applyBorder="1"/>
    <xf numFmtId="0" fontId="0" fillId="0" borderId="3" xfId="0" applyBorder="1"/>
    <xf numFmtId="0" fontId="13"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8DC"/>
      <rgbColor rgb="FFEEF2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DC"/>
      <rgbColor rgb="FFFFFF99"/>
      <rgbColor rgb="FF99CCFF"/>
      <rgbColor rgb="FFFF99CC"/>
      <rgbColor rgb="FFCC99FF"/>
      <rgbColor rgb="FFFFE4C4"/>
      <rgbColor rgb="FF3366FF"/>
      <rgbColor rgb="FF33CCCC"/>
      <rgbColor rgb="FF99CC00"/>
      <rgbColor rgb="FFFFCC00"/>
      <rgbColor rgb="FFFF9900"/>
      <rgbColor rgb="FFFF6600"/>
      <rgbColor rgb="FF666666"/>
      <rgbColor rgb="FF969696"/>
      <rgbColor rgb="FF003366"/>
      <rgbColor rgb="FF2E7D4F"/>
      <rgbColor rgb="FF003300"/>
      <rgbColor rgb="FF1B4D2E"/>
      <rgbColor rgb="FF993300"/>
      <rgbColor rgb="FF993366"/>
      <rgbColor rgb="FF55555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35"/>
  <sheetViews>
    <sheetView showGridLines="0" zoomScale="130" zoomScaleNormal="130" workbookViewId="0">
      <pane ySplit="6" topLeftCell="A26" activePane="bottomLeft" state="frozen"/>
      <selection pane="bottomLeft" activeCell="A33" sqref="A33:H35"/>
    </sheetView>
  </sheetViews>
  <sheetFormatPr baseColWidth="10" defaultColWidth="8.6640625" defaultRowHeight="14.4" x14ac:dyDescent="0.3"/>
  <cols>
    <col min="1" max="1" width="38" customWidth="1"/>
    <col min="2" max="4" width="16" customWidth="1"/>
    <col min="5" max="5" width="24" customWidth="1"/>
    <col min="6" max="8" width="14" customWidth="1"/>
  </cols>
  <sheetData>
    <row r="1" spans="1:8" ht="21.75" customHeight="1" x14ac:dyDescent="0.3">
      <c r="A1" s="19" t="s">
        <v>0</v>
      </c>
      <c r="B1" s="19"/>
      <c r="C1" s="19"/>
      <c r="D1" s="19"/>
      <c r="E1" s="19"/>
      <c r="F1" s="19"/>
      <c r="G1" s="19"/>
      <c r="H1" s="19"/>
    </row>
    <row r="2" spans="1:8" ht="18" customHeight="1" x14ac:dyDescent="0.3">
      <c r="A2" s="20" t="s">
        <v>1</v>
      </c>
      <c r="B2" s="20"/>
      <c r="C2" s="20"/>
      <c r="D2" s="20"/>
      <c r="E2" s="20"/>
      <c r="F2" s="20"/>
      <c r="G2" s="20"/>
      <c r="H2" s="20"/>
    </row>
    <row r="3" spans="1:8" ht="30" customHeight="1" x14ac:dyDescent="0.3">
      <c r="A3" s="20" t="s">
        <v>2</v>
      </c>
      <c r="B3" s="20"/>
      <c r="C3" s="20"/>
      <c r="D3" s="20"/>
      <c r="E3" s="20"/>
      <c r="F3" s="20"/>
      <c r="G3" s="20"/>
      <c r="H3" s="20"/>
    </row>
    <row r="4" spans="1:8" ht="27.75" customHeight="1" x14ac:dyDescent="0.3">
      <c r="A4" s="21" t="s">
        <v>3</v>
      </c>
      <c r="B4" s="21"/>
      <c r="C4" s="21"/>
      <c r="D4" s="21"/>
      <c r="E4" s="21"/>
      <c r="F4" s="21"/>
      <c r="G4" s="21"/>
      <c r="H4" s="21"/>
    </row>
    <row r="5" spans="1:8" ht="27.75" customHeight="1" x14ac:dyDescent="0.3">
      <c r="A5" s="22" t="s">
        <v>4</v>
      </c>
      <c r="B5" s="22"/>
      <c r="C5" s="22"/>
      <c r="D5" s="22"/>
      <c r="E5" s="22"/>
      <c r="F5" s="22"/>
      <c r="G5" s="22"/>
      <c r="H5" s="22"/>
    </row>
    <row r="6" spans="1:8" ht="24" customHeight="1" x14ac:dyDescent="0.3">
      <c r="A6" s="18" t="s">
        <v>5</v>
      </c>
      <c r="B6" s="18"/>
      <c r="C6" s="18"/>
      <c r="D6" s="18"/>
      <c r="E6" s="18"/>
      <c r="F6" s="18"/>
      <c r="G6" s="18"/>
      <c r="H6" s="18"/>
    </row>
    <row r="7" spans="1:8" ht="21.75" customHeight="1" x14ac:dyDescent="0.3">
      <c r="A7" s="14" t="s">
        <v>6</v>
      </c>
      <c r="B7" s="14"/>
      <c r="C7" s="14"/>
      <c r="D7" s="14"/>
      <c r="E7" s="14"/>
      <c r="F7" s="14"/>
      <c r="G7" s="14"/>
      <c r="H7" s="14"/>
    </row>
    <row r="8" spans="1:8" ht="19.5" customHeight="1" x14ac:dyDescent="0.3">
      <c r="A8" s="1" t="s">
        <v>7</v>
      </c>
      <c r="B8" s="13" t="s">
        <v>8</v>
      </c>
      <c r="C8" s="13"/>
      <c r="D8" s="13"/>
      <c r="E8" s="1" t="s">
        <v>9</v>
      </c>
      <c r="F8" s="13" t="s">
        <v>10</v>
      </c>
      <c r="G8" s="13"/>
      <c r="H8" s="13"/>
    </row>
    <row r="9" spans="1:8" ht="19.5" customHeight="1" x14ac:dyDescent="0.3">
      <c r="A9" s="1" t="s">
        <v>11</v>
      </c>
      <c r="B9" s="13" t="s">
        <v>12</v>
      </c>
      <c r="C9" s="13"/>
      <c r="D9" s="13"/>
      <c r="E9" s="1" t="s">
        <v>13</v>
      </c>
      <c r="F9" s="13" t="s">
        <v>14</v>
      </c>
      <c r="G9" s="13"/>
      <c r="H9" s="13"/>
    </row>
    <row r="10" spans="1:8" ht="19.5" customHeight="1" x14ac:dyDescent="0.3">
      <c r="A10" s="1" t="s">
        <v>15</v>
      </c>
      <c r="B10" s="13" t="s">
        <v>16</v>
      </c>
      <c r="C10" s="13"/>
      <c r="D10" s="13"/>
      <c r="E10" s="1" t="s">
        <v>17</v>
      </c>
      <c r="F10" s="17" t="str">
        <f>IFERROR(VLOOKUP($B$10,tbl_Bloques,2,FALSE()),"")</f>
        <v>C1077-Q9579</v>
      </c>
      <c r="G10" s="17"/>
      <c r="H10" s="17"/>
    </row>
    <row r="11" spans="1:8" ht="19.5" customHeight="1" x14ac:dyDescent="0.3">
      <c r="A11" s="1" t="s">
        <v>18</v>
      </c>
      <c r="B11" s="17" t="str">
        <f>IFERROR(VLOOKUP($B$10,tbl_Bloques,3,FALSE()),"")</f>
        <v>Morropon</v>
      </c>
      <c r="C11" s="17"/>
      <c r="D11" s="17"/>
      <c r="E11" s="1" t="s">
        <v>19</v>
      </c>
      <c r="F11" s="17" t="str">
        <f>IFERROR(VLOOKUP($B$10,tbl_Bloques,4,FALSE()),"")</f>
        <v>Buenos Aires</v>
      </c>
      <c r="G11" s="17"/>
      <c r="H11" s="17"/>
    </row>
    <row r="12" spans="1:8" ht="19.5" customHeight="1" x14ac:dyDescent="0.3">
      <c r="A12" s="1" t="s">
        <v>20</v>
      </c>
      <c r="B12" s="17" t="str">
        <f>IFERROR(VLOOKUP($B$10,tbl_Bloques,5,FALSE()),"")</f>
        <v>Z06</v>
      </c>
      <c r="C12" s="17"/>
      <c r="D12" s="17"/>
      <c r="E12" s="1" t="s">
        <v>21</v>
      </c>
      <c r="F12" s="17">
        <f>IFERROR(VLOOKUP($B$10,tbl_Bloques,8,FALSE()),"")</f>
        <v>160.36000000000001</v>
      </c>
      <c r="G12" s="17"/>
      <c r="H12" s="17"/>
    </row>
    <row r="13" spans="1:8" ht="19.5" customHeight="1" x14ac:dyDescent="0.3">
      <c r="A13" s="1" t="s">
        <v>22</v>
      </c>
      <c r="B13" s="13">
        <v>621200</v>
      </c>
      <c r="C13" s="13"/>
      <c r="D13" s="13"/>
      <c r="E13" s="1" t="s">
        <v>23</v>
      </c>
      <c r="F13" s="13">
        <v>9410650</v>
      </c>
      <c r="G13" s="13"/>
      <c r="H13" s="13"/>
    </row>
    <row r="14" spans="1:8" ht="19.5" customHeight="1" x14ac:dyDescent="0.3">
      <c r="A14" s="1" t="s">
        <v>24</v>
      </c>
      <c r="B14" s="13">
        <v>200</v>
      </c>
      <c r="C14" s="13"/>
      <c r="D14" s="13"/>
      <c r="E14" s="1" t="s">
        <v>25</v>
      </c>
      <c r="F14" s="13" t="s">
        <v>26</v>
      </c>
      <c r="G14" s="13"/>
      <c r="H14" s="13"/>
    </row>
    <row r="15" spans="1:8" ht="19.5" customHeight="1" x14ac:dyDescent="0.3">
      <c r="A15" s="1" t="s">
        <v>27</v>
      </c>
      <c r="B15" s="13" t="s">
        <v>28</v>
      </c>
      <c r="C15" s="13"/>
      <c r="D15" s="13"/>
      <c r="E15" s="13"/>
      <c r="F15" s="13"/>
      <c r="G15" s="13"/>
      <c r="H15" s="13"/>
    </row>
    <row r="17" spans="1:8" ht="21.75" customHeight="1" x14ac:dyDescent="0.3">
      <c r="A17" s="14" t="s">
        <v>29</v>
      </c>
      <c r="B17" s="14"/>
      <c r="C17" s="14"/>
      <c r="D17" s="14"/>
      <c r="E17" s="14"/>
      <c r="F17" s="14"/>
      <c r="G17" s="14"/>
      <c r="H17" s="14"/>
    </row>
    <row r="18" spans="1:8" ht="19.5" customHeight="1" x14ac:dyDescent="0.3">
      <c r="A18" s="1" t="s">
        <v>30</v>
      </c>
      <c r="B18" s="13" t="s">
        <v>31</v>
      </c>
      <c r="C18" s="13"/>
      <c r="D18" s="13"/>
      <c r="E18" s="13"/>
      <c r="F18" s="13"/>
      <c r="G18" s="13"/>
      <c r="H18" s="13"/>
    </row>
    <row r="19" spans="1:8" ht="19.5" customHeight="1" x14ac:dyDescent="0.3">
      <c r="A19" s="1" t="s">
        <v>32</v>
      </c>
      <c r="B19" s="13" t="s">
        <v>33</v>
      </c>
      <c r="C19" s="13"/>
      <c r="D19" s="13"/>
      <c r="E19" s="13"/>
      <c r="F19" s="13"/>
      <c r="G19" s="13"/>
      <c r="H19" s="13"/>
    </row>
    <row r="20" spans="1:8" ht="19.5" customHeight="1" x14ac:dyDescent="0.3">
      <c r="A20" s="1" t="s">
        <v>34</v>
      </c>
      <c r="B20" s="13" t="s">
        <v>35</v>
      </c>
      <c r="C20" s="13"/>
      <c r="D20" s="13"/>
      <c r="E20" s="13"/>
      <c r="F20" s="13"/>
      <c r="G20" s="13"/>
      <c r="H20" s="13"/>
    </row>
    <row r="21" spans="1:8" ht="19.5" customHeight="1" x14ac:dyDescent="0.3">
      <c r="A21" s="1" t="s">
        <v>36</v>
      </c>
      <c r="B21" s="13" t="s">
        <v>37</v>
      </c>
      <c r="C21" s="13"/>
      <c r="D21" s="13"/>
      <c r="E21" s="13"/>
      <c r="F21" s="13"/>
      <c r="G21" s="13"/>
      <c r="H21" s="13"/>
    </row>
    <row r="22" spans="1:8" ht="19.5" customHeight="1" x14ac:dyDescent="0.3">
      <c r="A22" s="1" t="s">
        <v>38</v>
      </c>
      <c r="B22" s="13" t="s">
        <v>39</v>
      </c>
      <c r="C22" s="13"/>
      <c r="D22" s="13"/>
      <c r="E22" s="13"/>
      <c r="F22" s="13"/>
      <c r="G22" s="13"/>
      <c r="H22" s="13"/>
    </row>
    <row r="23" spans="1:8" ht="70.2" customHeight="1" x14ac:dyDescent="0.3">
      <c r="A23" s="1" t="s">
        <v>40</v>
      </c>
      <c r="B23" s="13" t="s">
        <v>41</v>
      </c>
      <c r="C23" s="13"/>
      <c r="D23" s="13"/>
      <c r="E23" s="13"/>
      <c r="F23" s="13"/>
      <c r="G23" s="13"/>
      <c r="H23" s="13"/>
    </row>
    <row r="25" spans="1:8" ht="21.75" customHeight="1" x14ac:dyDescent="0.3">
      <c r="A25" s="14" t="s">
        <v>42</v>
      </c>
      <c r="B25" s="14"/>
      <c r="C25" s="14"/>
      <c r="D25" s="14"/>
      <c r="E25" s="14"/>
      <c r="F25" s="14"/>
      <c r="G25" s="14"/>
      <c r="H25" s="14"/>
    </row>
    <row r="26" spans="1:8" ht="19.5" customHeight="1" x14ac:dyDescent="0.3">
      <c r="A26" s="1" t="s">
        <v>43</v>
      </c>
      <c r="B26" s="13" t="s">
        <v>44</v>
      </c>
      <c r="C26" s="13"/>
      <c r="D26" s="13"/>
      <c r="E26" s="13"/>
      <c r="F26" s="13"/>
      <c r="G26" s="13"/>
      <c r="H26" s="13"/>
    </row>
    <row r="27" spans="1:8" ht="19.5" customHeight="1" x14ac:dyDescent="0.3">
      <c r="A27" s="1" t="s">
        <v>45</v>
      </c>
      <c r="B27" s="13" t="s">
        <v>46</v>
      </c>
      <c r="C27" s="13"/>
      <c r="D27" s="13"/>
      <c r="E27" s="13"/>
      <c r="F27" s="13"/>
      <c r="G27" s="13"/>
      <c r="H27" s="13"/>
    </row>
    <row r="28" spans="1:8" ht="19.5" customHeight="1" x14ac:dyDescent="0.3">
      <c r="A28" s="1" t="s">
        <v>47</v>
      </c>
      <c r="B28" s="13" t="s">
        <v>46</v>
      </c>
      <c r="C28" s="13"/>
      <c r="D28" s="13"/>
      <c r="E28" s="13"/>
      <c r="F28" s="13"/>
      <c r="G28" s="13"/>
      <c r="H28" s="13"/>
    </row>
    <row r="29" spans="1:8" ht="19.5" customHeight="1" x14ac:dyDescent="0.3">
      <c r="A29" s="1" t="s">
        <v>48</v>
      </c>
      <c r="B29" s="13" t="s">
        <v>46</v>
      </c>
      <c r="C29" s="13"/>
      <c r="D29" s="13"/>
      <c r="E29" s="13"/>
      <c r="F29" s="13"/>
      <c r="G29" s="13"/>
      <c r="H29" s="13"/>
    </row>
    <row r="30" spans="1:8" ht="19.5" customHeight="1" x14ac:dyDescent="0.3">
      <c r="A30" s="1" t="s">
        <v>49</v>
      </c>
      <c r="B30" s="13" t="s">
        <v>46</v>
      </c>
      <c r="C30" s="13"/>
      <c r="D30" s="13"/>
      <c r="E30" s="13"/>
      <c r="F30" s="13"/>
      <c r="G30" s="13"/>
      <c r="H30" s="13"/>
    </row>
    <row r="32" spans="1:8" ht="21.75" customHeight="1" x14ac:dyDescent="0.3">
      <c r="A32" s="14" t="s">
        <v>50</v>
      </c>
      <c r="B32" s="14"/>
      <c r="C32" s="14"/>
      <c r="D32" s="14"/>
      <c r="E32" s="14"/>
      <c r="F32" s="14"/>
      <c r="G32" s="14"/>
      <c r="H32" s="14"/>
    </row>
    <row r="33" spans="1:8" ht="27.75" customHeight="1" x14ac:dyDescent="0.3">
      <c r="A33" s="15" t="s">
        <v>754</v>
      </c>
      <c r="B33" s="15"/>
      <c r="C33" s="15"/>
      <c r="D33" s="15"/>
      <c r="E33" s="15"/>
      <c r="F33" s="15"/>
      <c r="G33" s="15"/>
      <c r="H33" s="15"/>
    </row>
    <row r="34" spans="1:8" ht="27.75" customHeight="1" x14ac:dyDescent="0.3">
      <c r="A34" s="15"/>
      <c r="B34" s="15"/>
      <c r="C34" s="15"/>
      <c r="D34" s="15"/>
      <c r="E34" s="15"/>
      <c r="F34" s="15"/>
      <c r="G34" s="15"/>
      <c r="H34" s="15"/>
    </row>
    <row r="35" spans="1:8" ht="27.75" customHeight="1" x14ac:dyDescent="0.3">
      <c r="A35" s="15"/>
      <c r="B35" s="15"/>
      <c r="C35" s="15"/>
      <c r="D35" s="15"/>
      <c r="E35" s="15"/>
      <c r="F35" s="15"/>
      <c r="G35" s="15"/>
      <c r="H35" s="15"/>
    </row>
  </sheetData>
  <mergeCells count="37">
    <mergeCell ref="A1:H1"/>
    <mergeCell ref="A2:H2"/>
    <mergeCell ref="A3:H3"/>
    <mergeCell ref="A4:H4"/>
    <mergeCell ref="A5:H5"/>
    <mergeCell ref="A6:H6"/>
    <mergeCell ref="A7:H7"/>
    <mergeCell ref="B8:D8"/>
    <mergeCell ref="F8:H8"/>
    <mergeCell ref="B9:D9"/>
    <mergeCell ref="F9:H9"/>
    <mergeCell ref="B10:D10"/>
    <mergeCell ref="F10:H10"/>
    <mergeCell ref="B11:D11"/>
    <mergeCell ref="F11:H11"/>
    <mergeCell ref="B12:D12"/>
    <mergeCell ref="F12:H12"/>
    <mergeCell ref="B13:D13"/>
    <mergeCell ref="F13:H13"/>
    <mergeCell ref="B14:D14"/>
    <mergeCell ref="F14:H14"/>
    <mergeCell ref="B15:H15"/>
    <mergeCell ref="A17:H17"/>
    <mergeCell ref="B18:H18"/>
    <mergeCell ref="B19:H19"/>
    <mergeCell ref="B20:H20"/>
    <mergeCell ref="B21:H21"/>
    <mergeCell ref="B22:H22"/>
    <mergeCell ref="B23:H23"/>
    <mergeCell ref="A25:H25"/>
    <mergeCell ref="B26:H26"/>
    <mergeCell ref="B27:H27"/>
    <mergeCell ref="B28:H28"/>
    <mergeCell ref="B29:H29"/>
    <mergeCell ref="B30:H30"/>
    <mergeCell ref="A32:H32"/>
    <mergeCell ref="A33:H35"/>
  </mergeCells>
  <dataValidations count="11">
    <dataValidation type="list" allowBlank="1" errorTitle="Valor no válido" error="Seleccione un valor de la lista desplegable." promptTitle="Código de Bloque" prompt="Elija una opción de la lista." sqref="B10" xr:uid="{00000000-0002-0000-0000-000000000000}">
      <formula1>lst_CodigoBloque</formula1>
      <formula2>0</formula2>
    </dataValidation>
    <dataValidation type="list" allowBlank="1" errorTitle="Valor no válido" error="Seleccione un valor de la lista desplegable." promptTitle="Forma predominante del terreno" prompt="Elija una opción de la lista." sqref="B18" xr:uid="{00000000-0002-0000-0000-000001000000}">
      <formula1>lst_FormaTerreno</formula1>
      <formula2>0</formula2>
    </dataValidation>
    <dataValidation type="list" allowBlank="1" errorTitle="Valor no válido" error="Seleccione un valor de la lista desplegable." promptTitle="Rango de pendiente dominante *" prompt="Elija una opción de la lista." sqref="B19" xr:uid="{00000000-0002-0000-0000-000002000000}">
      <formula1>lst_RangoPendiente</formula1>
      <formula2>0</formula2>
    </dataValidation>
    <dataValidation type="list" allowBlank="1" errorTitle="Valor no válido" error="Seleccione un valor de la lista desplegable." promptTitle="Posición fisiográfica *" prompt="Elija una opción de la lista." sqref="B20" xr:uid="{00000000-0002-0000-0000-000003000000}">
      <formula1>lst_PosicionFisio</formula1>
      <formula2>0</formula2>
    </dataValidation>
    <dataValidation type="list" allowBlank="1" errorTitle="Valor no válido" error="Seleccione un valor de la lista desplegable." promptTitle="Exposición / Orientación domin" prompt="Elija una opción de la lista." sqref="B21" xr:uid="{00000000-0002-0000-0000-000004000000}">
      <formula1>lst_Exposicion</formula1>
      <formula2>0</formula2>
    </dataValidation>
    <dataValidation type="list" allowBlank="1" errorTitle="Valor no válido" error="Seleccione un valor de la lista desplegable." promptTitle="Rango altitudinal del bloque *" prompt="Elija una opción de la lista." sqref="B22" xr:uid="{00000000-0002-0000-0000-000005000000}">
      <formula1>lst_RangoAltitud</formula1>
      <formula2>0</formula2>
    </dataValidation>
    <dataValidation type="list" allowBlank="1" errorTitle="Valor no válido" error="Seleccione un valor de la lista desplegable." promptTitle="Presencia de afloramientos roc" prompt="Elija una opción de la lista." sqref="B26" xr:uid="{00000000-0002-0000-0000-000006000000}">
      <formula1>lst_SiNo</formula1>
      <formula2>0</formula2>
    </dataValidation>
    <dataValidation type="list" allowBlank="1" errorTitle="Valor no válido" error="Seleccione un valor de la lista desplegable." promptTitle="Presencia de escarpes activos " prompt="Elija una opción de la lista." sqref="B27" xr:uid="{00000000-0002-0000-0000-000007000000}">
      <formula1>lst_SiNo</formula1>
      <formula2>0</formula2>
    </dataValidation>
    <dataValidation type="list" allowBlank="1" errorTitle="Valor no válido" error="Seleccione un valor de la lista desplegable." promptTitle="¿Reptación de suelo observada?" prompt="Elija una opción de la lista." sqref="B28" xr:uid="{00000000-0002-0000-0000-000008000000}">
      <formula1>lst_SiNo</formula1>
      <formula2>0</formula2>
    </dataValidation>
    <dataValidation type="list" allowBlank="1" errorTitle="Valor no válido" error="Seleccione un valor de la lista desplegable." promptTitle="¿Deslizamientos antiguos obser" prompt="Elija una opción de la lista." sqref="B29" xr:uid="{00000000-0002-0000-0000-000009000000}">
      <formula1>lst_SiNo</formula1>
      <formula2>0</formula2>
    </dataValidation>
    <dataValidation type="list" allowBlank="1" errorTitle="Valor no válido" error="Seleccione un valor de la lista desplegable." promptTitle="¿Remociones en masa activas? *" prompt="Elija una opción de la lista." sqref="B30" xr:uid="{00000000-0002-0000-0000-00000A000000}">
      <formula1>lst_SiNo</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44"/>
  <sheetViews>
    <sheetView showGridLines="0" zoomScale="130" zoomScaleNormal="130" workbookViewId="0">
      <pane ySplit="6" topLeftCell="A39" activePane="bottomLeft" state="frozen"/>
      <selection pane="bottomLeft" activeCell="A42" sqref="A42:L44"/>
    </sheetView>
  </sheetViews>
  <sheetFormatPr baseColWidth="10" defaultColWidth="8.6640625" defaultRowHeight="14.4" x14ac:dyDescent="0.3"/>
  <cols>
    <col min="1" max="1" width="10" customWidth="1"/>
    <col min="2" max="2" width="26" customWidth="1"/>
    <col min="3" max="3" width="11" customWidth="1"/>
    <col min="4" max="4" width="12" customWidth="1"/>
    <col min="5" max="5" width="11" customWidth="1"/>
    <col min="6" max="6" width="12" customWidth="1"/>
    <col min="7" max="9" width="9" customWidth="1"/>
    <col min="10" max="10" width="18" customWidth="1"/>
    <col min="11" max="11" width="22" customWidth="1"/>
    <col min="12" max="12" width="14" customWidth="1"/>
  </cols>
  <sheetData>
    <row r="1" spans="1:12" ht="21.75" customHeight="1" x14ac:dyDescent="0.3">
      <c r="A1" s="19" t="s">
        <v>0</v>
      </c>
      <c r="B1" s="19"/>
      <c r="C1" s="19"/>
      <c r="D1" s="19"/>
      <c r="E1" s="19"/>
      <c r="F1" s="19"/>
      <c r="G1" s="19"/>
      <c r="H1" s="19"/>
      <c r="I1" s="19"/>
      <c r="J1" s="19"/>
      <c r="K1" s="19"/>
      <c r="L1" s="19"/>
    </row>
    <row r="2" spans="1:12" ht="18" customHeight="1" x14ac:dyDescent="0.3">
      <c r="A2" s="20" t="s">
        <v>1</v>
      </c>
      <c r="B2" s="20"/>
      <c r="C2" s="20"/>
      <c r="D2" s="20"/>
      <c r="E2" s="20"/>
      <c r="F2" s="20"/>
      <c r="G2" s="20"/>
      <c r="H2" s="20"/>
      <c r="I2" s="20"/>
      <c r="J2" s="20"/>
      <c r="K2" s="20"/>
      <c r="L2" s="20"/>
    </row>
    <row r="3" spans="1:12" ht="30" customHeight="1" x14ac:dyDescent="0.3">
      <c r="A3" s="20" t="s">
        <v>2</v>
      </c>
      <c r="B3" s="20"/>
      <c r="C3" s="20"/>
      <c r="D3" s="20"/>
      <c r="E3" s="20"/>
      <c r="F3" s="20"/>
      <c r="G3" s="20"/>
      <c r="H3" s="20"/>
      <c r="I3" s="20"/>
      <c r="J3" s="20"/>
      <c r="K3" s="20"/>
      <c r="L3" s="20"/>
    </row>
    <row r="4" spans="1:12" ht="27.75" customHeight="1" x14ac:dyDescent="0.3">
      <c r="A4" s="21" t="s">
        <v>51</v>
      </c>
      <c r="B4" s="21"/>
      <c r="C4" s="21"/>
      <c r="D4" s="21"/>
      <c r="E4" s="21"/>
      <c r="F4" s="21"/>
      <c r="G4" s="21"/>
      <c r="H4" s="21"/>
      <c r="I4" s="21"/>
      <c r="J4" s="21"/>
      <c r="K4" s="21"/>
      <c r="L4" s="21"/>
    </row>
    <row r="5" spans="1:12" ht="27.75" customHeight="1" x14ac:dyDescent="0.3">
      <c r="A5" s="22" t="s">
        <v>52</v>
      </c>
      <c r="B5" s="22"/>
      <c r="C5" s="22"/>
      <c r="D5" s="22"/>
      <c r="E5" s="22"/>
      <c r="F5" s="22"/>
      <c r="G5" s="22"/>
      <c r="H5" s="22"/>
      <c r="I5" s="22"/>
      <c r="J5" s="22"/>
      <c r="K5" s="22"/>
      <c r="L5" s="22"/>
    </row>
    <row r="6" spans="1:12" ht="24" customHeight="1" x14ac:dyDescent="0.3">
      <c r="A6" s="18" t="s">
        <v>5</v>
      </c>
      <c r="B6" s="18"/>
      <c r="C6" s="18"/>
      <c r="D6" s="18"/>
      <c r="E6" s="18"/>
      <c r="F6" s="18"/>
      <c r="G6" s="18"/>
      <c r="H6" s="18"/>
      <c r="I6" s="18"/>
      <c r="J6" s="18"/>
      <c r="K6" s="18"/>
      <c r="L6" s="18"/>
    </row>
    <row r="7" spans="1:12" ht="21.75" customHeight="1" x14ac:dyDescent="0.3">
      <c r="A7" s="14" t="s">
        <v>53</v>
      </c>
      <c r="B7" s="14"/>
      <c r="C7" s="14"/>
      <c r="D7" s="14"/>
      <c r="E7" s="14"/>
      <c r="F7" s="14"/>
      <c r="G7" s="14"/>
      <c r="H7" s="14"/>
      <c r="I7" s="14"/>
      <c r="J7" s="14"/>
      <c r="K7" s="14"/>
      <c r="L7" s="14"/>
    </row>
    <row r="8" spans="1:12" ht="19.5" customHeight="1" x14ac:dyDescent="0.3">
      <c r="A8" s="12" t="s">
        <v>7</v>
      </c>
      <c r="B8" s="12"/>
      <c r="C8" s="12"/>
      <c r="D8" s="13" t="s">
        <v>8</v>
      </c>
      <c r="E8" s="13"/>
      <c r="F8" s="13"/>
      <c r="G8" s="12" t="s">
        <v>54</v>
      </c>
      <c r="H8" s="12"/>
      <c r="I8" s="12"/>
      <c r="J8" s="13" t="s">
        <v>55</v>
      </c>
      <c r="K8" s="13"/>
      <c r="L8" s="13"/>
    </row>
    <row r="9" spans="1:12" ht="19.5" customHeight="1" x14ac:dyDescent="0.3">
      <c r="A9" s="12" t="s">
        <v>15</v>
      </c>
      <c r="B9" s="12"/>
      <c r="C9" s="12"/>
      <c r="D9" s="13" t="s">
        <v>16</v>
      </c>
      <c r="E9" s="13"/>
      <c r="F9" s="13"/>
      <c r="G9" s="12" t="s">
        <v>56</v>
      </c>
      <c r="H9" s="12"/>
      <c r="I9" s="12"/>
      <c r="J9" s="17" t="str">
        <f>IFERROR(VLOOKUP($D$9,tbl_Bloques,2,FALSE()),"")</f>
        <v>C1077-Q9579</v>
      </c>
      <c r="K9" s="17"/>
      <c r="L9" s="17"/>
    </row>
    <row r="10" spans="1:12" ht="19.5" customHeight="1" x14ac:dyDescent="0.3">
      <c r="A10" s="12" t="s">
        <v>19</v>
      </c>
      <c r="B10" s="12"/>
      <c r="C10" s="12"/>
      <c r="D10" s="17" t="str">
        <f>IFERROR(VLOOKUP($D$9,tbl_Bloques,4,FALSE()),"")</f>
        <v>Buenos Aires</v>
      </c>
      <c r="E10" s="17"/>
      <c r="F10" s="17"/>
      <c r="G10" s="12" t="s">
        <v>57</v>
      </c>
      <c r="H10" s="12"/>
      <c r="I10" s="12"/>
      <c r="J10" s="13">
        <v>200</v>
      </c>
      <c r="K10" s="13"/>
      <c r="L10" s="13"/>
    </row>
    <row r="11" spans="1:12" ht="19.5" customHeight="1" x14ac:dyDescent="0.3">
      <c r="A11" s="12" t="s">
        <v>58</v>
      </c>
      <c r="B11" s="12"/>
      <c r="C11" s="12"/>
      <c r="D11" s="13">
        <v>621200</v>
      </c>
      <c r="E11" s="13"/>
      <c r="F11" s="13"/>
      <c r="G11" s="12" t="s">
        <v>59</v>
      </c>
      <c r="H11" s="12"/>
      <c r="I11" s="12"/>
      <c r="J11" s="13">
        <v>9410650</v>
      </c>
      <c r="K11" s="13"/>
      <c r="L11" s="13"/>
    </row>
    <row r="13" spans="1:12" ht="21.75" customHeight="1" x14ac:dyDescent="0.3">
      <c r="A13" s="14" t="s">
        <v>60</v>
      </c>
      <c r="B13" s="14"/>
      <c r="C13" s="14"/>
      <c r="D13" s="14"/>
      <c r="E13" s="14"/>
      <c r="F13" s="14"/>
      <c r="G13" s="14"/>
      <c r="H13" s="14"/>
      <c r="I13" s="14"/>
      <c r="J13" s="14"/>
      <c r="K13" s="14"/>
      <c r="L13" s="14"/>
    </row>
    <row r="14" spans="1:12" ht="19.5" customHeight="1" x14ac:dyDescent="0.3">
      <c r="A14" s="12" t="s">
        <v>61</v>
      </c>
      <c r="B14" s="12"/>
      <c r="C14" s="12"/>
      <c r="D14" s="13" t="s">
        <v>46</v>
      </c>
      <c r="E14" s="13"/>
      <c r="F14" s="13"/>
      <c r="G14" s="13"/>
      <c r="H14" s="13"/>
      <c r="I14" s="13"/>
      <c r="J14" s="13"/>
      <c r="K14" s="13"/>
      <c r="L14" s="13"/>
    </row>
    <row r="15" spans="1:12" ht="19.5" customHeight="1" x14ac:dyDescent="0.3">
      <c r="A15" s="12" t="s">
        <v>62</v>
      </c>
      <c r="B15" s="12"/>
      <c r="C15" s="12"/>
      <c r="D15" s="13" t="s">
        <v>44</v>
      </c>
      <c r="E15" s="13"/>
      <c r="F15" s="13"/>
      <c r="G15" s="13"/>
      <c r="H15" s="13"/>
      <c r="I15" s="13"/>
      <c r="J15" s="13"/>
      <c r="K15" s="13"/>
      <c r="L15" s="13"/>
    </row>
    <row r="16" spans="1:12" ht="19.5" customHeight="1" x14ac:dyDescent="0.3">
      <c r="A16" s="12" t="s">
        <v>63</v>
      </c>
      <c r="B16" s="12"/>
      <c r="C16" s="12"/>
      <c r="D16" s="13" t="s">
        <v>44</v>
      </c>
      <c r="E16" s="13"/>
      <c r="F16" s="13"/>
      <c r="G16" s="13"/>
      <c r="H16" s="13"/>
      <c r="I16" s="13"/>
      <c r="J16" s="13"/>
      <c r="K16" s="13"/>
      <c r="L16" s="13"/>
    </row>
    <row r="17" spans="1:12" ht="19.5" customHeight="1" x14ac:dyDescent="0.3">
      <c r="A17" s="12" t="s">
        <v>64</v>
      </c>
      <c r="B17" s="12"/>
      <c r="C17" s="12"/>
      <c r="D17" s="13" t="s">
        <v>631</v>
      </c>
      <c r="E17" s="13"/>
      <c r="F17" s="13"/>
      <c r="G17" s="13"/>
      <c r="H17" s="13"/>
      <c r="I17" s="13"/>
      <c r="J17" s="13"/>
      <c r="K17" s="13"/>
      <c r="L17" s="13"/>
    </row>
    <row r="19" spans="1:12" ht="21.75" customHeight="1" x14ac:dyDescent="0.3">
      <c r="A19" s="14" t="s">
        <v>66</v>
      </c>
      <c r="B19" s="14"/>
      <c r="C19" s="14"/>
      <c r="D19" s="14"/>
      <c r="E19" s="14"/>
      <c r="F19" s="14"/>
      <c r="G19" s="14"/>
      <c r="H19" s="14"/>
      <c r="I19" s="14"/>
      <c r="J19" s="14"/>
      <c r="K19" s="14"/>
      <c r="L19" s="14"/>
    </row>
    <row r="20" spans="1:12" ht="25.5" customHeight="1" x14ac:dyDescent="0.3">
      <c r="A20" s="16" t="s">
        <v>67</v>
      </c>
      <c r="B20" s="16"/>
      <c r="C20" s="16"/>
      <c r="D20" s="16"/>
      <c r="E20" s="16"/>
      <c r="F20" s="16"/>
      <c r="G20" s="16"/>
      <c r="H20" s="16"/>
      <c r="I20" s="16"/>
      <c r="J20" s="16"/>
      <c r="K20" s="16"/>
      <c r="L20" s="16"/>
    </row>
    <row r="21" spans="1:12" ht="31.5" customHeight="1" x14ac:dyDescent="0.3">
      <c r="A21" s="2" t="s">
        <v>68</v>
      </c>
      <c r="B21" s="2" t="s">
        <v>69</v>
      </c>
      <c r="C21" s="2" t="s">
        <v>70</v>
      </c>
      <c r="D21" s="2" t="s">
        <v>71</v>
      </c>
      <c r="E21" s="2" t="s">
        <v>72</v>
      </c>
      <c r="F21" s="2" t="s">
        <v>73</v>
      </c>
      <c r="G21" s="2" t="s">
        <v>74</v>
      </c>
      <c r="H21" s="2" t="s">
        <v>75</v>
      </c>
      <c r="I21" s="2" t="s">
        <v>76</v>
      </c>
      <c r="J21" s="2" t="s">
        <v>77</v>
      </c>
      <c r="K21" s="2" t="s">
        <v>78</v>
      </c>
      <c r="L21" s="2" t="s">
        <v>79</v>
      </c>
    </row>
    <row r="22" spans="1:12" ht="19.5" customHeight="1" x14ac:dyDescent="0.3">
      <c r="A22" s="3"/>
      <c r="B22" s="3"/>
      <c r="C22" s="3"/>
      <c r="D22" s="3"/>
      <c r="E22" s="3"/>
      <c r="F22" s="3"/>
      <c r="G22" s="3"/>
      <c r="H22" s="3"/>
      <c r="I22" s="3"/>
      <c r="J22" s="3"/>
      <c r="K22" s="4"/>
      <c r="L22" s="3"/>
    </row>
    <row r="23" spans="1:12" ht="19.5" customHeight="1" x14ac:dyDescent="0.3">
      <c r="A23" s="3"/>
      <c r="B23" s="3"/>
      <c r="C23" s="3"/>
      <c r="D23" s="3"/>
      <c r="E23" s="3"/>
      <c r="F23" s="3"/>
      <c r="G23" s="3"/>
      <c r="H23" s="3"/>
      <c r="I23" s="3"/>
      <c r="J23" s="3"/>
      <c r="K23" s="4"/>
      <c r="L23" s="3"/>
    </row>
    <row r="24" spans="1:12" ht="19.5" customHeight="1" x14ac:dyDescent="0.3">
      <c r="A24" s="3"/>
      <c r="B24" s="3"/>
      <c r="C24" s="3"/>
      <c r="D24" s="3"/>
      <c r="E24" s="3"/>
      <c r="F24" s="3"/>
      <c r="G24" s="3"/>
      <c r="H24" s="3"/>
      <c r="I24" s="3"/>
      <c r="J24" s="3"/>
      <c r="K24" s="4"/>
      <c r="L24" s="3"/>
    </row>
    <row r="25" spans="1:12" ht="19.5" customHeight="1" x14ac:dyDescent="0.3">
      <c r="A25" s="3"/>
      <c r="B25" s="3"/>
      <c r="C25" s="3"/>
      <c r="D25" s="3"/>
      <c r="E25" s="3"/>
      <c r="F25" s="3"/>
      <c r="G25" s="3"/>
      <c r="H25" s="3"/>
      <c r="I25" s="3"/>
      <c r="J25" s="3"/>
      <c r="K25" s="4"/>
      <c r="L25" s="3"/>
    </row>
    <row r="26" spans="1:12" ht="19.5" customHeight="1" x14ac:dyDescent="0.3">
      <c r="A26" s="3"/>
      <c r="B26" s="3"/>
      <c r="C26" s="3"/>
      <c r="D26" s="3"/>
      <c r="E26" s="3"/>
      <c r="F26" s="3"/>
      <c r="G26" s="3"/>
      <c r="H26" s="3"/>
      <c r="I26" s="3"/>
      <c r="J26" s="3"/>
      <c r="K26" s="4"/>
      <c r="L26" s="3"/>
    </row>
    <row r="27" spans="1:12" ht="19.5" customHeight="1" x14ac:dyDescent="0.3">
      <c r="A27" s="3"/>
      <c r="B27" s="3"/>
      <c r="C27" s="3"/>
      <c r="D27" s="3"/>
      <c r="E27" s="3"/>
      <c r="F27" s="3"/>
      <c r="G27" s="3"/>
      <c r="H27" s="3"/>
      <c r="I27" s="3"/>
      <c r="J27" s="3"/>
      <c r="K27" s="4"/>
      <c r="L27" s="3"/>
    </row>
    <row r="28" spans="1:12" ht="19.5" customHeight="1" x14ac:dyDescent="0.3">
      <c r="A28" s="3"/>
      <c r="B28" s="3"/>
      <c r="C28" s="3"/>
      <c r="D28" s="3"/>
      <c r="E28" s="3"/>
      <c r="F28" s="3"/>
      <c r="G28" s="3"/>
      <c r="H28" s="3"/>
      <c r="I28" s="3"/>
      <c r="J28" s="3"/>
      <c r="K28" s="4"/>
      <c r="L28" s="3"/>
    </row>
    <row r="29" spans="1:12" ht="19.5" customHeight="1" x14ac:dyDescent="0.3">
      <c r="A29" s="3"/>
      <c r="B29" s="3"/>
      <c r="C29" s="3"/>
      <c r="D29" s="3"/>
      <c r="E29" s="3"/>
      <c r="F29" s="3"/>
      <c r="G29" s="3"/>
      <c r="H29" s="3"/>
      <c r="I29" s="3"/>
      <c r="J29" s="3"/>
      <c r="K29" s="4"/>
      <c r="L29" s="3"/>
    </row>
    <row r="30" spans="1:12" ht="19.5" customHeight="1" x14ac:dyDescent="0.3">
      <c r="A30" s="3"/>
      <c r="B30" s="3"/>
      <c r="C30" s="3"/>
      <c r="D30" s="3"/>
      <c r="E30" s="3"/>
      <c r="F30" s="3"/>
      <c r="G30" s="3"/>
      <c r="H30" s="3"/>
      <c r="I30" s="3"/>
      <c r="J30" s="3"/>
      <c r="K30" s="4"/>
      <c r="L30" s="3"/>
    </row>
    <row r="31" spans="1:12" ht="19.5" customHeight="1" x14ac:dyDescent="0.3">
      <c r="A31" s="3"/>
      <c r="B31" s="3"/>
      <c r="C31" s="3"/>
      <c r="D31" s="3"/>
      <c r="E31" s="3"/>
      <c r="F31" s="3"/>
      <c r="G31" s="3"/>
      <c r="H31" s="3"/>
      <c r="I31" s="3"/>
      <c r="J31" s="3"/>
      <c r="K31" s="4"/>
      <c r="L31" s="3"/>
    </row>
    <row r="33" spans="1:12" ht="21.75" customHeight="1" x14ac:dyDescent="0.3">
      <c r="A33" s="14" t="s">
        <v>80</v>
      </c>
      <c r="B33" s="14"/>
      <c r="C33" s="14"/>
      <c r="D33" s="14"/>
      <c r="E33" s="14"/>
      <c r="F33" s="14"/>
      <c r="G33" s="14"/>
      <c r="H33" s="14"/>
      <c r="I33" s="14"/>
      <c r="J33" s="14"/>
      <c r="K33" s="14"/>
      <c r="L33" s="14"/>
    </row>
    <row r="34" spans="1:12" ht="19.5" customHeight="1" x14ac:dyDescent="0.3">
      <c r="A34" s="12" t="s">
        <v>81</v>
      </c>
      <c r="B34" s="12"/>
      <c r="C34" s="12"/>
      <c r="D34" s="13" t="s">
        <v>631</v>
      </c>
      <c r="E34" s="13"/>
      <c r="F34" s="13"/>
      <c r="G34" s="13"/>
      <c r="H34" s="13"/>
      <c r="I34" s="13"/>
      <c r="J34" s="13"/>
      <c r="K34" s="13"/>
      <c r="L34" s="13"/>
    </row>
    <row r="35" spans="1:12" ht="19.5" customHeight="1" x14ac:dyDescent="0.3">
      <c r="A35" s="12" t="s">
        <v>82</v>
      </c>
      <c r="B35" s="12"/>
      <c r="C35" s="12"/>
      <c r="D35" s="13">
        <v>0</v>
      </c>
      <c r="E35" s="13"/>
      <c r="F35" s="13"/>
      <c r="G35" s="12" t="s">
        <v>83</v>
      </c>
      <c r="H35" s="12"/>
      <c r="I35" s="12"/>
      <c r="J35" s="13">
        <v>0</v>
      </c>
      <c r="K35" s="13"/>
      <c r="L35" s="13"/>
    </row>
    <row r="36" spans="1:12" ht="19.5" customHeight="1" x14ac:dyDescent="0.3">
      <c r="A36" s="12" t="s">
        <v>84</v>
      </c>
      <c r="B36" s="12"/>
      <c r="C36" s="12"/>
      <c r="D36" s="13">
        <v>0</v>
      </c>
      <c r="E36" s="13"/>
      <c r="F36" s="13"/>
      <c r="G36" s="12" t="s">
        <v>85</v>
      </c>
      <c r="H36" s="12"/>
      <c r="I36" s="12"/>
      <c r="J36" s="13">
        <v>10</v>
      </c>
      <c r="K36" s="13"/>
      <c r="L36" s="13"/>
    </row>
    <row r="37" spans="1:12" ht="19.5" customHeight="1" x14ac:dyDescent="0.3">
      <c r="A37" s="12" t="s">
        <v>86</v>
      </c>
      <c r="B37" s="12"/>
      <c r="C37" s="12"/>
      <c r="D37" s="13" t="s">
        <v>87</v>
      </c>
      <c r="E37" s="13"/>
      <c r="F37" s="13"/>
      <c r="G37" s="13"/>
      <c r="H37" s="13"/>
      <c r="I37" s="13"/>
      <c r="J37" s="13"/>
      <c r="K37" s="13"/>
      <c r="L37" s="13"/>
    </row>
    <row r="38" spans="1:12" ht="19.5" customHeight="1" x14ac:dyDescent="0.3">
      <c r="A38" s="12" t="s">
        <v>88</v>
      </c>
      <c r="B38" s="12"/>
      <c r="C38" s="12"/>
      <c r="D38" s="13" t="s">
        <v>44</v>
      </c>
      <c r="E38" s="13"/>
      <c r="F38" s="13"/>
      <c r="G38" s="13"/>
      <c r="H38" s="13"/>
      <c r="I38" s="13"/>
      <c r="J38" s="13"/>
      <c r="K38" s="13"/>
      <c r="L38" s="13"/>
    </row>
    <row r="39" spans="1:12" ht="19.5" customHeight="1" x14ac:dyDescent="0.3">
      <c r="A39" s="12" t="s">
        <v>89</v>
      </c>
      <c r="B39" s="12"/>
      <c r="C39" s="12"/>
      <c r="D39" s="13" t="s">
        <v>90</v>
      </c>
      <c r="E39" s="13"/>
      <c r="F39" s="13"/>
      <c r="G39" s="13"/>
      <c r="H39" s="13"/>
      <c r="I39" s="13"/>
      <c r="J39" s="13"/>
      <c r="K39" s="13"/>
      <c r="L39" s="13"/>
    </row>
    <row r="41" spans="1:12" ht="21.75" customHeight="1" x14ac:dyDescent="0.3">
      <c r="A41" s="14" t="s">
        <v>50</v>
      </c>
      <c r="B41" s="14"/>
      <c r="C41" s="14"/>
      <c r="D41" s="14"/>
      <c r="E41" s="14"/>
      <c r="F41" s="14"/>
      <c r="G41" s="14"/>
      <c r="H41" s="14"/>
      <c r="I41" s="14"/>
      <c r="J41" s="14"/>
      <c r="K41" s="14"/>
      <c r="L41" s="14"/>
    </row>
    <row r="42" spans="1:12" ht="27.75" customHeight="1" x14ac:dyDescent="0.3">
      <c r="A42" s="15" t="s">
        <v>755</v>
      </c>
      <c r="B42" s="15"/>
      <c r="C42" s="15"/>
      <c r="D42" s="15"/>
      <c r="E42" s="15"/>
      <c r="F42" s="15"/>
      <c r="G42" s="15"/>
      <c r="H42" s="15"/>
      <c r="I42" s="15"/>
      <c r="J42" s="15"/>
      <c r="K42" s="15"/>
      <c r="L42" s="15"/>
    </row>
    <row r="43" spans="1:12" ht="27.75" customHeight="1" x14ac:dyDescent="0.3">
      <c r="A43" s="15"/>
      <c r="B43" s="15"/>
      <c r="C43" s="15"/>
      <c r="D43" s="15"/>
      <c r="E43" s="15"/>
      <c r="F43" s="15"/>
      <c r="G43" s="15"/>
      <c r="H43" s="15"/>
      <c r="I43" s="15"/>
      <c r="J43" s="15"/>
      <c r="K43" s="15"/>
      <c r="L43" s="15"/>
    </row>
    <row r="44" spans="1:12" ht="27.75" customHeight="1" x14ac:dyDescent="0.3">
      <c r="A44" s="15"/>
      <c r="B44" s="15"/>
      <c r="C44" s="15"/>
      <c r="D44" s="15"/>
      <c r="E44" s="15"/>
      <c r="F44" s="15"/>
      <c r="G44" s="15"/>
      <c r="H44" s="15"/>
      <c r="I44" s="15"/>
      <c r="J44" s="15"/>
      <c r="K44" s="15"/>
      <c r="L44" s="15"/>
    </row>
  </sheetData>
  <mergeCells count="53">
    <mergeCell ref="A1:L1"/>
    <mergeCell ref="A2:L2"/>
    <mergeCell ref="A3:L3"/>
    <mergeCell ref="A4:L4"/>
    <mergeCell ref="A5:L5"/>
    <mergeCell ref="A6:L6"/>
    <mergeCell ref="A7:L7"/>
    <mergeCell ref="A8:C8"/>
    <mergeCell ref="D8:F8"/>
    <mergeCell ref="G8:I8"/>
    <mergeCell ref="J8:L8"/>
    <mergeCell ref="A9:C9"/>
    <mergeCell ref="D9:F9"/>
    <mergeCell ref="G9:I9"/>
    <mergeCell ref="J9:L9"/>
    <mergeCell ref="A10:C10"/>
    <mergeCell ref="D10:F10"/>
    <mergeCell ref="G10:I10"/>
    <mergeCell ref="J10:L10"/>
    <mergeCell ref="A11:C11"/>
    <mergeCell ref="D11:F11"/>
    <mergeCell ref="G11:I11"/>
    <mergeCell ref="J11:L11"/>
    <mergeCell ref="A13:L13"/>
    <mergeCell ref="A14:C14"/>
    <mergeCell ref="D14:L14"/>
    <mergeCell ref="A15:C15"/>
    <mergeCell ref="D15:L15"/>
    <mergeCell ref="A16:C16"/>
    <mergeCell ref="D16:L16"/>
    <mergeCell ref="A17:C17"/>
    <mergeCell ref="D17:L17"/>
    <mergeCell ref="A19:L19"/>
    <mergeCell ref="A20:L20"/>
    <mergeCell ref="A33:L33"/>
    <mergeCell ref="A34:C34"/>
    <mergeCell ref="D34:L34"/>
    <mergeCell ref="A35:C35"/>
    <mergeCell ref="D35:F35"/>
    <mergeCell ref="G35:I35"/>
    <mergeCell ref="J35:L35"/>
    <mergeCell ref="A36:C36"/>
    <mergeCell ref="D36:F36"/>
    <mergeCell ref="G36:I36"/>
    <mergeCell ref="J36:L36"/>
    <mergeCell ref="A37:C37"/>
    <mergeCell ref="D37:L37"/>
    <mergeCell ref="A42:L44"/>
    <mergeCell ref="A38:C38"/>
    <mergeCell ref="D38:L38"/>
    <mergeCell ref="A39:C39"/>
    <mergeCell ref="D39:L39"/>
    <mergeCell ref="A41:L41"/>
  </mergeCells>
  <dataValidations count="12">
    <dataValidation type="list" allowBlank="1" errorTitle="Valor no válido" error="Seleccione un valor de la lista desplegable." promptTitle="Código de Bloque" prompt="Elija una opción de la lista." sqref="D9" xr:uid="{00000000-0002-0000-0100-000000000000}">
      <formula1>lst_CodigoBloque</formula1>
      <formula2>0</formula2>
    </dataValidation>
    <dataValidation type="list" allowBlank="1" errorTitle="Valor no válido" error="Seleccione un valor de la lista desplegable." promptTitle="Sellamiento / Costra superfici" prompt="Elija una opción de la lista." sqref="D14" xr:uid="{00000000-0002-0000-0100-000001000000}">
      <formula1>lst_SiNo</formula1>
      <formula2>0</formula2>
    </dataValidation>
    <dataValidation type="list" allowBlank="1" errorTitle="Valor no válido" error="Seleccione un valor de la lista desplegable." promptTitle="¿Compactación por pisoteo de g" prompt="Elija una opción de la lista." sqref="D15" xr:uid="{00000000-0002-0000-0100-000002000000}">
      <formula1>lst_SiNo</formula1>
      <formula2>0</formula2>
    </dataValidation>
    <dataValidation type="list" allowBlank="1" errorTitle="Valor no válido" error="Seleccione un valor de la lista desplegable." promptTitle="¿Raíces expuestas en superfici" prompt="Elija una opción de la lista." sqref="D16" xr:uid="{00000000-0002-0000-0100-000003000000}">
      <formula1>lst_SiNo</formula1>
      <formula2>0</formula2>
    </dataValidation>
    <dataValidation type="list" allowBlank="1" errorTitle="Valor no válido" error="Seleccione un valor de la lista desplegable." promptTitle="Nivel general de erosión obser" prompt="Elija una opción de la lista." sqref="D17" xr:uid="{00000000-0002-0000-0100-000004000000}">
      <formula1>lst_NivelErosion</formula1>
      <formula2>0</formula2>
    </dataValidation>
    <dataValidation type="list" allowBlank="1" errorTitle="Valor no válido" error="Seleccione un valor de la lista desplegable." promptTitle="Tipo de cárcava" prompt="Elija una opción de la lista." sqref="B22:B31" xr:uid="{00000000-0002-0000-0100-000005000000}">
      <formula1>lst_TipoCarcava</formula1>
      <formula2>0</formula2>
    </dataValidation>
    <dataValidation type="list" allowBlank="1" errorTitle="Valor no válido" error="Seleccione un valor de la lista desplegable." promptTitle="Estado / Actividad" prompt="Elija una opción de la lista." sqref="J22:J31" xr:uid="{00000000-0002-0000-0100-000006000000}">
      <formula1>lst_EstadoCarcava</formula1>
      <formula2>0</formula2>
    </dataValidation>
    <dataValidation type="list" allowBlank="1" errorTitle="Valor no válido" error="Seleccione un valor de la lista desplegable." promptTitle="Causa principal" prompt="Elija una opción de la lista." sqref="K22:K31" xr:uid="{00000000-0002-0000-0100-000007000000}">
      <formula1>lst_CausaCarcava</formula1>
      <formula2>0</formula2>
    </dataValidation>
    <dataValidation type="list" allowBlank="1" errorTitle="Valor no válido" error="Seleccione un valor de la lista desplegable." promptTitle="Nivel general de erosión (sínt" prompt="Elija una opción de la lista." sqref="D34" xr:uid="{00000000-0002-0000-0100-000008000000}">
      <formula1>lst_NivelErosion</formula1>
      <formula2>0</formula2>
    </dataValidation>
    <dataValidation type="list" allowBlank="1" errorTitle="Valor no válido" error="Seleccione un valor de la lista desplegable." promptTitle="Patrón de cárcavas dominante" prompt="Elija una opción de la lista." sqref="D37" xr:uid="{00000000-0002-0000-0100-000009000000}">
      <formula1>lst_PatronCarcavas</formula1>
      <formula2>0</formula2>
    </dataValidation>
    <dataValidation type="list" allowBlank="1" errorTitle="Valor no válido" error="Seleccione un valor de la lista desplegable." promptTitle="Presencia de socavamiento de c" prompt="Elija una opción de la lista." sqref="D38" xr:uid="{00000000-0002-0000-0100-00000A000000}">
      <formula1>lst_SiNo</formula1>
      <formula2>0</formula2>
    </dataValidation>
    <dataValidation type="list" allowBlank="1" errorTitle="Valor no válido" error="Seleccione un valor de la lista desplegable." promptTitle="Urgencia de control" prompt="Elija una opción de la lista." sqref="D39" xr:uid="{00000000-0002-0000-0100-00000B000000}">
      <formula1>lst_Urgencia</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63"/>
  <sheetViews>
    <sheetView showGridLines="0" zoomScale="130" zoomScaleNormal="130" workbookViewId="0">
      <pane ySplit="6" topLeftCell="A55" activePane="bottomLeft" state="frozen"/>
      <selection pane="bottomLeft" activeCell="D49" sqref="D49:D55"/>
    </sheetView>
  </sheetViews>
  <sheetFormatPr baseColWidth="10" defaultColWidth="8.6640625" defaultRowHeight="14.4" x14ac:dyDescent="0.3"/>
  <cols>
    <col min="1" max="1" width="8" customWidth="1"/>
    <col min="2" max="2" width="26" customWidth="1"/>
    <col min="3" max="3" width="24" customWidth="1"/>
    <col min="4" max="4" width="18" customWidth="1"/>
    <col min="5" max="5" width="22" customWidth="1"/>
    <col min="6" max="6" width="14" customWidth="1"/>
    <col min="7" max="7" width="17" customWidth="1"/>
    <col min="8" max="8" width="13" customWidth="1"/>
    <col min="9" max="9" width="12" customWidth="1"/>
  </cols>
  <sheetData>
    <row r="1" spans="1:11" ht="21.75" customHeight="1" x14ac:dyDescent="0.3">
      <c r="A1" s="19" t="s">
        <v>0</v>
      </c>
      <c r="B1" s="19"/>
      <c r="C1" s="19"/>
      <c r="D1" s="19"/>
      <c r="E1" s="19"/>
      <c r="F1" s="19"/>
      <c r="G1" s="19"/>
      <c r="H1" s="19"/>
      <c r="I1" s="19"/>
    </row>
    <row r="2" spans="1:11" ht="18" customHeight="1" x14ac:dyDescent="0.3">
      <c r="A2" s="20" t="s">
        <v>1</v>
      </c>
      <c r="B2" s="20"/>
      <c r="C2" s="20"/>
      <c r="D2" s="20"/>
      <c r="E2" s="20"/>
      <c r="F2" s="20"/>
      <c r="G2" s="20"/>
      <c r="H2" s="20"/>
      <c r="I2" s="20"/>
    </row>
    <row r="3" spans="1:11" ht="30" customHeight="1" x14ac:dyDescent="0.3">
      <c r="A3" s="20" t="s">
        <v>2</v>
      </c>
      <c r="B3" s="20"/>
      <c r="C3" s="20"/>
      <c r="D3" s="20"/>
      <c r="E3" s="20"/>
      <c r="F3" s="20"/>
      <c r="G3" s="20"/>
      <c r="H3" s="20"/>
      <c r="I3" s="20"/>
    </row>
    <row r="4" spans="1:11" ht="27.75" customHeight="1" x14ac:dyDescent="0.3">
      <c r="A4" s="21" t="s">
        <v>91</v>
      </c>
      <c r="B4" s="21"/>
      <c r="C4" s="21"/>
      <c r="D4" s="21"/>
      <c r="E4" s="21"/>
      <c r="F4" s="21"/>
      <c r="G4" s="21"/>
      <c r="H4" s="21"/>
      <c r="I4" s="21"/>
    </row>
    <row r="5" spans="1:11" ht="27.75" customHeight="1" x14ac:dyDescent="0.3">
      <c r="A5" s="22" t="s">
        <v>92</v>
      </c>
      <c r="B5" s="22"/>
      <c r="C5" s="22"/>
      <c r="D5" s="22"/>
      <c r="E5" s="22"/>
      <c r="F5" s="22"/>
      <c r="G5" s="22"/>
      <c r="H5" s="22"/>
      <c r="I5" s="22"/>
    </row>
    <row r="6" spans="1:11" ht="24" customHeight="1" x14ac:dyDescent="0.3">
      <c r="A6" s="18" t="s">
        <v>5</v>
      </c>
      <c r="B6" s="18"/>
      <c r="C6" s="18"/>
      <c r="D6" s="18"/>
      <c r="E6" s="18"/>
      <c r="F6" s="18"/>
      <c r="G6" s="18"/>
      <c r="H6" s="18"/>
      <c r="I6" s="18"/>
    </row>
    <row r="7" spans="1:11" ht="21.75" customHeight="1" x14ac:dyDescent="0.3">
      <c r="A7" s="14" t="s">
        <v>53</v>
      </c>
      <c r="B7" s="14"/>
      <c r="C7" s="14"/>
      <c r="D7" s="14"/>
      <c r="E7" s="14"/>
      <c r="F7" s="14"/>
      <c r="G7" s="14"/>
      <c r="H7" s="14"/>
      <c r="I7" s="14"/>
    </row>
    <row r="8" spans="1:11" ht="19.5" customHeight="1" x14ac:dyDescent="0.3">
      <c r="A8" s="12" t="s">
        <v>93</v>
      </c>
      <c r="B8" s="12"/>
      <c r="C8" s="13" t="s">
        <v>8</v>
      </c>
      <c r="D8" s="13"/>
      <c r="E8" s="12" t="s">
        <v>54</v>
      </c>
      <c r="F8" s="12"/>
      <c r="G8" s="13" t="s">
        <v>55</v>
      </c>
      <c r="H8" s="13"/>
      <c r="I8" s="13"/>
    </row>
    <row r="9" spans="1:11" ht="19.5" customHeight="1" x14ac:dyDescent="0.3">
      <c r="A9" s="12" t="s">
        <v>15</v>
      </c>
      <c r="B9" s="12"/>
      <c r="C9" s="13" t="s">
        <v>16</v>
      </c>
      <c r="D9" s="13"/>
      <c r="E9" s="12" t="s">
        <v>94</v>
      </c>
      <c r="F9" s="12"/>
      <c r="G9" s="17" t="str">
        <f>IFERROR(VLOOKUP($C$9,tbl_Bloques,2,FALSE()),"")</f>
        <v>C1077-Q9579</v>
      </c>
      <c r="H9" s="17"/>
      <c r="I9" s="17"/>
    </row>
    <row r="10" spans="1:11" ht="19.5" customHeight="1" x14ac:dyDescent="0.3">
      <c r="A10" s="12" t="s">
        <v>19</v>
      </c>
      <c r="B10" s="12"/>
      <c r="C10" s="17" t="str">
        <f>IFERROR(VLOOKUP($C$9,tbl_Bloques,4,FALSE()),"")</f>
        <v>Buenos Aires</v>
      </c>
      <c r="D10" s="17"/>
      <c r="E10" s="12" t="s">
        <v>95</v>
      </c>
      <c r="F10" s="12"/>
      <c r="G10" s="13" t="s">
        <v>96</v>
      </c>
      <c r="H10" s="13"/>
      <c r="I10" s="13"/>
    </row>
    <row r="11" spans="1:11" ht="19.5" customHeight="1" x14ac:dyDescent="0.3">
      <c r="A11" s="12" t="s">
        <v>97</v>
      </c>
      <c r="B11" s="12"/>
      <c r="C11" s="13"/>
      <c r="D11" s="13"/>
      <c r="E11" s="12" t="s">
        <v>57</v>
      </c>
      <c r="F11" s="12"/>
      <c r="G11" s="13">
        <v>150</v>
      </c>
      <c r="H11" s="13"/>
      <c r="I11" s="13"/>
    </row>
    <row r="12" spans="1:11" ht="19.5" customHeight="1" x14ac:dyDescent="0.3">
      <c r="A12" s="12" t="s">
        <v>98</v>
      </c>
      <c r="B12" s="12"/>
      <c r="C12" s="13"/>
      <c r="D12" s="13"/>
      <c r="E12" s="12" t="s">
        <v>99</v>
      </c>
      <c r="F12" s="12"/>
      <c r="G12" s="13">
        <v>60</v>
      </c>
      <c r="H12" s="13"/>
      <c r="I12" s="13"/>
    </row>
    <row r="13" spans="1:11" ht="19.5" customHeight="1" x14ac:dyDescent="0.3">
      <c r="A13" s="12" t="s">
        <v>100</v>
      </c>
      <c r="B13" s="12"/>
      <c r="C13" s="13">
        <v>621200</v>
      </c>
      <c r="D13" s="13"/>
      <c r="E13" s="12" t="s">
        <v>101</v>
      </c>
      <c r="F13" s="12"/>
      <c r="G13" s="13">
        <v>9410650</v>
      </c>
      <c r="H13" s="13"/>
      <c r="I13" s="13"/>
      <c r="K13">
        <v>621420</v>
      </c>
    </row>
    <row r="15" spans="1:11" ht="21.75" customHeight="1" x14ac:dyDescent="0.3">
      <c r="A15" s="14" t="s">
        <v>102</v>
      </c>
      <c r="B15" s="14"/>
      <c r="C15" s="14"/>
      <c r="D15" s="14"/>
      <c r="E15" s="14"/>
      <c r="F15" s="14"/>
      <c r="G15" s="14"/>
      <c r="H15" s="14"/>
      <c r="I15" s="14"/>
    </row>
    <row r="16" spans="1:11" ht="32.4" customHeight="1" x14ac:dyDescent="0.3">
      <c r="A16" s="12" t="s">
        <v>103</v>
      </c>
      <c r="B16" s="12"/>
      <c r="C16" s="13" t="s">
        <v>104</v>
      </c>
      <c r="D16" s="13"/>
      <c r="E16" s="13"/>
      <c r="F16" s="13"/>
      <c r="G16" s="13"/>
      <c r="H16" s="13"/>
      <c r="I16" s="13"/>
    </row>
    <row r="17" spans="1:9" ht="35.4" customHeight="1" x14ac:dyDescent="0.3">
      <c r="A17" s="12" t="s">
        <v>105</v>
      </c>
      <c r="B17" s="12"/>
      <c r="C17" s="13">
        <v>160.36000000000001</v>
      </c>
      <c r="D17" s="13"/>
      <c r="E17" s="13"/>
      <c r="F17" s="13"/>
      <c r="G17" s="13"/>
      <c r="H17" s="13"/>
      <c r="I17" s="13"/>
    </row>
    <row r="18" spans="1:9" ht="19.5" customHeight="1" x14ac:dyDescent="0.3">
      <c r="A18" s="12" t="s">
        <v>106</v>
      </c>
      <c r="B18" s="12"/>
      <c r="C18" s="13" t="s">
        <v>107</v>
      </c>
      <c r="D18" s="13"/>
      <c r="E18" s="13"/>
      <c r="F18" s="13"/>
      <c r="G18" s="13"/>
      <c r="H18" s="13"/>
      <c r="I18" s="13"/>
    </row>
    <row r="19" spans="1:9" ht="19.5" customHeight="1" x14ac:dyDescent="0.3">
      <c r="A19" s="12" t="s">
        <v>108</v>
      </c>
      <c r="B19" s="12"/>
      <c r="C19" s="13" t="s">
        <v>109</v>
      </c>
      <c r="D19" s="13"/>
      <c r="E19" s="13"/>
      <c r="F19" s="13"/>
      <c r="G19" s="13"/>
      <c r="H19" s="13"/>
      <c r="I19" s="13"/>
    </row>
    <row r="21" spans="1:9" ht="21.75" customHeight="1" x14ac:dyDescent="0.3">
      <c r="A21" s="14" t="s">
        <v>110</v>
      </c>
      <c r="B21" s="14"/>
      <c r="C21" s="14"/>
      <c r="D21" s="14"/>
      <c r="E21" s="14"/>
      <c r="F21" s="14"/>
      <c r="G21" s="14"/>
      <c r="H21" s="14"/>
      <c r="I21" s="14"/>
    </row>
    <row r="22" spans="1:9" ht="19.5" customHeight="1" x14ac:dyDescent="0.3">
      <c r="A22" s="12" t="s">
        <v>111</v>
      </c>
      <c r="B22" s="12"/>
      <c r="C22" s="13">
        <v>25</v>
      </c>
      <c r="D22" s="13"/>
      <c r="E22" s="12" t="s">
        <v>112</v>
      </c>
      <c r="F22" s="12"/>
      <c r="G22" s="13">
        <v>30</v>
      </c>
      <c r="H22" s="13"/>
      <c r="I22" s="13"/>
    </row>
    <row r="23" spans="1:9" ht="19.5" customHeight="1" x14ac:dyDescent="0.3">
      <c r="A23" s="12" t="s">
        <v>113</v>
      </c>
      <c r="B23" s="12"/>
      <c r="C23" s="13">
        <v>30</v>
      </c>
      <c r="D23" s="13"/>
      <c r="E23" s="12" t="s">
        <v>114</v>
      </c>
      <c r="F23" s="12"/>
      <c r="G23" s="13">
        <v>10</v>
      </c>
      <c r="H23" s="13"/>
      <c r="I23" s="13"/>
    </row>
    <row r="24" spans="1:9" ht="19.5" customHeight="1" x14ac:dyDescent="0.3">
      <c r="A24" s="12" t="s">
        <v>115</v>
      </c>
      <c r="B24" s="12"/>
      <c r="C24" s="13">
        <v>40</v>
      </c>
      <c r="D24" s="13"/>
      <c r="E24" s="12" t="s">
        <v>116</v>
      </c>
      <c r="F24" s="12"/>
      <c r="G24" s="13">
        <v>4</v>
      </c>
      <c r="H24" s="13"/>
      <c r="I24" s="13"/>
    </row>
    <row r="25" spans="1:9" ht="19.5" customHeight="1" x14ac:dyDescent="0.3">
      <c r="A25" s="12" t="s">
        <v>117</v>
      </c>
      <c r="B25" s="12"/>
      <c r="C25" s="13">
        <v>8</v>
      </c>
      <c r="D25" s="13"/>
      <c r="E25" s="12" t="s">
        <v>118</v>
      </c>
      <c r="F25" s="12"/>
      <c r="G25" s="13" t="s">
        <v>756</v>
      </c>
      <c r="H25" s="13"/>
      <c r="I25" s="13"/>
    </row>
    <row r="26" spans="1:9" ht="19.5" customHeight="1" x14ac:dyDescent="0.3">
      <c r="A26" s="12" t="s">
        <v>119</v>
      </c>
      <c r="B26" s="12"/>
      <c r="C26" s="13" t="s">
        <v>120</v>
      </c>
      <c r="D26" s="13"/>
      <c r="E26" s="13"/>
      <c r="F26" s="13"/>
      <c r="G26" s="13"/>
      <c r="H26" s="13"/>
      <c r="I26" s="13"/>
    </row>
    <row r="27" spans="1:9" ht="19.5" customHeight="1" x14ac:dyDescent="0.3">
      <c r="A27" s="12" t="s">
        <v>121</v>
      </c>
      <c r="B27" s="12"/>
      <c r="C27" s="13" t="s">
        <v>122</v>
      </c>
      <c r="D27" s="13"/>
      <c r="E27" s="13"/>
      <c r="F27" s="13"/>
      <c r="G27" s="13"/>
      <c r="H27" s="13"/>
      <c r="I27" s="13"/>
    </row>
    <row r="28" spans="1:9" ht="19.5" customHeight="1" x14ac:dyDescent="0.3">
      <c r="A28" s="12" t="s">
        <v>123</v>
      </c>
      <c r="B28" s="12"/>
      <c r="C28" s="13" t="s">
        <v>124</v>
      </c>
      <c r="D28" s="13"/>
      <c r="E28" s="13"/>
      <c r="F28" s="13"/>
      <c r="G28" s="13"/>
      <c r="H28" s="13"/>
      <c r="I28" s="13"/>
    </row>
    <row r="29" spans="1:9" ht="19.5" customHeight="1" x14ac:dyDescent="0.3">
      <c r="A29" s="12" t="s">
        <v>125</v>
      </c>
      <c r="B29" s="12"/>
      <c r="C29" s="13" t="s">
        <v>126</v>
      </c>
      <c r="D29" s="13"/>
      <c r="E29" s="13"/>
      <c r="F29" s="13"/>
      <c r="G29" s="13"/>
      <c r="H29" s="13"/>
      <c r="I29" s="13"/>
    </row>
    <row r="30" spans="1:9" ht="19.5" customHeight="1" x14ac:dyDescent="0.3">
      <c r="A30" s="12" t="s">
        <v>127</v>
      </c>
      <c r="B30" s="12"/>
      <c r="C30" s="13" t="s">
        <v>128</v>
      </c>
      <c r="D30" s="13"/>
      <c r="E30" s="13"/>
      <c r="F30" s="13"/>
      <c r="G30" s="13"/>
      <c r="H30" s="13"/>
      <c r="I30" s="13"/>
    </row>
    <row r="32" spans="1:9" ht="21.75" customHeight="1" x14ac:dyDescent="0.3">
      <c r="A32" s="14" t="s">
        <v>129</v>
      </c>
      <c r="B32" s="14"/>
      <c r="C32" s="14"/>
      <c r="D32" s="14"/>
      <c r="E32" s="14"/>
      <c r="F32" s="14"/>
      <c r="G32" s="14"/>
      <c r="H32" s="14"/>
      <c r="I32" s="14"/>
    </row>
    <row r="33" spans="1:9" ht="43.5" customHeight="1" x14ac:dyDescent="0.3">
      <c r="A33" s="16" t="s">
        <v>130</v>
      </c>
      <c r="B33" s="16"/>
      <c r="C33" s="16"/>
      <c r="D33" s="16"/>
      <c r="E33" s="16"/>
      <c r="F33" s="16"/>
      <c r="G33" s="16"/>
      <c r="H33" s="16"/>
      <c r="I33" s="16"/>
    </row>
    <row r="34" spans="1:9" ht="31.5" customHeight="1" x14ac:dyDescent="0.3">
      <c r="A34" s="2" t="s">
        <v>131</v>
      </c>
      <c r="B34" s="2" t="s">
        <v>132</v>
      </c>
      <c r="C34" s="2" t="s">
        <v>133</v>
      </c>
      <c r="D34" s="2" t="s">
        <v>134</v>
      </c>
      <c r="E34" s="2" t="s">
        <v>135</v>
      </c>
      <c r="F34" s="2" t="s">
        <v>136</v>
      </c>
      <c r="G34" s="2" t="s">
        <v>137</v>
      </c>
      <c r="H34" s="2" t="s">
        <v>138</v>
      </c>
      <c r="I34" s="2" t="s">
        <v>139</v>
      </c>
    </row>
    <row r="35" spans="1:9" ht="18" customHeight="1" x14ac:dyDescent="0.3">
      <c r="A35" s="5">
        <v>1</v>
      </c>
      <c r="B35" s="4" t="s">
        <v>140</v>
      </c>
      <c r="C35" s="4" t="s">
        <v>141</v>
      </c>
      <c r="D35" s="4" t="s">
        <v>142</v>
      </c>
      <c r="E35" s="3" t="s">
        <v>143</v>
      </c>
      <c r="F35" s="3" t="s">
        <v>144</v>
      </c>
      <c r="G35" s="3" t="s">
        <v>145</v>
      </c>
      <c r="H35" s="3"/>
      <c r="I35" s="3" t="s">
        <v>146</v>
      </c>
    </row>
    <row r="36" spans="1:9" ht="18" customHeight="1" x14ac:dyDescent="0.3">
      <c r="A36" s="5">
        <v>2</v>
      </c>
      <c r="B36" s="4" t="s">
        <v>147</v>
      </c>
      <c r="C36" s="4" t="s">
        <v>148</v>
      </c>
      <c r="D36" s="4" t="s">
        <v>149</v>
      </c>
      <c r="E36" s="3" t="s">
        <v>150</v>
      </c>
      <c r="F36" s="3" t="s">
        <v>144</v>
      </c>
      <c r="G36" s="3" t="s">
        <v>151</v>
      </c>
      <c r="H36" s="3">
        <v>25</v>
      </c>
      <c r="I36" s="3" t="s">
        <v>152</v>
      </c>
    </row>
    <row r="37" spans="1:9" ht="18" customHeight="1" x14ac:dyDescent="0.3">
      <c r="A37" s="5">
        <v>3</v>
      </c>
      <c r="B37" s="4" t="s">
        <v>153</v>
      </c>
      <c r="C37" s="4" t="s">
        <v>154</v>
      </c>
      <c r="D37" s="4" t="s">
        <v>155</v>
      </c>
      <c r="E37" s="3" t="s">
        <v>143</v>
      </c>
      <c r="F37" s="3" t="s">
        <v>144</v>
      </c>
      <c r="G37" s="3" t="s">
        <v>156</v>
      </c>
      <c r="H37" s="3">
        <v>20</v>
      </c>
      <c r="I37" s="3" t="s">
        <v>157</v>
      </c>
    </row>
    <row r="38" spans="1:9" ht="18" customHeight="1" x14ac:dyDescent="0.3">
      <c r="A38" s="5">
        <v>4</v>
      </c>
      <c r="B38" s="4" t="s">
        <v>158</v>
      </c>
      <c r="C38" s="4" t="s">
        <v>159</v>
      </c>
      <c r="D38" s="4" t="s">
        <v>142</v>
      </c>
      <c r="E38" s="3" t="s">
        <v>150</v>
      </c>
      <c r="F38" s="3" t="s">
        <v>144</v>
      </c>
      <c r="G38" s="3" t="s">
        <v>156</v>
      </c>
      <c r="H38" s="3">
        <v>30</v>
      </c>
      <c r="I38" s="3" t="s">
        <v>160</v>
      </c>
    </row>
    <row r="39" spans="1:9" ht="18" customHeight="1" x14ac:dyDescent="0.3">
      <c r="A39" s="5">
        <v>5</v>
      </c>
      <c r="B39" s="4" t="s">
        <v>161</v>
      </c>
      <c r="C39" s="4" t="s">
        <v>162</v>
      </c>
      <c r="D39" s="4" t="s">
        <v>142</v>
      </c>
      <c r="E39" s="3" t="s">
        <v>143</v>
      </c>
      <c r="F39" s="3" t="s">
        <v>144</v>
      </c>
      <c r="G39" s="3" t="s">
        <v>156</v>
      </c>
      <c r="H39" s="3">
        <v>12</v>
      </c>
      <c r="I39" s="3" t="s">
        <v>163</v>
      </c>
    </row>
    <row r="40" spans="1:9" ht="18" customHeight="1" x14ac:dyDescent="0.3">
      <c r="A40" s="5">
        <v>6</v>
      </c>
      <c r="B40" s="4" t="s">
        <v>757</v>
      </c>
      <c r="C40" s="4" t="s">
        <v>166</v>
      </c>
      <c r="D40" s="4" t="s">
        <v>167</v>
      </c>
      <c r="E40" s="3" t="s">
        <v>165</v>
      </c>
      <c r="F40" s="3" t="s">
        <v>144</v>
      </c>
      <c r="G40" s="3" t="s">
        <v>156</v>
      </c>
      <c r="H40" s="3"/>
      <c r="I40" s="3" t="s">
        <v>168</v>
      </c>
    </row>
    <row r="41" spans="1:9" ht="18" customHeight="1" x14ac:dyDescent="0.3">
      <c r="A41" s="5">
        <v>7</v>
      </c>
      <c r="B41" s="4" t="s">
        <v>169</v>
      </c>
      <c r="C41" s="4" t="s">
        <v>170</v>
      </c>
      <c r="D41" s="4" t="s">
        <v>171</v>
      </c>
      <c r="E41" s="3" t="s">
        <v>165</v>
      </c>
      <c r="F41" s="3" t="s">
        <v>144</v>
      </c>
      <c r="G41" s="3" t="s">
        <v>156</v>
      </c>
      <c r="H41" s="3"/>
      <c r="I41" s="3" t="s">
        <v>163</v>
      </c>
    </row>
    <row r="42" spans="1:9" ht="18" customHeight="1" x14ac:dyDescent="0.3">
      <c r="A42" s="5">
        <v>8</v>
      </c>
      <c r="B42" s="4" t="s">
        <v>173</v>
      </c>
      <c r="C42" s="4" t="s">
        <v>174</v>
      </c>
      <c r="D42" s="4" t="s">
        <v>175</v>
      </c>
      <c r="E42" s="3" t="s">
        <v>176</v>
      </c>
      <c r="F42" s="3" t="s">
        <v>144</v>
      </c>
      <c r="G42" s="3" t="s">
        <v>156</v>
      </c>
      <c r="H42" s="3"/>
      <c r="I42" s="3"/>
    </row>
    <row r="43" spans="1:9" ht="18" customHeight="1" x14ac:dyDescent="0.3">
      <c r="A43" s="5">
        <v>9</v>
      </c>
      <c r="B43" s="4" t="s">
        <v>177</v>
      </c>
      <c r="C43" s="4" t="s">
        <v>178</v>
      </c>
      <c r="D43" s="4" t="s">
        <v>179</v>
      </c>
      <c r="E43" s="3" t="s">
        <v>180</v>
      </c>
      <c r="F43" s="3" t="s">
        <v>144</v>
      </c>
      <c r="G43" s="3" t="s">
        <v>164</v>
      </c>
      <c r="H43" s="3"/>
      <c r="I43" s="3"/>
    </row>
    <row r="44" spans="1:9" ht="18" customHeight="1" x14ac:dyDescent="0.3">
      <c r="A44" s="5">
        <v>10</v>
      </c>
      <c r="B44" s="4" t="s">
        <v>181</v>
      </c>
      <c r="C44" s="4" t="s">
        <v>182</v>
      </c>
      <c r="D44" s="4" t="s">
        <v>183</v>
      </c>
      <c r="E44" s="3" t="s">
        <v>184</v>
      </c>
      <c r="F44" s="3" t="s">
        <v>144</v>
      </c>
      <c r="G44" s="3" t="s">
        <v>151</v>
      </c>
      <c r="H44" s="3"/>
      <c r="I44" s="3" t="s">
        <v>185</v>
      </c>
    </row>
    <row r="45" spans="1:9" ht="18" customHeight="1" x14ac:dyDescent="0.3">
      <c r="A45" s="5">
        <v>11</v>
      </c>
      <c r="B45" s="4" t="s">
        <v>187</v>
      </c>
      <c r="C45" s="4" t="s">
        <v>188</v>
      </c>
      <c r="D45" s="4" t="s">
        <v>189</v>
      </c>
      <c r="E45" s="3" t="s">
        <v>172</v>
      </c>
      <c r="F45" s="3" t="s">
        <v>144</v>
      </c>
      <c r="G45" s="3" t="s">
        <v>164</v>
      </c>
      <c r="H45" s="3"/>
      <c r="I45" s="3" t="s">
        <v>190</v>
      </c>
    </row>
    <row r="47" spans="1:9" ht="21.75" customHeight="1" x14ac:dyDescent="0.3">
      <c r="A47" s="14" t="s">
        <v>191</v>
      </c>
      <c r="B47" s="14"/>
      <c r="C47" s="14"/>
      <c r="D47" s="14"/>
      <c r="E47" s="14"/>
      <c r="F47" s="14"/>
      <c r="G47" s="14"/>
      <c r="H47" s="14"/>
      <c r="I47" s="14"/>
    </row>
    <row r="48" spans="1:9" ht="30" customHeight="1" x14ac:dyDescent="0.3">
      <c r="A48" s="2" t="s">
        <v>131</v>
      </c>
      <c r="B48" s="2" t="s">
        <v>192</v>
      </c>
      <c r="C48" s="2" t="s">
        <v>193</v>
      </c>
      <c r="D48" s="2" t="s">
        <v>194</v>
      </c>
      <c r="E48" s="2" t="s">
        <v>195</v>
      </c>
      <c r="F48" s="2" t="s">
        <v>196</v>
      </c>
      <c r="G48" s="2" t="s">
        <v>197</v>
      </c>
      <c r="H48" s="2" t="s">
        <v>198</v>
      </c>
      <c r="I48" s="2" t="s">
        <v>199</v>
      </c>
    </row>
    <row r="49" spans="1:9" ht="79.8" x14ac:dyDescent="0.3">
      <c r="A49" s="5">
        <v>1</v>
      </c>
      <c r="B49" s="4" t="s">
        <v>200</v>
      </c>
      <c r="C49" s="4" t="s">
        <v>201</v>
      </c>
      <c r="D49" s="4" t="s">
        <v>202</v>
      </c>
      <c r="E49" s="3">
        <v>621384</v>
      </c>
      <c r="F49" s="3">
        <v>9410649</v>
      </c>
      <c r="G49" s="3" t="s">
        <v>203</v>
      </c>
      <c r="H49" s="3">
        <v>1</v>
      </c>
      <c r="I49" s="4" t="s">
        <v>204</v>
      </c>
    </row>
    <row r="50" spans="1:9" ht="68.400000000000006" x14ac:dyDescent="0.3">
      <c r="A50" s="5">
        <v>2</v>
      </c>
      <c r="B50" s="4" t="s">
        <v>205</v>
      </c>
      <c r="C50" s="4" t="s">
        <v>206</v>
      </c>
      <c r="D50" s="4" t="s">
        <v>207</v>
      </c>
      <c r="E50" s="3">
        <v>621207</v>
      </c>
      <c r="F50" s="3">
        <v>9410724</v>
      </c>
      <c r="G50" s="3">
        <v>8</v>
      </c>
      <c r="H50" s="3">
        <v>9</v>
      </c>
      <c r="I50" s="4" t="s">
        <v>208</v>
      </c>
    </row>
    <row r="51" spans="1:9" ht="68.400000000000006" x14ac:dyDescent="0.3">
      <c r="A51" s="5">
        <v>3</v>
      </c>
      <c r="B51" s="4" t="s">
        <v>209</v>
      </c>
      <c r="C51" s="4" t="s">
        <v>206</v>
      </c>
      <c r="D51" s="4" t="s">
        <v>207</v>
      </c>
      <c r="E51" s="3">
        <v>621383</v>
      </c>
      <c r="F51" s="3">
        <v>9410646</v>
      </c>
      <c r="G51" s="3" t="s">
        <v>210</v>
      </c>
      <c r="H51" s="3">
        <v>7</v>
      </c>
      <c r="I51" s="4" t="s">
        <v>211</v>
      </c>
    </row>
    <row r="52" spans="1:9" ht="57" x14ac:dyDescent="0.3">
      <c r="A52" s="5">
        <v>4</v>
      </c>
      <c r="B52" s="4" t="s">
        <v>212</v>
      </c>
      <c r="C52" s="4" t="s">
        <v>213</v>
      </c>
      <c r="D52" s="4" t="s">
        <v>207</v>
      </c>
      <c r="E52" s="3">
        <v>621245</v>
      </c>
      <c r="F52" s="3">
        <v>9410734</v>
      </c>
      <c r="G52" s="3">
        <v>3</v>
      </c>
      <c r="H52" s="3">
        <v>17</v>
      </c>
      <c r="I52" s="4" t="s">
        <v>214</v>
      </c>
    </row>
    <row r="53" spans="1:9" ht="68.400000000000006" x14ac:dyDescent="0.3">
      <c r="A53" s="5">
        <v>5</v>
      </c>
      <c r="B53" s="4" t="s">
        <v>215</v>
      </c>
      <c r="C53" s="4" t="s">
        <v>216</v>
      </c>
      <c r="D53" s="4" t="s">
        <v>207</v>
      </c>
      <c r="E53" s="3">
        <v>621256</v>
      </c>
      <c r="F53" s="3">
        <v>9410755</v>
      </c>
      <c r="G53" s="3">
        <v>2</v>
      </c>
      <c r="H53" s="3">
        <v>18</v>
      </c>
      <c r="I53" s="4" t="s">
        <v>217</v>
      </c>
    </row>
    <row r="54" spans="1:9" ht="68.400000000000006" x14ac:dyDescent="0.3">
      <c r="A54" s="5">
        <v>6</v>
      </c>
      <c r="B54" s="4" t="s">
        <v>218</v>
      </c>
      <c r="C54" s="4" t="s">
        <v>219</v>
      </c>
      <c r="D54" s="4" t="s">
        <v>207</v>
      </c>
      <c r="E54" s="3">
        <v>621383</v>
      </c>
      <c r="F54" s="3">
        <v>9410646</v>
      </c>
      <c r="G54" s="3">
        <v>1</v>
      </c>
      <c r="H54" s="3">
        <v>7</v>
      </c>
      <c r="I54" s="4" t="s">
        <v>220</v>
      </c>
    </row>
    <row r="55" spans="1:9" ht="68.400000000000006" x14ac:dyDescent="0.3">
      <c r="A55" s="5">
        <v>7</v>
      </c>
      <c r="B55" s="4" t="s">
        <v>221</v>
      </c>
      <c r="C55" s="4" t="s">
        <v>222</v>
      </c>
      <c r="D55" s="4" t="s">
        <v>207</v>
      </c>
      <c r="E55" s="3">
        <v>621235</v>
      </c>
      <c r="F55" s="3">
        <v>9410729</v>
      </c>
      <c r="G55" s="3">
        <v>6</v>
      </c>
      <c r="H55" s="3">
        <v>16</v>
      </c>
      <c r="I55" s="4" t="s">
        <v>223</v>
      </c>
    </row>
    <row r="56" spans="1:9" ht="18" customHeight="1" x14ac:dyDescent="0.3">
      <c r="A56" s="5">
        <v>8</v>
      </c>
      <c r="B56" s="4"/>
      <c r="C56" s="4"/>
      <c r="D56" s="4"/>
      <c r="E56" s="3"/>
      <c r="F56" s="3"/>
      <c r="G56" s="3"/>
      <c r="H56" s="3"/>
      <c r="I56" s="4"/>
    </row>
    <row r="57" spans="1:9" ht="18" customHeight="1" x14ac:dyDescent="0.3">
      <c r="A57" s="5">
        <v>9</v>
      </c>
      <c r="B57" s="4"/>
      <c r="C57" s="4"/>
      <c r="D57" s="4"/>
      <c r="E57" s="3"/>
      <c r="F57" s="3"/>
      <c r="G57" s="3"/>
      <c r="H57" s="3"/>
      <c r="I57" s="4"/>
    </row>
    <row r="58" spans="1:9" ht="18" customHeight="1" x14ac:dyDescent="0.3">
      <c r="A58" s="5">
        <v>10</v>
      </c>
      <c r="B58" s="4"/>
      <c r="C58" s="4"/>
      <c r="D58" s="4"/>
      <c r="E58" s="3"/>
      <c r="F58" s="3"/>
      <c r="G58" s="3"/>
      <c r="H58" s="3"/>
      <c r="I58" s="4"/>
    </row>
    <row r="60" spans="1:9" ht="21.75" customHeight="1" x14ac:dyDescent="0.3">
      <c r="A60" s="14" t="s">
        <v>50</v>
      </c>
      <c r="B60" s="14"/>
      <c r="C60" s="14"/>
      <c r="D60" s="14"/>
      <c r="E60" s="14"/>
      <c r="F60" s="14"/>
      <c r="G60" s="14"/>
      <c r="H60" s="14"/>
      <c r="I60" s="14"/>
    </row>
    <row r="61" spans="1:9" ht="27.75" customHeight="1" x14ac:dyDescent="0.3">
      <c r="A61" s="15" t="s">
        <v>758</v>
      </c>
      <c r="B61" s="15"/>
      <c r="C61" s="15"/>
      <c r="D61" s="15"/>
      <c r="E61" s="15"/>
      <c r="F61" s="15"/>
      <c r="G61" s="15"/>
      <c r="H61" s="15"/>
      <c r="I61" s="15"/>
    </row>
    <row r="62" spans="1:9" ht="27.75" customHeight="1" x14ac:dyDescent="0.3">
      <c r="A62" s="15"/>
      <c r="B62" s="15"/>
      <c r="C62" s="15"/>
      <c r="D62" s="15"/>
      <c r="E62" s="15"/>
      <c r="F62" s="15"/>
      <c r="G62" s="15"/>
      <c r="H62" s="15"/>
      <c r="I62" s="15"/>
    </row>
    <row r="63" spans="1:9" ht="27.75" customHeight="1" x14ac:dyDescent="0.3">
      <c r="A63" s="15"/>
      <c r="B63" s="15"/>
      <c r="C63" s="15"/>
      <c r="D63" s="15"/>
      <c r="E63" s="15"/>
      <c r="F63" s="15"/>
      <c r="G63" s="15"/>
      <c r="H63" s="15"/>
      <c r="I63" s="15"/>
    </row>
  </sheetData>
  <mergeCells count="72">
    <mergeCell ref="A1:I1"/>
    <mergeCell ref="A2:I2"/>
    <mergeCell ref="A3:I3"/>
    <mergeCell ref="A4:I4"/>
    <mergeCell ref="A5:I5"/>
    <mergeCell ref="A6:I6"/>
    <mergeCell ref="A7:I7"/>
    <mergeCell ref="A8:B8"/>
    <mergeCell ref="C8:D8"/>
    <mergeCell ref="E8:F8"/>
    <mergeCell ref="G8:I8"/>
    <mergeCell ref="A9:B9"/>
    <mergeCell ref="C9:D9"/>
    <mergeCell ref="E9:F9"/>
    <mergeCell ref="G9:I9"/>
    <mergeCell ref="A10:B10"/>
    <mergeCell ref="C10:D10"/>
    <mergeCell ref="E10:F10"/>
    <mergeCell ref="G10:I10"/>
    <mergeCell ref="A11:B11"/>
    <mergeCell ref="C11:D11"/>
    <mergeCell ref="E11:F11"/>
    <mergeCell ref="G11:I11"/>
    <mergeCell ref="A12:B12"/>
    <mergeCell ref="C12:D12"/>
    <mergeCell ref="E12:F12"/>
    <mergeCell ref="G12:I12"/>
    <mergeCell ref="A13:B13"/>
    <mergeCell ref="C13:D13"/>
    <mergeCell ref="E13:F13"/>
    <mergeCell ref="G13:I13"/>
    <mergeCell ref="A15:I15"/>
    <mergeCell ref="A16:B16"/>
    <mergeCell ref="C16:I16"/>
    <mergeCell ref="A17:B17"/>
    <mergeCell ref="C17:I17"/>
    <mergeCell ref="A18:B18"/>
    <mergeCell ref="C18:I18"/>
    <mergeCell ref="A19:B19"/>
    <mergeCell ref="C19:I19"/>
    <mergeCell ref="A21:I21"/>
    <mergeCell ref="A22:B22"/>
    <mergeCell ref="C22:D22"/>
    <mergeCell ref="E22:F22"/>
    <mergeCell ref="G22:I22"/>
    <mergeCell ref="A23:B23"/>
    <mergeCell ref="C23:D23"/>
    <mergeCell ref="E23:F23"/>
    <mergeCell ref="G23:I23"/>
    <mergeCell ref="A24:B24"/>
    <mergeCell ref="C24:D24"/>
    <mergeCell ref="E24:F24"/>
    <mergeCell ref="G24:I24"/>
    <mergeCell ref="A25:B25"/>
    <mergeCell ref="C25:D25"/>
    <mergeCell ref="E25:F25"/>
    <mergeCell ref="G25:I25"/>
    <mergeCell ref="A26:B26"/>
    <mergeCell ref="C26:I26"/>
    <mergeCell ref="A27:B27"/>
    <mergeCell ref="C27:I27"/>
    <mergeCell ref="A28:B28"/>
    <mergeCell ref="C28:I28"/>
    <mergeCell ref="A29:B29"/>
    <mergeCell ref="C29:I29"/>
    <mergeCell ref="A60:I60"/>
    <mergeCell ref="A61:I63"/>
    <mergeCell ref="A30:B30"/>
    <mergeCell ref="C30:I30"/>
    <mergeCell ref="A32:I32"/>
    <mergeCell ref="A33:I33"/>
    <mergeCell ref="A47:I47"/>
  </mergeCells>
  <dataValidations count="14">
    <dataValidation type="list" allowBlank="1" errorTitle="Valor no válido" error="Seleccione un valor de la lista desplegable." promptTitle="Código de Bloque" prompt="Elija una opción de la lista." sqref="C9" xr:uid="{00000000-0002-0000-0200-000000000000}">
      <formula1>lst_CodigoBloque</formula1>
      <formula2>0</formula2>
    </dataValidation>
    <dataValidation type="list" allowBlank="1" errorTitle="Valor no válido" error="Seleccione un valor de la lista desplegable." promptTitle="Tipo de ecosistema MINAM (domi" prompt="Elija una opción de la lista." sqref="C16" xr:uid="{00000000-0002-0000-0200-000001000000}">
      <formula1>lst_TipoEcosistema</formula1>
      <formula2>0</formula2>
    </dataValidation>
    <dataValidation type="list" allowBlank="1" errorTitle="Valor no válido" error="Seleccione un valor de la lista desplegable." promptTitle="Estado de conservación general" prompt="Elija una opción de la lista." sqref="C18" xr:uid="{00000000-0002-0000-0200-000002000000}">
      <formula1>lst_EstadoConservacion</formula1>
      <formula2>0</formula2>
    </dataValidation>
    <dataValidation type="list" allowBlank="1" errorTitle="Valor no válido" error="Seleccione un valor de la lista desplegable." promptTitle="Uso actual dominante del suelo" prompt="Elija una opción de la lista." sqref="C19" xr:uid="{00000000-0002-0000-0200-000003000000}">
      <formula1>lst_UsoSueloDom</formula1>
      <formula2>0</formula2>
    </dataValidation>
    <dataValidation type="list" allowBlank="1" errorTitle="Valor no válido" error="Seleccione un valor de la lista desplegable." promptTitle="Regeneración natural observada" prompt="Elija una opción de la lista." sqref="C26" xr:uid="{00000000-0002-0000-0200-000004000000}">
      <formula1>lst_Regeneracion</formula1>
      <formula2>0</formula2>
    </dataValidation>
    <dataValidation type="list" allowBlank="1" errorTitle="Valor no válido" error="Seleccione un valor de la lista desplegable." promptTitle="Estado sanitario general del d" prompt="Elija una opción de la lista." sqref="C27" xr:uid="{00000000-0002-0000-0200-000005000000}">
      <formula1>lst_EstadoSanitario</formula1>
      <formula2>0</formula2>
    </dataValidation>
    <dataValidation type="list" allowBlank="1" errorTitle="Valor no válido" error="Seleccione un valor de la lista desplegable." promptTitle="Presencia de epífitas (cualita" prompt="Elija una opción de la lista." sqref="C28" xr:uid="{00000000-0002-0000-0200-000006000000}">
      <formula1>lst_SiNo</formula1>
      <formula2>0</formula2>
    </dataValidation>
    <dataValidation type="list" allowBlank="1" errorTitle="Valor no válido" error="Seleccione un valor de la lista desplegable." promptTitle="Fenología dominante (época de " prompt="Elija una opción de la lista." sqref="C29" xr:uid="{00000000-0002-0000-0200-000007000000}">
      <formula1>lst_Fenologia</formula1>
      <formula2>0</formula2>
    </dataValidation>
    <dataValidation type="list" allowBlank="1" errorTitle="Valor no válido" error="Seleccione un valor de la lista desplegable." promptTitle="Tipo de cobertura vegetal domi" prompt="Elija una opción de la lista." sqref="C30" xr:uid="{00000000-0002-0000-0200-000008000000}">
      <formula1>lst_TipoCobertura</formula1>
      <formula2>0</formula2>
    </dataValidation>
    <dataValidation type="list" allowBlank="1" errorTitle="Valor no válido" error="Seleccione un valor de la lista desplegable." promptTitle="Categoría" prompt="Elija una opción de la lista." sqref="C49:C58" xr:uid="{00000000-0002-0000-0200-00000C000000}">
      <formula1>lst_CategoriaIndicadora</formula1>
      <formula2>0</formula2>
    </dataValidation>
    <dataValidation type="list" allowBlank="1" errorTitle="Valor no válido" error="Seleccione un valor de la lista desplegable." promptTitle="Estado UICN / D.S. 043" prompt="Elija una opción de la lista." sqref="D49:D58" xr:uid="{00000000-0002-0000-0200-00000D000000}">
      <formula1>lst_EstadoUICN</formula1>
      <formula2>0</formula2>
    </dataValidation>
    <dataValidation type="list" allowBlank="1" errorTitle="Valor no válido" error="Seleccione un valor de la lista desplegable." promptTitle="Estrato" prompt="Elija una opción de la lista." sqref="E35:E45" xr:uid="{00000000-0002-0000-0200-000009000000}">
      <formula1>lst_Estrato</formula1>
      <formula2>0</formula2>
    </dataValidation>
    <dataValidation type="list" allowBlank="1" errorTitle="Valor no válido" error="Seleccione un valor de la lista desplegable." promptTitle="Origen" prompt="Elija una opción de la lista." sqref="F35:F45" xr:uid="{00000000-0002-0000-0200-00000A000000}">
      <formula1>lst_Origen</formula1>
      <formula2>0</formula2>
    </dataValidation>
    <dataValidation type="list" allowBlank="1" errorTitle="Valor no válido" error="Seleccione un valor de la lista desplegable." promptTitle="Abundancia" prompt="Elija una opción de la lista." sqref="G35:G45" xr:uid="{00000000-0002-0000-0200-00000B000000}">
      <formula1>lst_Abundancia</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54"/>
  <sheetViews>
    <sheetView showGridLines="0" zoomScale="120" zoomScaleNormal="120" workbookViewId="0">
      <pane ySplit="6" topLeftCell="A45" activePane="bottomLeft" state="frozen"/>
      <selection pane="bottomLeft" activeCell="D35" sqref="D35:G42"/>
    </sheetView>
  </sheetViews>
  <sheetFormatPr baseColWidth="10" defaultColWidth="8.6640625" defaultRowHeight="14.4" x14ac:dyDescent="0.3"/>
  <cols>
    <col min="1" max="1" width="6" customWidth="1"/>
    <col min="2" max="2" width="32" customWidth="1"/>
    <col min="3" max="3" width="13" customWidth="1"/>
    <col min="4" max="4" width="14" customWidth="1"/>
    <col min="5" max="5" width="13" customWidth="1"/>
    <col min="6" max="6" width="14" customWidth="1"/>
    <col min="7" max="7" width="32" customWidth="1"/>
  </cols>
  <sheetData>
    <row r="1" spans="1:7" ht="21.75" customHeight="1" x14ac:dyDescent="0.3">
      <c r="A1" s="19" t="s">
        <v>0</v>
      </c>
      <c r="B1" s="19"/>
      <c r="C1" s="19"/>
      <c r="D1" s="19"/>
      <c r="E1" s="19"/>
      <c r="F1" s="19"/>
      <c r="G1" s="19"/>
    </row>
    <row r="2" spans="1:7" ht="18" customHeight="1" x14ac:dyDescent="0.3">
      <c r="A2" s="20" t="s">
        <v>1</v>
      </c>
      <c r="B2" s="20"/>
      <c r="C2" s="20"/>
      <c r="D2" s="20"/>
      <c r="E2" s="20"/>
      <c r="F2" s="20"/>
      <c r="G2" s="20"/>
    </row>
    <row r="3" spans="1:7" ht="30" customHeight="1" x14ac:dyDescent="0.3">
      <c r="A3" s="20" t="s">
        <v>2</v>
      </c>
      <c r="B3" s="20"/>
      <c r="C3" s="20"/>
      <c r="D3" s="20"/>
      <c r="E3" s="20"/>
      <c r="F3" s="20"/>
      <c r="G3" s="20"/>
    </row>
    <row r="4" spans="1:7" ht="27.75" customHeight="1" x14ac:dyDescent="0.3">
      <c r="A4" s="21" t="s">
        <v>225</v>
      </c>
      <c r="B4" s="21"/>
      <c r="C4" s="21"/>
      <c r="D4" s="21"/>
      <c r="E4" s="21"/>
      <c r="F4" s="21"/>
      <c r="G4" s="21"/>
    </row>
    <row r="5" spans="1:7" ht="27.75" customHeight="1" x14ac:dyDescent="0.3">
      <c r="A5" s="22" t="s">
        <v>226</v>
      </c>
      <c r="B5" s="22"/>
      <c r="C5" s="22"/>
      <c r="D5" s="22"/>
      <c r="E5" s="22"/>
      <c r="F5" s="22"/>
      <c r="G5" s="22"/>
    </row>
    <row r="6" spans="1:7" ht="24" customHeight="1" x14ac:dyDescent="0.3">
      <c r="A6" s="18" t="s">
        <v>5</v>
      </c>
      <c r="B6" s="18"/>
      <c r="C6" s="18"/>
      <c r="D6" s="18"/>
      <c r="E6" s="18"/>
      <c r="F6" s="18"/>
      <c r="G6" s="18"/>
    </row>
    <row r="7" spans="1:7" ht="21.75" customHeight="1" x14ac:dyDescent="0.3">
      <c r="A7" s="14" t="s">
        <v>53</v>
      </c>
      <c r="B7" s="14"/>
      <c r="C7" s="14"/>
      <c r="D7" s="14"/>
      <c r="E7" s="14"/>
      <c r="F7" s="14"/>
      <c r="G7" s="14"/>
    </row>
    <row r="8" spans="1:7" ht="19.5" customHeight="1" x14ac:dyDescent="0.3">
      <c r="A8" s="12" t="s">
        <v>93</v>
      </c>
      <c r="B8" s="12"/>
      <c r="C8" s="13" t="s">
        <v>8</v>
      </c>
      <c r="D8" s="13"/>
      <c r="E8" s="13"/>
      <c r="F8" s="13"/>
      <c r="G8" s="13"/>
    </row>
    <row r="9" spans="1:7" ht="19.5" customHeight="1" x14ac:dyDescent="0.3">
      <c r="A9" s="12" t="s">
        <v>54</v>
      </c>
      <c r="B9" s="12"/>
      <c r="C9" s="13" t="s">
        <v>55</v>
      </c>
      <c r="D9" s="13"/>
      <c r="E9" s="13"/>
      <c r="F9" s="13"/>
      <c r="G9" s="13"/>
    </row>
    <row r="10" spans="1:7" ht="19.5" customHeight="1" x14ac:dyDescent="0.3">
      <c r="A10" s="12" t="s">
        <v>15</v>
      </c>
      <c r="B10" s="12"/>
      <c r="C10" s="13" t="s">
        <v>16</v>
      </c>
      <c r="D10" s="13"/>
      <c r="E10" s="13"/>
      <c r="F10" s="13"/>
      <c r="G10" s="13"/>
    </row>
    <row r="11" spans="1:7" ht="19.5" customHeight="1" x14ac:dyDescent="0.3">
      <c r="A11" s="12" t="s">
        <v>94</v>
      </c>
      <c r="B11" s="12"/>
      <c r="C11" s="17" t="str">
        <f>IFERROR(VLOOKUP($C$10,tbl_Bloques,2,FALSE()),"")</f>
        <v>C1077-Q9579</v>
      </c>
      <c r="D11" s="17"/>
      <c r="E11" s="17"/>
      <c r="F11" s="17"/>
      <c r="G11" s="17"/>
    </row>
    <row r="12" spans="1:7" ht="21.75" customHeight="1" x14ac:dyDescent="0.3">
      <c r="A12" s="6" t="s">
        <v>227</v>
      </c>
      <c r="B12" s="7"/>
      <c r="C12" s="24"/>
      <c r="D12" s="24"/>
      <c r="E12" s="24"/>
      <c r="F12" s="24"/>
      <c r="G12" s="24"/>
    </row>
    <row r="13" spans="1:7" ht="27.75" customHeight="1" x14ac:dyDescent="0.3">
      <c r="A13" s="16" t="s">
        <v>228</v>
      </c>
      <c r="B13" s="16"/>
      <c r="C13" s="23"/>
      <c r="D13" s="23"/>
      <c r="E13" s="23"/>
      <c r="F13" s="23"/>
      <c r="G13" s="23"/>
    </row>
    <row r="14" spans="1:7" ht="31.5" customHeight="1" x14ac:dyDescent="0.3">
      <c r="A14" s="2" t="s">
        <v>131</v>
      </c>
      <c r="B14" s="2" t="s">
        <v>229</v>
      </c>
      <c r="C14" s="2" t="s">
        <v>230</v>
      </c>
      <c r="D14" s="2" t="s">
        <v>231</v>
      </c>
      <c r="E14" s="2" t="s">
        <v>232</v>
      </c>
      <c r="F14" s="2" t="s">
        <v>233</v>
      </c>
      <c r="G14" s="2" t="s">
        <v>234</v>
      </c>
    </row>
    <row r="15" spans="1:7" ht="18" customHeight="1" x14ac:dyDescent="0.3">
      <c r="A15" s="5">
        <v>1</v>
      </c>
      <c r="B15" s="8" t="s">
        <v>235</v>
      </c>
      <c r="C15" s="3" t="s">
        <v>44</v>
      </c>
      <c r="D15" s="3" t="s">
        <v>236</v>
      </c>
      <c r="E15" s="3">
        <v>40</v>
      </c>
      <c r="F15" s="3" t="s">
        <v>237</v>
      </c>
      <c r="G15" s="4" t="s">
        <v>238</v>
      </c>
    </row>
    <row r="16" spans="1:7" ht="18" customHeight="1" x14ac:dyDescent="0.3">
      <c r="A16" s="5">
        <v>2</v>
      </c>
      <c r="B16" s="8" t="s">
        <v>239</v>
      </c>
      <c r="C16" s="3" t="s">
        <v>44</v>
      </c>
      <c r="D16" s="3" t="s">
        <v>236</v>
      </c>
      <c r="E16" s="3">
        <v>30</v>
      </c>
      <c r="F16" s="3" t="s">
        <v>210</v>
      </c>
      <c r="G16" s="4" t="s">
        <v>240</v>
      </c>
    </row>
    <row r="17" spans="1:7" ht="18" customHeight="1" x14ac:dyDescent="0.3">
      <c r="A17" s="5">
        <v>3</v>
      </c>
      <c r="B17" s="8" t="s">
        <v>241</v>
      </c>
      <c r="C17" s="3" t="s">
        <v>46</v>
      </c>
      <c r="D17" s="3" t="s">
        <v>249</v>
      </c>
      <c r="E17" s="3"/>
      <c r="F17" s="3"/>
      <c r="G17" s="4"/>
    </row>
    <row r="18" spans="1:7" ht="18" customHeight="1" x14ac:dyDescent="0.3">
      <c r="A18" s="5">
        <v>4</v>
      </c>
      <c r="B18" s="8" t="s">
        <v>243</v>
      </c>
      <c r="C18" s="3" t="s">
        <v>44</v>
      </c>
      <c r="D18" s="3" t="s">
        <v>236</v>
      </c>
      <c r="E18" s="3">
        <v>25</v>
      </c>
      <c r="F18" s="3" t="s">
        <v>210</v>
      </c>
      <c r="G18" s="4" t="s">
        <v>244</v>
      </c>
    </row>
    <row r="19" spans="1:7" ht="26.4" customHeight="1" x14ac:dyDescent="0.3">
      <c r="A19" s="5">
        <v>5</v>
      </c>
      <c r="B19" s="8" t="s">
        <v>245</v>
      </c>
      <c r="C19" s="3" t="s">
        <v>44</v>
      </c>
      <c r="D19" s="3" t="s">
        <v>242</v>
      </c>
      <c r="E19" s="3">
        <v>10</v>
      </c>
      <c r="F19" s="3" t="s">
        <v>246</v>
      </c>
      <c r="G19" s="4" t="s">
        <v>247</v>
      </c>
    </row>
    <row r="20" spans="1:7" ht="18" customHeight="1" x14ac:dyDescent="0.3">
      <c r="A20" s="5">
        <v>6</v>
      </c>
      <c r="B20" s="8" t="s">
        <v>248</v>
      </c>
      <c r="C20" s="3" t="s">
        <v>46</v>
      </c>
      <c r="D20" s="3" t="s">
        <v>249</v>
      </c>
      <c r="E20" s="3">
        <v>0</v>
      </c>
      <c r="F20" s="3"/>
      <c r="G20" s="4" t="s">
        <v>250</v>
      </c>
    </row>
    <row r="21" spans="1:7" ht="18" customHeight="1" x14ac:dyDescent="0.3">
      <c r="A21" s="5">
        <v>7</v>
      </c>
      <c r="B21" s="8" t="s">
        <v>251</v>
      </c>
      <c r="C21" s="3" t="s">
        <v>46</v>
      </c>
      <c r="D21" s="3" t="s">
        <v>249</v>
      </c>
      <c r="E21" s="3">
        <v>0</v>
      </c>
      <c r="F21" s="3"/>
      <c r="G21" s="4" t="s">
        <v>252</v>
      </c>
    </row>
    <row r="22" spans="1:7" ht="18" customHeight="1" x14ac:dyDescent="0.3">
      <c r="A22" s="5">
        <v>8</v>
      </c>
      <c r="B22" s="8" t="s">
        <v>253</v>
      </c>
      <c r="C22" s="3" t="s">
        <v>44</v>
      </c>
      <c r="D22" s="3" t="s">
        <v>242</v>
      </c>
      <c r="E22" s="3">
        <v>15</v>
      </c>
      <c r="F22" s="3" t="s">
        <v>237</v>
      </c>
      <c r="G22" s="4" t="s">
        <v>254</v>
      </c>
    </row>
    <row r="23" spans="1:7" ht="18" customHeight="1" x14ac:dyDescent="0.3">
      <c r="A23" s="5">
        <v>9</v>
      </c>
      <c r="B23" s="8" t="s">
        <v>255</v>
      </c>
      <c r="C23" s="3" t="s">
        <v>44</v>
      </c>
      <c r="D23" s="3" t="s">
        <v>242</v>
      </c>
      <c r="E23" s="3">
        <v>5</v>
      </c>
      <c r="F23" s="3" t="s">
        <v>256</v>
      </c>
      <c r="G23" s="4" t="s">
        <v>257</v>
      </c>
    </row>
    <row r="24" spans="1:7" ht="18" customHeight="1" x14ac:dyDescent="0.3">
      <c r="A24" s="5">
        <v>10</v>
      </c>
      <c r="B24" s="8" t="s">
        <v>258</v>
      </c>
      <c r="C24" s="3" t="s">
        <v>46</v>
      </c>
      <c r="D24" s="3" t="s">
        <v>249</v>
      </c>
      <c r="E24" s="3">
        <v>0</v>
      </c>
      <c r="F24" s="3"/>
      <c r="G24" s="4" t="s">
        <v>259</v>
      </c>
    </row>
    <row r="25" spans="1:7" ht="18" customHeight="1" x14ac:dyDescent="0.3">
      <c r="A25" s="5">
        <v>11</v>
      </c>
      <c r="B25" s="8" t="s">
        <v>260</v>
      </c>
      <c r="C25" s="3" t="s">
        <v>46</v>
      </c>
      <c r="D25" s="3" t="s">
        <v>249</v>
      </c>
      <c r="E25" s="3">
        <v>0</v>
      </c>
      <c r="F25" s="3"/>
      <c r="G25" s="4" t="s">
        <v>261</v>
      </c>
    </row>
    <row r="26" spans="1:7" ht="18" customHeight="1" x14ac:dyDescent="0.3">
      <c r="A26" s="5">
        <v>12</v>
      </c>
      <c r="B26" s="8" t="s">
        <v>262</v>
      </c>
      <c r="C26" s="3" t="s">
        <v>46</v>
      </c>
      <c r="D26" s="3" t="s">
        <v>249</v>
      </c>
      <c r="E26" s="3">
        <v>0</v>
      </c>
      <c r="F26" s="3"/>
      <c r="G26" s="4" t="s">
        <v>263</v>
      </c>
    </row>
    <row r="27" spans="1:7" ht="18" customHeight="1" x14ac:dyDescent="0.3">
      <c r="A27" s="5">
        <v>13</v>
      </c>
      <c r="B27" s="8" t="s">
        <v>264</v>
      </c>
      <c r="C27" s="3" t="s">
        <v>44</v>
      </c>
      <c r="D27" s="3" t="s">
        <v>242</v>
      </c>
      <c r="E27" s="3">
        <v>10</v>
      </c>
      <c r="F27" s="3"/>
      <c r="G27" s="4" t="s">
        <v>265</v>
      </c>
    </row>
    <row r="28" spans="1:7" ht="18" customHeight="1" x14ac:dyDescent="0.3">
      <c r="A28" s="5">
        <v>14</v>
      </c>
      <c r="B28" s="8" t="s">
        <v>266</v>
      </c>
      <c r="C28" s="3" t="s">
        <v>44</v>
      </c>
      <c r="D28" s="3" t="s">
        <v>236</v>
      </c>
      <c r="E28" s="3">
        <v>100</v>
      </c>
      <c r="F28" s="3"/>
      <c r="G28" s="4" t="s">
        <v>267</v>
      </c>
    </row>
    <row r="29" spans="1:7" ht="18" customHeight="1" x14ac:dyDescent="0.3">
      <c r="A29" s="5">
        <v>15</v>
      </c>
      <c r="B29" s="8" t="s">
        <v>268</v>
      </c>
      <c r="C29" s="3" t="s">
        <v>46</v>
      </c>
      <c r="D29" s="3" t="s">
        <v>249</v>
      </c>
      <c r="E29" s="3">
        <v>0</v>
      </c>
      <c r="F29" s="3"/>
      <c r="G29" s="4" t="s">
        <v>269</v>
      </c>
    </row>
    <row r="30" spans="1:7" ht="18" customHeight="1" x14ac:dyDescent="0.3">
      <c r="A30" s="5">
        <v>16</v>
      </c>
      <c r="B30" s="8" t="s">
        <v>270</v>
      </c>
      <c r="C30" s="3" t="s">
        <v>44</v>
      </c>
      <c r="D30" s="3" t="s">
        <v>236</v>
      </c>
      <c r="E30" s="3">
        <v>20</v>
      </c>
      <c r="F30" s="3" t="s">
        <v>237</v>
      </c>
      <c r="G30" s="4" t="s">
        <v>271</v>
      </c>
    </row>
    <row r="32" spans="1:7" ht="21.75" customHeight="1" x14ac:dyDescent="0.3">
      <c r="A32" s="14" t="s">
        <v>272</v>
      </c>
      <c r="B32" s="14"/>
      <c r="C32" s="14"/>
      <c r="D32" s="14"/>
      <c r="E32" s="14"/>
      <c r="F32" s="14"/>
      <c r="G32" s="14"/>
    </row>
    <row r="33" spans="1:7" ht="25.5" customHeight="1" x14ac:dyDescent="0.3">
      <c r="A33" s="16" t="s">
        <v>273</v>
      </c>
      <c r="B33" s="16"/>
      <c r="C33" s="16"/>
      <c r="D33" s="16"/>
      <c r="E33" s="16"/>
      <c r="F33" s="16"/>
      <c r="G33" s="16"/>
    </row>
    <row r="34" spans="1:7" ht="27.75" customHeight="1" x14ac:dyDescent="0.3">
      <c r="A34" s="2" t="s">
        <v>131</v>
      </c>
      <c r="B34" s="2" t="s">
        <v>274</v>
      </c>
      <c r="C34" s="2" t="s">
        <v>275</v>
      </c>
      <c r="D34" s="2" t="s">
        <v>276</v>
      </c>
      <c r="E34" s="2" t="s">
        <v>277</v>
      </c>
      <c r="F34" s="2" t="s">
        <v>278</v>
      </c>
      <c r="G34" s="2" t="s">
        <v>279</v>
      </c>
    </row>
    <row r="35" spans="1:7" ht="21.75" customHeight="1" x14ac:dyDescent="0.3">
      <c r="A35" s="5">
        <v>1</v>
      </c>
      <c r="B35" s="8" t="s">
        <v>280</v>
      </c>
      <c r="C35" s="5" t="s">
        <v>281</v>
      </c>
      <c r="D35" s="3">
        <v>60</v>
      </c>
      <c r="E35" s="4" t="s">
        <v>282</v>
      </c>
      <c r="F35" s="8" t="s">
        <v>283</v>
      </c>
      <c r="G35" s="3" t="s">
        <v>284</v>
      </c>
    </row>
    <row r="36" spans="1:7" ht="21.75" customHeight="1" x14ac:dyDescent="0.3">
      <c r="A36" s="5">
        <v>2</v>
      </c>
      <c r="B36" s="8" t="s">
        <v>285</v>
      </c>
      <c r="C36" s="5" t="s">
        <v>281</v>
      </c>
      <c r="D36" s="3">
        <v>15</v>
      </c>
      <c r="E36" s="4" t="s">
        <v>286</v>
      </c>
      <c r="F36" s="8" t="s">
        <v>287</v>
      </c>
      <c r="G36" s="3" t="s">
        <v>284</v>
      </c>
    </row>
    <row r="37" spans="1:7" ht="21.75" customHeight="1" x14ac:dyDescent="0.3">
      <c r="A37" s="5">
        <v>3</v>
      </c>
      <c r="B37" s="8" t="s">
        <v>288</v>
      </c>
      <c r="C37" s="5" t="s">
        <v>289</v>
      </c>
      <c r="D37" s="3">
        <v>0</v>
      </c>
      <c r="E37" s="4" t="s">
        <v>290</v>
      </c>
      <c r="F37" s="8" t="s">
        <v>291</v>
      </c>
      <c r="G37" s="3" t="s">
        <v>292</v>
      </c>
    </row>
    <row r="38" spans="1:7" ht="21.75" customHeight="1" x14ac:dyDescent="0.3">
      <c r="A38" s="5">
        <v>4</v>
      </c>
      <c r="B38" s="8" t="s">
        <v>293</v>
      </c>
      <c r="C38" s="5" t="s">
        <v>294</v>
      </c>
      <c r="D38" s="3" t="s">
        <v>295</v>
      </c>
      <c r="E38" s="4" t="s">
        <v>296</v>
      </c>
      <c r="F38" s="8" t="s">
        <v>297</v>
      </c>
      <c r="G38" s="3" t="s">
        <v>292</v>
      </c>
    </row>
    <row r="39" spans="1:7" ht="21.75" customHeight="1" x14ac:dyDescent="0.3">
      <c r="A39" s="5">
        <v>5</v>
      </c>
      <c r="B39" s="8" t="s">
        <v>298</v>
      </c>
      <c r="C39" s="5" t="s">
        <v>299</v>
      </c>
      <c r="D39" s="3" t="s">
        <v>300</v>
      </c>
      <c r="E39" s="4" t="s">
        <v>301</v>
      </c>
      <c r="F39" s="8" t="s">
        <v>302</v>
      </c>
      <c r="G39" s="3" t="s">
        <v>284</v>
      </c>
    </row>
    <row r="40" spans="1:7" ht="21.75" customHeight="1" x14ac:dyDescent="0.3">
      <c r="A40" s="5">
        <v>6</v>
      </c>
      <c r="B40" s="8" t="s">
        <v>303</v>
      </c>
      <c r="C40" s="5" t="s">
        <v>131</v>
      </c>
      <c r="D40" s="3" t="s">
        <v>186</v>
      </c>
      <c r="E40" s="4" t="s">
        <v>304</v>
      </c>
      <c r="F40" s="8" t="s">
        <v>305</v>
      </c>
      <c r="G40" s="3" t="s">
        <v>284</v>
      </c>
    </row>
    <row r="41" spans="1:7" ht="21.75" customHeight="1" x14ac:dyDescent="0.3">
      <c r="A41" s="5">
        <v>7</v>
      </c>
      <c r="B41" s="8" t="s">
        <v>306</v>
      </c>
      <c r="C41" s="5" t="s">
        <v>281</v>
      </c>
      <c r="D41" s="3">
        <v>15</v>
      </c>
      <c r="E41" s="4" t="s">
        <v>307</v>
      </c>
      <c r="F41" s="8" t="s">
        <v>308</v>
      </c>
      <c r="G41" s="3" t="s">
        <v>284</v>
      </c>
    </row>
    <row r="42" spans="1:7" ht="21.75" customHeight="1" x14ac:dyDescent="0.3">
      <c r="A42" s="5">
        <v>8</v>
      </c>
      <c r="B42" s="8" t="s">
        <v>309</v>
      </c>
      <c r="C42" s="5" t="s">
        <v>310</v>
      </c>
      <c r="D42" s="3">
        <v>50</v>
      </c>
      <c r="E42" s="4" t="s">
        <v>311</v>
      </c>
      <c r="F42" s="8" t="s">
        <v>312</v>
      </c>
      <c r="G42" s="3" t="s">
        <v>313</v>
      </c>
    </row>
    <row r="44" spans="1:7" ht="21.75" customHeight="1" x14ac:dyDescent="0.3">
      <c r="A44" s="14" t="s">
        <v>314</v>
      </c>
      <c r="B44" s="14"/>
      <c r="C44" s="14"/>
      <c r="D44" s="14"/>
      <c r="E44" s="14"/>
      <c r="F44" s="14"/>
      <c r="G44" s="14"/>
    </row>
    <row r="45" spans="1:7" ht="71.400000000000006" customHeight="1" x14ac:dyDescent="0.3">
      <c r="A45" s="12" t="s">
        <v>315</v>
      </c>
      <c r="B45" s="12"/>
      <c r="C45" s="13" t="s">
        <v>316</v>
      </c>
      <c r="D45" s="13"/>
      <c r="E45" s="13"/>
      <c r="F45" s="13"/>
      <c r="G45" s="13"/>
    </row>
    <row r="46" spans="1:7" ht="63" customHeight="1" x14ac:dyDescent="0.3">
      <c r="A46" s="12" t="s">
        <v>317</v>
      </c>
      <c r="B46" s="12"/>
      <c r="C46" s="13" t="s">
        <v>318</v>
      </c>
      <c r="D46" s="13"/>
      <c r="E46" s="13"/>
      <c r="F46" s="13"/>
      <c r="G46" s="13"/>
    </row>
    <row r="47" spans="1:7" ht="19.5" customHeight="1" x14ac:dyDescent="0.3">
      <c r="A47" s="12" t="s">
        <v>319</v>
      </c>
      <c r="B47" s="12"/>
      <c r="C47" s="13" t="s">
        <v>320</v>
      </c>
      <c r="D47" s="13"/>
      <c r="E47" s="13"/>
      <c r="F47" s="13"/>
      <c r="G47" s="13"/>
    </row>
    <row r="48" spans="1:7" ht="19.5" customHeight="1" x14ac:dyDescent="0.3">
      <c r="A48" s="12" t="s">
        <v>321</v>
      </c>
      <c r="B48" s="12"/>
      <c r="C48" s="13" t="s">
        <v>322</v>
      </c>
      <c r="D48" s="13"/>
      <c r="E48" s="13"/>
      <c r="F48" s="13"/>
      <c r="G48" s="13"/>
    </row>
    <row r="49" spans="1:7" ht="19.5" customHeight="1" x14ac:dyDescent="0.3">
      <c r="A49" s="12" t="s">
        <v>323</v>
      </c>
      <c r="B49" s="12"/>
      <c r="C49" s="13" t="s">
        <v>324</v>
      </c>
      <c r="D49" s="13"/>
      <c r="E49" s="13"/>
      <c r="F49" s="13"/>
      <c r="G49" s="13"/>
    </row>
    <row r="51" spans="1:7" ht="21.75" customHeight="1" x14ac:dyDescent="0.3">
      <c r="A51" s="14" t="s">
        <v>50</v>
      </c>
      <c r="B51" s="14"/>
      <c r="C51" s="14"/>
      <c r="D51" s="14"/>
      <c r="E51" s="14"/>
      <c r="F51" s="14"/>
      <c r="G51" s="14"/>
    </row>
    <row r="52" spans="1:7" ht="27.75" customHeight="1" x14ac:dyDescent="0.3">
      <c r="A52" s="15" t="s">
        <v>759</v>
      </c>
      <c r="B52" s="15"/>
      <c r="C52" s="15"/>
      <c r="D52" s="15"/>
      <c r="E52" s="15"/>
      <c r="F52" s="15"/>
      <c r="G52" s="15"/>
    </row>
    <row r="53" spans="1:7" ht="27.75" customHeight="1" x14ac:dyDescent="0.3">
      <c r="A53" s="15"/>
      <c r="B53" s="15"/>
      <c r="C53" s="15"/>
      <c r="D53" s="15"/>
      <c r="E53" s="15"/>
      <c r="F53" s="15"/>
      <c r="G53" s="15"/>
    </row>
    <row r="54" spans="1:7" ht="27.75" customHeight="1" x14ac:dyDescent="0.3">
      <c r="A54" s="15"/>
      <c r="B54" s="15"/>
      <c r="C54" s="15"/>
      <c r="D54" s="15"/>
      <c r="E54" s="15"/>
      <c r="F54" s="15"/>
      <c r="G54" s="15"/>
    </row>
  </sheetData>
  <mergeCells count="33">
    <mergeCell ref="A1:G1"/>
    <mergeCell ref="A2:G2"/>
    <mergeCell ref="A3:G3"/>
    <mergeCell ref="A4:G4"/>
    <mergeCell ref="A5:G5"/>
    <mergeCell ref="A6:G6"/>
    <mergeCell ref="A7:G7"/>
    <mergeCell ref="A8:B8"/>
    <mergeCell ref="C8:G8"/>
    <mergeCell ref="A9:B9"/>
    <mergeCell ref="C9:G9"/>
    <mergeCell ref="A10:B10"/>
    <mergeCell ref="C10:G10"/>
    <mergeCell ref="A11:B11"/>
    <mergeCell ref="C11:G11"/>
    <mergeCell ref="C12:G12"/>
    <mergeCell ref="A13:B13"/>
    <mergeCell ref="C13:G13"/>
    <mergeCell ref="A32:G32"/>
    <mergeCell ref="A33:G33"/>
    <mergeCell ref="A44:G44"/>
    <mergeCell ref="A45:B45"/>
    <mergeCell ref="C45:G45"/>
    <mergeCell ref="A46:B46"/>
    <mergeCell ref="C46:G46"/>
    <mergeCell ref="A47:B47"/>
    <mergeCell ref="C47:G47"/>
    <mergeCell ref="A52:G54"/>
    <mergeCell ref="A48:B48"/>
    <mergeCell ref="C48:G48"/>
    <mergeCell ref="A49:B49"/>
    <mergeCell ref="C49:G49"/>
    <mergeCell ref="A51:G51"/>
  </mergeCells>
  <dataValidations count="7">
    <dataValidation type="list" allowBlank="1" errorTitle="Valor no válido" error="Seleccione un valor de la lista desplegable." promptTitle="Código de Bloque" prompt="Elija una opción de la lista." sqref="C10" xr:uid="{00000000-0002-0000-0300-000000000000}">
      <formula1>lst_CodigoBloque</formula1>
      <formula2>0</formula2>
    </dataValidation>
    <dataValidation type="list" allowBlank="1" errorTitle="Valor no válido" error="Seleccione un valor de la lista desplegable." promptTitle="Presencia" prompt="Elija una opción de la lista." sqref="C15:C30" xr:uid="{00000000-0002-0000-0300-000001000000}">
      <formula1>lst_SiNo</formula1>
      <formula2>0</formula2>
    </dataValidation>
    <dataValidation type="list" allowBlank="1" errorTitle="Valor no válido" error="Seleccione un valor de la lista desplegable." promptTitle="Intensidad" prompt="Elija una opción de la lista." sqref="D15:D30" xr:uid="{00000000-0002-0000-0300-000002000000}">
      <formula1>lst_Intensidad</formula1>
      <formula2>0</formula2>
    </dataValidation>
    <dataValidation type="list" allowBlank="1" errorTitle="Valor no válido" error="Seleccione un valor de la lista desplegable." promptTitle="Nivel" prompt="Elija una opción de la lista." sqref="G35:G42" xr:uid="{00000000-0002-0000-0300-000003000000}">
      <formula1>lst_NivelInd</formula1>
      <formula2>0</formula2>
    </dataValidation>
    <dataValidation type="list" allowBlank="1" errorTitle="Valor no válido" error="Seleccione un valor de la lista desplegable." promptTitle="Velocidad de degradación perci" prompt="Elija una opción de la lista." sqref="C47" xr:uid="{00000000-0002-0000-0300-000004000000}">
      <formula1>lst_Velocidad</formula1>
      <formula2>0</formula2>
    </dataValidation>
    <dataValidation type="list" allowBlank="1" errorTitle="Valor no válido" error="Seleccione un valor de la lista desplegable." promptTitle="Reversibilidad técnica" prompt="Elija una opción de la lista." sqref="C48" xr:uid="{00000000-0002-0000-0300-000005000000}">
      <formula1>lst_Reversibilidad</formula1>
      <formula2>0</formula2>
    </dataValidation>
    <dataValidation type="list" allowBlank="1" errorTitle="Valor no válido" error="Seleccione un valor de la lista desplegable." promptTitle="Urgencia de intervención" prompt="Elija una opción de la lista." sqref="C49" xr:uid="{00000000-0002-0000-0300-000006000000}">
      <formula1>lst_Urgencia</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51"/>
  <sheetViews>
    <sheetView showGridLines="0" tabSelected="1" zoomScale="130" zoomScaleNormal="130" workbookViewId="0">
      <pane ySplit="6" topLeftCell="A14" activePane="bottomLeft" state="frozen"/>
      <selection pane="bottomLeft" activeCell="C17" sqref="C17"/>
    </sheetView>
  </sheetViews>
  <sheetFormatPr baseColWidth="10" defaultColWidth="8.6640625" defaultRowHeight="14.4" x14ac:dyDescent="0.3"/>
  <cols>
    <col min="1" max="1" width="8" customWidth="1"/>
    <col min="2" max="2" width="28" customWidth="1"/>
    <col min="3" max="4" width="12" customWidth="1"/>
    <col min="5" max="5" width="18" customWidth="1"/>
    <col min="6" max="6" width="24" customWidth="1"/>
    <col min="7" max="7" width="14" customWidth="1"/>
    <col min="8" max="8" width="26" customWidth="1"/>
  </cols>
  <sheetData>
    <row r="1" spans="1:8" ht="21.75" customHeight="1" x14ac:dyDescent="0.3">
      <c r="A1" s="19" t="s">
        <v>0</v>
      </c>
      <c r="B1" s="19"/>
      <c r="C1" s="19"/>
      <c r="D1" s="19"/>
      <c r="E1" s="19"/>
      <c r="F1" s="19"/>
      <c r="G1" s="19"/>
      <c r="H1" s="19"/>
    </row>
    <row r="2" spans="1:8" ht="18" customHeight="1" x14ac:dyDescent="0.3">
      <c r="A2" s="20" t="s">
        <v>1</v>
      </c>
      <c r="B2" s="20"/>
      <c r="C2" s="20"/>
      <c r="D2" s="20"/>
      <c r="E2" s="20"/>
      <c r="F2" s="20"/>
      <c r="G2" s="20"/>
      <c r="H2" s="20"/>
    </row>
    <row r="3" spans="1:8" ht="30" customHeight="1" x14ac:dyDescent="0.3">
      <c r="A3" s="20" t="s">
        <v>2</v>
      </c>
      <c r="B3" s="20"/>
      <c r="C3" s="20"/>
      <c r="D3" s="20"/>
      <c r="E3" s="20"/>
      <c r="F3" s="20"/>
      <c r="G3" s="20"/>
      <c r="H3" s="20"/>
    </row>
    <row r="4" spans="1:8" ht="27.75" customHeight="1" x14ac:dyDescent="0.3">
      <c r="A4" s="21" t="s">
        <v>325</v>
      </c>
      <c r="B4" s="21"/>
      <c r="C4" s="21"/>
      <c r="D4" s="21"/>
      <c r="E4" s="21"/>
      <c r="F4" s="21"/>
      <c r="G4" s="21"/>
      <c r="H4" s="21"/>
    </row>
    <row r="5" spans="1:8" ht="27.75" customHeight="1" x14ac:dyDescent="0.3">
      <c r="A5" s="22" t="s">
        <v>326</v>
      </c>
      <c r="B5" s="22"/>
      <c r="C5" s="22"/>
      <c r="D5" s="22"/>
      <c r="E5" s="22"/>
      <c r="F5" s="22"/>
      <c r="G5" s="22"/>
      <c r="H5" s="22"/>
    </row>
    <row r="6" spans="1:8" ht="24" customHeight="1" x14ac:dyDescent="0.3">
      <c r="A6" s="18" t="s">
        <v>5</v>
      </c>
      <c r="B6" s="18"/>
      <c r="C6" s="18"/>
      <c r="D6" s="18"/>
      <c r="E6" s="18"/>
      <c r="F6" s="18"/>
      <c r="G6" s="18"/>
      <c r="H6" s="18"/>
    </row>
    <row r="7" spans="1:8" ht="21.75" customHeight="1" x14ac:dyDescent="0.3">
      <c r="A7" s="14" t="s">
        <v>53</v>
      </c>
      <c r="B7" s="14"/>
      <c r="C7" s="14"/>
      <c r="D7" s="14"/>
      <c r="E7" s="14"/>
      <c r="F7" s="14"/>
      <c r="G7" s="14"/>
      <c r="H7" s="14"/>
    </row>
    <row r="8" spans="1:8" ht="19.5" customHeight="1" x14ac:dyDescent="0.3">
      <c r="A8" s="12" t="s">
        <v>7</v>
      </c>
      <c r="B8" s="12"/>
      <c r="C8" s="13" t="s">
        <v>8</v>
      </c>
      <c r="D8" s="13"/>
      <c r="E8" s="12" t="s">
        <v>54</v>
      </c>
      <c r="F8" s="12"/>
      <c r="G8" s="13" t="s">
        <v>55</v>
      </c>
      <c r="H8" s="13"/>
    </row>
    <row r="9" spans="1:8" ht="19.5" customHeight="1" x14ac:dyDescent="0.3">
      <c r="A9" s="12" t="s">
        <v>15</v>
      </c>
      <c r="B9" s="12"/>
      <c r="C9" s="13" t="s">
        <v>16</v>
      </c>
      <c r="D9" s="13"/>
      <c r="E9" s="12" t="s">
        <v>94</v>
      </c>
      <c r="F9" s="12"/>
      <c r="G9" s="17" t="str">
        <f>IFERROR(VLOOKUP($C$9,tbl_Bloques,2,FALSE()),"")</f>
        <v>C1077-Q9579</v>
      </c>
      <c r="H9" s="17"/>
    </row>
    <row r="10" spans="1:8" ht="19.5" customHeight="1" x14ac:dyDescent="0.3">
      <c r="A10" s="12" t="s">
        <v>19</v>
      </c>
      <c r="B10" s="12"/>
      <c r="C10" s="17" t="str">
        <f>IFERROR(VLOOKUP($C$9,tbl_Bloques,4,FALSE()),"")</f>
        <v>Buenos Aires</v>
      </c>
      <c r="D10" s="17"/>
      <c r="E10" s="12" t="s">
        <v>18</v>
      </c>
      <c r="F10" s="12"/>
      <c r="G10" s="17" t="str">
        <f>IFERROR(VLOOKUP($C$9,tbl_Bloques,3,FALSE()),"")</f>
        <v>Morropon</v>
      </c>
      <c r="H10" s="17"/>
    </row>
    <row r="12" spans="1:8" ht="21.75" customHeight="1" x14ac:dyDescent="0.3">
      <c r="A12" s="14" t="s">
        <v>327</v>
      </c>
      <c r="B12" s="14"/>
      <c r="C12" s="14"/>
      <c r="D12" s="14"/>
      <c r="E12" s="14"/>
      <c r="F12" s="14"/>
      <c r="G12" s="14"/>
      <c r="H12" s="14"/>
    </row>
    <row r="13" spans="1:8" ht="27.75" customHeight="1" x14ac:dyDescent="0.3">
      <c r="A13" s="16" t="s">
        <v>328</v>
      </c>
      <c r="B13" s="16"/>
      <c r="C13" s="16"/>
      <c r="D13" s="16"/>
      <c r="E13" s="16"/>
      <c r="F13" s="16"/>
      <c r="G13" s="16"/>
      <c r="H13" s="16"/>
    </row>
    <row r="14" spans="1:8" ht="30" customHeight="1" x14ac:dyDescent="0.3">
      <c r="A14" s="2" t="s">
        <v>131</v>
      </c>
      <c r="B14" s="2" t="s">
        <v>329</v>
      </c>
      <c r="C14" s="2" t="s">
        <v>195</v>
      </c>
      <c r="D14" s="2" t="s">
        <v>196</v>
      </c>
      <c r="E14" s="2" t="s">
        <v>330</v>
      </c>
      <c r="F14" s="2" t="s">
        <v>331</v>
      </c>
      <c r="G14" s="2" t="s">
        <v>332</v>
      </c>
      <c r="H14" s="2" t="s">
        <v>333</v>
      </c>
    </row>
    <row r="15" spans="1:8" ht="19.5" customHeight="1" x14ac:dyDescent="0.3">
      <c r="A15" s="5">
        <v>1</v>
      </c>
      <c r="B15" s="3" t="s">
        <v>334</v>
      </c>
      <c r="C15" s="3">
        <v>621317</v>
      </c>
      <c r="D15" s="3">
        <v>9410690</v>
      </c>
      <c r="E15" s="3" t="s">
        <v>335</v>
      </c>
      <c r="F15" s="3" t="s">
        <v>336</v>
      </c>
      <c r="G15" s="3">
        <v>0</v>
      </c>
      <c r="H15" s="4" t="s">
        <v>337</v>
      </c>
    </row>
    <row r="16" spans="1:8" ht="19.5" customHeight="1" x14ac:dyDescent="0.3">
      <c r="A16" s="5">
        <v>2</v>
      </c>
      <c r="B16" s="3" t="s">
        <v>338</v>
      </c>
      <c r="C16" s="3">
        <v>621442</v>
      </c>
      <c r="D16" s="3">
        <v>9411300</v>
      </c>
      <c r="E16" s="3" t="s">
        <v>339</v>
      </c>
      <c r="F16" s="3" t="s">
        <v>336</v>
      </c>
      <c r="G16" s="3">
        <v>250</v>
      </c>
      <c r="H16" s="4" t="s">
        <v>340</v>
      </c>
    </row>
    <row r="17" spans="1:8" ht="19.5" customHeight="1" x14ac:dyDescent="0.3">
      <c r="A17" s="5">
        <v>3</v>
      </c>
      <c r="B17" s="3" t="s">
        <v>334</v>
      </c>
      <c r="C17" s="3">
        <v>621158</v>
      </c>
      <c r="D17" s="3">
        <v>9410869</v>
      </c>
      <c r="E17" s="3" t="s">
        <v>335</v>
      </c>
      <c r="F17" s="3" t="s">
        <v>342</v>
      </c>
      <c r="G17" s="3">
        <v>800</v>
      </c>
      <c r="H17" s="4" t="s">
        <v>343</v>
      </c>
    </row>
    <row r="18" spans="1:8" ht="19.5" customHeight="1" x14ac:dyDescent="0.3">
      <c r="A18" s="5">
        <v>4</v>
      </c>
      <c r="B18" s="3" t="s">
        <v>334</v>
      </c>
      <c r="C18" s="3">
        <v>621501</v>
      </c>
      <c r="D18" s="3">
        <v>9410664</v>
      </c>
      <c r="E18" s="3" t="s">
        <v>335</v>
      </c>
      <c r="F18" s="3" t="s">
        <v>342</v>
      </c>
      <c r="G18" s="3">
        <v>0</v>
      </c>
      <c r="H18" s="4" t="s">
        <v>344</v>
      </c>
    </row>
    <row r="19" spans="1:8" ht="19.5" customHeight="1" x14ac:dyDescent="0.3">
      <c r="A19" s="5">
        <v>5</v>
      </c>
      <c r="B19" s="3" t="s">
        <v>345</v>
      </c>
      <c r="C19" s="3">
        <v>621256</v>
      </c>
      <c r="D19" s="3">
        <v>9410755</v>
      </c>
      <c r="E19" s="3" t="s">
        <v>339</v>
      </c>
      <c r="F19" s="3" t="s">
        <v>346</v>
      </c>
      <c r="G19" s="3">
        <v>30</v>
      </c>
      <c r="H19" s="4" t="s">
        <v>347</v>
      </c>
    </row>
    <row r="20" spans="1:8" ht="19.5" customHeight="1" x14ac:dyDescent="0.3">
      <c r="A20" s="5">
        <v>6</v>
      </c>
      <c r="B20" s="3"/>
      <c r="C20" s="3"/>
      <c r="D20" s="3"/>
      <c r="E20" s="3"/>
      <c r="F20" s="3"/>
      <c r="G20" s="3"/>
      <c r="H20" s="4"/>
    </row>
    <row r="21" spans="1:8" ht="19.5" customHeight="1" x14ac:dyDescent="0.3">
      <c r="A21" s="5">
        <v>7</v>
      </c>
      <c r="B21" s="3"/>
      <c r="C21" s="3"/>
      <c r="D21" s="3"/>
      <c r="E21" s="3"/>
      <c r="F21" s="3"/>
      <c r="G21" s="3"/>
      <c r="H21" s="4"/>
    </row>
    <row r="22" spans="1:8" ht="19.5" customHeight="1" x14ac:dyDescent="0.3">
      <c r="A22" s="5">
        <v>8</v>
      </c>
      <c r="B22" s="3"/>
      <c r="C22" s="3"/>
      <c r="D22" s="3"/>
      <c r="E22" s="3"/>
      <c r="F22" s="3"/>
      <c r="G22" s="3"/>
      <c r="H22" s="4"/>
    </row>
    <row r="23" spans="1:8" ht="19.5" customHeight="1" x14ac:dyDescent="0.3">
      <c r="A23" s="5">
        <v>9</v>
      </c>
      <c r="B23" s="3"/>
      <c r="C23" s="3"/>
      <c r="D23" s="3"/>
      <c r="E23" s="3"/>
      <c r="F23" s="3"/>
      <c r="G23" s="3"/>
      <c r="H23" s="4"/>
    </row>
    <row r="24" spans="1:8" ht="19.5" customHeight="1" x14ac:dyDescent="0.3">
      <c r="A24" s="5">
        <v>10</v>
      </c>
      <c r="B24" s="3"/>
      <c r="C24" s="3"/>
      <c r="D24" s="3"/>
      <c r="E24" s="3"/>
      <c r="F24" s="3"/>
      <c r="G24" s="3"/>
      <c r="H24" s="4"/>
    </row>
    <row r="26" spans="1:8" ht="21.75" customHeight="1" x14ac:dyDescent="0.3">
      <c r="A26" s="14" t="s">
        <v>348</v>
      </c>
      <c r="B26" s="14"/>
      <c r="C26" s="14"/>
      <c r="D26" s="14"/>
      <c r="E26" s="14"/>
      <c r="F26" s="14"/>
      <c r="G26" s="14"/>
      <c r="H26" s="14"/>
    </row>
    <row r="27" spans="1:8" ht="19.5" customHeight="1" x14ac:dyDescent="0.3">
      <c r="A27" s="12" t="s">
        <v>349</v>
      </c>
      <c r="B27" s="12"/>
      <c r="C27" s="13" t="s">
        <v>46</v>
      </c>
      <c r="D27" s="13"/>
      <c r="E27" s="13"/>
      <c r="F27" s="13"/>
      <c r="G27" s="13"/>
      <c r="H27" s="13"/>
    </row>
    <row r="28" spans="1:8" ht="19.5" customHeight="1" x14ac:dyDescent="0.3">
      <c r="A28" s="12" t="s">
        <v>350</v>
      </c>
      <c r="B28" s="12"/>
      <c r="C28" s="13" t="s">
        <v>46</v>
      </c>
      <c r="D28" s="13"/>
      <c r="E28" s="13"/>
      <c r="F28" s="13"/>
      <c r="G28" s="13"/>
      <c r="H28" s="13"/>
    </row>
    <row r="29" spans="1:8" ht="19.5" customHeight="1" x14ac:dyDescent="0.3">
      <c r="A29" s="12" t="s">
        <v>351</v>
      </c>
      <c r="B29" s="12"/>
      <c r="C29" s="13" t="s">
        <v>46</v>
      </c>
      <c r="D29" s="13"/>
      <c r="E29" s="13"/>
      <c r="F29" s="13"/>
      <c r="G29" s="13"/>
      <c r="H29" s="13"/>
    </row>
    <row r="30" spans="1:8" ht="19.5" customHeight="1" x14ac:dyDescent="0.3">
      <c r="A30" s="12" t="s">
        <v>352</v>
      </c>
      <c r="B30" s="12"/>
      <c r="C30" s="13">
        <v>200</v>
      </c>
      <c r="D30" s="13"/>
      <c r="E30" s="13"/>
      <c r="F30" s="13"/>
      <c r="G30" s="13"/>
      <c r="H30" s="13"/>
    </row>
    <row r="31" spans="1:8" ht="19.5" customHeight="1" x14ac:dyDescent="0.3">
      <c r="A31" s="12" t="s">
        <v>353</v>
      </c>
      <c r="B31" s="12"/>
      <c r="C31" s="13"/>
      <c r="D31" s="13"/>
      <c r="E31" s="13"/>
      <c r="F31" s="13"/>
      <c r="G31" s="13"/>
      <c r="H31" s="13"/>
    </row>
    <row r="32" spans="1:8" ht="19.5" customHeight="1" x14ac:dyDescent="0.3">
      <c r="A32" s="12" t="s">
        <v>354</v>
      </c>
      <c r="B32" s="12"/>
      <c r="C32" s="13" t="s">
        <v>46</v>
      </c>
      <c r="D32" s="13"/>
      <c r="E32" s="13"/>
      <c r="F32" s="13"/>
      <c r="G32" s="13"/>
      <c r="H32" s="13"/>
    </row>
    <row r="33" spans="1:8" ht="19.5" customHeight="1" x14ac:dyDescent="0.3">
      <c r="A33" s="12" t="s">
        <v>355</v>
      </c>
      <c r="B33" s="12"/>
      <c r="C33" s="13" t="s">
        <v>356</v>
      </c>
      <c r="D33" s="13"/>
      <c r="E33" s="13"/>
      <c r="F33" s="13"/>
      <c r="G33" s="13"/>
      <c r="H33" s="13"/>
    </row>
    <row r="35" spans="1:8" ht="21.75" customHeight="1" x14ac:dyDescent="0.3">
      <c r="A35" s="14" t="s">
        <v>357</v>
      </c>
      <c r="B35" s="14"/>
      <c r="C35" s="14"/>
      <c r="D35" s="14"/>
      <c r="E35" s="14"/>
      <c r="F35" s="14"/>
      <c r="G35" s="14"/>
      <c r="H35" s="14"/>
    </row>
    <row r="36" spans="1:8" ht="19.5" customHeight="1" x14ac:dyDescent="0.3">
      <c r="A36" s="12" t="s">
        <v>358</v>
      </c>
      <c r="B36" s="12"/>
      <c r="C36" s="13" t="s">
        <v>359</v>
      </c>
      <c r="D36" s="13"/>
      <c r="E36" s="13"/>
      <c r="F36" s="13"/>
      <c r="G36" s="13"/>
      <c r="H36" s="13"/>
    </row>
    <row r="37" spans="1:8" ht="19.5" customHeight="1" x14ac:dyDescent="0.3">
      <c r="A37" s="12" t="s">
        <v>360</v>
      </c>
      <c r="B37" s="12"/>
      <c r="C37" s="13" t="s">
        <v>361</v>
      </c>
      <c r="D37" s="13"/>
      <c r="E37" s="13"/>
      <c r="F37" s="13"/>
      <c r="G37" s="13"/>
      <c r="H37" s="13"/>
    </row>
    <row r="38" spans="1:8" ht="19.5" customHeight="1" x14ac:dyDescent="0.3">
      <c r="A38" s="12" t="s">
        <v>362</v>
      </c>
      <c r="B38" s="12"/>
      <c r="C38" s="13" t="s">
        <v>363</v>
      </c>
      <c r="D38" s="13"/>
      <c r="E38" s="13"/>
      <c r="F38" s="13"/>
      <c r="G38" s="13"/>
      <c r="H38" s="13"/>
    </row>
    <row r="39" spans="1:8" ht="19.5" customHeight="1" x14ac:dyDescent="0.3">
      <c r="A39" s="12" t="s">
        <v>364</v>
      </c>
      <c r="B39" s="12"/>
      <c r="C39" s="13" t="s">
        <v>313</v>
      </c>
      <c r="D39" s="13"/>
      <c r="E39" s="13"/>
      <c r="F39" s="13"/>
      <c r="G39" s="13"/>
      <c r="H39" s="13"/>
    </row>
    <row r="40" spans="1:8" ht="19.5" customHeight="1" x14ac:dyDescent="0.3">
      <c r="A40" s="12" t="s">
        <v>365</v>
      </c>
      <c r="B40" s="12"/>
      <c r="C40" s="13" t="s">
        <v>284</v>
      </c>
      <c r="D40" s="13"/>
      <c r="E40" s="13"/>
      <c r="F40" s="13"/>
      <c r="G40" s="13"/>
      <c r="H40" s="13"/>
    </row>
    <row r="41" spans="1:8" ht="19.5" customHeight="1" x14ac:dyDescent="0.3">
      <c r="A41" s="12" t="s">
        <v>366</v>
      </c>
      <c r="B41" s="12"/>
      <c r="C41" s="13">
        <v>25</v>
      </c>
      <c r="D41" s="13"/>
      <c r="E41" s="12" t="s">
        <v>367</v>
      </c>
      <c r="F41" s="12"/>
      <c r="G41" s="13">
        <v>50</v>
      </c>
      <c r="H41" s="13"/>
    </row>
    <row r="42" spans="1:8" ht="19.5" customHeight="1" x14ac:dyDescent="0.3">
      <c r="A42" s="12" t="s">
        <v>368</v>
      </c>
      <c r="B42" s="12"/>
      <c r="C42" s="13" t="s">
        <v>369</v>
      </c>
      <c r="D42" s="13"/>
      <c r="E42" s="13"/>
      <c r="F42" s="13"/>
      <c r="G42" s="13"/>
      <c r="H42" s="13"/>
    </row>
    <row r="43" spans="1:8" ht="19.5" customHeight="1" x14ac:dyDescent="0.3">
      <c r="A43" s="12" t="s">
        <v>370</v>
      </c>
      <c r="B43" s="12"/>
      <c r="C43" s="13" t="s">
        <v>371</v>
      </c>
      <c r="D43" s="13"/>
      <c r="E43" s="13"/>
      <c r="F43" s="13"/>
      <c r="G43" s="13"/>
      <c r="H43" s="13"/>
    </row>
    <row r="44" spans="1:8" ht="19.5" customHeight="1" x14ac:dyDescent="0.3">
      <c r="A44" s="12" t="s">
        <v>372</v>
      </c>
      <c r="B44" s="12"/>
      <c r="C44" s="13" t="s">
        <v>373</v>
      </c>
      <c r="D44" s="13"/>
      <c r="E44" s="13"/>
      <c r="F44" s="13"/>
      <c r="G44" s="13"/>
      <c r="H44" s="13"/>
    </row>
    <row r="45" spans="1:8" ht="19.5" customHeight="1" x14ac:dyDescent="0.3">
      <c r="A45" s="12" t="s">
        <v>374</v>
      </c>
      <c r="B45" s="12"/>
      <c r="C45" s="13" t="s">
        <v>44</v>
      </c>
      <c r="D45" s="13"/>
      <c r="E45" s="13"/>
      <c r="F45" s="13"/>
      <c r="G45" s="13"/>
      <c r="H45" s="13"/>
    </row>
    <row r="46" spans="1:8" ht="19.5" customHeight="1" x14ac:dyDescent="0.3">
      <c r="A46" s="12" t="s">
        <v>375</v>
      </c>
      <c r="B46" s="12"/>
      <c r="C46" s="13" t="s">
        <v>760</v>
      </c>
      <c r="D46" s="13"/>
      <c r="E46" s="13"/>
      <c r="F46" s="13"/>
      <c r="G46" s="13"/>
      <c r="H46" s="13"/>
    </row>
    <row r="48" spans="1:8" ht="21.75" customHeight="1" x14ac:dyDescent="0.3">
      <c r="A48" s="14" t="s">
        <v>50</v>
      </c>
      <c r="B48" s="14"/>
      <c r="C48" s="14"/>
      <c r="D48" s="14"/>
      <c r="E48" s="14"/>
      <c r="F48" s="14"/>
      <c r="G48" s="14"/>
      <c r="H48" s="14"/>
    </row>
    <row r="49" spans="1:8" ht="27.75" customHeight="1" x14ac:dyDescent="0.3">
      <c r="A49" s="15" t="s">
        <v>761</v>
      </c>
      <c r="B49" s="15"/>
      <c r="C49" s="15"/>
      <c r="D49" s="15"/>
      <c r="E49" s="15"/>
      <c r="F49" s="15"/>
      <c r="G49" s="15"/>
      <c r="H49" s="15"/>
    </row>
    <row r="50" spans="1:8" ht="27.75" customHeight="1" x14ac:dyDescent="0.3">
      <c r="A50" s="15"/>
      <c r="B50" s="15"/>
      <c r="C50" s="15"/>
      <c r="D50" s="15"/>
      <c r="E50" s="15"/>
      <c r="F50" s="15"/>
      <c r="G50" s="15"/>
      <c r="H50" s="15"/>
    </row>
    <row r="51" spans="1:8" ht="27.75" customHeight="1" x14ac:dyDescent="0.3">
      <c r="A51" s="15"/>
      <c r="B51" s="15"/>
      <c r="C51" s="15"/>
      <c r="D51" s="15"/>
      <c r="E51" s="15"/>
      <c r="F51" s="15"/>
      <c r="G51" s="15"/>
      <c r="H51" s="15"/>
    </row>
  </sheetData>
  <mergeCells count="63">
    <mergeCell ref="A1:H1"/>
    <mergeCell ref="A2:H2"/>
    <mergeCell ref="A3:H3"/>
    <mergeCell ref="A4:H4"/>
    <mergeCell ref="A5:H5"/>
    <mergeCell ref="A6:H6"/>
    <mergeCell ref="A7:H7"/>
    <mergeCell ref="A8:B8"/>
    <mergeCell ref="C8:D8"/>
    <mergeCell ref="E8:F8"/>
    <mergeCell ref="G8:H8"/>
    <mergeCell ref="A9:B9"/>
    <mergeCell ref="C9:D9"/>
    <mergeCell ref="E9:F9"/>
    <mergeCell ref="G9:H9"/>
    <mergeCell ref="A10:B10"/>
    <mergeCell ref="C10:D10"/>
    <mergeCell ref="E10:F10"/>
    <mergeCell ref="G10:H10"/>
    <mergeCell ref="A12:H12"/>
    <mergeCell ref="A13:H13"/>
    <mergeCell ref="A26:H26"/>
    <mergeCell ref="A27:B27"/>
    <mergeCell ref="C27:H27"/>
    <mergeCell ref="A28:B28"/>
    <mergeCell ref="C28:H28"/>
    <mergeCell ref="A29:B29"/>
    <mergeCell ref="C29:H29"/>
    <mergeCell ref="A30:B30"/>
    <mergeCell ref="C30:H30"/>
    <mergeCell ref="A31:B31"/>
    <mergeCell ref="C31:H31"/>
    <mergeCell ref="A32:B32"/>
    <mergeCell ref="C32:H32"/>
    <mergeCell ref="A33:B33"/>
    <mergeCell ref="C33:H33"/>
    <mergeCell ref="A35:H35"/>
    <mergeCell ref="A36:B36"/>
    <mergeCell ref="C36:H36"/>
    <mergeCell ref="A37:B37"/>
    <mergeCell ref="C37:H37"/>
    <mergeCell ref="A38:B38"/>
    <mergeCell ref="C38:H38"/>
    <mergeCell ref="A39:B39"/>
    <mergeCell ref="C39:H39"/>
    <mergeCell ref="A40:B40"/>
    <mergeCell ref="C40:H40"/>
    <mergeCell ref="A41:B41"/>
    <mergeCell ref="C41:D41"/>
    <mergeCell ref="E41:F41"/>
    <mergeCell ref="G41:H41"/>
    <mergeCell ref="A42:B42"/>
    <mergeCell ref="C42:H42"/>
    <mergeCell ref="A46:B46"/>
    <mergeCell ref="C46:H46"/>
    <mergeCell ref="A48:H48"/>
    <mergeCell ref="A49:H51"/>
    <mergeCell ref="A43:B43"/>
    <mergeCell ref="C43:H43"/>
    <mergeCell ref="A44:B44"/>
    <mergeCell ref="C44:H44"/>
    <mergeCell ref="A45:B45"/>
    <mergeCell ref="C45:H45"/>
  </mergeCells>
  <dataValidations count="15">
    <dataValidation type="list" allowBlank="1" errorTitle="Valor no válido" error="Seleccione un valor de la lista desplegable." promptTitle="Código de Bloque" prompt="Elija una opción de la lista." sqref="C9" xr:uid="{00000000-0002-0000-0400-000000000000}">
      <formula1>lst_CodigoBloque</formula1>
      <formula2>0</formula2>
    </dataValidation>
    <dataValidation type="list" allowBlank="1" errorTitle="Valor no válido" error="Seleccione un valor de la lista desplegable." promptTitle="Tipo de fuente" prompt="Elija una opción de la lista." sqref="B15:B24" xr:uid="{00000000-0002-0000-0400-000001000000}">
      <formula1>lst_TipoFuente</formula1>
      <formula2>0</formula2>
    </dataValidation>
    <dataValidation type="list" allowBlank="1" errorTitle="Valor no válido" error="Seleccione un valor de la lista desplegable." promptTitle="Régimen" prompt="Elija una opción de la lista." sqref="E15:E24" xr:uid="{00000000-0002-0000-0400-000002000000}">
      <formula1>lst_RegimenHidrico</formula1>
      <formula2>0</formula2>
    </dataValidation>
    <dataValidation type="list" allowBlank="1" errorTitle="Valor no válido" error="Seleccione un valor de la lista desplegable." promptTitle="Calidad aparente" prompt="Elija una opción de la lista." sqref="F15:F24" xr:uid="{00000000-0002-0000-0400-000003000000}">
      <formula1>lst_CalidadAgua</formula1>
      <formula2>0</formula2>
    </dataValidation>
    <dataValidation type="list" allowBlank="1" errorTitle="Valor no válido" error="Seleccione un valor de la lista desplegable." promptTitle="¿Bloque en zona de recarga híd" prompt="Elija una opción de la lista." sqref="C27" xr:uid="{00000000-0002-0000-0400-000004000000}">
      <formula1>lst_SiNo</formula1>
      <formula2>0</formula2>
    </dataValidation>
    <dataValidation type="list" allowBlank="1" errorTitle="Valor no válido" error="Seleccione un valor de la lista desplegable." promptTitle="¿Zonas de humedad persistente " prompt="Elija una opción de la lista." sqref="C28" xr:uid="{00000000-0002-0000-0400-000005000000}">
      <formula1>lst_SiNo</formula1>
      <formula2>0</formula2>
    </dataValidation>
    <dataValidation type="list" allowBlank="1" errorTitle="Valor no válido" error="Seleccione un valor de la lista desplegable." promptTitle="¿Escorrentía concentrada obser" prompt="Elija una opción de la lista." sqref="C29" xr:uid="{00000000-0002-0000-0400-000006000000}">
      <formula1>lst_SiNo</formula1>
      <formula2>0</formula2>
    </dataValidation>
    <dataValidation type="list" allowBlank="1" errorTitle="Valor no válido" error="Seleccione un valor de la lista desplegable." promptTitle="¿Interferencia con obras de ri" prompt="Elija una opción de la lista." sqref="C32" xr:uid="{00000000-0002-0000-0400-000007000000}">
      <formula1>lst_SiNo</formula1>
      <formula2>0</formula2>
    </dataValidation>
    <dataValidation type="list" allowBlank="1" errorTitle="Valor no válido" error="Seleccione un valor de la lista desplegable." promptTitle="Modalidad de acceso al bloque " prompt="Elija una opción de la lista." sqref="C36" xr:uid="{00000000-0002-0000-0400-000008000000}">
      <formula1>lst_ModalidadAcceso</formula1>
      <formula2>0</formula2>
    </dataValidation>
    <dataValidation type="list" allowBlank="1" errorTitle="Valor no válido" error="Seleccione un valor de la lista desplegable." promptTitle="Tipo de vía final" prompt="Elija una opción de la lista." sqref="C38" xr:uid="{00000000-0002-0000-0400-000009000000}">
      <formula1>lst_TipoVia</formula1>
      <formula2>0</formula2>
    </dataValidation>
    <dataValidation type="list" allowBlank="1" errorTitle="Valor no válido" error="Seleccione un valor de la lista desplegable." promptTitle="Estado transitabilidad — época" prompt="Elija una opción de la lista." sqref="C39:C40" xr:uid="{00000000-0002-0000-0400-00000A000000}">
      <formula1>lst_NivelTransitabilidad</formula1>
      <formula2>0</formula2>
    </dataValidation>
    <dataValidation type="list" allowBlank="1" errorTitle="Valor no válido" error="Seleccione un valor de la lista desplegable." promptTitle="Señal celular" prompt="Elija una opción de la lista." sqref="C42" xr:uid="{00000000-0002-0000-0400-00000B000000}">
      <formula1>lst_SenalCelular</formula1>
      <formula2>0</formula2>
    </dataValidation>
    <dataValidation type="list" allowBlank="1" errorTitle="Valor no válido" error="Seleccione un valor de la lista desplegable." promptTitle="Operador celular dominante" prompt="Elija una opción de la lista." sqref="C43" xr:uid="{00000000-0002-0000-0400-00000C000000}">
      <formula1>lst_Operador</formula1>
      <formula2>0</formula2>
    </dataValidation>
    <dataValidation type="list" allowBlank="1" errorTitle="Valor no válido" error="Seleccione un valor de la lista desplegable." promptTitle="Alojamiento rural disponible" prompt="Elija una opción de la lista." sqref="C44" xr:uid="{00000000-0002-0000-0400-00000D000000}">
      <formula1>lst_SiNo</formula1>
      <formula2>0</formula2>
    </dataValidation>
    <dataValidation type="list" allowBlank="1" errorTitle="Valor no válido" error="Seleccione un valor de la lista desplegable." promptTitle="¿Requiere autorización de Rond" prompt="Elija una opción de la lista." sqref="C45" xr:uid="{00000000-0002-0000-0400-00000E000000}">
      <formula1>lst_SiNo</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128"/>
  <sheetViews>
    <sheetView zoomScaleNormal="100" workbookViewId="0">
      <pane ySplit="1" topLeftCell="A2" activePane="bottomLeft" state="frozen"/>
      <selection pane="bottomLeft"/>
    </sheetView>
  </sheetViews>
  <sheetFormatPr baseColWidth="10" defaultColWidth="8.6640625" defaultRowHeight="14.4" x14ac:dyDescent="0.3"/>
  <cols>
    <col min="1" max="1" width="10" customWidth="1"/>
    <col min="2" max="3" width="16" customWidth="1"/>
    <col min="4" max="4" width="24" customWidth="1"/>
    <col min="5" max="5" width="8" customWidth="1"/>
    <col min="6" max="7" width="12" customWidth="1"/>
    <col min="8" max="8" width="11" customWidth="1"/>
  </cols>
  <sheetData>
    <row r="1" spans="1:8" ht="15" customHeight="1" x14ac:dyDescent="0.3">
      <c r="A1" s="2" t="s">
        <v>376</v>
      </c>
      <c r="B1" s="2" t="s">
        <v>377</v>
      </c>
      <c r="C1" s="2" t="s">
        <v>378</v>
      </c>
      <c r="D1" s="2" t="s">
        <v>379</v>
      </c>
      <c r="E1" s="2" t="s">
        <v>380</v>
      </c>
      <c r="F1" s="2" t="s">
        <v>381</v>
      </c>
      <c r="G1" s="2" t="s">
        <v>382</v>
      </c>
      <c r="H1" s="2" t="s">
        <v>383</v>
      </c>
    </row>
    <row r="2" spans="1:8" ht="15" customHeight="1" x14ac:dyDescent="0.3">
      <c r="A2" s="9" t="s">
        <v>384</v>
      </c>
      <c r="B2" s="9" t="s">
        <v>385</v>
      </c>
      <c r="C2" s="9" t="s">
        <v>386</v>
      </c>
      <c r="D2" s="9" t="s">
        <v>387</v>
      </c>
      <c r="E2" s="9" t="s">
        <v>388</v>
      </c>
      <c r="F2" s="10">
        <v>595552</v>
      </c>
      <c r="G2" s="10">
        <v>9451222</v>
      </c>
      <c r="H2" s="11">
        <v>355.36</v>
      </c>
    </row>
    <row r="3" spans="1:8" ht="15" customHeight="1" x14ac:dyDescent="0.3">
      <c r="A3" s="9" t="s">
        <v>389</v>
      </c>
      <c r="B3" s="9" t="s">
        <v>390</v>
      </c>
      <c r="C3" s="9" t="s">
        <v>386</v>
      </c>
      <c r="D3" s="9" t="s">
        <v>387</v>
      </c>
      <c r="E3" s="9" t="s">
        <v>388</v>
      </c>
      <c r="F3" s="10">
        <v>596773</v>
      </c>
      <c r="G3" s="10">
        <v>9448273</v>
      </c>
      <c r="H3" s="11">
        <v>68.89</v>
      </c>
    </row>
    <row r="4" spans="1:8" ht="15" customHeight="1" x14ac:dyDescent="0.3">
      <c r="A4" s="9" t="s">
        <v>391</v>
      </c>
      <c r="B4" s="9" t="s">
        <v>390</v>
      </c>
      <c r="C4" s="9" t="s">
        <v>386</v>
      </c>
      <c r="D4" s="9" t="s">
        <v>387</v>
      </c>
      <c r="E4" s="9" t="s">
        <v>388</v>
      </c>
      <c r="F4" s="10">
        <v>596578</v>
      </c>
      <c r="G4" s="10">
        <v>9442453</v>
      </c>
      <c r="H4" s="11">
        <v>53.48</v>
      </c>
    </row>
    <row r="5" spans="1:8" ht="15" customHeight="1" x14ac:dyDescent="0.3">
      <c r="A5" s="9" t="s">
        <v>392</v>
      </c>
      <c r="B5" s="9" t="s">
        <v>393</v>
      </c>
      <c r="C5" s="9" t="s">
        <v>386</v>
      </c>
      <c r="D5" s="9" t="s">
        <v>387</v>
      </c>
      <c r="E5" s="9" t="s">
        <v>388</v>
      </c>
      <c r="F5" s="10">
        <v>599927</v>
      </c>
      <c r="G5" s="10">
        <v>9442604</v>
      </c>
      <c r="H5" s="11">
        <v>35.83</v>
      </c>
    </row>
    <row r="6" spans="1:8" ht="15" customHeight="1" x14ac:dyDescent="0.3">
      <c r="A6" s="9" t="s">
        <v>394</v>
      </c>
      <c r="B6" s="9" t="s">
        <v>393</v>
      </c>
      <c r="C6" s="9" t="s">
        <v>386</v>
      </c>
      <c r="D6" s="9" t="s">
        <v>387</v>
      </c>
      <c r="E6" s="9" t="s">
        <v>388</v>
      </c>
      <c r="F6" s="10">
        <v>601122</v>
      </c>
      <c r="G6" s="10">
        <v>9443651</v>
      </c>
      <c r="H6" s="11">
        <v>79.33</v>
      </c>
    </row>
    <row r="7" spans="1:8" ht="15" customHeight="1" x14ac:dyDescent="0.3">
      <c r="A7" s="9" t="s">
        <v>395</v>
      </c>
      <c r="B7" s="9" t="s">
        <v>393</v>
      </c>
      <c r="C7" s="9" t="s">
        <v>386</v>
      </c>
      <c r="D7" s="9" t="s">
        <v>387</v>
      </c>
      <c r="E7" s="9" t="s">
        <v>388</v>
      </c>
      <c r="F7" s="10">
        <v>600644</v>
      </c>
      <c r="G7" s="10">
        <v>9440436</v>
      </c>
      <c r="H7" s="11">
        <v>42.45</v>
      </c>
    </row>
    <row r="8" spans="1:8" ht="15" customHeight="1" x14ac:dyDescent="0.3">
      <c r="A8" s="9" t="s">
        <v>396</v>
      </c>
      <c r="B8" s="9" t="s">
        <v>397</v>
      </c>
      <c r="C8" s="9" t="s">
        <v>386</v>
      </c>
      <c r="D8" s="9" t="s">
        <v>387</v>
      </c>
      <c r="E8" s="9" t="s">
        <v>388</v>
      </c>
      <c r="F8" s="10">
        <v>603653</v>
      </c>
      <c r="G8" s="10">
        <v>9439351</v>
      </c>
      <c r="H8" s="11">
        <v>330.6</v>
      </c>
    </row>
    <row r="9" spans="1:8" ht="15" customHeight="1" x14ac:dyDescent="0.3">
      <c r="A9" s="9" t="s">
        <v>398</v>
      </c>
      <c r="B9" s="9" t="s">
        <v>393</v>
      </c>
      <c r="C9" s="9" t="s">
        <v>386</v>
      </c>
      <c r="D9" s="9" t="s">
        <v>387</v>
      </c>
      <c r="E9" s="9" t="s">
        <v>388</v>
      </c>
      <c r="F9" s="10">
        <v>604926</v>
      </c>
      <c r="G9" s="10">
        <v>9444327</v>
      </c>
      <c r="H9" s="11">
        <v>124.71</v>
      </c>
    </row>
    <row r="10" spans="1:8" ht="15" customHeight="1" x14ac:dyDescent="0.3">
      <c r="A10" s="9" t="s">
        <v>399</v>
      </c>
      <c r="B10" s="9" t="s">
        <v>400</v>
      </c>
      <c r="C10" s="9" t="s">
        <v>386</v>
      </c>
      <c r="D10" s="9" t="s">
        <v>387</v>
      </c>
      <c r="E10" s="9" t="s">
        <v>388</v>
      </c>
      <c r="F10" s="10">
        <v>593246</v>
      </c>
      <c r="G10" s="10">
        <v>9430139</v>
      </c>
      <c r="H10" s="11">
        <v>448.8</v>
      </c>
    </row>
    <row r="11" spans="1:8" ht="15" customHeight="1" x14ac:dyDescent="0.3">
      <c r="A11" s="9" t="s">
        <v>401</v>
      </c>
      <c r="B11" s="9" t="s">
        <v>385</v>
      </c>
      <c r="C11" s="9" t="s">
        <v>402</v>
      </c>
      <c r="D11" s="9" t="s">
        <v>403</v>
      </c>
      <c r="E11" s="9" t="s">
        <v>404</v>
      </c>
      <c r="F11" s="10">
        <v>606816</v>
      </c>
      <c r="G11" s="10">
        <v>9458469</v>
      </c>
      <c r="H11" s="11">
        <v>459.29</v>
      </c>
    </row>
    <row r="12" spans="1:8" ht="15" customHeight="1" x14ac:dyDescent="0.3">
      <c r="A12" s="9" t="s">
        <v>405</v>
      </c>
      <c r="B12" s="9" t="s">
        <v>390</v>
      </c>
      <c r="C12" s="9" t="s">
        <v>402</v>
      </c>
      <c r="D12" s="9" t="s">
        <v>403</v>
      </c>
      <c r="E12" s="9" t="s">
        <v>404</v>
      </c>
      <c r="F12" s="10">
        <v>605636</v>
      </c>
      <c r="G12" s="10">
        <v>9455269</v>
      </c>
      <c r="H12" s="11">
        <v>168.41</v>
      </c>
    </row>
    <row r="13" spans="1:8" ht="15" customHeight="1" x14ac:dyDescent="0.3">
      <c r="A13" s="9" t="s">
        <v>406</v>
      </c>
      <c r="B13" s="9" t="s">
        <v>390</v>
      </c>
      <c r="C13" s="9" t="s">
        <v>402</v>
      </c>
      <c r="D13" s="9" t="s">
        <v>403</v>
      </c>
      <c r="E13" s="9" t="s">
        <v>404</v>
      </c>
      <c r="F13" s="10">
        <v>606468</v>
      </c>
      <c r="G13" s="10">
        <v>9454689</v>
      </c>
      <c r="H13" s="11">
        <v>24.84</v>
      </c>
    </row>
    <row r="14" spans="1:8" ht="15" customHeight="1" x14ac:dyDescent="0.3">
      <c r="A14" s="9" t="s">
        <v>407</v>
      </c>
      <c r="B14" s="9" t="s">
        <v>393</v>
      </c>
      <c r="C14" s="9" t="s">
        <v>402</v>
      </c>
      <c r="D14" s="9" t="s">
        <v>403</v>
      </c>
      <c r="E14" s="9" t="s">
        <v>404</v>
      </c>
      <c r="F14" s="10">
        <v>608472</v>
      </c>
      <c r="G14" s="10">
        <v>9448056</v>
      </c>
      <c r="H14" s="11">
        <v>258.83999999999997</v>
      </c>
    </row>
    <row r="15" spans="1:8" ht="15" customHeight="1" x14ac:dyDescent="0.3">
      <c r="A15" s="9" t="s">
        <v>408</v>
      </c>
      <c r="B15" s="9" t="s">
        <v>393</v>
      </c>
      <c r="C15" s="9" t="s">
        <v>402</v>
      </c>
      <c r="D15" s="9" t="s">
        <v>403</v>
      </c>
      <c r="E15" s="9" t="s">
        <v>404</v>
      </c>
      <c r="F15" s="10">
        <v>607036</v>
      </c>
      <c r="G15" s="10">
        <v>9446211</v>
      </c>
      <c r="H15" s="11">
        <v>106.54</v>
      </c>
    </row>
    <row r="16" spans="1:8" ht="15" customHeight="1" x14ac:dyDescent="0.3">
      <c r="A16" s="9" t="s">
        <v>409</v>
      </c>
      <c r="B16" s="9" t="s">
        <v>393</v>
      </c>
      <c r="C16" s="9" t="s">
        <v>402</v>
      </c>
      <c r="D16" s="9" t="s">
        <v>403</v>
      </c>
      <c r="E16" s="9" t="s">
        <v>404</v>
      </c>
      <c r="F16" s="10">
        <v>606173</v>
      </c>
      <c r="G16" s="10">
        <v>9447361</v>
      </c>
      <c r="H16" s="11">
        <v>75.36</v>
      </c>
    </row>
    <row r="17" spans="1:8" ht="15" customHeight="1" x14ac:dyDescent="0.3">
      <c r="A17" s="9" t="s">
        <v>410</v>
      </c>
      <c r="B17" s="9" t="s">
        <v>393</v>
      </c>
      <c r="C17" s="9" t="s">
        <v>402</v>
      </c>
      <c r="D17" s="9" t="s">
        <v>403</v>
      </c>
      <c r="E17" s="9" t="s">
        <v>404</v>
      </c>
      <c r="F17" s="10">
        <v>608800</v>
      </c>
      <c r="G17" s="10">
        <v>9445585</v>
      </c>
      <c r="H17" s="11">
        <v>74.03</v>
      </c>
    </row>
    <row r="18" spans="1:8" ht="15" customHeight="1" x14ac:dyDescent="0.3">
      <c r="A18" s="9" t="s">
        <v>411</v>
      </c>
      <c r="B18" s="9" t="s">
        <v>393</v>
      </c>
      <c r="C18" s="9" t="s">
        <v>402</v>
      </c>
      <c r="D18" s="9" t="s">
        <v>403</v>
      </c>
      <c r="E18" s="9" t="s">
        <v>404</v>
      </c>
      <c r="F18" s="10">
        <v>613302</v>
      </c>
      <c r="G18" s="10">
        <v>9450231</v>
      </c>
      <c r="H18" s="11">
        <v>78.150000000000006</v>
      </c>
    </row>
    <row r="19" spans="1:8" ht="15" customHeight="1" x14ac:dyDescent="0.3">
      <c r="A19" s="9" t="s">
        <v>412</v>
      </c>
      <c r="B19" s="9" t="s">
        <v>413</v>
      </c>
      <c r="C19" s="9" t="s">
        <v>402</v>
      </c>
      <c r="D19" s="9" t="s">
        <v>403</v>
      </c>
      <c r="E19" s="9" t="s">
        <v>404</v>
      </c>
      <c r="F19" s="10">
        <v>618523</v>
      </c>
      <c r="G19" s="10">
        <v>9448918</v>
      </c>
      <c r="H19" s="11">
        <v>68.569999999999993</v>
      </c>
    </row>
    <row r="20" spans="1:8" ht="15" customHeight="1" x14ac:dyDescent="0.3">
      <c r="A20" s="9" t="s">
        <v>414</v>
      </c>
      <c r="B20" s="9" t="s">
        <v>413</v>
      </c>
      <c r="C20" s="9" t="s">
        <v>402</v>
      </c>
      <c r="D20" s="9" t="s">
        <v>403</v>
      </c>
      <c r="E20" s="9" t="s">
        <v>404</v>
      </c>
      <c r="F20" s="10">
        <v>631723</v>
      </c>
      <c r="G20" s="10">
        <v>9439702</v>
      </c>
      <c r="H20" s="11">
        <v>77.67</v>
      </c>
    </row>
    <row r="21" spans="1:8" ht="15" customHeight="1" x14ac:dyDescent="0.3">
      <c r="A21" s="9" t="s">
        <v>415</v>
      </c>
      <c r="B21" s="9" t="s">
        <v>416</v>
      </c>
      <c r="C21" s="9" t="s">
        <v>386</v>
      </c>
      <c r="D21" s="9" t="s">
        <v>417</v>
      </c>
      <c r="E21" s="9" t="s">
        <v>418</v>
      </c>
      <c r="F21" s="10">
        <v>625419</v>
      </c>
      <c r="G21" s="10">
        <v>9444932</v>
      </c>
      <c r="H21" s="11">
        <v>119.54</v>
      </c>
    </row>
    <row r="22" spans="1:8" ht="15" customHeight="1" x14ac:dyDescent="0.3">
      <c r="A22" s="9" t="s">
        <v>419</v>
      </c>
      <c r="B22" s="9" t="s">
        <v>416</v>
      </c>
      <c r="C22" s="9" t="s">
        <v>386</v>
      </c>
      <c r="D22" s="9" t="s">
        <v>417</v>
      </c>
      <c r="E22" s="9" t="s">
        <v>418</v>
      </c>
      <c r="F22" s="10">
        <v>621452</v>
      </c>
      <c r="G22" s="10">
        <v>9443855</v>
      </c>
      <c r="H22" s="11">
        <v>35.659999999999997</v>
      </c>
    </row>
    <row r="23" spans="1:8" ht="15" customHeight="1" x14ac:dyDescent="0.3">
      <c r="A23" s="9" t="s">
        <v>420</v>
      </c>
      <c r="B23" s="9" t="s">
        <v>413</v>
      </c>
      <c r="C23" s="9" t="s">
        <v>386</v>
      </c>
      <c r="D23" s="9" t="s">
        <v>417</v>
      </c>
      <c r="E23" s="9" t="s">
        <v>418</v>
      </c>
      <c r="F23" s="10">
        <v>620263</v>
      </c>
      <c r="G23" s="10">
        <v>9442343</v>
      </c>
      <c r="H23" s="11">
        <v>100.51</v>
      </c>
    </row>
    <row r="24" spans="1:8" ht="15" customHeight="1" x14ac:dyDescent="0.3">
      <c r="A24" s="9" t="s">
        <v>421</v>
      </c>
      <c r="B24" s="9" t="s">
        <v>416</v>
      </c>
      <c r="C24" s="9" t="s">
        <v>386</v>
      </c>
      <c r="D24" s="9" t="s">
        <v>417</v>
      </c>
      <c r="E24" s="9" t="s">
        <v>418</v>
      </c>
      <c r="F24" s="10">
        <v>619630</v>
      </c>
      <c r="G24" s="10">
        <v>9440043</v>
      </c>
      <c r="H24" s="11">
        <v>35.1</v>
      </c>
    </row>
    <row r="25" spans="1:8" ht="15" customHeight="1" x14ac:dyDescent="0.3">
      <c r="A25" s="9" t="s">
        <v>422</v>
      </c>
      <c r="B25" s="9" t="s">
        <v>416</v>
      </c>
      <c r="C25" s="9" t="s">
        <v>386</v>
      </c>
      <c r="D25" s="9" t="s">
        <v>417</v>
      </c>
      <c r="E25" s="9" t="s">
        <v>418</v>
      </c>
      <c r="F25" s="10">
        <v>620759</v>
      </c>
      <c r="G25" s="10">
        <v>9439988</v>
      </c>
      <c r="H25" s="11">
        <v>103.95</v>
      </c>
    </row>
    <row r="26" spans="1:8" ht="15" customHeight="1" x14ac:dyDescent="0.3">
      <c r="A26" s="9" t="s">
        <v>423</v>
      </c>
      <c r="B26" s="9" t="s">
        <v>416</v>
      </c>
      <c r="C26" s="9" t="s">
        <v>386</v>
      </c>
      <c r="D26" s="9" t="s">
        <v>417</v>
      </c>
      <c r="E26" s="9" t="s">
        <v>418</v>
      </c>
      <c r="F26" s="10">
        <v>619939</v>
      </c>
      <c r="G26" s="10">
        <v>9438544</v>
      </c>
      <c r="H26" s="11">
        <v>81.78</v>
      </c>
    </row>
    <row r="27" spans="1:8" ht="15" customHeight="1" x14ac:dyDescent="0.3">
      <c r="A27" s="9" t="s">
        <v>424</v>
      </c>
      <c r="B27" s="9" t="s">
        <v>416</v>
      </c>
      <c r="C27" s="9" t="s">
        <v>386</v>
      </c>
      <c r="D27" s="9" t="s">
        <v>417</v>
      </c>
      <c r="E27" s="9" t="s">
        <v>418</v>
      </c>
      <c r="F27" s="10">
        <v>620200</v>
      </c>
      <c r="G27" s="10">
        <v>9437862</v>
      </c>
      <c r="H27" s="11">
        <v>86.15</v>
      </c>
    </row>
    <row r="28" spans="1:8" ht="15" customHeight="1" x14ac:dyDescent="0.3">
      <c r="A28" s="9" t="s">
        <v>425</v>
      </c>
      <c r="B28" s="9" t="s">
        <v>416</v>
      </c>
      <c r="C28" s="9" t="s">
        <v>386</v>
      </c>
      <c r="D28" s="9" t="s">
        <v>417</v>
      </c>
      <c r="E28" s="9" t="s">
        <v>418</v>
      </c>
      <c r="F28" s="10">
        <v>620770</v>
      </c>
      <c r="G28" s="10">
        <v>9436562</v>
      </c>
      <c r="H28" s="11">
        <v>34.17</v>
      </c>
    </row>
    <row r="29" spans="1:8" ht="15" customHeight="1" x14ac:dyDescent="0.3">
      <c r="A29" s="9" t="s">
        <v>426</v>
      </c>
      <c r="B29" s="9" t="s">
        <v>416</v>
      </c>
      <c r="C29" s="9" t="s">
        <v>386</v>
      </c>
      <c r="D29" s="9" t="s">
        <v>417</v>
      </c>
      <c r="E29" s="9" t="s">
        <v>418</v>
      </c>
      <c r="F29" s="10">
        <v>618661</v>
      </c>
      <c r="G29" s="10">
        <v>9438267</v>
      </c>
      <c r="H29" s="11">
        <v>96.08</v>
      </c>
    </row>
    <row r="30" spans="1:8" ht="15" customHeight="1" x14ac:dyDescent="0.3">
      <c r="A30" s="9" t="s">
        <v>427</v>
      </c>
      <c r="B30" s="9" t="s">
        <v>397</v>
      </c>
      <c r="C30" s="9" t="s">
        <v>386</v>
      </c>
      <c r="D30" s="9" t="s">
        <v>417</v>
      </c>
      <c r="E30" s="9" t="s">
        <v>418</v>
      </c>
      <c r="F30" s="10">
        <v>617596</v>
      </c>
      <c r="G30" s="10">
        <v>9436227</v>
      </c>
      <c r="H30" s="11">
        <v>35.35</v>
      </c>
    </row>
    <row r="31" spans="1:8" ht="15" customHeight="1" x14ac:dyDescent="0.3">
      <c r="A31" s="9" t="s">
        <v>428</v>
      </c>
      <c r="B31" s="9" t="s">
        <v>429</v>
      </c>
      <c r="C31" s="9" t="s">
        <v>386</v>
      </c>
      <c r="D31" s="9" t="s">
        <v>430</v>
      </c>
      <c r="E31" s="9" t="s">
        <v>431</v>
      </c>
      <c r="F31" s="10">
        <v>631195</v>
      </c>
      <c r="G31" s="10">
        <v>9441777</v>
      </c>
      <c r="H31" s="11">
        <v>25.67</v>
      </c>
    </row>
    <row r="32" spans="1:8" ht="15" customHeight="1" x14ac:dyDescent="0.3">
      <c r="A32" s="9" t="s">
        <v>432</v>
      </c>
      <c r="B32" s="9" t="s">
        <v>416</v>
      </c>
      <c r="C32" s="9" t="s">
        <v>386</v>
      </c>
      <c r="D32" s="9" t="s">
        <v>430</v>
      </c>
      <c r="E32" s="9" t="s">
        <v>431</v>
      </c>
      <c r="F32" s="10">
        <v>631195</v>
      </c>
      <c r="G32" s="10">
        <v>9441777</v>
      </c>
      <c r="H32" s="11">
        <v>13.55</v>
      </c>
    </row>
    <row r="33" spans="1:8" ht="15" customHeight="1" x14ac:dyDescent="0.3">
      <c r="A33" s="9" t="s">
        <v>433</v>
      </c>
      <c r="B33" s="9" t="s">
        <v>429</v>
      </c>
      <c r="C33" s="9" t="s">
        <v>386</v>
      </c>
      <c r="D33" s="9" t="s">
        <v>434</v>
      </c>
      <c r="E33" s="9" t="s">
        <v>431</v>
      </c>
      <c r="F33" s="10">
        <v>626438</v>
      </c>
      <c r="G33" s="10">
        <v>9435060</v>
      </c>
      <c r="H33" s="11">
        <v>28.19</v>
      </c>
    </row>
    <row r="34" spans="1:8" ht="15" customHeight="1" x14ac:dyDescent="0.3">
      <c r="A34" s="9" t="s">
        <v>435</v>
      </c>
      <c r="B34" s="9" t="s">
        <v>416</v>
      </c>
      <c r="C34" s="9" t="s">
        <v>386</v>
      </c>
      <c r="D34" s="9" t="s">
        <v>434</v>
      </c>
      <c r="E34" s="9" t="s">
        <v>431</v>
      </c>
      <c r="F34" s="10">
        <v>625152</v>
      </c>
      <c r="G34" s="10">
        <v>9435011</v>
      </c>
      <c r="H34" s="11">
        <v>80.62</v>
      </c>
    </row>
    <row r="35" spans="1:8" ht="15" customHeight="1" x14ac:dyDescent="0.3">
      <c r="A35" s="9" t="s">
        <v>436</v>
      </c>
      <c r="B35" s="9" t="s">
        <v>416</v>
      </c>
      <c r="C35" s="9" t="s">
        <v>386</v>
      </c>
      <c r="D35" s="9" t="s">
        <v>434</v>
      </c>
      <c r="E35" s="9" t="s">
        <v>431</v>
      </c>
      <c r="F35" s="10">
        <v>624397</v>
      </c>
      <c r="G35" s="10">
        <v>9437085</v>
      </c>
      <c r="H35" s="11">
        <v>92.9</v>
      </c>
    </row>
    <row r="36" spans="1:8" ht="15" customHeight="1" x14ac:dyDescent="0.3">
      <c r="A36" s="9" t="s">
        <v>437</v>
      </c>
      <c r="B36" s="9" t="s">
        <v>438</v>
      </c>
      <c r="C36" s="9" t="s">
        <v>386</v>
      </c>
      <c r="D36" s="9" t="s">
        <v>434</v>
      </c>
      <c r="E36" s="9" t="s">
        <v>431</v>
      </c>
      <c r="F36" s="10">
        <v>619094</v>
      </c>
      <c r="G36" s="10">
        <v>9426406</v>
      </c>
      <c r="H36" s="11">
        <v>11.47</v>
      </c>
    </row>
    <row r="37" spans="1:8" ht="15" customHeight="1" x14ac:dyDescent="0.3">
      <c r="A37" s="9" t="s">
        <v>439</v>
      </c>
      <c r="B37" s="9" t="s">
        <v>416</v>
      </c>
      <c r="C37" s="9" t="s">
        <v>386</v>
      </c>
      <c r="D37" s="9" t="s">
        <v>386</v>
      </c>
      <c r="E37" s="9" t="s">
        <v>440</v>
      </c>
      <c r="F37" s="10">
        <v>617715</v>
      </c>
      <c r="G37" s="10">
        <v>9427284</v>
      </c>
      <c r="H37" s="11">
        <v>74.37</v>
      </c>
    </row>
    <row r="38" spans="1:8" ht="15" customHeight="1" x14ac:dyDescent="0.3">
      <c r="A38" s="9" t="s">
        <v>441</v>
      </c>
      <c r="B38" s="9" t="s">
        <v>438</v>
      </c>
      <c r="C38" s="9" t="s">
        <v>386</v>
      </c>
      <c r="D38" s="9" t="s">
        <v>386</v>
      </c>
      <c r="E38" s="9" t="s">
        <v>440</v>
      </c>
      <c r="F38" s="10">
        <v>618248</v>
      </c>
      <c r="G38" s="10">
        <v>9426493</v>
      </c>
      <c r="H38" s="11">
        <v>50.97</v>
      </c>
    </row>
    <row r="39" spans="1:8" ht="15" customHeight="1" x14ac:dyDescent="0.3">
      <c r="A39" s="9" t="s">
        <v>442</v>
      </c>
      <c r="B39" s="9" t="s">
        <v>443</v>
      </c>
      <c r="C39" s="9" t="s">
        <v>386</v>
      </c>
      <c r="D39" s="9" t="s">
        <v>444</v>
      </c>
      <c r="E39" s="9" t="s">
        <v>445</v>
      </c>
      <c r="F39" s="10">
        <v>618299</v>
      </c>
      <c r="G39" s="10">
        <v>9423119</v>
      </c>
      <c r="H39" s="11">
        <v>249.89</v>
      </c>
    </row>
    <row r="40" spans="1:8" ht="15" customHeight="1" x14ac:dyDescent="0.3">
      <c r="A40" s="9" t="s">
        <v>446</v>
      </c>
      <c r="B40" s="9" t="s">
        <v>443</v>
      </c>
      <c r="C40" s="9" t="s">
        <v>386</v>
      </c>
      <c r="D40" s="9" t="s">
        <v>444</v>
      </c>
      <c r="E40" s="9" t="s">
        <v>445</v>
      </c>
      <c r="F40" s="10">
        <v>611305</v>
      </c>
      <c r="G40" s="10">
        <v>9419274</v>
      </c>
      <c r="H40" s="11">
        <v>160.97999999999999</v>
      </c>
    </row>
    <row r="41" spans="1:8" ht="15" customHeight="1" x14ac:dyDescent="0.3">
      <c r="A41" s="9" t="s">
        <v>447</v>
      </c>
      <c r="B41" s="9" t="s">
        <v>443</v>
      </c>
      <c r="C41" s="9" t="s">
        <v>386</v>
      </c>
      <c r="D41" s="9" t="s">
        <v>444</v>
      </c>
      <c r="E41" s="9" t="s">
        <v>445</v>
      </c>
      <c r="F41" s="10">
        <v>611196</v>
      </c>
      <c r="G41" s="10">
        <v>9416725</v>
      </c>
      <c r="H41" s="11">
        <v>333.01</v>
      </c>
    </row>
    <row r="42" spans="1:8" ht="15" customHeight="1" x14ac:dyDescent="0.3">
      <c r="A42" s="9" t="s">
        <v>448</v>
      </c>
      <c r="B42" s="9" t="s">
        <v>443</v>
      </c>
      <c r="C42" s="9" t="s">
        <v>386</v>
      </c>
      <c r="D42" s="9" t="s">
        <v>444</v>
      </c>
      <c r="E42" s="9" t="s">
        <v>445</v>
      </c>
      <c r="F42" s="10">
        <v>612864</v>
      </c>
      <c r="G42" s="10">
        <v>9413345</v>
      </c>
      <c r="H42" s="11">
        <v>514.36</v>
      </c>
    </row>
    <row r="43" spans="1:8" ht="15" customHeight="1" x14ac:dyDescent="0.3">
      <c r="A43" s="9" t="s">
        <v>246</v>
      </c>
      <c r="B43" s="9" t="s">
        <v>443</v>
      </c>
      <c r="C43" s="9" t="s">
        <v>386</v>
      </c>
      <c r="D43" s="9" t="s">
        <v>444</v>
      </c>
      <c r="E43" s="9" t="s">
        <v>445</v>
      </c>
      <c r="F43" s="10">
        <v>617860</v>
      </c>
      <c r="G43" s="10">
        <v>9413182</v>
      </c>
      <c r="H43" s="11">
        <v>295.73</v>
      </c>
    </row>
    <row r="44" spans="1:8" ht="15" customHeight="1" x14ac:dyDescent="0.3">
      <c r="A44" s="9" t="s">
        <v>449</v>
      </c>
      <c r="B44" s="9" t="s">
        <v>450</v>
      </c>
      <c r="C44" s="9" t="s">
        <v>386</v>
      </c>
      <c r="D44" s="9" t="s">
        <v>444</v>
      </c>
      <c r="E44" s="9" t="s">
        <v>445</v>
      </c>
      <c r="F44" s="10">
        <v>617695</v>
      </c>
      <c r="G44" s="10">
        <v>9409136</v>
      </c>
      <c r="H44" s="11">
        <v>188.8</v>
      </c>
    </row>
    <row r="45" spans="1:8" ht="15" customHeight="1" x14ac:dyDescent="0.3">
      <c r="A45" s="9" t="s">
        <v>16</v>
      </c>
      <c r="B45" s="9" t="s">
        <v>451</v>
      </c>
      <c r="C45" s="9" t="s">
        <v>386</v>
      </c>
      <c r="D45" s="9" t="s">
        <v>444</v>
      </c>
      <c r="E45" s="9" t="s">
        <v>445</v>
      </c>
      <c r="F45" s="10">
        <v>621058</v>
      </c>
      <c r="G45" s="10">
        <v>9410427</v>
      </c>
      <c r="H45" s="11">
        <v>160.36000000000001</v>
      </c>
    </row>
    <row r="46" spans="1:8" ht="15" customHeight="1" x14ac:dyDescent="0.3">
      <c r="A46" s="9" t="s">
        <v>452</v>
      </c>
      <c r="B46" s="9" t="s">
        <v>453</v>
      </c>
      <c r="C46" s="9" t="s">
        <v>386</v>
      </c>
      <c r="D46" s="9" t="s">
        <v>454</v>
      </c>
      <c r="E46" s="9" t="s">
        <v>455</v>
      </c>
      <c r="F46" s="10">
        <v>629338</v>
      </c>
      <c r="G46" s="10">
        <v>9413305</v>
      </c>
      <c r="H46" s="11">
        <v>294.2</v>
      </c>
    </row>
    <row r="47" spans="1:8" ht="15" customHeight="1" x14ac:dyDescent="0.3">
      <c r="A47" s="9" t="s">
        <v>456</v>
      </c>
      <c r="B47" s="9" t="s">
        <v>453</v>
      </c>
      <c r="C47" s="9" t="s">
        <v>386</v>
      </c>
      <c r="D47" s="9" t="s">
        <v>454</v>
      </c>
      <c r="E47" s="9" t="s">
        <v>455</v>
      </c>
      <c r="F47" s="10">
        <v>630685</v>
      </c>
      <c r="G47" s="10">
        <v>9410800</v>
      </c>
      <c r="H47" s="11">
        <v>80.98</v>
      </c>
    </row>
    <row r="48" spans="1:8" ht="15" customHeight="1" x14ac:dyDescent="0.3">
      <c r="A48" s="9" t="s">
        <v>457</v>
      </c>
      <c r="B48" s="9" t="s">
        <v>458</v>
      </c>
      <c r="C48" s="9" t="s">
        <v>386</v>
      </c>
      <c r="D48" s="9" t="s">
        <v>454</v>
      </c>
      <c r="E48" s="9" t="s">
        <v>455</v>
      </c>
      <c r="F48" s="10">
        <v>629006</v>
      </c>
      <c r="G48" s="10">
        <v>9407536</v>
      </c>
      <c r="H48" s="11">
        <v>130.43</v>
      </c>
    </row>
    <row r="49" spans="1:8" ht="15" customHeight="1" x14ac:dyDescent="0.3">
      <c r="A49" s="9" t="s">
        <v>459</v>
      </c>
      <c r="B49" s="9" t="s">
        <v>458</v>
      </c>
      <c r="C49" s="9" t="s">
        <v>386</v>
      </c>
      <c r="D49" s="9" t="s">
        <v>454</v>
      </c>
      <c r="E49" s="9" t="s">
        <v>455</v>
      </c>
      <c r="F49" s="10">
        <v>631438</v>
      </c>
      <c r="G49" s="10">
        <v>9403547</v>
      </c>
      <c r="H49" s="11">
        <v>115.38</v>
      </c>
    </row>
    <row r="50" spans="1:8" ht="15" customHeight="1" x14ac:dyDescent="0.3">
      <c r="A50" s="9" t="s">
        <v>460</v>
      </c>
      <c r="B50" s="9" t="s">
        <v>458</v>
      </c>
      <c r="C50" s="9" t="s">
        <v>386</v>
      </c>
      <c r="D50" s="9" t="s">
        <v>454</v>
      </c>
      <c r="E50" s="9" t="s">
        <v>455</v>
      </c>
      <c r="F50" s="10">
        <v>633232</v>
      </c>
      <c r="G50" s="10">
        <v>9401227</v>
      </c>
      <c r="H50" s="11">
        <v>65.739999999999995</v>
      </c>
    </row>
    <row r="51" spans="1:8" ht="15" customHeight="1" x14ac:dyDescent="0.3">
      <c r="A51" s="9" t="s">
        <v>461</v>
      </c>
      <c r="B51" s="9" t="s">
        <v>458</v>
      </c>
      <c r="C51" s="9" t="s">
        <v>386</v>
      </c>
      <c r="D51" s="9" t="s">
        <v>454</v>
      </c>
      <c r="E51" s="9" t="s">
        <v>455</v>
      </c>
      <c r="F51" s="10">
        <v>635110</v>
      </c>
      <c r="G51" s="10">
        <v>9399092</v>
      </c>
      <c r="H51" s="11">
        <v>91.29</v>
      </c>
    </row>
    <row r="52" spans="1:8" ht="15" customHeight="1" x14ac:dyDescent="0.3">
      <c r="A52" s="9" t="s">
        <v>462</v>
      </c>
      <c r="B52" s="9" t="s">
        <v>463</v>
      </c>
      <c r="C52" s="9" t="s">
        <v>386</v>
      </c>
      <c r="D52" s="9" t="s">
        <v>454</v>
      </c>
      <c r="E52" s="9" t="s">
        <v>455</v>
      </c>
      <c r="F52" s="10">
        <v>635876</v>
      </c>
      <c r="G52" s="10">
        <v>9397941</v>
      </c>
      <c r="H52" s="11">
        <v>81.790000000000006</v>
      </c>
    </row>
    <row r="53" spans="1:8" ht="15" customHeight="1" x14ac:dyDescent="0.3">
      <c r="A53" s="9" t="s">
        <v>464</v>
      </c>
      <c r="B53" s="9" t="s">
        <v>463</v>
      </c>
      <c r="C53" s="9" t="s">
        <v>386</v>
      </c>
      <c r="D53" s="9" t="s">
        <v>454</v>
      </c>
      <c r="E53" s="9" t="s">
        <v>455</v>
      </c>
      <c r="F53" s="10">
        <v>639728</v>
      </c>
      <c r="G53" s="10">
        <v>9396836</v>
      </c>
      <c r="H53" s="11">
        <v>173.43</v>
      </c>
    </row>
    <row r="54" spans="1:8" ht="15" customHeight="1" x14ac:dyDescent="0.3">
      <c r="A54" s="9" t="s">
        <v>465</v>
      </c>
      <c r="B54" s="9" t="s">
        <v>463</v>
      </c>
      <c r="C54" s="9" t="s">
        <v>386</v>
      </c>
      <c r="D54" s="9" t="s">
        <v>454</v>
      </c>
      <c r="E54" s="9" t="s">
        <v>455</v>
      </c>
      <c r="F54" s="10">
        <v>639987</v>
      </c>
      <c r="G54" s="10">
        <v>9394392</v>
      </c>
      <c r="H54" s="11">
        <v>30.91</v>
      </c>
    </row>
    <row r="55" spans="1:8" ht="15" customHeight="1" x14ac:dyDescent="0.3">
      <c r="A55" s="9" t="s">
        <v>466</v>
      </c>
      <c r="B55" s="9" t="s">
        <v>463</v>
      </c>
      <c r="C55" s="9" t="s">
        <v>386</v>
      </c>
      <c r="D55" s="9" t="s">
        <v>454</v>
      </c>
      <c r="E55" s="9" t="s">
        <v>455</v>
      </c>
      <c r="F55" s="10">
        <v>645575</v>
      </c>
      <c r="G55" s="10">
        <v>9393500</v>
      </c>
      <c r="H55" s="11">
        <v>1370.96</v>
      </c>
    </row>
    <row r="56" spans="1:8" ht="15" customHeight="1" x14ac:dyDescent="0.3">
      <c r="A56" s="9" t="s">
        <v>467</v>
      </c>
      <c r="B56" s="9" t="s">
        <v>451</v>
      </c>
      <c r="C56" s="9" t="s">
        <v>386</v>
      </c>
      <c r="D56" s="9" t="s">
        <v>454</v>
      </c>
      <c r="E56" s="9" t="s">
        <v>455</v>
      </c>
      <c r="F56" s="10">
        <v>625311</v>
      </c>
      <c r="G56" s="10">
        <v>9412195</v>
      </c>
      <c r="H56" s="11">
        <v>373.81</v>
      </c>
    </row>
    <row r="57" spans="1:8" ht="15" customHeight="1" x14ac:dyDescent="0.3">
      <c r="A57" s="9" t="s">
        <v>468</v>
      </c>
      <c r="B57" s="9" t="s">
        <v>451</v>
      </c>
      <c r="C57" s="9" t="s">
        <v>386</v>
      </c>
      <c r="D57" s="9" t="s">
        <v>454</v>
      </c>
      <c r="E57" s="9" t="s">
        <v>455</v>
      </c>
      <c r="F57" s="10">
        <v>621551</v>
      </c>
      <c r="G57" s="10">
        <v>9412989</v>
      </c>
      <c r="H57" s="11">
        <v>197.35</v>
      </c>
    </row>
    <row r="58" spans="1:8" ht="15" customHeight="1" x14ac:dyDescent="0.3">
      <c r="A58" s="9" t="s">
        <v>469</v>
      </c>
      <c r="B58" s="9" t="s">
        <v>453</v>
      </c>
      <c r="C58" s="9" t="s">
        <v>386</v>
      </c>
      <c r="D58" s="9" t="s">
        <v>470</v>
      </c>
      <c r="E58" s="9" t="s">
        <v>471</v>
      </c>
      <c r="F58" s="10">
        <v>638309</v>
      </c>
      <c r="G58" s="10">
        <v>9415217</v>
      </c>
      <c r="H58" s="11">
        <v>122.95</v>
      </c>
    </row>
    <row r="59" spans="1:8" ht="15" customHeight="1" x14ac:dyDescent="0.3">
      <c r="A59" s="9" t="s">
        <v>472</v>
      </c>
      <c r="B59" s="9" t="s">
        <v>453</v>
      </c>
      <c r="C59" s="9" t="s">
        <v>386</v>
      </c>
      <c r="D59" s="9" t="s">
        <v>470</v>
      </c>
      <c r="E59" s="9" t="s">
        <v>471</v>
      </c>
      <c r="F59" s="10">
        <v>637918</v>
      </c>
      <c r="G59" s="10">
        <v>9412134</v>
      </c>
      <c r="H59" s="11">
        <v>60.35</v>
      </c>
    </row>
    <row r="60" spans="1:8" ht="15" customHeight="1" x14ac:dyDescent="0.3">
      <c r="A60" s="9" t="s">
        <v>473</v>
      </c>
      <c r="B60" s="9" t="s">
        <v>474</v>
      </c>
      <c r="C60" s="9" t="s">
        <v>386</v>
      </c>
      <c r="D60" s="9" t="s">
        <v>470</v>
      </c>
      <c r="E60" s="9" t="s">
        <v>471</v>
      </c>
      <c r="F60" s="10">
        <v>638648</v>
      </c>
      <c r="G60" s="10">
        <v>9411370</v>
      </c>
      <c r="H60" s="11">
        <v>17.82</v>
      </c>
    </row>
    <row r="61" spans="1:8" ht="15" customHeight="1" x14ac:dyDescent="0.3">
      <c r="A61" s="9" t="s">
        <v>475</v>
      </c>
      <c r="B61" s="9" t="s">
        <v>453</v>
      </c>
      <c r="C61" s="9" t="s">
        <v>386</v>
      </c>
      <c r="D61" s="9" t="s">
        <v>470</v>
      </c>
      <c r="E61" s="9" t="s">
        <v>471</v>
      </c>
      <c r="F61" s="10">
        <v>635887</v>
      </c>
      <c r="G61" s="10">
        <v>9411738</v>
      </c>
      <c r="H61" s="11">
        <v>52.74</v>
      </c>
    </row>
    <row r="62" spans="1:8" ht="15" customHeight="1" x14ac:dyDescent="0.3">
      <c r="A62" s="9" t="s">
        <v>476</v>
      </c>
      <c r="B62" s="9" t="s">
        <v>453</v>
      </c>
      <c r="C62" s="9" t="s">
        <v>386</v>
      </c>
      <c r="D62" s="9" t="s">
        <v>470</v>
      </c>
      <c r="E62" s="9" t="s">
        <v>471</v>
      </c>
      <c r="F62" s="10">
        <v>633015</v>
      </c>
      <c r="G62" s="10">
        <v>9411483</v>
      </c>
      <c r="H62" s="11">
        <v>84.82</v>
      </c>
    </row>
    <row r="63" spans="1:8" ht="15" customHeight="1" x14ac:dyDescent="0.3">
      <c r="A63" s="9" t="s">
        <v>477</v>
      </c>
      <c r="B63" s="9" t="s">
        <v>453</v>
      </c>
      <c r="C63" s="9" t="s">
        <v>386</v>
      </c>
      <c r="D63" s="9" t="s">
        <v>470</v>
      </c>
      <c r="E63" s="9" t="s">
        <v>471</v>
      </c>
      <c r="F63" s="10">
        <v>632119</v>
      </c>
      <c r="G63" s="10">
        <v>9415141</v>
      </c>
      <c r="H63" s="11">
        <v>565.58000000000004</v>
      </c>
    </row>
    <row r="64" spans="1:8" ht="15" customHeight="1" x14ac:dyDescent="0.3">
      <c r="A64" s="9" t="s">
        <v>478</v>
      </c>
      <c r="B64" s="9" t="s">
        <v>474</v>
      </c>
      <c r="C64" s="9" t="s">
        <v>386</v>
      </c>
      <c r="D64" s="9" t="s">
        <v>470</v>
      </c>
      <c r="E64" s="9" t="s">
        <v>471</v>
      </c>
      <c r="F64" s="10">
        <v>642079</v>
      </c>
      <c r="G64" s="10">
        <v>9413823</v>
      </c>
      <c r="H64" s="11">
        <v>106.03</v>
      </c>
    </row>
    <row r="65" spans="1:8" ht="15" customHeight="1" x14ac:dyDescent="0.3">
      <c r="A65" s="9" t="s">
        <v>479</v>
      </c>
      <c r="B65" s="9" t="s">
        <v>480</v>
      </c>
      <c r="C65" s="9" t="s">
        <v>386</v>
      </c>
      <c r="D65" s="9" t="s">
        <v>481</v>
      </c>
      <c r="E65" s="9" t="s">
        <v>482</v>
      </c>
      <c r="F65" s="10">
        <v>642690</v>
      </c>
      <c r="G65" s="10">
        <v>9438409</v>
      </c>
      <c r="H65" s="11">
        <v>0.86</v>
      </c>
    </row>
    <row r="66" spans="1:8" ht="15" customHeight="1" x14ac:dyDescent="0.3">
      <c r="A66" s="9" t="s">
        <v>483</v>
      </c>
      <c r="B66" s="9" t="s">
        <v>480</v>
      </c>
      <c r="C66" s="9" t="s">
        <v>386</v>
      </c>
      <c r="D66" s="9" t="s">
        <v>481</v>
      </c>
      <c r="E66" s="9" t="s">
        <v>482</v>
      </c>
      <c r="F66" s="10">
        <v>642334</v>
      </c>
      <c r="G66" s="10">
        <v>9438263</v>
      </c>
      <c r="H66" s="11">
        <v>15.84</v>
      </c>
    </row>
    <row r="67" spans="1:8" ht="15" customHeight="1" x14ac:dyDescent="0.3">
      <c r="A67" s="9" t="s">
        <v>484</v>
      </c>
      <c r="B67" s="9" t="s">
        <v>480</v>
      </c>
      <c r="C67" s="9" t="s">
        <v>386</v>
      </c>
      <c r="D67" s="9" t="s">
        <v>481</v>
      </c>
      <c r="E67" s="9" t="s">
        <v>482</v>
      </c>
      <c r="F67" s="10">
        <v>641522</v>
      </c>
      <c r="G67" s="10">
        <v>9438064</v>
      </c>
      <c r="H67" s="11">
        <v>11.06</v>
      </c>
    </row>
    <row r="68" spans="1:8" ht="15" customHeight="1" x14ac:dyDescent="0.3">
      <c r="A68" s="9" t="s">
        <v>485</v>
      </c>
      <c r="B68" s="9" t="s">
        <v>480</v>
      </c>
      <c r="C68" s="9" t="s">
        <v>386</v>
      </c>
      <c r="D68" s="9" t="s">
        <v>481</v>
      </c>
      <c r="E68" s="9" t="s">
        <v>482</v>
      </c>
      <c r="F68" s="10">
        <v>639496</v>
      </c>
      <c r="G68" s="10">
        <v>9433679</v>
      </c>
      <c r="H68" s="11">
        <v>5.75</v>
      </c>
    </row>
    <row r="69" spans="1:8" ht="15" customHeight="1" x14ac:dyDescent="0.3">
      <c r="A69" s="9" t="s">
        <v>486</v>
      </c>
      <c r="B69" s="9" t="s">
        <v>480</v>
      </c>
      <c r="C69" s="9" t="s">
        <v>386</v>
      </c>
      <c r="D69" s="9" t="s">
        <v>481</v>
      </c>
      <c r="E69" s="9" t="s">
        <v>482</v>
      </c>
      <c r="F69" s="10">
        <v>638751</v>
      </c>
      <c r="G69" s="10">
        <v>9433236</v>
      </c>
      <c r="H69" s="11">
        <v>18.87</v>
      </c>
    </row>
    <row r="70" spans="1:8" ht="15" customHeight="1" x14ac:dyDescent="0.3">
      <c r="A70" s="9" t="s">
        <v>487</v>
      </c>
      <c r="B70" s="9" t="s">
        <v>480</v>
      </c>
      <c r="C70" s="9" t="s">
        <v>386</v>
      </c>
      <c r="D70" s="9" t="s">
        <v>481</v>
      </c>
      <c r="E70" s="9" t="s">
        <v>482</v>
      </c>
      <c r="F70" s="10">
        <v>636249</v>
      </c>
      <c r="G70" s="10">
        <v>9425665</v>
      </c>
      <c r="H70" s="11">
        <v>90.2</v>
      </c>
    </row>
    <row r="71" spans="1:8" ht="15" customHeight="1" x14ac:dyDescent="0.3">
      <c r="A71" s="9" t="s">
        <v>488</v>
      </c>
      <c r="B71" s="9" t="s">
        <v>480</v>
      </c>
      <c r="C71" s="9" t="s">
        <v>386</v>
      </c>
      <c r="D71" s="9" t="s">
        <v>481</v>
      </c>
      <c r="E71" s="9" t="s">
        <v>482</v>
      </c>
      <c r="F71" s="10">
        <v>634061</v>
      </c>
      <c r="G71" s="10">
        <v>9426778</v>
      </c>
      <c r="H71" s="11">
        <v>58.29</v>
      </c>
    </row>
    <row r="72" spans="1:8" ht="15" customHeight="1" x14ac:dyDescent="0.3">
      <c r="A72" s="9" t="s">
        <v>489</v>
      </c>
      <c r="B72" s="9" t="s">
        <v>480</v>
      </c>
      <c r="C72" s="9" t="s">
        <v>386</v>
      </c>
      <c r="D72" s="9" t="s">
        <v>481</v>
      </c>
      <c r="E72" s="9" t="s">
        <v>482</v>
      </c>
      <c r="F72" s="10">
        <v>626078</v>
      </c>
      <c r="G72" s="10">
        <v>9427110</v>
      </c>
      <c r="H72" s="11">
        <v>283.43</v>
      </c>
    </row>
    <row r="73" spans="1:8" ht="15" customHeight="1" x14ac:dyDescent="0.3">
      <c r="A73" s="9" t="s">
        <v>490</v>
      </c>
      <c r="B73" s="9" t="s">
        <v>491</v>
      </c>
      <c r="C73" s="9" t="s">
        <v>492</v>
      </c>
      <c r="D73" s="9" t="s">
        <v>493</v>
      </c>
      <c r="E73" s="9" t="s">
        <v>494</v>
      </c>
      <c r="F73" s="10">
        <v>646466</v>
      </c>
      <c r="G73" s="10">
        <v>9431126</v>
      </c>
      <c r="H73" s="11">
        <v>29.68</v>
      </c>
    </row>
    <row r="74" spans="1:8" ht="15" customHeight="1" x14ac:dyDescent="0.3">
      <c r="A74" s="9" t="s">
        <v>495</v>
      </c>
      <c r="B74" s="9" t="s">
        <v>491</v>
      </c>
      <c r="C74" s="9" t="s">
        <v>492</v>
      </c>
      <c r="D74" s="9" t="s">
        <v>493</v>
      </c>
      <c r="E74" s="9" t="s">
        <v>494</v>
      </c>
      <c r="F74" s="10">
        <v>647123</v>
      </c>
      <c r="G74" s="10">
        <v>9427602</v>
      </c>
      <c r="H74" s="11">
        <v>44.2</v>
      </c>
    </row>
    <row r="75" spans="1:8" ht="15" customHeight="1" x14ac:dyDescent="0.3">
      <c r="A75" s="9" t="s">
        <v>496</v>
      </c>
      <c r="B75" s="9" t="s">
        <v>491</v>
      </c>
      <c r="C75" s="9" t="s">
        <v>492</v>
      </c>
      <c r="D75" s="9" t="s">
        <v>493</v>
      </c>
      <c r="E75" s="9" t="s">
        <v>494</v>
      </c>
      <c r="F75" s="10">
        <v>647350</v>
      </c>
      <c r="G75" s="10">
        <v>9427252</v>
      </c>
      <c r="H75" s="11">
        <v>19.27</v>
      </c>
    </row>
    <row r="76" spans="1:8" ht="15" customHeight="1" x14ac:dyDescent="0.3">
      <c r="A76" s="9" t="s">
        <v>497</v>
      </c>
      <c r="B76" s="9" t="s">
        <v>491</v>
      </c>
      <c r="C76" s="9" t="s">
        <v>492</v>
      </c>
      <c r="D76" s="9" t="s">
        <v>493</v>
      </c>
      <c r="E76" s="9" t="s">
        <v>494</v>
      </c>
      <c r="F76" s="10">
        <v>646483</v>
      </c>
      <c r="G76" s="10">
        <v>9426305</v>
      </c>
      <c r="H76" s="11">
        <v>28.45</v>
      </c>
    </row>
    <row r="77" spans="1:8" ht="15" customHeight="1" x14ac:dyDescent="0.3">
      <c r="A77" s="9" t="s">
        <v>498</v>
      </c>
      <c r="B77" s="9" t="s">
        <v>491</v>
      </c>
      <c r="C77" s="9" t="s">
        <v>492</v>
      </c>
      <c r="D77" s="9" t="s">
        <v>493</v>
      </c>
      <c r="E77" s="9" t="s">
        <v>494</v>
      </c>
      <c r="F77" s="10">
        <v>646236</v>
      </c>
      <c r="G77" s="10">
        <v>9425052</v>
      </c>
      <c r="H77" s="11">
        <v>26.83</v>
      </c>
    </row>
    <row r="78" spans="1:8" ht="15" customHeight="1" x14ac:dyDescent="0.3">
      <c r="A78" s="9" t="s">
        <v>499</v>
      </c>
      <c r="B78" s="9" t="s">
        <v>500</v>
      </c>
      <c r="C78" s="9" t="s">
        <v>492</v>
      </c>
      <c r="D78" s="9" t="s">
        <v>493</v>
      </c>
      <c r="E78" s="9" t="s">
        <v>494</v>
      </c>
      <c r="F78" s="10">
        <v>649081</v>
      </c>
      <c r="G78" s="10">
        <v>9424506</v>
      </c>
      <c r="H78" s="11">
        <v>35.49</v>
      </c>
    </row>
    <row r="79" spans="1:8" ht="15" customHeight="1" x14ac:dyDescent="0.3">
      <c r="A79" s="9" t="s">
        <v>501</v>
      </c>
      <c r="B79" s="9" t="s">
        <v>500</v>
      </c>
      <c r="C79" s="9" t="s">
        <v>492</v>
      </c>
      <c r="D79" s="9" t="s">
        <v>493</v>
      </c>
      <c r="E79" s="9" t="s">
        <v>494</v>
      </c>
      <c r="F79" s="10">
        <v>649472</v>
      </c>
      <c r="G79" s="10">
        <v>9425705</v>
      </c>
      <c r="H79" s="11">
        <v>46.96</v>
      </c>
    </row>
    <row r="80" spans="1:8" ht="15" customHeight="1" x14ac:dyDescent="0.3">
      <c r="A80" s="9" t="s">
        <v>502</v>
      </c>
      <c r="B80" s="9" t="s">
        <v>500</v>
      </c>
      <c r="C80" s="9" t="s">
        <v>492</v>
      </c>
      <c r="D80" s="9" t="s">
        <v>492</v>
      </c>
      <c r="E80" s="9" t="s">
        <v>503</v>
      </c>
      <c r="F80" s="10">
        <v>657819</v>
      </c>
      <c r="G80" s="10">
        <v>9428541</v>
      </c>
      <c r="H80" s="11">
        <v>35.770000000000003</v>
      </c>
    </row>
    <row r="81" spans="1:8" ht="21.75" customHeight="1" x14ac:dyDescent="0.3">
      <c r="A81" s="9" t="s">
        <v>504</v>
      </c>
      <c r="B81" s="9" t="s">
        <v>505</v>
      </c>
      <c r="C81" s="9" t="s">
        <v>492</v>
      </c>
      <c r="D81" s="9" t="s">
        <v>492</v>
      </c>
      <c r="E81" s="9" t="s">
        <v>503</v>
      </c>
      <c r="F81" s="10">
        <v>656897</v>
      </c>
      <c r="G81" s="10">
        <v>9426033</v>
      </c>
      <c r="H81" s="11">
        <v>40.26</v>
      </c>
    </row>
    <row r="82" spans="1:8" ht="15" customHeight="1" x14ac:dyDescent="0.3">
      <c r="A82" s="9" t="s">
        <v>506</v>
      </c>
      <c r="B82" s="9" t="s">
        <v>500</v>
      </c>
      <c r="C82" s="9" t="s">
        <v>492</v>
      </c>
      <c r="D82" s="9" t="s">
        <v>492</v>
      </c>
      <c r="E82" s="9" t="s">
        <v>503</v>
      </c>
      <c r="F82" s="10">
        <v>655263</v>
      </c>
      <c r="G82" s="10">
        <v>9427340</v>
      </c>
      <c r="H82" s="11">
        <v>90.9</v>
      </c>
    </row>
    <row r="83" spans="1:8" ht="15" customHeight="1" x14ac:dyDescent="0.3">
      <c r="A83" s="9" t="s">
        <v>507</v>
      </c>
      <c r="B83" s="9" t="s">
        <v>500</v>
      </c>
      <c r="C83" s="9" t="s">
        <v>492</v>
      </c>
      <c r="D83" s="9" t="s">
        <v>508</v>
      </c>
      <c r="E83" s="9" t="s">
        <v>503</v>
      </c>
      <c r="F83" s="10">
        <v>653850</v>
      </c>
      <c r="G83" s="10">
        <v>9426236</v>
      </c>
      <c r="H83" s="11">
        <v>40.130000000000003</v>
      </c>
    </row>
    <row r="84" spans="1:8" ht="15" customHeight="1" x14ac:dyDescent="0.3">
      <c r="A84" s="9" t="s">
        <v>509</v>
      </c>
      <c r="B84" s="9" t="s">
        <v>500</v>
      </c>
      <c r="C84" s="9" t="s">
        <v>492</v>
      </c>
      <c r="D84" s="9" t="s">
        <v>508</v>
      </c>
      <c r="E84" s="9" t="s">
        <v>503</v>
      </c>
      <c r="F84" s="10">
        <v>654137</v>
      </c>
      <c r="G84" s="10">
        <v>9424425</v>
      </c>
      <c r="H84" s="11">
        <v>28.52</v>
      </c>
    </row>
    <row r="85" spans="1:8" ht="15" customHeight="1" x14ac:dyDescent="0.3">
      <c r="A85" s="9" t="s">
        <v>510</v>
      </c>
      <c r="B85" s="9" t="s">
        <v>500</v>
      </c>
      <c r="C85" s="9" t="s">
        <v>492</v>
      </c>
      <c r="D85" s="9" t="s">
        <v>508</v>
      </c>
      <c r="E85" s="9" t="s">
        <v>503</v>
      </c>
      <c r="F85" s="10">
        <v>652758</v>
      </c>
      <c r="G85" s="10">
        <v>9424380</v>
      </c>
      <c r="H85" s="11">
        <v>34.869999999999997</v>
      </c>
    </row>
    <row r="86" spans="1:8" ht="15" customHeight="1" x14ac:dyDescent="0.3">
      <c r="A86" s="9" t="s">
        <v>511</v>
      </c>
      <c r="B86" s="9" t="s">
        <v>500</v>
      </c>
      <c r="C86" s="9" t="s">
        <v>492</v>
      </c>
      <c r="D86" s="9" t="s">
        <v>508</v>
      </c>
      <c r="E86" s="9" t="s">
        <v>503</v>
      </c>
      <c r="F86" s="10">
        <v>654188</v>
      </c>
      <c r="G86" s="10">
        <v>9422849</v>
      </c>
      <c r="H86" s="11">
        <v>52.97</v>
      </c>
    </row>
    <row r="87" spans="1:8" ht="15" customHeight="1" x14ac:dyDescent="0.3">
      <c r="A87" s="9" t="s">
        <v>512</v>
      </c>
      <c r="B87" s="9" t="s">
        <v>500</v>
      </c>
      <c r="C87" s="9" t="s">
        <v>492</v>
      </c>
      <c r="D87" s="9" t="s">
        <v>508</v>
      </c>
      <c r="E87" s="9" t="s">
        <v>503</v>
      </c>
      <c r="F87" s="10">
        <v>655046</v>
      </c>
      <c r="G87" s="10">
        <v>9420450</v>
      </c>
      <c r="H87" s="11">
        <v>73.819999999999993</v>
      </c>
    </row>
    <row r="88" spans="1:8" ht="21.75" customHeight="1" x14ac:dyDescent="0.3">
      <c r="A88" s="9" t="s">
        <v>513</v>
      </c>
      <c r="B88" s="9" t="s">
        <v>505</v>
      </c>
      <c r="C88" s="9" t="s">
        <v>492</v>
      </c>
      <c r="D88" s="9" t="s">
        <v>508</v>
      </c>
      <c r="E88" s="9" t="s">
        <v>503</v>
      </c>
      <c r="F88" s="10">
        <v>657541</v>
      </c>
      <c r="G88" s="10">
        <v>9421083</v>
      </c>
      <c r="H88" s="11">
        <v>53.93</v>
      </c>
    </row>
    <row r="89" spans="1:8" ht="15" customHeight="1" x14ac:dyDescent="0.3">
      <c r="A89" s="9" t="s">
        <v>514</v>
      </c>
      <c r="B89" s="9" t="s">
        <v>500</v>
      </c>
      <c r="C89" s="9" t="s">
        <v>492</v>
      </c>
      <c r="D89" s="9" t="s">
        <v>508</v>
      </c>
      <c r="E89" s="9" t="s">
        <v>503</v>
      </c>
      <c r="F89" s="10">
        <v>654604</v>
      </c>
      <c r="G89" s="10">
        <v>9417736</v>
      </c>
      <c r="H89" s="11">
        <v>84.23</v>
      </c>
    </row>
    <row r="90" spans="1:8" ht="15" customHeight="1" x14ac:dyDescent="0.3">
      <c r="A90" s="9" t="s">
        <v>515</v>
      </c>
      <c r="B90" s="9" t="s">
        <v>500</v>
      </c>
      <c r="C90" s="9" t="s">
        <v>492</v>
      </c>
      <c r="D90" s="9" t="s">
        <v>508</v>
      </c>
      <c r="E90" s="9" t="s">
        <v>503</v>
      </c>
      <c r="F90" s="10">
        <v>652566</v>
      </c>
      <c r="G90" s="10">
        <v>9417311</v>
      </c>
      <c r="H90" s="11">
        <v>102.34</v>
      </c>
    </row>
    <row r="91" spans="1:8" ht="15" customHeight="1" x14ac:dyDescent="0.3">
      <c r="A91" s="9" t="s">
        <v>516</v>
      </c>
      <c r="B91" s="9" t="s">
        <v>474</v>
      </c>
      <c r="C91" s="9" t="s">
        <v>492</v>
      </c>
      <c r="D91" s="9" t="s">
        <v>508</v>
      </c>
      <c r="E91" s="9" t="s">
        <v>503</v>
      </c>
      <c r="F91" s="10">
        <v>652191</v>
      </c>
      <c r="G91" s="10">
        <v>9414358</v>
      </c>
      <c r="H91" s="11">
        <v>90.16</v>
      </c>
    </row>
    <row r="92" spans="1:8" ht="15" customHeight="1" x14ac:dyDescent="0.3">
      <c r="A92" s="9" t="s">
        <v>517</v>
      </c>
      <c r="B92" s="9" t="s">
        <v>474</v>
      </c>
      <c r="C92" s="9" t="s">
        <v>492</v>
      </c>
      <c r="D92" s="9" t="s">
        <v>508</v>
      </c>
      <c r="E92" s="9" t="s">
        <v>503</v>
      </c>
      <c r="F92" s="10">
        <v>655059</v>
      </c>
      <c r="G92" s="10">
        <v>9413845</v>
      </c>
      <c r="H92" s="11">
        <v>50.46</v>
      </c>
    </row>
    <row r="93" spans="1:8" ht="15" customHeight="1" x14ac:dyDescent="0.3">
      <c r="A93" s="9" t="s">
        <v>518</v>
      </c>
      <c r="B93" s="9" t="s">
        <v>519</v>
      </c>
      <c r="C93" s="9" t="s">
        <v>492</v>
      </c>
      <c r="D93" s="9" t="s">
        <v>508</v>
      </c>
      <c r="E93" s="9" t="s">
        <v>503</v>
      </c>
      <c r="F93" s="10">
        <v>650305</v>
      </c>
      <c r="G93" s="10">
        <v>9402785</v>
      </c>
      <c r="H93" s="11">
        <v>94.81</v>
      </c>
    </row>
    <row r="94" spans="1:8" ht="15" customHeight="1" x14ac:dyDescent="0.3">
      <c r="A94" s="9" t="s">
        <v>520</v>
      </c>
      <c r="B94" s="9" t="s">
        <v>521</v>
      </c>
      <c r="C94" s="9" t="s">
        <v>492</v>
      </c>
      <c r="D94" s="9" t="s">
        <v>508</v>
      </c>
      <c r="E94" s="9" t="s">
        <v>503</v>
      </c>
      <c r="F94" s="10">
        <v>641538</v>
      </c>
      <c r="G94" s="10">
        <v>9401360</v>
      </c>
      <c r="H94" s="11">
        <v>8.93</v>
      </c>
    </row>
    <row r="95" spans="1:8" ht="15" customHeight="1" x14ac:dyDescent="0.3">
      <c r="A95" s="9" t="s">
        <v>522</v>
      </c>
      <c r="B95" s="9" t="s">
        <v>523</v>
      </c>
      <c r="C95" s="9" t="s">
        <v>492</v>
      </c>
      <c r="D95" s="9" t="s">
        <v>524</v>
      </c>
      <c r="E95" s="9" t="s">
        <v>525</v>
      </c>
      <c r="F95" s="10">
        <v>664082</v>
      </c>
      <c r="G95" s="10">
        <v>9404172</v>
      </c>
      <c r="H95" s="11">
        <v>55.17</v>
      </c>
    </row>
    <row r="96" spans="1:8" ht="15" customHeight="1" x14ac:dyDescent="0.3">
      <c r="A96" s="9" t="s">
        <v>526</v>
      </c>
      <c r="B96" s="9" t="s">
        <v>523</v>
      </c>
      <c r="C96" s="9" t="s">
        <v>492</v>
      </c>
      <c r="D96" s="9" t="s">
        <v>524</v>
      </c>
      <c r="E96" s="9" t="s">
        <v>525</v>
      </c>
      <c r="F96" s="10">
        <v>663637</v>
      </c>
      <c r="G96" s="10">
        <v>9400618</v>
      </c>
      <c r="H96" s="11">
        <v>28.23</v>
      </c>
    </row>
    <row r="97" spans="1:8" ht="15" customHeight="1" x14ac:dyDescent="0.3">
      <c r="A97" s="9" t="s">
        <v>527</v>
      </c>
      <c r="B97" s="9" t="s">
        <v>523</v>
      </c>
      <c r="C97" s="9" t="s">
        <v>492</v>
      </c>
      <c r="D97" s="9" t="s">
        <v>524</v>
      </c>
      <c r="E97" s="9" t="s">
        <v>525</v>
      </c>
      <c r="F97" s="10">
        <v>659649</v>
      </c>
      <c r="G97" s="10">
        <v>9401436</v>
      </c>
      <c r="H97" s="11">
        <v>13.55</v>
      </c>
    </row>
    <row r="98" spans="1:8" ht="15" customHeight="1" x14ac:dyDescent="0.3">
      <c r="A98" s="9" t="s">
        <v>528</v>
      </c>
      <c r="B98" s="9" t="s">
        <v>519</v>
      </c>
      <c r="C98" s="9" t="s">
        <v>492</v>
      </c>
      <c r="D98" s="9" t="s">
        <v>524</v>
      </c>
      <c r="E98" s="9" t="s">
        <v>525</v>
      </c>
      <c r="F98" s="10">
        <v>657722</v>
      </c>
      <c r="G98" s="10">
        <v>9401669</v>
      </c>
      <c r="H98" s="11">
        <v>15.18</v>
      </c>
    </row>
    <row r="99" spans="1:8" ht="15" customHeight="1" x14ac:dyDescent="0.3">
      <c r="A99" s="9" t="s">
        <v>529</v>
      </c>
      <c r="B99" s="9" t="s">
        <v>523</v>
      </c>
      <c r="C99" s="9" t="s">
        <v>492</v>
      </c>
      <c r="D99" s="9" t="s">
        <v>524</v>
      </c>
      <c r="E99" s="9" t="s">
        <v>525</v>
      </c>
      <c r="F99" s="10">
        <v>656578</v>
      </c>
      <c r="G99" s="10">
        <v>9397762</v>
      </c>
      <c r="H99" s="11">
        <v>109.86</v>
      </c>
    </row>
    <row r="100" spans="1:8" ht="15" customHeight="1" x14ac:dyDescent="0.3">
      <c r="A100" s="9" t="s">
        <v>530</v>
      </c>
      <c r="B100" s="9" t="s">
        <v>523</v>
      </c>
      <c r="C100" s="9" t="s">
        <v>492</v>
      </c>
      <c r="D100" s="9" t="s">
        <v>524</v>
      </c>
      <c r="E100" s="9" t="s">
        <v>525</v>
      </c>
      <c r="F100" s="10">
        <v>656489</v>
      </c>
      <c r="G100" s="10">
        <v>9395403</v>
      </c>
      <c r="H100" s="11">
        <v>23.17</v>
      </c>
    </row>
    <row r="101" spans="1:8" ht="15" customHeight="1" x14ac:dyDescent="0.3">
      <c r="A101" s="9" t="s">
        <v>531</v>
      </c>
      <c r="B101" s="9" t="s">
        <v>523</v>
      </c>
      <c r="C101" s="9" t="s">
        <v>492</v>
      </c>
      <c r="D101" s="9" t="s">
        <v>524</v>
      </c>
      <c r="E101" s="9" t="s">
        <v>525</v>
      </c>
      <c r="F101" s="10">
        <v>654607</v>
      </c>
      <c r="G101" s="10">
        <v>9395038</v>
      </c>
      <c r="H101" s="11">
        <v>30.8</v>
      </c>
    </row>
    <row r="102" spans="1:8" ht="15" customHeight="1" x14ac:dyDescent="0.3">
      <c r="A102" s="9" t="s">
        <v>532</v>
      </c>
      <c r="B102" s="9" t="s">
        <v>523</v>
      </c>
      <c r="C102" s="9" t="s">
        <v>492</v>
      </c>
      <c r="D102" s="9" t="s">
        <v>524</v>
      </c>
      <c r="E102" s="9" t="s">
        <v>525</v>
      </c>
      <c r="F102" s="10">
        <v>654207</v>
      </c>
      <c r="G102" s="10">
        <v>9394210</v>
      </c>
      <c r="H102" s="11">
        <v>13.18</v>
      </c>
    </row>
    <row r="103" spans="1:8" ht="15" customHeight="1" x14ac:dyDescent="0.3">
      <c r="A103" s="9" t="s">
        <v>533</v>
      </c>
      <c r="B103" s="9" t="s">
        <v>521</v>
      </c>
      <c r="C103" s="9" t="s">
        <v>492</v>
      </c>
      <c r="D103" s="9" t="s">
        <v>524</v>
      </c>
      <c r="E103" s="9" t="s">
        <v>525</v>
      </c>
      <c r="F103" s="10">
        <v>641196</v>
      </c>
      <c r="G103" s="10">
        <v>9398710</v>
      </c>
      <c r="H103" s="11">
        <v>279.68</v>
      </c>
    </row>
    <row r="104" spans="1:8" ht="15" customHeight="1" x14ac:dyDescent="0.3">
      <c r="A104" s="9" t="s">
        <v>534</v>
      </c>
      <c r="B104" s="9" t="s">
        <v>463</v>
      </c>
      <c r="C104" s="9" t="s">
        <v>492</v>
      </c>
      <c r="D104" s="9" t="s">
        <v>524</v>
      </c>
      <c r="E104" s="9" t="s">
        <v>525</v>
      </c>
      <c r="F104" s="10">
        <v>639059</v>
      </c>
      <c r="G104" s="10">
        <v>9398295</v>
      </c>
      <c r="H104" s="11">
        <v>116.1</v>
      </c>
    </row>
    <row r="105" spans="1:8" ht="15" customHeight="1" x14ac:dyDescent="0.3">
      <c r="A105" s="9" t="s">
        <v>535</v>
      </c>
      <c r="B105" s="9" t="s">
        <v>536</v>
      </c>
      <c r="C105" s="9" t="s">
        <v>492</v>
      </c>
      <c r="D105" s="9" t="s">
        <v>537</v>
      </c>
      <c r="E105" s="9" t="s">
        <v>538</v>
      </c>
      <c r="F105" s="10">
        <v>662123</v>
      </c>
      <c r="G105" s="10">
        <v>9397575</v>
      </c>
      <c r="H105" s="11">
        <v>40.1</v>
      </c>
    </row>
    <row r="106" spans="1:8" ht="15" customHeight="1" x14ac:dyDescent="0.3">
      <c r="A106" s="9" t="s">
        <v>539</v>
      </c>
      <c r="B106" s="9" t="s">
        <v>536</v>
      </c>
      <c r="C106" s="9" t="s">
        <v>492</v>
      </c>
      <c r="D106" s="9" t="s">
        <v>537</v>
      </c>
      <c r="E106" s="9" t="s">
        <v>538</v>
      </c>
      <c r="F106" s="10">
        <v>664225</v>
      </c>
      <c r="G106" s="10">
        <v>9396339</v>
      </c>
      <c r="H106" s="11">
        <v>21.29</v>
      </c>
    </row>
    <row r="107" spans="1:8" ht="15" customHeight="1" x14ac:dyDescent="0.3">
      <c r="A107" s="9" t="s">
        <v>540</v>
      </c>
      <c r="B107" s="9" t="s">
        <v>536</v>
      </c>
      <c r="C107" s="9" t="s">
        <v>492</v>
      </c>
      <c r="D107" s="9" t="s">
        <v>537</v>
      </c>
      <c r="E107" s="9" t="s">
        <v>538</v>
      </c>
      <c r="F107" s="10">
        <v>666537</v>
      </c>
      <c r="G107" s="10">
        <v>9395918</v>
      </c>
      <c r="H107" s="11">
        <v>13.06</v>
      </c>
    </row>
    <row r="108" spans="1:8" ht="15" customHeight="1" x14ac:dyDescent="0.3">
      <c r="A108" s="9" t="s">
        <v>541</v>
      </c>
      <c r="B108" s="9" t="s">
        <v>536</v>
      </c>
      <c r="C108" s="9" t="s">
        <v>492</v>
      </c>
      <c r="D108" s="9" t="s">
        <v>537</v>
      </c>
      <c r="E108" s="9" t="s">
        <v>538</v>
      </c>
      <c r="F108" s="10">
        <v>666781</v>
      </c>
      <c r="G108" s="10">
        <v>9395573</v>
      </c>
      <c r="H108" s="11">
        <v>22.39</v>
      </c>
    </row>
    <row r="109" spans="1:8" ht="15" customHeight="1" x14ac:dyDescent="0.3">
      <c r="A109" s="9" t="s">
        <v>542</v>
      </c>
      <c r="B109" s="9" t="s">
        <v>536</v>
      </c>
      <c r="C109" s="9" t="s">
        <v>492</v>
      </c>
      <c r="D109" s="9" t="s">
        <v>537</v>
      </c>
      <c r="E109" s="9" t="s">
        <v>538</v>
      </c>
      <c r="F109" s="10">
        <v>663334</v>
      </c>
      <c r="G109" s="10">
        <v>9392820</v>
      </c>
      <c r="H109" s="11">
        <v>47.58</v>
      </c>
    </row>
    <row r="110" spans="1:8" ht="15" customHeight="1" x14ac:dyDescent="0.3">
      <c r="A110" s="9" t="s">
        <v>543</v>
      </c>
      <c r="B110" s="9" t="s">
        <v>536</v>
      </c>
      <c r="C110" s="9" t="s">
        <v>492</v>
      </c>
      <c r="D110" s="9" t="s">
        <v>537</v>
      </c>
      <c r="E110" s="9" t="s">
        <v>538</v>
      </c>
      <c r="F110" s="10">
        <v>663291</v>
      </c>
      <c r="G110" s="10">
        <v>9392332</v>
      </c>
      <c r="H110" s="11">
        <v>19.43</v>
      </c>
    </row>
    <row r="111" spans="1:8" ht="15" customHeight="1" x14ac:dyDescent="0.3">
      <c r="A111" s="9" t="s">
        <v>544</v>
      </c>
      <c r="B111" s="9" t="s">
        <v>536</v>
      </c>
      <c r="C111" s="9" t="s">
        <v>492</v>
      </c>
      <c r="D111" s="9" t="s">
        <v>537</v>
      </c>
      <c r="E111" s="9" t="s">
        <v>538</v>
      </c>
      <c r="F111" s="10">
        <v>662236</v>
      </c>
      <c r="G111" s="10">
        <v>9391211</v>
      </c>
      <c r="H111" s="11">
        <v>12.4</v>
      </c>
    </row>
    <row r="112" spans="1:8" ht="15" customHeight="1" x14ac:dyDescent="0.3">
      <c r="A112" s="9" t="s">
        <v>545</v>
      </c>
      <c r="B112" s="9" t="s">
        <v>536</v>
      </c>
      <c r="C112" s="9" t="s">
        <v>492</v>
      </c>
      <c r="D112" s="9" t="s">
        <v>537</v>
      </c>
      <c r="E112" s="9" t="s">
        <v>538</v>
      </c>
      <c r="F112" s="10">
        <v>660525</v>
      </c>
      <c r="G112" s="10">
        <v>9394327</v>
      </c>
      <c r="H112" s="11">
        <v>64.92</v>
      </c>
    </row>
    <row r="113" spans="1:8" ht="15" customHeight="1" x14ac:dyDescent="0.3">
      <c r="A113" s="9" t="s">
        <v>546</v>
      </c>
      <c r="B113" s="9" t="s">
        <v>536</v>
      </c>
      <c r="C113" s="9" t="s">
        <v>492</v>
      </c>
      <c r="D113" s="9" t="s">
        <v>537</v>
      </c>
      <c r="E113" s="9" t="s">
        <v>538</v>
      </c>
      <c r="F113" s="10">
        <v>658547</v>
      </c>
      <c r="G113" s="10">
        <v>9395594</v>
      </c>
      <c r="H113" s="11">
        <v>54.29</v>
      </c>
    </row>
    <row r="114" spans="1:8" ht="15" customHeight="1" x14ac:dyDescent="0.3">
      <c r="A114" s="9" t="s">
        <v>547</v>
      </c>
      <c r="B114" s="9" t="s">
        <v>536</v>
      </c>
      <c r="C114" s="9" t="s">
        <v>492</v>
      </c>
      <c r="D114" s="9" t="s">
        <v>537</v>
      </c>
      <c r="E114" s="9" t="s">
        <v>538</v>
      </c>
      <c r="F114" s="10">
        <v>656445</v>
      </c>
      <c r="G114" s="10">
        <v>9393180</v>
      </c>
      <c r="H114" s="11">
        <v>103.62</v>
      </c>
    </row>
    <row r="115" spans="1:8" ht="15" customHeight="1" x14ac:dyDescent="0.3">
      <c r="A115" s="9" t="s">
        <v>548</v>
      </c>
      <c r="B115" s="9" t="s">
        <v>549</v>
      </c>
      <c r="C115" s="9" t="s">
        <v>492</v>
      </c>
      <c r="D115" s="9" t="s">
        <v>537</v>
      </c>
      <c r="E115" s="9" t="s">
        <v>538</v>
      </c>
      <c r="F115" s="10">
        <v>652449</v>
      </c>
      <c r="G115" s="10">
        <v>9389179</v>
      </c>
      <c r="H115" s="11">
        <v>29.23</v>
      </c>
    </row>
    <row r="116" spans="1:8" ht="15" customHeight="1" x14ac:dyDescent="0.3">
      <c r="A116" s="9" t="s">
        <v>550</v>
      </c>
      <c r="B116" s="9" t="s">
        <v>549</v>
      </c>
      <c r="C116" s="9" t="s">
        <v>492</v>
      </c>
      <c r="D116" s="9" t="s">
        <v>537</v>
      </c>
      <c r="E116" s="9" t="s">
        <v>538</v>
      </c>
      <c r="F116" s="10">
        <v>644546</v>
      </c>
      <c r="G116" s="10">
        <v>9389106</v>
      </c>
      <c r="H116" s="11">
        <v>268.39</v>
      </c>
    </row>
    <row r="117" spans="1:8" ht="15" customHeight="1" x14ac:dyDescent="0.3">
      <c r="A117" s="9" t="s">
        <v>551</v>
      </c>
      <c r="B117" s="9" t="s">
        <v>536</v>
      </c>
      <c r="C117" s="9" t="s">
        <v>492</v>
      </c>
      <c r="D117" s="9" t="s">
        <v>537</v>
      </c>
      <c r="E117" s="9" t="s">
        <v>538</v>
      </c>
      <c r="F117" s="10">
        <v>665942</v>
      </c>
      <c r="G117" s="10">
        <v>9391144</v>
      </c>
      <c r="H117" s="11">
        <v>82.09</v>
      </c>
    </row>
    <row r="118" spans="1:8" ht="15" customHeight="1" x14ac:dyDescent="0.3">
      <c r="A118" s="9" t="s">
        <v>552</v>
      </c>
      <c r="B118" s="9" t="s">
        <v>553</v>
      </c>
      <c r="C118" s="9" t="s">
        <v>492</v>
      </c>
      <c r="D118" s="9" t="s">
        <v>537</v>
      </c>
      <c r="E118" s="9" t="s">
        <v>554</v>
      </c>
      <c r="F118" s="10">
        <v>642775</v>
      </c>
      <c r="G118" s="10">
        <v>9388574</v>
      </c>
      <c r="H118" s="11">
        <v>289.91000000000003</v>
      </c>
    </row>
    <row r="119" spans="1:8" ht="15" customHeight="1" x14ac:dyDescent="0.3">
      <c r="A119" s="9" t="s">
        <v>555</v>
      </c>
      <c r="B119" s="9" t="s">
        <v>553</v>
      </c>
      <c r="C119" s="9" t="s">
        <v>492</v>
      </c>
      <c r="D119" s="9" t="s">
        <v>537</v>
      </c>
      <c r="E119" s="9" t="s">
        <v>554</v>
      </c>
      <c r="F119" s="10">
        <v>643474</v>
      </c>
      <c r="G119" s="10">
        <v>9385620</v>
      </c>
      <c r="H119" s="11">
        <v>234.07</v>
      </c>
    </row>
    <row r="120" spans="1:8" ht="15" customHeight="1" x14ac:dyDescent="0.3">
      <c r="A120" s="9" t="s">
        <v>556</v>
      </c>
      <c r="B120" s="9" t="s">
        <v>557</v>
      </c>
      <c r="C120" s="9" t="s">
        <v>492</v>
      </c>
      <c r="D120" s="9" t="s">
        <v>537</v>
      </c>
      <c r="E120" s="9" t="s">
        <v>554</v>
      </c>
      <c r="F120" s="10">
        <v>650830</v>
      </c>
      <c r="G120" s="10">
        <v>9382303</v>
      </c>
      <c r="H120" s="11">
        <v>150.21</v>
      </c>
    </row>
    <row r="121" spans="1:8" ht="15" customHeight="1" x14ac:dyDescent="0.3">
      <c r="A121" s="9" t="s">
        <v>558</v>
      </c>
      <c r="B121" s="9" t="s">
        <v>557</v>
      </c>
      <c r="C121" s="9" t="s">
        <v>492</v>
      </c>
      <c r="D121" s="9" t="s">
        <v>537</v>
      </c>
      <c r="E121" s="9" t="s">
        <v>554</v>
      </c>
      <c r="F121" s="10">
        <v>652939</v>
      </c>
      <c r="G121" s="10">
        <v>9382105</v>
      </c>
      <c r="H121" s="11">
        <v>83.33</v>
      </c>
    </row>
    <row r="122" spans="1:8" ht="15" customHeight="1" x14ac:dyDescent="0.3">
      <c r="A122" s="9" t="s">
        <v>559</v>
      </c>
      <c r="B122" s="9" t="s">
        <v>549</v>
      </c>
      <c r="C122" s="9" t="s">
        <v>492</v>
      </c>
      <c r="D122" s="9" t="s">
        <v>537</v>
      </c>
      <c r="E122" s="9" t="s">
        <v>554</v>
      </c>
      <c r="F122" s="10">
        <v>656549</v>
      </c>
      <c r="G122" s="10">
        <v>9382009</v>
      </c>
      <c r="H122" s="11">
        <v>230.1</v>
      </c>
    </row>
    <row r="123" spans="1:8" ht="15" customHeight="1" x14ac:dyDescent="0.3">
      <c r="A123" s="9" t="s">
        <v>560</v>
      </c>
      <c r="B123" s="9" t="s">
        <v>557</v>
      </c>
      <c r="C123" s="9" t="s">
        <v>492</v>
      </c>
      <c r="D123" s="9" t="s">
        <v>537</v>
      </c>
      <c r="E123" s="9" t="s">
        <v>554</v>
      </c>
      <c r="F123" s="10">
        <v>656291</v>
      </c>
      <c r="G123" s="10">
        <v>9379096</v>
      </c>
      <c r="H123" s="11">
        <v>22.93</v>
      </c>
    </row>
    <row r="124" spans="1:8" ht="15" customHeight="1" x14ac:dyDescent="0.3">
      <c r="A124" s="9" t="s">
        <v>561</v>
      </c>
      <c r="B124" s="9" t="s">
        <v>557</v>
      </c>
      <c r="C124" s="9" t="s">
        <v>492</v>
      </c>
      <c r="D124" s="9" t="s">
        <v>537</v>
      </c>
      <c r="E124" s="9" t="s">
        <v>554</v>
      </c>
      <c r="F124" s="10">
        <v>657922</v>
      </c>
      <c r="G124" s="10">
        <v>9377477</v>
      </c>
      <c r="H124" s="11">
        <v>19.62</v>
      </c>
    </row>
    <row r="125" spans="1:8" ht="15" customHeight="1" x14ac:dyDescent="0.3">
      <c r="A125" s="9" t="s">
        <v>562</v>
      </c>
      <c r="B125" s="9" t="s">
        <v>557</v>
      </c>
      <c r="C125" s="9" t="s">
        <v>492</v>
      </c>
      <c r="D125" s="9" t="s">
        <v>537</v>
      </c>
      <c r="E125" s="9" t="s">
        <v>554</v>
      </c>
      <c r="F125" s="10">
        <v>657160</v>
      </c>
      <c r="G125" s="10">
        <v>9373050</v>
      </c>
      <c r="H125" s="11">
        <v>28.83</v>
      </c>
    </row>
    <row r="126" spans="1:8" ht="15" customHeight="1" x14ac:dyDescent="0.3">
      <c r="A126" s="9" t="s">
        <v>563</v>
      </c>
      <c r="B126" s="9" t="s">
        <v>557</v>
      </c>
      <c r="C126" s="9" t="s">
        <v>492</v>
      </c>
      <c r="D126" s="9" t="s">
        <v>537</v>
      </c>
      <c r="E126" s="9" t="s">
        <v>554</v>
      </c>
      <c r="F126" s="10">
        <v>652104</v>
      </c>
      <c r="G126" s="10">
        <v>9373045</v>
      </c>
      <c r="H126" s="11">
        <v>10.67</v>
      </c>
    </row>
    <row r="127" spans="1:8" ht="15" customHeight="1" x14ac:dyDescent="0.3">
      <c r="A127" s="9" t="s">
        <v>564</v>
      </c>
      <c r="B127" s="9" t="s">
        <v>557</v>
      </c>
      <c r="C127" s="9" t="s">
        <v>492</v>
      </c>
      <c r="D127" s="9" t="s">
        <v>537</v>
      </c>
      <c r="E127" s="9" t="s">
        <v>554</v>
      </c>
      <c r="F127" s="10">
        <v>651673</v>
      </c>
      <c r="G127" s="10">
        <v>9373383</v>
      </c>
      <c r="H127" s="11">
        <v>126.95</v>
      </c>
    </row>
    <row r="128" spans="1:8" ht="15" customHeight="1" x14ac:dyDescent="0.3">
      <c r="A128" s="9" t="s">
        <v>565</v>
      </c>
      <c r="B128" s="9" t="s">
        <v>557</v>
      </c>
      <c r="C128" s="9" t="s">
        <v>492</v>
      </c>
      <c r="D128" s="9" t="s">
        <v>537</v>
      </c>
      <c r="E128" s="9" t="s">
        <v>554</v>
      </c>
      <c r="F128" s="10">
        <v>649847</v>
      </c>
      <c r="G128" s="10">
        <v>9376260</v>
      </c>
      <c r="H128" s="11">
        <v>81.33</v>
      </c>
    </row>
  </sheetData>
  <pageMargins left="0.75" right="0.75" top="1" bottom="1" header="0.511811023622047" footer="0.511811023622047"/>
  <pageSetup paperSize="9"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K16"/>
  <sheetViews>
    <sheetView zoomScaleNormal="100" workbookViewId="0">
      <pane ySplit="3" topLeftCell="A4" activePane="bottomLeft" state="frozen"/>
      <selection pane="bottomLeft"/>
    </sheetView>
  </sheetViews>
  <sheetFormatPr baseColWidth="10" defaultColWidth="8.6640625" defaultRowHeight="14.4" x14ac:dyDescent="0.3"/>
  <cols>
    <col min="1" max="1" width="22" customWidth="1"/>
    <col min="2" max="2" width="29" customWidth="1"/>
    <col min="3" max="4" width="22" customWidth="1"/>
    <col min="5" max="5" width="29" customWidth="1"/>
    <col min="6" max="7" width="31" customWidth="1"/>
    <col min="8" max="8" width="29" customWidth="1"/>
    <col min="9" max="9" width="38" customWidth="1"/>
    <col min="10" max="11" width="22" customWidth="1"/>
    <col min="12" max="12" width="53" customWidth="1"/>
    <col min="13" max="13" width="40" customWidth="1"/>
    <col min="14" max="14" width="31" customWidth="1"/>
    <col min="15" max="15" width="27" customWidth="1"/>
    <col min="16" max="16" width="22" customWidth="1"/>
    <col min="17" max="17" width="28" customWidth="1"/>
    <col min="18" max="18" width="22" customWidth="1"/>
    <col min="19" max="19" width="28" customWidth="1"/>
    <col min="20" max="21" width="22" customWidth="1"/>
    <col min="22" max="22" width="30" customWidth="1"/>
    <col min="23" max="23" width="34" customWidth="1"/>
    <col min="24" max="26" width="22" customWidth="1"/>
    <col min="27" max="27" width="25" customWidth="1"/>
    <col min="28" max="28" width="26" customWidth="1"/>
    <col min="29" max="29" width="22" customWidth="1"/>
    <col min="30" max="30" width="47" customWidth="1"/>
    <col min="31" max="31" width="33" customWidth="1"/>
    <col min="32" max="32" width="25" customWidth="1"/>
    <col min="33" max="37" width="22" customWidth="1"/>
  </cols>
  <sheetData>
    <row r="1" spans="1:37" ht="15" customHeight="1" x14ac:dyDescent="0.3">
      <c r="A1" s="25" t="s">
        <v>566</v>
      </c>
      <c r="B1" s="25"/>
      <c r="C1" s="25"/>
      <c r="D1" s="25"/>
      <c r="E1" s="25"/>
      <c r="F1" s="25"/>
      <c r="G1" s="25"/>
      <c r="H1" s="25"/>
    </row>
    <row r="3" spans="1:37" ht="15" customHeight="1" x14ac:dyDescent="0.3">
      <c r="A3" s="2" t="s">
        <v>567</v>
      </c>
      <c r="B3" s="2" t="s">
        <v>568</v>
      </c>
      <c r="C3" s="2" t="s">
        <v>569</v>
      </c>
      <c r="D3" s="2" t="s">
        <v>570</v>
      </c>
      <c r="E3" s="2" t="s">
        <v>571</v>
      </c>
      <c r="F3" s="2" t="s">
        <v>572</v>
      </c>
      <c r="G3" s="2" t="s">
        <v>573</v>
      </c>
      <c r="H3" s="2" t="s">
        <v>574</v>
      </c>
      <c r="I3" s="2" t="s">
        <v>575</v>
      </c>
      <c r="J3" s="2" t="s">
        <v>576</v>
      </c>
      <c r="K3" s="2" t="s">
        <v>577</v>
      </c>
      <c r="L3" s="2" t="s">
        <v>578</v>
      </c>
      <c r="M3" s="2" t="s">
        <v>579</v>
      </c>
      <c r="N3" s="2" t="s">
        <v>580</v>
      </c>
      <c r="O3" s="2" t="s">
        <v>581</v>
      </c>
      <c r="P3" s="2" t="s">
        <v>582</v>
      </c>
      <c r="Q3" s="2" t="s">
        <v>583</v>
      </c>
      <c r="R3" s="2" t="s">
        <v>584</v>
      </c>
      <c r="S3" s="2" t="s">
        <v>585</v>
      </c>
      <c r="T3" s="2" t="s">
        <v>586</v>
      </c>
      <c r="U3" s="2" t="s">
        <v>587</v>
      </c>
      <c r="V3" s="2" t="s">
        <v>588</v>
      </c>
      <c r="W3" s="2" t="s">
        <v>589</v>
      </c>
      <c r="X3" s="2" t="s">
        <v>590</v>
      </c>
      <c r="Y3" s="2" t="s">
        <v>591</v>
      </c>
      <c r="Z3" s="2" t="s">
        <v>592</v>
      </c>
      <c r="AA3" s="2" t="s">
        <v>593</v>
      </c>
      <c r="AB3" s="2" t="s">
        <v>594</v>
      </c>
      <c r="AC3" s="2" t="s">
        <v>595</v>
      </c>
      <c r="AD3" s="2" t="s">
        <v>596</v>
      </c>
      <c r="AE3" s="2" t="s">
        <v>597</v>
      </c>
      <c r="AF3" s="2" t="s">
        <v>598</v>
      </c>
      <c r="AG3" s="2" t="s">
        <v>599</v>
      </c>
      <c r="AH3" s="2" t="s">
        <v>600</v>
      </c>
      <c r="AI3" s="2" t="s">
        <v>601</v>
      </c>
      <c r="AJ3" s="2" t="s">
        <v>602</v>
      </c>
      <c r="AK3" s="2" t="s">
        <v>603</v>
      </c>
    </row>
    <row r="4" spans="1:37" ht="15" customHeight="1" x14ac:dyDescent="0.3">
      <c r="A4" s="9" t="s">
        <v>604</v>
      </c>
      <c r="B4" s="9" t="s">
        <v>605</v>
      </c>
      <c r="C4" s="9" t="s">
        <v>606</v>
      </c>
      <c r="D4" s="9" t="s">
        <v>37</v>
      </c>
      <c r="E4" s="9" t="s">
        <v>39</v>
      </c>
      <c r="F4" s="9" t="s">
        <v>249</v>
      </c>
      <c r="G4" s="9" t="s">
        <v>607</v>
      </c>
      <c r="H4" s="9" t="s">
        <v>608</v>
      </c>
      <c r="I4" s="9" t="s">
        <v>609</v>
      </c>
      <c r="J4" s="9" t="s">
        <v>610</v>
      </c>
      <c r="K4" s="9" t="s">
        <v>611</v>
      </c>
      <c r="L4" s="9" t="s">
        <v>612</v>
      </c>
      <c r="M4" s="9" t="s">
        <v>613</v>
      </c>
      <c r="N4" s="9" t="s">
        <v>109</v>
      </c>
      <c r="O4" s="9" t="s">
        <v>614</v>
      </c>
      <c r="P4" s="9" t="s">
        <v>122</v>
      </c>
      <c r="Q4" s="9" t="s">
        <v>615</v>
      </c>
      <c r="R4" s="9" t="s">
        <v>616</v>
      </c>
      <c r="S4" s="9" t="s">
        <v>617</v>
      </c>
      <c r="T4" s="9" t="s">
        <v>144</v>
      </c>
      <c r="U4" s="9" t="s">
        <v>145</v>
      </c>
      <c r="V4" s="9" t="s">
        <v>206</v>
      </c>
      <c r="W4" s="9" t="s">
        <v>618</v>
      </c>
      <c r="X4" s="9" t="s">
        <v>249</v>
      </c>
      <c r="Y4" s="9" t="s">
        <v>313</v>
      </c>
      <c r="Z4" s="9" t="s">
        <v>619</v>
      </c>
      <c r="AA4" s="9" t="s">
        <v>620</v>
      </c>
      <c r="AB4" s="9" t="s">
        <v>621</v>
      </c>
      <c r="AC4" s="9" t="s">
        <v>339</v>
      </c>
      <c r="AD4" s="9" t="s">
        <v>346</v>
      </c>
      <c r="AE4" s="9" t="s">
        <v>622</v>
      </c>
      <c r="AF4" s="9" t="s">
        <v>623</v>
      </c>
      <c r="AG4" s="9" t="s">
        <v>313</v>
      </c>
      <c r="AH4" s="9" t="s">
        <v>624</v>
      </c>
      <c r="AI4" s="9" t="s">
        <v>625</v>
      </c>
      <c r="AJ4" s="9" t="s">
        <v>44</v>
      </c>
      <c r="AK4" s="9" t="s">
        <v>44</v>
      </c>
    </row>
    <row r="5" spans="1:37" ht="15" customHeight="1" x14ac:dyDescent="0.3">
      <c r="A5" s="9" t="s">
        <v>626</v>
      </c>
      <c r="B5" s="9" t="s">
        <v>627</v>
      </c>
      <c r="C5" s="9" t="s">
        <v>628</v>
      </c>
      <c r="D5" s="9" t="s">
        <v>629</v>
      </c>
      <c r="E5" s="9" t="s">
        <v>630</v>
      </c>
      <c r="F5" s="9" t="s">
        <v>631</v>
      </c>
      <c r="G5" s="9" t="s">
        <v>632</v>
      </c>
      <c r="H5" s="9" t="s">
        <v>633</v>
      </c>
      <c r="I5" s="9" t="s">
        <v>634</v>
      </c>
      <c r="J5" s="9" t="s">
        <v>635</v>
      </c>
      <c r="K5" s="9" t="s">
        <v>324</v>
      </c>
      <c r="L5" s="9" t="s">
        <v>636</v>
      </c>
      <c r="M5" s="9" t="s">
        <v>637</v>
      </c>
      <c r="N5" s="9" t="s">
        <v>638</v>
      </c>
      <c r="O5" s="9" t="s">
        <v>120</v>
      </c>
      <c r="P5" s="9" t="s">
        <v>639</v>
      </c>
      <c r="Q5" s="9" t="s">
        <v>126</v>
      </c>
      <c r="R5" s="9" t="s">
        <v>128</v>
      </c>
      <c r="S5" s="9" t="s">
        <v>150</v>
      </c>
      <c r="T5" s="9" t="s">
        <v>640</v>
      </c>
      <c r="U5" s="9" t="s">
        <v>151</v>
      </c>
      <c r="V5" s="9" t="s">
        <v>216</v>
      </c>
      <c r="W5" s="9" t="s">
        <v>641</v>
      </c>
      <c r="X5" s="9" t="s">
        <v>242</v>
      </c>
      <c r="Y5" s="9" t="s">
        <v>284</v>
      </c>
      <c r="Z5" s="9" t="s">
        <v>642</v>
      </c>
      <c r="AA5" s="9" t="s">
        <v>322</v>
      </c>
      <c r="AB5" s="9" t="s">
        <v>643</v>
      </c>
      <c r="AC5" s="9" t="s">
        <v>335</v>
      </c>
      <c r="AD5" s="9" t="s">
        <v>336</v>
      </c>
      <c r="AE5" s="9" t="s">
        <v>359</v>
      </c>
      <c r="AF5" s="9" t="s">
        <v>644</v>
      </c>
      <c r="AG5" s="9" t="s">
        <v>284</v>
      </c>
      <c r="AH5" s="9" t="s">
        <v>369</v>
      </c>
      <c r="AI5" s="9" t="s">
        <v>645</v>
      </c>
      <c r="AJ5" s="9" t="s">
        <v>46</v>
      </c>
      <c r="AK5" s="9" t="s">
        <v>46</v>
      </c>
    </row>
    <row r="6" spans="1:37" ht="15" customHeight="1" x14ac:dyDescent="0.3">
      <c r="A6" s="9" t="s">
        <v>31</v>
      </c>
      <c r="B6" s="9" t="s">
        <v>33</v>
      </c>
      <c r="C6" s="9" t="s">
        <v>35</v>
      </c>
      <c r="D6" s="9" t="s">
        <v>646</v>
      </c>
      <c r="E6" s="9" t="s">
        <v>647</v>
      </c>
      <c r="F6" s="9" t="s">
        <v>65</v>
      </c>
      <c r="G6" s="9" t="s">
        <v>648</v>
      </c>
      <c r="H6" s="9" t="s">
        <v>649</v>
      </c>
      <c r="I6" s="9" t="s">
        <v>650</v>
      </c>
      <c r="J6" s="9" t="s">
        <v>651</v>
      </c>
      <c r="K6" s="9" t="s">
        <v>90</v>
      </c>
      <c r="L6" s="9" t="s">
        <v>104</v>
      </c>
      <c r="M6" s="9" t="s">
        <v>107</v>
      </c>
      <c r="N6" s="9" t="s">
        <v>652</v>
      </c>
      <c r="O6" s="9" t="s">
        <v>653</v>
      </c>
      <c r="P6" s="9" t="s">
        <v>654</v>
      </c>
      <c r="Q6" s="9" t="s">
        <v>655</v>
      </c>
      <c r="R6" s="9" t="s">
        <v>656</v>
      </c>
      <c r="S6" s="9" t="s">
        <v>143</v>
      </c>
      <c r="T6" s="9" t="s">
        <v>657</v>
      </c>
      <c r="U6" s="9" t="s">
        <v>156</v>
      </c>
      <c r="V6" s="9" t="s">
        <v>222</v>
      </c>
      <c r="W6" s="9" t="s">
        <v>658</v>
      </c>
      <c r="X6" s="9" t="s">
        <v>236</v>
      </c>
      <c r="Y6" s="9" t="s">
        <v>292</v>
      </c>
      <c r="Z6" s="9" t="s">
        <v>236</v>
      </c>
      <c r="AA6" s="9" t="s">
        <v>659</v>
      </c>
      <c r="AB6" s="9" t="s">
        <v>334</v>
      </c>
      <c r="AC6" s="9" t="s">
        <v>660</v>
      </c>
      <c r="AD6" s="9" t="s">
        <v>661</v>
      </c>
      <c r="AE6" s="9" t="s">
        <v>662</v>
      </c>
      <c r="AF6" s="9" t="s">
        <v>663</v>
      </c>
      <c r="AG6" s="9" t="s">
        <v>292</v>
      </c>
      <c r="AH6" s="9" t="s">
        <v>660</v>
      </c>
      <c r="AI6" s="9" t="s">
        <v>664</v>
      </c>
      <c r="AK6" s="9" t="s">
        <v>665</v>
      </c>
    </row>
    <row r="7" spans="1:37" ht="15" customHeight="1" x14ac:dyDescent="0.3">
      <c r="A7" s="9" t="s">
        <v>666</v>
      </c>
      <c r="B7" s="9" t="s">
        <v>667</v>
      </c>
      <c r="C7" s="9" t="s">
        <v>668</v>
      </c>
      <c r="D7" s="9" t="s">
        <v>669</v>
      </c>
      <c r="E7" s="9" t="s">
        <v>670</v>
      </c>
      <c r="F7" s="9" t="s">
        <v>671</v>
      </c>
      <c r="G7" s="9" t="s">
        <v>672</v>
      </c>
      <c r="H7" s="9" t="s">
        <v>673</v>
      </c>
      <c r="I7" s="9" t="s">
        <v>674</v>
      </c>
      <c r="J7" s="9" t="s">
        <v>87</v>
      </c>
      <c r="K7" s="9" t="s">
        <v>675</v>
      </c>
      <c r="L7" s="9" t="s">
        <v>676</v>
      </c>
      <c r="M7" s="9" t="s">
        <v>677</v>
      </c>
      <c r="N7" s="9" t="s">
        <v>678</v>
      </c>
      <c r="O7" s="9" t="s">
        <v>679</v>
      </c>
      <c r="P7" s="9" t="s">
        <v>680</v>
      </c>
      <c r="Q7" s="9" t="s">
        <v>681</v>
      </c>
      <c r="R7" s="9" t="s">
        <v>682</v>
      </c>
      <c r="S7" s="9" t="s">
        <v>165</v>
      </c>
      <c r="T7" s="9" t="s">
        <v>683</v>
      </c>
      <c r="U7" s="9" t="s">
        <v>164</v>
      </c>
      <c r="V7" s="9" t="s">
        <v>219</v>
      </c>
      <c r="W7" s="9" t="s">
        <v>224</v>
      </c>
      <c r="X7" s="9" t="s">
        <v>684</v>
      </c>
      <c r="Z7" s="9" t="s">
        <v>320</v>
      </c>
      <c r="AA7" s="9" t="s">
        <v>685</v>
      </c>
      <c r="AB7" s="9" t="s">
        <v>338</v>
      </c>
      <c r="AC7" s="9" t="s">
        <v>341</v>
      </c>
      <c r="AD7" s="9" t="s">
        <v>686</v>
      </c>
      <c r="AE7" s="9" t="s">
        <v>687</v>
      </c>
      <c r="AF7" s="9" t="s">
        <v>688</v>
      </c>
      <c r="AH7" s="9" t="s">
        <v>689</v>
      </c>
      <c r="AI7" s="9" t="s">
        <v>690</v>
      </c>
    </row>
    <row r="8" spans="1:37" ht="15" customHeight="1" x14ac:dyDescent="0.3">
      <c r="A8" s="9" t="s">
        <v>691</v>
      </c>
      <c r="B8" s="9" t="s">
        <v>692</v>
      </c>
      <c r="C8" s="9" t="s">
        <v>693</v>
      </c>
      <c r="D8" s="9" t="s">
        <v>694</v>
      </c>
      <c r="E8" s="9" t="s">
        <v>695</v>
      </c>
      <c r="F8" s="9" t="s">
        <v>696</v>
      </c>
      <c r="G8" s="9" t="s">
        <v>697</v>
      </c>
      <c r="H8" s="9" t="s">
        <v>698</v>
      </c>
      <c r="I8" s="9" t="s">
        <v>699</v>
      </c>
      <c r="J8" s="9" t="s">
        <v>700</v>
      </c>
      <c r="L8" s="9" t="s">
        <v>701</v>
      </c>
      <c r="M8" s="9" t="s">
        <v>702</v>
      </c>
      <c r="N8" s="9" t="s">
        <v>703</v>
      </c>
      <c r="P8" s="9" t="s">
        <v>704</v>
      </c>
      <c r="Q8" s="9" t="s">
        <v>705</v>
      </c>
      <c r="R8" s="9" t="s">
        <v>706</v>
      </c>
      <c r="S8" s="9" t="s">
        <v>172</v>
      </c>
      <c r="U8" s="9" t="s">
        <v>707</v>
      </c>
      <c r="V8" s="9" t="s">
        <v>201</v>
      </c>
      <c r="W8" s="9" t="s">
        <v>202</v>
      </c>
      <c r="X8" s="9" t="s">
        <v>708</v>
      </c>
      <c r="Z8" s="9" t="s">
        <v>709</v>
      </c>
      <c r="AB8" s="9" t="s">
        <v>710</v>
      </c>
      <c r="AC8" s="9" t="s">
        <v>679</v>
      </c>
      <c r="AD8" s="9" t="s">
        <v>342</v>
      </c>
      <c r="AE8" s="9" t="s">
        <v>711</v>
      </c>
      <c r="AF8" s="9" t="s">
        <v>712</v>
      </c>
      <c r="AI8" s="9" t="s">
        <v>270</v>
      </c>
    </row>
    <row r="9" spans="1:37" ht="15" customHeight="1" x14ac:dyDescent="0.3">
      <c r="B9" s="9" t="s">
        <v>713</v>
      </c>
      <c r="C9" s="9" t="s">
        <v>714</v>
      </c>
      <c r="D9" s="9" t="s">
        <v>715</v>
      </c>
      <c r="E9" s="9" t="s">
        <v>716</v>
      </c>
      <c r="F9" s="9" t="s">
        <v>717</v>
      </c>
      <c r="I9" s="9" t="s">
        <v>718</v>
      </c>
      <c r="L9" s="9" t="s">
        <v>719</v>
      </c>
      <c r="M9" s="9" t="s">
        <v>720</v>
      </c>
      <c r="N9" s="9" t="s">
        <v>721</v>
      </c>
      <c r="P9" s="9" t="s">
        <v>722</v>
      </c>
      <c r="R9" s="9" t="s">
        <v>723</v>
      </c>
      <c r="S9" s="9" t="s">
        <v>184</v>
      </c>
      <c r="V9" s="9" t="s">
        <v>213</v>
      </c>
      <c r="W9" s="9" t="s">
        <v>724</v>
      </c>
      <c r="AB9" s="9" t="s">
        <v>725</v>
      </c>
      <c r="AE9" s="9" t="s">
        <v>726</v>
      </c>
      <c r="AF9" s="9" t="s">
        <v>727</v>
      </c>
      <c r="AI9" s="9" t="s">
        <v>689</v>
      </c>
    </row>
    <row r="10" spans="1:37" ht="15" customHeight="1" x14ac:dyDescent="0.3">
      <c r="C10" s="9" t="s">
        <v>728</v>
      </c>
      <c r="D10" s="9" t="s">
        <v>729</v>
      </c>
      <c r="E10" s="9" t="s">
        <v>730</v>
      </c>
      <c r="I10" s="9" t="s">
        <v>731</v>
      </c>
      <c r="L10" s="9" t="s">
        <v>732</v>
      </c>
      <c r="N10" s="9" t="s">
        <v>733</v>
      </c>
      <c r="R10" s="9" t="s">
        <v>734</v>
      </c>
      <c r="S10" s="9" t="s">
        <v>180</v>
      </c>
      <c r="W10" s="9" t="s">
        <v>207</v>
      </c>
      <c r="AB10" s="9" t="s">
        <v>735</v>
      </c>
      <c r="AF10" s="9" t="s">
        <v>363</v>
      </c>
    </row>
    <row r="11" spans="1:37" ht="15" customHeight="1" x14ac:dyDescent="0.3">
      <c r="C11" s="9" t="s">
        <v>736</v>
      </c>
      <c r="D11" s="9" t="s">
        <v>737</v>
      </c>
      <c r="I11" s="9" t="s">
        <v>738</v>
      </c>
      <c r="L11" s="9" t="s">
        <v>739</v>
      </c>
      <c r="N11" s="9" t="s">
        <v>740</v>
      </c>
      <c r="R11" s="9" t="s">
        <v>741</v>
      </c>
      <c r="S11" s="9" t="s">
        <v>176</v>
      </c>
      <c r="W11" s="9" t="s">
        <v>742</v>
      </c>
      <c r="AB11" s="9" t="s">
        <v>345</v>
      </c>
    </row>
    <row r="12" spans="1:37" ht="15" customHeight="1" x14ac:dyDescent="0.3">
      <c r="C12" s="9" t="s">
        <v>743</v>
      </c>
      <c r="D12" s="9" t="s">
        <v>744</v>
      </c>
      <c r="I12" s="9" t="s">
        <v>270</v>
      </c>
      <c r="L12" s="9" t="s">
        <v>745</v>
      </c>
      <c r="N12" s="9" t="s">
        <v>270</v>
      </c>
      <c r="R12" s="9" t="s">
        <v>746</v>
      </c>
      <c r="W12" s="9" t="s">
        <v>747</v>
      </c>
      <c r="AB12" s="9" t="s">
        <v>748</v>
      </c>
    </row>
    <row r="13" spans="1:37" ht="15" customHeight="1" x14ac:dyDescent="0.3">
      <c r="L13" s="9" t="s">
        <v>749</v>
      </c>
      <c r="R13" s="9" t="s">
        <v>750</v>
      </c>
      <c r="W13" s="9" t="s">
        <v>665</v>
      </c>
      <c r="AB13" s="9" t="s">
        <v>270</v>
      </c>
    </row>
    <row r="14" spans="1:37" ht="15" customHeight="1" x14ac:dyDescent="0.3">
      <c r="L14" s="9" t="s">
        <v>751</v>
      </c>
      <c r="R14" s="9" t="s">
        <v>752</v>
      </c>
    </row>
    <row r="15" spans="1:37" ht="15" customHeight="1" x14ac:dyDescent="0.3">
      <c r="L15" s="9" t="s">
        <v>753</v>
      </c>
    </row>
    <row r="16" spans="1:37" ht="15" customHeight="1" x14ac:dyDescent="0.3">
      <c r="L16" s="9" t="s">
        <v>270</v>
      </c>
    </row>
  </sheetData>
  <mergeCells count="1">
    <mergeCell ref="A1:H1"/>
  </mergeCells>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7</vt:i4>
      </vt:variant>
      <vt:variant>
        <vt:lpstr>Rangos con nombre</vt:lpstr>
      </vt:variant>
      <vt:variant>
        <vt:i4>44</vt:i4>
      </vt:variant>
    </vt:vector>
  </HeadingPairs>
  <TitlesOfParts>
    <vt:vector size="51" baseType="lpstr">
      <vt:lpstr>F-DT-01</vt:lpstr>
      <vt:lpstr>F-DT-02</vt:lpstr>
      <vt:lpstr>F-DT-03</vt:lpstr>
      <vt:lpstr>F-DT-04</vt:lpstr>
      <vt:lpstr>F-DT-05</vt:lpstr>
      <vt:lpstr>Bloques V4</vt:lpstr>
      <vt:lpstr>_Listas</vt:lpstr>
      <vt:lpstr>lst_Abundancia</vt:lpstr>
      <vt:lpstr>lst_CalidadAgua</vt:lpstr>
      <vt:lpstr>lst_CategoriaIndicadora</vt:lpstr>
      <vt:lpstr>lst_CausaCarcava</vt:lpstr>
      <vt:lpstr>lst_CodigoBloque</vt:lpstr>
      <vt:lpstr>lst_EstadoCarcava</vt:lpstr>
      <vt:lpstr>lst_EstadoConservacion</vt:lpstr>
      <vt:lpstr>lst_EstadoSanitario</vt:lpstr>
      <vt:lpstr>lst_EstadoUICN</vt:lpstr>
      <vt:lpstr>lst_Estrato</vt:lpstr>
      <vt:lpstr>lst_Exposicion</vt:lpstr>
      <vt:lpstr>lst_Fenologia</vt:lpstr>
      <vt:lpstr>lst_FormaTerreno</vt:lpstr>
      <vt:lpstr>lst_Intensidad</vt:lpstr>
      <vt:lpstr>lst_ModalidadAcceso</vt:lpstr>
      <vt:lpstr>lst_NivelErosion</vt:lpstr>
      <vt:lpstr>lst_NivelInd</vt:lpstr>
      <vt:lpstr>lst_NivelTransitabilidad</vt:lpstr>
      <vt:lpstr>lst_Operador</vt:lpstr>
      <vt:lpstr>lst_Origen</vt:lpstr>
      <vt:lpstr>lst_PatronCarcavas</vt:lpstr>
      <vt:lpstr>lst_PosicionFisio</vt:lpstr>
      <vt:lpstr>lst_RangoAltitud</vt:lpstr>
      <vt:lpstr>lst_RangoPendiente</vt:lpstr>
      <vt:lpstr>lst_Regeneracion</vt:lpstr>
      <vt:lpstr>lst_RegimenHidrico</vt:lpstr>
      <vt:lpstr>lst_Reversibilidad</vt:lpstr>
      <vt:lpstr>lst_SenalCelular</vt:lpstr>
      <vt:lpstr>lst_SiNo</vt:lpstr>
      <vt:lpstr>lst_SiNoNA</vt:lpstr>
      <vt:lpstr>lst_TipoCarcava</vt:lpstr>
      <vt:lpstr>lst_TipoCobertura</vt:lpstr>
      <vt:lpstr>lst_TipoEcosistema</vt:lpstr>
      <vt:lpstr>lst_TipoFuente</vt:lpstr>
      <vt:lpstr>lst_TipoVia</vt:lpstr>
      <vt:lpstr>lst_Urgencia</vt:lpstr>
      <vt:lpstr>lst_UsoSueloDom</vt:lpstr>
      <vt:lpstr>lst_Velocidad</vt:lpstr>
      <vt:lpstr>tbl_Bloques</vt:lpstr>
      <vt:lpstr>'F-DT-01'!Títulos_a_imprimir</vt:lpstr>
      <vt:lpstr>'F-DT-02'!Títulos_a_imprimir</vt:lpstr>
      <vt:lpstr>'F-DT-03'!Títulos_a_imprimir</vt:lpstr>
      <vt:lpstr>'F-DT-04'!Títulos_a_imprimir</vt:lpstr>
      <vt:lpstr>'F-DT-05'!Títulos_a_imprimir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Hector Salomón Cahuas Miller</cp:lastModifiedBy>
  <cp:revision>0</cp:revision>
  <dcterms:created xsi:type="dcterms:W3CDTF">2026-05-08T03:16:44Z</dcterms:created>
  <dcterms:modified xsi:type="dcterms:W3CDTF">2026-06-29T00:56:24Z</dcterms:modified>
  <dc:language>en-US</dc:language>
</cp:coreProperties>
</file>