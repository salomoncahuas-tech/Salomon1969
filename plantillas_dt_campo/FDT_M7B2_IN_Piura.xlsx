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d.docs.live.net/45b075c037decc03/DIAGNOSTICOS TERRITORIALES BLOQUES/DIAGNOSTICO BLOQUE M7B2/"/>
    </mc:Choice>
  </mc:AlternateContent>
  <xr:revisionPtr revIDLastSave="0" documentId="11_84DA2984D70F1F10F4775D0B544EF6B21870B889" xr6:coauthVersionLast="47" xr6:coauthVersionMax="47" xr10:uidLastSave="{00000000-0000-0000-0000-000000000000}"/>
  <bookViews>
    <workbookView xWindow="-108" yWindow="-108" windowWidth="23256" windowHeight="12456" tabRatio="500" activeTab="3" xr2:uid="{00000000-000D-0000-FFFF-FFFF00000000}"/>
  </bookViews>
  <sheets>
    <sheet name="F-DT-01" sheetId="1" r:id="rId1"/>
    <sheet name="F-DT-02" sheetId="2" r:id="rId2"/>
    <sheet name="F-DT-03" sheetId="3" r:id="rId3"/>
    <sheet name="F-DT-04" sheetId="4" r:id="rId4"/>
    <sheet name="F-DT-05" sheetId="5" r:id="rId5"/>
    <sheet name="Bloques V4" sheetId="6" r:id="rId6"/>
    <sheet name="_Listas" sheetId="7" r:id="rId7"/>
  </sheets>
  <definedNames>
    <definedName name="lst_Abundancia">_Listas!$U$4:$U$8</definedName>
    <definedName name="lst_CalidadAgua">_Listas!$AD$4:$AD$8</definedName>
    <definedName name="lst_CategoriaIndicadora">_Listas!$V$4:$V$9</definedName>
    <definedName name="lst_CausaCarcava">_Listas!$I$4:$I$12</definedName>
    <definedName name="lst_CodigoBloque">'Bloques V4'!$A$2:$A$128</definedName>
    <definedName name="lst_EstadoCarcava">_Listas!$H$4:$H$8</definedName>
    <definedName name="lst_EstadoConservacion">_Listas!$M$4:$M$9</definedName>
    <definedName name="lst_EstadoSanitario">_Listas!$P$4:$P$9</definedName>
    <definedName name="lst_EstadoUICN">_Listas!$W$4:$W$13</definedName>
    <definedName name="lst_Estrato">_Listas!$S$4:$S$11</definedName>
    <definedName name="lst_Exposicion">_Listas!$D$4:$D$12</definedName>
    <definedName name="lst_Fenologia">_Listas!$Q$4:$Q$8</definedName>
    <definedName name="lst_FormaTerreno">_Listas!$A$4:$A$8</definedName>
    <definedName name="lst_Intensidad">_Listas!$X$4:$X$8</definedName>
    <definedName name="lst_ModalidadAcceso">_Listas!$AE$4:$AE$9</definedName>
    <definedName name="lst_NivelErosion">_Listas!$F$4:$F$9</definedName>
    <definedName name="lst_NivelInd">_Listas!$Y$4:$Y$6</definedName>
    <definedName name="lst_NivelTransitabilidad">_Listas!$AG$4:$AG$6</definedName>
    <definedName name="lst_Operador">_Listas!$AI$4:$AI$9</definedName>
    <definedName name="lst_Origen">_Listas!$T$4:$T$7</definedName>
    <definedName name="lst_PatronCarcavas">_Listas!$J$4:$J$8</definedName>
    <definedName name="lst_PosicionFisio">_Listas!$C$4:$C$12</definedName>
    <definedName name="lst_RangoAltitud">_Listas!$E$4:$E$10</definedName>
    <definedName name="lst_RangoPendiente">_Listas!$B$4:$B$9</definedName>
    <definedName name="lst_Regeneracion">_Listas!$O$4:$O$7</definedName>
    <definedName name="lst_RegimenHidrico">_Listas!$AC$4:$AC$8</definedName>
    <definedName name="lst_Reversibilidad">_Listas!$AA$4:$AA$7</definedName>
    <definedName name="lst_SenalCelular">_Listas!$AH$4:$AH$7</definedName>
    <definedName name="lst_SiNo">_Listas!$AJ$4:$AJ$5</definedName>
    <definedName name="lst_SiNoNA">_Listas!$AK$4:$AK$6</definedName>
    <definedName name="lst_TipoCarcava">_Listas!$G$4:$G$8</definedName>
    <definedName name="lst_TipoCobertura">_Listas!$R$4:$R$14</definedName>
    <definedName name="lst_TipoEcosistema">_Listas!$L$4:$L$16</definedName>
    <definedName name="lst_TipoFuente">_Listas!$AB$4:$AB$13</definedName>
    <definedName name="lst_TipoVia">_Listas!$AF$4:$AF$10</definedName>
    <definedName name="lst_Urgencia">_Listas!$K$4:$K$7</definedName>
    <definedName name="lst_UsoSueloDom">_Listas!$N$4:$N$12</definedName>
    <definedName name="lst_Velocidad">_Listas!$Z$4:$Z$8</definedName>
    <definedName name="tbl_Bloques">'Bloques V4'!$A$2:$H$128</definedName>
    <definedName name="_xlnm.Print_Titles" localSheetId="0">'F-DT-01'!$1:$6</definedName>
    <definedName name="_xlnm.Print_Titles" localSheetId="1">'F-DT-02'!$1:$6</definedName>
    <definedName name="_xlnm.Print_Titles" localSheetId="2">'F-DT-03'!$1:$6</definedName>
    <definedName name="_xlnm.Print_Titles" localSheetId="3">'F-DT-04'!$1:$6</definedName>
    <definedName name="_xlnm.Print_Titles" localSheetId="4">'F-DT-05'!$1:$6</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G10" i="5" l="1"/>
  <c r="C10" i="5"/>
  <c r="G9" i="5"/>
  <c r="C10" i="3"/>
  <c r="G9" i="3"/>
  <c r="D10" i="2"/>
  <c r="J9" i="2"/>
  <c r="F12" i="1"/>
  <c r="B12" i="1"/>
  <c r="F11" i="1"/>
  <c r="B11" i="1"/>
  <c r="F10" i="1"/>
  <c r="C11" i="4"/>
</calcChain>
</file>

<file path=xl/sharedStrings.xml><?xml version="1.0" encoding="utf-8"?>
<sst xmlns="http://schemas.openxmlformats.org/spreadsheetml/2006/main" count="1304" uniqueCount="698">
  <si>
    <t>AUTORIDAD NACIONAL DE INFRAESTRUCTURA — ANIN</t>
  </si>
  <si>
    <t>DIME — Dirección de Intervenciones Multisectoriales y de Emergencia  |  SESDI — Subdirección de Estudios de Inversión</t>
  </si>
  <si>
    <t>PROYECTO IN PIURA  |  CUI 2669244  |  Recuperación de servicios de regulación de riesgos naturales y regulación hídrica — Cuenca Alta del Río Piura</t>
  </si>
  <si>
    <t>F-DT-01: DATOS GENERALES Y FISIOGRAFÍA DEL BLOQUE</t>
  </si>
  <si>
    <t>Identificación del bloque e inventario rápido de parámetros fisiográficos observados a escala del bloque. Base para todos los formatos F-DT siguientes.</t>
  </si>
  <si>
    <t>★ Campos obligatorios marcados con *  |  Celdas naranjas = ingreso manual  |  Celdas grises = autocalculadas (NO modificar)  |  Despliegue las flechas para elegir opciones de las listas.</t>
  </si>
  <si>
    <t>1. DATOS GENERALES Y LOCALIZACIÓN</t>
  </si>
  <si>
    <t>Fecha (dd-mm-aaaa) *</t>
  </si>
  <si>
    <t>21-05-2026</t>
  </si>
  <si>
    <t>Hora de registro</t>
  </si>
  <si>
    <t>11:35 – 12:15</t>
  </si>
  <si>
    <t>Brigada / Responsable *</t>
  </si>
  <si>
    <t>Ing. Juan Carlos Domínguez Varas</t>
  </si>
  <si>
    <t>Ficha N° (correlativo)</t>
  </si>
  <si>
    <t>3</t>
  </si>
  <si>
    <t>Código del Bloque *</t>
  </si>
  <si>
    <t>M7B2</t>
  </si>
  <si>
    <t>Código de Microcuenca</t>
  </si>
  <si>
    <t>Provincia (auto)</t>
  </si>
  <si>
    <t>Distrito (auto)</t>
  </si>
  <si>
    <t>Zona del bloque (auto)</t>
  </si>
  <si>
    <t>Área del bloque (ha) — auto</t>
  </si>
  <si>
    <t>UTM ESTE punto de muestreo (m) *</t>
  </si>
  <si>
    <t>UTM NORTE punto de muestreo (m) *</t>
  </si>
  <si>
    <t>Altitud GPS (msnm) *</t>
  </si>
  <si>
    <t>Centro poblado más cercano</t>
  </si>
  <si>
    <t>Palo Blanco, El Cerezo y La Alberca</t>
  </si>
  <si>
    <t>Comunidad Campesina (si aplica)</t>
  </si>
  <si>
    <t>No consignada</t>
  </si>
  <si>
    <t>2. CARACTERIZACIÓN FISIOGRÁFICA DEL BLOQUE</t>
  </si>
  <si>
    <t>Forma predominante del terreno *</t>
  </si>
  <si>
    <t>Colinoso</t>
  </si>
  <si>
    <t>Rango de pendiente dominante *</t>
  </si>
  <si>
    <t>25-50% (Mod. escarpado)</t>
  </si>
  <si>
    <t>Posición fisiográfica *</t>
  </si>
  <si>
    <t>Ladera media</t>
  </si>
  <si>
    <t>Exposición / Orientación dominante *</t>
  </si>
  <si>
    <t>Oeste</t>
  </si>
  <si>
    <t>Rango altitudinal del bloque *</t>
  </si>
  <si>
    <t>&lt;1000 m (Yunga)</t>
  </si>
  <si>
    <t>Paisaje dominante (descripción libre)</t>
  </si>
  <si>
    <t>Ladera de colina baja convexo-cóncava tributaria de la quebrada Q9581 (microcuenca C1076), en la margen izquierda del río Serrán. Paisaje de colina dominado por bosque estacionalmente seco de colina y montaña, con una franja marginal de zona agrícola. El bloque se ubica al pie de la vía nacional asfaltada y se prolonga paralelamente a esta. Poca piedra dispersa sobre el terreno; sin afloramientos rocosos.</t>
  </si>
  <si>
    <t>3. INDICIOS DE REMOCIÓN EN MASA E INESTABILIDAD</t>
  </si>
  <si>
    <t>Presencia de afloramientos rocosos</t>
  </si>
  <si>
    <t>No</t>
  </si>
  <si>
    <t>Presencia de escarpes activos *</t>
  </si>
  <si>
    <t>¿Reptación de suelo observada? *</t>
  </si>
  <si>
    <t>¿Deslizamientos antiguos observados?</t>
  </si>
  <si>
    <t>¿Remociones en masa activas? *</t>
  </si>
  <si>
    <t>OBSERVACIONES</t>
  </si>
  <si>
    <t>Registro de campo (21-05-2026, 11:35–12:15 h, Ing. Juan Carlos Domínguez Varas): el acceso es por la vía nacional asfaltada Buenos Aires – Serrán, cruzando los centros poblados de Palo Blanco, El Cerezo y La Alberca. El bloque se ubica al pie de la vía asfaltada y se prolonga paralelamente por esta. La ladera tiene una pendiente menor al 50%, con QUEBRADAS QUE DESFOGAN EL AGUA COLECTADA EN LA COLINA HACIA LA VÍA Y LOS CENTROS POBLADOS para terminar en el río Serrán, lo que genera preocupación en la población durante la temporada de lluvias. No se evidenció presencia de afloramientos rocosos y existe poca piedra sobre el terreno. Las áreas más próximas a los centros poblados y a la vía se encuentran MÁS ALTERADAS en comparación con el área más próxima al ÁREA DE CONSERVACIÓN REGIONAL SALITRAL – HUARMACA, colindante al bloque. Sin escarpes activos, reptación, deslizamientos antiguos ni remociones en masa activas. || GABINETE (DEM): rango altitudinal 204–362 msnm; pendiente promedio del bloque 14.01% (clase 8–15%). El rango de campo (25–50%) corresponde al recorrido efectivo sobre la ladera. || INCONSISTENCIA DE REGISTRO: en el aplicativo, la coordenada UTM Este del punto de muestreo figura como 645 575 m —fuera del ámbito del bloque (centroide E 631 438 / N 9 403 547)— y la coordenada Norte no fue registrada. NO SE CONSIGNAN; POR VERIFICAR con el GPS de brigada. || ADVERTENCIA SOBRE VERSIONES DE FICHA: existe una segunda exportación del aplicativo para M7B2 (generada el 28-06-2026) con datos divergentes y erróneos — superficie de ecosistema de 514.36 ha (que corresponde al bloque M6B2-1), paisaje referido a la quebrada Q9566 de la microcuenca C1077 (que corresponde a M6B2), estado 'Medianamente alterado' y la anotación 'no se pudo acceder al interior del bloque'. El presente diagnóstico se sustenta en la ficha del Segundo Entregable OS 1993-2026 (generada el 14-06-2026), internamente consistente con el catálogo y con el levantamiento completo. Se recomienda depurar el registro duplicado en el aplicativo. || PARÁMETROS GEOESPACIALES DEL BLOQUE (gabinete): rango altitudinal 204–362 msnm; pendiente promedio 14.01%; MSAVI medio 2024 = 0.2877; área 115.38 ha; microcuenca C1076-Q9581; zona Z07; centroide E 631,438 / N 9,403,547 (UTM WGS84 17S).</t>
  </si>
  <si>
    <t>F-DT-02: SUELO Y PROCESOS EROSIVOS (INCL. INVENTARIO DE CÁRCAVAS)</t>
  </si>
  <si>
    <t>Caracterización de procesos erosivos del suelo a escala de bloque + inventario georreferenciado de cárcavas/surcos. Insumo para diseño de obras de control de erosión.</t>
  </si>
  <si>
    <t>1. DATOS GENERALES</t>
  </si>
  <si>
    <t>Responsable *</t>
  </si>
  <si>
    <t>Código de Microcuenca (auto)</t>
  </si>
  <si>
    <t>Altitud (msnm)</t>
  </si>
  <si>
    <t>UTM ESTE punto de muestreo *</t>
  </si>
  <si>
    <t>UTM NORTE punto de muestreo *</t>
  </si>
  <si>
    <t>2. DESCRIPCIÓN DE PROCESOS EROSIVOS DEL SUELO</t>
  </si>
  <si>
    <t>Sellamiento / Costra superficial</t>
  </si>
  <si>
    <t>¿Compactación por pisoteo de ganado?</t>
  </si>
  <si>
    <t>Sí</t>
  </si>
  <si>
    <t>¿Raíces expuestas en superficie?</t>
  </si>
  <si>
    <t>Nivel general de erosión observado *</t>
  </si>
  <si>
    <t>Ligera (laminar)</t>
  </si>
  <si>
    <t>3. INVENTARIO GEORREFERENCIADO DE CÁRCAVAS / SURCOS</t>
  </si>
  <si>
    <t>Registre una fila por cárcava o grupo de surcos homogéneos. Use los desplegables en columnas Tipo, Estado y Causa principal.</t>
  </si>
  <si>
    <t>Código
cárcava</t>
  </si>
  <si>
    <t>Tipo</t>
  </si>
  <si>
    <t>UTM ESTE
(inicio)</t>
  </si>
  <si>
    <t>UTM NORTE
(inicio)</t>
  </si>
  <si>
    <t>UTM ESTE
(fin)</t>
  </si>
  <si>
    <t>UTM NORTE
(fin)</t>
  </si>
  <si>
    <t>Long.
(m)</t>
  </si>
  <si>
    <t>Prof.
med. (m)</t>
  </si>
  <si>
    <t>Ancho
med. (m)</t>
  </si>
  <si>
    <t>Estado /
Actividad</t>
  </si>
  <si>
    <t>Causa
principal</t>
  </si>
  <si>
    <t>Cód.
Fotografía</t>
  </si>
  <si>
    <t>4. SÍNTESIS DE PROCESOS EROSIVOS DEL BLOQUE</t>
  </si>
  <si>
    <t>Nivel general de erosión (síntesis) *</t>
  </si>
  <si>
    <t>N° total de cárcavas registradas</t>
  </si>
  <si>
    <t>Longitud total de cárcavas (m)</t>
  </si>
  <si>
    <t>% del bloque afectado por cárcavas</t>
  </si>
  <si>
    <t>Erosión laminar observada (%)</t>
  </si>
  <si>
    <t>Patrón de cárcavas dominante</t>
  </si>
  <si>
    <t>Aislado</t>
  </si>
  <si>
    <t>Presencia de socavamiento de cauce</t>
  </si>
  <si>
    <t>Urgencia de control</t>
  </si>
  <si>
    <t>Baja</t>
  </si>
  <si>
    <t>Registro de campo [E2]: en el terreno no se evidenciaron cárcavas, pero sí EROSIÓN LAMINAR debida al pisoteo por sobrecarga de ganado caprino. No se registra sellamiento superficial ni raíces expuestas; sí compactación por pisoteo. No se evidencia socavamiento de cauce. La urgencia de control se clasifica como baja. || Las áreas más próximas a los centros poblados y a la vía asfaltada se encuentran más alteradas que el sector contiguo al Área de Conservación Regional Salitral – Huarmaca. || POR VERIFICAR EN CAMPO: porcentaje de erosión laminar del bloque, no estimado en el levantamiento.</t>
  </si>
  <si>
    <t>F-DT-03: ECOSISTEMA: COMPOSICIÓN, ESTRUCTURA Y VALOR ECOLÓGICO</t>
  </si>
  <si>
    <t>Caracterización ecológica del bloque: tipo de ecosistema, estado de conservación, estructura vertical, composición florística rápida y registro de especies clave/indicadoras.</t>
  </si>
  <si>
    <t>Fecha *</t>
  </si>
  <si>
    <t>Microcuenca (auto)</t>
  </si>
  <si>
    <t>Parcela de muestreo</t>
  </si>
  <si>
    <t>Dimensiones de parcela (m × m)</t>
  </si>
  <si>
    <t>Pendiente promedio de la parcela (%)</t>
  </si>
  <si>
    <t>Cobertura vegetal total estimada (%) *</t>
  </si>
  <si>
    <t>UTM ESTE esquina inferior *</t>
  </si>
  <si>
    <t>UTM NORTE esquina inferior *</t>
  </si>
  <si>
    <t>2. CLASIFICACIÓN DEL ECOSISTEMA (UP)</t>
  </si>
  <si>
    <t>Tipo de ecosistema MINAM (dominante) *</t>
  </si>
  <si>
    <t>Bosque Estacionalmente Seco Colina/Montaña (Bes-cm)</t>
  </si>
  <si>
    <t>Superficie del ecosistema en el bloque (ha)</t>
  </si>
  <si>
    <t>Estado de conservación general *</t>
  </si>
  <si>
    <t>Levemente alterado</t>
  </si>
  <si>
    <t>Uso actual dominante del suelo *</t>
  </si>
  <si>
    <t>Pastoreo extensivo</t>
  </si>
  <si>
    <t>3. ESTRUCTURA DEL ECOSISTEMA</t>
  </si>
  <si>
    <t>Cobertura del dosel arbóreo (%)</t>
  </si>
  <si>
    <t>Cobertura arbustiva (%)</t>
  </si>
  <si>
    <t>Cobertura herbácea-graminoide (%)</t>
  </si>
  <si>
    <t>Cobertura de hojarasca (%)</t>
  </si>
  <si>
    <t>Cobertura de suelo desnudo (%)</t>
  </si>
  <si>
    <t>Altura promedio estrato dominante (m)</t>
  </si>
  <si>
    <t>Altura máxima observada (m)</t>
  </si>
  <si>
    <t>DAP promedio árboles DAP≥10 cm (cm)</t>
  </si>
  <si>
    <t>Regeneración natural observada *</t>
  </si>
  <si>
    <t>Regular (10-50 pl./100m²)</t>
  </si>
  <si>
    <t>Estado sanitario general del dosel *</t>
  </si>
  <si>
    <t>Sano</t>
  </si>
  <si>
    <t>Presencia de epífitas (cualitativa)</t>
  </si>
  <si>
    <t>Fenología dominante (época de visita)</t>
  </si>
  <si>
    <t>Vegetativo</t>
  </si>
  <si>
    <t>Tipo de cobertura vegetal dominante *</t>
  </si>
  <si>
    <t>Bosque denso (&gt;70%)</t>
  </si>
  <si>
    <t>4. COMPOSICIÓN FLORÍSTICA — Registro rápido por estrato (mín. 15 especies)</t>
  </si>
  <si>
    <t>ESTRATO: Arbóreo sup(&gt;15 m) | Arbóreo med(8-15 m) | Arbóreo bajo(4-8 m) | Arbustivo alto(1.5-4 m) | Arbustivo bajo(0.5-1.5 m) | Herbáceo(&lt;0.5 m) | Epífito | Trepador  ——  ORIGEN: Nativa | Endémica | Introducida | Invasora  ——  ABUNDANCIA: Dominante(&gt;40%) | Abundante(20-40%) | Frecuente(5-20%) | Ocasional(1-5%) | Rara(&lt;1%)</t>
  </si>
  <si>
    <t>N°</t>
  </si>
  <si>
    <t>Nombre común/local</t>
  </si>
  <si>
    <t>Nombre científico
(preliminar)</t>
  </si>
  <si>
    <t>Familia</t>
  </si>
  <si>
    <t>Estrato</t>
  </si>
  <si>
    <t>Origen</t>
  </si>
  <si>
    <t>Abundancia</t>
  </si>
  <si>
    <t>DAP (cm)
[árboles]</t>
  </si>
  <si>
    <t>Altura (m)</t>
  </si>
  <si>
    <t>Pasallo</t>
  </si>
  <si>
    <t>Eriotheca ruizii</t>
  </si>
  <si>
    <t>Malvaceae</t>
  </si>
  <si>
    <t>Arbóreo medio (8-15 m)</t>
  </si>
  <si>
    <t>Nativa</t>
  </si>
  <si>
    <t>Abundante (20-40%)</t>
  </si>
  <si>
    <t>Charán</t>
  </si>
  <si>
    <t>Caesalpinia paipai</t>
  </si>
  <si>
    <t>Fabaceae</t>
  </si>
  <si>
    <t>Arbóreo bajo (4-8 m)</t>
  </si>
  <si>
    <t>Palo santo</t>
  </si>
  <si>
    <t>Bursera graveolens</t>
  </si>
  <si>
    <t>Burseraceae</t>
  </si>
  <si>
    <t>Frecuente (5-20%)</t>
  </si>
  <si>
    <t>Hualtaco</t>
  </si>
  <si>
    <t>Loxopterygium huasango</t>
  </si>
  <si>
    <t>Anacardiaceae</t>
  </si>
  <si>
    <t>Ocasional (1-5%)</t>
  </si>
  <si>
    <t>Borrachera</t>
  </si>
  <si>
    <t>Ipomoea carnea</t>
  </si>
  <si>
    <t>Convolvulaceae</t>
  </si>
  <si>
    <t>Arbustivo alto (1.5-4 m)</t>
  </si>
  <si>
    <t>Overo</t>
  </si>
  <si>
    <t>Cordia lutea</t>
  </si>
  <si>
    <t>Boraginaceae</t>
  </si>
  <si>
    <t>Cardo</t>
  </si>
  <si>
    <t>Armatocereus cartwrightianus</t>
  </si>
  <si>
    <t>Cactaceae</t>
  </si>
  <si>
    <t>5. ESPECIES CLAVE / INDICADORAS</t>
  </si>
  <si>
    <t>Nombre científico o común</t>
  </si>
  <si>
    <t>Categoría</t>
  </si>
  <si>
    <t>Estado UICN / D.S. 043</t>
  </si>
  <si>
    <t>UTM ESTE</t>
  </si>
  <si>
    <t>UTM NORTE</t>
  </si>
  <si>
    <t>N° indiv.</t>
  </si>
  <si>
    <t>Foto N°</t>
  </si>
  <si>
    <t>Observación</t>
  </si>
  <si>
    <t>Hualtaco (Loxopterygium huasango)</t>
  </si>
  <si>
    <t>Amenazada (D.S. 043-2006-AG)</t>
  </si>
  <si>
    <t>VU — Vulnerable</t>
  </si>
  <si>
    <t>Abundancia ocasional; los individuos de mayor porte del bloque (DAP 35 cm, altura 10 m).</t>
  </si>
  <si>
    <t>Palo santo (Bursera graveolens)</t>
  </si>
  <si>
    <t>NT — Casi Amenazado</t>
  </si>
  <si>
    <t>Abundancia frecuente; concentrado en las partes altas de la ladera.</t>
  </si>
  <si>
    <t>Pasallo (Eriotheca ruizii)</t>
  </si>
  <si>
    <t>Indicadora de buen estado</t>
  </si>
  <si>
    <t>No aplica</t>
  </si>
  <si>
    <t>Especie abundante del estrato arbóreo; DAP 30 cm y altura 8 m.</t>
  </si>
  <si>
    <t>Registro de campo [E2]: el bosque se mantiene en las partes altas de la ladera, estando más alterado en las zonas próximas a los centros poblados, con individuos de altura menor a 10 m y DAP menor a 40 cm. LA PARTE ALTA DEL BLOQUE TIENE UNA COBERTURA MÁS DENSA Y CONSERVADA QUE LA PARTE BAJA, CUYA VEGETACIÓN SE ENCUENTRA MÁS RALA. Se identificaron claros y tocones dispersos que sugieren un ligero empobrecimiento del área en especies arbóreas de porte mediano, principalmente en las zonas próximas a los centros poblados (Palo Blanco, El Cerezo, La Alberca) y a la vía asfaltada. El sector más próximo al Área de Conservación Regional Salitral – Huarmaca es el mejor conservado. || Las cuatro primeras especies corresponden al registro tabulado de la ficha. Borrachera, overo y cardo fueron registrados en la descripción de campo del entregable [E2] sin dato de abundancia, DAP ni altura; se consignan con estrato y origen, y sus campos cuantitativos quedan vacíos. || Los nombres cientificos se consignan segun nomenclatura aceptada vigente. Los entregables de campo emplean las combinaciones antiguas Acacia macracantha (= Vachellia macracantha, faique) y Prosopis pallida (= Neltuma pallida, algarrobo). 'Pate' es el nombre local equivalente a 'pasallo' (Eriotheca ruizii). Las determinaciones son PRELIMINARES; pendiente colecta y determinacion botanica. || OBSERVACIÓN TÉCNICA SESDI: el tipo de cobertura se clasificó como 'Bosque denso (&gt;70%)' con un dosel del 70% y cobertura total del 80%. El MSAVI medio 2024 del bloque (0.2877) es EL MÁS BAJO DE LOS CINCO BLOQUES DEL PAQUETE, con amplio predominio de las clases ≤0.3813 y extensas manchas ≤0.2650 a lo largo de todo el eje. Esta divergencia es coherente con el gradiente descrito por la brigada (parte alta densa / parte baja rala) si el promedio del MSAVI está dominado por la franja baja adyacente a la vía. Se recomienda ZONIFICAR INTERNAMENTE el bloque en lugar de asignarle una clase de cobertura única. || Los nombres científicos y familias de la sección 4 son PRELIMINARES (literatura regional); pendiente colecta y determinación botánica. La pendiente promedio consignada en la sección 1 (%) corresponde a la media del bloque calculada sobre DEM, no a una parcela de muestreo.</t>
  </si>
  <si>
    <t>F-DT-04: CAUSAS E INDICADORES DE DEGRADACIÓN DEL ECOSISTEMA</t>
  </si>
  <si>
    <t>Identificación y ponderación de causas directas de degradación (antrópicas y naturales) y registro de indicadores cuantitativos. Permite priorizar medidas de mitigación y gobernanza.</t>
  </si>
  <si>
    <t>2. MATRIZ DE CAUSAS DE DEGRADACIÓN</t>
  </si>
  <si>
    <t>PRESENCIA: Sí / No  |  INTENSIDAD: Nula / Ligera / Moderada / Fuerte / Muy fuerte  |  EXTENSIÓN: % del bloque afectado  |  ANTIGÜEDAD: años aproximados.</t>
  </si>
  <si>
    <t>Causa / Factor de degradación</t>
  </si>
  <si>
    <t>Presencia</t>
  </si>
  <si>
    <t>Intensidad</t>
  </si>
  <si>
    <t>Extensión
(% bloque)</t>
  </si>
  <si>
    <t>Antigüedad
(años aprox.)</t>
  </si>
  <si>
    <t>Evidencia observada / Descripción</t>
  </si>
  <si>
    <t>Sobrepastoreo (caprino/vacuno)</t>
  </si>
  <si>
    <t>Fuerte</t>
  </si>
  <si>
    <t>Se observó ganado caprino en pastoreo en la parte media de la ladera.</t>
  </si>
  <si>
    <t>Tala para leña</t>
  </si>
  <si>
    <t>Ligera</t>
  </si>
  <si>
    <t>Extracción de leña para uso doméstico de la población cercana.</t>
  </si>
  <si>
    <t>Tala para carbón</t>
  </si>
  <si>
    <t>Tala para madera</t>
  </si>
  <si>
    <t>Quema (renovación de pastos)</t>
  </si>
  <si>
    <t>Quema accidental / Incendio</t>
  </si>
  <si>
    <t>Cambio de uso a agricultura</t>
  </si>
  <si>
    <t>Cambio de uso a pastoreo</t>
  </si>
  <si>
    <t>Se observó ganado caprino; zonas de pastoreo en la parte media de la ladera.</t>
  </si>
  <si>
    <t>Expansión urbana / vial</t>
  </si>
  <si>
    <t>Minería informal</t>
  </si>
  <si>
    <t>Extracción de áridos (cauces)</t>
  </si>
  <si>
    <t>Especies invasoras</t>
  </si>
  <si>
    <t>Erosión natural severa</t>
  </si>
  <si>
    <t>Sequía prolongada / CC</t>
  </si>
  <si>
    <t>Plagas o enfermedades forestales</t>
  </si>
  <si>
    <t>Otro</t>
  </si>
  <si>
    <t>3. INDICADORES CUANTITATIVOS DE DEGRADACIÓN</t>
  </si>
  <si>
    <t>Combina observación directa con información de gabinete (MSAVI, NDVI, Theil-Sen). NIVEL: Alto / Medio / Bajo según umbrales.</t>
  </si>
  <si>
    <t>Indicador</t>
  </si>
  <si>
    <t>Unidad</t>
  </si>
  <si>
    <t>Valor</t>
  </si>
  <si>
    <t>Fuente</t>
  </si>
  <si>
    <t>Umbral / Referencia</t>
  </si>
  <si>
    <t>Nivel</t>
  </si>
  <si>
    <t>Cobertura vegetal total</t>
  </si>
  <si>
    <t>%</t>
  </si>
  <si>
    <t>Estimación visual de campo</t>
  </si>
  <si>
    <t>&gt;60% bueno; 30-60% medio; &lt;30% malo</t>
  </si>
  <si>
    <t>Alto</t>
  </si>
  <si>
    <t>Porcentaje de suelo desnudo</t>
  </si>
  <si>
    <t>&lt;10% bueno; 10-30% medio; &gt;30% malo</t>
  </si>
  <si>
    <t>Bajo</t>
  </si>
  <si>
    <t>Densidad de cárcavas</t>
  </si>
  <si>
    <t>N°/ha</t>
  </si>
  <si>
    <t>0 nulo; 1-3 medio; &gt;3 alto</t>
  </si>
  <si>
    <t>Presencia de especies invasoras</t>
  </si>
  <si>
    <t>% área</t>
  </si>
  <si>
    <t>&lt;5% bueno; 5-20% medio; &gt;20% alto</t>
  </si>
  <si>
    <t>Carga ganadera estimada</t>
  </si>
  <si>
    <t>UA/ha</t>
  </si>
  <si>
    <t>Estimación de carga de pastoreo</t>
  </si>
  <si>
    <t>Según tipo de ecosistema</t>
  </si>
  <si>
    <t>Frecuencia de quemas últimos 5 años</t>
  </si>
  <si>
    <t>0 nulo; 1-2 medio; &gt;2 alto</t>
  </si>
  <si>
    <t>% área con pendiente &gt;50%</t>
  </si>
  <si>
    <t>Factor de susceptibilidad</t>
  </si>
  <si>
    <t>Distancia a vía vecinal más cercana</t>
  </si>
  <si>
    <t>m</t>
  </si>
  <si>
    <t>Vía nacional asfaltada colindante</t>
  </si>
  <si>
    <t>A menor distancia → mayor presión</t>
  </si>
  <si>
    <t>Medio</t>
  </si>
  <si>
    <t>4. SÍNTESIS DIAGNÓSTICA DE LA DEGRADACIÓN</t>
  </si>
  <si>
    <t>Principales causas directas (texto libre)</t>
  </si>
  <si>
    <t>Sobrepastoreo de ganado caprino.</t>
  </si>
  <si>
    <t>Principal causa subyacente (motor)</t>
  </si>
  <si>
    <t>Pastoreo de ganado caprino.</t>
  </si>
  <si>
    <t>Velocidad de degradación percibida</t>
  </si>
  <si>
    <t>Lenta</t>
  </si>
  <si>
    <t>Reversibilidad técnica</t>
  </si>
  <si>
    <t>Totalmente reversible</t>
  </si>
  <si>
    <t>Urgencia de intervención</t>
  </si>
  <si>
    <t>Registro de campo [E2]: el bloque presenta zonas de pastoreo de cabras en la parte media de la ladera. El sobrepastoreo caprino se registró con intensidad FUERTE sobre el 25% del bloque y 20 años de antigüedad, siendo la presión dominante; la tala para leña y el cambio de uso a pastoreo se registraron con intensidad ligera. || VACÍOS DEL LEVANTAMIENTO: los indicadores 3 (densidad de cárcavas), 4 (especies invasoras), 6 (frecuencia de quemas) y 7 (% área con pendiente &gt;50%) NO fueron valorados y quedan vacíos. POR COMPLETAR. || OBSERVACIÓN TÉCNICA SESDI: la síntesis califica la degradación como lenta, totalmente reversible y de urgencia baja, lo que resulta difícil de conciliar con una intensidad FUERTE de sobrepastoreo sobre el 25% del bloque, un 15% de suelo desnudo y el MSAVI más bajo del paquete (0.2877). Se recomienda revisar la calificación de urgencia antes de emplearla como criterio de priorización de la cartera. || El indicador 1 (cobertura vegetal total 80%) fue calificado con nivel 'Alto'; según el umbral de la ficha (&gt;60% = bueno) correspondería nivel 'Bajo' de degradación. Misma observación formulada para M9B1.</t>
  </si>
  <si>
    <t>F-DT-05: RECURSOS HÍDRICOS Y ACCESIBILIDAD</t>
  </si>
  <si>
    <t>Inventario rápido de fuentes de agua dentro o colindantes al bloque + condiciones logísticas de acceso y seguridad. Insumo para diseño hidráulico y planificación operativa de campo.</t>
  </si>
  <si>
    <t>2. INVENTARIO DE FUENTES DE AGUA (dentro o hasta 500 m del bloque)</t>
  </si>
  <si>
    <t>Use los desplegables en columnas Tipo de fuente, Régimen y Calidad aparente. DISTANCIA: medida en metros desde el límite del bloque a la fuente.</t>
  </si>
  <si>
    <t>Tipo de fuente</t>
  </si>
  <si>
    <t>Régimen</t>
  </si>
  <si>
    <t>Calidad
aparente</t>
  </si>
  <si>
    <t>Distancia
bloque (m)</t>
  </si>
  <si>
    <t>Uso observado / Observaciones</t>
  </si>
  <si>
    <t>3. ANÁLISIS HÍDRICO PRELIMINAR</t>
  </si>
  <si>
    <t>¿Bloque en zona de recarga hídrica?</t>
  </si>
  <si>
    <t>¿Zonas de humedad persistente observadas?</t>
  </si>
  <si>
    <t>¿Escorrentía concentrada observada?</t>
  </si>
  <si>
    <t>Distancia a captación poblacional más cercana (m)</t>
  </si>
  <si>
    <t>Nombre de la JASS o captación asociada</t>
  </si>
  <si>
    <t>¿Interferencia con obras de riego?</t>
  </si>
  <si>
    <t>Nombre del sistema de riego (si aplica)</t>
  </si>
  <si>
    <t>4. ACCESIBILIDAD Y LOGÍSTICA</t>
  </si>
  <si>
    <t>Modalidad de acceso al bloque *</t>
  </si>
  <si>
    <t>Vehicular + caminata &lt;30 min</t>
  </si>
  <si>
    <t>Vía principal de acceso (PE-/PI-/trocha) *</t>
  </si>
  <si>
    <t>Vía nacional asfaltada Buenos Aires – Serrán (margen izquierda del río Serrán) y vía vecinal afirmada de acceso final</t>
  </si>
  <si>
    <t>Tipo de vía final</t>
  </si>
  <si>
    <t>Vecinal afirmada</t>
  </si>
  <si>
    <t>Estado transitabilidad — época seca</t>
  </si>
  <si>
    <t>Estado transitabilidad — época lluviosa</t>
  </si>
  <si>
    <t>Tiempo desde capital distrital (min)</t>
  </si>
  <si>
    <t>Tiempo desde capital provincial (min)</t>
  </si>
  <si>
    <t>Señal celular</t>
  </si>
  <si>
    <t>Intermitente</t>
  </si>
  <si>
    <t>Operador celular dominante</t>
  </si>
  <si>
    <t>Entel</t>
  </si>
  <si>
    <t>Alojamiento rural disponible</t>
  </si>
  <si>
    <t>¿Requiere autorización de Ronda Campesina? *</t>
  </si>
  <si>
    <t>Nombre / Contacto responsable de Ronda</t>
  </si>
  <si>
    <t>Registro de campo [E2]: las quebradas que discurren del bloque estaban secas debido a que la evaluación se realizó en época seca. Por el bloque discurren varias quebradas de RÉGIMEN ESTACIONAL que recolectan el agua de lluvia de la parte alta de la colina y la desfogan hacia la vía asfaltada (carretera Buenos Aires – Serrán) y los centros poblados (Palo Blanco, El Cerezo, La Alberca), para finalmente terminar en el río Serrán, LO QUE GENERA PREOCUPACIÓN EN LA POBLACIÓN DURANTE LA TEMPORADA DE LLUVIAS. No se identificaron zonas de recarga hídrica, humedad persistente ni escorrentía concentrada al momento de la visita, ni interferencia con sistemas de riego. Distancia a la captación poblacional más cercana: 1 000 m. || Las quebradas no fueron inventariadas individualmente: las 10 filas del inventario quedan vacías. POR COMPLETAR con levantamiento georreferenciado en época de lluvias; es la información de mayor valor para el dimensionamiento de las medidas en este bloque. || El bloque REQUIERE AUTORIZACIÓN DE RONDA CAMPESINA; el nombre y contacto del responsable NO fueron consignados: POR VERIFICAR, es condición habilitante para el ingreso. || El bloque colinda con el Área de Conservación Regional Salitral – Huarmaca, lo que requiere coordinación con la autoridad regional competente.</t>
  </si>
  <si>
    <t>codigo</t>
  </si>
  <si>
    <t>microcuenca</t>
  </si>
  <si>
    <t>provincia</t>
  </si>
  <si>
    <t>distrito</t>
  </si>
  <si>
    <t>zona</t>
  </si>
  <si>
    <t>este_utm</t>
  </si>
  <si>
    <t>norte_utm</t>
  </si>
  <si>
    <t>area_ha</t>
  </si>
  <si>
    <t>M9B1</t>
  </si>
  <si>
    <t>C1096-Q9545</t>
  </si>
  <si>
    <t>Morropon</t>
  </si>
  <si>
    <t>Chulucanas</t>
  </si>
  <si>
    <t>Z01</t>
  </si>
  <si>
    <t>M10B4</t>
  </si>
  <si>
    <t>C1096-Q9547</t>
  </si>
  <si>
    <t>25</t>
  </si>
  <si>
    <t>32</t>
  </si>
  <si>
    <t>C1096-Q9556</t>
  </si>
  <si>
    <t>22</t>
  </si>
  <si>
    <t>M17B1</t>
  </si>
  <si>
    <t>2</t>
  </si>
  <si>
    <t>C1096-Q9558</t>
  </si>
  <si>
    <t>M17B4</t>
  </si>
  <si>
    <t>M27B1</t>
  </si>
  <si>
    <t>C1096-Q9557</t>
  </si>
  <si>
    <t>Ayabaca</t>
  </si>
  <si>
    <t>Frias</t>
  </si>
  <si>
    <t>Z02</t>
  </si>
  <si>
    <t>6</t>
  </si>
  <si>
    <t>36</t>
  </si>
  <si>
    <t>M17B7</t>
  </si>
  <si>
    <t>M17B6</t>
  </si>
  <si>
    <t>M17B10</t>
  </si>
  <si>
    <t>M17B5</t>
  </si>
  <si>
    <t>27</t>
  </si>
  <si>
    <t>39</t>
  </si>
  <si>
    <t>C1096-Q9564</t>
  </si>
  <si>
    <t>56</t>
  </si>
  <si>
    <t>12</t>
  </si>
  <si>
    <t>C1086-Q9570</t>
  </si>
  <si>
    <t>Santo Domingo</t>
  </si>
  <si>
    <t>Z03</t>
  </si>
  <si>
    <t>82</t>
  </si>
  <si>
    <t>13</t>
  </si>
  <si>
    <t>78</t>
  </si>
  <si>
    <t>11</t>
  </si>
  <si>
    <t>23</t>
  </si>
  <si>
    <t>15</t>
  </si>
  <si>
    <t>M19B7</t>
  </si>
  <si>
    <t>17</t>
  </si>
  <si>
    <t>M8B2</t>
  </si>
  <si>
    <t>57</t>
  </si>
  <si>
    <t>C1086-Q9576</t>
  </si>
  <si>
    <t>Chalaco</t>
  </si>
  <si>
    <t>Z04</t>
  </si>
  <si>
    <t>59</t>
  </si>
  <si>
    <t>M36B2</t>
  </si>
  <si>
    <t>Santa Catalina de Mossa</t>
  </si>
  <si>
    <t>42</t>
  </si>
  <si>
    <t>14</t>
  </si>
  <si>
    <t>58</t>
  </si>
  <si>
    <t>C1086-Q9569</t>
  </si>
  <si>
    <t>M19B2</t>
  </si>
  <si>
    <t>Z05</t>
  </si>
  <si>
    <t>M32B3</t>
  </si>
  <si>
    <t>M6B10</t>
  </si>
  <si>
    <t>C1077-Q9566</t>
  </si>
  <si>
    <t>Buenos Aires</t>
  </si>
  <si>
    <t>Z06</t>
  </si>
  <si>
    <t>M6B2-3</t>
  </si>
  <si>
    <t>M6B2-2</t>
  </si>
  <si>
    <t>M6B2-1</t>
  </si>
  <si>
    <t>5</t>
  </si>
  <si>
    <t>M1B1</t>
  </si>
  <si>
    <t>C1077-Q9580</t>
  </si>
  <si>
    <t>M18B1</t>
  </si>
  <si>
    <t>C1077-Q9579</t>
  </si>
  <si>
    <t>M3B9</t>
  </si>
  <si>
    <t>C1081-Q9582</t>
  </si>
  <si>
    <t>Salitral</t>
  </si>
  <si>
    <t>Z07</t>
  </si>
  <si>
    <t>M3B1</t>
  </si>
  <si>
    <t>M7B1</t>
  </si>
  <si>
    <t>C1076-Q9581</t>
  </si>
  <si>
    <t>M7B3</t>
  </si>
  <si>
    <t>M7B6</t>
  </si>
  <si>
    <t>M2B1</t>
  </si>
  <si>
    <t>C1076-Q9584</t>
  </si>
  <si>
    <t>7</t>
  </si>
  <si>
    <t>M2B5</t>
  </si>
  <si>
    <t>1</t>
  </si>
  <si>
    <t>M18B3</t>
  </si>
  <si>
    <t>M18B5</t>
  </si>
  <si>
    <t>M3B7</t>
  </si>
  <si>
    <t>San Juan de Bigote</t>
  </si>
  <si>
    <t>Z08</t>
  </si>
  <si>
    <t>M3B6</t>
  </si>
  <si>
    <t>77</t>
  </si>
  <si>
    <t>C1081-Q9583</t>
  </si>
  <si>
    <t>M3B5</t>
  </si>
  <si>
    <t>M3B3</t>
  </si>
  <si>
    <t>M3B8</t>
  </si>
  <si>
    <t>M11B3</t>
  </si>
  <si>
    <t>55</t>
  </si>
  <si>
    <t>C1086-Q9575</t>
  </si>
  <si>
    <t>Yamango</t>
  </si>
  <si>
    <t>Z09</t>
  </si>
  <si>
    <t>49</t>
  </si>
  <si>
    <t>52</t>
  </si>
  <si>
    <t>48</t>
  </si>
  <si>
    <t>46</t>
  </si>
  <si>
    <t>M28B2</t>
  </si>
  <si>
    <t>M28B3</t>
  </si>
  <si>
    <t>M28B4</t>
  </si>
  <si>
    <t>33</t>
  </si>
  <si>
    <t>C1081-Q9590</t>
  </si>
  <si>
    <t>Huancabamba</t>
  </si>
  <si>
    <t>Lalaquiz</t>
  </si>
  <si>
    <t>Z10</t>
  </si>
  <si>
    <t>38</t>
  </si>
  <si>
    <t>50</t>
  </si>
  <si>
    <t>34</t>
  </si>
  <si>
    <t>61</t>
  </si>
  <si>
    <t>37</t>
  </si>
  <si>
    <t>C1081-Q9591</t>
  </si>
  <si>
    <t>26</t>
  </si>
  <si>
    <t>64</t>
  </si>
  <si>
    <t>Z11</t>
  </si>
  <si>
    <t>54</t>
  </si>
  <si>
    <t>C1081-Q9591 (inferida)</t>
  </si>
  <si>
    <t>M30B5</t>
  </si>
  <si>
    <t>60</t>
  </si>
  <si>
    <t>Canchaque</t>
  </si>
  <si>
    <t>40</t>
  </si>
  <si>
    <t>30</t>
  </si>
  <si>
    <t>28</t>
  </si>
  <si>
    <t>62</t>
  </si>
  <si>
    <t>65</t>
  </si>
  <si>
    <t>21</t>
  </si>
  <si>
    <t>66</t>
  </si>
  <si>
    <t>24</t>
  </si>
  <si>
    <t>63</t>
  </si>
  <si>
    <t>79</t>
  </si>
  <si>
    <t>C1076-Q9587</t>
  </si>
  <si>
    <t>81</t>
  </si>
  <si>
    <t>C1076-Q9585</t>
  </si>
  <si>
    <t>M22B1</t>
  </si>
  <si>
    <t>C1076-Q9586</t>
  </si>
  <si>
    <t>San Miguel de El Faique</t>
  </si>
  <si>
    <t>Z12</t>
  </si>
  <si>
    <t>44</t>
  </si>
  <si>
    <t>47</t>
  </si>
  <si>
    <t>75</t>
  </si>
  <si>
    <t>9</t>
  </si>
  <si>
    <t>43</t>
  </si>
  <si>
    <t>35</t>
  </si>
  <si>
    <t>67</t>
  </si>
  <si>
    <t>M20B1</t>
  </si>
  <si>
    <t>M2B8</t>
  </si>
  <si>
    <t>29</t>
  </si>
  <si>
    <t>C1076-Q9592</t>
  </si>
  <si>
    <t>Huarmaca</t>
  </si>
  <si>
    <t>Z13</t>
  </si>
  <si>
    <t>68</t>
  </si>
  <si>
    <t>53</t>
  </si>
  <si>
    <t>70</t>
  </si>
  <si>
    <t>31</t>
  </si>
  <si>
    <t>69</t>
  </si>
  <si>
    <t>72</t>
  </si>
  <si>
    <t>41</t>
  </si>
  <si>
    <t>73</t>
  </si>
  <si>
    <t>18</t>
  </si>
  <si>
    <t>74</t>
  </si>
  <si>
    <t>C1076-Q9588</t>
  </si>
  <si>
    <t>M12B1</t>
  </si>
  <si>
    <t>19</t>
  </si>
  <si>
    <t>M4B4</t>
  </si>
  <si>
    <t>C1076-Q9589</t>
  </si>
  <si>
    <t>Z14</t>
  </si>
  <si>
    <t>M4B3</t>
  </si>
  <si>
    <t>10</t>
  </si>
  <si>
    <t>C1076-Q9593</t>
  </si>
  <si>
    <t>16</t>
  </si>
  <si>
    <t>4</t>
  </si>
  <si>
    <t>51</t>
  </si>
  <si>
    <t>76</t>
  </si>
  <si>
    <t>80</t>
  </si>
  <si>
    <t>71</t>
  </si>
  <si>
    <t>8</t>
  </si>
  <si>
    <t>20</t>
  </si>
  <si>
    <t>Listas de opciones para validación de datos — IN Piura | Cada columna es un rango nombrado.</t>
  </si>
  <si>
    <t>lst_FormaTerreno</t>
  </si>
  <si>
    <t>lst_RangoPendiente</t>
  </si>
  <si>
    <t>lst_PosicionFisio</t>
  </si>
  <si>
    <t>lst_Exposicion</t>
  </si>
  <si>
    <t>lst_RangoAltitud</t>
  </si>
  <si>
    <t>lst_NivelErosion</t>
  </si>
  <si>
    <t>lst_TipoCarcava</t>
  </si>
  <si>
    <t>lst_EstadoCarcava</t>
  </si>
  <si>
    <t>lst_CausaCarcava</t>
  </si>
  <si>
    <t>lst_PatronCarcavas</t>
  </si>
  <si>
    <t>lst_Urgencia</t>
  </si>
  <si>
    <t>lst_TipoEcosistema</t>
  </si>
  <si>
    <t>lst_EstadoConservacion</t>
  </si>
  <si>
    <t>lst_UsoSueloDom</t>
  </si>
  <si>
    <t>lst_Regeneracion</t>
  </si>
  <si>
    <t>lst_EstadoSanitario</t>
  </si>
  <si>
    <t>lst_Fenologia</t>
  </si>
  <si>
    <t>lst_TipoCobertura</t>
  </si>
  <si>
    <t>lst_Estrato</t>
  </si>
  <si>
    <t>lst_Origen</t>
  </si>
  <si>
    <t>lst_Abundancia</t>
  </si>
  <si>
    <t>lst_CategoriaIndicadora</t>
  </si>
  <si>
    <t>lst_EstadoUICN</t>
  </si>
  <si>
    <t>lst_Intensidad</t>
  </si>
  <si>
    <t>lst_NivelInd</t>
  </si>
  <si>
    <t>lst_Velocidad</t>
  </si>
  <si>
    <t>lst_Reversibilidad</t>
  </si>
  <si>
    <t>lst_TipoFuente</t>
  </si>
  <si>
    <t>lst_RegimenHidrico</t>
  </si>
  <si>
    <t>lst_CalidadAgua</t>
  </si>
  <si>
    <t>lst_ModalidadAcceso</t>
  </si>
  <si>
    <t>lst_TipoVia</t>
  </si>
  <si>
    <t>lst_NivelTransitabilidad</t>
  </si>
  <si>
    <t>lst_SenalCelular</t>
  </si>
  <si>
    <t>lst_Operador</t>
  </si>
  <si>
    <t>lst_SiNo</t>
  </si>
  <si>
    <t>lst_SiNoNA</t>
  </si>
  <si>
    <t>Plano</t>
  </si>
  <si>
    <t>0-8% (Plano-lig. inclinado)</t>
  </si>
  <si>
    <t>Cresta / Divortium</t>
  </si>
  <si>
    <t>Norte</t>
  </si>
  <si>
    <t>Nula</t>
  </si>
  <si>
    <t>Surco (&lt;30 cm)</t>
  </si>
  <si>
    <t>Activa</t>
  </si>
  <si>
    <t>Sobrepastoreo</t>
  </si>
  <si>
    <t>Dendrítico</t>
  </si>
  <si>
    <t>Crítica</t>
  </si>
  <si>
    <t>Páramo</t>
  </si>
  <si>
    <t>Conservado (sin intervención evidente)</t>
  </si>
  <si>
    <t>Forestal protección</t>
  </si>
  <si>
    <t>Abundante (&gt;50 pl./100m²)</t>
  </si>
  <si>
    <t>Arbóreo superior (&gt;15 m)</t>
  </si>
  <si>
    <t>Dominante (&gt;40%)</t>
  </si>
  <si>
    <t>EX — Extinto</t>
  </si>
  <si>
    <t>Muy rápida</t>
  </si>
  <si>
    <t>Manantial / Puquio</t>
  </si>
  <si>
    <t>Permanente</t>
  </si>
  <si>
    <t>Buena (clara, sin olor, sin sedimentos)</t>
  </si>
  <si>
    <t>Vehicular 4x4 hasta el bloque</t>
  </si>
  <si>
    <t>Nacional asfaltada</t>
  </si>
  <si>
    <t>Completa</t>
  </si>
  <si>
    <t>Movistar</t>
  </si>
  <si>
    <t>Ondulado</t>
  </si>
  <si>
    <t>8-15% (Mod. inclinado)</t>
  </si>
  <si>
    <t>Ladera alta</t>
  </si>
  <si>
    <t>Sur</t>
  </si>
  <si>
    <t>1000-1500 m (Quechua baja)</t>
  </si>
  <si>
    <t>Cárcava incipiente (30-50 cm)</t>
  </si>
  <si>
    <t>Semi-activa</t>
  </si>
  <si>
    <t>Tala / pérdida de cobertura</t>
  </si>
  <si>
    <t>Paralelo</t>
  </si>
  <si>
    <t>Alta</t>
  </si>
  <si>
    <t>Bosque Relicto Montano V. Occidental (BMVO)</t>
  </si>
  <si>
    <t>Forestal producción</t>
  </si>
  <si>
    <t>Enfermo (plaga)</t>
  </si>
  <si>
    <t>Floración</t>
  </si>
  <si>
    <t>Bosque ralo (30-70%)</t>
  </si>
  <si>
    <t>Endémica</t>
  </si>
  <si>
    <t>Indicadora de perturbación</t>
  </si>
  <si>
    <t>EW — Extinto en Estado Silvestre</t>
  </si>
  <si>
    <t>Rápida</t>
  </si>
  <si>
    <t>Parcialmente reversible</t>
  </si>
  <si>
    <t>Quebrada permanente</t>
  </si>
  <si>
    <t>Estacional (lluvias)</t>
  </si>
  <si>
    <t>Regular (ligeramente turbia o con sedimentos)</t>
  </si>
  <si>
    <t>Nacional afirmada</t>
  </si>
  <si>
    <t>Parcial</t>
  </si>
  <si>
    <t>Claro</t>
  </si>
  <si>
    <t>15-25% (Fuert. inclinado)</t>
  </si>
  <si>
    <t>Este</t>
  </si>
  <si>
    <t>1500-2000 m (Quechua media)</t>
  </si>
  <si>
    <t>Moderada (surcos)</t>
  </si>
  <si>
    <t>Cárcava somera (0.5-2 m)</t>
  </si>
  <si>
    <t>Estabilizada con vegetación</t>
  </si>
  <si>
    <t>Quema</t>
  </si>
  <si>
    <t>Lineal</t>
  </si>
  <si>
    <t>Media</t>
  </si>
  <si>
    <t>Medianamente alterado</t>
  </si>
  <si>
    <t>Escasa (&lt;10 pl./100m²)</t>
  </si>
  <si>
    <t>Enfermo (hongo)</t>
  </si>
  <si>
    <t>Fructificación</t>
  </si>
  <si>
    <t>Matorral denso</t>
  </si>
  <si>
    <t>Introducida</t>
  </si>
  <si>
    <t>Endémica del Perú</t>
  </si>
  <si>
    <t>CR — En Peligro Crítico</t>
  </si>
  <si>
    <t>Moderada</t>
  </si>
  <si>
    <t>Difícilmente reversible</t>
  </si>
  <si>
    <t>Quebrada estacional</t>
  </si>
  <si>
    <t>Mala (turbia, con olor o color)</t>
  </si>
  <si>
    <t>Vehicular + caminata 30-90 min</t>
  </si>
  <si>
    <t>Departamental asfaltada</t>
  </si>
  <si>
    <t>Montañoso</t>
  </si>
  <si>
    <t>Ladera baja</t>
  </si>
  <si>
    <t>2000-2500 m (Quechua alta)</t>
  </si>
  <si>
    <t>Fuerte (cárcavas incipientes)</t>
  </si>
  <si>
    <t>Cárcava profunda (2-5 m)</t>
  </si>
  <si>
    <t>Estabilizada con obras</t>
  </si>
  <si>
    <t>Surcos de labranza en pendiente</t>
  </si>
  <si>
    <t>Bosque Estacionalmente Seco Llanura (Bes-ll)</t>
  </si>
  <si>
    <t>Alterado (intervención marcada)</t>
  </si>
  <si>
    <t>Pastoreo intensivo</t>
  </si>
  <si>
    <t>Ausente</t>
  </si>
  <si>
    <t>Daño mecánico</t>
  </si>
  <si>
    <t>Caducifolio (hojas caídas)</t>
  </si>
  <si>
    <t>Matorral ralo</t>
  </si>
  <si>
    <t>Invasora</t>
  </si>
  <si>
    <t>Endémica norte / Piura</t>
  </si>
  <si>
    <t>EN — En Peligro</t>
  </si>
  <si>
    <t>En recuperación</t>
  </si>
  <si>
    <t>Río</t>
  </si>
  <si>
    <t>Efímero</t>
  </si>
  <si>
    <t>Muy mala (contaminación evidente)</t>
  </si>
  <si>
    <t>Vehicular + caminata &gt;90 min</t>
  </si>
  <si>
    <t>Departamental afirmada</t>
  </si>
  <si>
    <t>Sin señal</t>
  </si>
  <si>
    <t>Bitel</t>
  </si>
  <si>
    <t>Muy escarpado</t>
  </si>
  <si>
    <t>50-75% (Escarpado)</t>
  </si>
  <si>
    <t>Pie de ladera</t>
  </si>
  <si>
    <t>Noreste</t>
  </si>
  <si>
    <t>2500-3000 m (Suni)</t>
  </si>
  <si>
    <t>Severa (cárcavas activas)</t>
  </si>
  <si>
    <t>Cárcava muy profunda (&gt;5 m)</t>
  </si>
  <si>
    <t>Inactiva</t>
  </si>
  <si>
    <t>Caminos / huellas de ganado</t>
  </si>
  <si>
    <t>Mixto</t>
  </si>
  <si>
    <t>Bosque Estacionalmente Seco Ribereño (Bes-rb)</t>
  </si>
  <si>
    <t>Muy alterado / Degradado</t>
  </si>
  <si>
    <t>Agricultura secano</t>
  </si>
  <si>
    <t>Muerto en pie</t>
  </si>
  <si>
    <t>Latencia / Estrés hídrico</t>
  </si>
  <si>
    <t>Pastizal natural</t>
  </si>
  <si>
    <t>Arbustivo bajo (0.5-1.5 m)</t>
  </si>
  <si>
    <t>Rara (&lt;1%)</t>
  </si>
  <si>
    <t>Muy fuerte</t>
  </si>
  <si>
    <t>Estable</t>
  </si>
  <si>
    <t>Canal de riego</t>
  </si>
  <si>
    <t>No evaluable</t>
  </si>
  <si>
    <t>Requiere acémila (páramo/jalca)</t>
  </si>
  <si>
    <t>&gt;75% (Muy escarpado)</t>
  </si>
  <si>
    <t>Terraza aluvial</t>
  </si>
  <si>
    <t>Noroeste</t>
  </si>
  <si>
    <t>3000-3500 m (Puna baja)</t>
  </si>
  <si>
    <t>Extrema</t>
  </si>
  <si>
    <t>Concentración natural de escorrentía</t>
  </si>
  <si>
    <t>Matorral Andino árido</t>
  </si>
  <si>
    <t>En restauración / Recuperación</t>
  </si>
  <si>
    <t>Agricultura bajo riego</t>
  </si>
  <si>
    <t>Rebrote vigoroso</t>
  </si>
  <si>
    <t>Pastizal cultivado</t>
  </si>
  <si>
    <t>Herbáceo (&lt;0.5 m)</t>
  </si>
  <si>
    <t>Clave cultural</t>
  </si>
  <si>
    <t>Reservorio / Represa</t>
  </si>
  <si>
    <t>Inaccesible en lluvias</t>
  </si>
  <si>
    <t>Trocha carrozable</t>
  </si>
  <si>
    <t>Cauce / Ribera</t>
  </si>
  <si>
    <t>Sureste</t>
  </si>
  <si>
    <t>&gt;3500 m (Puna/Jalca)</t>
  </si>
  <si>
    <t>Socavamiento de cauce</t>
  </si>
  <si>
    <t>Matorral Andino semiárido</t>
  </si>
  <si>
    <t>Sin uso aparente / Abandonado</t>
  </si>
  <si>
    <t>Cultivo anual</t>
  </si>
  <si>
    <t>Epífito</t>
  </si>
  <si>
    <t>LC — Preocupación Menor</t>
  </si>
  <si>
    <t>Laguna / Humedal</t>
  </si>
  <si>
    <t>Camino de herradura</t>
  </si>
  <si>
    <t>Llanura / Pampa</t>
  </si>
  <si>
    <t>Suroeste</t>
  </si>
  <si>
    <t>Cambio de uso del suelo</t>
  </si>
  <si>
    <t>Matorral Andino subhúmedo</t>
  </si>
  <si>
    <t>Uso mixto</t>
  </si>
  <si>
    <t>Cultivo permanente</t>
  </si>
  <si>
    <t>Trepador</t>
  </si>
  <si>
    <t>DD — Datos Insuficientes</t>
  </si>
  <si>
    <t>Pozo / Galería filtrante</t>
  </si>
  <si>
    <t>Cima (sin exp.)</t>
  </si>
  <si>
    <t>Cima (sin dom.)</t>
  </si>
  <si>
    <t>Matorral Andino húmedo</t>
  </si>
  <si>
    <t>Suelo desnudo</t>
  </si>
  <si>
    <t>NE — No Evaluado</t>
  </si>
  <si>
    <t>Bofedal</t>
  </si>
  <si>
    <t>Pastizal andino / Jalca</t>
  </si>
  <si>
    <t>Afloramiento rocoso</t>
  </si>
  <si>
    <t>Agroecosistema / Mosaico</t>
  </si>
  <si>
    <t>Mixto / Mosaico</t>
  </si>
  <si>
    <t>Área urbana / rural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</si>
</sst>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charset val="1"/>
    </font>
    <font>
      <b/>
      <sz val="12"/>
      <color rgb="FFFFFFFF"/>
      <name val="Arial"/>
      <charset val="1"/>
    </font>
    <font>
      <b/>
      <sz val="10"/>
      <color rgb="FFFFFFFF"/>
      <name val="Arial"/>
      <charset val="1"/>
    </font>
    <font>
      <b/>
      <sz val="14"/>
      <color rgb="FFFFFFFF"/>
      <name val="Arial"/>
      <charset val="1"/>
    </font>
    <font>
      <i/>
      <sz val="9"/>
      <color rgb="FF555555"/>
      <name val="Arial"/>
      <charset val="1"/>
    </font>
    <font>
      <i/>
      <sz val="8"/>
      <color rgb="FF666666"/>
      <name val="Arial"/>
      <charset val="1"/>
    </font>
    <font>
      <b/>
      <sz val="11"/>
      <color rgb="FFFFFFFF"/>
      <name val="Arial"/>
      <charset val="1"/>
    </font>
    <font>
      <b/>
      <sz val="10"/>
      <color rgb="FF000000"/>
      <name val="Arial"/>
      <charset val="1"/>
    </font>
    <font>
      <sz val="10"/>
      <color rgb="FF000000"/>
      <name val="Arial"/>
      <charset val="1"/>
    </font>
    <font>
      <i/>
      <sz val="10"/>
      <color rgb="FF333333"/>
      <name val="Arial"/>
      <charset val="1"/>
    </font>
    <font>
      <i/>
      <sz val="8"/>
      <color rgb="FF555555"/>
      <name val="Arial"/>
      <charset val="1"/>
    </font>
    <font>
      <b/>
      <sz val="9"/>
      <color rgb="FFFFFFFF"/>
      <name val="Arial"/>
      <charset val="1"/>
    </font>
    <font>
      <sz val="9"/>
      <color rgb="FF000000"/>
      <name val="Arial"/>
      <charset val="1"/>
    </font>
    <font>
      <b/>
      <sz val="11"/>
      <color rgb="FF1B4D2E"/>
      <name val="Arial"/>
      <charset val="1"/>
    </font>
  </fonts>
  <fills count="8">
    <fill>
      <patternFill patternType="none"/>
    </fill>
    <fill>
      <patternFill patternType="gray125"/>
    </fill>
    <fill>
      <patternFill patternType="solid">
        <fgColor rgb="FF1B4D2E"/>
        <bgColor rgb="FF333333"/>
      </patternFill>
    </fill>
    <fill>
      <patternFill patternType="solid">
        <fgColor rgb="FF2E7D4F"/>
        <bgColor rgb="FF008080"/>
      </patternFill>
    </fill>
    <fill>
      <patternFill patternType="solid">
        <fgColor rgb="FFD7E4DC"/>
        <bgColor rgb="FFEEF2F5"/>
      </patternFill>
    </fill>
    <fill>
      <patternFill patternType="solid">
        <fgColor rgb="FFFFE4C4"/>
        <bgColor rgb="FFFFF8DC"/>
      </patternFill>
    </fill>
    <fill>
      <patternFill patternType="solid">
        <fgColor rgb="FFEEF2F5"/>
        <bgColor rgb="FFFFF8DC"/>
      </patternFill>
    </fill>
    <fill>
      <patternFill patternType="solid">
        <fgColor rgb="FFFFF8DC"/>
        <bgColor rgb="FFFFFFFF"/>
      </patternFill>
    </fill>
  </fills>
  <borders count="4">
    <border>
      <left/>
      <right/>
      <top/>
      <bottom/>
      <diagonal/>
    </border>
    <border>
      <left style="thin">
        <color rgb="FFB7B7B7"/>
      </left>
      <right style="thin">
        <color rgb="FFB7B7B7"/>
      </right>
      <top style="thin">
        <color rgb="FFB7B7B7"/>
      </top>
      <bottom style="thin">
        <color rgb="FFB7B7B7"/>
      </bottom>
      <diagonal/>
    </border>
    <border>
      <left/>
      <right/>
      <top style="thin">
        <color rgb="FFB7B7B7"/>
      </top>
      <bottom style="thin">
        <color rgb="FFB7B7B7"/>
      </bottom>
      <diagonal/>
    </border>
    <border>
      <left/>
      <right style="thin">
        <color rgb="FFB7B7B7"/>
      </right>
      <top style="thin">
        <color rgb="FFB7B7B7"/>
      </top>
      <bottom style="thin">
        <color rgb="FFB7B7B7"/>
      </bottom>
      <diagonal/>
    </border>
  </borders>
  <cellStyleXfs count="1">
    <xf numFmtId="0" fontId="0" fillId="0" borderId="0"/>
  </cellStyleXfs>
  <cellXfs count="26">
    <xf numFmtId="0" fontId="0" fillId="0" borderId="0" xfId="0"/>
    <xf numFmtId="0" fontId="13" fillId="0" borderId="0" xfId="0" applyFont="1"/>
    <xf numFmtId="0" fontId="8" fillId="5" borderId="1" xfId="0" applyFont="1" applyFill="1" applyBorder="1" applyAlignment="1">
      <alignment horizontal="left" vertical="top" wrapText="1"/>
    </xf>
    <xf numFmtId="0" fontId="0" fillId="0" borderId="1" xfId="0" applyBorder="1"/>
    <xf numFmtId="0" fontId="10" fillId="7" borderId="1" xfId="0" applyFont="1" applyFill="1" applyBorder="1" applyAlignment="1">
      <alignment horizontal="left" vertical="center" wrapText="1"/>
    </xf>
    <xf numFmtId="0" fontId="0" fillId="0" borderId="3" xfId="0" applyBorder="1"/>
    <xf numFmtId="0" fontId="9" fillId="6" borderId="1" xfId="0" applyFont="1" applyFill="1" applyBorder="1" applyAlignment="1">
      <alignment horizontal="left" vertical="center" wrapText="1"/>
    </xf>
    <xf numFmtId="0" fontId="8" fillId="5" borderId="1" xfId="0" applyFont="1" applyFill="1" applyBorder="1" applyAlignment="1">
      <alignment horizontal="left" vertical="center" wrapText="1"/>
    </xf>
    <xf numFmtId="0" fontId="7" fillId="4" borderId="1" xfId="0" applyFont="1" applyFill="1" applyBorder="1" applyAlignment="1">
      <alignment horizontal="left" vertical="center" wrapText="1"/>
    </xf>
    <xf numFmtId="0" fontId="6" fillId="2" borderId="0" xfId="0" applyFont="1" applyFill="1" applyAlignment="1">
      <alignment horizontal="center" vertical="center" wrapText="1"/>
    </xf>
    <xf numFmtId="0" fontId="5" fillId="0" borderId="0" xfId="0" applyFont="1" applyAlignment="1">
      <alignment horizontal="center" vertical="center" wrapText="1"/>
    </xf>
    <xf numFmtId="0" fontId="4" fillId="0" borderId="0" xfId="0" applyFont="1" applyAlignment="1">
      <alignment horizontal="center" vertical="center" wrapText="1"/>
    </xf>
    <xf numFmtId="0" fontId="3" fillId="3" borderId="0" xfId="0" applyFont="1" applyFill="1" applyAlignment="1">
      <alignment horizontal="center" vertical="center" wrapText="1"/>
    </xf>
    <xf numFmtId="0" fontId="2" fillId="2" borderId="0" xfId="0" applyFont="1" applyFill="1" applyAlignment="1">
      <alignment horizontal="center" vertical="center" wrapText="1"/>
    </xf>
    <xf numFmtId="0" fontId="1" fillId="2" borderId="0" xfId="0" applyFont="1" applyFill="1" applyAlignment="1">
      <alignment horizontal="center" vertical="center" wrapText="1"/>
    </xf>
    <xf numFmtId="0" fontId="7" fillId="4" borderId="1" xfId="0" applyFont="1" applyFill="1" applyBorder="1" applyAlignment="1">
      <alignment horizontal="left" vertical="center" wrapText="1"/>
    </xf>
    <xf numFmtId="0" fontId="11" fillId="3" borderId="1" xfId="0" applyFont="1" applyFill="1" applyBorder="1" applyAlignment="1">
      <alignment horizontal="center" vertical="center" wrapText="1"/>
    </xf>
    <xf numFmtId="0" fontId="12" fillId="5" borderId="1" xfId="0" applyFont="1" applyFill="1" applyBorder="1" applyAlignment="1">
      <alignment horizontal="center" vertical="center" wrapText="1"/>
    </xf>
    <xf numFmtId="0" fontId="12" fillId="5" borderId="1" xfId="0" applyFont="1" applyFill="1" applyBorder="1" applyAlignment="1">
      <alignment horizontal="left" vertical="center" wrapText="1"/>
    </xf>
    <xf numFmtId="0" fontId="12" fillId="4"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0" fillId="0" borderId="2" xfId="0" applyBorder="1"/>
    <xf numFmtId="0" fontId="12" fillId="4" borderId="1" xfId="0" applyFont="1" applyFill="1" applyBorder="1" applyAlignment="1">
      <alignment horizontal="left" vertical="center" wrapText="1"/>
    </xf>
    <xf numFmtId="0" fontId="12" fillId="0" borderId="1" xfId="0" applyFont="1" applyBorder="1" applyAlignment="1">
      <alignment horizontal="left" vertical="center" wrapText="1"/>
    </xf>
    <xf numFmtId="3" fontId="12" fillId="0" borderId="1" xfId="0" applyNumberFormat="1" applyFont="1" applyBorder="1" applyAlignment="1">
      <alignment horizontal="center" vertical="center" wrapText="1"/>
    </xf>
    <xf numFmtId="4" fontId="12" fillId="0" borderId="1" xfId="0" applyNumberFormat="1" applyFont="1" applyBorder="1" applyAlignment="1">
      <alignment horizontal="center"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7B7B7"/>
      <rgbColor rgb="FF808080"/>
      <rgbColor rgb="FF9999FF"/>
      <rgbColor rgb="FF993366"/>
      <rgbColor rgb="FFFFF8DC"/>
      <rgbColor rgb="FFEEF2F5"/>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D7E4DC"/>
      <rgbColor rgb="FFFFFF99"/>
      <rgbColor rgb="FF99CCFF"/>
      <rgbColor rgb="FFFF99CC"/>
      <rgbColor rgb="FFCC99FF"/>
      <rgbColor rgb="FFFFE4C4"/>
      <rgbColor rgb="FF3366FF"/>
      <rgbColor rgb="FF33CCCC"/>
      <rgbColor rgb="FF99CC00"/>
      <rgbColor rgb="FFFFCC00"/>
      <rgbColor rgb="FFFF9900"/>
      <rgbColor rgb="FFFF6600"/>
      <rgbColor rgb="FF666666"/>
      <rgbColor rgb="FF969696"/>
      <rgbColor rgb="FF003366"/>
      <rgbColor rgb="FF2E7D4F"/>
      <rgbColor rgb="FF003300"/>
      <rgbColor rgb="FF1B4D2E"/>
      <rgbColor rgb="FF993300"/>
      <rgbColor rgb="FF993366"/>
      <rgbColor rgb="FF555555"/>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H35"/>
  <sheetViews>
    <sheetView showGridLines="0" zoomScaleNormal="100" workbookViewId="0">
      <pane ySplit="6" topLeftCell="A20" activePane="bottomLeft" state="frozen"/>
      <selection pane="bottomLeft" activeCell="B26" sqref="B26"/>
    </sheetView>
  </sheetViews>
  <sheetFormatPr baseColWidth="10" defaultColWidth="8.6640625" defaultRowHeight="14.4" x14ac:dyDescent="0.3"/>
  <cols>
    <col min="1" max="1" width="38" customWidth="1"/>
    <col min="2" max="4" width="16" customWidth="1"/>
    <col min="5" max="5" width="24" customWidth="1"/>
    <col min="6" max="8" width="14" customWidth="1"/>
  </cols>
  <sheetData>
    <row r="1" spans="1:8" ht="21.75" customHeight="1" x14ac:dyDescent="0.3">
      <c r="A1" s="14" t="s">
        <v>0</v>
      </c>
      <c r="B1" s="14"/>
      <c r="C1" s="14"/>
      <c r="D1" s="14"/>
      <c r="E1" s="14"/>
      <c r="F1" s="14"/>
      <c r="G1" s="14"/>
      <c r="H1" s="14"/>
    </row>
    <row r="2" spans="1:8" ht="18" customHeight="1" x14ac:dyDescent="0.3">
      <c r="A2" s="13" t="s">
        <v>1</v>
      </c>
      <c r="B2" s="13"/>
      <c r="C2" s="13"/>
      <c r="D2" s="13"/>
      <c r="E2" s="13"/>
      <c r="F2" s="13"/>
      <c r="G2" s="13"/>
      <c r="H2" s="13"/>
    </row>
    <row r="3" spans="1:8" ht="30" customHeight="1" x14ac:dyDescent="0.3">
      <c r="A3" s="13" t="s">
        <v>2</v>
      </c>
      <c r="B3" s="13"/>
      <c r="C3" s="13"/>
      <c r="D3" s="13"/>
      <c r="E3" s="13"/>
      <c r="F3" s="13"/>
      <c r="G3" s="13"/>
      <c r="H3" s="13"/>
    </row>
    <row r="4" spans="1:8" ht="27.75" customHeight="1" x14ac:dyDescent="0.3">
      <c r="A4" s="12" t="s">
        <v>3</v>
      </c>
      <c r="B4" s="12"/>
      <c r="C4" s="12"/>
      <c r="D4" s="12"/>
      <c r="E4" s="12"/>
      <c r="F4" s="12"/>
      <c r="G4" s="12"/>
      <c r="H4" s="12"/>
    </row>
    <row r="5" spans="1:8" ht="27.75" customHeight="1" x14ac:dyDescent="0.3">
      <c r="A5" s="11" t="s">
        <v>4</v>
      </c>
      <c r="B5" s="11"/>
      <c r="C5" s="11"/>
      <c r="D5" s="11"/>
      <c r="E5" s="11"/>
      <c r="F5" s="11"/>
      <c r="G5" s="11"/>
      <c r="H5" s="11"/>
    </row>
    <row r="6" spans="1:8" ht="24" customHeight="1" x14ac:dyDescent="0.3">
      <c r="A6" s="10" t="s">
        <v>5</v>
      </c>
      <c r="B6" s="10"/>
      <c r="C6" s="10"/>
      <c r="D6" s="10"/>
      <c r="E6" s="10"/>
      <c r="F6" s="10"/>
      <c r="G6" s="10"/>
      <c r="H6" s="10"/>
    </row>
    <row r="7" spans="1:8" ht="21.75" customHeight="1" x14ac:dyDescent="0.3">
      <c r="A7" s="9" t="s">
        <v>6</v>
      </c>
      <c r="B7" s="9"/>
      <c r="C7" s="9"/>
      <c r="D7" s="9"/>
      <c r="E7" s="9"/>
      <c r="F7" s="9"/>
      <c r="G7" s="9"/>
      <c r="H7" s="9"/>
    </row>
    <row r="8" spans="1:8" ht="19.5" customHeight="1" x14ac:dyDescent="0.3">
      <c r="A8" s="15" t="s">
        <v>7</v>
      </c>
      <c r="B8" s="7" t="s">
        <v>8</v>
      </c>
      <c r="C8" s="7"/>
      <c r="D8" s="7"/>
      <c r="E8" s="15" t="s">
        <v>9</v>
      </c>
      <c r="F8" s="7" t="s">
        <v>10</v>
      </c>
      <c r="G8" s="7"/>
      <c r="H8" s="7"/>
    </row>
    <row r="9" spans="1:8" ht="19.5" customHeight="1" x14ac:dyDescent="0.3">
      <c r="A9" s="15" t="s">
        <v>11</v>
      </c>
      <c r="B9" s="7" t="s">
        <v>12</v>
      </c>
      <c r="C9" s="7"/>
      <c r="D9" s="7"/>
      <c r="E9" s="15" t="s">
        <v>13</v>
      </c>
      <c r="F9" s="7" t="s">
        <v>14</v>
      </c>
      <c r="G9" s="7"/>
      <c r="H9" s="7"/>
    </row>
    <row r="10" spans="1:8" ht="19.5" customHeight="1" x14ac:dyDescent="0.3">
      <c r="A10" s="15" t="s">
        <v>15</v>
      </c>
      <c r="B10" s="7" t="s">
        <v>16</v>
      </c>
      <c r="C10" s="7"/>
      <c r="D10" s="7"/>
      <c r="E10" s="15" t="s">
        <v>17</v>
      </c>
      <c r="F10" s="6" t="str">
        <f>IFERROR(VLOOKUP($B$10,tbl_Bloques,2,FALSE()),"")</f>
        <v>C1076-Q9581</v>
      </c>
      <c r="G10" s="6"/>
      <c r="H10" s="6"/>
    </row>
    <row r="11" spans="1:8" ht="19.5" customHeight="1" x14ac:dyDescent="0.3">
      <c r="A11" s="15" t="s">
        <v>18</v>
      </c>
      <c r="B11" s="6" t="str">
        <f>IFERROR(VLOOKUP($B$10,tbl_Bloques,3,FALSE()),"")</f>
        <v>Morropon</v>
      </c>
      <c r="C11" s="6"/>
      <c r="D11" s="6"/>
      <c r="E11" s="15" t="s">
        <v>19</v>
      </c>
      <c r="F11" s="6" t="str">
        <f>IFERROR(VLOOKUP($B$10,tbl_Bloques,4,FALSE()),"")</f>
        <v>Salitral</v>
      </c>
      <c r="G11" s="6"/>
      <c r="H11" s="6"/>
    </row>
    <row r="12" spans="1:8" ht="19.5" customHeight="1" x14ac:dyDescent="0.3">
      <c r="A12" s="15" t="s">
        <v>20</v>
      </c>
      <c r="B12" s="6" t="str">
        <f>IFERROR(VLOOKUP($B$10,tbl_Bloques,5,FALSE()),"")</f>
        <v>Z07</v>
      </c>
      <c r="C12" s="6"/>
      <c r="D12" s="6"/>
      <c r="E12" s="15" t="s">
        <v>21</v>
      </c>
      <c r="F12" s="6">
        <f>IFERROR(VLOOKUP($B$10,tbl_Bloques,8,FALSE()),"")</f>
        <v>115.38</v>
      </c>
      <c r="G12" s="6"/>
      <c r="H12" s="6"/>
    </row>
    <row r="13" spans="1:8" ht="19.5" customHeight="1" x14ac:dyDescent="0.3">
      <c r="A13" s="15" t="s">
        <v>22</v>
      </c>
      <c r="B13" s="7"/>
      <c r="C13" s="7"/>
      <c r="D13" s="7"/>
      <c r="E13" s="15" t="s">
        <v>23</v>
      </c>
      <c r="F13" s="7"/>
      <c r="G13" s="7"/>
      <c r="H13" s="7"/>
    </row>
    <row r="14" spans="1:8" ht="19.5" customHeight="1" x14ac:dyDescent="0.3">
      <c r="A14" s="15" t="s">
        <v>24</v>
      </c>
      <c r="B14" s="7">
        <v>200</v>
      </c>
      <c r="C14" s="7"/>
      <c r="D14" s="7"/>
      <c r="E14" s="15" t="s">
        <v>25</v>
      </c>
      <c r="F14" s="7" t="s">
        <v>26</v>
      </c>
      <c r="G14" s="7"/>
      <c r="H14" s="7"/>
    </row>
    <row r="15" spans="1:8" ht="19.5" customHeight="1" x14ac:dyDescent="0.3">
      <c r="A15" s="15" t="s">
        <v>27</v>
      </c>
      <c r="B15" s="7" t="s">
        <v>28</v>
      </c>
      <c r="C15" s="7"/>
      <c r="D15" s="7"/>
      <c r="E15" s="7"/>
      <c r="F15" s="7"/>
      <c r="G15" s="7"/>
      <c r="H15" s="7"/>
    </row>
    <row r="17" spans="1:8" ht="21.75" customHeight="1" x14ac:dyDescent="0.3">
      <c r="A17" s="9" t="s">
        <v>29</v>
      </c>
      <c r="B17" s="9"/>
      <c r="C17" s="9"/>
      <c r="D17" s="9"/>
      <c r="E17" s="9"/>
      <c r="F17" s="9"/>
      <c r="G17" s="9"/>
      <c r="H17" s="9"/>
    </row>
    <row r="18" spans="1:8" ht="19.5" customHeight="1" x14ac:dyDescent="0.3">
      <c r="A18" s="15" t="s">
        <v>30</v>
      </c>
      <c r="B18" s="7" t="s">
        <v>31</v>
      </c>
      <c r="C18" s="7"/>
      <c r="D18" s="7"/>
      <c r="E18" s="7"/>
      <c r="F18" s="7"/>
      <c r="G18" s="7"/>
      <c r="H18" s="7"/>
    </row>
    <row r="19" spans="1:8" ht="19.5" customHeight="1" x14ac:dyDescent="0.3">
      <c r="A19" s="15" t="s">
        <v>32</v>
      </c>
      <c r="B19" s="7" t="s">
        <v>33</v>
      </c>
      <c r="C19" s="7"/>
      <c r="D19" s="7"/>
      <c r="E19" s="7"/>
      <c r="F19" s="7"/>
      <c r="G19" s="7"/>
      <c r="H19" s="7"/>
    </row>
    <row r="20" spans="1:8" ht="19.5" customHeight="1" x14ac:dyDescent="0.3">
      <c r="A20" s="15" t="s">
        <v>34</v>
      </c>
      <c r="B20" s="7" t="s">
        <v>35</v>
      </c>
      <c r="C20" s="7"/>
      <c r="D20" s="7"/>
      <c r="E20" s="7"/>
      <c r="F20" s="7"/>
      <c r="G20" s="7"/>
      <c r="H20" s="7"/>
    </row>
    <row r="21" spans="1:8" ht="19.5" customHeight="1" x14ac:dyDescent="0.3">
      <c r="A21" s="15" t="s">
        <v>36</v>
      </c>
      <c r="B21" s="7" t="s">
        <v>37</v>
      </c>
      <c r="C21" s="7"/>
      <c r="D21" s="7"/>
      <c r="E21" s="7"/>
      <c r="F21" s="7"/>
      <c r="G21" s="7"/>
      <c r="H21" s="7"/>
    </row>
    <row r="22" spans="1:8" ht="19.5" customHeight="1" x14ac:dyDescent="0.3">
      <c r="A22" s="15" t="s">
        <v>38</v>
      </c>
      <c r="B22" s="7" t="s">
        <v>39</v>
      </c>
      <c r="C22" s="7"/>
      <c r="D22" s="7"/>
      <c r="E22" s="7"/>
      <c r="F22" s="7"/>
      <c r="G22" s="7"/>
      <c r="H22" s="7"/>
    </row>
    <row r="23" spans="1:8" ht="19.5" customHeight="1" x14ac:dyDescent="0.3">
      <c r="A23" s="15" t="s">
        <v>40</v>
      </c>
      <c r="B23" s="7" t="s">
        <v>41</v>
      </c>
      <c r="C23" s="7"/>
      <c r="D23" s="7"/>
      <c r="E23" s="7"/>
      <c r="F23" s="7"/>
      <c r="G23" s="7"/>
      <c r="H23" s="7"/>
    </row>
    <row r="25" spans="1:8" ht="21.75" customHeight="1" x14ac:dyDescent="0.3">
      <c r="A25" s="9" t="s">
        <v>42</v>
      </c>
      <c r="B25" s="9"/>
      <c r="C25" s="9"/>
      <c r="D25" s="9"/>
      <c r="E25" s="9"/>
      <c r="F25" s="9"/>
      <c r="G25" s="9"/>
      <c r="H25" s="9"/>
    </row>
    <row r="26" spans="1:8" ht="19.5" customHeight="1" x14ac:dyDescent="0.3">
      <c r="A26" s="15" t="s">
        <v>43</v>
      </c>
      <c r="B26" s="7" t="s">
        <v>44</v>
      </c>
      <c r="C26" s="7"/>
      <c r="D26" s="7"/>
      <c r="E26" s="7"/>
      <c r="F26" s="7"/>
      <c r="G26" s="7"/>
      <c r="H26" s="7"/>
    </row>
    <row r="27" spans="1:8" ht="19.5" customHeight="1" x14ac:dyDescent="0.3">
      <c r="A27" s="15" t="s">
        <v>45</v>
      </c>
      <c r="B27" s="7" t="s">
        <v>44</v>
      </c>
      <c r="C27" s="7"/>
      <c r="D27" s="7"/>
      <c r="E27" s="7"/>
      <c r="F27" s="7"/>
      <c r="G27" s="7"/>
      <c r="H27" s="7"/>
    </row>
    <row r="28" spans="1:8" ht="19.5" customHeight="1" x14ac:dyDescent="0.3">
      <c r="A28" s="15" t="s">
        <v>46</v>
      </c>
      <c r="B28" s="7" t="s">
        <v>44</v>
      </c>
      <c r="C28" s="7"/>
      <c r="D28" s="7"/>
      <c r="E28" s="7"/>
      <c r="F28" s="7"/>
      <c r="G28" s="7"/>
      <c r="H28" s="7"/>
    </row>
    <row r="29" spans="1:8" ht="19.5" customHeight="1" x14ac:dyDescent="0.3">
      <c r="A29" s="15" t="s">
        <v>47</v>
      </c>
      <c r="B29" s="7" t="s">
        <v>44</v>
      </c>
      <c r="C29" s="7"/>
      <c r="D29" s="7"/>
      <c r="E29" s="7"/>
      <c r="F29" s="7"/>
      <c r="G29" s="7"/>
      <c r="H29" s="7"/>
    </row>
    <row r="30" spans="1:8" ht="19.5" customHeight="1" x14ac:dyDescent="0.3">
      <c r="A30" s="15" t="s">
        <v>48</v>
      </c>
      <c r="B30" s="7" t="s">
        <v>44</v>
      </c>
      <c r="C30" s="7"/>
      <c r="D30" s="7"/>
      <c r="E30" s="7"/>
      <c r="F30" s="7"/>
      <c r="G30" s="7"/>
      <c r="H30" s="7"/>
    </row>
    <row r="32" spans="1:8" ht="21.75" customHeight="1" x14ac:dyDescent="0.3">
      <c r="A32" s="9" t="s">
        <v>49</v>
      </c>
      <c r="B32" s="9"/>
      <c r="C32" s="9"/>
      <c r="D32" s="9"/>
      <c r="E32" s="9"/>
      <c r="F32" s="9"/>
      <c r="G32" s="9"/>
      <c r="H32" s="9"/>
    </row>
    <row r="33" spans="1:8" ht="27.75" customHeight="1" x14ac:dyDescent="0.3">
      <c r="A33" s="2" t="s">
        <v>50</v>
      </c>
      <c r="B33" s="2"/>
      <c r="C33" s="2"/>
      <c r="D33" s="2"/>
      <c r="E33" s="2"/>
      <c r="F33" s="2"/>
      <c r="G33" s="2"/>
      <c r="H33" s="2"/>
    </row>
    <row r="34" spans="1:8" ht="27.75" customHeight="1" x14ac:dyDescent="0.3">
      <c r="A34" s="2"/>
      <c r="B34" s="2"/>
      <c r="C34" s="2"/>
      <c r="D34" s="2"/>
      <c r="E34" s="2"/>
      <c r="F34" s="2"/>
      <c r="G34" s="2"/>
      <c r="H34" s="2"/>
    </row>
    <row r="35" spans="1:8" ht="27.75" customHeight="1" x14ac:dyDescent="0.3">
      <c r="A35" s="2"/>
      <c r="B35" s="2"/>
      <c r="C35" s="2"/>
      <c r="D35" s="2"/>
      <c r="E35" s="2"/>
      <c r="F35" s="2"/>
      <c r="G35" s="2"/>
      <c r="H35" s="2"/>
    </row>
  </sheetData>
  <mergeCells count="37">
    <mergeCell ref="B28:H28"/>
    <mergeCell ref="B29:H29"/>
    <mergeCell ref="B30:H30"/>
    <mergeCell ref="A32:H32"/>
    <mergeCell ref="A33:H35"/>
    <mergeCell ref="B22:H22"/>
    <mergeCell ref="B23:H23"/>
    <mergeCell ref="A25:H25"/>
    <mergeCell ref="B26:H26"/>
    <mergeCell ref="B27:H27"/>
    <mergeCell ref="A17:H17"/>
    <mergeCell ref="B18:H18"/>
    <mergeCell ref="B19:H19"/>
    <mergeCell ref="B20:H20"/>
    <mergeCell ref="B21:H21"/>
    <mergeCell ref="B13:D13"/>
    <mergeCell ref="F13:H13"/>
    <mergeCell ref="B14:D14"/>
    <mergeCell ref="F14:H14"/>
    <mergeCell ref="B15:H15"/>
    <mergeCell ref="B10:D10"/>
    <mergeCell ref="F10:H10"/>
    <mergeCell ref="B11:D11"/>
    <mergeCell ref="F11:H11"/>
    <mergeCell ref="B12:D12"/>
    <mergeCell ref="F12:H12"/>
    <mergeCell ref="A6:H6"/>
    <mergeCell ref="A7:H7"/>
    <mergeCell ref="B8:D8"/>
    <mergeCell ref="F8:H8"/>
    <mergeCell ref="B9:D9"/>
    <mergeCell ref="F9:H9"/>
    <mergeCell ref="A1:H1"/>
    <mergeCell ref="A2:H2"/>
    <mergeCell ref="A3:H3"/>
    <mergeCell ref="A4:H4"/>
    <mergeCell ref="A5:H5"/>
  </mergeCells>
  <dataValidations count="11">
    <dataValidation type="list" allowBlank="1" errorTitle="Valor no válido" error="Seleccione un valor de la lista desplegable." promptTitle="Código de Bloque" prompt="Elija una opción de la lista." sqref="B10" xr:uid="{00000000-0002-0000-0000-000000000000}">
      <formula1>lst_CodigoBloque</formula1>
      <formula2>0</formula2>
    </dataValidation>
    <dataValidation type="list" allowBlank="1" errorTitle="Valor no válido" error="Seleccione un valor de la lista desplegable." promptTitle="Forma predominante del terreno" prompt="Elija una opción de la lista." sqref="B18" xr:uid="{00000000-0002-0000-0000-000001000000}">
      <formula1>lst_FormaTerreno</formula1>
      <formula2>0</formula2>
    </dataValidation>
    <dataValidation type="list" allowBlank="1" errorTitle="Valor no válido" error="Seleccione un valor de la lista desplegable." promptTitle="Rango de pendiente dominante *" prompt="Elija una opción de la lista." sqref="B19" xr:uid="{00000000-0002-0000-0000-000002000000}">
      <formula1>lst_RangoPendiente</formula1>
      <formula2>0</formula2>
    </dataValidation>
    <dataValidation type="list" allowBlank="1" errorTitle="Valor no válido" error="Seleccione un valor de la lista desplegable." promptTitle="Posición fisiográfica *" prompt="Elija una opción de la lista." sqref="B20" xr:uid="{00000000-0002-0000-0000-000003000000}">
      <formula1>lst_PosicionFisio</formula1>
      <formula2>0</formula2>
    </dataValidation>
    <dataValidation type="list" allowBlank="1" errorTitle="Valor no válido" error="Seleccione un valor de la lista desplegable." promptTitle="Exposición / Orientación domin" prompt="Elija una opción de la lista." sqref="B21" xr:uid="{00000000-0002-0000-0000-000004000000}">
      <formula1>lst_Exposicion</formula1>
      <formula2>0</formula2>
    </dataValidation>
    <dataValidation type="list" allowBlank="1" errorTitle="Valor no válido" error="Seleccione un valor de la lista desplegable." promptTitle="Rango altitudinal del bloque *" prompt="Elija una opción de la lista." sqref="B22" xr:uid="{00000000-0002-0000-0000-000005000000}">
      <formula1>lst_RangoAltitud</formula1>
      <formula2>0</formula2>
    </dataValidation>
    <dataValidation type="list" allowBlank="1" errorTitle="Valor no válido" error="Seleccione un valor de la lista desplegable." promptTitle="Presencia de afloramientos roc" prompt="Elija una opción de la lista." sqref="B26" xr:uid="{00000000-0002-0000-0000-000006000000}">
      <formula1>lst_SiNo</formula1>
      <formula2>0</formula2>
    </dataValidation>
    <dataValidation type="list" allowBlank="1" errorTitle="Valor no válido" error="Seleccione un valor de la lista desplegable." promptTitle="Presencia de escarpes activos " prompt="Elija una opción de la lista." sqref="B27" xr:uid="{00000000-0002-0000-0000-000007000000}">
      <formula1>lst_SiNo</formula1>
      <formula2>0</formula2>
    </dataValidation>
    <dataValidation type="list" allowBlank="1" errorTitle="Valor no válido" error="Seleccione un valor de la lista desplegable." promptTitle="¿Reptación de suelo observada?" prompt="Elija una opción de la lista." sqref="B28" xr:uid="{00000000-0002-0000-0000-000008000000}">
      <formula1>lst_SiNo</formula1>
      <formula2>0</formula2>
    </dataValidation>
    <dataValidation type="list" allowBlank="1" errorTitle="Valor no válido" error="Seleccione un valor de la lista desplegable." promptTitle="¿Deslizamientos antiguos obser" prompt="Elija una opción de la lista." sqref="B29" xr:uid="{00000000-0002-0000-0000-000009000000}">
      <formula1>lst_SiNo</formula1>
      <formula2>0</formula2>
    </dataValidation>
    <dataValidation type="list" allowBlank="1" errorTitle="Valor no válido" error="Seleccione un valor de la lista desplegable." promptTitle="¿Remociones en masa activas? *" prompt="Elija una opción de la lista." sqref="B30" xr:uid="{00000000-0002-0000-0000-00000A000000}">
      <formula1>lst_SiNo</formula1>
      <formula2>0</formula2>
    </dataValidation>
  </dataValidations>
  <printOptions horizontalCentered="1"/>
  <pageMargins left="0.4" right="0.4" top="0.5" bottom="0.5" header="0.511811023622047" footer="0.511811023622047"/>
  <pageSetup paperSize="9" fitToHeight="0" orientation="landscape"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L44"/>
  <sheetViews>
    <sheetView showGridLines="0" zoomScaleNormal="100" workbookViewId="0">
      <pane ySplit="6" topLeftCell="A16" activePane="bottomLeft" state="frozen"/>
      <selection pane="bottomLeft" activeCell="D14" sqref="D14:L14"/>
    </sheetView>
  </sheetViews>
  <sheetFormatPr baseColWidth="10" defaultColWidth="8.6640625" defaultRowHeight="14.4" x14ac:dyDescent="0.3"/>
  <cols>
    <col min="1" max="1" width="10" customWidth="1"/>
    <col min="2" max="2" width="26" customWidth="1"/>
    <col min="3" max="3" width="11" customWidth="1"/>
    <col min="4" max="4" width="12" customWidth="1"/>
    <col min="5" max="5" width="11" customWidth="1"/>
    <col min="6" max="6" width="12" customWidth="1"/>
    <col min="7" max="9" width="9" customWidth="1"/>
    <col min="10" max="10" width="18" customWidth="1"/>
    <col min="11" max="11" width="22" customWidth="1"/>
    <col min="12" max="12" width="14" customWidth="1"/>
  </cols>
  <sheetData>
    <row r="1" spans="1:12" ht="21.75" customHeight="1" x14ac:dyDescent="0.3">
      <c r="A1" s="14" t="s">
        <v>0</v>
      </c>
      <c r="B1" s="14"/>
      <c r="C1" s="14"/>
      <c r="D1" s="14"/>
      <c r="E1" s="14"/>
      <c r="F1" s="14"/>
      <c r="G1" s="14"/>
      <c r="H1" s="14"/>
      <c r="I1" s="14"/>
      <c r="J1" s="14"/>
      <c r="K1" s="14"/>
      <c r="L1" s="14"/>
    </row>
    <row r="2" spans="1:12" ht="18" customHeight="1" x14ac:dyDescent="0.3">
      <c r="A2" s="13" t="s">
        <v>1</v>
      </c>
      <c r="B2" s="13"/>
      <c r="C2" s="13"/>
      <c r="D2" s="13"/>
      <c r="E2" s="13"/>
      <c r="F2" s="13"/>
      <c r="G2" s="13"/>
      <c r="H2" s="13"/>
      <c r="I2" s="13"/>
      <c r="J2" s="13"/>
      <c r="K2" s="13"/>
      <c r="L2" s="13"/>
    </row>
    <row r="3" spans="1:12" ht="30" customHeight="1" x14ac:dyDescent="0.3">
      <c r="A3" s="13" t="s">
        <v>2</v>
      </c>
      <c r="B3" s="13"/>
      <c r="C3" s="13"/>
      <c r="D3" s="13"/>
      <c r="E3" s="13"/>
      <c r="F3" s="13"/>
      <c r="G3" s="13"/>
      <c r="H3" s="13"/>
      <c r="I3" s="13"/>
      <c r="J3" s="13"/>
      <c r="K3" s="13"/>
      <c r="L3" s="13"/>
    </row>
    <row r="4" spans="1:12" ht="27.75" customHeight="1" x14ac:dyDescent="0.3">
      <c r="A4" s="12" t="s">
        <v>51</v>
      </c>
      <c r="B4" s="12"/>
      <c r="C4" s="12"/>
      <c r="D4" s="12"/>
      <c r="E4" s="12"/>
      <c r="F4" s="12"/>
      <c r="G4" s="12"/>
      <c r="H4" s="12"/>
      <c r="I4" s="12"/>
      <c r="J4" s="12"/>
      <c r="K4" s="12"/>
      <c r="L4" s="12"/>
    </row>
    <row r="5" spans="1:12" ht="27.75" customHeight="1" x14ac:dyDescent="0.3">
      <c r="A5" s="11" t="s">
        <v>52</v>
      </c>
      <c r="B5" s="11"/>
      <c r="C5" s="11"/>
      <c r="D5" s="11"/>
      <c r="E5" s="11"/>
      <c r="F5" s="11"/>
      <c r="G5" s="11"/>
      <c r="H5" s="11"/>
      <c r="I5" s="11"/>
      <c r="J5" s="11"/>
      <c r="K5" s="11"/>
      <c r="L5" s="11"/>
    </row>
    <row r="6" spans="1:12" ht="24" customHeight="1" x14ac:dyDescent="0.3">
      <c r="A6" s="10" t="s">
        <v>5</v>
      </c>
      <c r="B6" s="10"/>
      <c r="C6" s="10"/>
      <c r="D6" s="10"/>
      <c r="E6" s="10"/>
      <c r="F6" s="10"/>
      <c r="G6" s="10"/>
      <c r="H6" s="10"/>
      <c r="I6" s="10"/>
      <c r="J6" s="10"/>
      <c r="K6" s="10"/>
      <c r="L6" s="10"/>
    </row>
    <row r="7" spans="1:12" ht="21.75" customHeight="1" x14ac:dyDescent="0.3">
      <c r="A7" s="9" t="s">
        <v>53</v>
      </c>
      <c r="B7" s="9"/>
      <c r="C7" s="9"/>
      <c r="D7" s="9"/>
      <c r="E7" s="9"/>
      <c r="F7" s="9"/>
      <c r="G7" s="9"/>
      <c r="H7" s="9"/>
      <c r="I7" s="9"/>
      <c r="J7" s="9"/>
      <c r="K7" s="9"/>
      <c r="L7" s="9"/>
    </row>
    <row r="8" spans="1:12" ht="19.5" customHeight="1" x14ac:dyDescent="0.3">
      <c r="A8" s="8" t="s">
        <v>7</v>
      </c>
      <c r="B8" s="8"/>
      <c r="C8" s="8"/>
      <c r="D8" s="7" t="s">
        <v>8</v>
      </c>
      <c r="E8" s="7"/>
      <c r="F8" s="7"/>
      <c r="G8" s="8" t="s">
        <v>54</v>
      </c>
      <c r="H8" s="8"/>
      <c r="I8" s="8"/>
      <c r="J8" s="7" t="s">
        <v>12</v>
      </c>
      <c r="K8" s="7"/>
      <c r="L8" s="7"/>
    </row>
    <row r="9" spans="1:12" ht="19.5" customHeight="1" x14ac:dyDescent="0.3">
      <c r="A9" s="8" t="s">
        <v>15</v>
      </c>
      <c r="B9" s="8"/>
      <c r="C9" s="8"/>
      <c r="D9" s="7" t="s">
        <v>16</v>
      </c>
      <c r="E9" s="7"/>
      <c r="F9" s="7"/>
      <c r="G9" s="8" t="s">
        <v>55</v>
      </c>
      <c r="H9" s="8"/>
      <c r="I9" s="8"/>
      <c r="J9" s="6" t="str">
        <f>IFERROR(VLOOKUP($D$9,tbl_Bloques,2,FALSE()),"")</f>
        <v>C1076-Q9581</v>
      </c>
      <c r="K9" s="6"/>
      <c r="L9" s="6"/>
    </row>
    <row r="10" spans="1:12" ht="19.5" customHeight="1" x14ac:dyDescent="0.3">
      <c r="A10" s="8" t="s">
        <v>19</v>
      </c>
      <c r="B10" s="8"/>
      <c r="C10" s="8"/>
      <c r="D10" s="6" t="str">
        <f>IFERROR(VLOOKUP($D$9,tbl_Bloques,4,FALSE()),"")</f>
        <v>Salitral</v>
      </c>
      <c r="E10" s="6"/>
      <c r="F10" s="6"/>
      <c r="G10" s="8" t="s">
        <v>56</v>
      </c>
      <c r="H10" s="8"/>
      <c r="I10" s="8"/>
      <c r="J10" s="7">
        <v>200</v>
      </c>
      <c r="K10" s="7"/>
      <c r="L10" s="7"/>
    </row>
    <row r="11" spans="1:12" ht="19.5" customHeight="1" x14ac:dyDescent="0.3">
      <c r="A11" s="8" t="s">
        <v>57</v>
      </c>
      <c r="B11" s="8"/>
      <c r="C11" s="8"/>
      <c r="D11" s="7"/>
      <c r="E11" s="7"/>
      <c r="F11" s="7"/>
      <c r="G11" s="8" t="s">
        <v>58</v>
      </c>
      <c r="H11" s="8"/>
      <c r="I11" s="8"/>
      <c r="J11" s="7"/>
      <c r="K11" s="7"/>
      <c r="L11" s="7"/>
    </row>
    <row r="13" spans="1:12" ht="21.75" customHeight="1" x14ac:dyDescent="0.3">
      <c r="A13" s="9" t="s">
        <v>59</v>
      </c>
      <c r="B13" s="9"/>
      <c r="C13" s="9"/>
      <c r="D13" s="9"/>
      <c r="E13" s="9"/>
      <c r="F13" s="9"/>
      <c r="G13" s="9"/>
      <c r="H13" s="9"/>
      <c r="I13" s="9"/>
      <c r="J13" s="9"/>
      <c r="K13" s="9"/>
      <c r="L13" s="9"/>
    </row>
    <row r="14" spans="1:12" ht="19.5" customHeight="1" x14ac:dyDescent="0.3">
      <c r="A14" s="8" t="s">
        <v>60</v>
      </c>
      <c r="B14" s="8"/>
      <c r="C14" s="8"/>
      <c r="D14" s="7" t="s">
        <v>44</v>
      </c>
      <c r="E14" s="7"/>
      <c r="F14" s="7"/>
      <c r="G14" s="7"/>
      <c r="H14" s="7"/>
      <c r="I14" s="7"/>
      <c r="J14" s="7"/>
      <c r="K14" s="7"/>
      <c r="L14" s="7"/>
    </row>
    <row r="15" spans="1:12" ht="19.5" customHeight="1" x14ac:dyDescent="0.3">
      <c r="A15" s="8" t="s">
        <v>61</v>
      </c>
      <c r="B15" s="8"/>
      <c r="C15" s="8"/>
      <c r="D15" s="7" t="s">
        <v>62</v>
      </c>
      <c r="E15" s="7"/>
      <c r="F15" s="7"/>
      <c r="G15" s="7"/>
      <c r="H15" s="7"/>
      <c r="I15" s="7"/>
      <c r="J15" s="7"/>
      <c r="K15" s="7"/>
      <c r="L15" s="7"/>
    </row>
    <row r="16" spans="1:12" ht="19.5" customHeight="1" x14ac:dyDescent="0.3">
      <c r="A16" s="8" t="s">
        <v>63</v>
      </c>
      <c r="B16" s="8"/>
      <c r="C16" s="8"/>
      <c r="D16" s="7" t="s">
        <v>44</v>
      </c>
      <c r="E16" s="7"/>
      <c r="F16" s="7"/>
      <c r="G16" s="7"/>
      <c r="H16" s="7"/>
      <c r="I16" s="7"/>
      <c r="J16" s="7"/>
      <c r="K16" s="7"/>
      <c r="L16" s="7"/>
    </row>
    <row r="17" spans="1:12" ht="19.5" customHeight="1" x14ac:dyDescent="0.3">
      <c r="A17" s="8" t="s">
        <v>64</v>
      </c>
      <c r="B17" s="8"/>
      <c r="C17" s="8"/>
      <c r="D17" s="7" t="s">
        <v>65</v>
      </c>
      <c r="E17" s="7"/>
      <c r="F17" s="7"/>
      <c r="G17" s="7"/>
      <c r="H17" s="7"/>
      <c r="I17" s="7"/>
      <c r="J17" s="7"/>
      <c r="K17" s="7"/>
      <c r="L17" s="7"/>
    </row>
    <row r="19" spans="1:12" ht="21.75" customHeight="1" x14ac:dyDescent="0.3">
      <c r="A19" s="9" t="s">
        <v>66</v>
      </c>
      <c r="B19" s="9"/>
      <c r="C19" s="9"/>
      <c r="D19" s="9"/>
      <c r="E19" s="9"/>
      <c r="F19" s="9"/>
      <c r="G19" s="9"/>
      <c r="H19" s="9"/>
      <c r="I19" s="9"/>
      <c r="J19" s="9"/>
      <c r="K19" s="9"/>
      <c r="L19" s="9"/>
    </row>
    <row r="20" spans="1:12" ht="25.5" customHeight="1" x14ac:dyDescent="0.3">
      <c r="A20" s="4" t="s">
        <v>67</v>
      </c>
      <c r="B20" s="4"/>
      <c r="C20" s="4"/>
      <c r="D20" s="4"/>
      <c r="E20" s="4"/>
      <c r="F20" s="4"/>
      <c r="G20" s="4"/>
      <c r="H20" s="4"/>
      <c r="I20" s="4"/>
      <c r="J20" s="4"/>
      <c r="K20" s="4"/>
      <c r="L20" s="4"/>
    </row>
    <row r="21" spans="1:12" ht="31.5" customHeight="1" x14ac:dyDescent="0.3">
      <c r="A21" s="16" t="s">
        <v>68</v>
      </c>
      <c r="B21" s="16" t="s">
        <v>69</v>
      </c>
      <c r="C21" s="16" t="s">
        <v>70</v>
      </c>
      <c r="D21" s="16" t="s">
        <v>71</v>
      </c>
      <c r="E21" s="16" t="s">
        <v>72</v>
      </c>
      <c r="F21" s="16" t="s">
        <v>73</v>
      </c>
      <c r="G21" s="16" t="s">
        <v>74</v>
      </c>
      <c r="H21" s="16" t="s">
        <v>75</v>
      </c>
      <c r="I21" s="16" t="s">
        <v>76</v>
      </c>
      <c r="J21" s="16" t="s">
        <v>77</v>
      </c>
      <c r="K21" s="16" t="s">
        <v>78</v>
      </c>
      <c r="L21" s="16" t="s">
        <v>79</v>
      </c>
    </row>
    <row r="22" spans="1:12" ht="19.5" customHeight="1" x14ac:dyDescent="0.3">
      <c r="A22" s="17"/>
      <c r="B22" s="17"/>
      <c r="C22" s="17"/>
      <c r="D22" s="17"/>
      <c r="E22" s="17"/>
      <c r="F22" s="17"/>
      <c r="G22" s="17"/>
      <c r="H22" s="17"/>
      <c r="I22" s="17"/>
      <c r="J22" s="17"/>
      <c r="K22" s="18"/>
      <c r="L22" s="17"/>
    </row>
    <row r="23" spans="1:12" ht="19.5" customHeight="1" x14ac:dyDescent="0.3">
      <c r="A23" s="17"/>
      <c r="B23" s="17"/>
      <c r="C23" s="17"/>
      <c r="D23" s="17"/>
      <c r="E23" s="17"/>
      <c r="F23" s="17"/>
      <c r="G23" s="17"/>
      <c r="H23" s="17"/>
      <c r="I23" s="17"/>
      <c r="J23" s="17"/>
      <c r="K23" s="18"/>
      <c r="L23" s="17"/>
    </row>
    <row r="24" spans="1:12" ht="19.5" customHeight="1" x14ac:dyDescent="0.3">
      <c r="A24" s="17"/>
      <c r="B24" s="17"/>
      <c r="C24" s="17"/>
      <c r="D24" s="17"/>
      <c r="E24" s="17"/>
      <c r="F24" s="17"/>
      <c r="G24" s="17"/>
      <c r="H24" s="17"/>
      <c r="I24" s="17"/>
      <c r="J24" s="17"/>
      <c r="K24" s="18"/>
      <c r="L24" s="17"/>
    </row>
    <row r="25" spans="1:12" ht="19.5" customHeight="1" x14ac:dyDescent="0.3">
      <c r="A25" s="17"/>
      <c r="B25" s="17"/>
      <c r="C25" s="17"/>
      <c r="D25" s="17"/>
      <c r="E25" s="17"/>
      <c r="F25" s="17"/>
      <c r="G25" s="17"/>
      <c r="H25" s="17"/>
      <c r="I25" s="17"/>
      <c r="J25" s="17"/>
      <c r="K25" s="18"/>
      <c r="L25" s="17"/>
    </row>
    <row r="26" spans="1:12" ht="19.5" customHeight="1" x14ac:dyDescent="0.3">
      <c r="A26" s="17"/>
      <c r="B26" s="17"/>
      <c r="C26" s="17"/>
      <c r="D26" s="17"/>
      <c r="E26" s="17"/>
      <c r="F26" s="17"/>
      <c r="G26" s="17"/>
      <c r="H26" s="17"/>
      <c r="I26" s="17"/>
      <c r="J26" s="17"/>
      <c r="K26" s="18"/>
      <c r="L26" s="17"/>
    </row>
    <row r="27" spans="1:12" ht="19.5" customHeight="1" x14ac:dyDescent="0.3">
      <c r="A27" s="17"/>
      <c r="B27" s="17"/>
      <c r="C27" s="17"/>
      <c r="D27" s="17"/>
      <c r="E27" s="17"/>
      <c r="F27" s="17"/>
      <c r="G27" s="17"/>
      <c r="H27" s="17"/>
      <c r="I27" s="17"/>
      <c r="J27" s="17"/>
      <c r="K27" s="18"/>
      <c r="L27" s="17"/>
    </row>
    <row r="28" spans="1:12" ht="19.5" customHeight="1" x14ac:dyDescent="0.3">
      <c r="A28" s="17"/>
      <c r="B28" s="17"/>
      <c r="C28" s="17"/>
      <c r="D28" s="17"/>
      <c r="E28" s="17"/>
      <c r="F28" s="17"/>
      <c r="G28" s="17"/>
      <c r="H28" s="17"/>
      <c r="I28" s="17"/>
      <c r="J28" s="17"/>
      <c r="K28" s="18"/>
      <c r="L28" s="17"/>
    </row>
    <row r="29" spans="1:12" ht="19.5" customHeight="1" x14ac:dyDescent="0.3">
      <c r="A29" s="17"/>
      <c r="B29" s="17"/>
      <c r="C29" s="17"/>
      <c r="D29" s="17"/>
      <c r="E29" s="17"/>
      <c r="F29" s="17"/>
      <c r="G29" s="17"/>
      <c r="H29" s="17"/>
      <c r="I29" s="17"/>
      <c r="J29" s="17"/>
      <c r="K29" s="18"/>
      <c r="L29" s="17"/>
    </row>
    <row r="30" spans="1:12" ht="19.5" customHeight="1" x14ac:dyDescent="0.3">
      <c r="A30" s="17"/>
      <c r="B30" s="17"/>
      <c r="C30" s="17"/>
      <c r="D30" s="17"/>
      <c r="E30" s="17"/>
      <c r="F30" s="17"/>
      <c r="G30" s="17"/>
      <c r="H30" s="17"/>
      <c r="I30" s="17"/>
      <c r="J30" s="17"/>
      <c r="K30" s="18"/>
      <c r="L30" s="17"/>
    </row>
    <row r="31" spans="1:12" ht="19.5" customHeight="1" x14ac:dyDescent="0.3">
      <c r="A31" s="17"/>
      <c r="B31" s="17"/>
      <c r="C31" s="17"/>
      <c r="D31" s="17"/>
      <c r="E31" s="17"/>
      <c r="F31" s="17"/>
      <c r="G31" s="17"/>
      <c r="H31" s="17"/>
      <c r="I31" s="17"/>
      <c r="J31" s="17"/>
      <c r="K31" s="18"/>
      <c r="L31" s="17"/>
    </row>
    <row r="33" spans="1:12" ht="21.75" customHeight="1" x14ac:dyDescent="0.3">
      <c r="A33" s="9" t="s">
        <v>80</v>
      </c>
      <c r="B33" s="9"/>
      <c r="C33" s="9"/>
      <c r="D33" s="9"/>
      <c r="E33" s="9"/>
      <c r="F33" s="9"/>
      <c r="G33" s="9"/>
      <c r="H33" s="9"/>
      <c r="I33" s="9"/>
      <c r="J33" s="9"/>
      <c r="K33" s="9"/>
      <c r="L33" s="9"/>
    </row>
    <row r="34" spans="1:12" ht="19.5" customHeight="1" x14ac:dyDescent="0.3">
      <c r="A34" s="8" t="s">
        <v>81</v>
      </c>
      <c r="B34" s="8"/>
      <c r="C34" s="8"/>
      <c r="D34" s="7" t="s">
        <v>65</v>
      </c>
      <c r="E34" s="7"/>
      <c r="F34" s="7"/>
      <c r="G34" s="7"/>
      <c r="H34" s="7"/>
      <c r="I34" s="7"/>
      <c r="J34" s="7"/>
      <c r="K34" s="7"/>
      <c r="L34" s="7"/>
    </row>
    <row r="35" spans="1:12" ht="19.5" customHeight="1" x14ac:dyDescent="0.3">
      <c r="A35" s="8" t="s">
        <v>82</v>
      </c>
      <c r="B35" s="8"/>
      <c r="C35" s="8"/>
      <c r="D35" s="7">
        <v>0</v>
      </c>
      <c r="E35" s="7"/>
      <c r="F35" s="7"/>
      <c r="G35" s="8" t="s">
        <v>83</v>
      </c>
      <c r="H35" s="8"/>
      <c r="I35" s="8"/>
      <c r="J35" s="7">
        <v>0</v>
      </c>
      <c r="K35" s="7"/>
      <c r="L35" s="7"/>
    </row>
    <row r="36" spans="1:12" ht="19.5" customHeight="1" x14ac:dyDescent="0.3">
      <c r="A36" s="8" t="s">
        <v>84</v>
      </c>
      <c r="B36" s="8"/>
      <c r="C36" s="8"/>
      <c r="D36" s="7">
        <v>0</v>
      </c>
      <c r="E36" s="7"/>
      <c r="F36" s="7"/>
      <c r="G36" s="8" t="s">
        <v>85</v>
      </c>
      <c r="H36" s="8"/>
      <c r="I36" s="8"/>
      <c r="J36" s="7"/>
      <c r="K36" s="7"/>
      <c r="L36" s="7"/>
    </row>
    <row r="37" spans="1:12" ht="19.5" customHeight="1" x14ac:dyDescent="0.3">
      <c r="A37" s="8" t="s">
        <v>86</v>
      </c>
      <c r="B37" s="8"/>
      <c r="C37" s="8"/>
      <c r="D37" s="7" t="s">
        <v>87</v>
      </c>
      <c r="E37" s="7"/>
      <c r="F37" s="7"/>
      <c r="G37" s="7"/>
      <c r="H37" s="7"/>
      <c r="I37" s="7"/>
      <c r="J37" s="7"/>
      <c r="K37" s="7"/>
      <c r="L37" s="7"/>
    </row>
    <row r="38" spans="1:12" ht="19.5" customHeight="1" x14ac:dyDescent="0.3">
      <c r="A38" s="8" t="s">
        <v>88</v>
      </c>
      <c r="B38" s="8"/>
      <c r="C38" s="8"/>
      <c r="D38" s="7" t="s">
        <v>44</v>
      </c>
      <c r="E38" s="7"/>
      <c r="F38" s="7"/>
      <c r="G38" s="7"/>
      <c r="H38" s="7"/>
      <c r="I38" s="7"/>
      <c r="J38" s="7"/>
      <c r="K38" s="7"/>
      <c r="L38" s="7"/>
    </row>
    <row r="39" spans="1:12" ht="19.5" customHeight="1" x14ac:dyDescent="0.3">
      <c r="A39" s="8" t="s">
        <v>89</v>
      </c>
      <c r="B39" s="8"/>
      <c r="C39" s="8"/>
      <c r="D39" s="7" t="s">
        <v>90</v>
      </c>
      <c r="E39" s="7"/>
      <c r="F39" s="7"/>
      <c r="G39" s="7"/>
      <c r="H39" s="7"/>
      <c r="I39" s="7"/>
      <c r="J39" s="7"/>
      <c r="K39" s="7"/>
      <c r="L39" s="7"/>
    </row>
    <row r="41" spans="1:12" ht="21.75" customHeight="1" x14ac:dyDescent="0.3">
      <c r="A41" s="9" t="s">
        <v>49</v>
      </c>
      <c r="B41" s="9"/>
      <c r="C41" s="9"/>
      <c r="D41" s="9"/>
      <c r="E41" s="9"/>
      <c r="F41" s="9"/>
      <c r="G41" s="9"/>
      <c r="H41" s="9"/>
      <c r="I41" s="9"/>
      <c r="J41" s="9"/>
      <c r="K41" s="9"/>
      <c r="L41" s="9"/>
    </row>
    <row r="42" spans="1:12" ht="27.75" customHeight="1" x14ac:dyDescent="0.3">
      <c r="A42" s="2" t="s">
        <v>91</v>
      </c>
      <c r="B42" s="2"/>
      <c r="C42" s="2"/>
      <c r="D42" s="2"/>
      <c r="E42" s="2"/>
      <c r="F42" s="2"/>
      <c r="G42" s="2"/>
      <c r="H42" s="2"/>
      <c r="I42" s="2"/>
      <c r="J42" s="2"/>
      <c r="K42" s="2"/>
      <c r="L42" s="2"/>
    </row>
    <row r="43" spans="1:12" ht="27.75" customHeight="1" x14ac:dyDescent="0.3">
      <c r="A43" s="2"/>
      <c r="B43" s="2"/>
      <c r="C43" s="2"/>
      <c r="D43" s="2"/>
      <c r="E43" s="2"/>
      <c r="F43" s="2"/>
      <c r="G43" s="2"/>
      <c r="H43" s="2"/>
      <c r="I43" s="2"/>
      <c r="J43" s="2"/>
      <c r="K43" s="2"/>
      <c r="L43" s="2"/>
    </row>
    <row r="44" spans="1:12" ht="27.75" customHeight="1" x14ac:dyDescent="0.3">
      <c r="A44" s="2"/>
      <c r="B44" s="2"/>
      <c r="C44" s="2"/>
      <c r="D44" s="2"/>
      <c r="E44" s="2"/>
      <c r="F44" s="2"/>
      <c r="G44" s="2"/>
      <c r="H44" s="2"/>
      <c r="I44" s="2"/>
      <c r="J44" s="2"/>
      <c r="K44" s="2"/>
      <c r="L44" s="2"/>
    </row>
  </sheetData>
  <mergeCells count="53">
    <mergeCell ref="A42:L44"/>
    <mergeCell ref="A38:C38"/>
    <mergeCell ref="D38:L38"/>
    <mergeCell ref="A39:C39"/>
    <mergeCell ref="D39:L39"/>
    <mergeCell ref="A41:L41"/>
    <mergeCell ref="A36:C36"/>
    <mergeCell ref="D36:F36"/>
    <mergeCell ref="G36:I36"/>
    <mergeCell ref="J36:L36"/>
    <mergeCell ref="A37:C37"/>
    <mergeCell ref="D37:L37"/>
    <mergeCell ref="A34:C34"/>
    <mergeCell ref="D34:L34"/>
    <mergeCell ref="A35:C35"/>
    <mergeCell ref="D35:F35"/>
    <mergeCell ref="G35:I35"/>
    <mergeCell ref="J35:L35"/>
    <mergeCell ref="A17:C17"/>
    <mergeCell ref="D17:L17"/>
    <mergeCell ref="A19:L19"/>
    <mergeCell ref="A20:L20"/>
    <mergeCell ref="A33:L33"/>
    <mergeCell ref="A14:C14"/>
    <mergeCell ref="D14:L14"/>
    <mergeCell ref="A15:C15"/>
    <mergeCell ref="D15:L15"/>
    <mergeCell ref="A16:C16"/>
    <mergeCell ref="D16:L16"/>
    <mergeCell ref="A11:C11"/>
    <mergeCell ref="D11:F11"/>
    <mergeCell ref="G11:I11"/>
    <mergeCell ref="J11:L11"/>
    <mergeCell ref="A13:L13"/>
    <mergeCell ref="A9:C9"/>
    <mergeCell ref="D9:F9"/>
    <mergeCell ref="G9:I9"/>
    <mergeCell ref="J9:L9"/>
    <mergeCell ref="A10:C10"/>
    <mergeCell ref="D10:F10"/>
    <mergeCell ref="G10:I10"/>
    <mergeCell ref="J10:L10"/>
    <mergeCell ref="A6:L6"/>
    <mergeCell ref="A7:L7"/>
    <mergeCell ref="A8:C8"/>
    <mergeCell ref="D8:F8"/>
    <mergeCell ref="G8:I8"/>
    <mergeCell ref="J8:L8"/>
    <mergeCell ref="A1:L1"/>
    <mergeCell ref="A2:L2"/>
    <mergeCell ref="A3:L3"/>
    <mergeCell ref="A4:L4"/>
    <mergeCell ref="A5:L5"/>
  </mergeCells>
  <dataValidations count="12">
    <dataValidation type="list" allowBlank="1" errorTitle="Valor no válido" error="Seleccione un valor de la lista desplegable." promptTitle="Código de Bloque" prompt="Elija una opción de la lista." sqref="D9" xr:uid="{00000000-0002-0000-0100-000000000000}">
      <formula1>lst_CodigoBloque</formula1>
      <formula2>0</formula2>
    </dataValidation>
    <dataValidation type="list" allowBlank="1" errorTitle="Valor no válido" error="Seleccione un valor de la lista desplegable." promptTitle="Sellamiento / Costra superfici" prompt="Elija una opción de la lista." sqref="D14" xr:uid="{00000000-0002-0000-0100-000001000000}">
      <formula1>lst_SiNo</formula1>
      <formula2>0</formula2>
    </dataValidation>
    <dataValidation type="list" allowBlank="1" errorTitle="Valor no válido" error="Seleccione un valor de la lista desplegable." promptTitle="¿Compactación por pisoteo de g" prompt="Elija una opción de la lista." sqref="D15" xr:uid="{00000000-0002-0000-0100-000002000000}">
      <formula1>lst_SiNo</formula1>
      <formula2>0</formula2>
    </dataValidation>
    <dataValidation type="list" allowBlank="1" errorTitle="Valor no válido" error="Seleccione un valor de la lista desplegable." promptTitle="¿Raíces expuestas en superfici" prompt="Elija una opción de la lista." sqref="D16" xr:uid="{00000000-0002-0000-0100-000003000000}">
      <formula1>lst_SiNo</formula1>
      <formula2>0</formula2>
    </dataValidation>
    <dataValidation type="list" allowBlank="1" errorTitle="Valor no válido" error="Seleccione un valor de la lista desplegable." promptTitle="Nivel general de erosión obser" prompt="Elija una opción de la lista." sqref="D17" xr:uid="{00000000-0002-0000-0100-000004000000}">
      <formula1>lst_NivelErosion</formula1>
      <formula2>0</formula2>
    </dataValidation>
    <dataValidation type="list" allowBlank="1" errorTitle="Valor no válido" error="Seleccione un valor de la lista desplegable." promptTitle="Tipo de cárcava" prompt="Elija una opción de la lista." sqref="B22:B31" xr:uid="{00000000-0002-0000-0100-000005000000}">
      <formula1>lst_TipoCarcava</formula1>
      <formula2>0</formula2>
    </dataValidation>
    <dataValidation type="list" allowBlank="1" errorTitle="Valor no válido" error="Seleccione un valor de la lista desplegable." promptTitle="Estado / Actividad" prompt="Elija una opción de la lista." sqref="J22:J31" xr:uid="{00000000-0002-0000-0100-000006000000}">
      <formula1>lst_EstadoCarcava</formula1>
      <formula2>0</formula2>
    </dataValidation>
    <dataValidation type="list" allowBlank="1" errorTitle="Valor no válido" error="Seleccione un valor de la lista desplegable." promptTitle="Causa principal" prompt="Elija una opción de la lista." sqref="K22:K31" xr:uid="{00000000-0002-0000-0100-000007000000}">
      <formula1>lst_CausaCarcava</formula1>
      <formula2>0</formula2>
    </dataValidation>
    <dataValidation type="list" allowBlank="1" errorTitle="Valor no válido" error="Seleccione un valor de la lista desplegable." promptTitle="Nivel general de erosión (sínt" prompt="Elija una opción de la lista." sqref="D34" xr:uid="{00000000-0002-0000-0100-000008000000}">
      <formula1>lst_NivelErosion</formula1>
      <formula2>0</formula2>
    </dataValidation>
    <dataValidation type="list" allowBlank="1" errorTitle="Valor no válido" error="Seleccione un valor de la lista desplegable." promptTitle="Patrón de cárcavas dominante" prompt="Elija una opción de la lista." sqref="D37" xr:uid="{00000000-0002-0000-0100-000009000000}">
      <formula1>lst_PatronCarcavas</formula1>
      <formula2>0</formula2>
    </dataValidation>
    <dataValidation type="list" allowBlank="1" errorTitle="Valor no válido" error="Seleccione un valor de la lista desplegable." promptTitle="Presencia de socavamiento de c" prompt="Elija una opción de la lista." sqref="D38" xr:uid="{00000000-0002-0000-0100-00000A000000}">
      <formula1>lst_SiNo</formula1>
      <formula2>0</formula2>
    </dataValidation>
    <dataValidation type="list" allowBlank="1" errorTitle="Valor no válido" error="Seleccione un valor de la lista desplegable." promptTitle="Urgencia de control" prompt="Elija una opción de la lista." sqref="D39" xr:uid="{00000000-0002-0000-0100-00000B000000}">
      <formula1>lst_Urgencia</formula1>
      <formula2>0</formula2>
    </dataValidation>
  </dataValidations>
  <printOptions horizontalCentered="1"/>
  <pageMargins left="0.4" right="0.4" top="0.5" bottom="0.5" header="0.511811023622047" footer="0.511811023622047"/>
  <pageSetup paperSize="9" fitToHeight="0" orientation="landscape"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I67"/>
  <sheetViews>
    <sheetView showGridLines="0" zoomScaleNormal="100" workbookViewId="0">
      <pane ySplit="6" topLeftCell="A62" activePane="bottomLeft" state="frozen"/>
      <selection pane="bottomLeft" activeCell="A65" sqref="A65:I67"/>
    </sheetView>
  </sheetViews>
  <sheetFormatPr baseColWidth="10" defaultColWidth="8.6640625" defaultRowHeight="14.4" x14ac:dyDescent="0.3"/>
  <cols>
    <col min="1" max="1" width="8" customWidth="1"/>
    <col min="2" max="2" width="26" customWidth="1"/>
    <col min="3" max="3" width="24" customWidth="1"/>
    <col min="4" max="4" width="18" customWidth="1"/>
    <col min="5" max="5" width="22" customWidth="1"/>
    <col min="6" max="6" width="14" customWidth="1"/>
    <col min="7" max="7" width="17" customWidth="1"/>
    <col min="8" max="8" width="13" customWidth="1"/>
    <col min="9" max="9" width="12" customWidth="1"/>
  </cols>
  <sheetData>
    <row r="1" spans="1:9" ht="21.75" customHeight="1" x14ac:dyDescent="0.3">
      <c r="A1" s="14" t="s">
        <v>0</v>
      </c>
      <c r="B1" s="14"/>
      <c r="C1" s="14"/>
      <c r="D1" s="14"/>
      <c r="E1" s="14"/>
      <c r="F1" s="14"/>
      <c r="G1" s="14"/>
      <c r="H1" s="14"/>
      <c r="I1" s="14"/>
    </row>
    <row r="2" spans="1:9" ht="18" customHeight="1" x14ac:dyDescent="0.3">
      <c r="A2" s="13" t="s">
        <v>1</v>
      </c>
      <c r="B2" s="13"/>
      <c r="C2" s="13"/>
      <c r="D2" s="13"/>
      <c r="E2" s="13"/>
      <c r="F2" s="13"/>
      <c r="G2" s="13"/>
      <c r="H2" s="13"/>
      <c r="I2" s="13"/>
    </row>
    <row r="3" spans="1:9" ht="30" customHeight="1" x14ac:dyDescent="0.3">
      <c r="A3" s="13" t="s">
        <v>2</v>
      </c>
      <c r="B3" s="13"/>
      <c r="C3" s="13"/>
      <c r="D3" s="13"/>
      <c r="E3" s="13"/>
      <c r="F3" s="13"/>
      <c r="G3" s="13"/>
      <c r="H3" s="13"/>
      <c r="I3" s="13"/>
    </row>
    <row r="4" spans="1:9" ht="27.75" customHeight="1" x14ac:dyDescent="0.3">
      <c r="A4" s="12" t="s">
        <v>92</v>
      </c>
      <c r="B4" s="12"/>
      <c r="C4" s="12"/>
      <c r="D4" s="12"/>
      <c r="E4" s="12"/>
      <c r="F4" s="12"/>
      <c r="G4" s="12"/>
      <c r="H4" s="12"/>
      <c r="I4" s="12"/>
    </row>
    <row r="5" spans="1:9" ht="27.75" customHeight="1" x14ac:dyDescent="0.3">
      <c r="A5" s="11" t="s">
        <v>93</v>
      </c>
      <c r="B5" s="11"/>
      <c r="C5" s="11"/>
      <c r="D5" s="11"/>
      <c r="E5" s="11"/>
      <c r="F5" s="11"/>
      <c r="G5" s="11"/>
      <c r="H5" s="11"/>
      <c r="I5" s="11"/>
    </row>
    <row r="6" spans="1:9" ht="24" customHeight="1" x14ac:dyDescent="0.3">
      <c r="A6" s="10" t="s">
        <v>5</v>
      </c>
      <c r="B6" s="10"/>
      <c r="C6" s="10"/>
      <c r="D6" s="10"/>
      <c r="E6" s="10"/>
      <c r="F6" s="10"/>
      <c r="G6" s="10"/>
      <c r="H6" s="10"/>
      <c r="I6" s="10"/>
    </row>
    <row r="7" spans="1:9" ht="21.75" customHeight="1" x14ac:dyDescent="0.3">
      <c r="A7" s="9" t="s">
        <v>53</v>
      </c>
      <c r="B7" s="9"/>
      <c r="C7" s="9"/>
      <c r="D7" s="9"/>
      <c r="E7" s="9"/>
      <c r="F7" s="9"/>
      <c r="G7" s="9"/>
      <c r="H7" s="9"/>
      <c r="I7" s="9"/>
    </row>
    <row r="8" spans="1:9" ht="19.5" customHeight="1" x14ac:dyDescent="0.3">
      <c r="A8" s="8" t="s">
        <v>94</v>
      </c>
      <c r="B8" s="8"/>
      <c r="C8" s="7" t="s">
        <v>8</v>
      </c>
      <c r="D8" s="7"/>
      <c r="E8" s="8" t="s">
        <v>54</v>
      </c>
      <c r="F8" s="8"/>
      <c r="G8" s="7" t="s">
        <v>12</v>
      </c>
      <c r="H8" s="7"/>
      <c r="I8" s="7"/>
    </row>
    <row r="9" spans="1:9" ht="19.5" customHeight="1" x14ac:dyDescent="0.3">
      <c r="A9" s="8" t="s">
        <v>15</v>
      </c>
      <c r="B9" s="8"/>
      <c r="C9" s="7" t="s">
        <v>16</v>
      </c>
      <c r="D9" s="7"/>
      <c r="E9" s="8" t="s">
        <v>95</v>
      </c>
      <c r="F9" s="8"/>
      <c r="G9" s="6" t="str">
        <f>IFERROR(VLOOKUP($C$9,tbl_Bloques,2,FALSE()),"")</f>
        <v>C1076-Q9581</v>
      </c>
      <c r="H9" s="6"/>
      <c r="I9" s="6"/>
    </row>
    <row r="10" spans="1:9" ht="19.5" customHeight="1" x14ac:dyDescent="0.3">
      <c r="A10" s="8" t="s">
        <v>19</v>
      </c>
      <c r="B10" s="8"/>
      <c r="C10" s="6" t="str">
        <f>IFERROR(VLOOKUP($C$9,tbl_Bloques,4,FALSE()),"")</f>
        <v>Salitral</v>
      </c>
      <c r="D10" s="6"/>
      <c r="E10" s="8" t="s">
        <v>96</v>
      </c>
      <c r="F10" s="8"/>
      <c r="G10" s="7"/>
      <c r="H10" s="7"/>
      <c r="I10" s="7"/>
    </row>
    <row r="11" spans="1:9" ht="19.5" customHeight="1" x14ac:dyDescent="0.3">
      <c r="A11" s="8" t="s">
        <v>97</v>
      </c>
      <c r="B11" s="8"/>
      <c r="C11" s="7"/>
      <c r="D11" s="7"/>
      <c r="E11" s="8" t="s">
        <v>56</v>
      </c>
      <c r="F11" s="8"/>
      <c r="G11" s="7">
        <v>200</v>
      </c>
      <c r="H11" s="7"/>
      <c r="I11" s="7"/>
    </row>
    <row r="12" spans="1:9" ht="19.5" customHeight="1" x14ac:dyDescent="0.3">
      <c r="A12" s="8" t="s">
        <v>98</v>
      </c>
      <c r="B12" s="8"/>
      <c r="C12" s="7">
        <v>14.01</v>
      </c>
      <c r="D12" s="7"/>
      <c r="E12" s="8" t="s">
        <v>99</v>
      </c>
      <c r="F12" s="8"/>
      <c r="G12" s="7">
        <v>80</v>
      </c>
      <c r="H12" s="7"/>
      <c r="I12" s="7"/>
    </row>
    <row r="13" spans="1:9" ht="19.5" customHeight="1" x14ac:dyDescent="0.3">
      <c r="A13" s="8" t="s">
        <v>100</v>
      </c>
      <c r="B13" s="8"/>
      <c r="C13" s="7"/>
      <c r="D13" s="7"/>
      <c r="E13" s="8" t="s">
        <v>101</v>
      </c>
      <c r="F13" s="8"/>
      <c r="G13" s="7"/>
      <c r="H13" s="7"/>
      <c r="I13" s="7"/>
    </row>
    <row r="15" spans="1:9" ht="21.75" customHeight="1" x14ac:dyDescent="0.3">
      <c r="A15" s="9" t="s">
        <v>102</v>
      </c>
      <c r="B15" s="9"/>
      <c r="C15" s="9"/>
      <c r="D15" s="9"/>
      <c r="E15" s="9"/>
      <c r="F15" s="9"/>
      <c r="G15" s="9"/>
      <c r="H15" s="9"/>
      <c r="I15" s="9"/>
    </row>
    <row r="16" spans="1:9" ht="19.5" customHeight="1" x14ac:dyDescent="0.3">
      <c r="A16" s="8" t="s">
        <v>103</v>
      </c>
      <c r="B16" s="8"/>
      <c r="C16" s="7" t="s">
        <v>104</v>
      </c>
      <c r="D16" s="7"/>
      <c r="E16" s="7"/>
      <c r="F16" s="7"/>
      <c r="G16" s="7"/>
      <c r="H16" s="7"/>
      <c r="I16" s="7"/>
    </row>
    <row r="17" spans="1:9" ht="19.5" customHeight="1" x14ac:dyDescent="0.3">
      <c r="A17" s="8" t="s">
        <v>105</v>
      </c>
      <c r="B17" s="8"/>
      <c r="C17" s="7">
        <v>115.38</v>
      </c>
      <c r="D17" s="7"/>
      <c r="E17" s="7"/>
      <c r="F17" s="7"/>
      <c r="G17" s="7"/>
      <c r="H17" s="7"/>
      <c r="I17" s="7"/>
    </row>
    <row r="18" spans="1:9" ht="19.5" customHeight="1" x14ac:dyDescent="0.3">
      <c r="A18" s="8" t="s">
        <v>106</v>
      </c>
      <c r="B18" s="8"/>
      <c r="C18" s="7" t="s">
        <v>107</v>
      </c>
      <c r="D18" s="7"/>
      <c r="E18" s="7"/>
      <c r="F18" s="7"/>
      <c r="G18" s="7"/>
      <c r="H18" s="7"/>
      <c r="I18" s="7"/>
    </row>
    <row r="19" spans="1:9" ht="19.5" customHeight="1" x14ac:dyDescent="0.3">
      <c r="A19" s="8" t="s">
        <v>108</v>
      </c>
      <c r="B19" s="8"/>
      <c r="C19" s="7" t="s">
        <v>109</v>
      </c>
      <c r="D19" s="7"/>
      <c r="E19" s="7"/>
      <c r="F19" s="7"/>
      <c r="G19" s="7"/>
      <c r="H19" s="7"/>
      <c r="I19" s="7"/>
    </row>
    <row r="21" spans="1:9" ht="21.75" customHeight="1" x14ac:dyDescent="0.3">
      <c r="A21" s="9" t="s">
        <v>110</v>
      </c>
      <c r="B21" s="9"/>
      <c r="C21" s="9"/>
      <c r="D21" s="9"/>
      <c r="E21" s="9"/>
      <c r="F21" s="9"/>
      <c r="G21" s="9"/>
      <c r="H21" s="9"/>
      <c r="I21" s="9"/>
    </row>
    <row r="22" spans="1:9" ht="19.5" customHeight="1" x14ac:dyDescent="0.3">
      <c r="A22" s="8" t="s">
        <v>111</v>
      </c>
      <c r="B22" s="8"/>
      <c r="C22" s="7">
        <v>70</v>
      </c>
      <c r="D22" s="7"/>
      <c r="E22" s="8" t="s">
        <v>112</v>
      </c>
      <c r="F22" s="8"/>
      <c r="G22" s="7"/>
      <c r="H22" s="7"/>
      <c r="I22" s="7"/>
    </row>
    <row r="23" spans="1:9" ht="19.5" customHeight="1" x14ac:dyDescent="0.3">
      <c r="A23" s="8" t="s">
        <v>113</v>
      </c>
      <c r="B23" s="8"/>
      <c r="C23" s="7">
        <v>20</v>
      </c>
      <c r="D23" s="7"/>
      <c r="E23" s="8" t="s">
        <v>114</v>
      </c>
      <c r="F23" s="8"/>
      <c r="G23" s="7"/>
      <c r="H23" s="7"/>
      <c r="I23" s="7"/>
    </row>
    <row r="24" spans="1:9" ht="19.5" customHeight="1" x14ac:dyDescent="0.3">
      <c r="A24" s="8" t="s">
        <v>115</v>
      </c>
      <c r="B24" s="8"/>
      <c r="C24" s="7">
        <v>15</v>
      </c>
      <c r="D24" s="7"/>
      <c r="E24" s="8" t="s">
        <v>116</v>
      </c>
      <c r="F24" s="8"/>
      <c r="G24" s="7"/>
      <c r="H24" s="7"/>
      <c r="I24" s="7"/>
    </row>
    <row r="25" spans="1:9" ht="19.5" customHeight="1" x14ac:dyDescent="0.3">
      <c r="A25" s="8" t="s">
        <v>117</v>
      </c>
      <c r="B25" s="8"/>
      <c r="C25" s="7">
        <v>8</v>
      </c>
      <c r="D25" s="7"/>
      <c r="E25" s="8" t="s">
        <v>118</v>
      </c>
      <c r="F25" s="8"/>
      <c r="G25" s="7"/>
      <c r="H25" s="7"/>
      <c r="I25" s="7"/>
    </row>
    <row r="26" spans="1:9" ht="19.5" customHeight="1" x14ac:dyDescent="0.3">
      <c r="A26" s="8" t="s">
        <v>119</v>
      </c>
      <c r="B26" s="8"/>
      <c r="C26" s="7" t="s">
        <v>120</v>
      </c>
      <c r="D26" s="7"/>
      <c r="E26" s="7"/>
      <c r="F26" s="7"/>
      <c r="G26" s="7"/>
      <c r="H26" s="7"/>
      <c r="I26" s="7"/>
    </row>
    <row r="27" spans="1:9" ht="19.5" customHeight="1" x14ac:dyDescent="0.3">
      <c r="A27" s="8" t="s">
        <v>121</v>
      </c>
      <c r="B27" s="8"/>
      <c r="C27" s="7" t="s">
        <v>122</v>
      </c>
      <c r="D27" s="7"/>
      <c r="E27" s="7"/>
      <c r="F27" s="7"/>
      <c r="G27" s="7"/>
      <c r="H27" s="7"/>
      <c r="I27" s="7"/>
    </row>
    <row r="28" spans="1:9" ht="19.5" customHeight="1" x14ac:dyDescent="0.3">
      <c r="A28" s="8" t="s">
        <v>123</v>
      </c>
      <c r="B28" s="8"/>
      <c r="C28" s="7" t="s">
        <v>44</v>
      </c>
      <c r="D28" s="7"/>
      <c r="E28" s="7"/>
      <c r="F28" s="7"/>
      <c r="G28" s="7"/>
      <c r="H28" s="7"/>
      <c r="I28" s="7"/>
    </row>
    <row r="29" spans="1:9" ht="19.5" customHeight="1" x14ac:dyDescent="0.3">
      <c r="A29" s="8" t="s">
        <v>124</v>
      </c>
      <c r="B29" s="8"/>
      <c r="C29" s="7" t="s">
        <v>125</v>
      </c>
      <c r="D29" s="7"/>
      <c r="E29" s="7"/>
      <c r="F29" s="7"/>
      <c r="G29" s="7"/>
      <c r="H29" s="7"/>
      <c r="I29" s="7"/>
    </row>
    <row r="30" spans="1:9" ht="19.5" customHeight="1" x14ac:dyDescent="0.3">
      <c r="A30" s="8" t="s">
        <v>126</v>
      </c>
      <c r="B30" s="8"/>
      <c r="C30" s="7" t="s">
        <v>127</v>
      </c>
      <c r="D30" s="7"/>
      <c r="E30" s="7"/>
      <c r="F30" s="7"/>
      <c r="G30" s="7"/>
      <c r="H30" s="7"/>
      <c r="I30" s="7"/>
    </row>
    <row r="32" spans="1:9" ht="21.75" customHeight="1" x14ac:dyDescent="0.3">
      <c r="A32" s="9" t="s">
        <v>128</v>
      </c>
      <c r="B32" s="9"/>
      <c r="C32" s="9"/>
      <c r="D32" s="9"/>
      <c r="E32" s="9"/>
      <c r="F32" s="9"/>
      <c r="G32" s="9"/>
      <c r="H32" s="9"/>
      <c r="I32" s="9"/>
    </row>
    <row r="33" spans="1:9" ht="43.5" customHeight="1" x14ac:dyDescent="0.3">
      <c r="A33" s="4" t="s">
        <v>129</v>
      </c>
      <c r="B33" s="4"/>
      <c r="C33" s="4"/>
      <c r="D33" s="4"/>
      <c r="E33" s="4"/>
      <c r="F33" s="4"/>
      <c r="G33" s="4"/>
      <c r="H33" s="4"/>
      <c r="I33" s="4"/>
    </row>
    <row r="34" spans="1:9" ht="31.5" customHeight="1" x14ac:dyDescent="0.3">
      <c r="A34" s="16" t="s">
        <v>130</v>
      </c>
      <c r="B34" s="16" t="s">
        <v>131</v>
      </c>
      <c r="C34" s="16" t="s">
        <v>132</v>
      </c>
      <c r="D34" s="16" t="s">
        <v>133</v>
      </c>
      <c r="E34" s="16" t="s">
        <v>134</v>
      </c>
      <c r="F34" s="16" t="s">
        <v>135</v>
      </c>
      <c r="G34" s="16" t="s">
        <v>136</v>
      </c>
      <c r="H34" s="16" t="s">
        <v>137</v>
      </c>
      <c r="I34" s="16" t="s">
        <v>138</v>
      </c>
    </row>
    <row r="35" spans="1:9" ht="18" customHeight="1" x14ac:dyDescent="0.3">
      <c r="A35" s="19">
        <v>1</v>
      </c>
      <c r="B35" s="18" t="s">
        <v>139</v>
      </c>
      <c r="C35" s="18" t="s">
        <v>140</v>
      </c>
      <c r="D35" s="18" t="s">
        <v>141</v>
      </c>
      <c r="E35" s="17" t="s">
        <v>142</v>
      </c>
      <c r="F35" s="17" t="s">
        <v>143</v>
      </c>
      <c r="G35" s="17" t="s">
        <v>144</v>
      </c>
      <c r="H35" s="17">
        <v>30</v>
      </c>
      <c r="I35" s="17">
        <v>8</v>
      </c>
    </row>
    <row r="36" spans="1:9" ht="18" customHeight="1" x14ac:dyDescent="0.3">
      <c r="A36" s="19">
        <v>2</v>
      </c>
      <c r="B36" s="18" t="s">
        <v>145</v>
      </c>
      <c r="C36" s="18" t="s">
        <v>146</v>
      </c>
      <c r="D36" s="18" t="s">
        <v>147</v>
      </c>
      <c r="E36" s="17" t="s">
        <v>148</v>
      </c>
      <c r="F36" s="17" t="s">
        <v>143</v>
      </c>
      <c r="G36" s="17" t="s">
        <v>144</v>
      </c>
      <c r="H36" s="17">
        <v>20</v>
      </c>
      <c r="I36" s="17">
        <v>5</v>
      </c>
    </row>
    <row r="37" spans="1:9" ht="18" customHeight="1" x14ac:dyDescent="0.3">
      <c r="A37" s="19">
        <v>3</v>
      </c>
      <c r="B37" s="18" t="s">
        <v>149</v>
      </c>
      <c r="C37" s="18" t="s">
        <v>150</v>
      </c>
      <c r="D37" s="18" t="s">
        <v>151</v>
      </c>
      <c r="E37" s="17" t="s">
        <v>148</v>
      </c>
      <c r="F37" s="17" t="s">
        <v>143</v>
      </c>
      <c r="G37" s="17" t="s">
        <v>152</v>
      </c>
      <c r="H37" s="17">
        <v>25</v>
      </c>
      <c r="I37" s="17">
        <v>6</v>
      </c>
    </row>
    <row r="38" spans="1:9" ht="18" customHeight="1" x14ac:dyDescent="0.3">
      <c r="A38" s="19">
        <v>4</v>
      </c>
      <c r="B38" s="18" t="s">
        <v>153</v>
      </c>
      <c r="C38" s="18" t="s">
        <v>154</v>
      </c>
      <c r="D38" s="18" t="s">
        <v>155</v>
      </c>
      <c r="E38" s="17" t="s">
        <v>142</v>
      </c>
      <c r="F38" s="17" t="s">
        <v>143</v>
      </c>
      <c r="G38" s="17" t="s">
        <v>156</v>
      </c>
      <c r="H38" s="17">
        <v>35</v>
      </c>
      <c r="I38" s="17">
        <v>10</v>
      </c>
    </row>
    <row r="39" spans="1:9" ht="18" customHeight="1" x14ac:dyDescent="0.3">
      <c r="A39" s="19">
        <v>5</v>
      </c>
      <c r="B39" s="18" t="s">
        <v>157</v>
      </c>
      <c r="C39" s="18" t="s">
        <v>158</v>
      </c>
      <c r="D39" s="18" t="s">
        <v>159</v>
      </c>
      <c r="E39" s="17" t="s">
        <v>160</v>
      </c>
      <c r="F39" s="17" t="s">
        <v>143</v>
      </c>
      <c r="G39" s="17"/>
      <c r="H39" s="17"/>
      <c r="I39" s="17"/>
    </row>
    <row r="40" spans="1:9" ht="18" customHeight="1" x14ac:dyDescent="0.3">
      <c r="A40" s="19">
        <v>6</v>
      </c>
      <c r="B40" s="18" t="s">
        <v>161</v>
      </c>
      <c r="C40" s="18" t="s">
        <v>162</v>
      </c>
      <c r="D40" s="18" t="s">
        <v>163</v>
      </c>
      <c r="E40" s="17" t="s">
        <v>160</v>
      </c>
      <c r="F40" s="17" t="s">
        <v>143</v>
      </c>
      <c r="G40" s="17"/>
      <c r="H40" s="17"/>
      <c r="I40" s="17"/>
    </row>
    <row r="41" spans="1:9" ht="18" customHeight="1" x14ac:dyDescent="0.3">
      <c r="A41" s="19">
        <v>7</v>
      </c>
      <c r="B41" s="18" t="s">
        <v>164</v>
      </c>
      <c r="C41" s="18" t="s">
        <v>165</v>
      </c>
      <c r="D41" s="18" t="s">
        <v>166</v>
      </c>
      <c r="E41" s="17" t="s">
        <v>160</v>
      </c>
      <c r="F41" s="17" t="s">
        <v>143</v>
      </c>
      <c r="G41" s="17"/>
      <c r="H41" s="17"/>
      <c r="I41" s="17"/>
    </row>
    <row r="42" spans="1:9" ht="18" customHeight="1" x14ac:dyDescent="0.3">
      <c r="A42" s="19">
        <v>8</v>
      </c>
      <c r="B42" s="18"/>
      <c r="C42" s="18"/>
      <c r="D42" s="18"/>
      <c r="E42" s="17"/>
      <c r="F42" s="17"/>
      <c r="G42" s="17"/>
      <c r="H42" s="17"/>
      <c r="I42" s="17"/>
    </row>
    <row r="43" spans="1:9" ht="18" customHeight="1" x14ac:dyDescent="0.3">
      <c r="A43" s="19">
        <v>9</v>
      </c>
      <c r="B43" s="18"/>
      <c r="C43" s="18"/>
      <c r="D43" s="18"/>
      <c r="E43" s="17"/>
      <c r="F43" s="17"/>
      <c r="G43" s="17"/>
      <c r="H43" s="17"/>
      <c r="I43" s="17"/>
    </row>
    <row r="44" spans="1:9" ht="18" customHeight="1" x14ac:dyDescent="0.3">
      <c r="A44" s="19">
        <v>10</v>
      </c>
      <c r="B44" s="18"/>
      <c r="C44" s="18"/>
      <c r="D44" s="18"/>
      <c r="E44" s="17"/>
      <c r="F44" s="17"/>
      <c r="G44" s="17"/>
      <c r="H44" s="17"/>
      <c r="I44" s="17"/>
    </row>
    <row r="45" spans="1:9" ht="18" customHeight="1" x14ac:dyDescent="0.3">
      <c r="A45" s="19">
        <v>11</v>
      </c>
      <c r="B45" s="18"/>
      <c r="C45" s="18"/>
      <c r="D45" s="18"/>
      <c r="E45" s="17"/>
      <c r="F45" s="17"/>
      <c r="G45" s="17"/>
      <c r="H45" s="17"/>
      <c r="I45" s="17"/>
    </row>
    <row r="46" spans="1:9" ht="18" customHeight="1" x14ac:dyDescent="0.3">
      <c r="A46" s="19">
        <v>12</v>
      </c>
      <c r="B46" s="18"/>
      <c r="C46" s="18"/>
      <c r="D46" s="18"/>
      <c r="E46" s="17"/>
      <c r="F46" s="17"/>
      <c r="G46" s="17"/>
      <c r="H46" s="17"/>
      <c r="I46" s="17"/>
    </row>
    <row r="47" spans="1:9" ht="18" customHeight="1" x14ac:dyDescent="0.3">
      <c r="A47" s="19">
        <v>13</v>
      </c>
      <c r="B47" s="18"/>
      <c r="C47" s="18"/>
      <c r="D47" s="18"/>
      <c r="E47" s="17"/>
      <c r="F47" s="17"/>
      <c r="G47" s="17"/>
      <c r="H47" s="17"/>
      <c r="I47" s="17"/>
    </row>
    <row r="48" spans="1:9" ht="18" customHeight="1" x14ac:dyDescent="0.3">
      <c r="A48" s="19">
        <v>14</v>
      </c>
      <c r="B48" s="18"/>
      <c r="C48" s="18"/>
      <c r="D48" s="18"/>
      <c r="E48" s="17"/>
      <c r="F48" s="17"/>
      <c r="G48" s="17"/>
      <c r="H48" s="17"/>
      <c r="I48" s="17"/>
    </row>
    <row r="49" spans="1:9" ht="18" customHeight="1" x14ac:dyDescent="0.3">
      <c r="A49" s="19">
        <v>15</v>
      </c>
      <c r="B49" s="18"/>
      <c r="C49" s="18"/>
      <c r="D49" s="18"/>
      <c r="E49" s="17"/>
      <c r="F49" s="17"/>
      <c r="G49" s="17"/>
      <c r="H49" s="17"/>
      <c r="I49" s="17"/>
    </row>
    <row r="51" spans="1:9" ht="21.75" customHeight="1" x14ac:dyDescent="0.3">
      <c r="A51" s="9" t="s">
        <v>167</v>
      </c>
      <c r="B51" s="9"/>
      <c r="C51" s="9"/>
      <c r="D51" s="9"/>
      <c r="E51" s="9"/>
      <c r="F51" s="9"/>
      <c r="G51" s="9"/>
      <c r="H51" s="9"/>
      <c r="I51" s="9"/>
    </row>
    <row r="52" spans="1:9" ht="30" customHeight="1" x14ac:dyDescent="0.3">
      <c r="A52" s="16" t="s">
        <v>130</v>
      </c>
      <c r="B52" s="16" t="s">
        <v>168</v>
      </c>
      <c r="C52" s="16" t="s">
        <v>169</v>
      </c>
      <c r="D52" s="16" t="s">
        <v>170</v>
      </c>
      <c r="E52" s="16" t="s">
        <v>171</v>
      </c>
      <c r="F52" s="16" t="s">
        <v>172</v>
      </c>
      <c r="G52" s="16" t="s">
        <v>173</v>
      </c>
      <c r="H52" s="16" t="s">
        <v>174</v>
      </c>
      <c r="I52" s="16" t="s">
        <v>175</v>
      </c>
    </row>
    <row r="53" spans="1:9" ht="18" customHeight="1" x14ac:dyDescent="0.3">
      <c r="A53" s="19">
        <v>1</v>
      </c>
      <c r="B53" s="18" t="s">
        <v>176</v>
      </c>
      <c r="C53" s="18" t="s">
        <v>177</v>
      </c>
      <c r="D53" s="18" t="s">
        <v>178</v>
      </c>
      <c r="E53" s="17"/>
      <c r="F53" s="17"/>
      <c r="G53" s="17"/>
      <c r="H53" s="17"/>
      <c r="I53" s="18" t="s">
        <v>179</v>
      </c>
    </row>
    <row r="54" spans="1:9" ht="18" customHeight="1" x14ac:dyDescent="0.3">
      <c r="A54" s="19">
        <v>2</v>
      </c>
      <c r="B54" s="18" t="s">
        <v>180</v>
      </c>
      <c r="C54" s="18" t="s">
        <v>177</v>
      </c>
      <c r="D54" s="18" t="s">
        <v>181</v>
      </c>
      <c r="E54" s="17"/>
      <c r="F54" s="17"/>
      <c r="G54" s="17"/>
      <c r="H54" s="17"/>
      <c r="I54" s="18" t="s">
        <v>182</v>
      </c>
    </row>
    <row r="55" spans="1:9" ht="18" customHeight="1" x14ac:dyDescent="0.3">
      <c r="A55" s="19">
        <v>3</v>
      </c>
      <c r="B55" s="18" t="s">
        <v>183</v>
      </c>
      <c r="C55" s="18" t="s">
        <v>184</v>
      </c>
      <c r="D55" s="18" t="s">
        <v>185</v>
      </c>
      <c r="E55" s="17"/>
      <c r="F55" s="17"/>
      <c r="G55" s="17"/>
      <c r="H55" s="17"/>
      <c r="I55" s="18" t="s">
        <v>186</v>
      </c>
    </row>
    <row r="56" spans="1:9" ht="18" customHeight="1" x14ac:dyDescent="0.3">
      <c r="A56" s="19">
        <v>4</v>
      </c>
      <c r="B56" s="18"/>
      <c r="C56" s="18"/>
      <c r="D56" s="18"/>
      <c r="E56" s="17"/>
      <c r="F56" s="17"/>
      <c r="G56" s="17"/>
      <c r="H56" s="17"/>
      <c r="I56" s="18"/>
    </row>
    <row r="57" spans="1:9" ht="18" customHeight="1" x14ac:dyDescent="0.3">
      <c r="A57" s="19">
        <v>5</v>
      </c>
      <c r="B57" s="18"/>
      <c r="C57" s="18"/>
      <c r="D57" s="18"/>
      <c r="E57" s="17"/>
      <c r="F57" s="17"/>
      <c r="G57" s="17"/>
      <c r="H57" s="17"/>
      <c r="I57" s="18"/>
    </row>
    <row r="58" spans="1:9" ht="18" customHeight="1" x14ac:dyDescent="0.3">
      <c r="A58" s="19">
        <v>6</v>
      </c>
      <c r="B58" s="18"/>
      <c r="C58" s="18"/>
      <c r="D58" s="18"/>
      <c r="E58" s="17"/>
      <c r="F58" s="17"/>
      <c r="G58" s="17"/>
      <c r="H58" s="17"/>
      <c r="I58" s="18"/>
    </row>
    <row r="59" spans="1:9" ht="18" customHeight="1" x14ac:dyDescent="0.3">
      <c r="A59" s="19">
        <v>7</v>
      </c>
      <c r="B59" s="18"/>
      <c r="C59" s="18"/>
      <c r="D59" s="18"/>
      <c r="E59" s="17"/>
      <c r="F59" s="17"/>
      <c r="G59" s="17"/>
      <c r="H59" s="17"/>
      <c r="I59" s="18"/>
    </row>
    <row r="60" spans="1:9" ht="18" customHeight="1" x14ac:dyDescent="0.3">
      <c r="A60" s="19">
        <v>8</v>
      </c>
      <c r="B60" s="18"/>
      <c r="C60" s="18"/>
      <c r="D60" s="18"/>
      <c r="E60" s="17"/>
      <c r="F60" s="17"/>
      <c r="G60" s="17"/>
      <c r="H60" s="17"/>
      <c r="I60" s="18"/>
    </row>
    <row r="61" spans="1:9" ht="18" customHeight="1" x14ac:dyDescent="0.3">
      <c r="A61" s="19">
        <v>9</v>
      </c>
      <c r="B61" s="18"/>
      <c r="C61" s="18"/>
      <c r="D61" s="18"/>
      <c r="E61" s="17"/>
      <c r="F61" s="17"/>
      <c r="G61" s="17"/>
      <c r="H61" s="17"/>
      <c r="I61" s="18"/>
    </row>
    <row r="62" spans="1:9" ht="18" customHeight="1" x14ac:dyDescent="0.3">
      <c r="A62" s="19">
        <v>10</v>
      </c>
      <c r="B62" s="18"/>
      <c r="C62" s="18"/>
      <c r="D62" s="18"/>
      <c r="E62" s="17"/>
      <c r="F62" s="17"/>
      <c r="G62" s="17"/>
      <c r="H62" s="17"/>
      <c r="I62" s="18"/>
    </row>
    <row r="64" spans="1:9" ht="21.75" customHeight="1" x14ac:dyDescent="0.3">
      <c r="A64" s="9" t="s">
        <v>49</v>
      </c>
      <c r="B64" s="9"/>
      <c r="C64" s="9"/>
      <c r="D64" s="9"/>
      <c r="E64" s="9"/>
      <c r="F64" s="9"/>
      <c r="G64" s="9"/>
      <c r="H64" s="9"/>
      <c r="I64" s="9"/>
    </row>
    <row r="65" spans="1:9" ht="27.75" customHeight="1" x14ac:dyDescent="0.3">
      <c r="A65" s="2" t="s">
        <v>187</v>
      </c>
      <c r="B65" s="2"/>
      <c r="C65" s="2"/>
      <c r="D65" s="2"/>
      <c r="E65" s="2"/>
      <c r="F65" s="2"/>
      <c r="G65" s="2"/>
      <c r="H65" s="2"/>
      <c r="I65" s="2"/>
    </row>
    <row r="66" spans="1:9" ht="27.75" customHeight="1" x14ac:dyDescent="0.3">
      <c r="A66" s="2"/>
      <c r="B66" s="2"/>
      <c r="C66" s="2"/>
      <c r="D66" s="2"/>
      <c r="E66" s="2"/>
      <c r="F66" s="2"/>
      <c r="G66" s="2"/>
      <c r="H66" s="2"/>
      <c r="I66" s="2"/>
    </row>
    <row r="67" spans="1:9" ht="27.75" customHeight="1" x14ac:dyDescent="0.3">
      <c r="A67" s="2"/>
      <c r="B67" s="2"/>
      <c r="C67" s="2"/>
      <c r="D67" s="2"/>
      <c r="E67" s="2"/>
      <c r="F67" s="2"/>
      <c r="G67" s="2"/>
      <c r="H67" s="2"/>
      <c r="I67" s="2"/>
    </row>
  </sheetData>
  <mergeCells count="72">
    <mergeCell ref="A64:I64"/>
    <mergeCell ref="A65:I67"/>
    <mergeCell ref="A30:B30"/>
    <mergeCell ref="C30:I30"/>
    <mergeCell ref="A32:I32"/>
    <mergeCell ref="A33:I33"/>
    <mergeCell ref="A51:I51"/>
    <mergeCell ref="A27:B27"/>
    <mergeCell ref="C27:I27"/>
    <mergeCell ref="A28:B28"/>
    <mergeCell ref="C28:I28"/>
    <mergeCell ref="A29:B29"/>
    <mergeCell ref="C29:I29"/>
    <mergeCell ref="A25:B25"/>
    <mergeCell ref="C25:D25"/>
    <mergeCell ref="E25:F25"/>
    <mergeCell ref="G25:I25"/>
    <mergeCell ref="A26:B26"/>
    <mergeCell ref="C26:I26"/>
    <mergeCell ref="A23:B23"/>
    <mergeCell ref="C23:D23"/>
    <mergeCell ref="E23:F23"/>
    <mergeCell ref="G23:I23"/>
    <mergeCell ref="A24:B24"/>
    <mergeCell ref="C24:D24"/>
    <mergeCell ref="E24:F24"/>
    <mergeCell ref="G24:I24"/>
    <mergeCell ref="A19:B19"/>
    <mergeCell ref="C19:I19"/>
    <mergeCell ref="A21:I21"/>
    <mergeCell ref="A22:B22"/>
    <mergeCell ref="C22:D22"/>
    <mergeCell ref="E22:F22"/>
    <mergeCell ref="G22:I22"/>
    <mergeCell ref="A16:B16"/>
    <mergeCell ref="C16:I16"/>
    <mergeCell ref="A17:B17"/>
    <mergeCell ref="C17:I17"/>
    <mergeCell ref="A18:B18"/>
    <mergeCell ref="C18:I18"/>
    <mergeCell ref="A13:B13"/>
    <mergeCell ref="C13:D13"/>
    <mergeCell ref="E13:F13"/>
    <mergeCell ref="G13:I13"/>
    <mergeCell ref="A15:I15"/>
    <mergeCell ref="A11:B11"/>
    <mergeCell ref="C11:D11"/>
    <mergeCell ref="E11:F11"/>
    <mergeCell ref="G11:I11"/>
    <mergeCell ref="A12:B12"/>
    <mergeCell ref="C12:D12"/>
    <mergeCell ref="E12:F12"/>
    <mergeCell ref="G12:I12"/>
    <mergeCell ref="A9:B9"/>
    <mergeCell ref="C9:D9"/>
    <mergeCell ref="E9:F9"/>
    <mergeCell ref="G9:I9"/>
    <mergeCell ref="A10:B10"/>
    <mergeCell ref="C10:D10"/>
    <mergeCell ref="E10:F10"/>
    <mergeCell ref="G10:I10"/>
    <mergeCell ref="A6:I6"/>
    <mergeCell ref="A7:I7"/>
    <mergeCell ref="A8:B8"/>
    <mergeCell ref="C8:D8"/>
    <mergeCell ref="E8:F8"/>
    <mergeCell ref="G8:I8"/>
    <mergeCell ref="A1:I1"/>
    <mergeCell ref="A2:I2"/>
    <mergeCell ref="A3:I3"/>
    <mergeCell ref="A4:I4"/>
    <mergeCell ref="A5:I5"/>
  </mergeCells>
  <dataValidations count="14">
    <dataValidation type="list" allowBlank="1" errorTitle="Valor no válido" error="Seleccione un valor de la lista desplegable." promptTitle="Código de Bloque" prompt="Elija una opción de la lista." sqref="C9" xr:uid="{00000000-0002-0000-0200-000000000000}">
      <formula1>lst_CodigoBloque</formula1>
      <formula2>0</formula2>
    </dataValidation>
    <dataValidation type="list" allowBlank="1" errorTitle="Valor no válido" error="Seleccione un valor de la lista desplegable." promptTitle="Tipo de ecosistema MINAM (domi" prompt="Elija una opción de la lista." sqref="C16" xr:uid="{00000000-0002-0000-0200-000001000000}">
      <formula1>lst_TipoEcosistema</formula1>
      <formula2>0</formula2>
    </dataValidation>
    <dataValidation type="list" allowBlank="1" errorTitle="Valor no válido" error="Seleccione un valor de la lista desplegable." promptTitle="Estado de conservación general" prompt="Elija una opción de la lista." sqref="C18" xr:uid="{00000000-0002-0000-0200-000002000000}">
      <formula1>lst_EstadoConservacion</formula1>
      <formula2>0</formula2>
    </dataValidation>
    <dataValidation type="list" allowBlank="1" errorTitle="Valor no válido" error="Seleccione un valor de la lista desplegable." promptTitle="Uso actual dominante del suelo" prompt="Elija una opción de la lista." sqref="C19" xr:uid="{00000000-0002-0000-0200-000003000000}">
      <formula1>lst_UsoSueloDom</formula1>
      <formula2>0</formula2>
    </dataValidation>
    <dataValidation type="list" allowBlank="1" errorTitle="Valor no válido" error="Seleccione un valor de la lista desplegable." promptTitle="Regeneración natural observada" prompt="Elija una opción de la lista." sqref="C26" xr:uid="{00000000-0002-0000-0200-000004000000}">
      <formula1>lst_Regeneracion</formula1>
      <formula2>0</formula2>
    </dataValidation>
    <dataValidation type="list" allowBlank="1" errorTitle="Valor no válido" error="Seleccione un valor de la lista desplegable." promptTitle="Estado sanitario general del d" prompt="Elija una opción de la lista." sqref="C27" xr:uid="{00000000-0002-0000-0200-000005000000}">
      <formula1>lst_EstadoSanitario</formula1>
      <formula2>0</formula2>
    </dataValidation>
    <dataValidation type="list" allowBlank="1" errorTitle="Valor no válido" error="Seleccione un valor de la lista desplegable." promptTitle="Presencia de epífitas (cualita" prompt="Elija una opción de la lista." sqref="C28" xr:uid="{00000000-0002-0000-0200-000006000000}">
      <formula1>lst_SiNo</formula1>
      <formula2>0</formula2>
    </dataValidation>
    <dataValidation type="list" allowBlank="1" errorTitle="Valor no válido" error="Seleccione un valor de la lista desplegable." promptTitle="Fenología dominante (época de " prompt="Elija una opción de la lista." sqref="C29" xr:uid="{00000000-0002-0000-0200-000007000000}">
      <formula1>lst_Fenologia</formula1>
      <formula2>0</formula2>
    </dataValidation>
    <dataValidation type="list" allowBlank="1" errorTitle="Valor no válido" error="Seleccione un valor de la lista desplegable." promptTitle="Tipo de cobertura vegetal domi" prompt="Elija una opción de la lista." sqref="C30" xr:uid="{00000000-0002-0000-0200-000008000000}">
      <formula1>lst_TipoCobertura</formula1>
      <formula2>0</formula2>
    </dataValidation>
    <dataValidation type="list" allowBlank="1" errorTitle="Valor no válido" error="Seleccione un valor de la lista desplegable." promptTitle="Estrato" prompt="Elija una opción de la lista." sqref="E35:E49" xr:uid="{00000000-0002-0000-0200-000009000000}">
      <formula1>lst_Estrato</formula1>
      <formula2>0</formula2>
    </dataValidation>
    <dataValidation type="list" allowBlank="1" errorTitle="Valor no válido" error="Seleccione un valor de la lista desplegable." promptTitle="Origen" prompt="Elija una opción de la lista." sqref="F35:F49" xr:uid="{00000000-0002-0000-0200-00000A000000}">
      <formula1>lst_Origen</formula1>
      <formula2>0</formula2>
    </dataValidation>
    <dataValidation type="list" allowBlank="1" errorTitle="Valor no válido" error="Seleccione un valor de la lista desplegable." promptTitle="Abundancia" prompt="Elija una opción de la lista." sqref="G35:G49" xr:uid="{00000000-0002-0000-0200-00000B000000}">
      <formula1>lst_Abundancia</formula1>
      <formula2>0</formula2>
    </dataValidation>
    <dataValidation type="list" allowBlank="1" errorTitle="Valor no válido" error="Seleccione un valor de la lista desplegable." promptTitle="Categoría" prompt="Elija una opción de la lista." sqref="C53:C62" xr:uid="{00000000-0002-0000-0200-00000C000000}">
      <formula1>lst_CategoriaIndicadora</formula1>
      <formula2>0</formula2>
    </dataValidation>
    <dataValidation type="list" allowBlank="1" errorTitle="Valor no válido" error="Seleccione un valor de la lista desplegable." promptTitle="Estado UICN / D.S. 043" prompt="Elija una opción de la lista." sqref="D53:D62" xr:uid="{00000000-0002-0000-0200-00000D000000}">
      <formula1>lst_EstadoUICN</formula1>
      <formula2>0</formula2>
    </dataValidation>
  </dataValidations>
  <printOptions horizontalCentered="1"/>
  <pageMargins left="0.4" right="0.4" top="0.5" bottom="0.5" header="0.511811023622047" footer="0.511811023622047"/>
  <pageSetup paperSize="9" fitToHeight="0"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54"/>
  <sheetViews>
    <sheetView showGridLines="0" tabSelected="1" zoomScaleNormal="100" workbookViewId="0">
      <pane ySplit="6" topLeftCell="A17" activePane="bottomLeft" state="frozen"/>
      <selection pane="bottomLeft" activeCell="C15" sqref="C15:G30"/>
    </sheetView>
  </sheetViews>
  <sheetFormatPr baseColWidth="10" defaultColWidth="8.6640625" defaultRowHeight="14.4" x14ac:dyDescent="0.3"/>
  <cols>
    <col min="1" max="1" width="6" customWidth="1"/>
    <col min="2" max="2" width="32" customWidth="1"/>
    <col min="3" max="3" width="13" customWidth="1"/>
    <col min="4" max="4" width="14" customWidth="1"/>
    <col min="5" max="5" width="13" customWidth="1"/>
    <col min="6" max="6" width="14" customWidth="1"/>
    <col min="7" max="7" width="32" customWidth="1"/>
  </cols>
  <sheetData>
    <row r="1" spans="1:7" ht="21.75" customHeight="1" x14ac:dyDescent="0.3">
      <c r="A1" s="14" t="s">
        <v>0</v>
      </c>
      <c r="B1" s="14"/>
      <c r="C1" s="14"/>
      <c r="D1" s="14"/>
      <c r="E1" s="14"/>
      <c r="F1" s="14"/>
      <c r="G1" s="14"/>
    </row>
    <row r="2" spans="1:7" ht="18" customHeight="1" x14ac:dyDescent="0.3">
      <c r="A2" s="13" t="s">
        <v>1</v>
      </c>
      <c r="B2" s="13"/>
      <c r="C2" s="13"/>
      <c r="D2" s="13"/>
      <c r="E2" s="13"/>
      <c r="F2" s="13"/>
      <c r="G2" s="13"/>
    </row>
    <row r="3" spans="1:7" ht="30" customHeight="1" x14ac:dyDescent="0.3">
      <c r="A3" s="13" t="s">
        <v>2</v>
      </c>
      <c r="B3" s="13"/>
      <c r="C3" s="13"/>
      <c r="D3" s="13"/>
      <c r="E3" s="13"/>
      <c r="F3" s="13"/>
      <c r="G3" s="13"/>
    </row>
    <row r="4" spans="1:7" ht="27.75" customHeight="1" x14ac:dyDescent="0.3">
      <c r="A4" s="12" t="s">
        <v>188</v>
      </c>
      <c r="B4" s="12"/>
      <c r="C4" s="12"/>
      <c r="D4" s="12"/>
      <c r="E4" s="12"/>
      <c r="F4" s="12"/>
      <c r="G4" s="12"/>
    </row>
    <row r="5" spans="1:7" ht="27.75" customHeight="1" x14ac:dyDescent="0.3">
      <c r="A5" s="11" t="s">
        <v>189</v>
      </c>
      <c r="B5" s="11"/>
      <c r="C5" s="11"/>
      <c r="D5" s="11"/>
      <c r="E5" s="11"/>
      <c r="F5" s="11"/>
      <c r="G5" s="11"/>
    </row>
    <row r="6" spans="1:7" ht="24" customHeight="1" x14ac:dyDescent="0.3">
      <c r="A6" s="10" t="s">
        <v>5</v>
      </c>
      <c r="B6" s="10"/>
      <c r="C6" s="10"/>
      <c r="D6" s="10"/>
      <c r="E6" s="10"/>
      <c r="F6" s="10"/>
      <c r="G6" s="10"/>
    </row>
    <row r="7" spans="1:7" ht="21.75" customHeight="1" x14ac:dyDescent="0.3">
      <c r="A7" s="9" t="s">
        <v>53</v>
      </c>
      <c r="B7" s="9"/>
      <c r="C7" s="9"/>
      <c r="D7" s="9"/>
      <c r="E7" s="9"/>
      <c r="F7" s="9"/>
      <c r="G7" s="9"/>
    </row>
    <row r="8" spans="1:7" ht="19.5" customHeight="1" x14ac:dyDescent="0.3">
      <c r="A8" s="8" t="s">
        <v>94</v>
      </c>
      <c r="B8" s="8"/>
      <c r="C8" s="7" t="s">
        <v>8</v>
      </c>
      <c r="D8" s="7"/>
      <c r="E8" s="7"/>
      <c r="F8" s="7"/>
      <c r="G8" s="7"/>
    </row>
    <row r="9" spans="1:7" ht="19.5" customHeight="1" x14ac:dyDescent="0.3">
      <c r="A9" s="8" t="s">
        <v>54</v>
      </c>
      <c r="B9" s="8"/>
      <c r="C9" s="7" t="s">
        <v>12</v>
      </c>
      <c r="D9" s="7"/>
      <c r="E9" s="7"/>
      <c r="F9" s="7"/>
      <c r="G9" s="7"/>
    </row>
    <row r="10" spans="1:7" ht="19.5" customHeight="1" x14ac:dyDescent="0.3">
      <c r="A10" s="8" t="s">
        <v>15</v>
      </c>
      <c r="B10" s="8"/>
      <c r="C10" s="7" t="s">
        <v>16</v>
      </c>
      <c r="D10" s="7"/>
      <c r="E10" s="7"/>
      <c r="F10" s="7"/>
      <c r="G10" s="7"/>
    </row>
    <row r="11" spans="1:7" ht="19.5" customHeight="1" x14ac:dyDescent="0.3">
      <c r="A11" s="8" t="s">
        <v>95</v>
      </c>
      <c r="B11" s="8"/>
      <c r="C11" s="6" t="str">
        <f>IFERROR(VLOOKUP($C$10,tbl_Bloques,2,FALSE()),"")</f>
        <v>C1076-Q9581</v>
      </c>
      <c r="D11" s="6"/>
      <c r="E11" s="6"/>
      <c r="F11" s="6"/>
      <c r="G11" s="6"/>
    </row>
    <row r="12" spans="1:7" ht="21.75" customHeight="1" x14ac:dyDescent="0.3">
      <c r="A12" s="20" t="s">
        <v>190</v>
      </c>
      <c r="B12" s="21"/>
      <c r="C12" s="5"/>
      <c r="D12" s="5"/>
      <c r="E12" s="5"/>
      <c r="F12" s="5"/>
      <c r="G12" s="5"/>
    </row>
    <row r="13" spans="1:7" ht="27.75" customHeight="1" x14ac:dyDescent="0.3">
      <c r="A13" s="4" t="s">
        <v>191</v>
      </c>
      <c r="B13" s="4"/>
      <c r="C13" s="3"/>
      <c r="D13" s="3"/>
      <c r="E13" s="3"/>
      <c r="F13" s="3"/>
      <c r="G13" s="3"/>
    </row>
    <row r="14" spans="1:7" ht="31.5" customHeight="1" x14ac:dyDescent="0.3">
      <c r="A14" s="16" t="s">
        <v>130</v>
      </c>
      <c r="B14" s="16" t="s">
        <v>192</v>
      </c>
      <c r="C14" s="16" t="s">
        <v>193</v>
      </c>
      <c r="D14" s="16" t="s">
        <v>194</v>
      </c>
      <c r="E14" s="16" t="s">
        <v>195</v>
      </c>
      <c r="F14" s="16" t="s">
        <v>196</v>
      </c>
      <c r="G14" s="16" t="s">
        <v>197</v>
      </c>
    </row>
    <row r="15" spans="1:7" ht="18" customHeight="1" x14ac:dyDescent="0.3">
      <c r="A15" s="19">
        <v>1</v>
      </c>
      <c r="B15" s="22" t="s">
        <v>198</v>
      </c>
      <c r="C15" s="17" t="s">
        <v>62</v>
      </c>
      <c r="D15" s="17" t="s">
        <v>199</v>
      </c>
      <c r="E15" s="17">
        <v>25</v>
      </c>
      <c r="F15" s="17">
        <v>20</v>
      </c>
      <c r="G15" s="18" t="s">
        <v>200</v>
      </c>
    </row>
    <row r="16" spans="1:7" ht="18" customHeight="1" x14ac:dyDescent="0.3">
      <c r="A16" s="19">
        <v>2</v>
      </c>
      <c r="B16" s="22" t="s">
        <v>201</v>
      </c>
      <c r="C16" s="17" t="s">
        <v>62</v>
      </c>
      <c r="D16" s="17" t="s">
        <v>202</v>
      </c>
      <c r="E16" s="17">
        <v>5</v>
      </c>
      <c r="F16" s="17">
        <v>10</v>
      </c>
      <c r="G16" s="18" t="s">
        <v>203</v>
      </c>
    </row>
    <row r="17" spans="1:7" ht="18" customHeight="1" x14ac:dyDescent="0.3">
      <c r="A17" s="19">
        <v>3</v>
      </c>
      <c r="B17" s="22" t="s">
        <v>204</v>
      </c>
      <c r="C17" s="17"/>
      <c r="D17" s="17"/>
      <c r="E17" s="17"/>
      <c r="F17" s="17"/>
      <c r="G17" s="18"/>
    </row>
    <row r="18" spans="1:7" ht="18" customHeight="1" x14ac:dyDescent="0.3">
      <c r="A18" s="19">
        <v>4</v>
      </c>
      <c r="B18" s="22" t="s">
        <v>205</v>
      </c>
      <c r="C18" s="17"/>
      <c r="D18" s="17"/>
      <c r="E18" s="17"/>
      <c r="F18" s="17"/>
      <c r="G18" s="18"/>
    </row>
    <row r="19" spans="1:7" ht="18" customHeight="1" x14ac:dyDescent="0.3">
      <c r="A19" s="19">
        <v>5</v>
      </c>
      <c r="B19" s="22" t="s">
        <v>206</v>
      </c>
      <c r="C19" s="17"/>
      <c r="D19" s="17"/>
      <c r="E19" s="17"/>
      <c r="F19" s="17"/>
      <c r="G19" s="18"/>
    </row>
    <row r="20" spans="1:7" ht="18" customHeight="1" x14ac:dyDescent="0.3">
      <c r="A20" s="19">
        <v>6</v>
      </c>
      <c r="B20" s="22" t="s">
        <v>207</v>
      </c>
      <c r="C20" s="17"/>
      <c r="D20" s="17"/>
      <c r="E20" s="17"/>
      <c r="F20" s="17"/>
      <c r="G20" s="18"/>
    </row>
    <row r="21" spans="1:7" ht="18" customHeight="1" x14ac:dyDescent="0.3">
      <c r="A21" s="19">
        <v>7</v>
      </c>
      <c r="B21" s="22" t="s">
        <v>208</v>
      </c>
      <c r="C21" s="17"/>
      <c r="D21" s="17"/>
      <c r="E21" s="17"/>
      <c r="F21" s="17"/>
      <c r="G21" s="18"/>
    </row>
    <row r="22" spans="1:7" ht="18" customHeight="1" x14ac:dyDescent="0.3">
      <c r="A22" s="19">
        <v>8</v>
      </c>
      <c r="B22" s="22" t="s">
        <v>209</v>
      </c>
      <c r="C22" s="17" t="s">
        <v>62</v>
      </c>
      <c r="D22" s="17" t="s">
        <v>202</v>
      </c>
      <c r="E22" s="17">
        <v>25</v>
      </c>
      <c r="F22" s="17">
        <v>10</v>
      </c>
      <c r="G22" s="18" t="s">
        <v>210</v>
      </c>
    </row>
    <row r="23" spans="1:7" ht="18" customHeight="1" x14ac:dyDescent="0.3">
      <c r="A23" s="19">
        <v>9</v>
      </c>
      <c r="B23" s="22" t="s">
        <v>211</v>
      </c>
      <c r="C23" s="17"/>
      <c r="D23" s="17"/>
      <c r="E23" s="17"/>
      <c r="F23" s="17"/>
      <c r="G23" s="18"/>
    </row>
    <row r="24" spans="1:7" ht="18" customHeight="1" x14ac:dyDescent="0.3">
      <c r="A24" s="19">
        <v>10</v>
      </c>
      <c r="B24" s="22" t="s">
        <v>212</v>
      </c>
      <c r="C24" s="17"/>
      <c r="D24" s="17"/>
      <c r="E24" s="17"/>
      <c r="F24" s="17"/>
      <c r="G24" s="18"/>
    </row>
    <row r="25" spans="1:7" ht="18" customHeight="1" x14ac:dyDescent="0.3">
      <c r="A25" s="19">
        <v>11</v>
      </c>
      <c r="B25" s="22" t="s">
        <v>213</v>
      </c>
      <c r="C25" s="17"/>
      <c r="D25" s="17"/>
      <c r="E25" s="17"/>
      <c r="F25" s="17"/>
      <c r="G25" s="18"/>
    </row>
    <row r="26" spans="1:7" ht="18" customHeight="1" x14ac:dyDescent="0.3">
      <c r="A26" s="19">
        <v>12</v>
      </c>
      <c r="B26" s="22" t="s">
        <v>214</v>
      </c>
      <c r="C26" s="17"/>
      <c r="D26" s="17"/>
      <c r="E26" s="17"/>
      <c r="F26" s="17"/>
      <c r="G26" s="18"/>
    </row>
    <row r="27" spans="1:7" ht="18" customHeight="1" x14ac:dyDescent="0.3">
      <c r="A27" s="19">
        <v>13</v>
      </c>
      <c r="B27" s="22" t="s">
        <v>215</v>
      </c>
      <c r="C27" s="17"/>
      <c r="D27" s="17"/>
      <c r="E27" s="17"/>
      <c r="F27" s="17"/>
      <c r="G27" s="18"/>
    </row>
    <row r="28" spans="1:7" ht="18" customHeight="1" x14ac:dyDescent="0.3">
      <c r="A28" s="19">
        <v>14</v>
      </c>
      <c r="B28" s="22" t="s">
        <v>216</v>
      </c>
      <c r="C28" s="17"/>
      <c r="D28" s="17"/>
      <c r="E28" s="17"/>
      <c r="F28" s="17"/>
      <c r="G28" s="18"/>
    </row>
    <row r="29" spans="1:7" ht="18" customHeight="1" x14ac:dyDescent="0.3">
      <c r="A29" s="19">
        <v>15</v>
      </c>
      <c r="B29" s="22" t="s">
        <v>217</v>
      </c>
      <c r="C29" s="17"/>
      <c r="D29" s="17"/>
      <c r="E29" s="17"/>
      <c r="F29" s="17"/>
      <c r="G29" s="18"/>
    </row>
    <row r="30" spans="1:7" ht="18" customHeight="1" x14ac:dyDescent="0.3">
      <c r="A30" s="19">
        <v>16</v>
      </c>
      <c r="B30" s="22" t="s">
        <v>218</v>
      </c>
      <c r="C30" s="17"/>
      <c r="D30" s="17"/>
      <c r="E30" s="17"/>
      <c r="F30" s="17"/>
      <c r="G30" s="18"/>
    </row>
    <row r="32" spans="1:7" ht="21.75" customHeight="1" x14ac:dyDescent="0.3">
      <c r="A32" s="9" t="s">
        <v>219</v>
      </c>
      <c r="B32" s="9"/>
      <c r="C32" s="9"/>
      <c r="D32" s="9"/>
      <c r="E32" s="9"/>
      <c r="F32" s="9"/>
      <c r="G32" s="9"/>
    </row>
    <row r="33" spans="1:7" ht="25.5" customHeight="1" x14ac:dyDescent="0.3">
      <c r="A33" s="4" t="s">
        <v>220</v>
      </c>
      <c r="B33" s="4"/>
      <c r="C33" s="4"/>
      <c r="D33" s="4"/>
      <c r="E33" s="4"/>
      <c r="F33" s="4"/>
      <c r="G33" s="4"/>
    </row>
    <row r="34" spans="1:7" ht="27.75" customHeight="1" x14ac:dyDescent="0.3">
      <c r="A34" s="16" t="s">
        <v>130</v>
      </c>
      <c r="B34" s="16" t="s">
        <v>221</v>
      </c>
      <c r="C34" s="16" t="s">
        <v>222</v>
      </c>
      <c r="D34" s="16" t="s">
        <v>223</v>
      </c>
      <c r="E34" s="16" t="s">
        <v>224</v>
      </c>
      <c r="F34" s="16" t="s">
        <v>225</v>
      </c>
      <c r="G34" s="16" t="s">
        <v>226</v>
      </c>
    </row>
    <row r="35" spans="1:7" ht="21.75" customHeight="1" x14ac:dyDescent="0.3">
      <c r="A35" s="19">
        <v>1</v>
      </c>
      <c r="B35" s="22" t="s">
        <v>227</v>
      </c>
      <c r="C35" s="19" t="s">
        <v>228</v>
      </c>
      <c r="D35" s="17">
        <v>80</v>
      </c>
      <c r="E35" s="18" t="s">
        <v>229</v>
      </c>
      <c r="F35" s="22" t="s">
        <v>230</v>
      </c>
      <c r="G35" s="17" t="s">
        <v>231</v>
      </c>
    </row>
    <row r="36" spans="1:7" ht="21.75" customHeight="1" x14ac:dyDescent="0.3">
      <c r="A36" s="19">
        <v>2</v>
      </c>
      <c r="B36" s="22" t="s">
        <v>232</v>
      </c>
      <c r="C36" s="19" t="s">
        <v>228</v>
      </c>
      <c r="D36" s="17">
        <v>10</v>
      </c>
      <c r="E36" s="18" t="s">
        <v>229</v>
      </c>
      <c r="F36" s="22" t="s">
        <v>233</v>
      </c>
      <c r="G36" s="17" t="s">
        <v>234</v>
      </c>
    </row>
    <row r="37" spans="1:7" ht="21.75" customHeight="1" x14ac:dyDescent="0.3">
      <c r="A37" s="19">
        <v>3</v>
      </c>
      <c r="B37" s="22" t="s">
        <v>235</v>
      </c>
      <c r="C37" s="19" t="s">
        <v>236</v>
      </c>
      <c r="D37" s="17"/>
      <c r="E37" s="18"/>
      <c r="F37" s="22" t="s">
        <v>237</v>
      </c>
      <c r="G37" s="17"/>
    </row>
    <row r="38" spans="1:7" ht="21.75" customHeight="1" x14ac:dyDescent="0.3">
      <c r="A38" s="19">
        <v>4</v>
      </c>
      <c r="B38" s="22" t="s">
        <v>238</v>
      </c>
      <c r="C38" s="19" t="s">
        <v>239</v>
      </c>
      <c r="D38" s="17"/>
      <c r="E38" s="18"/>
      <c r="F38" s="22" t="s">
        <v>240</v>
      </c>
      <c r="G38" s="17"/>
    </row>
    <row r="39" spans="1:7" ht="21.75" customHeight="1" x14ac:dyDescent="0.3">
      <c r="A39" s="19">
        <v>5</v>
      </c>
      <c r="B39" s="22" t="s">
        <v>241</v>
      </c>
      <c r="C39" s="19" t="s">
        <v>242</v>
      </c>
      <c r="D39" s="17">
        <v>3</v>
      </c>
      <c r="E39" s="18" t="s">
        <v>243</v>
      </c>
      <c r="F39" s="22" t="s">
        <v>244</v>
      </c>
      <c r="G39" s="17" t="s">
        <v>234</v>
      </c>
    </row>
    <row r="40" spans="1:7" ht="21.75" customHeight="1" x14ac:dyDescent="0.3">
      <c r="A40" s="19">
        <v>6</v>
      </c>
      <c r="B40" s="22" t="s">
        <v>245</v>
      </c>
      <c r="C40" s="19" t="s">
        <v>130</v>
      </c>
      <c r="D40" s="17"/>
      <c r="E40" s="18"/>
      <c r="F40" s="22" t="s">
        <v>246</v>
      </c>
      <c r="G40" s="17"/>
    </row>
    <row r="41" spans="1:7" ht="21.75" customHeight="1" x14ac:dyDescent="0.3">
      <c r="A41" s="19">
        <v>7</v>
      </c>
      <c r="B41" s="22" t="s">
        <v>247</v>
      </c>
      <c r="C41" s="19" t="s">
        <v>228</v>
      </c>
      <c r="D41" s="17"/>
      <c r="E41" s="18"/>
      <c r="F41" s="22" t="s">
        <v>248</v>
      </c>
      <c r="G41" s="17"/>
    </row>
    <row r="42" spans="1:7" ht="21.75" customHeight="1" x14ac:dyDescent="0.3">
      <c r="A42" s="19">
        <v>8</v>
      </c>
      <c r="B42" s="22" t="s">
        <v>249</v>
      </c>
      <c r="C42" s="19" t="s">
        <v>250</v>
      </c>
      <c r="D42" s="17">
        <v>10</v>
      </c>
      <c r="E42" s="18" t="s">
        <v>251</v>
      </c>
      <c r="F42" s="22" t="s">
        <v>252</v>
      </c>
      <c r="G42" s="17" t="s">
        <v>253</v>
      </c>
    </row>
    <row r="44" spans="1:7" ht="21.75" customHeight="1" x14ac:dyDescent="0.3">
      <c r="A44" s="9" t="s">
        <v>254</v>
      </c>
      <c r="B44" s="9"/>
      <c r="C44" s="9"/>
      <c r="D44" s="9"/>
      <c r="E44" s="9"/>
      <c r="F44" s="9"/>
      <c r="G44" s="9"/>
    </row>
    <row r="45" spans="1:7" ht="19.5" customHeight="1" x14ac:dyDescent="0.3">
      <c r="A45" s="8" t="s">
        <v>255</v>
      </c>
      <c r="B45" s="8"/>
      <c r="C45" s="7" t="s">
        <v>256</v>
      </c>
      <c r="D45" s="7"/>
      <c r="E45" s="7"/>
      <c r="F45" s="7"/>
      <c r="G45" s="7"/>
    </row>
    <row r="46" spans="1:7" ht="19.5" customHeight="1" x14ac:dyDescent="0.3">
      <c r="A46" s="8" t="s">
        <v>257</v>
      </c>
      <c r="B46" s="8"/>
      <c r="C46" s="7" t="s">
        <v>258</v>
      </c>
      <c r="D46" s="7"/>
      <c r="E46" s="7"/>
      <c r="F46" s="7"/>
      <c r="G46" s="7"/>
    </row>
    <row r="47" spans="1:7" ht="19.5" customHeight="1" x14ac:dyDescent="0.3">
      <c r="A47" s="8" t="s">
        <v>259</v>
      </c>
      <c r="B47" s="8"/>
      <c r="C47" s="7" t="s">
        <v>260</v>
      </c>
      <c r="D47" s="7"/>
      <c r="E47" s="7"/>
      <c r="F47" s="7"/>
      <c r="G47" s="7"/>
    </row>
    <row r="48" spans="1:7" ht="19.5" customHeight="1" x14ac:dyDescent="0.3">
      <c r="A48" s="8" t="s">
        <v>261</v>
      </c>
      <c r="B48" s="8"/>
      <c r="C48" s="7" t="s">
        <v>262</v>
      </c>
      <c r="D48" s="7"/>
      <c r="E48" s="7"/>
      <c r="F48" s="7"/>
      <c r="G48" s="7"/>
    </row>
    <row r="49" spans="1:7" ht="19.5" customHeight="1" x14ac:dyDescent="0.3">
      <c r="A49" s="8" t="s">
        <v>263</v>
      </c>
      <c r="B49" s="8"/>
      <c r="C49" s="7" t="s">
        <v>90</v>
      </c>
      <c r="D49" s="7"/>
      <c r="E49" s="7"/>
      <c r="F49" s="7"/>
      <c r="G49" s="7"/>
    </row>
    <row r="51" spans="1:7" ht="21.75" customHeight="1" x14ac:dyDescent="0.3">
      <c r="A51" s="9" t="s">
        <v>49</v>
      </c>
      <c r="B51" s="9"/>
      <c r="C51" s="9"/>
      <c r="D51" s="9"/>
      <c r="E51" s="9"/>
      <c r="F51" s="9"/>
      <c r="G51" s="9"/>
    </row>
    <row r="52" spans="1:7" ht="27.75" customHeight="1" x14ac:dyDescent="0.3">
      <c r="A52" s="2" t="s">
        <v>264</v>
      </c>
      <c r="B52" s="2"/>
      <c r="C52" s="2"/>
      <c r="D52" s="2"/>
      <c r="E52" s="2"/>
      <c r="F52" s="2"/>
      <c r="G52" s="2"/>
    </row>
    <row r="53" spans="1:7" ht="27.75" customHeight="1" x14ac:dyDescent="0.3">
      <c r="A53" s="2"/>
      <c r="B53" s="2"/>
      <c r="C53" s="2"/>
      <c r="D53" s="2"/>
      <c r="E53" s="2"/>
      <c r="F53" s="2"/>
      <c r="G53" s="2"/>
    </row>
    <row r="54" spans="1:7" ht="27.75" customHeight="1" x14ac:dyDescent="0.3">
      <c r="A54" s="2"/>
      <c r="B54" s="2"/>
      <c r="C54" s="2"/>
      <c r="D54" s="2"/>
      <c r="E54" s="2"/>
      <c r="F54" s="2"/>
      <c r="G54" s="2"/>
    </row>
  </sheetData>
  <mergeCells count="33">
    <mergeCell ref="A52:G54"/>
    <mergeCell ref="A48:B48"/>
    <mergeCell ref="C48:G48"/>
    <mergeCell ref="A49:B49"/>
    <mergeCell ref="C49:G49"/>
    <mergeCell ref="A51:G51"/>
    <mergeCell ref="A45:B45"/>
    <mergeCell ref="C45:G45"/>
    <mergeCell ref="A46:B46"/>
    <mergeCell ref="C46:G46"/>
    <mergeCell ref="A47:B47"/>
    <mergeCell ref="C47:G47"/>
    <mergeCell ref="A13:B13"/>
    <mergeCell ref="C13:G13"/>
    <mergeCell ref="A32:G32"/>
    <mergeCell ref="A33:G33"/>
    <mergeCell ref="A44:G44"/>
    <mergeCell ref="A10:B10"/>
    <mergeCell ref="C10:G10"/>
    <mergeCell ref="A11:B11"/>
    <mergeCell ref="C11:G11"/>
    <mergeCell ref="C12:G12"/>
    <mergeCell ref="A6:G6"/>
    <mergeCell ref="A7:G7"/>
    <mergeCell ref="A8:B8"/>
    <mergeCell ref="C8:G8"/>
    <mergeCell ref="A9:B9"/>
    <mergeCell ref="C9:G9"/>
    <mergeCell ref="A1:G1"/>
    <mergeCell ref="A2:G2"/>
    <mergeCell ref="A3:G3"/>
    <mergeCell ref="A4:G4"/>
    <mergeCell ref="A5:G5"/>
  </mergeCells>
  <dataValidations count="7">
    <dataValidation type="list" allowBlank="1" errorTitle="Valor no válido" error="Seleccione un valor de la lista desplegable." promptTitle="Código de Bloque" prompt="Elija una opción de la lista." sqref="C10" xr:uid="{00000000-0002-0000-0300-000000000000}">
      <formula1>lst_CodigoBloque</formula1>
      <formula2>0</formula2>
    </dataValidation>
    <dataValidation type="list" allowBlank="1" errorTitle="Valor no válido" error="Seleccione un valor de la lista desplegable." promptTitle="Presencia" prompt="Elija una opción de la lista." sqref="C15:C30" xr:uid="{00000000-0002-0000-0300-000001000000}">
      <formula1>lst_SiNo</formula1>
      <formula2>0</formula2>
    </dataValidation>
    <dataValidation type="list" allowBlank="1" errorTitle="Valor no válido" error="Seleccione un valor de la lista desplegable." promptTitle="Intensidad" prompt="Elija una opción de la lista." sqref="D15:D30" xr:uid="{00000000-0002-0000-0300-000002000000}">
      <formula1>lst_Intensidad</formula1>
      <formula2>0</formula2>
    </dataValidation>
    <dataValidation type="list" allowBlank="1" errorTitle="Valor no válido" error="Seleccione un valor de la lista desplegable." promptTitle="Nivel" prompt="Elija una opción de la lista." sqref="G35:G42" xr:uid="{00000000-0002-0000-0300-000003000000}">
      <formula1>lst_NivelInd</formula1>
      <formula2>0</formula2>
    </dataValidation>
    <dataValidation type="list" allowBlank="1" errorTitle="Valor no válido" error="Seleccione un valor de la lista desplegable." promptTitle="Velocidad de degradación perci" prompt="Elija una opción de la lista." sqref="C47" xr:uid="{00000000-0002-0000-0300-000004000000}">
      <formula1>lst_Velocidad</formula1>
      <formula2>0</formula2>
    </dataValidation>
    <dataValidation type="list" allowBlank="1" errorTitle="Valor no válido" error="Seleccione un valor de la lista desplegable." promptTitle="Reversibilidad técnica" prompt="Elija una opción de la lista." sqref="C48" xr:uid="{00000000-0002-0000-0300-000005000000}">
      <formula1>lst_Reversibilidad</formula1>
      <formula2>0</formula2>
    </dataValidation>
    <dataValidation type="list" allowBlank="1" errorTitle="Valor no válido" error="Seleccione un valor de la lista desplegable." promptTitle="Urgencia de intervención" prompt="Elija una opción de la lista." sqref="C49" xr:uid="{00000000-0002-0000-0300-000006000000}">
      <formula1>lst_Urgencia</formula1>
      <formula2>0</formula2>
    </dataValidation>
  </dataValidations>
  <printOptions horizontalCentered="1"/>
  <pageMargins left="0.4" right="0.4" top="0.5" bottom="0.5" header="0.511811023622047" footer="0.511811023622047"/>
  <pageSetup paperSize="9" fitToHeight="0" orientation="landscape"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H51"/>
  <sheetViews>
    <sheetView showGridLines="0" zoomScaleNormal="100" workbookViewId="0">
      <pane ySplit="6" topLeftCell="A7" activePane="bottomLeft" state="frozen"/>
      <selection pane="bottomLeft"/>
    </sheetView>
  </sheetViews>
  <sheetFormatPr baseColWidth="10" defaultColWidth="8.6640625" defaultRowHeight="14.4" x14ac:dyDescent="0.3"/>
  <cols>
    <col min="1" max="1" width="8" customWidth="1"/>
    <col min="2" max="2" width="28" customWidth="1"/>
    <col min="3" max="4" width="12" customWidth="1"/>
    <col min="5" max="5" width="18" customWidth="1"/>
    <col min="6" max="6" width="24" customWidth="1"/>
    <col min="7" max="7" width="14" customWidth="1"/>
    <col min="8" max="8" width="26" customWidth="1"/>
  </cols>
  <sheetData>
    <row r="1" spans="1:8" ht="21.75" customHeight="1" x14ac:dyDescent="0.3">
      <c r="A1" s="14" t="s">
        <v>0</v>
      </c>
      <c r="B1" s="14"/>
      <c r="C1" s="14"/>
      <c r="D1" s="14"/>
      <c r="E1" s="14"/>
      <c r="F1" s="14"/>
      <c r="G1" s="14"/>
      <c r="H1" s="14"/>
    </row>
    <row r="2" spans="1:8" ht="18" customHeight="1" x14ac:dyDescent="0.3">
      <c r="A2" s="13" t="s">
        <v>1</v>
      </c>
      <c r="B2" s="13"/>
      <c r="C2" s="13"/>
      <c r="D2" s="13"/>
      <c r="E2" s="13"/>
      <c r="F2" s="13"/>
      <c r="G2" s="13"/>
      <c r="H2" s="13"/>
    </row>
    <row r="3" spans="1:8" ht="30" customHeight="1" x14ac:dyDescent="0.3">
      <c r="A3" s="13" t="s">
        <v>2</v>
      </c>
      <c r="B3" s="13"/>
      <c r="C3" s="13"/>
      <c r="D3" s="13"/>
      <c r="E3" s="13"/>
      <c r="F3" s="13"/>
      <c r="G3" s="13"/>
      <c r="H3" s="13"/>
    </row>
    <row r="4" spans="1:8" ht="27.75" customHeight="1" x14ac:dyDescent="0.3">
      <c r="A4" s="12" t="s">
        <v>265</v>
      </c>
      <c r="B4" s="12"/>
      <c r="C4" s="12"/>
      <c r="D4" s="12"/>
      <c r="E4" s="12"/>
      <c r="F4" s="12"/>
      <c r="G4" s="12"/>
      <c r="H4" s="12"/>
    </row>
    <row r="5" spans="1:8" ht="27.75" customHeight="1" x14ac:dyDescent="0.3">
      <c r="A5" s="11" t="s">
        <v>266</v>
      </c>
      <c r="B5" s="11"/>
      <c r="C5" s="11"/>
      <c r="D5" s="11"/>
      <c r="E5" s="11"/>
      <c r="F5" s="11"/>
      <c r="G5" s="11"/>
      <c r="H5" s="11"/>
    </row>
    <row r="6" spans="1:8" ht="24" customHeight="1" x14ac:dyDescent="0.3">
      <c r="A6" s="10" t="s">
        <v>5</v>
      </c>
      <c r="B6" s="10"/>
      <c r="C6" s="10"/>
      <c r="D6" s="10"/>
      <c r="E6" s="10"/>
      <c r="F6" s="10"/>
      <c r="G6" s="10"/>
      <c r="H6" s="10"/>
    </row>
    <row r="7" spans="1:8" ht="21.75" customHeight="1" x14ac:dyDescent="0.3">
      <c r="A7" s="9" t="s">
        <v>53</v>
      </c>
      <c r="B7" s="9"/>
      <c r="C7" s="9"/>
      <c r="D7" s="9"/>
      <c r="E7" s="9"/>
      <c r="F7" s="9"/>
      <c r="G7" s="9"/>
      <c r="H7" s="9"/>
    </row>
    <row r="8" spans="1:8" ht="19.5" customHeight="1" x14ac:dyDescent="0.3">
      <c r="A8" s="8" t="s">
        <v>7</v>
      </c>
      <c r="B8" s="8"/>
      <c r="C8" s="7" t="s">
        <v>8</v>
      </c>
      <c r="D8" s="7"/>
      <c r="E8" s="8" t="s">
        <v>54</v>
      </c>
      <c r="F8" s="8"/>
      <c r="G8" s="7" t="s">
        <v>12</v>
      </c>
      <c r="H8" s="7"/>
    </row>
    <row r="9" spans="1:8" ht="19.5" customHeight="1" x14ac:dyDescent="0.3">
      <c r="A9" s="8" t="s">
        <v>15</v>
      </c>
      <c r="B9" s="8"/>
      <c r="C9" s="7" t="s">
        <v>16</v>
      </c>
      <c r="D9" s="7"/>
      <c r="E9" s="8" t="s">
        <v>95</v>
      </c>
      <c r="F9" s="8"/>
      <c r="G9" s="6" t="str">
        <f>IFERROR(VLOOKUP($C$9,tbl_Bloques,2,FALSE()),"")</f>
        <v>C1076-Q9581</v>
      </c>
      <c r="H9" s="6"/>
    </row>
    <row r="10" spans="1:8" ht="19.5" customHeight="1" x14ac:dyDescent="0.3">
      <c r="A10" s="8" t="s">
        <v>19</v>
      </c>
      <c r="B10" s="8"/>
      <c r="C10" s="6" t="str">
        <f>IFERROR(VLOOKUP($C$9,tbl_Bloques,4,FALSE()),"")</f>
        <v>Salitral</v>
      </c>
      <c r="D10" s="6"/>
      <c r="E10" s="8" t="s">
        <v>18</v>
      </c>
      <c r="F10" s="8"/>
      <c r="G10" s="6" t="str">
        <f>IFERROR(VLOOKUP($C$9,tbl_Bloques,3,FALSE()),"")</f>
        <v>Morropon</v>
      </c>
      <c r="H10" s="6"/>
    </row>
    <row r="12" spans="1:8" ht="21.75" customHeight="1" x14ac:dyDescent="0.3">
      <c r="A12" s="9" t="s">
        <v>267</v>
      </c>
      <c r="B12" s="9"/>
      <c r="C12" s="9"/>
      <c r="D12" s="9"/>
      <c r="E12" s="9"/>
      <c r="F12" s="9"/>
      <c r="G12" s="9"/>
      <c r="H12" s="9"/>
    </row>
    <row r="13" spans="1:8" ht="27.75" customHeight="1" x14ac:dyDescent="0.3">
      <c r="A13" s="4" t="s">
        <v>268</v>
      </c>
      <c r="B13" s="4"/>
      <c r="C13" s="4"/>
      <c r="D13" s="4"/>
      <c r="E13" s="4"/>
      <c r="F13" s="4"/>
      <c r="G13" s="4"/>
      <c r="H13" s="4"/>
    </row>
    <row r="14" spans="1:8" ht="30" customHeight="1" x14ac:dyDescent="0.3">
      <c r="A14" s="16" t="s">
        <v>130</v>
      </c>
      <c r="B14" s="16" t="s">
        <v>269</v>
      </c>
      <c r="C14" s="16" t="s">
        <v>171</v>
      </c>
      <c r="D14" s="16" t="s">
        <v>172</v>
      </c>
      <c r="E14" s="16" t="s">
        <v>270</v>
      </c>
      <c r="F14" s="16" t="s">
        <v>271</v>
      </c>
      <c r="G14" s="16" t="s">
        <v>272</v>
      </c>
      <c r="H14" s="16" t="s">
        <v>273</v>
      </c>
    </row>
    <row r="15" spans="1:8" ht="19.5" customHeight="1" x14ac:dyDescent="0.3">
      <c r="A15" s="19">
        <v>1</v>
      </c>
      <c r="B15" s="17"/>
      <c r="C15" s="17"/>
      <c r="D15" s="17"/>
      <c r="E15" s="17"/>
      <c r="F15" s="17"/>
      <c r="G15" s="17"/>
      <c r="H15" s="18"/>
    </row>
    <row r="16" spans="1:8" ht="19.5" customHeight="1" x14ac:dyDescent="0.3">
      <c r="A16" s="19">
        <v>2</v>
      </c>
      <c r="B16" s="17"/>
      <c r="C16" s="17"/>
      <c r="D16" s="17"/>
      <c r="E16" s="17"/>
      <c r="F16" s="17"/>
      <c r="G16" s="17"/>
      <c r="H16" s="18"/>
    </row>
    <row r="17" spans="1:8" ht="19.5" customHeight="1" x14ac:dyDescent="0.3">
      <c r="A17" s="19">
        <v>3</v>
      </c>
      <c r="B17" s="17"/>
      <c r="C17" s="17"/>
      <c r="D17" s="17"/>
      <c r="E17" s="17"/>
      <c r="F17" s="17"/>
      <c r="G17" s="17"/>
      <c r="H17" s="18"/>
    </row>
    <row r="18" spans="1:8" ht="19.5" customHeight="1" x14ac:dyDescent="0.3">
      <c r="A18" s="19">
        <v>4</v>
      </c>
      <c r="B18" s="17"/>
      <c r="C18" s="17"/>
      <c r="D18" s="17"/>
      <c r="E18" s="17"/>
      <c r="F18" s="17"/>
      <c r="G18" s="17"/>
      <c r="H18" s="18"/>
    </row>
    <row r="19" spans="1:8" ht="19.5" customHeight="1" x14ac:dyDescent="0.3">
      <c r="A19" s="19">
        <v>5</v>
      </c>
      <c r="B19" s="17"/>
      <c r="C19" s="17"/>
      <c r="D19" s="17"/>
      <c r="E19" s="17"/>
      <c r="F19" s="17"/>
      <c r="G19" s="17"/>
      <c r="H19" s="18"/>
    </row>
    <row r="20" spans="1:8" ht="19.5" customHeight="1" x14ac:dyDescent="0.3">
      <c r="A20" s="19">
        <v>6</v>
      </c>
      <c r="B20" s="17"/>
      <c r="C20" s="17"/>
      <c r="D20" s="17"/>
      <c r="E20" s="17"/>
      <c r="F20" s="17"/>
      <c r="G20" s="17"/>
      <c r="H20" s="18"/>
    </row>
    <row r="21" spans="1:8" ht="19.5" customHeight="1" x14ac:dyDescent="0.3">
      <c r="A21" s="19">
        <v>7</v>
      </c>
      <c r="B21" s="17"/>
      <c r="C21" s="17"/>
      <c r="D21" s="17"/>
      <c r="E21" s="17"/>
      <c r="F21" s="17"/>
      <c r="G21" s="17"/>
      <c r="H21" s="18"/>
    </row>
    <row r="22" spans="1:8" ht="19.5" customHeight="1" x14ac:dyDescent="0.3">
      <c r="A22" s="19">
        <v>8</v>
      </c>
      <c r="B22" s="17"/>
      <c r="C22" s="17"/>
      <c r="D22" s="17"/>
      <c r="E22" s="17"/>
      <c r="F22" s="17"/>
      <c r="G22" s="17"/>
      <c r="H22" s="18"/>
    </row>
    <row r="23" spans="1:8" ht="19.5" customHeight="1" x14ac:dyDescent="0.3">
      <c r="A23" s="19">
        <v>9</v>
      </c>
      <c r="B23" s="17"/>
      <c r="C23" s="17"/>
      <c r="D23" s="17"/>
      <c r="E23" s="17"/>
      <c r="F23" s="17"/>
      <c r="G23" s="17"/>
      <c r="H23" s="18"/>
    </row>
    <row r="24" spans="1:8" ht="19.5" customHeight="1" x14ac:dyDescent="0.3">
      <c r="A24" s="19">
        <v>10</v>
      </c>
      <c r="B24" s="17"/>
      <c r="C24" s="17"/>
      <c r="D24" s="17"/>
      <c r="E24" s="17"/>
      <c r="F24" s="17"/>
      <c r="G24" s="17"/>
      <c r="H24" s="18"/>
    </row>
    <row r="26" spans="1:8" ht="21.75" customHeight="1" x14ac:dyDescent="0.3">
      <c r="A26" s="9" t="s">
        <v>274</v>
      </c>
      <c r="B26" s="9"/>
      <c r="C26" s="9"/>
      <c r="D26" s="9"/>
      <c r="E26" s="9"/>
      <c r="F26" s="9"/>
      <c r="G26" s="9"/>
      <c r="H26" s="9"/>
    </row>
    <row r="27" spans="1:8" ht="19.5" customHeight="1" x14ac:dyDescent="0.3">
      <c r="A27" s="8" t="s">
        <v>275</v>
      </c>
      <c r="B27" s="8"/>
      <c r="C27" s="7" t="s">
        <v>44</v>
      </c>
      <c r="D27" s="7"/>
      <c r="E27" s="7"/>
      <c r="F27" s="7"/>
      <c r="G27" s="7"/>
      <c r="H27" s="7"/>
    </row>
    <row r="28" spans="1:8" ht="19.5" customHeight="1" x14ac:dyDescent="0.3">
      <c r="A28" s="8" t="s">
        <v>276</v>
      </c>
      <c r="B28" s="8"/>
      <c r="C28" s="7" t="s">
        <v>44</v>
      </c>
      <c r="D28" s="7"/>
      <c r="E28" s="7"/>
      <c r="F28" s="7"/>
      <c r="G28" s="7"/>
      <c r="H28" s="7"/>
    </row>
    <row r="29" spans="1:8" ht="19.5" customHeight="1" x14ac:dyDescent="0.3">
      <c r="A29" s="8" t="s">
        <v>277</v>
      </c>
      <c r="B29" s="8"/>
      <c r="C29" s="7" t="s">
        <v>44</v>
      </c>
      <c r="D29" s="7"/>
      <c r="E29" s="7"/>
      <c r="F29" s="7"/>
      <c r="G29" s="7"/>
      <c r="H29" s="7"/>
    </row>
    <row r="30" spans="1:8" ht="19.5" customHeight="1" x14ac:dyDescent="0.3">
      <c r="A30" s="8" t="s">
        <v>278</v>
      </c>
      <c r="B30" s="8"/>
      <c r="C30" s="7">
        <v>1000</v>
      </c>
      <c r="D30" s="7"/>
      <c r="E30" s="7"/>
      <c r="F30" s="7"/>
      <c r="G30" s="7"/>
      <c r="H30" s="7"/>
    </row>
    <row r="31" spans="1:8" ht="19.5" customHeight="1" x14ac:dyDescent="0.3">
      <c r="A31" s="8" t="s">
        <v>279</v>
      </c>
      <c r="B31" s="8"/>
      <c r="C31" s="7"/>
      <c r="D31" s="7"/>
      <c r="E31" s="7"/>
      <c r="F31" s="7"/>
      <c r="G31" s="7"/>
      <c r="H31" s="7"/>
    </row>
    <row r="32" spans="1:8" ht="19.5" customHeight="1" x14ac:dyDescent="0.3">
      <c r="A32" s="8" t="s">
        <v>280</v>
      </c>
      <c r="B32" s="8"/>
      <c r="C32" s="7" t="s">
        <v>44</v>
      </c>
      <c r="D32" s="7"/>
      <c r="E32" s="7"/>
      <c r="F32" s="7"/>
      <c r="G32" s="7"/>
      <c r="H32" s="7"/>
    </row>
    <row r="33" spans="1:8" ht="19.5" customHeight="1" x14ac:dyDescent="0.3">
      <c r="A33" s="8" t="s">
        <v>281</v>
      </c>
      <c r="B33" s="8"/>
      <c r="C33" s="7"/>
      <c r="D33" s="7"/>
      <c r="E33" s="7"/>
      <c r="F33" s="7"/>
      <c r="G33" s="7"/>
      <c r="H33" s="7"/>
    </row>
    <row r="35" spans="1:8" ht="21.75" customHeight="1" x14ac:dyDescent="0.3">
      <c r="A35" s="9" t="s">
        <v>282</v>
      </c>
      <c r="B35" s="9"/>
      <c r="C35" s="9"/>
      <c r="D35" s="9"/>
      <c r="E35" s="9"/>
      <c r="F35" s="9"/>
      <c r="G35" s="9"/>
      <c r="H35" s="9"/>
    </row>
    <row r="36" spans="1:8" ht="19.5" customHeight="1" x14ac:dyDescent="0.3">
      <c r="A36" s="8" t="s">
        <v>283</v>
      </c>
      <c r="B36" s="8"/>
      <c r="C36" s="7" t="s">
        <v>284</v>
      </c>
      <c r="D36" s="7"/>
      <c r="E36" s="7"/>
      <c r="F36" s="7"/>
      <c r="G36" s="7"/>
      <c r="H36" s="7"/>
    </row>
    <row r="37" spans="1:8" ht="19.5" customHeight="1" x14ac:dyDescent="0.3">
      <c r="A37" s="8" t="s">
        <v>285</v>
      </c>
      <c r="B37" s="8"/>
      <c r="C37" s="7" t="s">
        <v>286</v>
      </c>
      <c r="D37" s="7"/>
      <c r="E37" s="7"/>
      <c r="F37" s="7"/>
      <c r="G37" s="7"/>
      <c r="H37" s="7"/>
    </row>
    <row r="38" spans="1:8" ht="19.5" customHeight="1" x14ac:dyDescent="0.3">
      <c r="A38" s="8" t="s">
        <v>287</v>
      </c>
      <c r="B38" s="8"/>
      <c r="C38" s="7" t="s">
        <v>288</v>
      </c>
      <c r="D38" s="7"/>
      <c r="E38" s="7"/>
      <c r="F38" s="7"/>
      <c r="G38" s="7"/>
      <c r="H38" s="7"/>
    </row>
    <row r="39" spans="1:8" ht="19.5" customHeight="1" x14ac:dyDescent="0.3">
      <c r="A39" s="8" t="s">
        <v>289</v>
      </c>
      <c r="B39" s="8"/>
      <c r="C39" s="7" t="s">
        <v>234</v>
      </c>
      <c r="D39" s="7"/>
      <c r="E39" s="7"/>
      <c r="F39" s="7"/>
      <c r="G39" s="7"/>
      <c r="H39" s="7"/>
    </row>
    <row r="40" spans="1:8" ht="19.5" customHeight="1" x14ac:dyDescent="0.3">
      <c r="A40" s="8" t="s">
        <v>290</v>
      </c>
      <c r="B40" s="8"/>
      <c r="C40" s="7" t="s">
        <v>234</v>
      </c>
      <c r="D40" s="7"/>
      <c r="E40" s="7"/>
      <c r="F40" s="7"/>
      <c r="G40" s="7"/>
      <c r="H40" s="7"/>
    </row>
    <row r="41" spans="1:8" ht="19.5" customHeight="1" x14ac:dyDescent="0.3">
      <c r="A41" s="8" t="s">
        <v>291</v>
      </c>
      <c r="B41" s="8"/>
      <c r="C41" s="7">
        <v>60</v>
      </c>
      <c r="D41" s="7"/>
      <c r="E41" s="8" t="s">
        <v>292</v>
      </c>
      <c r="F41" s="8"/>
      <c r="G41" s="7">
        <v>180</v>
      </c>
      <c r="H41" s="7"/>
    </row>
    <row r="42" spans="1:8" ht="19.5" customHeight="1" x14ac:dyDescent="0.3">
      <c r="A42" s="8" t="s">
        <v>293</v>
      </c>
      <c r="B42" s="8"/>
      <c r="C42" s="7" t="s">
        <v>294</v>
      </c>
      <c r="D42" s="7"/>
      <c r="E42" s="7"/>
      <c r="F42" s="7"/>
      <c r="G42" s="7"/>
      <c r="H42" s="7"/>
    </row>
    <row r="43" spans="1:8" ht="19.5" customHeight="1" x14ac:dyDescent="0.3">
      <c r="A43" s="8" t="s">
        <v>295</v>
      </c>
      <c r="B43" s="8"/>
      <c r="C43" s="7" t="s">
        <v>296</v>
      </c>
      <c r="D43" s="7"/>
      <c r="E43" s="7"/>
      <c r="F43" s="7"/>
      <c r="G43" s="7"/>
      <c r="H43" s="7"/>
    </row>
    <row r="44" spans="1:8" ht="19.5" customHeight="1" x14ac:dyDescent="0.3">
      <c r="A44" s="8" t="s">
        <v>297</v>
      </c>
      <c r="B44" s="8"/>
      <c r="C44" s="7" t="s">
        <v>44</v>
      </c>
      <c r="D44" s="7"/>
      <c r="E44" s="7"/>
      <c r="F44" s="7"/>
      <c r="G44" s="7"/>
      <c r="H44" s="7"/>
    </row>
    <row r="45" spans="1:8" ht="19.5" customHeight="1" x14ac:dyDescent="0.3">
      <c r="A45" s="8" t="s">
        <v>298</v>
      </c>
      <c r="B45" s="8"/>
      <c r="C45" s="7" t="s">
        <v>62</v>
      </c>
      <c r="D45" s="7"/>
      <c r="E45" s="7"/>
      <c r="F45" s="7"/>
      <c r="G45" s="7"/>
      <c r="H45" s="7"/>
    </row>
    <row r="46" spans="1:8" ht="19.5" customHeight="1" x14ac:dyDescent="0.3">
      <c r="A46" s="8" t="s">
        <v>299</v>
      </c>
      <c r="B46" s="8"/>
      <c r="C46" s="7"/>
      <c r="D46" s="7"/>
      <c r="E46" s="7"/>
      <c r="F46" s="7"/>
      <c r="G46" s="7"/>
      <c r="H46" s="7"/>
    </row>
    <row r="48" spans="1:8" ht="21.75" customHeight="1" x14ac:dyDescent="0.3">
      <c r="A48" s="9" t="s">
        <v>49</v>
      </c>
      <c r="B48" s="9"/>
      <c r="C48" s="9"/>
      <c r="D48" s="9"/>
      <c r="E48" s="9"/>
      <c r="F48" s="9"/>
      <c r="G48" s="9"/>
      <c r="H48" s="9"/>
    </row>
    <row r="49" spans="1:8" ht="27.75" customHeight="1" x14ac:dyDescent="0.3">
      <c r="A49" s="2" t="s">
        <v>300</v>
      </c>
      <c r="B49" s="2"/>
      <c r="C49" s="2"/>
      <c r="D49" s="2"/>
      <c r="E49" s="2"/>
      <c r="F49" s="2"/>
      <c r="G49" s="2"/>
      <c r="H49" s="2"/>
    </row>
    <row r="50" spans="1:8" ht="27.75" customHeight="1" x14ac:dyDescent="0.3">
      <c r="A50" s="2"/>
      <c r="B50" s="2"/>
      <c r="C50" s="2"/>
      <c r="D50" s="2"/>
      <c r="E50" s="2"/>
      <c r="F50" s="2"/>
      <c r="G50" s="2"/>
      <c r="H50" s="2"/>
    </row>
    <row r="51" spans="1:8" ht="27.75" customHeight="1" x14ac:dyDescent="0.3">
      <c r="A51" s="2"/>
      <c r="B51" s="2"/>
      <c r="C51" s="2"/>
      <c r="D51" s="2"/>
      <c r="E51" s="2"/>
      <c r="F51" s="2"/>
      <c r="G51" s="2"/>
      <c r="H51" s="2"/>
    </row>
  </sheetData>
  <mergeCells count="63">
    <mergeCell ref="A46:B46"/>
    <mergeCell ref="C46:H46"/>
    <mergeCell ref="A48:H48"/>
    <mergeCell ref="A49:H51"/>
    <mergeCell ref="A43:B43"/>
    <mergeCell ref="C43:H43"/>
    <mergeCell ref="A44:B44"/>
    <mergeCell ref="C44:H44"/>
    <mergeCell ref="A45:B45"/>
    <mergeCell ref="C45:H45"/>
    <mergeCell ref="A41:B41"/>
    <mergeCell ref="C41:D41"/>
    <mergeCell ref="E41:F41"/>
    <mergeCell ref="G41:H41"/>
    <mergeCell ref="A42:B42"/>
    <mergeCell ref="C42:H42"/>
    <mergeCell ref="A38:B38"/>
    <mergeCell ref="C38:H38"/>
    <mergeCell ref="A39:B39"/>
    <mergeCell ref="C39:H39"/>
    <mergeCell ref="A40:B40"/>
    <mergeCell ref="C40:H40"/>
    <mergeCell ref="A35:H35"/>
    <mergeCell ref="A36:B36"/>
    <mergeCell ref="C36:H36"/>
    <mergeCell ref="A37:B37"/>
    <mergeCell ref="C37:H37"/>
    <mergeCell ref="A31:B31"/>
    <mergeCell ref="C31:H31"/>
    <mergeCell ref="A32:B32"/>
    <mergeCell ref="C32:H32"/>
    <mergeCell ref="A33:B33"/>
    <mergeCell ref="C33:H33"/>
    <mergeCell ref="A28:B28"/>
    <mergeCell ref="C28:H28"/>
    <mergeCell ref="A29:B29"/>
    <mergeCell ref="C29:H29"/>
    <mergeCell ref="A30:B30"/>
    <mergeCell ref="C30:H30"/>
    <mergeCell ref="A12:H12"/>
    <mergeCell ref="A13:H13"/>
    <mergeCell ref="A26:H26"/>
    <mergeCell ref="A27:B27"/>
    <mergeCell ref="C27:H27"/>
    <mergeCell ref="A9:B9"/>
    <mergeCell ref="C9:D9"/>
    <mergeCell ref="E9:F9"/>
    <mergeCell ref="G9:H9"/>
    <mergeCell ref="A10:B10"/>
    <mergeCell ref="C10:D10"/>
    <mergeCell ref="E10:F10"/>
    <mergeCell ref="G10:H10"/>
    <mergeCell ref="A6:H6"/>
    <mergeCell ref="A7:H7"/>
    <mergeCell ref="A8:B8"/>
    <mergeCell ref="C8:D8"/>
    <mergeCell ref="E8:F8"/>
    <mergeCell ref="G8:H8"/>
    <mergeCell ref="A1:H1"/>
    <mergeCell ref="A2:H2"/>
    <mergeCell ref="A3:H3"/>
    <mergeCell ref="A4:H4"/>
    <mergeCell ref="A5:H5"/>
  </mergeCells>
  <dataValidations count="15">
    <dataValidation type="list" allowBlank="1" errorTitle="Valor no válido" error="Seleccione un valor de la lista desplegable." promptTitle="Código de Bloque" prompt="Elija una opción de la lista." sqref="C9" xr:uid="{00000000-0002-0000-0400-000000000000}">
      <formula1>lst_CodigoBloque</formula1>
      <formula2>0</formula2>
    </dataValidation>
    <dataValidation type="list" allowBlank="1" errorTitle="Valor no válido" error="Seleccione un valor de la lista desplegable." promptTitle="Tipo de fuente" prompt="Elija una opción de la lista." sqref="B15:B24" xr:uid="{00000000-0002-0000-0400-000001000000}">
      <formula1>lst_TipoFuente</formula1>
      <formula2>0</formula2>
    </dataValidation>
    <dataValidation type="list" allowBlank="1" errorTitle="Valor no válido" error="Seleccione un valor de la lista desplegable." promptTitle="Régimen" prompt="Elija una opción de la lista." sqref="E15:E24" xr:uid="{00000000-0002-0000-0400-000002000000}">
      <formula1>lst_RegimenHidrico</formula1>
      <formula2>0</formula2>
    </dataValidation>
    <dataValidation type="list" allowBlank="1" errorTitle="Valor no válido" error="Seleccione un valor de la lista desplegable." promptTitle="Calidad aparente" prompt="Elija una opción de la lista." sqref="F15:F24" xr:uid="{00000000-0002-0000-0400-000003000000}">
      <formula1>lst_CalidadAgua</formula1>
      <formula2>0</formula2>
    </dataValidation>
    <dataValidation type="list" allowBlank="1" errorTitle="Valor no válido" error="Seleccione un valor de la lista desplegable." promptTitle="¿Bloque en zona de recarga híd" prompt="Elija una opción de la lista." sqref="C27" xr:uid="{00000000-0002-0000-0400-000004000000}">
      <formula1>lst_SiNo</formula1>
      <formula2>0</formula2>
    </dataValidation>
    <dataValidation type="list" allowBlank="1" errorTitle="Valor no válido" error="Seleccione un valor de la lista desplegable." promptTitle="¿Zonas de humedad persistente " prompt="Elija una opción de la lista." sqref="C28" xr:uid="{00000000-0002-0000-0400-000005000000}">
      <formula1>lst_SiNo</formula1>
      <formula2>0</formula2>
    </dataValidation>
    <dataValidation type="list" allowBlank="1" errorTitle="Valor no válido" error="Seleccione un valor de la lista desplegable." promptTitle="¿Escorrentía concentrada obser" prompt="Elija una opción de la lista." sqref="C29" xr:uid="{00000000-0002-0000-0400-000006000000}">
      <formula1>lst_SiNo</formula1>
      <formula2>0</formula2>
    </dataValidation>
    <dataValidation type="list" allowBlank="1" errorTitle="Valor no válido" error="Seleccione un valor de la lista desplegable." promptTitle="¿Interferencia con obras de ri" prompt="Elija una opción de la lista." sqref="C32" xr:uid="{00000000-0002-0000-0400-000007000000}">
      <formula1>lst_SiNo</formula1>
      <formula2>0</formula2>
    </dataValidation>
    <dataValidation type="list" allowBlank="1" errorTitle="Valor no válido" error="Seleccione un valor de la lista desplegable." promptTitle="Modalidad de acceso al bloque " prompt="Elija una opción de la lista." sqref="C36" xr:uid="{00000000-0002-0000-0400-000008000000}">
      <formula1>lst_ModalidadAcceso</formula1>
      <formula2>0</formula2>
    </dataValidation>
    <dataValidation type="list" allowBlank="1" errorTitle="Valor no válido" error="Seleccione un valor de la lista desplegable." promptTitle="Tipo de vía final" prompt="Elija una opción de la lista." sqref="C38" xr:uid="{00000000-0002-0000-0400-000009000000}">
      <formula1>lst_TipoVia</formula1>
      <formula2>0</formula2>
    </dataValidation>
    <dataValidation type="list" allowBlank="1" errorTitle="Valor no válido" error="Seleccione un valor de la lista desplegable." promptTitle="Estado transitabilidad — época" prompt="Elija una opción de la lista." sqref="C39:C40" xr:uid="{00000000-0002-0000-0400-00000A000000}">
      <formula1>lst_NivelTransitabilidad</formula1>
      <formula2>0</formula2>
    </dataValidation>
    <dataValidation type="list" allowBlank="1" errorTitle="Valor no válido" error="Seleccione un valor de la lista desplegable." promptTitle="Señal celular" prompt="Elija una opción de la lista." sqref="C42" xr:uid="{00000000-0002-0000-0400-00000B000000}">
      <formula1>lst_SenalCelular</formula1>
      <formula2>0</formula2>
    </dataValidation>
    <dataValidation type="list" allowBlank="1" errorTitle="Valor no válido" error="Seleccione un valor de la lista desplegable." promptTitle="Operador celular dominante" prompt="Elija una opción de la lista." sqref="C43" xr:uid="{00000000-0002-0000-0400-00000C000000}">
      <formula1>lst_Operador</formula1>
      <formula2>0</formula2>
    </dataValidation>
    <dataValidation type="list" allowBlank="1" errorTitle="Valor no válido" error="Seleccione un valor de la lista desplegable." promptTitle="Alojamiento rural disponible" prompt="Elija una opción de la lista." sqref="C44" xr:uid="{00000000-0002-0000-0400-00000D000000}">
      <formula1>lst_SiNo</formula1>
      <formula2>0</formula2>
    </dataValidation>
    <dataValidation type="list" allowBlank="1" errorTitle="Valor no válido" error="Seleccione un valor de la lista desplegable." promptTitle="¿Requiere autorización de Rond" prompt="Elija una opción de la lista." sqref="C45" xr:uid="{00000000-0002-0000-0400-00000E000000}">
      <formula1>lst_SiNo</formula1>
      <formula2>0</formula2>
    </dataValidation>
  </dataValidations>
  <printOptions horizontalCentered="1"/>
  <pageMargins left="0.4" right="0.4" top="0.5" bottom="0.5" header="0.511811023622047" footer="0.511811023622047"/>
  <pageSetup paperSize="9" fitToHeight="0" orientation="landscape"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H128"/>
  <sheetViews>
    <sheetView zoomScaleNormal="100" workbookViewId="0">
      <pane ySplit="1" topLeftCell="A2" activePane="bottomLeft" state="frozen"/>
      <selection pane="bottomLeft"/>
    </sheetView>
  </sheetViews>
  <sheetFormatPr baseColWidth="10" defaultColWidth="8.6640625" defaultRowHeight="14.4" x14ac:dyDescent="0.3"/>
  <cols>
    <col min="1" max="1" width="10" customWidth="1"/>
    <col min="2" max="3" width="16" customWidth="1"/>
    <col min="4" max="4" width="24" customWidth="1"/>
    <col min="5" max="5" width="8" customWidth="1"/>
    <col min="6" max="7" width="12" customWidth="1"/>
    <col min="8" max="8" width="11" customWidth="1"/>
  </cols>
  <sheetData>
    <row r="1" spans="1:8" ht="15" customHeight="1" x14ac:dyDescent="0.3">
      <c r="A1" s="16" t="s">
        <v>301</v>
      </c>
      <c r="B1" s="16" t="s">
        <v>302</v>
      </c>
      <c r="C1" s="16" t="s">
        <v>303</v>
      </c>
      <c r="D1" s="16" t="s">
        <v>304</v>
      </c>
      <c r="E1" s="16" t="s">
        <v>305</v>
      </c>
      <c r="F1" s="16" t="s">
        <v>306</v>
      </c>
      <c r="G1" s="16" t="s">
        <v>307</v>
      </c>
      <c r="H1" s="16" t="s">
        <v>308</v>
      </c>
    </row>
    <row r="2" spans="1:8" ht="15" customHeight="1" x14ac:dyDescent="0.3">
      <c r="A2" s="23" t="s">
        <v>309</v>
      </c>
      <c r="B2" s="23" t="s">
        <v>310</v>
      </c>
      <c r="C2" s="23" t="s">
        <v>311</v>
      </c>
      <c r="D2" s="23" t="s">
        <v>312</v>
      </c>
      <c r="E2" s="23" t="s">
        <v>313</v>
      </c>
      <c r="F2" s="24">
        <v>595552</v>
      </c>
      <c r="G2" s="24">
        <v>9451222</v>
      </c>
      <c r="H2" s="25">
        <v>355.36</v>
      </c>
    </row>
    <row r="3" spans="1:8" ht="15" customHeight="1" x14ac:dyDescent="0.3">
      <c r="A3" s="23" t="s">
        <v>314</v>
      </c>
      <c r="B3" s="23" t="s">
        <v>315</v>
      </c>
      <c r="C3" s="23" t="s">
        <v>311</v>
      </c>
      <c r="D3" s="23" t="s">
        <v>312</v>
      </c>
      <c r="E3" s="23" t="s">
        <v>313</v>
      </c>
      <c r="F3" s="24">
        <v>596773</v>
      </c>
      <c r="G3" s="24">
        <v>9448273</v>
      </c>
      <c r="H3" s="25">
        <v>68.89</v>
      </c>
    </row>
    <row r="4" spans="1:8" ht="15" customHeight="1" x14ac:dyDescent="0.3">
      <c r="A4" s="23" t="s">
        <v>316</v>
      </c>
      <c r="B4" s="23" t="s">
        <v>315</v>
      </c>
      <c r="C4" s="23" t="s">
        <v>311</v>
      </c>
      <c r="D4" s="23" t="s">
        <v>312</v>
      </c>
      <c r="E4" s="23" t="s">
        <v>313</v>
      </c>
      <c r="F4" s="24">
        <v>596578</v>
      </c>
      <c r="G4" s="24">
        <v>9442453</v>
      </c>
      <c r="H4" s="25">
        <v>53.48</v>
      </c>
    </row>
    <row r="5" spans="1:8" ht="15" customHeight="1" x14ac:dyDescent="0.3">
      <c r="A5" s="23" t="s">
        <v>317</v>
      </c>
      <c r="B5" s="23" t="s">
        <v>318</v>
      </c>
      <c r="C5" s="23" t="s">
        <v>311</v>
      </c>
      <c r="D5" s="23" t="s">
        <v>312</v>
      </c>
      <c r="E5" s="23" t="s">
        <v>313</v>
      </c>
      <c r="F5" s="24">
        <v>599927</v>
      </c>
      <c r="G5" s="24">
        <v>9442604</v>
      </c>
      <c r="H5" s="25">
        <v>35.83</v>
      </c>
    </row>
    <row r="6" spans="1:8" ht="15" customHeight="1" x14ac:dyDescent="0.3">
      <c r="A6" s="23" t="s">
        <v>319</v>
      </c>
      <c r="B6" s="23" t="s">
        <v>318</v>
      </c>
      <c r="C6" s="23" t="s">
        <v>311</v>
      </c>
      <c r="D6" s="23" t="s">
        <v>312</v>
      </c>
      <c r="E6" s="23" t="s">
        <v>313</v>
      </c>
      <c r="F6" s="24">
        <v>601122</v>
      </c>
      <c r="G6" s="24">
        <v>9443651</v>
      </c>
      <c r="H6" s="25">
        <v>79.33</v>
      </c>
    </row>
    <row r="7" spans="1:8" ht="15" customHeight="1" x14ac:dyDescent="0.3">
      <c r="A7" s="23" t="s">
        <v>320</v>
      </c>
      <c r="B7" s="23" t="s">
        <v>318</v>
      </c>
      <c r="C7" s="23" t="s">
        <v>311</v>
      </c>
      <c r="D7" s="23" t="s">
        <v>312</v>
      </c>
      <c r="E7" s="23" t="s">
        <v>313</v>
      </c>
      <c r="F7" s="24">
        <v>600644</v>
      </c>
      <c r="G7" s="24">
        <v>9440436</v>
      </c>
      <c r="H7" s="25">
        <v>42.45</v>
      </c>
    </row>
    <row r="8" spans="1:8" ht="15" customHeight="1" x14ac:dyDescent="0.3">
      <c r="A8" s="23" t="s">
        <v>321</v>
      </c>
      <c r="B8" s="23" t="s">
        <v>322</v>
      </c>
      <c r="C8" s="23" t="s">
        <v>311</v>
      </c>
      <c r="D8" s="23" t="s">
        <v>312</v>
      </c>
      <c r="E8" s="23" t="s">
        <v>313</v>
      </c>
      <c r="F8" s="24">
        <v>603653</v>
      </c>
      <c r="G8" s="24">
        <v>9439351</v>
      </c>
      <c r="H8" s="25">
        <v>330.6</v>
      </c>
    </row>
    <row r="9" spans="1:8" ht="15" customHeight="1" x14ac:dyDescent="0.3">
      <c r="A9" s="23" t="s">
        <v>323</v>
      </c>
      <c r="B9" s="23" t="s">
        <v>318</v>
      </c>
      <c r="C9" s="23" t="s">
        <v>311</v>
      </c>
      <c r="D9" s="23" t="s">
        <v>312</v>
      </c>
      <c r="E9" s="23" t="s">
        <v>313</v>
      </c>
      <c r="F9" s="24">
        <v>604926</v>
      </c>
      <c r="G9" s="24">
        <v>9444327</v>
      </c>
      <c r="H9" s="25">
        <v>124.71</v>
      </c>
    </row>
    <row r="10" spans="1:8" ht="15" customHeight="1" x14ac:dyDescent="0.3">
      <c r="A10" s="23" t="s">
        <v>324</v>
      </c>
      <c r="B10" s="23" t="s">
        <v>325</v>
      </c>
      <c r="C10" s="23" t="s">
        <v>311</v>
      </c>
      <c r="D10" s="23" t="s">
        <v>312</v>
      </c>
      <c r="E10" s="23" t="s">
        <v>313</v>
      </c>
      <c r="F10" s="24">
        <v>593246</v>
      </c>
      <c r="G10" s="24">
        <v>9430139</v>
      </c>
      <c r="H10" s="25">
        <v>448.8</v>
      </c>
    </row>
    <row r="11" spans="1:8" ht="15" customHeight="1" x14ac:dyDescent="0.3">
      <c r="A11" s="23" t="s">
        <v>14</v>
      </c>
      <c r="B11" s="23" t="s">
        <v>310</v>
      </c>
      <c r="C11" s="23" t="s">
        <v>326</v>
      </c>
      <c r="D11" s="23" t="s">
        <v>327</v>
      </c>
      <c r="E11" s="23" t="s">
        <v>328</v>
      </c>
      <c r="F11" s="24">
        <v>606816</v>
      </c>
      <c r="G11" s="24">
        <v>9458469</v>
      </c>
      <c r="H11" s="25">
        <v>459.29</v>
      </c>
    </row>
    <row r="12" spans="1:8" ht="15" customHeight="1" x14ac:dyDescent="0.3">
      <c r="A12" s="23" t="s">
        <v>329</v>
      </c>
      <c r="B12" s="23" t="s">
        <v>315</v>
      </c>
      <c r="C12" s="23" t="s">
        <v>326</v>
      </c>
      <c r="D12" s="23" t="s">
        <v>327</v>
      </c>
      <c r="E12" s="23" t="s">
        <v>328</v>
      </c>
      <c r="F12" s="24">
        <v>605636</v>
      </c>
      <c r="G12" s="24">
        <v>9455269</v>
      </c>
      <c r="H12" s="25">
        <v>168.41</v>
      </c>
    </row>
    <row r="13" spans="1:8" ht="15" customHeight="1" x14ac:dyDescent="0.3">
      <c r="A13" s="23" t="s">
        <v>330</v>
      </c>
      <c r="B13" s="23" t="s">
        <v>315</v>
      </c>
      <c r="C13" s="23" t="s">
        <v>326</v>
      </c>
      <c r="D13" s="23" t="s">
        <v>327</v>
      </c>
      <c r="E13" s="23" t="s">
        <v>328</v>
      </c>
      <c r="F13" s="24">
        <v>606468</v>
      </c>
      <c r="G13" s="24">
        <v>9454689</v>
      </c>
      <c r="H13" s="25">
        <v>24.84</v>
      </c>
    </row>
    <row r="14" spans="1:8" ht="15" customHeight="1" x14ac:dyDescent="0.3">
      <c r="A14" s="23" t="s">
        <v>331</v>
      </c>
      <c r="B14" s="23" t="s">
        <v>318</v>
      </c>
      <c r="C14" s="23" t="s">
        <v>326</v>
      </c>
      <c r="D14" s="23" t="s">
        <v>327</v>
      </c>
      <c r="E14" s="23" t="s">
        <v>328</v>
      </c>
      <c r="F14" s="24">
        <v>608472</v>
      </c>
      <c r="G14" s="24">
        <v>9448056</v>
      </c>
      <c r="H14" s="25">
        <v>258.83999999999997</v>
      </c>
    </row>
    <row r="15" spans="1:8" ht="15" customHeight="1" x14ac:dyDescent="0.3">
      <c r="A15" s="23" t="s">
        <v>332</v>
      </c>
      <c r="B15" s="23" t="s">
        <v>318</v>
      </c>
      <c r="C15" s="23" t="s">
        <v>326</v>
      </c>
      <c r="D15" s="23" t="s">
        <v>327</v>
      </c>
      <c r="E15" s="23" t="s">
        <v>328</v>
      </c>
      <c r="F15" s="24">
        <v>607036</v>
      </c>
      <c r="G15" s="24">
        <v>9446211</v>
      </c>
      <c r="H15" s="25">
        <v>106.54</v>
      </c>
    </row>
    <row r="16" spans="1:8" ht="15" customHeight="1" x14ac:dyDescent="0.3">
      <c r="A16" s="23" t="s">
        <v>333</v>
      </c>
      <c r="B16" s="23" t="s">
        <v>318</v>
      </c>
      <c r="C16" s="23" t="s">
        <v>326</v>
      </c>
      <c r="D16" s="23" t="s">
        <v>327</v>
      </c>
      <c r="E16" s="23" t="s">
        <v>328</v>
      </c>
      <c r="F16" s="24">
        <v>606173</v>
      </c>
      <c r="G16" s="24">
        <v>9447361</v>
      </c>
      <c r="H16" s="25">
        <v>75.36</v>
      </c>
    </row>
    <row r="17" spans="1:8" ht="15" customHeight="1" x14ac:dyDescent="0.3">
      <c r="A17" s="23" t="s">
        <v>334</v>
      </c>
      <c r="B17" s="23" t="s">
        <v>318</v>
      </c>
      <c r="C17" s="23" t="s">
        <v>326</v>
      </c>
      <c r="D17" s="23" t="s">
        <v>327</v>
      </c>
      <c r="E17" s="23" t="s">
        <v>328</v>
      </c>
      <c r="F17" s="24">
        <v>608800</v>
      </c>
      <c r="G17" s="24">
        <v>9445585</v>
      </c>
      <c r="H17" s="25">
        <v>74.03</v>
      </c>
    </row>
    <row r="18" spans="1:8" ht="15" customHeight="1" x14ac:dyDescent="0.3">
      <c r="A18" s="23" t="s">
        <v>335</v>
      </c>
      <c r="B18" s="23" t="s">
        <v>318</v>
      </c>
      <c r="C18" s="23" t="s">
        <v>326</v>
      </c>
      <c r="D18" s="23" t="s">
        <v>327</v>
      </c>
      <c r="E18" s="23" t="s">
        <v>328</v>
      </c>
      <c r="F18" s="24">
        <v>613302</v>
      </c>
      <c r="G18" s="24">
        <v>9450231</v>
      </c>
      <c r="H18" s="25">
        <v>78.150000000000006</v>
      </c>
    </row>
    <row r="19" spans="1:8" ht="15" customHeight="1" x14ac:dyDescent="0.3">
      <c r="A19" s="23" t="s">
        <v>336</v>
      </c>
      <c r="B19" s="23" t="s">
        <v>337</v>
      </c>
      <c r="C19" s="23" t="s">
        <v>326</v>
      </c>
      <c r="D19" s="23" t="s">
        <v>327</v>
      </c>
      <c r="E19" s="23" t="s">
        <v>328</v>
      </c>
      <c r="F19" s="24">
        <v>618523</v>
      </c>
      <c r="G19" s="24">
        <v>9448918</v>
      </c>
      <c r="H19" s="25">
        <v>68.569999999999993</v>
      </c>
    </row>
    <row r="20" spans="1:8" ht="15" customHeight="1" x14ac:dyDescent="0.3">
      <c r="A20" s="23" t="s">
        <v>338</v>
      </c>
      <c r="B20" s="23" t="s">
        <v>337</v>
      </c>
      <c r="C20" s="23" t="s">
        <v>326</v>
      </c>
      <c r="D20" s="23" t="s">
        <v>327</v>
      </c>
      <c r="E20" s="23" t="s">
        <v>328</v>
      </c>
      <c r="F20" s="24">
        <v>631723</v>
      </c>
      <c r="G20" s="24">
        <v>9439702</v>
      </c>
      <c r="H20" s="25">
        <v>77.67</v>
      </c>
    </row>
    <row r="21" spans="1:8" ht="15" customHeight="1" x14ac:dyDescent="0.3">
      <c r="A21" s="23" t="s">
        <v>339</v>
      </c>
      <c r="B21" s="23" t="s">
        <v>340</v>
      </c>
      <c r="C21" s="23" t="s">
        <v>311</v>
      </c>
      <c r="D21" s="23" t="s">
        <v>341</v>
      </c>
      <c r="E21" s="23" t="s">
        <v>342</v>
      </c>
      <c r="F21" s="24">
        <v>625419</v>
      </c>
      <c r="G21" s="24">
        <v>9444932</v>
      </c>
      <c r="H21" s="25">
        <v>119.54</v>
      </c>
    </row>
    <row r="22" spans="1:8" ht="15" customHeight="1" x14ac:dyDescent="0.3">
      <c r="A22" s="23" t="s">
        <v>343</v>
      </c>
      <c r="B22" s="23" t="s">
        <v>340</v>
      </c>
      <c r="C22" s="23" t="s">
        <v>311</v>
      </c>
      <c r="D22" s="23" t="s">
        <v>341</v>
      </c>
      <c r="E22" s="23" t="s">
        <v>342</v>
      </c>
      <c r="F22" s="24">
        <v>621452</v>
      </c>
      <c r="G22" s="24">
        <v>9443855</v>
      </c>
      <c r="H22" s="25">
        <v>35.659999999999997</v>
      </c>
    </row>
    <row r="23" spans="1:8" ht="15" customHeight="1" x14ac:dyDescent="0.3">
      <c r="A23" s="23" t="s">
        <v>344</v>
      </c>
      <c r="B23" s="23" t="s">
        <v>337</v>
      </c>
      <c r="C23" s="23" t="s">
        <v>311</v>
      </c>
      <c r="D23" s="23" t="s">
        <v>341</v>
      </c>
      <c r="E23" s="23" t="s">
        <v>342</v>
      </c>
      <c r="F23" s="24">
        <v>620263</v>
      </c>
      <c r="G23" s="24">
        <v>9442343</v>
      </c>
      <c r="H23" s="25">
        <v>100.51</v>
      </c>
    </row>
    <row r="24" spans="1:8" ht="15" customHeight="1" x14ac:dyDescent="0.3">
      <c r="A24" s="23" t="s">
        <v>345</v>
      </c>
      <c r="B24" s="23" t="s">
        <v>340</v>
      </c>
      <c r="C24" s="23" t="s">
        <v>311</v>
      </c>
      <c r="D24" s="23" t="s">
        <v>341</v>
      </c>
      <c r="E24" s="23" t="s">
        <v>342</v>
      </c>
      <c r="F24" s="24">
        <v>619630</v>
      </c>
      <c r="G24" s="24">
        <v>9440043</v>
      </c>
      <c r="H24" s="25">
        <v>35.1</v>
      </c>
    </row>
    <row r="25" spans="1:8" ht="15" customHeight="1" x14ac:dyDescent="0.3">
      <c r="A25" s="23" t="s">
        <v>346</v>
      </c>
      <c r="B25" s="23" t="s">
        <v>340</v>
      </c>
      <c r="C25" s="23" t="s">
        <v>311</v>
      </c>
      <c r="D25" s="23" t="s">
        <v>341</v>
      </c>
      <c r="E25" s="23" t="s">
        <v>342</v>
      </c>
      <c r="F25" s="24">
        <v>620759</v>
      </c>
      <c r="G25" s="24">
        <v>9439988</v>
      </c>
      <c r="H25" s="25">
        <v>103.95</v>
      </c>
    </row>
    <row r="26" spans="1:8" ht="15" customHeight="1" x14ac:dyDescent="0.3">
      <c r="A26" s="23" t="s">
        <v>347</v>
      </c>
      <c r="B26" s="23" t="s">
        <v>340</v>
      </c>
      <c r="C26" s="23" t="s">
        <v>311</v>
      </c>
      <c r="D26" s="23" t="s">
        <v>341</v>
      </c>
      <c r="E26" s="23" t="s">
        <v>342</v>
      </c>
      <c r="F26" s="24">
        <v>619939</v>
      </c>
      <c r="G26" s="24">
        <v>9438544</v>
      </c>
      <c r="H26" s="25">
        <v>81.78</v>
      </c>
    </row>
    <row r="27" spans="1:8" ht="15" customHeight="1" x14ac:dyDescent="0.3">
      <c r="A27" s="23" t="s">
        <v>348</v>
      </c>
      <c r="B27" s="23" t="s">
        <v>340</v>
      </c>
      <c r="C27" s="23" t="s">
        <v>311</v>
      </c>
      <c r="D27" s="23" t="s">
        <v>341</v>
      </c>
      <c r="E27" s="23" t="s">
        <v>342</v>
      </c>
      <c r="F27" s="24">
        <v>620200</v>
      </c>
      <c r="G27" s="24">
        <v>9437862</v>
      </c>
      <c r="H27" s="25">
        <v>86.15</v>
      </c>
    </row>
    <row r="28" spans="1:8" ht="15" customHeight="1" x14ac:dyDescent="0.3">
      <c r="A28" s="23" t="s">
        <v>349</v>
      </c>
      <c r="B28" s="23" t="s">
        <v>340</v>
      </c>
      <c r="C28" s="23" t="s">
        <v>311</v>
      </c>
      <c r="D28" s="23" t="s">
        <v>341</v>
      </c>
      <c r="E28" s="23" t="s">
        <v>342</v>
      </c>
      <c r="F28" s="24">
        <v>620770</v>
      </c>
      <c r="G28" s="24">
        <v>9436562</v>
      </c>
      <c r="H28" s="25">
        <v>34.17</v>
      </c>
    </row>
    <row r="29" spans="1:8" ht="15" customHeight="1" x14ac:dyDescent="0.3">
      <c r="A29" s="23" t="s">
        <v>350</v>
      </c>
      <c r="B29" s="23" t="s">
        <v>340</v>
      </c>
      <c r="C29" s="23" t="s">
        <v>311</v>
      </c>
      <c r="D29" s="23" t="s">
        <v>341</v>
      </c>
      <c r="E29" s="23" t="s">
        <v>342</v>
      </c>
      <c r="F29" s="24">
        <v>618661</v>
      </c>
      <c r="G29" s="24">
        <v>9438267</v>
      </c>
      <c r="H29" s="25">
        <v>96.08</v>
      </c>
    </row>
    <row r="30" spans="1:8" ht="15" customHeight="1" x14ac:dyDescent="0.3">
      <c r="A30" s="23" t="s">
        <v>351</v>
      </c>
      <c r="B30" s="23" t="s">
        <v>322</v>
      </c>
      <c r="C30" s="23" t="s">
        <v>311</v>
      </c>
      <c r="D30" s="23" t="s">
        <v>341</v>
      </c>
      <c r="E30" s="23" t="s">
        <v>342</v>
      </c>
      <c r="F30" s="24">
        <v>617596</v>
      </c>
      <c r="G30" s="24">
        <v>9436227</v>
      </c>
      <c r="H30" s="25">
        <v>35.35</v>
      </c>
    </row>
    <row r="31" spans="1:8" ht="15" customHeight="1" x14ac:dyDescent="0.3">
      <c r="A31" s="23" t="s">
        <v>352</v>
      </c>
      <c r="B31" s="23" t="s">
        <v>353</v>
      </c>
      <c r="C31" s="23" t="s">
        <v>311</v>
      </c>
      <c r="D31" s="23" t="s">
        <v>354</v>
      </c>
      <c r="E31" s="23" t="s">
        <v>355</v>
      </c>
      <c r="F31" s="24">
        <v>631195</v>
      </c>
      <c r="G31" s="24">
        <v>9441777</v>
      </c>
      <c r="H31" s="25">
        <v>25.67</v>
      </c>
    </row>
    <row r="32" spans="1:8" ht="15" customHeight="1" x14ac:dyDescent="0.3">
      <c r="A32" s="23" t="s">
        <v>356</v>
      </c>
      <c r="B32" s="23" t="s">
        <v>340</v>
      </c>
      <c r="C32" s="23" t="s">
        <v>311</v>
      </c>
      <c r="D32" s="23" t="s">
        <v>354</v>
      </c>
      <c r="E32" s="23" t="s">
        <v>355</v>
      </c>
      <c r="F32" s="24">
        <v>631195</v>
      </c>
      <c r="G32" s="24">
        <v>9441777</v>
      </c>
      <c r="H32" s="25">
        <v>13.55</v>
      </c>
    </row>
    <row r="33" spans="1:8" ht="15" customHeight="1" x14ac:dyDescent="0.3">
      <c r="A33" s="23" t="s">
        <v>357</v>
      </c>
      <c r="B33" s="23" t="s">
        <v>353</v>
      </c>
      <c r="C33" s="23" t="s">
        <v>311</v>
      </c>
      <c r="D33" s="23" t="s">
        <v>358</v>
      </c>
      <c r="E33" s="23" t="s">
        <v>355</v>
      </c>
      <c r="F33" s="24">
        <v>626438</v>
      </c>
      <c r="G33" s="24">
        <v>9435060</v>
      </c>
      <c r="H33" s="25">
        <v>28.19</v>
      </c>
    </row>
    <row r="34" spans="1:8" ht="15" customHeight="1" x14ac:dyDescent="0.3">
      <c r="A34" s="23" t="s">
        <v>359</v>
      </c>
      <c r="B34" s="23" t="s">
        <v>340</v>
      </c>
      <c r="C34" s="23" t="s">
        <v>311</v>
      </c>
      <c r="D34" s="23" t="s">
        <v>358</v>
      </c>
      <c r="E34" s="23" t="s">
        <v>355</v>
      </c>
      <c r="F34" s="24">
        <v>625152</v>
      </c>
      <c r="G34" s="24">
        <v>9435011</v>
      </c>
      <c r="H34" s="25">
        <v>80.62</v>
      </c>
    </row>
    <row r="35" spans="1:8" ht="15" customHeight="1" x14ac:dyDescent="0.3">
      <c r="A35" s="23" t="s">
        <v>360</v>
      </c>
      <c r="B35" s="23" t="s">
        <v>340</v>
      </c>
      <c r="C35" s="23" t="s">
        <v>311</v>
      </c>
      <c r="D35" s="23" t="s">
        <v>358</v>
      </c>
      <c r="E35" s="23" t="s">
        <v>355</v>
      </c>
      <c r="F35" s="24">
        <v>624397</v>
      </c>
      <c r="G35" s="24">
        <v>9437085</v>
      </c>
      <c r="H35" s="25">
        <v>92.9</v>
      </c>
    </row>
    <row r="36" spans="1:8" ht="15" customHeight="1" x14ac:dyDescent="0.3">
      <c r="A36" s="23" t="s">
        <v>361</v>
      </c>
      <c r="B36" s="23" t="s">
        <v>362</v>
      </c>
      <c r="C36" s="23" t="s">
        <v>311</v>
      </c>
      <c r="D36" s="23" t="s">
        <v>358</v>
      </c>
      <c r="E36" s="23" t="s">
        <v>355</v>
      </c>
      <c r="F36" s="24">
        <v>619094</v>
      </c>
      <c r="G36" s="24">
        <v>9426406</v>
      </c>
      <c r="H36" s="25">
        <v>11.47</v>
      </c>
    </row>
    <row r="37" spans="1:8" ht="15" customHeight="1" x14ac:dyDescent="0.3">
      <c r="A37" s="23" t="s">
        <v>363</v>
      </c>
      <c r="B37" s="23" t="s">
        <v>340</v>
      </c>
      <c r="C37" s="23" t="s">
        <v>311</v>
      </c>
      <c r="D37" s="23" t="s">
        <v>311</v>
      </c>
      <c r="E37" s="23" t="s">
        <v>364</v>
      </c>
      <c r="F37" s="24">
        <v>617715</v>
      </c>
      <c r="G37" s="24">
        <v>9427284</v>
      </c>
      <c r="H37" s="25">
        <v>74.37</v>
      </c>
    </row>
    <row r="38" spans="1:8" ht="15" customHeight="1" x14ac:dyDescent="0.3">
      <c r="A38" s="23" t="s">
        <v>365</v>
      </c>
      <c r="B38" s="23" t="s">
        <v>362</v>
      </c>
      <c r="C38" s="23" t="s">
        <v>311</v>
      </c>
      <c r="D38" s="23" t="s">
        <v>311</v>
      </c>
      <c r="E38" s="23" t="s">
        <v>364</v>
      </c>
      <c r="F38" s="24">
        <v>618248</v>
      </c>
      <c r="G38" s="24">
        <v>9426493</v>
      </c>
      <c r="H38" s="25">
        <v>50.97</v>
      </c>
    </row>
    <row r="39" spans="1:8" ht="15" customHeight="1" x14ac:dyDescent="0.3">
      <c r="A39" s="23" t="s">
        <v>366</v>
      </c>
      <c r="B39" s="23" t="s">
        <v>367</v>
      </c>
      <c r="C39" s="23" t="s">
        <v>311</v>
      </c>
      <c r="D39" s="23" t="s">
        <v>368</v>
      </c>
      <c r="E39" s="23" t="s">
        <v>369</v>
      </c>
      <c r="F39" s="24">
        <v>618299</v>
      </c>
      <c r="G39" s="24">
        <v>9423119</v>
      </c>
      <c r="H39" s="25">
        <v>249.89</v>
      </c>
    </row>
    <row r="40" spans="1:8" ht="15" customHeight="1" x14ac:dyDescent="0.3">
      <c r="A40" s="23" t="s">
        <v>370</v>
      </c>
      <c r="B40" s="23" t="s">
        <v>367</v>
      </c>
      <c r="C40" s="23" t="s">
        <v>311</v>
      </c>
      <c r="D40" s="23" t="s">
        <v>368</v>
      </c>
      <c r="E40" s="23" t="s">
        <v>369</v>
      </c>
      <c r="F40" s="24">
        <v>611305</v>
      </c>
      <c r="G40" s="24">
        <v>9419274</v>
      </c>
      <c r="H40" s="25">
        <v>160.97999999999999</v>
      </c>
    </row>
    <row r="41" spans="1:8" ht="15" customHeight="1" x14ac:dyDescent="0.3">
      <c r="A41" s="23" t="s">
        <v>371</v>
      </c>
      <c r="B41" s="23" t="s">
        <v>367</v>
      </c>
      <c r="C41" s="23" t="s">
        <v>311</v>
      </c>
      <c r="D41" s="23" t="s">
        <v>368</v>
      </c>
      <c r="E41" s="23" t="s">
        <v>369</v>
      </c>
      <c r="F41" s="24">
        <v>611196</v>
      </c>
      <c r="G41" s="24">
        <v>9416725</v>
      </c>
      <c r="H41" s="25">
        <v>333.01</v>
      </c>
    </row>
    <row r="42" spans="1:8" ht="15" customHeight="1" x14ac:dyDescent="0.3">
      <c r="A42" s="23" t="s">
        <v>372</v>
      </c>
      <c r="B42" s="23" t="s">
        <v>367</v>
      </c>
      <c r="C42" s="23" t="s">
        <v>311</v>
      </c>
      <c r="D42" s="23" t="s">
        <v>368</v>
      </c>
      <c r="E42" s="23" t="s">
        <v>369</v>
      </c>
      <c r="F42" s="24">
        <v>612864</v>
      </c>
      <c r="G42" s="24">
        <v>9413345</v>
      </c>
      <c r="H42" s="25">
        <v>514.36</v>
      </c>
    </row>
    <row r="43" spans="1:8" ht="15" customHeight="1" x14ac:dyDescent="0.3">
      <c r="A43" s="23" t="s">
        <v>373</v>
      </c>
      <c r="B43" s="23" t="s">
        <v>367</v>
      </c>
      <c r="C43" s="23" t="s">
        <v>311</v>
      </c>
      <c r="D43" s="23" t="s">
        <v>368</v>
      </c>
      <c r="E43" s="23" t="s">
        <v>369</v>
      </c>
      <c r="F43" s="24">
        <v>617860</v>
      </c>
      <c r="G43" s="24">
        <v>9413182</v>
      </c>
      <c r="H43" s="25">
        <v>295.73</v>
      </c>
    </row>
    <row r="44" spans="1:8" ht="15" customHeight="1" x14ac:dyDescent="0.3">
      <c r="A44" s="23" t="s">
        <v>374</v>
      </c>
      <c r="B44" s="23" t="s">
        <v>375</v>
      </c>
      <c r="C44" s="23" t="s">
        <v>311</v>
      </c>
      <c r="D44" s="23" t="s">
        <v>368</v>
      </c>
      <c r="E44" s="23" t="s">
        <v>369</v>
      </c>
      <c r="F44" s="24">
        <v>617695</v>
      </c>
      <c r="G44" s="24">
        <v>9409136</v>
      </c>
      <c r="H44" s="25">
        <v>188.8</v>
      </c>
    </row>
    <row r="45" spans="1:8" ht="15" customHeight="1" x14ac:dyDescent="0.3">
      <c r="A45" s="23" t="s">
        <v>376</v>
      </c>
      <c r="B45" s="23" t="s">
        <v>377</v>
      </c>
      <c r="C45" s="23" t="s">
        <v>311</v>
      </c>
      <c r="D45" s="23" t="s">
        <v>368</v>
      </c>
      <c r="E45" s="23" t="s">
        <v>369</v>
      </c>
      <c r="F45" s="24">
        <v>621058</v>
      </c>
      <c r="G45" s="24">
        <v>9410427</v>
      </c>
      <c r="H45" s="25">
        <v>160.36000000000001</v>
      </c>
    </row>
    <row r="46" spans="1:8" ht="15" customHeight="1" x14ac:dyDescent="0.3">
      <c r="A46" s="23" t="s">
        <v>378</v>
      </c>
      <c r="B46" s="23" t="s">
        <v>379</v>
      </c>
      <c r="C46" s="23" t="s">
        <v>311</v>
      </c>
      <c r="D46" s="23" t="s">
        <v>380</v>
      </c>
      <c r="E46" s="23" t="s">
        <v>381</v>
      </c>
      <c r="F46" s="24">
        <v>629338</v>
      </c>
      <c r="G46" s="24">
        <v>9413305</v>
      </c>
      <c r="H46" s="25">
        <v>294.2</v>
      </c>
    </row>
    <row r="47" spans="1:8" ht="15" customHeight="1" x14ac:dyDescent="0.3">
      <c r="A47" s="23" t="s">
        <v>382</v>
      </c>
      <c r="B47" s="23" t="s">
        <v>379</v>
      </c>
      <c r="C47" s="23" t="s">
        <v>311</v>
      </c>
      <c r="D47" s="23" t="s">
        <v>380</v>
      </c>
      <c r="E47" s="23" t="s">
        <v>381</v>
      </c>
      <c r="F47" s="24">
        <v>630685</v>
      </c>
      <c r="G47" s="24">
        <v>9410800</v>
      </c>
      <c r="H47" s="25">
        <v>80.98</v>
      </c>
    </row>
    <row r="48" spans="1:8" ht="15" customHeight="1" x14ac:dyDescent="0.3">
      <c r="A48" s="23" t="s">
        <v>383</v>
      </c>
      <c r="B48" s="23" t="s">
        <v>384</v>
      </c>
      <c r="C48" s="23" t="s">
        <v>311</v>
      </c>
      <c r="D48" s="23" t="s">
        <v>380</v>
      </c>
      <c r="E48" s="23" t="s">
        <v>381</v>
      </c>
      <c r="F48" s="24">
        <v>629006</v>
      </c>
      <c r="G48" s="24">
        <v>9407536</v>
      </c>
      <c r="H48" s="25">
        <v>130.43</v>
      </c>
    </row>
    <row r="49" spans="1:8" ht="15" customHeight="1" x14ac:dyDescent="0.3">
      <c r="A49" s="23" t="s">
        <v>16</v>
      </c>
      <c r="B49" s="23" t="s">
        <v>384</v>
      </c>
      <c r="C49" s="23" t="s">
        <v>311</v>
      </c>
      <c r="D49" s="23" t="s">
        <v>380</v>
      </c>
      <c r="E49" s="23" t="s">
        <v>381</v>
      </c>
      <c r="F49" s="24">
        <v>631438</v>
      </c>
      <c r="G49" s="24">
        <v>9403547</v>
      </c>
      <c r="H49" s="25">
        <v>115.38</v>
      </c>
    </row>
    <row r="50" spans="1:8" ht="15" customHeight="1" x14ac:dyDescent="0.3">
      <c r="A50" s="23" t="s">
        <v>385</v>
      </c>
      <c r="B50" s="23" t="s">
        <v>384</v>
      </c>
      <c r="C50" s="23" t="s">
        <v>311</v>
      </c>
      <c r="D50" s="23" t="s">
        <v>380</v>
      </c>
      <c r="E50" s="23" t="s">
        <v>381</v>
      </c>
      <c r="F50" s="24">
        <v>633232</v>
      </c>
      <c r="G50" s="24">
        <v>9401227</v>
      </c>
      <c r="H50" s="25">
        <v>65.739999999999995</v>
      </c>
    </row>
    <row r="51" spans="1:8" ht="15" customHeight="1" x14ac:dyDescent="0.3">
      <c r="A51" s="23" t="s">
        <v>386</v>
      </c>
      <c r="B51" s="23" t="s">
        <v>384</v>
      </c>
      <c r="C51" s="23" t="s">
        <v>311</v>
      </c>
      <c r="D51" s="23" t="s">
        <v>380</v>
      </c>
      <c r="E51" s="23" t="s">
        <v>381</v>
      </c>
      <c r="F51" s="24">
        <v>635110</v>
      </c>
      <c r="G51" s="24">
        <v>9399092</v>
      </c>
      <c r="H51" s="25">
        <v>91.29</v>
      </c>
    </row>
    <row r="52" spans="1:8" ht="15" customHeight="1" x14ac:dyDescent="0.3">
      <c r="A52" s="23" t="s">
        <v>387</v>
      </c>
      <c r="B52" s="23" t="s">
        <v>388</v>
      </c>
      <c r="C52" s="23" t="s">
        <v>311</v>
      </c>
      <c r="D52" s="23" t="s">
        <v>380</v>
      </c>
      <c r="E52" s="23" t="s">
        <v>381</v>
      </c>
      <c r="F52" s="24">
        <v>635876</v>
      </c>
      <c r="G52" s="24">
        <v>9397941</v>
      </c>
      <c r="H52" s="25">
        <v>81.790000000000006</v>
      </c>
    </row>
    <row r="53" spans="1:8" ht="15" customHeight="1" x14ac:dyDescent="0.3">
      <c r="A53" s="23" t="s">
        <v>389</v>
      </c>
      <c r="B53" s="23" t="s">
        <v>388</v>
      </c>
      <c r="C53" s="23" t="s">
        <v>311</v>
      </c>
      <c r="D53" s="23" t="s">
        <v>380</v>
      </c>
      <c r="E53" s="23" t="s">
        <v>381</v>
      </c>
      <c r="F53" s="24">
        <v>639728</v>
      </c>
      <c r="G53" s="24">
        <v>9396836</v>
      </c>
      <c r="H53" s="25">
        <v>173.43</v>
      </c>
    </row>
    <row r="54" spans="1:8" ht="15" customHeight="1" x14ac:dyDescent="0.3">
      <c r="A54" s="23" t="s">
        <v>390</v>
      </c>
      <c r="B54" s="23" t="s">
        <v>388</v>
      </c>
      <c r="C54" s="23" t="s">
        <v>311</v>
      </c>
      <c r="D54" s="23" t="s">
        <v>380</v>
      </c>
      <c r="E54" s="23" t="s">
        <v>381</v>
      </c>
      <c r="F54" s="24">
        <v>639987</v>
      </c>
      <c r="G54" s="24">
        <v>9394392</v>
      </c>
      <c r="H54" s="25">
        <v>30.91</v>
      </c>
    </row>
    <row r="55" spans="1:8" ht="15" customHeight="1" x14ac:dyDescent="0.3">
      <c r="A55" s="23" t="s">
        <v>391</v>
      </c>
      <c r="B55" s="23" t="s">
        <v>388</v>
      </c>
      <c r="C55" s="23" t="s">
        <v>311</v>
      </c>
      <c r="D55" s="23" t="s">
        <v>380</v>
      </c>
      <c r="E55" s="23" t="s">
        <v>381</v>
      </c>
      <c r="F55" s="24">
        <v>645575</v>
      </c>
      <c r="G55" s="24">
        <v>9393500</v>
      </c>
      <c r="H55" s="25">
        <v>1370.96</v>
      </c>
    </row>
    <row r="56" spans="1:8" ht="15" customHeight="1" x14ac:dyDescent="0.3">
      <c r="A56" s="23" t="s">
        <v>392</v>
      </c>
      <c r="B56" s="23" t="s">
        <v>377</v>
      </c>
      <c r="C56" s="23" t="s">
        <v>311</v>
      </c>
      <c r="D56" s="23" t="s">
        <v>380</v>
      </c>
      <c r="E56" s="23" t="s">
        <v>381</v>
      </c>
      <c r="F56" s="24">
        <v>625311</v>
      </c>
      <c r="G56" s="24">
        <v>9412195</v>
      </c>
      <c r="H56" s="25">
        <v>373.81</v>
      </c>
    </row>
    <row r="57" spans="1:8" ht="15" customHeight="1" x14ac:dyDescent="0.3">
      <c r="A57" s="23" t="s">
        <v>393</v>
      </c>
      <c r="B57" s="23" t="s">
        <v>377</v>
      </c>
      <c r="C57" s="23" t="s">
        <v>311</v>
      </c>
      <c r="D57" s="23" t="s">
        <v>380</v>
      </c>
      <c r="E57" s="23" t="s">
        <v>381</v>
      </c>
      <c r="F57" s="24">
        <v>621551</v>
      </c>
      <c r="G57" s="24">
        <v>9412989</v>
      </c>
      <c r="H57" s="25">
        <v>197.35</v>
      </c>
    </row>
    <row r="58" spans="1:8" ht="15" customHeight="1" x14ac:dyDescent="0.3">
      <c r="A58" s="23" t="s">
        <v>394</v>
      </c>
      <c r="B58" s="23" t="s">
        <v>379</v>
      </c>
      <c r="C58" s="23" t="s">
        <v>311</v>
      </c>
      <c r="D58" s="23" t="s">
        <v>395</v>
      </c>
      <c r="E58" s="23" t="s">
        <v>396</v>
      </c>
      <c r="F58" s="24">
        <v>638309</v>
      </c>
      <c r="G58" s="24">
        <v>9415217</v>
      </c>
      <c r="H58" s="25">
        <v>122.95</v>
      </c>
    </row>
    <row r="59" spans="1:8" ht="15" customHeight="1" x14ac:dyDescent="0.3">
      <c r="A59" s="23" t="s">
        <v>397</v>
      </c>
      <c r="B59" s="23" t="s">
        <v>379</v>
      </c>
      <c r="C59" s="23" t="s">
        <v>311</v>
      </c>
      <c r="D59" s="23" t="s">
        <v>395</v>
      </c>
      <c r="E59" s="23" t="s">
        <v>396</v>
      </c>
      <c r="F59" s="24">
        <v>637918</v>
      </c>
      <c r="G59" s="24">
        <v>9412134</v>
      </c>
      <c r="H59" s="25">
        <v>60.35</v>
      </c>
    </row>
    <row r="60" spans="1:8" ht="15" customHeight="1" x14ac:dyDescent="0.3">
      <c r="A60" s="23" t="s">
        <v>398</v>
      </c>
      <c r="B60" s="23" t="s">
        <v>399</v>
      </c>
      <c r="C60" s="23" t="s">
        <v>311</v>
      </c>
      <c r="D60" s="23" t="s">
        <v>395</v>
      </c>
      <c r="E60" s="23" t="s">
        <v>396</v>
      </c>
      <c r="F60" s="24">
        <v>638648</v>
      </c>
      <c r="G60" s="24">
        <v>9411370</v>
      </c>
      <c r="H60" s="25">
        <v>17.82</v>
      </c>
    </row>
    <row r="61" spans="1:8" ht="15" customHeight="1" x14ac:dyDescent="0.3">
      <c r="A61" s="23" t="s">
        <v>400</v>
      </c>
      <c r="B61" s="23" t="s">
        <v>379</v>
      </c>
      <c r="C61" s="23" t="s">
        <v>311</v>
      </c>
      <c r="D61" s="23" t="s">
        <v>395</v>
      </c>
      <c r="E61" s="23" t="s">
        <v>396</v>
      </c>
      <c r="F61" s="24">
        <v>635887</v>
      </c>
      <c r="G61" s="24">
        <v>9411738</v>
      </c>
      <c r="H61" s="25">
        <v>52.74</v>
      </c>
    </row>
    <row r="62" spans="1:8" ht="15" customHeight="1" x14ac:dyDescent="0.3">
      <c r="A62" s="23" t="s">
        <v>401</v>
      </c>
      <c r="B62" s="23" t="s">
        <v>379</v>
      </c>
      <c r="C62" s="23" t="s">
        <v>311</v>
      </c>
      <c r="D62" s="23" t="s">
        <v>395</v>
      </c>
      <c r="E62" s="23" t="s">
        <v>396</v>
      </c>
      <c r="F62" s="24">
        <v>633015</v>
      </c>
      <c r="G62" s="24">
        <v>9411483</v>
      </c>
      <c r="H62" s="25">
        <v>84.82</v>
      </c>
    </row>
    <row r="63" spans="1:8" ht="15" customHeight="1" x14ac:dyDescent="0.3">
      <c r="A63" s="23" t="s">
        <v>402</v>
      </c>
      <c r="B63" s="23" t="s">
        <v>379</v>
      </c>
      <c r="C63" s="23" t="s">
        <v>311</v>
      </c>
      <c r="D63" s="23" t="s">
        <v>395</v>
      </c>
      <c r="E63" s="23" t="s">
        <v>396</v>
      </c>
      <c r="F63" s="24">
        <v>632119</v>
      </c>
      <c r="G63" s="24">
        <v>9415141</v>
      </c>
      <c r="H63" s="25">
        <v>565.58000000000004</v>
      </c>
    </row>
    <row r="64" spans="1:8" ht="15" customHeight="1" x14ac:dyDescent="0.3">
      <c r="A64" s="23" t="s">
        <v>403</v>
      </c>
      <c r="B64" s="23" t="s">
        <v>399</v>
      </c>
      <c r="C64" s="23" t="s">
        <v>311</v>
      </c>
      <c r="D64" s="23" t="s">
        <v>395</v>
      </c>
      <c r="E64" s="23" t="s">
        <v>396</v>
      </c>
      <c r="F64" s="24">
        <v>642079</v>
      </c>
      <c r="G64" s="24">
        <v>9413823</v>
      </c>
      <c r="H64" s="25">
        <v>106.03</v>
      </c>
    </row>
    <row r="65" spans="1:8" ht="15" customHeight="1" x14ac:dyDescent="0.3">
      <c r="A65" s="23" t="s">
        <v>404</v>
      </c>
      <c r="B65" s="23" t="s">
        <v>405</v>
      </c>
      <c r="C65" s="23" t="s">
        <v>311</v>
      </c>
      <c r="D65" s="23" t="s">
        <v>406</v>
      </c>
      <c r="E65" s="23" t="s">
        <v>407</v>
      </c>
      <c r="F65" s="24">
        <v>642690</v>
      </c>
      <c r="G65" s="24">
        <v>9438409</v>
      </c>
      <c r="H65" s="25">
        <v>0.86</v>
      </c>
    </row>
    <row r="66" spans="1:8" ht="15" customHeight="1" x14ac:dyDescent="0.3">
      <c r="A66" s="23" t="s">
        <v>408</v>
      </c>
      <c r="B66" s="23" t="s">
        <v>405</v>
      </c>
      <c r="C66" s="23" t="s">
        <v>311</v>
      </c>
      <c r="D66" s="23" t="s">
        <v>406</v>
      </c>
      <c r="E66" s="23" t="s">
        <v>407</v>
      </c>
      <c r="F66" s="24">
        <v>642334</v>
      </c>
      <c r="G66" s="24">
        <v>9438263</v>
      </c>
      <c r="H66" s="25">
        <v>15.84</v>
      </c>
    </row>
    <row r="67" spans="1:8" ht="15" customHeight="1" x14ac:dyDescent="0.3">
      <c r="A67" s="23" t="s">
        <v>409</v>
      </c>
      <c r="B67" s="23" t="s">
        <v>405</v>
      </c>
      <c r="C67" s="23" t="s">
        <v>311</v>
      </c>
      <c r="D67" s="23" t="s">
        <v>406</v>
      </c>
      <c r="E67" s="23" t="s">
        <v>407</v>
      </c>
      <c r="F67" s="24">
        <v>641522</v>
      </c>
      <c r="G67" s="24">
        <v>9438064</v>
      </c>
      <c r="H67" s="25">
        <v>11.06</v>
      </c>
    </row>
    <row r="68" spans="1:8" ht="15" customHeight="1" x14ac:dyDescent="0.3">
      <c r="A68" s="23" t="s">
        <v>410</v>
      </c>
      <c r="B68" s="23" t="s">
        <v>405</v>
      </c>
      <c r="C68" s="23" t="s">
        <v>311</v>
      </c>
      <c r="D68" s="23" t="s">
        <v>406</v>
      </c>
      <c r="E68" s="23" t="s">
        <v>407</v>
      </c>
      <c r="F68" s="24">
        <v>639496</v>
      </c>
      <c r="G68" s="24">
        <v>9433679</v>
      </c>
      <c r="H68" s="25">
        <v>5.75</v>
      </c>
    </row>
    <row r="69" spans="1:8" ht="15" customHeight="1" x14ac:dyDescent="0.3">
      <c r="A69" s="23" t="s">
        <v>411</v>
      </c>
      <c r="B69" s="23" t="s">
        <v>405</v>
      </c>
      <c r="C69" s="23" t="s">
        <v>311</v>
      </c>
      <c r="D69" s="23" t="s">
        <v>406</v>
      </c>
      <c r="E69" s="23" t="s">
        <v>407</v>
      </c>
      <c r="F69" s="24">
        <v>638751</v>
      </c>
      <c r="G69" s="24">
        <v>9433236</v>
      </c>
      <c r="H69" s="25">
        <v>18.87</v>
      </c>
    </row>
    <row r="70" spans="1:8" ht="15" customHeight="1" x14ac:dyDescent="0.3">
      <c r="A70" s="23" t="s">
        <v>412</v>
      </c>
      <c r="B70" s="23" t="s">
        <v>405</v>
      </c>
      <c r="C70" s="23" t="s">
        <v>311</v>
      </c>
      <c r="D70" s="23" t="s">
        <v>406</v>
      </c>
      <c r="E70" s="23" t="s">
        <v>407</v>
      </c>
      <c r="F70" s="24">
        <v>636249</v>
      </c>
      <c r="G70" s="24">
        <v>9425665</v>
      </c>
      <c r="H70" s="25">
        <v>90.2</v>
      </c>
    </row>
    <row r="71" spans="1:8" ht="15" customHeight="1" x14ac:dyDescent="0.3">
      <c r="A71" s="23" t="s">
        <v>413</v>
      </c>
      <c r="B71" s="23" t="s">
        <v>405</v>
      </c>
      <c r="C71" s="23" t="s">
        <v>311</v>
      </c>
      <c r="D71" s="23" t="s">
        <v>406</v>
      </c>
      <c r="E71" s="23" t="s">
        <v>407</v>
      </c>
      <c r="F71" s="24">
        <v>634061</v>
      </c>
      <c r="G71" s="24">
        <v>9426778</v>
      </c>
      <c r="H71" s="25">
        <v>58.29</v>
      </c>
    </row>
    <row r="72" spans="1:8" ht="15" customHeight="1" x14ac:dyDescent="0.3">
      <c r="A72" s="23" t="s">
        <v>414</v>
      </c>
      <c r="B72" s="23" t="s">
        <v>405</v>
      </c>
      <c r="C72" s="23" t="s">
        <v>311</v>
      </c>
      <c r="D72" s="23" t="s">
        <v>406</v>
      </c>
      <c r="E72" s="23" t="s">
        <v>407</v>
      </c>
      <c r="F72" s="24">
        <v>626078</v>
      </c>
      <c r="G72" s="24">
        <v>9427110</v>
      </c>
      <c r="H72" s="25">
        <v>283.43</v>
      </c>
    </row>
    <row r="73" spans="1:8" ht="15" customHeight="1" x14ac:dyDescent="0.3">
      <c r="A73" s="23" t="s">
        <v>415</v>
      </c>
      <c r="B73" s="23" t="s">
        <v>416</v>
      </c>
      <c r="C73" s="23" t="s">
        <v>417</v>
      </c>
      <c r="D73" s="23" t="s">
        <v>418</v>
      </c>
      <c r="E73" s="23" t="s">
        <v>419</v>
      </c>
      <c r="F73" s="24">
        <v>646466</v>
      </c>
      <c r="G73" s="24">
        <v>9431126</v>
      </c>
      <c r="H73" s="25">
        <v>29.68</v>
      </c>
    </row>
    <row r="74" spans="1:8" ht="15" customHeight="1" x14ac:dyDescent="0.3">
      <c r="A74" s="23" t="s">
        <v>420</v>
      </c>
      <c r="B74" s="23" t="s">
        <v>416</v>
      </c>
      <c r="C74" s="23" t="s">
        <v>417</v>
      </c>
      <c r="D74" s="23" t="s">
        <v>418</v>
      </c>
      <c r="E74" s="23" t="s">
        <v>419</v>
      </c>
      <c r="F74" s="24">
        <v>647123</v>
      </c>
      <c r="G74" s="24">
        <v>9427602</v>
      </c>
      <c r="H74" s="25">
        <v>44.2</v>
      </c>
    </row>
    <row r="75" spans="1:8" ht="15" customHeight="1" x14ac:dyDescent="0.3">
      <c r="A75" s="23" t="s">
        <v>421</v>
      </c>
      <c r="B75" s="23" t="s">
        <v>416</v>
      </c>
      <c r="C75" s="23" t="s">
        <v>417</v>
      </c>
      <c r="D75" s="23" t="s">
        <v>418</v>
      </c>
      <c r="E75" s="23" t="s">
        <v>419</v>
      </c>
      <c r="F75" s="24">
        <v>647350</v>
      </c>
      <c r="G75" s="24">
        <v>9427252</v>
      </c>
      <c r="H75" s="25">
        <v>19.27</v>
      </c>
    </row>
    <row r="76" spans="1:8" ht="15" customHeight="1" x14ac:dyDescent="0.3">
      <c r="A76" s="23" t="s">
        <v>422</v>
      </c>
      <c r="B76" s="23" t="s">
        <v>416</v>
      </c>
      <c r="C76" s="23" t="s">
        <v>417</v>
      </c>
      <c r="D76" s="23" t="s">
        <v>418</v>
      </c>
      <c r="E76" s="23" t="s">
        <v>419</v>
      </c>
      <c r="F76" s="24">
        <v>646483</v>
      </c>
      <c r="G76" s="24">
        <v>9426305</v>
      </c>
      <c r="H76" s="25">
        <v>28.45</v>
      </c>
    </row>
    <row r="77" spans="1:8" ht="15" customHeight="1" x14ac:dyDescent="0.3">
      <c r="A77" s="23" t="s">
        <v>423</v>
      </c>
      <c r="B77" s="23" t="s">
        <v>416</v>
      </c>
      <c r="C77" s="23" t="s">
        <v>417</v>
      </c>
      <c r="D77" s="23" t="s">
        <v>418</v>
      </c>
      <c r="E77" s="23" t="s">
        <v>419</v>
      </c>
      <c r="F77" s="24">
        <v>646236</v>
      </c>
      <c r="G77" s="24">
        <v>9425052</v>
      </c>
      <c r="H77" s="25">
        <v>26.83</v>
      </c>
    </row>
    <row r="78" spans="1:8" ht="15" customHeight="1" x14ac:dyDescent="0.3">
      <c r="A78" s="23" t="s">
        <v>424</v>
      </c>
      <c r="B78" s="23" t="s">
        <v>425</v>
      </c>
      <c r="C78" s="23" t="s">
        <v>417</v>
      </c>
      <c r="D78" s="23" t="s">
        <v>418</v>
      </c>
      <c r="E78" s="23" t="s">
        <v>419</v>
      </c>
      <c r="F78" s="24">
        <v>649081</v>
      </c>
      <c r="G78" s="24">
        <v>9424506</v>
      </c>
      <c r="H78" s="25">
        <v>35.49</v>
      </c>
    </row>
    <row r="79" spans="1:8" ht="15" customHeight="1" x14ac:dyDescent="0.3">
      <c r="A79" s="23" t="s">
        <v>426</v>
      </c>
      <c r="B79" s="23" t="s">
        <v>425</v>
      </c>
      <c r="C79" s="23" t="s">
        <v>417</v>
      </c>
      <c r="D79" s="23" t="s">
        <v>418</v>
      </c>
      <c r="E79" s="23" t="s">
        <v>419</v>
      </c>
      <c r="F79" s="24">
        <v>649472</v>
      </c>
      <c r="G79" s="24">
        <v>9425705</v>
      </c>
      <c r="H79" s="25">
        <v>46.96</v>
      </c>
    </row>
    <row r="80" spans="1:8" ht="15" customHeight="1" x14ac:dyDescent="0.3">
      <c r="A80" s="23" t="s">
        <v>427</v>
      </c>
      <c r="B80" s="23" t="s">
        <v>425</v>
      </c>
      <c r="C80" s="23" t="s">
        <v>417</v>
      </c>
      <c r="D80" s="23" t="s">
        <v>417</v>
      </c>
      <c r="E80" s="23" t="s">
        <v>428</v>
      </c>
      <c r="F80" s="24">
        <v>657819</v>
      </c>
      <c r="G80" s="24">
        <v>9428541</v>
      </c>
      <c r="H80" s="25">
        <v>35.770000000000003</v>
      </c>
    </row>
    <row r="81" spans="1:8" ht="21.75" customHeight="1" x14ac:dyDescent="0.3">
      <c r="A81" s="23" t="s">
        <v>429</v>
      </c>
      <c r="B81" s="23" t="s">
        <v>430</v>
      </c>
      <c r="C81" s="23" t="s">
        <v>417</v>
      </c>
      <c r="D81" s="23" t="s">
        <v>417</v>
      </c>
      <c r="E81" s="23" t="s">
        <v>428</v>
      </c>
      <c r="F81" s="24">
        <v>656897</v>
      </c>
      <c r="G81" s="24">
        <v>9426033</v>
      </c>
      <c r="H81" s="25">
        <v>40.26</v>
      </c>
    </row>
    <row r="82" spans="1:8" ht="15" customHeight="1" x14ac:dyDescent="0.3">
      <c r="A82" s="23" t="s">
        <v>431</v>
      </c>
      <c r="B82" s="23" t="s">
        <v>425</v>
      </c>
      <c r="C82" s="23" t="s">
        <v>417</v>
      </c>
      <c r="D82" s="23" t="s">
        <v>417</v>
      </c>
      <c r="E82" s="23" t="s">
        <v>428</v>
      </c>
      <c r="F82" s="24">
        <v>655263</v>
      </c>
      <c r="G82" s="24">
        <v>9427340</v>
      </c>
      <c r="H82" s="25">
        <v>90.9</v>
      </c>
    </row>
    <row r="83" spans="1:8" ht="15" customHeight="1" x14ac:dyDescent="0.3">
      <c r="A83" s="23" t="s">
        <v>432</v>
      </c>
      <c r="B83" s="23" t="s">
        <v>425</v>
      </c>
      <c r="C83" s="23" t="s">
        <v>417</v>
      </c>
      <c r="D83" s="23" t="s">
        <v>433</v>
      </c>
      <c r="E83" s="23" t="s">
        <v>428</v>
      </c>
      <c r="F83" s="24">
        <v>653850</v>
      </c>
      <c r="G83" s="24">
        <v>9426236</v>
      </c>
      <c r="H83" s="25">
        <v>40.130000000000003</v>
      </c>
    </row>
    <row r="84" spans="1:8" ht="15" customHeight="1" x14ac:dyDescent="0.3">
      <c r="A84" s="23" t="s">
        <v>434</v>
      </c>
      <c r="B84" s="23" t="s">
        <v>425</v>
      </c>
      <c r="C84" s="23" t="s">
        <v>417</v>
      </c>
      <c r="D84" s="23" t="s">
        <v>433</v>
      </c>
      <c r="E84" s="23" t="s">
        <v>428</v>
      </c>
      <c r="F84" s="24">
        <v>654137</v>
      </c>
      <c r="G84" s="24">
        <v>9424425</v>
      </c>
      <c r="H84" s="25">
        <v>28.52</v>
      </c>
    </row>
    <row r="85" spans="1:8" ht="15" customHeight="1" x14ac:dyDescent="0.3">
      <c r="A85" s="23" t="s">
        <v>435</v>
      </c>
      <c r="B85" s="23" t="s">
        <v>425</v>
      </c>
      <c r="C85" s="23" t="s">
        <v>417</v>
      </c>
      <c r="D85" s="23" t="s">
        <v>433</v>
      </c>
      <c r="E85" s="23" t="s">
        <v>428</v>
      </c>
      <c r="F85" s="24">
        <v>652758</v>
      </c>
      <c r="G85" s="24">
        <v>9424380</v>
      </c>
      <c r="H85" s="25">
        <v>34.869999999999997</v>
      </c>
    </row>
    <row r="86" spans="1:8" ht="15" customHeight="1" x14ac:dyDescent="0.3">
      <c r="A86" s="23" t="s">
        <v>436</v>
      </c>
      <c r="B86" s="23" t="s">
        <v>425</v>
      </c>
      <c r="C86" s="23" t="s">
        <v>417</v>
      </c>
      <c r="D86" s="23" t="s">
        <v>433</v>
      </c>
      <c r="E86" s="23" t="s">
        <v>428</v>
      </c>
      <c r="F86" s="24">
        <v>654188</v>
      </c>
      <c r="G86" s="24">
        <v>9422849</v>
      </c>
      <c r="H86" s="25">
        <v>52.97</v>
      </c>
    </row>
    <row r="87" spans="1:8" ht="15" customHeight="1" x14ac:dyDescent="0.3">
      <c r="A87" s="23" t="s">
        <v>437</v>
      </c>
      <c r="B87" s="23" t="s">
        <v>425</v>
      </c>
      <c r="C87" s="23" t="s">
        <v>417</v>
      </c>
      <c r="D87" s="23" t="s">
        <v>433</v>
      </c>
      <c r="E87" s="23" t="s">
        <v>428</v>
      </c>
      <c r="F87" s="24">
        <v>655046</v>
      </c>
      <c r="G87" s="24">
        <v>9420450</v>
      </c>
      <c r="H87" s="25">
        <v>73.819999999999993</v>
      </c>
    </row>
    <row r="88" spans="1:8" ht="21.75" customHeight="1" x14ac:dyDescent="0.3">
      <c r="A88" s="23" t="s">
        <v>438</v>
      </c>
      <c r="B88" s="23" t="s">
        <v>430</v>
      </c>
      <c r="C88" s="23" t="s">
        <v>417</v>
      </c>
      <c r="D88" s="23" t="s">
        <v>433</v>
      </c>
      <c r="E88" s="23" t="s">
        <v>428</v>
      </c>
      <c r="F88" s="24">
        <v>657541</v>
      </c>
      <c r="G88" s="24">
        <v>9421083</v>
      </c>
      <c r="H88" s="25">
        <v>53.93</v>
      </c>
    </row>
    <row r="89" spans="1:8" ht="15" customHeight="1" x14ac:dyDescent="0.3">
      <c r="A89" s="23" t="s">
        <v>439</v>
      </c>
      <c r="B89" s="23" t="s">
        <v>425</v>
      </c>
      <c r="C89" s="23" t="s">
        <v>417</v>
      </c>
      <c r="D89" s="23" t="s">
        <v>433</v>
      </c>
      <c r="E89" s="23" t="s">
        <v>428</v>
      </c>
      <c r="F89" s="24">
        <v>654604</v>
      </c>
      <c r="G89" s="24">
        <v>9417736</v>
      </c>
      <c r="H89" s="25">
        <v>84.23</v>
      </c>
    </row>
    <row r="90" spans="1:8" ht="15" customHeight="1" x14ac:dyDescent="0.3">
      <c r="A90" s="23" t="s">
        <v>440</v>
      </c>
      <c r="B90" s="23" t="s">
        <v>425</v>
      </c>
      <c r="C90" s="23" t="s">
        <v>417</v>
      </c>
      <c r="D90" s="23" t="s">
        <v>433</v>
      </c>
      <c r="E90" s="23" t="s">
        <v>428</v>
      </c>
      <c r="F90" s="24">
        <v>652566</v>
      </c>
      <c r="G90" s="24">
        <v>9417311</v>
      </c>
      <c r="H90" s="25">
        <v>102.34</v>
      </c>
    </row>
    <row r="91" spans="1:8" ht="15" customHeight="1" x14ac:dyDescent="0.3">
      <c r="A91" s="23" t="s">
        <v>441</v>
      </c>
      <c r="B91" s="23" t="s">
        <v>399</v>
      </c>
      <c r="C91" s="23" t="s">
        <v>417</v>
      </c>
      <c r="D91" s="23" t="s">
        <v>433</v>
      </c>
      <c r="E91" s="23" t="s">
        <v>428</v>
      </c>
      <c r="F91" s="24">
        <v>652191</v>
      </c>
      <c r="G91" s="24">
        <v>9414358</v>
      </c>
      <c r="H91" s="25">
        <v>90.16</v>
      </c>
    </row>
    <row r="92" spans="1:8" ht="15" customHeight="1" x14ac:dyDescent="0.3">
      <c r="A92" s="23" t="s">
        <v>442</v>
      </c>
      <c r="B92" s="23" t="s">
        <v>399</v>
      </c>
      <c r="C92" s="23" t="s">
        <v>417</v>
      </c>
      <c r="D92" s="23" t="s">
        <v>433</v>
      </c>
      <c r="E92" s="23" t="s">
        <v>428</v>
      </c>
      <c r="F92" s="24">
        <v>655059</v>
      </c>
      <c r="G92" s="24">
        <v>9413845</v>
      </c>
      <c r="H92" s="25">
        <v>50.46</v>
      </c>
    </row>
    <row r="93" spans="1:8" ht="15" customHeight="1" x14ac:dyDescent="0.3">
      <c r="A93" s="23" t="s">
        <v>443</v>
      </c>
      <c r="B93" s="23" t="s">
        <v>444</v>
      </c>
      <c r="C93" s="23" t="s">
        <v>417</v>
      </c>
      <c r="D93" s="23" t="s">
        <v>433</v>
      </c>
      <c r="E93" s="23" t="s">
        <v>428</v>
      </c>
      <c r="F93" s="24">
        <v>650305</v>
      </c>
      <c r="G93" s="24">
        <v>9402785</v>
      </c>
      <c r="H93" s="25">
        <v>94.81</v>
      </c>
    </row>
    <row r="94" spans="1:8" ht="15" customHeight="1" x14ac:dyDescent="0.3">
      <c r="A94" s="23" t="s">
        <v>445</v>
      </c>
      <c r="B94" s="23" t="s">
        <v>446</v>
      </c>
      <c r="C94" s="23" t="s">
        <v>417</v>
      </c>
      <c r="D94" s="23" t="s">
        <v>433</v>
      </c>
      <c r="E94" s="23" t="s">
        <v>428</v>
      </c>
      <c r="F94" s="24">
        <v>641538</v>
      </c>
      <c r="G94" s="24">
        <v>9401360</v>
      </c>
      <c r="H94" s="25">
        <v>8.93</v>
      </c>
    </row>
    <row r="95" spans="1:8" ht="15" customHeight="1" x14ac:dyDescent="0.3">
      <c r="A95" s="23" t="s">
        <v>447</v>
      </c>
      <c r="B95" s="23" t="s">
        <v>448</v>
      </c>
      <c r="C95" s="23" t="s">
        <v>417</v>
      </c>
      <c r="D95" s="23" t="s">
        <v>449</v>
      </c>
      <c r="E95" s="23" t="s">
        <v>450</v>
      </c>
      <c r="F95" s="24">
        <v>664082</v>
      </c>
      <c r="G95" s="24">
        <v>9404172</v>
      </c>
      <c r="H95" s="25">
        <v>55.17</v>
      </c>
    </row>
    <row r="96" spans="1:8" ht="15" customHeight="1" x14ac:dyDescent="0.3">
      <c r="A96" s="23" t="s">
        <v>451</v>
      </c>
      <c r="B96" s="23" t="s">
        <v>448</v>
      </c>
      <c r="C96" s="23" t="s">
        <v>417</v>
      </c>
      <c r="D96" s="23" t="s">
        <v>449</v>
      </c>
      <c r="E96" s="23" t="s">
        <v>450</v>
      </c>
      <c r="F96" s="24">
        <v>663637</v>
      </c>
      <c r="G96" s="24">
        <v>9400618</v>
      </c>
      <c r="H96" s="25">
        <v>28.23</v>
      </c>
    </row>
    <row r="97" spans="1:8" ht="15" customHeight="1" x14ac:dyDescent="0.3">
      <c r="A97" s="23" t="s">
        <v>452</v>
      </c>
      <c r="B97" s="23" t="s">
        <v>448</v>
      </c>
      <c r="C97" s="23" t="s">
        <v>417</v>
      </c>
      <c r="D97" s="23" t="s">
        <v>449</v>
      </c>
      <c r="E97" s="23" t="s">
        <v>450</v>
      </c>
      <c r="F97" s="24">
        <v>659649</v>
      </c>
      <c r="G97" s="24">
        <v>9401436</v>
      </c>
      <c r="H97" s="25">
        <v>13.55</v>
      </c>
    </row>
    <row r="98" spans="1:8" ht="15" customHeight="1" x14ac:dyDescent="0.3">
      <c r="A98" s="23" t="s">
        <v>453</v>
      </c>
      <c r="B98" s="23" t="s">
        <v>444</v>
      </c>
      <c r="C98" s="23" t="s">
        <v>417</v>
      </c>
      <c r="D98" s="23" t="s">
        <v>449</v>
      </c>
      <c r="E98" s="23" t="s">
        <v>450</v>
      </c>
      <c r="F98" s="24">
        <v>657722</v>
      </c>
      <c r="G98" s="24">
        <v>9401669</v>
      </c>
      <c r="H98" s="25">
        <v>15.18</v>
      </c>
    </row>
    <row r="99" spans="1:8" ht="15" customHeight="1" x14ac:dyDescent="0.3">
      <c r="A99" s="23" t="s">
        <v>454</v>
      </c>
      <c r="B99" s="23" t="s">
        <v>448</v>
      </c>
      <c r="C99" s="23" t="s">
        <v>417</v>
      </c>
      <c r="D99" s="23" t="s">
        <v>449</v>
      </c>
      <c r="E99" s="23" t="s">
        <v>450</v>
      </c>
      <c r="F99" s="24">
        <v>656578</v>
      </c>
      <c r="G99" s="24">
        <v>9397762</v>
      </c>
      <c r="H99" s="25">
        <v>109.86</v>
      </c>
    </row>
    <row r="100" spans="1:8" ht="15" customHeight="1" x14ac:dyDescent="0.3">
      <c r="A100" s="23" t="s">
        <v>455</v>
      </c>
      <c r="B100" s="23" t="s">
        <v>448</v>
      </c>
      <c r="C100" s="23" t="s">
        <v>417</v>
      </c>
      <c r="D100" s="23" t="s">
        <v>449</v>
      </c>
      <c r="E100" s="23" t="s">
        <v>450</v>
      </c>
      <c r="F100" s="24">
        <v>656489</v>
      </c>
      <c r="G100" s="24">
        <v>9395403</v>
      </c>
      <c r="H100" s="25">
        <v>23.17</v>
      </c>
    </row>
    <row r="101" spans="1:8" ht="15" customHeight="1" x14ac:dyDescent="0.3">
      <c r="A101" s="23" t="s">
        <v>456</v>
      </c>
      <c r="B101" s="23" t="s">
        <v>448</v>
      </c>
      <c r="C101" s="23" t="s">
        <v>417</v>
      </c>
      <c r="D101" s="23" t="s">
        <v>449</v>
      </c>
      <c r="E101" s="23" t="s">
        <v>450</v>
      </c>
      <c r="F101" s="24">
        <v>654607</v>
      </c>
      <c r="G101" s="24">
        <v>9395038</v>
      </c>
      <c r="H101" s="25">
        <v>30.8</v>
      </c>
    </row>
    <row r="102" spans="1:8" ht="15" customHeight="1" x14ac:dyDescent="0.3">
      <c r="A102" s="23" t="s">
        <v>457</v>
      </c>
      <c r="B102" s="23" t="s">
        <v>448</v>
      </c>
      <c r="C102" s="23" t="s">
        <v>417</v>
      </c>
      <c r="D102" s="23" t="s">
        <v>449</v>
      </c>
      <c r="E102" s="23" t="s">
        <v>450</v>
      </c>
      <c r="F102" s="24">
        <v>654207</v>
      </c>
      <c r="G102" s="24">
        <v>9394210</v>
      </c>
      <c r="H102" s="25">
        <v>13.18</v>
      </c>
    </row>
    <row r="103" spans="1:8" ht="15" customHeight="1" x14ac:dyDescent="0.3">
      <c r="A103" s="23" t="s">
        <v>458</v>
      </c>
      <c r="B103" s="23" t="s">
        <v>446</v>
      </c>
      <c r="C103" s="23" t="s">
        <v>417</v>
      </c>
      <c r="D103" s="23" t="s">
        <v>449</v>
      </c>
      <c r="E103" s="23" t="s">
        <v>450</v>
      </c>
      <c r="F103" s="24">
        <v>641196</v>
      </c>
      <c r="G103" s="24">
        <v>9398710</v>
      </c>
      <c r="H103" s="25">
        <v>279.68</v>
      </c>
    </row>
    <row r="104" spans="1:8" ht="15" customHeight="1" x14ac:dyDescent="0.3">
      <c r="A104" s="23" t="s">
        <v>459</v>
      </c>
      <c r="B104" s="23" t="s">
        <v>388</v>
      </c>
      <c r="C104" s="23" t="s">
        <v>417</v>
      </c>
      <c r="D104" s="23" t="s">
        <v>449</v>
      </c>
      <c r="E104" s="23" t="s">
        <v>450</v>
      </c>
      <c r="F104" s="24">
        <v>639059</v>
      </c>
      <c r="G104" s="24">
        <v>9398295</v>
      </c>
      <c r="H104" s="25">
        <v>116.1</v>
      </c>
    </row>
    <row r="105" spans="1:8" ht="15" customHeight="1" x14ac:dyDescent="0.3">
      <c r="A105" s="23" t="s">
        <v>460</v>
      </c>
      <c r="B105" s="23" t="s">
        <v>461</v>
      </c>
      <c r="C105" s="23" t="s">
        <v>417</v>
      </c>
      <c r="D105" s="23" t="s">
        <v>462</v>
      </c>
      <c r="E105" s="23" t="s">
        <v>463</v>
      </c>
      <c r="F105" s="24">
        <v>662123</v>
      </c>
      <c r="G105" s="24">
        <v>9397575</v>
      </c>
      <c r="H105" s="25">
        <v>40.1</v>
      </c>
    </row>
    <row r="106" spans="1:8" ht="15" customHeight="1" x14ac:dyDescent="0.3">
      <c r="A106" s="23" t="s">
        <v>464</v>
      </c>
      <c r="B106" s="23" t="s">
        <v>461</v>
      </c>
      <c r="C106" s="23" t="s">
        <v>417</v>
      </c>
      <c r="D106" s="23" t="s">
        <v>462</v>
      </c>
      <c r="E106" s="23" t="s">
        <v>463</v>
      </c>
      <c r="F106" s="24">
        <v>664225</v>
      </c>
      <c r="G106" s="24">
        <v>9396339</v>
      </c>
      <c r="H106" s="25">
        <v>21.29</v>
      </c>
    </row>
    <row r="107" spans="1:8" ht="15" customHeight="1" x14ac:dyDescent="0.3">
      <c r="A107" s="23" t="s">
        <v>465</v>
      </c>
      <c r="B107" s="23" t="s">
        <v>461</v>
      </c>
      <c r="C107" s="23" t="s">
        <v>417</v>
      </c>
      <c r="D107" s="23" t="s">
        <v>462</v>
      </c>
      <c r="E107" s="23" t="s">
        <v>463</v>
      </c>
      <c r="F107" s="24">
        <v>666537</v>
      </c>
      <c r="G107" s="24">
        <v>9395918</v>
      </c>
      <c r="H107" s="25">
        <v>13.06</v>
      </c>
    </row>
    <row r="108" spans="1:8" ht="15" customHeight="1" x14ac:dyDescent="0.3">
      <c r="A108" s="23" t="s">
        <v>466</v>
      </c>
      <c r="B108" s="23" t="s">
        <v>461</v>
      </c>
      <c r="C108" s="23" t="s">
        <v>417</v>
      </c>
      <c r="D108" s="23" t="s">
        <v>462</v>
      </c>
      <c r="E108" s="23" t="s">
        <v>463</v>
      </c>
      <c r="F108" s="24">
        <v>666781</v>
      </c>
      <c r="G108" s="24">
        <v>9395573</v>
      </c>
      <c r="H108" s="25">
        <v>22.39</v>
      </c>
    </row>
    <row r="109" spans="1:8" ht="15" customHeight="1" x14ac:dyDescent="0.3">
      <c r="A109" s="23" t="s">
        <v>467</v>
      </c>
      <c r="B109" s="23" t="s">
        <v>461</v>
      </c>
      <c r="C109" s="23" t="s">
        <v>417</v>
      </c>
      <c r="D109" s="23" t="s">
        <v>462</v>
      </c>
      <c r="E109" s="23" t="s">
        <v>463</v>
      </c>
      <c r="F109" s="24">
        <v>663334</v>
      </c>
      <c r="G109" s="24">
        <v>9392820</v>
      </c>
      <c r="H109" s="25">
        <v>47.58</v>
      </c>
    </row>
    <row r="110" spans="1:8" ht="15" customHeight="1" x14ac:dyDescent="0.3">
      <c r="A110" s="23" t="s">
        <v>468</v>
      </c>
      <c r="B110" s="23" t="s">
        <v>461</v>
      </c>
      <c r="C110" s="23" t="s">
        <v>417</v>
      </c>
      <c r="D110" s="23" t="s">
        <v>462</v>
      </c>
      <c r="E110" s="23" t="s">
        <v>463</v>
      </c>
      <c r="F110" s="24">
        <v>663291</v>
      </c>
      <c r="G110" s="24">
        <v>9392332</v>
      </c>
      <c r="H110" s="25">
        <v>19.43</v>
      </c>
    </row>
    <row r="111" spans="1:8" ht="15" customHeight="1" x14ac:dyDescent="0.3">
      <c r="A111" s="23" t="s">
        <v>469</v>
      </c>
      <c r="B111" s="23" t="s">
        <v>461</v>
      </c>
      <c r="C111" s="23" t="s">
        <v>417</v>
      </c>
      <c r="D111" s="23" t="s">
        <v>462</v>
      </c>
      <c r="E111" s="23" t="s">
        <v>463</v>
      </c>
      <c r="F111" s="24">
        <v>662236</v>
      </c>
      <c r="G111" s="24">
        <v>9391211</v>
      </c>
      <c r="H111" s="25">
        <v>12.4</v>
      </c>
    </row>
    <row r="112" spans="1:8" ht="15" customHeight="1" x14ac:dyDescent="0.3">
      <c r="A112" s="23" t="s">
        <v>470</v>
      </c>
      <c r="B112" s="23" t="s">
        <v>461</v>
      </c>
      <c r="C112" s="23" t="s">
        <v>417</v>
      </c>
      <c r="D112" s="23" t="s">
        <v>462</v>
      </c>
      <c r="E112" s="23" t="s">
        <v>463</v>
      </c>
      <c r="F112" s="24">
        <v>660525</v>
      </c>
      <c r="G112" s="24">
        <v>9394327</v>
      </c>
      <c r="H112" s="25">
        <v>64.92</v>
      </c>
    </row>
    <row r="113" spans="1:8" ht="15" customHeight="1" x14ac:dyDescent="0.3">
      <c r="A113" s="23" t="s">
        <v>471</v>
      </c>
      <c r="B113" s="23" t="s">
        <v>461</v>
      </c>
      <c r="C113" s="23" t="s">
        <v>417</v>
      </c>
      <c r="D113" s="23" t="s">
        <v>462</v>
      </c>
      <c r="E113" s="23" t="s">
        <v>463</v>
      </c>
      <c r="F113" s="24">
        <v>658547</v>
      </c>
      <c r="G113" s="24">
        <v>9395594</v>
      </c>
      <c r="H113" s="25">
        <v>54.29</v>
      </c>
    </row>
    <row r="114" spans="1:8" ht="15" customHeight="1" x14ac:dyDescent="0.3">
      <c r="A114" s="23" t="s">
        <v>472</v>
      </c>
      <c r="B114" s="23" t="s">
        <v>461</v>
      </c>
      <c r="C114" s="23" t="s">
        <v>417</v>
      </c>
      <c r="D114" s="23" t="s">
        <v>462</v>
      </c>
      <c r="E114" s="23" t="s">
        <v>463</v>
      </c>
      <c r="F114" s="24">
        <v>656445</v>
      </c>
      <c r="G114" s="24">
        <v>9393180</v>
      </c>
      <c r="H114" s="25">
        <v>103.62</v>
      </c>
    </row>
    <row r="115" spans="1:8" ht="15" customHeight="1" x14ac:dyDescent="0.3">
      <c r="A115" s="23" t="s">
        <v>473</v>
      </c>
      <c r="B115" s="23" t="s">
        <v>474</v>
      </c>
      <c r="C115" s="23" t="s">
        <v>417</v>
      </c>
      <c r="D115" s="23" t="s">
        <v>462</v>
      </c>
      <c r="E115" s="23" t="s">
        <v>463</v>
      </c>
      <c r="F115" s="24">
        <v>652449</v>
      </c>
      <c r="G115" s="24">
        <v>9389179</v>
      </c>
      <c r="H115" s="25">
        <v>29.23</v>
      </c>
    </row>
    <row r="116" spans="1:8" ht="15" customHeight="1" x14ac:dyDescent="0.3">
      <c r="A116" s="23" t="s">
        <v>475</v>
      </c>
      <c r="B116" s="23" t="s">
        <v>474</v>
      </c>
      <c r="C116" s="23" t="s">
        <v>417</v>
      </c>
      <c r="D116" s="23" t="s">
        <v>462</v>
      </c>
      <c r="E116" s="23" t="s">
        <v>463</v>
      </c>
      <c r="F116" s="24">
        <v>644546</v>
      </c>
      <c r="G116" s="24">
        <v>9389106</v>
      </c>
      <c r="H116" s="25">
        <v>268.39</v>
      </c>
    </row>
    <row r="117" spans="1:8" ht="15" customHeight="1" x14ac:dyDescent="0.3">
      <c r="A117" s="23" t="s">
        <v>476</v>
      </c>
      <c r="B117" s="23" t="s">
        <v>461</v>
      </c>
      <c r="C117" s="23" t="s">
        <v>417</v>
      </c>
      <c r="D117" s="23" t="s">
        <v>462</v>
      </c>
      <c r="E117" s="23" t="s">
        <v>463</v>
      </c>
      <c r="F117" s="24">
        <v>665942</v>
      </c>
      <c r="G117" s="24">
        <v>9391144</v>
      </c>
      <c r="H117" s="25">
        <v>82.09</v>
      </c>
    </row>
    <row r="118" spans="1:8" ht="15" customHeight="1" x14ac:dyDescent="0.3">
      <c r="A118" s="23" t="s">
        <v>477</v>
      </c>
      <c r="B118" s="23" t="s">
        <v>478</v>
      </c>
      <c r="C118" s="23" t="s">
        <v>417</v>
      </c>
      <c r="D118" s="23" t="s">
        <v>462</v>
      </c>
      <c r="E118" s="23" t="s">
        <v>479</v>
      </c>
      <c r="F118" s="24">
        <v>642775</v>
      </c>
      <c r="G118" s="24">
        <v>9388574</v>
      </c>
      <c r="H118" s="25">
        <v>289.91000000000003</v>
      </c>
    </row>
    <row r="119" spans="1:8" ht="15" customHeight="1" x14ac:dyDescent="0.3">
      <c r="A119" s="23" t="s">
        <v>480</v>
      </c>
      <c r="B119" s="23" t="s">
        <v>478</v>
      </c>
      <c r="C119" s="23" t="s">
        <v>417</v>
      </c>
      <c r="D119" s="23" t="s">
        <v>462</v>
      </c>
      <c r="E119" s="23" t="s">
        <v>479</v>
      </c>
      <c r="F119" s="24">
        <v>643474</v>
      </c>
      <c r="G119" s="24">
        <v>9385620</v>
      </c>
      <c r="H119" s="25">
        <v>234.07</v>
      </c>
    </row>
    <row r="120" spans="1:8" ht="15" customHeight="1" x14ac:dyDescent="0.3">
      <c r="A120" s="23" t="s">
        <v>481</v>
      </c>
      <c r="B120" s="23" t="s">
        <v>482</v>
      </c>
      <c r="C120" s="23" t="s">
        <v>417</v>
      </c>
      <c r="D120" s="23" t="s">
        <v>462</v>
      </c>
      <c r="E120" s="23" t="s">
        <v>479</v>
      </c>
      <c r="F120" s="24">
        <v>650830</v>
      </c>
      <c r="G120" s="24">
        <v>9382303</v>
      </c>
      <c r="H120" s="25">
        <v>150.21</v>
      </c>
    </row>
    <row r="121" spans="1:8" ht="15" customHeight="1" x14ac:dyDescent="0.3">
      <c r="A121" s="23" t="s">
        <v>483</v>
      </c>
      <c r="B121" s="23" t="s">
        <v>482</v>
      </c>
      <c r="C121" s="23" t="s">
        <v>417</v>
      </c>
      <c r="D121" s="23" t="s">
        <v>462</v>
      </c>
      <c r="E121" s="23" t="s">
        <v>479</v>
      </c>
      <c r="F121" s="24">
        <v>652939</v>
      </c>
      <c r="G121" s="24">
        <v>9382105</v>
      </c>
      <c r="H121" s="25">
        <v>83.33</v>
      </c>
    </row>
    <row r="122" spans="1:8" ht="15" customHeight="1" x14ac:dyDescent="0.3">
      <c r="A122" s="23" t="s">
        <v>484</v>
      </c>
      <c r="B122" s="23" t="s">
        <v>474</v>
      </c>
      <c r="C122" s="23" t="s">
        <v>417</v>
      </c>
      <c r="D122" s="23" t="s">
        <v>462</v>
      </c>
      <c r="E122" s="23" t="s">
        <v>479</v>
      </c>
      <c r="F122" s="24">
        <v>656549</v>
      </c>
      <c r="G122" s="24">
        <v>9382009</v>
      </c>
      <c r="H122" s="25">
        <v>230.1</v>
      </c>
    </row>
    <row r="123" spans="1:8" ht="15" customHeight="1" x14ac:dyDescent="0.3">
      <c r="A123" s="23" t="s">
        <v>485</v>
      </c>
      <c r="B123" s="23" t="s">
        <v>482</v>
      </c>
      <c r="C123" s="23" t="s">
        <v>417</v>
      </c>
      <c r="D123" s="23" t="s">
        <v>462</v>
      </c>
      <c r="E123" s="23" t="s">
        <v>479</v>
      </c>
      <c r="F123" s="24">
        <v>656291</v>
      </c>
      <c r="G123" s="24">
        <v>9379096</v>
      </c>
      <c r="H123" s="25">
        <v>22.93</v>
      </c>
    </row>
    <row r="124" spans="1:8" ht="15" customHeight="1" x14ac:dyDescent="0.3">
      <c r="A124" s="23" t="s">
        <v>486</v>
      </c>
      <c r="B124" s="23" t="s">
        <v>482</v>
      </c>
      <c r="C124" s="23" t="s">
        <v>417</v>
      </c>
      <c r="D124" s="23" t="s">
        <v>462</v>
      </c>
      <c r="E124" s="23" t="s">
        <v>479</v>
      </c>
      <c r="F124" s="24">
        <v>657922</v>
      </c>
      <c r="G124" s="24">
        <v>9377477</v>
      </c>
      <c r="H124" s="25">
        <v>19.62</v>
      </c>
    </row>
    <row r="125" spans="1:8" ht="15" customHeight="1" x14ac:dyDescent="0.3">
      <c r="A125" s="23" t="s">
        <v>487</v>
      </c>
      <c r="B125" s="23" t="s">
        <v>482</v>
      </c>
      <c r="C125" s="23" t="s">
        <v>417</v>
      </c>
      <c r="D125" s="23" t="s">
        <v>462</v>
      </c>
      <c r="E125" s="23" t="s">
        <v>479</v>
      </c>
      <c r="F125" s="24">
        <v>657160</v>
      </c>
      <c r="G125" s="24">
        <v>9373050</v>
      </c>
      <c r="H125" s="25">
        <v>28.83</v>
      </c>
    </row>
    <row r="126" spans="1:8" ht="15" customHeight="1" x14ac:dyDescent="0.3">
      <c r="A126" s="23" t="s">
        <v>488</v>
      </c>
      <c r="B126" s="23" t="s">
        <v>482</v>
      </c>
      <c r="C126" s="23" t="s">
        <v>417</v>
      </c>
      <c r="D126" s="23" t="s">
        <v>462</v>
      </c>
      <c r="E126" s="23" t="s">
        <v>479</v>
      </c>
      <c r="F126" s="24">
        <v>652104</v>
      </c>
      <c r="G126" s="24">
        <v>9373045</v>
      </c>
      <c r="H126" s="25">
        <v>10.67</v>
      </c>
    </row>
    <row r="127" spans="1:8" ht="15" customHeight="1" x14ac:dyDescent="0.3">
      <c r="A127" s="23" t="s">
        <v>489</v>
      </c>
      <c r="B127" s="23" t="s">
        <v>482</v>
      </c>
      <c r="C127" s="23" t="s">
        <v>417</v>
      </c>
      <c r="D127" s="23" t="s">
        <v>462</v>
      </c>
      <c r="E127" s="23" t="s">
        <v>479</v>
      </c>
      <c r="F127" s="24">
        <v>651673</v>
      </c>
      <c r="G127" s="24">
        <v>9373383</v>
      </c>
      <c r="H127" s="25">
        <v>126.95</v>
      </c>
    </row>
    <row r="128" spans="1:8" ht="15" customHeight="1" x14ac:dyDescent="0.3">
      <c r="A128" s="23" t="s">
        <v>490</v>
      </c>
      <c r="B128" s="23" t="s">
        <v>482</v>
      </c>
      <c r="C128" s="23" t="s">
        <v>417</v>
      </c>
      <c r="D128" s="23" t="s">
        <v>462</v>
      </c>
      <c r="E128" s="23" t="s">
        <v>479</v>
      </c>
      <c r="F128" s="24">
        <v>649847</v>
      </c>
      <c r="G128" s="24">
        <v>9376260</v>
      </c>
      <c r="H128" s="25">
        <v>81.33</v>
      </c>
    </row>
  </sheetData>
  <pageMargins left="0.75" right="0.75" top="1" bottom="1" header="0.511811023622047" footer="0.511811023622047"/>
  <pageSetup paperSize="9" fitToHeight="0" orientation="landscape"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AK16"/>
  <sheetViews>
    <sheetView zoomScaleNormal="100" workbookViewId="0">
      <pane ySplit="3" topLeftCell="A4" activePane="bottomLeft" state="frozen"/>
      <selection pane="bottomLeft"/>
    </sheetView>
  </sheetViews>
  <sheetFormatPr baseColWidth="10" defaultColWidth="8.6640625" defaultRowHeight="14.4" x14ac:dyDescent="0.3"/>
  <cols>
    <col min="1" max="1" width="22" customWidth="1"/>
    <col min="2" max="2" width="29" customWidth="1"/>
    <col min="3" max="4" width="22" customWidth="1"/>
    <col min="5" max="5" width="29" customWidth="1"/>
    <col min="6" max="7" width="31" customWidth="1"/>
    <col min="8" max="8" width="29" customWidth="1"/>
    <col min="9" max="9" width="38" customWidth="1"/>
    <col min="10" max="11" width="22" customWidth="1"/>
    <col min="12" max="12" width="53" customWidth="1"/>
    <col min="13" max="13" width="40" customWidth="1"/>
    <col min="14" max="14" width="31" customWidth="1"/>
    <col min="15" max="15" width="27" customWidth="1"/>
    <col min="16" max="16" width="22" customWidth="1"/>
    <col min="17" max="17" width="28" customWidth="1"/>
    <col min="18" max="18" width="22" customWidth="1"/>
    <col min="19" max="19" width="28" customWidth="1"/>
    <col min="20" max="21" width="22" customWidth="1"/>
    <col min="22" max="22" width="30" customWidth="1"/>
    <col min="23" max="23" width="34" customWidth="1"/>
    <col min="24" max="26" width="22" customWidth="1"/>
    <col min="27" max="27" width="25" customWidth="1"/>
    <col min="28" max="28" width="26" customWidth="1"/>
    <col min="29" max="29" width="22" customWidth="1"/>
    <col min="30" max="30" width="47" customWidth="1"/>
    <col min="31" max="31" width="33" customWidth="1"/>
    <col min="32" max="32" width="25" customWidth="1"/>
    <col min="33" max="37" width="22" customWidth="1"/>
  </cols>
  <sheetData>
    <row r="1" spans="1:37" ht="15" customHeight="1" x14ac:dyDescent="0.3">
      <c r="A1" s="1" t="s">
        <v>491</v>
      </c>
      <c r="B1" s="1"/>
      <c r="C1" s="1"/>
      <c r="D1" s="1"/>
      <c r="E1" s="1"/>
      <c r="F1" s="1"/>
      <c r="G1" s="1"/>
      <c r="H1" s="1"/>
    </row>
    <row r="3" spans="1:37" ht="15" customHeight="1" x14ac:dyDescent="0.3">
      <c r="A3" s="16" t="s">
        <v>492</v>
      </c>
      <c r="B3" s="16" t="s">
        <v>493</v>
      </c>
      <c r="C3" s="16" t="s">
        <v>494</v>
      </c>
      <c r="D3" s="16" t="s">
        <v>495</v>
      </c>
      <c r="E3" s="16" t="s">
        <v>496</v>
      </c>
      <c r="F3" s="16" t="s">
        <v>497</v>
      </c>
      <c r="G3" s="16" t="s">
        <v>498</v>
      </c>
      <c r="H3" s="16" t="s">
        <v>499</v>
      </c>
      <c r="I3" s="16" t="s">
        <v>500</v>
      </c>
      <c r="J3" s="16" t="s">
        <v>501</v>
      </c>
      <c r="K3" s="16" t="s">
        <v>502</v>
      </c>
      <c r="L3" s="16" t="s">
        <v>503</v>
      </c>
      <c r="M3" s="16" t="s">
        <v>504</v>
      </c>
      <c r="N3" s="16" t="s">
        <v>505</v>
      </c>
      <c r="O3" s="16" t="s">
        <v>506</v>
      </c>
      <c r="P3" s="16" t="s">
        <v>507</v>
      </c>
      <c r="Q3" s="16" t="s">
        <v>508</v>
      </c>
      <c r="R3" s="16" t="s">
        <v>509</v>
      </c>
      <c r="S3" s="16" t="s">
        <v>510</v>
      </c>
      <c r="T3" s="16" t="s">
        <v>511</v>
      </c>
      <c r="U3" s="16" t="s">
        <v>512</v>
      </c>
      <c r="V3" s="16" t="s">
        <v>513</v>
      </c>
      <c r="W3" s="16" t="s">
        <v>514</v>
      </c>
      <c r="X3" s="16" t="s">
        <v>515</v>
      </c>
      <c r="Y3" s="16" t="s">
        <v>516</v>
      </c>
      <c r="Z3" s="16" t="s">
        <v>517</v>
      </c>
      <c r="AA3" s="16" t="s">
        <v>518</v>
      </c>
      <c r="AB3" s="16" t="s">
        <v>519</v>
      </c>
      <c r="AC3" s="16" t="s">
        <v>520</v>
      </c>
      <c r="AD3" s="16" t="s">
        <v>521</v>
      </c>
      <c r="AE3" s="16" t="s">
        <v>522</v>
      </c>
      <c r="AF3" s="16" t="s">
        <v>523</v>
      </c>
      <c r="AG3" s="16" t="s">
        <v>524</v>
      </c>
      <c r="AH3" s="16" t="s">
        <v>525</v>
      </c>
      <c r="AI3" s="16" t="s">
        <v>526</v>
      </c>
      <c r="AJ3" s="16" t="s">
        <v>527</v>
      </c>
      <c r="AK3" s="16" t="s">
        <v>528</v>
      </c>
    </row>
    <row r="4" spans="1:37" ht="15" customHeight="1" x14ac:dyDescent="0.3">
      <c r="A4" s="23" t="s">
        <v>529</v>
      </c>
      <c r="B4" s="23" t="s">
        <v>530</v>
      </c>
      <c r="C4" s="23" t="s">
        <v>531</v>
      </c>
      <c r="D4" s="23" t="s">
        <v>532</v>
      </c>
      <c r="E4" s="23" t="s">
        <v>39</v>
      </c>
      <c r="F4" s="23" t="s">
        <v>533</v>
      </c>
      <c r="G4" s="23" t="s">
        <v>534</v>
      </c>
      <c r="H4" s="23" t="s">
        <v>535</v>
      </c>
      <c r="I4" s="23" t="s">
        <v>536</v>
      </c>
      <c r="J4" s="23" t="s">
        <v>537</v>
      </c>
      <c r="K4" s="23" t="s">
        <v>538</v>
      </c>
      <c r="L4" s="23" t="s">
        <v>539</v>
      </c>
      <c r="M4" s="23" t="s">
        <v>540</v>
      </c>
      <c r="N4" s="23" t="s">
        <v>541</v>
      </c>
      <c r="O4" s="23" t="s">
        <v>542</v>
      </c>
      <c r="P4" s="23" t="s">
        <v>122</v>
      </c>
      <c r="Q4" s="23" t="s">
        <v>125</v>
      </c>
      <c r="R4" s="23" t="s">
        <v>127</v>
      </c>
      <c r="S4" s="23" t="s">
        <v>543</v>
      </c>
      <c r="T4" s="23" t="s">
        <v>143</v>
      </c>
      <c r="U4" s="23" t="s">
        <v>544</v>
      </c>
      <c r="V4" s="23" t="s">
        <v>184</v>
      </c>
      <c r="W4" s="23" t="s">
        <v>545</v>
      </c>
      <c r="X4" s="23" t="s">
        <v>533</v>
      </c>
      <c r="Y4" s="23" t="s">
        <v>231</v>
      </c>
      <c r="Z4" s="23" t="s">
        <v>546</v>
      </c>
      <c r="AA4" s="23" t="s">
        <v>262</v>
      </c>
      <c r="AB4" s="23" t="s">
        <v>547</v>
      </c>
      <c r="AC4" s="23" t="s">
        <v>548</v>
      </c>
      <c r="AD4" s="23" t="s">
        <v>549</v>
      </c>
      <c r="AE4" s="23" t="s">
        <v>550</v>
      </c>
      <c r="AF4" s="23" t="s">
        <v>551</v>
      </c>
      <c r="AG4" s="23" t="s">
        <v>231</v>
      </c>
      <c r="AH4" s="23" t="s">
        <v>552</v>
      </c>
      <c r="AI4" s="23" t="s">
        <v>553</v>
      </c>
      <c r="AJ4" s="23" t="s">
        <v>62</v>
      </c>
      <c r="AK4" s="23" t="s">
        <v>62</v>
      </c>
    </row>
    <row r="5" spans="1:37" ht="15" customHeight="1" x14ac:dyDescent="0.3">
      <c r="A5" s="23" t="s">
        <v>554</v>
      </c>
      <c r="B5" s="23" t="s">
        <v>555</v>
      </c>
      <c r="C5" s="23" t="s">
        <v>556</v>
      </c>
      <c r="D5" s="23" t="s">
        <v>557</v>
      </c>
      <c r="E5" s="23" t="s">
        <v>558</v>
      </c>
      <c r="F5" s="23" t="s">
        <v>65</v>
      </c>
      <c r="G5" s="23" t="s">
        <v>559</v>
      </c>
      <c r="H5" s="23" t="s">
        <v>560</v>
      </c>
      <c r="I5" s="23" t="s">
        <v>561</v>
      </c>
      <c r="J5" s="23" t="s">
        <v>562</v>
      </c>
      <c r="K5" s="23" t="s">
        <v>563</v>
      </c>
      <c r="L5" s="23" t="s">
        <v>564</v>
      </c>
      <c r="M5" s="23" t="s">
        <v>107</v>
      </c>
      <c r="N5" s="23" t="s">
        <v>565</v>
      </c>
      <c r="O5" s="23" t="s">
        <v>120</v>
      </c>
      <c r="P5" s="23" t="s">
        <v>566</v>
      </c>
      <c r="Q5" s="23" t="s">
        <v>567</v>
      </c>
      <c r="R5" s="23" t="s">
        <v>568</v>
      </c>
      <c r="S5" s="23" t="s">
        <v>142</v>
      </c>
      <c r="T5" s="23" t="s">
        <v>569</v>
      </c>
      <c r="U5" s="23" t="s">
        <v>144</v>
      </c>
      <c r="V5" s="23" t="s">
        <v>570</v>
      </c>
      <c r="W5" s="23" t="s">
        <v>571</v>
      </c>
      <c r="X5" s="23" t="s">
        <v>202</v>
      </c>
      <c r="Y5" s="23" t="s">
        <v>253</v>
      </c>
      <c r="Z5" s="23" t="s">
        <v>572</v>
      </c>
      <c r="AA5" s="23" t="s">
        <v>573</v>
      </c>
      <c r="AB5" s="23" t="s">
        <v>574</v>
      </c>
      <c r="AC5" s="23" t="s">
        <v>575</v>
      </c>
      <c r="AD5" s="23" t="s">
        <v>576</v>
      </c>
      <c r="AE5" s="23" t="s">
        <v>284</v>
      </c>
      <c r="AF5" s="23" t="s">
        <v>577</v>
      </c>
      <c r="AG5" s="23" t="s">
        <v>253</v>
      </c>
      <c r="AH5" s="23" t="s">
        <v>578</v>
      </c>
      <c r="AI5" s="23" t="s">
        <v>579</v>
      </c>
      <c r="AJ5" s="23" t="s">
        <v>44</v>
      </c>
      <c r="AK5" s="23" t="s">
        <v>44</v>
      </c>
    </row>
    <row r="6" spans="1:37" ht="15" customHeight="1" x14ac:dyDescent="0.3">
      <c r="A6" s="23" t="s">
        <v>31</v>
      </c>
      <c r="B6" s="23" t="s">
        <v>580</v>
      </c>
      <c r="C6" s="23" t="s">
        <v>35</v>
      </c>
      <c r="D6" s="23" t="s">
        <v>581</v>
      </c>
      <c r="E6" s="23" t="s">
        <v>582</v>
      </c>
      <c r="F6" s="23" t="s">
        <v>583</v>
      </c>
      <c r="G6" s="23" t="s">
        <v>584</v>
      </c>
      <c r="H6" s="23" t="s">
        <v>585</v>
      </c>
      <c r="I6" s="23" t="s">
        <v>586</v>
      </c>
      <c r="J6" s="23" t="s">
        <v>587</v>
      </c>
      <c r="K6" s="23" t="s">
        <v>588</v>
      </c>
      <c r="L6" s="23" t="s">
        <v>104</v>
      </c>
      <c r="M6" s="23" t="s">
        <v>589</v>
      </c>
      <c r="N6" s="23" t="s">
        <v>109</v>
      </c>
      <c r="O6" s="23" t="s">
        <v>590</v>
      </c>
      <c r="P6" s="23" t="s">
        <v>591</v>
      </c>
      <c r="Q6" s="23" t="s">
        <v>592</v>
      </c>
      <c r="R6" s="23" t="s">
        <v>593</v>
      </c>
      <c r="S6" s="23" t="s">
        <v>148</v>
      </c>
      <c r="T6" s="23" t="s">
        <v>594</v>
      </c>
      <c r="U6" s="23" t="s">
        <v>152</v>
      </c>
      <c r="V6" s="23" t="s">
        <v>595</v>
      </c>
      <c r="W6" s="23" t="s">
        <v>596</v>
      </c>
      <c r="X6" s="23" t="s">
        <v>597</v>
      </c>
      <c r="Y6" s="23" t="s">
        <v>234</v>
      </c>
      <c r="Z6" s="23" t="s">
        <v>597</v>
      </c>
      <c r="AA6" s="23" t="s">
        <v>598</v>
      </c>
      <c r="AB6" s="23" t="s">
        <v>599</v>
      </c>
      <c r="AC6" s="23" t="s">
        <v>294</v>
      </c>
      <c r="AD6" s="23" t="s">
        <v>600</v>
      </c>
      <c r="AE6" s="23" t="s">
        <v>601</v>
      </c>
      <c r="AF6" s="23" t="s">
        <v>602</v>
      </c>
      <c r="AG6" s="23" t="s">
        <v>234</v>
      </c>
      <c r="AH6" s="23" t="s">
        <v>294</v>
      </c>
      <c r="AI6" s="23" t="s">
        <v>296</v>
      </c>
      <c r="AK6" s="23" t="s">
        <v>185</v>
      </c>
    </row>
    <row r="7" spans="1:37" ht="15" customHeight="1" x14ac:dyDescent="0.3">
      <c r="A7" s="23" t="s">
        <v>603</v>
      </c>
      <c r="B7" s="23" t="s">
        <v>33</v>
      </c>
      <c r="C7" s="23" t="s">
        <v>604</v>
      </c>
      <c r="D7" s="23" t="s">
        <v>37</v>
      </c>
      <c r="E7" s="23" t="s">
        <v>605</v>
      </c>
      <c r="F7" s="23" t="s">
        <v>606</v>
      </c>
      <c r="G7" s="23" t="s">
        <v>607</v>
      </c>
      <c r="H7" s="23" t="s">
        <v>608</v>
      </c>
      <c r="I7" s="23" t="s">
        <v>609</v>
      </c>
      <c r="J7" s="23" t="s">
        <v>87</v>
      </c>
      <c r="K7" s="23" t="s">
        <v>90</v>
      </c>
      <c r="L7" s="23" t="s">
        <v>610</v>
      </c>
      <c r="M7" s="23" t="s">
        <v>611</v>
      </c>
      <c r="N7" s="23" t="s">
        <v>612</v>
      </c>
      <c r="O7" s="23" t="s">
        <v>613</v>
      </c>
      <c r="P7" s="23" t="s">
        <v>614</v>
      </c>
      <c r="Q7" s="23" t="s">
        <v>615</v>
      </c>
      <c r="R7" s="23" t="s">
        <v>616</v>
      </c>
      <c r="S7" s="23" t="s">
        <v>160</v>
      </c>
      <c r="T7" s="23" t="s">
        <v>617</v>
      </c>
      <c r="U7" s="23" t="s">
        <v>156</v>
      </c>
      <c r="V7" s="23" t="s">
        <v>618</v>
      </c>
      <c r="W7" s="23" t="s">
        <v>619</v>
      </c>
      <c r="X7" s="23" t="s">
        <v>199</v>
      </c>
      <c r="Z7" s="23" t="s">
        <v>260</v>
      </c>
      <c r="AA7" s="23" t="s">
        <v>620</v>
      </c>
      <c r="AB7" s="23" t="s">
        <v>621</v>
      </c>
      <c r="AC7" s="23" t="s">
        <v>622</v>
      </c>
      <c r="AD7" s="23" t="s">
        <v>623</v>
      </c>
      <c r="AE7" s="23" t="s">
        <v>624</v>
      </c>
      <c r="AF7" s="23" t="s">
        <v>625</v>
      </c>
      <c r="AH7" s="23" t="s">
        <v>626</v>
      </c>
      <c r="AI7" s="23" t="s">
        <v>627</v>
      </c>
    </row>
    <row r="8" spans="1:37" ht="15" customHeight="1" x14ac:dyDescent="0.3">
      <c r="A8" s="23" t="s">
        <v>628</v>
      </c>
      <c r="B8" s="23" t="s">
        <v>629</v>
      </c>
      <c r="C8" s="23" t="s">
        <v>630</v>
      </c>
      <c r="D8" s="23" t="s">
        <v>631</v>
      </c>
      <c r="E8" s="23" t="s">
        <v>632</v>
      </c>
      <c r="F8" s="23" t="s">
        <v>633</v>
      </c>
      <c r="G8" s="23" t="s">
        <v>634</v>
      </c>
      <c r="H8" s="23" t="s">
        <v>635</v>
      </c>
      <c r="I8" s="23" t="s">
        <v>636</v>
      </c>
      <c r="J8" s="23" t="s">
        <v>637</v>
      </c>
      <c r="L8" s="23" t="s">
        <v>638</v>
      </c>
      <c r="M8" s="23" t="s">
        <v>639</v>
      </c>
      <c r="N8" s="23" t="s">
        <v>640</v>
      </c>
      <c r="P8" s="23" t="s">
        <v>641</v>
      </c>
      <c r="Q8" s="23" t="s">
        <v>642</v>
      </c>
      <c r="R8" s="23" t="s">
        <v>643</v>
      </c>
      <c r="S8" s="23" t="s">
        <v>644</v>
      </c>
      <c r="U8" s="23" t="s">
        <v>645</v>
      </c>
      <c r="V8" s="23" t="s">
        <v>177</v>
      </c>
      <c r="W8" s="23" t="s">
        <v>178</v>
      </c>
      <c r="X8" s="23" t="s">
        <v>646</v>
      </c>
      <c r="Z8" s="23" t="s">
        <v>647</v>
      </c>
      <c r="AB8" s="23" t="s">
        <v>648</v>
      </c>
      <c r="AC8" s="23" t="s">
        <v>613</v>
      </c>
      <c r="AD8" s="23" t="s">
        <v>649</v>
      </c>
      <c r="AE8" s="23" t="s">
        <v>650</v>
      </c>
      <c r="AF8" s="23" t="s">
        <v>288</v>
      </c>
      <c r="AI8" s="23" t="s">
        <v>218</v>
      </c>
    </row>
    <row r="9" spans="1:37" ht="15" customHeight="1" x14ac:dyDescent="0.3">
      <c r="B9" s="23" t="s">
        <v>651</v>
      </c>
      <c r="C9" s="23" t="s">
        <v>652</v>
      </c>
      <c r="D9" s="23" t="s">
        <v>653</v>
      </c>
      <c r="E9" s="23" t="s">
        <v>654</v>
      </c>
      <c r="F9" s="23" t="s">
        <v>655</v>
      </c>
      <c r="I9" s="23" t="s">
        <v>656</v>
      </c>
      <c r="L9" s="23" t="s">
        <v>657</v>
      </c>
      <c r="M9" s="23" t="s">
        <v>658</v>
      </c>
      <c r="N9" s="23" t="s">
        <v>659</v>
      </c>
      <c r="P9" s="23" t="s">
        <v>660</v>
      </c>
      <c r="R9" s="23" t="s">
        <v>661</v>
      </c>
      <c r="S9" s="23" t="s">
        <v>662</v>
      </c>
      <c r="V9" s="23" t="s">
        <v>663</v>
      </c>
      <c r="W9" s="23" t="s">
        <v>181</v>
      </c>
      <c r="AB9" s="23" t="s">
        <v>664</v>
      </c>
      <c r="AE9" s="23" t="s">
        <v>665</v>
      </c>
      <c r="AF9" s="23" t="s">
        <v>666</v>
      </c>
      <c r="AI9" s="23" t="s">
        <v>626</v>
      </c>
    </row>
    <row r="10" spans="1:37" ht="15" customHeight="1" x14ac:dyDescent="0.3">
      <c r="C10" s="23" t="s">
        <v>667</v>
      </c>
      <c r="D10" s="23" t="s">
        <v>668</v>
      </c>
      <c r="E10" s="23" t="s">
        <v>669</v>
      </c>
      <c r="I10" s="23" t="s">
        <v>670</v>
      </c>
      <c r="L10" s="23" t="s">
        <v>671</v>
      </c>
      <c r="N10" s="23" t="s">
        <v>672</v>
      </c>
      <c r="R10" s="23" t="s">
        <v>673</v>
      </c>
      <c r="S10" s="23" t="s">
        <v>674</v>
      </c>
      <c r="W10" s="23" t="s">
        <v>675</v>
      </c>
      <c r="AB10" s="23" t="s">
        <v>676</v>
      </c>
      <c r="AF10" s="23" t="s">
        <v>677</v>
      </c>
    </row>
    <row r="11" spans="1:37" ht="15" customHeight="1" x14ac:dyDescent="0.3">
      <c r="C11" s="23" t="s">
        <v>678</v>
      </c>
      <c r="D11" s="23" t="s">
        <v>679</v>
      </c>
      <c r="I11" s="23" t="s">
        <v>680</v>
      </c>
      <c r="L11" s="23" t="s">
        <v>681</v>
      </c>
      <c r="N11" s="23" t="s">
        <v>682</v>
      </c>
      <c r="R11" s="23" t="s">
        <v>683</v>
      </c>
      <c r="S11" s="23" t="s">
        <v>684</v>
      </c>
      <c r="W11" s="23" t="s">
        <v>685</v>
      </c>
      <c r="AB11" s="23" t="s">
        <v>686</v>
      </c>
    </row>
    <row r="12" spans="1:37" ht="15" customHeight="1" x14ac:dyDescent="0.3">
      <c r="C12" s="23" t="s">
        <v>687</v>
      </c>
      <c r="D12" s="23" t="s">
        <v>688</v>
      </c>
      <c r="I12" s="23" t="s">
        <v>218</v>
      </c>
      <c r="L12" s="23" t="s">
        <v>689</v>
      </c>
      <c r="N12" s="23" t="s">
        <v>218</v>
      </c>
      <c r="R12" s="23" t="s">
        <v>690</v>
      </c>
      <c r="W12" s="23" t="s">
        <v>691</v>
      </c>
      <c r="AB12" s="23" t="s">
        <v>692</v>
      </c>
    </row>
    <row r="13" spans="1:37" ht="15" customHeight="1" x14ac:dyDescent="0.3">
      <c r="L13" s="23" t="s">
        <v>693</v>
      </c>
      <c r="R13" s="23" t="s">
        <v>694</v>
      </c>
      <c r="W13" s="23" t="s">
        <v>185</v>
      </c>
      <c r="AB13" s="23" t="s">
        <v>218</v>
      </c>
    </row>
    <row r="14" spans="1:37" ht="15" customHeight="1" x14ac:dyDescent="0.3">
      <c r="L14" s="23" t="s">
        <v>695</v>
      </c>
      <c r="R14" s="23" t="s">
        <v>696</v>
      </c>
    </row>
    <row r="15" spans="1:37" ht="15" customHeight="1" x14ac:dyDescent="0.3">
      <c r="L15" s="23" t="s">
        <v>697</v>
      </c>
    </row>
    <row r="16" spans="1:37" ht="15" customHeight="1" x14ac:dyDescent="0.3">
      <c r="L16" s="23" t="s">
        <v>218</v>
      </c>
    </row>
  </sheetData>
  <mergeCells count="1">
    <mergeCell ref="A1:H1"/>
  </mergeCells>
  <pageMargins left="0.75" right="0.75" top="1" bottom="1" header="0.511811023622047" footer="0.511811023622047"/>
  <pageSetup paperSize="9" fitToHeight="0" orientation="landscape"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Hojas de cálculo</vt:lpstr>
      </vt:variant>
      <vt:variant>
        <vt:i4>7</vt:i4>
      </vt:variant>
      <vt:variant>
        <vt:lpstr>Rangos con nombre</vt:lpstr>
      </vt:variant>
      <vt:variant>
        <vt:i4>44</vt:i4>
      </vt:variant>
    </vt:vector>
  </HeadingPairs>
  <TitlesOfParts>
    <vt:vector size="51" baseType="lpstr">
      <vt:lpstr>F-DT-01</vt:lpstr>
      <vt:lpstr>F-DT-02</vt:lpstr>
      <vt:lpstr>F-DT-03</vt:lpstr>
      <vt:lpstr>F-DT-04</vt:lpstr>
      <vt:lpstr>F-DT-05</vt:lpstr>
      <vt:lpstr>Bloques V4</vt:lpstr>
      <vt:lpstr>_Listas</vt:lpstr>
      <vt:lpstr>lst_Abundancia</vt:lpstr>
      <vt:lpstr>lst_CalidadAgua</vt:lpstr>
      <vt:lpstr>lst_CategoriaIndicadora</vt:lpstr>
      <vt:lpstr>lst_CausaCarcava</vt:lpstr>
      <vt:lpstr>lst_CodigoBloque</vt:lpstr>
      <vt:lpstr>lst_EstadoCarcava</vt:lpstr>
      <vt:lpstr>lst_EstadoConservacion</vt:lpstr>
      <vt:lpstr>lst_EstadoSanitario</vt:lpstr>
      <vt:lpstr>lst_EstadoUICN</vt:lpstr>
      <vt:lpstr>lst_Estrato</vt:lpstr>
      <vt:lpstr>lst_Exposicion</vt:lpstr>
      <vt:lpstr>lst_Fenologia</vt:lpstr>
      <vt:lpstr>lst_FormaTerreno</vt:lpstr>
      <vt:lpstr>lst_Intensidad</vt:lpstr>
      <vt:lpstr>lst_ModalidadAcceso</vt:lpstr>
      <vt:lpstr>lst_NivelErosion</vt:lpstr>
      <vt:lpstr>lst_NivelInd</vt:lpstr>
      <vt:lpstr>lst_NivelTransitabilidad</vt:lpstr>
      <vt:lpstr>lst_Operador</vt:lpstr>
      <vt:lpstr>lst_Origen</vt:lpstr>
      <vt:lpstr>lst_PatronCarcavas</vt:lpstr>
      <vt:lpstr>lst_PosicionFisio</vt:lpstr>
      <vt:lpstr>lst_RangoAltitud</vt:lpstr>
      <vt:lpstr>lst_RangoPendiente</vt:lpstr>
      <vt:lpstr>lst_Regeneracion</vt:lpstr>
      <vt:lpstr>lst_RegimenHidrico</vt:lpstr>
      <vt:lpstr>lst_Reversibilidad</vt:lpstr>
      <vt:lpstr>lst_SenalCelular</vt:lpstr>
      <vt:lpstr>lst_SiNo</vt:lpstr>
      <vt:lpstr>lst_SiNoNA</vt:lpstr>
      <vt:lpstr>lst_TipoCarcava</vt:lpstr>
      <vt:lpstr>lst_TipoCobertura</vt:lpstr>
      <vt:lpstr>lst_TipoEcosistema</vt:lpstr>
      <vt:lpstr>lst_TipoFuente</vt:lpstr>
      <vt:lpstr>lst_TipoVia</vt:lpstr>
      <vt:lpstr>lst_Urgencia</vt:lpstr>
      <vt:lpstr>lst_UsoSueloDom</vt:lpstr>
      <vt:lpstr>lst_Velocidad</vt:lpstr>
      <vt:lpstr>tbl_Bloques</vt:lpstr>
      <vt:lpstr>'F-DT-01'!Títulos_a_imprimir</vt:lpstr>
      <vt:lpstr>'F-DT-02'!Títulos_a_imprimir</vt:lpstr>
      <vt:lpstr>'F-DT-03'!Títulos_a_imprimir</vt:lpstr>
      <vt:lpstr>'F-DT-04'!Títulos_a_imprimir</vt:lpstr>
      <vt:lpstr>'F-DT-05'!Títulos_a_imprimir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Hector Salomón Cahuas Miller</cp:lastModifiedBy>
  <cp:revision>0</cp:revision>
  <dcterms:created xsi:type="dcterms:W3CDTF">2026-05-08T03:16:44Z</dcterms:created>
  <dcterms:modified xsi:type="dcterms:W3CDTF">2026-08-20T18:22:28Z</dcterms:modified>
  <dc:language>en-US</dc:language>
</cp:coreProperties>
</file>