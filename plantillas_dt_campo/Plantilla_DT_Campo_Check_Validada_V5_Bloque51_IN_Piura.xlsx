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51\"/>
    </mc:Choice>
  </mc:AlternateContent>
  <xr:revisionPtr revIDLastSave="0" documentId="13_ncr:1_{35E44C3E-CFFC-40C4-B041-4FEA065FEF9A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sumen" sheetId="1" r:id="rId1"/>
    <sheet name="F-DT-01" sheetId="2" r:id="rId2"/>
    <sheet name="F-DT-02" sheetId="3" r:id="rId3"/>
    <sheet name="F-DT-03" sheetId="4" r:id="rId4"/>
    <sheet name="F-DT-04" sheetId="5" r:id="rId5"/>
    <sheet name="F-DT-05" sheetId="6" r:id="rId6"/>
    <sheet name="Cobertura MSAVI-NDVI" sheetId="7" r:id="rId7"/>
    <sheet name="Control de consistencia" sheetId="8" r:id="rId8"/>
    <sheet name="Bloques V4" sheetId="9" r:id="rId9"/>
    <sheet name="_Listas" sheetId="10" r:id="rId10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1">'F-DT-01'!$1:$6</definedName>
    <definedName name="_xlnm.Print_Titles" localSheetId="2">'F-DT-02'!$1:$6</definedName>
    <definedName name="_xlnm.Print_Titles" localSheetId="3">'F-DT-03'!$1:$6</definedName>
    <definedName name="_xlnm.Print_Titles" localSheetId="4">'F-DT-04'!$1:$6</definedName>
    <definedName name="_xlnm.Print_Titles" localSheetId="5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7" l="1"/>
  <c r="B15" i="7"/>
  <c r="H14" i="7"/>
  <c r="C14" i="7"/>
  <c r="H13" i="7"/>
  <c r="C13" i="7"/>
  <c r="H12" i="7"/>
  <c r="C12" i="7"/>
  <c r="H11" i="7"/>
  <c r="C11" i="7"/>
  <c r="H10" i="7"/>
  <c r="H15" i="7" s="1"/>
  <c r="C10" i="7"/>
  <c r="C15" i="7" s="1"/>
  <c r="G10" i="6"/>
  <c r="C10" i="6"/>
  <c r="G9" i="6"/>
  <c r="C11" i="5"/>
  <c r="C10" i="4"/>
  <c r="G9" i="4"/>
  <c r="D10" i="3"/>
  <c r="J9" i="3"/>
  <c r="F12" i="2"/>
  <c r="B12" i="2"/>
  <c r="F11" i="2"/>
  <c r="B11" i="2"/>
  <c r="F10" i="2"/>
</calcChain>
</file>

<file path=xl/sharedStrings.xml><?xml version="1.0" encoding="utf-8"?>
<sst xmlns="http://schemas.openxmlformats.org/spreadsheetml/2006/main" count="1592" uniqueCount="866">
  <si>
    <t>AUTORIDAD NACIONAL DE INFRAESTRUCTURA - ANIN</t>
  </si>
  <si>
    <t>DIRECCIÓN DE INTERVENCIONES MULTISECTORIALES Y DE EMERGENCIA - DIME</t>
  </si>
  <si>
    <t>SUBDIRECCIÓN DE ESTUDIOS DE INVERSIÓN - SESDI</t>
  </si>
  <si>
    <t>PROYECTO IN PIURA  |  CUI 2669244  |  Recuperación del servicio de regulación de riesgos naturales y de ecosistemas degradados - Cuenca Alta del Río Piura</t>
  </si>
  <si>
    <t>FICHA RESUMEN DEL BLOQUE PRELIMINAR DE INTERVENCIÓN 51</t>
  </si>
  <si>
    <t>Diagnóstico Territorial - Plantilla DT Campo Check Validada V5 | Sistema de referencia: UTM WGS 84 Zona 17S (EPSG:32717)</t>
  </si>
  <si>
    <t>1. IDENTIFICACIÓN Y LOCALIZACIÓN</t>
  </si>
  <si>
    <t>Código del bloque</t>
  </si>
  <si>
    <t>51</t>
  </si>
  <si>
    <t>Rótulo cartográfico</t>
  </si>
  <si>
    <t>B4_2</t>
  </si>
  <si>
    <t>Microcuenca</t>
  </si>
  <si>
    <t>C1076-Q9593</t>
  </si>
  <si>
    <t>Zona de planificación</t>
  </si>
  <si>
    <t>Z14</t>
  </si>
  <si>
    <t>Departamento</t>
  </si>
  <si>
    <t>Piura</t>
  </si>
  <si>
    <t>Provincia</t>
  </si>
  <si>
    <t>Huancabamba</t>
  </si>
  <si>
    <t>Distrito</t>
  </si>
  <si>
    <t>Huarmaca</t>
  </si>
  <si>
    <t>Centro poblado asociado</t>
  </si>
  <si>
    <t>Talla / Shain (colindantes) - Nuevo Porvenir</t>
  </si>
  <si>
    <t>Superficie oficial (ha)</t>
  </si>
  <si>
    <t>Fuente de superficie</t>
  </si>
  <si>
    <t>Catálogo maestro Bloques V4/V5</t>
  </si>
  <si>
    <t>Centroide UTM ESTE (m)</t>
  </si>
  <si>
    <t>Centroide UTM NORTE (m)</t>
  </si>
  <si>
    <t>Sistema de coordenadas</t>
  </si>
  <si>
    <t>UTM WGS 84 Zona 17S (EPSG:32717)</t>
  </si>
  <si>
    <t>Altitud GPS de referencia (msnm)</t>
  </si>
  <si>
    <t>Altitud mínima sobre MDE (msnm)</t>
  </si>
  <si>
    <t>Altitud máxima sobre MDE (msnm)</t>
  </si>
  <si>
    <t>2. RESPONSABLE Y MODALIDAD DE LA EVALUACIÓN</t>
  </si>
  <si>
    <t>Responsable de la evaluación</t>
  </si>
  <si>
    <t>Ing. Pedro Talledo Hernández</t>
  </si>
  <si>
    <t>Fecha de evaluación</t>
  </si>
  <si>
    <t>11 de agosto de 2026</t>
  </si>
  <si>
    <t>Entidad</t>
  </si>
  <si>
    <t>ANIN - DIME - SESDI</t>
  </si>
  <si>
    <t>Fase del estudio</t>
  </si>
  <si>
    <t>Preinversión (Perfil)</t>
  </si>
  <si>
    <t>Instrumento aplicado</t>
  </si>
  <si>
    <t>Fichas F-DT-01 a F-DT-05 (Plantilla V5)</t>
  </si>
  <si>
    <t>Parcela de muestreo</t>
  </si>
  <si>
    <t>P-51-A (20 x 20 m)</t>
  </si>
  <si>
    <t>3. SÍNTESIS BIOFÍSICA Y DE ESTADO</t>
  </si>
  <si>
    <t>Forma predominante del terreno</t>
  </si>
  <si>
    <t>Montañoso</t>
  </si>
  <si>
    <t>Rango de pendiente dominante</t>
  </si>
  <si>
    <t>50-75% (Escarpado)</t>
  </si>
  <si>
    <t>Pendiente promedio de parcela (%)</t>
  </si>
  <si>
    <t>Area con pendiente &gt; 50% (%)</t>
  </si>
  <si>
    <t>Tipo de ecosistema (UP)</t>
  </si>
  <si>
    <t>Bosque Estacionalmente Seco Colina/Montaña (Bes-cm)</t>
  </si>
  <si>
    <t>Estado de conservación</t>
  </si>
  <si>
    <t>Medianamente alterado</t>
  </si>
  <si>
    <t>Descriptor del ecosistema</t>
  </si>
  <si>
    <t>Bosque Estacionalmente Seco de Colina y Montaña (Bes-cm) en mosaico agro-forestal  (corregido por analogía con el Bloque 76)</t>
  </si>
  <si>
    <t>Elenco florístico</t>
  </si>
  <si>
    <t>11 taxones — ver F-DT-03, columna J para la fuente de cada registro</t>
  </si>
  <si>
    <t>Cobertura vegetal - campo (%)</t>
  </si>
  <si>
    <t>Suelo desnudo - campo (%)</t>
  </si>
  <si>
    <t>MSAVI 2024 - clase modal</t>
  </si>
  <si>
    <t>0.4976 - 0.6139</t>
  </si>
  <si>
    <t>NDVI 2025 - clase modal</t>
  </si>
  <si>
    <t>Vegetación alta</t>
  </si>
  <si>
    <t>Nivel general de erosión</t>
  </si>
  <si>
    <t>Moderada (surcos)</t>
  </si>
  <si>
    <t>Urgencia de intervención</t>
  </si>
  <si>
    <t>Alta</t>
  </si>
  <si>
    <t>Peligro integrado (MCA-AHP)</t>
  </si>
  <si>
    <t>No disponible en los insumos; debe tomarse del modelamiento de mesolocalización</t>
  </si>
  <si>
    <t>Prioridad de intervención</t>
  </si>
  <si>
    <t>ALTA (propuesta)</t>
  </si>
  <si>
    <t>4. CONTENIDO DEL LIBRO</t>
  </si>
  <si>
    <t>F-DT-01</t>
  </si>
  <si>
    <t>Datos generales y fisiografía del bloque</t>
  </si>
  <si>
    <t>F-DT-02</t>
  </si>
  <si>
    <t>Suelo y procesos erosivos (incl. inventario de cárcavas)</t>
  </si>
  <si>
    <t>F-DT-03</t>
  </si>
  <si>
    <t>Ecosistema: composición, estructura y valor ecológico</t>
  </si>
  <si>
    <t>F-DT-04</t>
  </si>
  <si>
    <t>Causas e indicadores de degradación del ecosistema</t>
  </si>
  <si>
    <t>F-DT-05</t>
  </si>
  <si>
    <t>Recursos hídricos y accesibilidad</t>
  </si>
  <si>
    <t>Cobertura MSAVI-NDVI</t>
  </si>
  <si>
    <t>Distribución areal de clases espectrales (estimación sobre plano temático)</t>
  </si>
  <si>
    <t>Control de consistencia</t>
  </si>
  <si>
    <t>Discrepancias detectadas entre campo, gabinete y catálogo</t>
  </si>
  <si>
    <t>Bloques V4</t>
  </si>
  <si>
    <t>Catalogo maestro de bloques (tbl_Bloques) - NO MODIFICAR</t>
  </si>
  <si>
    <t>_Listas</t>
  </si>
  <si>
    <t>Dominios de validación del formato V5 - NO MODIFICAR</t>
  </si>
  <si>
    <t>Declaración de integridad de datos: ningún valor ausente ha sido estimado o inferido sin declararlo. Los campos que no pudieron sustentarse en observación de campo, imagen satelital o catálogo oficial se consignan como "Por registrar" o "Por verificar". Los porcentajes de clases MSAVI y NDVI son estimaciónes areales sobre mapa temático, pendientes de confirmación mediante estadística zonal sobre el ráster. Las discrepancias detectadas se listan en la hoja "Control de consistencia".</t>
  </si>
  <si>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</si>
  <si>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</si>
  <si>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</si>
  <si>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</si>
  <si>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</si>
  <si>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</si>
  <si>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</si>
  <si>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</si>
  <si>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</si>
  <si>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Por registrar</t>
  </si>
  <si>
    <t>Brigada / Responsable *</t>
  </si>
  <si>
    <t>Ficha N° (correlativo)</t>
  </si>
  <si>
    <t>F-DT-51-01</t>
  </si>
  <si>
    <t>Código del Bloque *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</si>
  <si>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</si>
  <si>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</si>
  <si>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</si>
  <si>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</si>
  <si>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</si>
  <si>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</si>
  <si>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</si>
  <si>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</si>
  <si>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</si>
  <si>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Talla / Shain (colindantes); Huarmaca (capital distrital)</t>
  </si>
  <si>
    <t>Comunidad Campesina (si aplica)</t>
  </si>
  <si>
    <t>Comunidad Campesina de Huarmaca</t>
  </si>
  <si>
    <t>2. CARACTERIZACIÓN FISIOGRÁFICA DEL BLOQUE</t>
  </si>
  <si>
    <t>Forma predominante del terreno *</t>
  </si>
  <si>
    <t>Rango de pendiente dominante *</t>
  </si>
  <si>
    <t>Posición fisiográfica *</t>
  </si>
  <si>
    <t>Ladera alta</t>
  </si>
  <si>
    <t>Exposición / Orientación dominante *</t>
  </si>
  <si>
    <t>Oeste</t>
  </si>
  <si>
    <t>Rango altitudinal del bloque *</t>
  </si>
  <si>
    <t>1500-2000 m (Quechua media)</t>
  </si>
  <si>
    <t>Paisaje dominante (descripción libre)</t>
  </si>
  <si>
    <t>Vertiente montañosa empinada a escarpada con mosaico de zonas agrícolas y matorral andino, sobre rocas volcánicas andesíticas.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</si>
  <si>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</si>
  <si>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</si>
  <si>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</si>
  <si>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</si>
  <si>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</si>
  <si>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</si>
  <si>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</si>
  <si>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</si>
  <si>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</si>
  <si>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Pendiente fuerte limita la mecanización agrícola, predominio de agricultura de subsistencia y matorral.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</si>
  <si>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</si>
  <si>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</si>
  <si>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</si>
  <si>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</si>
  <si>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</si>
  <si>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</si>
  <si>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</si>
  <si>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</si>
  <si>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</si>
  <si>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</si>
  <si>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</si>
  <si>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</si>
  <si>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</si>
  <si>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</si>
  <si>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</si>
  <si>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</si>
  <si>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</si>
  <si>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</si>
  <si>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</si>
  <si>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</si>
  <si>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</si>
  <si>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</si>
  <si>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</si>
  <si>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</si>
  <si>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</si>
  <si>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</si>
  <si>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</si>
  <si>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</si>
  <si>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</si>
  <si>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</si>
  <si>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</si>
  <si>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</si>
  <si>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</si>
  <si>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</si>
  <si>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No aplica</t>
  </si>
  <si>
    <t>Presencia de socavamiento de cauce</t>
  </si>
  <si>
    <t>Urgencia de control</t>
  </si>
  <si>
    <t>Media</t>
  </si>
  <si>
    <t>Se observan surcos de erosión hidrica en las parcelas agricolas de mayor pendiente. Sellamiento superficial de intensidad LIGERA y compactacion por pisoteo de intensidad MODERADA (los campos 2.1 y 2.2 se normalizaron a "Sí" para respetar el dominio de validación del formato V5).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</si>
  <si>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</si>
  <si>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</si>
  <si>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</si>
  <si>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</si>
  <si>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P-51-A</t>
  </si>
  <si>
    <t>Dimensiones de parcela (m × m)</t>
  </si>
  <si>
    <t>20x20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</si>
  <si>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</si>
  <si>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</si>
  <si>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</si>
  <si>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</si>
  <si>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</si>
  <si>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</si>
  <si>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Superficie del ecosistema en el bloque (ha)</t>
  </si>
  <si>
    <t>Estado de conservación general *</t>
  </si>
  <si>
    <t>Uso actual dominante del suelo *</t>
  </si>
  <si>
    <t>Agricultura secano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</si>
  <si>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</si>
  <si>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</si>
  <si>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</si>
  <si>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</si>
  <si>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</si>
  <si>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</si>
  <si>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</si>
  <si>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</si>
  <si>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</si>
  <si>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</si>
  <si>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</si>
  <si>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</si>
  <si>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</si>
  <si>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</si>
  <si>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Escasa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</si>
  <si>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</si>
  <si>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</si>
  <si>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</si>
  <si>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</si>
  <si>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</si>
  <si>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</si>
  <si>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</si>
  <si>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</si>
  <si>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</si>
  <si>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</si>
  <si>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</si>
  <si>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</si>
  <si>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</si>
  <si>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</si>
  <si>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</si>
  <si>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Fuente / trazabilidad</t>
  </si>
  <si>
    <t>Faique / algarrobo espinoso</t>
  </si>
  <si>
    <t>Vachellia macracantha (= Acacia macracantha)</t>
  </si>
  <si>
    <t>Fabaceae</t>
  </si>
  <si>
    <t>Arbustivo alto (1.5-4 m)</t>
  </si>
  <si>
    <t>Nativa</t>
  </si>
  <si>
    <t>Frecuente (5-20%)</t>
  </si>
  <si>
    <t>CAMPO 11-08-2026 + analogía B76</t>
  </si>
  <si>
    <t>Chilca</t>
  </si>
  <si>
    <t>Baccharis spp.</t>
  </si>
  <si>
    <t>Asteraceae</t>
  </si>
  <si>
    <t>Analogía B76</t>
  </si>
  <si>
    <t>Agave / penca</t>
  </si>
  <si>
    <t>Agave americana</t>
  </si>
  <si>
    <t>Asparagaceae</t>
  </si>
  <si>
    <t>Introducida</t>
  </si>
  <si>
    <t>Ocasional (1-5%)</t>
  </si>
  <si>
    <t>Eucalipto</t>
  </si>
  <si>
    <t>Eucalyptus globulus</t>
  </si>
  <si>
    <t>Myrtaceae</t>
  </si>
  <si>
    <t>Arbóreo superior (&gt;15 m)</t>
  </si>
  <si>
    <t>Ciprés (por determinar)</t>
  </si>
  <si>
    <t>Cupressus sp.</t>
  </si>
  <si>
    <t>Cupressaceae</t>
  </si>
  <si>
    <t>Arbóreo medio (8-15 m)</t>
  </si>
  <si>
    <t>Rara (&lt;1%)</t>
  </si>
  <si>
    <t>Gramíneas / pastos naturales</t>
  </si>
  <si>
    <t>Paspalum sp. y otras Poaceae por determinar</t>
  </si>
  <si>
    <t>Poaceae</t>
  </si>
  <si>
    <t>Herbáceo (&lt;0.5 m)</t>
  </si>
  <si>
    <t>Abundante (20-40%)</t>
  </si>
  <si>
    <t>CAMPO 11-08-2026 (Paspalum) + analogía B76</t>
  </si>
  <si>
    <t>Arbusto de flor blanca</t>
  </si>
  <si>
    <t>Asteraceae por determinar</t>
  </si>
  <si>
    <t>Arbusto perennifolio de hoja ancha</t>
  </si>
  <si>
    <t>Por determinar</t>
  </si>
  <si>
    <t>Maíz (cultivo)</t>
  </si>
  <si>
    <t>Zea mays</t>
  </si>
  <si>
    <t>Plátano (cultivo)</t>
  </si>
  <si>
    <t>Musa × paradisiaca</t>
  </si>
  <si>
    <t>Musaceae</t>
  </si>
  <si>
    <t>Arbóreo bajo (4-8 m)</t>
  </si>
  <si>
    <t>Pastos cultivados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</si>
  <si>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</si>
  <si>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</si>
  <si>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</si>
  <si>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</si>
  <si>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</si>
  <si>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</si>
  <si>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</si>
  <si>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</si>
  <si>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</si>
  <si>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Vachellia macracantha (faique)</t>
  </si>
  <si>
    <t>Indicadora de perturbación</t>
  </si>
  <si>
    <t>Elemento arbóreo dominante en laderas de fuerte insolación. Confirma la adscripción al bosque estacionalmente seco y delimita el sector de mayor déficit hídrico edáfico. Registrada en campo en el Bloque 51</t>
  </si>
  <si>
    <t>Baccharis spp. (chilca)</t>
  </si>
  <si>
    <t>Colonizadora espontánea de taludes y bordes alterados. Acredita capacidad de recolonización natural de las superficies removidas y es candidata directa para la estabilización biológica de taludes. Analogía B76</t>
  </si>
  <si>
    <t>Agave americana (agave / penca)</t>
  </si>
  <si>
    <t>Asociada a linderos y suelos someros degradados; ya empleada localmente como cerco vivo, lo que facilita su adopción en las medidas de barreras vivas. Analogía B76</t>
  </si>
  <si>
    <t>Eucalyptus globulus / Cupressus sp.</t>
  </si>
  <si>
    <t>Especies introducidas de alta demanda hídrica en un bloque sin aporte de neblina: su uso en la intervención debe descartarse. Analogía B76</t>
  </si>
  <si>
    <t>Poaceae (pastizal natural en estiaje)</t>
  </si>
  <si>
    <t>Cobertura herbácea seca con terracillas de pisoteo caprino. Sustenta la calificación de sobrepastoreo y explica la baja regeneración natural registrada. Analogía B76</t>
  </si>
  <si>
    <t>CORRECCIÓN 07-09-2026 — Tipo de ecosistema y elenco florístico rectificados por la Unidad Formuladora. Se adopta «Bosque Estacionalmente Seco de Colina y Montaña (Bes-cm) en mosaico agro-forestal» y el elenco del Bloque 76 (C1076-Q9593, a ~2.3 km, 1 647 – 1 838 msnm, verificado el 19 de agosto de 2026 mediante recorrido vehicular con registro fotográfico georreferenciado), por analogía de altitud, proximidad y ecosistema. La columna J indica, fila por fila, si el registro procede del levantamiento de campo del Bloque 51 o de la analogía. Se retiran del elenco: «Algarrobo — Prosopis pallida» (especie de cotas muy inferiores), «Palo santo — Cordia lutea» (nombre común y binomio incompatibles entre sí) e «Ichu — Calamagrostis vicunarum» (gramínea de pajonal altoandino, &gt; 3 500 msnm, incompatible con los 1 876 msnm del punto de muestreo). Se conservan «Espino/faique», reconciliado a Vachellia macracantha, y «Paspalum sp.», integrado en la entrada de gramíneas y pastos naturales, por ser ambos compatibles con el Bes-cm. Ninguna determinación está confirmada taxonómicamente: la lista es preliminar y debe cerrarse con colecta botánica.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</si>
  <si>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</si>
  <si>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</si>
  <si>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</si>
  <si>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</si>
  <si>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</si>
  <si>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</si>
  <si>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</si>
  <si>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</si>
  <si>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</si>
  <si>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</si>
  <si>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</si>
  <si>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</si>
  <si>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Pisoteo y compactación en linderos de parcelas.</t>
  </si>
  <si>
    <t>Tala para leña</t>
  </si>
  <si>
    <t>Ligera</t>
  </si>
  <si>
    <t>Ramas cortadas y tocones recientes en bordes.</t>
  </si>
  <si>
    <t>Tala para carbón</t>
  </si>
  <si>
    <t>Nula</t>
  </si>
  <si>
    <t>Tala para madera</t>
  </si>
  <si>
    <t>Quema (renovación de pastos)</t>
  </si>
  <si>
    <t>Restos de carbón y ceniza en bordes de matorral.</t>
  </si>
  <si>
    <t>Quema accidental / Incendio</t>
  </si>
  <si>
    <t>Cambio de uso a agricultura</t>
  </si>
  <si>
    <t>Fuerte</t>
  </si>
  <si>
    <t>Terrazas rudimentarias y surcos en pendiente.</t>
  </si>
  <si>
    <t>Cambio de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</si>
  <si>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</si>
  <si>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</si>
  <si>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</si>
  <si>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</si>
  <si>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</si>
  <si>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</si>
  <si>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Estrés hídrico visible en vegetación arbustiva.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</si>
  <si>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</si>
  <si>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</si>
  <si>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</si>
  <si>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</si>
  <si>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</si>
  <si>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</si>
  <si>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</si>
  <si>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</si>
  <si>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</si>
  <si>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</si>
  <si>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</si>
  <si>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</si>
  <si>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visual</t>
  </si>
  <si>
    <t>&gt;60% bueno; 30-60% medio; &lt;30% malo</t>
  </si>
  <si>
    <t>Medio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</si>
  <si>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</si>
  <si>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</si>
  <si>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</si>
  <si>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</si>
  <si>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</si>
  <si>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Bajo</t>
  </si>
  <si>
    <t>Presencia de especies invasoras</t>
  </si>
  <si>
    <t>% área</t>
  </si>
  <si>
    <t>&lt;5% bueno; 5-20% medio; &gt;20% alto</t>
  </si>
  <si>
    <t>Carga ganadera estimada</t>
  </si>
  <si>
    <t>UA/ha</t>
  </si>
  <si>
    <t>Estimación</t>
  </si>
  <si>
    <t>Según tipo de ecosistema</t>
  </si>
  <si>
    <t>Frecuencia de quemas últimos 5 años</t>
  </si>
  <si>
    <t>Entrevista</t>
  </si>
  <si>
    <t>0 nulo; 1-2 medio; &gt;2 alto</t>
  </si>
  <si>
    <t>% área con pendiente &gt;50%</t>
  </si>
  <si>
    <t>GIS</t>
  </si>
  <si>
    <t>Factor de susceptibilidad</t>
  </si>
  <si>
    <t>Alto</t>
  </si>
  <si>
    <t>Distancia a vía vecinal más cercana</t>
  </si>
  <si>
    <t>m</t>
  </si>
  <si>
    <t>Plano NDVI 2025 - red vial tangente al límite oriental</t>
  </si>
  <si>
    <t>A menor distancia → mayor presión</t>
  </si>
  <si>
    <t>4. SÍNTESIS DIAGNÓSTICA DE LA DEGRADACIÓN</t>
  </si>
  <si>
    <t>Principales causas directas (texto libre)</t>
  </si>
  <si>
    <t>Expansión agrícola en laderas empinadas sin obras de conservación de suelos, sumado al sobrepastoreo caprino.</t>
  </si>
  <si>
    <t>Principal causa subyacente (motor)</t>
  </si>
  <si>
    <t>Falta de alternativas económicas y tenencia de tierra minifundista.</t>
  </si>
  <si>
    <t>Velocidad de degradación percibida</t>
  </si>
  <si>
    <t>Reversibilidad técnica</t>
  </si>
  <si>
    <t>Parcialmente reversible</t>
  </si>
  <si>
    <t>La fuerte pendiente exige implementación de zanjas de infiltración y barreras vivas.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</si>
  <si>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</si>
  <si>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</si>
  <si>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</si>
  <si>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</si>
  <si>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</si>
  <si>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</si>
  <si>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</si>
  <si>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</si>
  <si>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</si>
  <si>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</si>
  <si>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</si>
  <si>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</si>
  <si>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</si>
  <si>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</si>
  <si>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</si>
  <si>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</si>
  <si>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JASS Huarmaca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</si>
  <si>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</si>
  <si>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</si>
  <si>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</si>
  <si>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</si>
  <si>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</si>
  <si>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</si>
  <si>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Trocha carrozable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</si>
  <si>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</si>
  <si>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</si>
  <si>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</si>
  <si>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</si>
  <si>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</si>
  <si>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</si>
  <si>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</si>
  <si>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Intermitente</t>
  </si>
  <si>
    <t>Operador celular dominante</t>
  </si>
  <si>
    <t>Claro</t>
  </si>
  <si>
    <t>Alojamiento rural disponible</t>
  </si>
  <si>
    <t>¿Requiere autorización de Ronda Campesina? *</t>
  </si>
  <si>
    <t>Nombre / Contacto responsable de Ronda</t>
  </si>
  <si>
    <t>Presidente de la CC.PP. Huarmaca (denominación literal del registro; por precisar si es centro poblado o comunidad campesina)</t>
  </si>
  <si>
    <t>El acceso se complica significativamente durante la temporada de lluvias debido a la pendiente y la falta de drenaje en la trocha.</t>
  </si>
  <si>
    <t>DISTRIBUCION AREAL DE CLASES ESPECTRALES - BLOQUE 51</t>
  </si>
  <si>
    <t>MSAVI 2024 y NDVI mediana 2025 (Sentinel-2). Estimación areal sobre plano temático - pendiente de confirmación por estadística zonal.</t>
  </si>
  <si>
    <t>MSAVI 2024 (Sentinel-2)</t>
  </si>
  <si>
    <t>NDVI MEDIANA 2025 (Sentinel-2)</t>
  </si>
  <si>
    <t>Clase</t>
  </si>
  <si>
    <t>Participación (%)</t>
  </si>
  <si>
    <t>Superficie (ha)</t>
  </si>
  <si>
    <t>&lt;= 0.2650</t>
  </si>
  <si>
    <t>Clase no vegetal</t>
  </si>
  <si>
    <t>0.2650 - 0.3813</t>
  </si>
  <si>
    <t>Tierra desnuda</t>
  </si>
  <si>
    <t>0.3813 - 0.4976</t>
  </si>
  <si>
    <t>Vegetación ligera</t>
  </si>
  <si>
    <t>Vegetación mediana</t>
  </si>
  <si>
    <t>&gt; 0.6139</t>
  </si>
  <si>
    <t>TOTAL</t>
  </si>
  <si>
    <t>LECTURA CRÍTICA</t>
  </si>
  <si>
    <t>Los índices MSAVI y NDVI miden vigor y densidad de biomasa, no composición ni integridad ecosistémica. Un valor alto no equivale a ausencia de degradación: en bloques con mosaico agrícola, pastizal cultivado o plantaciones, la respuesta espectral puede ser alta sobre una unidad productora sustituida en su composición. La diferencia entre ambos productos no debe leerse como mejora entre 2024 y 2025: son índices distintos (el NDVI satura ante biomasa densa, el MSAVI conserva sensibilidad al suelo de fondo) aplicados sobre compuestos temporales distintos. Contraste registrado en este bloque: la cobertura vegetal estimada en campo es 65% frente a un 80.0% del polígono clasificado como "Vegetación alta" por el NDVI 2025; la observación de campo corresponde a una parcela de 20 x 20 m y no es estadísticamente representativa de las 22.93 ha del bloque.</t>
  </si>
  <si>
    <t>CONTROL DE CONSISTENCIA DE LA INFORMACION - BLOQUE 51</t>
  </si>
  <si>
    <t>Discrepancias detectadas entre el registro de campo, los productos de gabinete y el catálogo maestro. Calificación: SUSTANTIVA / NO SUSTANTIVA.</t>
  </si>
  <si>
    <t>Cod.</t>
  </si>
  <si>
    <t>Campo afectado</t>
  </si>
  <si>
    <t>Discrepancia observada</t>
  </si>
  <si>
    <t>Calificación</t>
  </si>
  <si>
    <t>Tratamiento adoptado</t>
  </si>
  <si>
    <t>C-01</t>
  </si>
  <si>
    <t>Tipo de ecosistema y elenco florístico  [CORRECCIÓN 07-09-2026]</t>
  </si>
  <si>
    <t>El levantamiento asignó "Agroecosistema / Mosaico" y registró 5 especies (entre ellas "Palo santo/Cordia lutea" e "Ichu/Calamagrostis vicunarum"). La Unidad Formuladora determinó que ambos elementos son erróneos</t>
  </si>
  <si>
    <t>CORREGIDO</t>
  </si>
  <si>
    <t>Se adopta "Bosque Estacionalmente Seco Colina/Montaña (Bes-cm)" en mosaico agro-forestal y el elenco de 11 taxones del Bloque 76 (misma microcuenca C1076-Q9593, a ~2.3 km, 1647-1838 msnm, verificado el 19-08-2026 por el mismo evaluador), por analogía de altitud, proximidad y ecosistema. Cada fila del elenco lleva su fuente en la columna J</t>
  </si>
  <si>
    <t>C-02</t>
  </si>
  <si>
    <t>Registros retirados del elenco  [CORRECCIÓN 07-09-2026]</t>
  </si>
  <si>
    <t>Se retiran del elenco: «Algarrobo — Prosopis pallida» (especie de cotas muy inferiores), «Palo santo — Cordia lutea» (nombre común y binomio incompatibles entre sí) e «Ichu — Calamagrostis vicunarum» (gramínea de pajonal altoandino, &gt; 3 500 msnm, incompatible con los 1 876 msnm del punto de muestreo). Se conservan «Espino/faique», reconciliado a Vachellia macracantha, y «Paspalum sp.», integrado en la entrada de gramíneas y pastos naturales, por ser ambos compatibles con el Bes-cm.</t>
  </si>
  <si>
    <t>Retiro documentado. El elenco resultante debe validarse con colecta botánica; ninguna determinación está confirmada taxonómicamente</t>
  </si>
  <si>
    <t>C-03</t>
  </si>
  <si>
    <t>Atributos ecológicos no alineados</t>
  </si>
  <si>
    <t>El Bloque 76 declara estado "Alterado (intervención marcada)", fenología "Caducifolio (hojas caídas)" y epífitas "No observadas"; el Bloque 51 registra "Medianamente alterado", "Vegetativo" y epífitas "Escasa"</t>
  </si>
  <si>
    <t>NO SUSTANTIVA</t>
  </si>
  <si>
    <t>Por decisión de la Unidad Formuladora la corrección alcanza solo al tipo de ecosistema y al elenco. Estado, fenología y epífitas se conservan tal como los registró el evaluador. La divergencia se declara: siendo ambas evaluaciones de estiaje y separadas por 8 días en la misma microcuenca, conviene reconciliarlas en la segunda campaña</t>
  </si>
  <si>
    <t>D-01</t>
  </si>
  <si>
    <t>UTM del punto de muestreo</t>
  </si>
  <si>
    <t>Las celdas de UTM ESTE / NORTE del punto de muestreo están vacías en F-DT-01, F-DT-02 y F-DT-03</t>
  </si>
  <si>
    <t>SUSTANTIVA</t>
  </si>
  <si>
    <t>No se sustituye por el centroide del catálogo. Se consigna "Por registrar en campo"</t>
  </si>
  <si>
    <t>D-02</t>
  </si>
  <si>
    <t>Dominio de validación F-DT-02</t>
  </si>
  <si>
    <t>Los campos "Sellamiento / costra superficial" y "Compactación por pisoteo" se llenaron con "Ligera" y "Moderada"; el formato V5 valida esos campos contra lst_SiNo</t>
  </si>
  <si>
    <t>Se normaliza a "Sí" conservando la intensidad declarada en la columna de observacíones, para no romper la validación ni la importación a la aplicación de campo</t>
  </si>
  <si>
    <t>D-03</t>
  </si>
  <si>
    <t>F-DT-01 declara "Huarmaca" (capital distrital); la vista satelital muestra los CP Talla y Shain inmediatamente contiguos al bloque y el sector Nuevo Porvenir al norte</t>
  </si>
  <si>
    <t>Se adopta Talla / Shain como centros poblados asociados. Huarmaca se mantiene como referencia distrital</t>
  </si>
  <si>
    <t>D-04</t>
  </si>
  <si>
    <t>Distancia a vía vecinal</t>
  </si>
  <si>
    <t>F-DT-04 asigna 1200 m con nivel "Medio"; el plano NDVI muestra la red vial tangente a todo el límite oriental del bloque (distancia ~0 m)</t>
  </si>
  <si>
    <t>Se corrige la lectura a colindancia vial directa y el nivel de presión a "Alto". La distancia de 1200 m correspondería a otra vía</t>
  </si>
  <si>
    <t>D-08</t>
  </si>
  <si>
    <t>Escarpes activos</t>
  </si>
  <si>
    <t>F-DT-01 declara "No" para escarpes activos; la vista satelital muestra una cicatriz de suelo descubierto en el sector alto nororiental del polígono</t>
  </si>
  <si>
    <t>Se declara como rasgo por verificar en campo; puede corresponder a chacra reciente o a escarpe de deslizamiento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</si>
  <si>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</si>
  <si>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</si>
  <si>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</si>
  <si>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</si>
  <si>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</si>
  <si>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</si>
  <si>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</si>
  <si>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</si>
  <si>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</si>
  <si>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</si>
  <si>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</si>
  <si>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</si>
  <si>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</si>
  <si>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</si>
  <si>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</si>
  <si>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</si>
  <si>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</si>
  <si>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</si>
  <si>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</si>
  <si>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</si>
  <si>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</si>
  <si>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</si>
  <si>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</si>
  <si>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</si>
  <si>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</si>
  <si>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</si>
  <si>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</si>
  <si>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</si>
  <si>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</si>
  <si>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</si>
  <si>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</si>
  <si>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</si>
  <si>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</si>
  <si>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</si>
  <si>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</si>
  <si>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</si>
  <si>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</si>
  <si>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</si>
  <si>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</si>
  <si>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</si>
  <si>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</si>
  <si>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</si>
  <si>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</si>
  <si>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</si>
  <si>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</si>
  <si>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</si>
  <si>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</si>
  <si>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</si>
  <si>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</si>
  <si>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</si>
  <si>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</si>
  <si>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</si>
  <si>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</si>
  <si>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</si>
  <si>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</si>
  <si>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</si>
  <si>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</si>
  <si>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</si>
  <si>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</si>
  <si>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</si>
  <si>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</si>
  <si>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</si>
  <si>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</si>
  <si>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</si>
  <si>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</si>
  <si>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</si>
  <si>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</si>
  <si>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</si>
  <si>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</si>
  <si>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</si>
  <si>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</si>
  <si>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</si>
  <si>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</si>
  <si>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</si>
  <si>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</si>
  <si>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</si>
  <si>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</si>
  <si>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</si>
  <si>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</si>
  <si>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</si>
  <si>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</si>
  <si>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</si>
  <si>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</si>
  <si>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</si>
  <si>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</si>
  <si>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</si>
  <si>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</si>
  <si>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</si>
  <si>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</si>
  <si>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</si>
  <si>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</si>
  <si>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</si>
  <si>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</si>
  <si>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</si>
  <si>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</si>
  <si>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</si>
  <si>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</si>
  <si>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</si>
  <si>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</si>
  <si>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</si>
  <si>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</si>
  <si>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</si>
  <si>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</si>
  <si>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</si>
  <si>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</si>
  <si>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</si>
  <si>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</si>
  <si>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</si>
  <si>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</si>
  <si>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</si>
  <si>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</si>
  <si>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</si>
  <si>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</si>
  <si>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</si>
  <si>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</si>
  <si>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</si>
  <si>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</si>
  <si>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</si>
  <si>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</si>
  <si>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</si>
  <si>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</si>
  <si>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</si>
  <si>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</si>
  <si>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</si>
  <si>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</si>
  <si>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</si>
  <si>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</si>
  <si>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</si>
  <si>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</si>
  <si>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</si>
  <si>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</si>
  <si>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</si>
  <si>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</si>
  <si>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</si>
  <si>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</si>
  <si>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</si>
  <si>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</si>
  <si>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</si>
  <si>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</si>
  <si>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</si>
  <si>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</si>
  <si>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</si>
  <si>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</si>
  <si>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</si>
  <si>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</si>
  <si>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</si>
  <si>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</si>
  <si>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</si>
  <si>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</si>
  <si>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</si>
  <si>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</si>
  <si>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</si>
  <si>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</si>
  <si>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</si>
  <si>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</si>
  <si>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</si>
  <si>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</si>
  <si>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</si>
  <si>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</si>
  <si>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</si>
  <si>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</si>
  <si>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</si>
  <si>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</si>
  <si>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</si>
  <si>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</si>
  <si>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</si>
  <si>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</si>
  <si>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</si>
  <si>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</si>
  <si>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</si>
  <si>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</si>
  <si>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</si>
  <si>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</si>
  <si>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</si>
  <si>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</si>
  <si>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</si>
  <si>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</si>
  <si>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</si>
  <si>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M4B3</t>
  </si>
  <si>
    <t>10</t>
  </si>
  <si>
    <t>16</t>
  </si>
  <si>
    <t>4</t>
  </si>
  <si>
    <t>76</t>
  </si>
  <si>
    <t>80</t>
  </si>
  <si>
    <t>71</t>
  </si>
  <si>
    <t>8</t>
  </si>
  <si>
    <t>20</t>
  </si>
  <si>
    <t>83</t>
  </si>
  <si>
    <t>84</t>
  </si>
  <si>
    <t>85</t>
  </si>
  <si>
    <t>86</t>
  </si>
  <si>
    <t>87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</si>
  <si>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</si>
  <si>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</si>
  <si>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</si>
  <si>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</si>
  <si>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</si>
  <si>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</si>
  <si>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</si>
  <si>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</si>
  <si>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</si>
  <si>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</si>
  <si>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</si>
  <si>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</si>
  <si>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</si>
  <si>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</si>
  <si>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</si>
  <si>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</si>
  <si>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</si>
  <si>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</si>
  <si>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</si>
  <si>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</si>
  <si>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</si>
  <si>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</si>
  <si>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</si>
  <si>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</si>
  <si>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</si>
  <si>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</si>
  <si>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</si>
  <si>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</si>
  <si>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</si>
  <si>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</si>
  <si>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</si>
  <si>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</si>
  <si>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</si>
  <si>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</si>
  <si>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</si>
  <si>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</si>
  <si>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</si>
  <si>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</si>
  <si>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</si>
  <si>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</si>
  <si>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</si>
  <si>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</si>
  <si>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</si>
  <si>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</si>
  <si>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</si>
  <si>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</si>
  <si>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</si>
  <si>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</si>
  <si>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</si>
  <si>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</si>
  <si>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</si>
  <si>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</si>
  <si>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</si>
  <si>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Dominante (&gt;40%)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</si>
  <si>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</si>
  <si>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</si>
  <si>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</si>
  <si>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</si>
  <si>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</si>
  <si>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</si>
  <si>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</si>
  <si>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</si>
  <si>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</si>
  <si>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</si>
  <si>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</si>
  <si>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</si>
  <si>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</si>
  <si>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</si>
  <si>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</si>
  <si>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</si>
  <si>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</si>
  <si>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</si>
  <si>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</si>
  <si>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</si>
  <si>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</si>
  <si>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</si>
  <si>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</si>
  <si>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</si>
  <si>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</si>
  <si>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</si>
  <si>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</si>
  <si>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</si>
  <si>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EW — Extinto en Estado Silvestre</t>
  </si>
  <si>
    <t>Rápida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</si>
  <si>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</si>
  <si>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</si>
  <si>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</si>
  <si>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</si>
  <si>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</si>
  <si>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</si>
  <si>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Colinoso</t>
  </si>
  <si>
    <t>15-25% (Fuert. inclinado)</t>
  </si>
  <si>
    <t>Ladera media</t>
  </si>
  <si>
    <t>Este</t>
  </si>
  <si>
    <t>Cárcava somera (0.5-2 m)</t>
  </si>
  <si>
    <t>Estabilizada con vegetación</t>
  </si>
  <si>
    <t>Quema</t>
  </si>
  <si>
    <t>Lineal</t>
  </si>
  <si>
    <t>Pastoreo extensivo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</si>
  <si>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</si>
  <si>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</si>
  <si>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</si>
  <si>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</si>
  <si>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</si>
  <si>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</si>
  <si>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Mala (turbia, con olor o color)</t>
  </si>
  <si>
    <t>Departamental asfaltada</t>
  </si>
  <si>
    <t>Entel</t>
  </si>
  <si>
    <t>25-50% (Mod. escarpado)</t>
  </si>
  <si>
    <t>Ladera baja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</si>
  <si>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</si>
  <si>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</si>
  <si>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</si>
  <si>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</si>
  <si>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</si>
  <si>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</si>
  <si>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</si>
  <si>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</si>
  <si>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</si>
  <si>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</si>
  <si>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</si>
  <si>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</si>
  <si>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</si>
  <si>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</si>
  <si>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</si>
  <si>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</si>
  <si>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</si>
  <si>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</si>
  <si>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</si>
  <si>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</si>
  <si>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</si>
  <si>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</si>
  <si>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</si>
  <si>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</si>
  <si>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</si>
  <si>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</si>
  <si>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</si>
  <si>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</si>
  <si>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</si>
  <si>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</si>
  <si>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</si>
  <si>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</si>
  <si>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</si>
  <si>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</si>
  <si>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</si>
  <si>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</si>
  <si>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</si>
  <si>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Muerto en pie</t>
  </si>
  <si>
    <t>Latencia / Estrés hídrico</t>
  </si>
  <si>
    <t>Pastizal natural</t>
  </si>
  <si>
    <t>Arbustivo bajo (0.5-1.5 m)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</si>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</sst>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2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  <font>
      <i/>
      <sz val="9"/>
      <color rgb="FFC00000"/>
      <name val="Arial"/>
    </font>
    <font>
      <b/>
      <sz val="9"/>
      <color rgb="FFFFFFFF"/>
      <name val="Arial"/>
    </font>
    <font>
      <sz val="9"/>
      <name val="Arial"/>
    </font>
    <font>
      <i/>
      <sz val="8"/>
      <color rgb="FF1B4D2E"/>
      <name val="Arial"/>
    </font>
    <font>
      <i/>
      <sz val="8"/>
      <color rgb="FF7F5F00"/>
      <name val="Arial"/>
    </font>
    <font>
      <b/>
      <sz val="11"/>
      <color rgb="FFFFFFFF"/>
      <name val="Arial"/>
    </font>
    <font>
      <sz val="8"/>
      <color rgb="FFFFFFFF"/>
      <name val="Arial"/>
    </font>
    <font>
      <b/>
      <sz val="11"/>
      <color rgb="FF1B4D2E"/>
      <name val="Arial"/>
    </font>
    <font>
      <i/>
      <sz val="8"/>
      <color rgb="FF404040"/>
      <name val="Arial"/>
    </font>
    <font>
      <b/>
      <sz val="9"/>
      <name val="Arial"/>
    </font>
    <font>
      <b/>
      <sz val="9"/>
      <color rgb="FF1B4D2E"/>
      <name val="Arial"/>
    </font>
    <font>
      <sz val="9"/>
      <color rgb="FF000000"/>
      <name val="Arial"/>
    </font>
    <font>
      <b/>
      <sz val="9"/>
      <color rgb="FFC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  <fill>
      <patternFill patternType="solid">
        <fgColor rgb="FF1B4D2E"/>
      </patternFill>
    </fill>
    <fill>
      <patternFill patternType="solid">
        <fgColor rgb="FFD8E4D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8D7DA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9BB0A5"/>
      </left>
      <right style="thin">
        <color rgb="FF9BB0A5"/>
      </right>
      <top style="thin">
        <color rgb="FF9BB0A5"/>
      </top>
      <bottom style="thin">
        <color rgb="FF9BB0A5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23" fillId="9" borderId="11" xfId="0" applyFont="1" applyFill="1" applyBorder="1"/>
    <xf numFmtId="0" fontId="15" fillId="8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24" fillId="9" borderId="11" xfId="0" applyFont="1" applyFill="1" applyBorder="1" applyAlignment="1">
      <alignment horizontal="center" vertical="center" wrapText="1"/>
    </xf>
    <xf numFmtId="0" fontId="16" fillId="10" borderId="11" xfId="0" applyFont="1" applyFill="1" applyBorder="1"/>
    <xf numFmtId="165" fontId="16" fillId="10" borderId="11" xfId="0" applyNumberFormat="1" applyFont="1" applyFill="1" applyBorder="1" applyAlignment="1">
      <alignment horizontal="center"/>
    </xf>
    <xf numFmtId="2" fontId="16" fillId="10" borderId="11" xfId="0" applyNumberFormat="1" applyFont="1" applyFill="1" applyBorder="1" applyAlignment="1">
      <alignment horizontal="center"/>
    </xf>
    <xf numFmtId="0" fontId="16" fillId="12" borderId="11" xfId="0" applyFont="1" applyFill="1" applyBorder="1"/>
    <xf numFmtId="165" fontId="16" fillId="12" borderId="11" xfId="0" applyNumberFormat="1" applyFont="1" applyFill="1" applyBorder="1" applyAlignment="1">
      <alignment horizontal="center"/>
    </xf>
    <xf numFmtId="2" fontId="16" fillId="12" borderId="11" xfId="0" applyNumberFormat="1" applyFont="1" applyFill="1" applyBorder="1" applyAlignment="1">
      <alignment horizontal="center"/>
    </xf>
    <xf numFmtId="0" fontId="15" fillId="8" borderId="11" xfId="0" applyFont="1" applyFill="1" applyBorder="1"/>
    <xf numFmtId="165" fontId="15" fillId="8" borderId="11" xfId="0" applyNumberFormat="1" applyFont="1" applyFill="1" applyBorder="1" applyAlignment="1">
      <alignment horizontal="center"/>
    </xf>
    <xf numFmtId="2" fontId="15" fillId="8" borderId="11" xfId="0" applyNumberFormat="1" applyFont="1" applyFill="1" applyBorder="1" applyAlignment="1">
      <alignment horizontal="center"/>
    </xf>
    <xf numFmtId="0" fontId="25" fillId="10" borderId="11" xfId="0" applyFont="1" applyFill="1" applyBorder="1" applyAlignment="1">
      <alignment horizontal="center" vertical="top" wrapText="1"/>
    </xf>
    <xf numFmtId="0" fontId="25" fillId="10" borderId="11" xfId="0" applyFont="1" applyFill="1" applyBorder="1" applyAlignment="1">
      <alignment horizontal="left" vertical="top" wrapText="1"/>
    </xf>
    <xf numFmtId="0" fontId="25" fillId="12" borderId="11" xfId="0" applyFont="1" applyFill="1" applyBorder="1" applyAlignment="1">
      <alignment horizontal="center" vertical="top" wrapText="1"/>
    </xf>
    <xf numFmtId="0" fontId="25" fillId="12" borderId="11" xfId="0" applyFont="1" applyFill="1" applyBorder="1" applyAlignment="1">
      <alignment horizontal="left" vertical="top" wrapText="1"/>
    </xf>
    <xf numFmtId="0" fontId="26" fillId="13" borderId="11" xfId="0" applyFont="1" applyFill="1" applyBorder="1" applyAlignment="1">
      <alignment horizontal="center" vertical="top" wrapText="1"/>
    </xf>
    <xf numFmtId="0" fontId="16" fillId="10" borderId="11" xfId="0" applyFont="1" applyFill="1" applyBorder="1" applyAlignment="1">
      <alignment horizontal="left" vertical="center" wrapText="1" indent="1"/>
    </xf>
    <xf numFmtId="0" fontId="0" fillId="0" borderId="11" xfId="0" applyBorder="1"/>
    <xf numFmtId="0" fontId="19" fillId="8" borderId="0" xfId="0" applyFont="1" applyFill="1" applyAlignment="1">
      <alignment horizontal="center" vertical="center" wrapText="1"/>
    </xf>
    <xf numFmtId="0" fontId="0" fillId="0" borderId="0" xfId="0"/>
    <xf numFmtId="0" fontId="0" fillId="10" borderId="11" xfId="0" applyFill="1" applyBorder="1"/>
    <xf numFmtId="0" fontId="22" fillId="0" borderId="0" xfId="0" applyFont="1" applyAlignment="1">
      <alignment horizontal="center" vertical="center" wrapText="1"/>
    </xf>
    <xf numFmtId="0" fontId="16" fillId="11" borderId="11" xfId="0" applyFont="1" applyFill="1" applyBorder="1" applyAlignment="1">
      <alignment horizontal="left" vertical="center" wrapText="1" indent="1"/>
    </xf>
    <xf numFmtId="0" fontId="15" fillId="8" borderId="0" xfId="0" applyFont="1" applyFill="1" applyAlignment="1">
      <alignment horizontal="left" vertical="center" indent="1"/>
    </xf>
    <xf numFmtId="0" fontId="20" fillId="8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0" fontId="9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8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5" fillId="8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16" customWidth="1"/>
    <col min="3" max="4" width="12" customWidth="1"/>
    <col min="5" max="5" width="30" customWidth="1"/>
    <col min="6" max="6" width="14" customWidth="1"/>
    <col min="7" max="7" width="12" customWidth="1"/>
    <col min="8" max="8" width="14" customWidth="1"/>
  </cols>
  <sheetData>
    <row r="1" spans="1:8" ht="18" customHeight="1" x14ac:dyDescent="0.3">
      <c r="A1" s="35" t="s">
        <v>0</v>
      </c>
      <c r="B1" s="36"/>
      <c r="C1" s="36"/>
      <c r="D1" s="36"/>
      <c r="E1" s="36"/>
      <c r="F1" s="36"/>
      <c r="G1" s="36"/>
      <c r="H1" s="36"/>
    </row>
    <row r="2" spans="1:8" ht="13.05" customHeight="1" x14ac:dyDescent="0.3">
      <c r="A2" s="41" t="s">
        <v>1</v>
      </c>
      <c r="B2" s="36"/>
      <c r="C2" s="36"/>
      <c r="D2" s="36"/>
      <c r="E2" s="36"/>
      <c r="F2" s="36"/>
      <c r="G2" s="36"/>
      <c r="H2" s="36"/>
    </row>
    <row r="3" spans="1:8" ht="13.05" customHeight="1" x14ac:dyDescent="0.3">
      <c r="A3" s="41" t="s">
        <v>2</v>
      </c>
      <c r="B3" s="36"/>
      <c r="C3" s="36"/>
      <c r="D3" s="36"/>
      <c r="E3" s="36"/>
      <c r="F3" s="36"/>
      <c r="G3" s="36"/>
      <c r="H3" s="36"/>
    </row>
    <row r="4" spans="1:8" ht="13.05" customHeight="1" x14ac:dyDescent="0.3">
      <c r="A4" s="41" t="s">
        <v>3</v>
      </c>
      <c r="B4" s="36"/>
      <c r="C4" s="36"/>
      <c r="D4" s="36"/>
      <c r="E4" s="36"/>
      <c r="F4" s="36"/>
      <c r="G4" s="36"/>
      <c r="H4" s="36"/>
    </row>
    <row r="5" spans="1:8" ht="19.95" customHeight="1" x14ac:dyDescent="0.3">
      <c r="A5" s="42" t="s">
        <v>4</v>
      </c>
      <c r="B5" s="36"/>
      <c r="C5" s="36"/>
      <c r="D5" s="36"/>
      <c r="E5" s="36"/>
      <c r="F5" s="36"/>
      <c r="G5" s="36"/>
      <c r="H5" s="36"/>
    </row>
    <row r="6" spans="1:8" ht="25.95" customHeight="1" x14ac:dyDescent="0.3">
      <c r="A6" s="38" t="s">
        <v>5</v>
      </c>
      <c r="B6" s="36"/>
      <c r="C6" s="36"/>
      <c r="D6" s="36"/>
      <c r="E6" s="36"/>
      <c r="F6" s="36"/>
      <c r="G6" s="36"/>
      <c r="H6" s="36"/>
    </row>
    <row r="8" spans="1:8" ht="16.05" customHeight="1" x14ac:dyDescent="0.3">
      <c r="A8" s="40" t="s">
        <v>6</v>
      </c>
      <c r="B8" s="36"/>
      <c r="C8" s="36"/>
      <c r="D8" s="36"/>
      <c r="E8" s="36"/>
      <c r="F8" s="36"/>
      <c r="G8" s="36"/>
      <c r="H8" s="36"/>
    </row>
    <row r="9" spans="1:8" ht="15" customHeight="1" x14ac:dyDescent="0.3">
      <c r="A9" s="12" t="s">
        <v>7</v>
      </c>
      <c r="B9" s="33" t="s">
        <v>8</v>
      </c>
      <c r="C9" s="34"/>
      <c r="D9" s="34"/>
      <c r="E9" s="12" t="s">
        <v>9</v>
      </c>
      <c r="F9" s="33" t="s">
        <v>10</v>
      </c>
      <c r="G9" s="34"/>
      <c r="H9" s="34"/>
    </row>
    <row r="10" spans="1:8" ht="15" customHeight="1" x14ac:dyDescent="0.3">
      <c r="A10" s="12" t="s">
        <v>11</v>
      </c>
      <c r="B10" s="33" t="s">
        <v>12</v>
      </c>
      <c r="C10" s="34"/>
      <c r="D10" s="34"/>
      <c r="E10" s="12" t="s">
        <v>13</v>
      </c>
      <c r="F10" s="33" t="s">
        <v>14</v>
      </c>
      <c r="G10" s="34"/>
      <c r="H10" s="34"/>
    </row>
    <row r="11" spans="1:8" ht="15" customHeight="1" x14ac:dyDescent="0.3">
      <c r="A11" s="12" t="s">
        <v>15</v>
      </c>
      <c r="B11" s="33" t="s">
        <v>16</v>
      </c>
      <c r="C11" s="34"/>
      <c r="D11" s="34"/>
      <c r="E11" s="12" t="s">
        <v>17</v>
      </c>
      <c r="F11" s="33" t="s">
        <v>18</v>
      </c>
      <c r="G11" s="34"/>
      <c r="H11" s="34"/>
    </row>
    <row r="12" spans="1:8" ht="15" customHeight="1" x14ac:dyDescent="0.3">
      <c r="A12" s="12" t="s">
        <v>19</v>
      </c>
      <c r="B12" s="33" t="s">
        <v>20</v>
      </c>
      <c r="C12" s="34"/>
      <c r="D12" s="34"/>
      <c r="E12" s="12" t="s">
        <v>21</v>
      </c>
      <c r="F12" s="33" t="s">
        <v>22</v>
      </c>
      <c r="G12" s="34"/>
      <c r="H12" s="34"/>
    </row>
    <row r="13" spans="1:8" ht="15" customHeight="1" x14ac:dyDescent="0.3">
      <c r="A13" s="12" t="s">
        <v>23</v>
      </c>
      <c r="B13" s="33">
        <v>22.93</v>
      </c>
      <c r="C13" s="34"/>
      <c r="D13" s="34"/>
      <c r="E13" s="12" t="s">
        <v>24</v>
      </c>
      <c r="F13" s="33" t="s">
        <v>25</v>
      </c>
      <c r="G13" s="34"/>
      <c r="H13" s="34"/>
    </row>
    <row r="14" spans="1:8" ht="15" customHeight="1" x14ac:dyDescent="0.3">
      <c r="A14" s="12" t="s">
        <v>26</v>
      </c>
      <c r="B14" s="33">
        <v>656291</v>
      </c>
      <c r="C14" s="34"/>
      <c r="D14" s="34"/>
      <c r="E14" s="12" t="s">
        <v>27</v>
      </c>
      <c r="F14" s="33">
        <v>9379096</v>
      </c>
      <c r="G14" s="34"/>
      <c r="H14" s="34"/>
    </row>
    <row r="15" spans="1:8" ht="15" customHeight="1" x14ac:dyDescent="0.3">
      <c r="A15" s="12" t="s">
        <v>28</v>
      </c>
      <c r="B15" s="33" t="s">
        <v>29</v>
      </c>
      <c r="C15" s="34"/>
      <c r="D15" s="34"/>
      <c r="E15" s="12" t="s">
        <v>30</v>
      </c>
      <c r="F15" s="33">
        <v>1876</v>
      </c>
      <c r="G15" s="34"/>
      <c r="H15" s="34"/>
    </row>
    <row r="16" spans="1:8" ht="15" customHeight="1" x14ac:dyDescent="0.3">
      <c r="A16" s="12" t="s">
        <v>31</v>
      </c>
      <c r="B16" s="33">
        <v>1730</v>
      </c>
      <c r="C16" s="34"/>
      <c r="D16" s="34"/>
      <c r="E16" s="12" t="s">
        <v>32</v>
      </c>
      <c r="F16" s="33">
        <v>2050</v>
      </c>
      <c r="G16" s="34"/>
      <c r="H16" s="34"/>
    </row>
    <row r="18" spans="1:8" ht="16.05" customHeight="1" x14ac:dyDescent="0.3">
      <c r="A18" s="40" t="s">
        <v>33</v>
      </c>
      <c r="B18" s="36"/>
      <c r="C18" s="36"/>
      <c r="D18" s="36"/>
      <c r="E18" s="36"/>
      <c r="F18" s="36"/>
      <c r="G18" s="36"/>
      <c r="H18" s="36"/>
    </row>
    <row r="19" spans="1:8" ht="15" customHeight="1" x14ac:dyDescent="0.3">
      <c r="A19" s="12" t="s">
        <v>34</v>
      </c>
      <c r="B19" s="39" t="s">
        <v>35</v>
      </c>
      <c r="C19" s="34"/>
      <c r="D19" s="34"/>
      <c r="E19" s="12" t="s">
        <v>36</v>
      </c>
      <c r="F19" s="39" t="s">
        <v>37</v>
      </c>
      <c r="G19" s="34"/>
      <c r="H19" s="34"/>
    </row>
    <row r="20" spans="1:8" ht="15" customHeight="1" x14ac:dyDescent="0.3">
      <c r="A20" s="12" t="s">
        <v>38</v>
      </c>
      <c r="B20" s="33" t="s">
        <v>39</v>
      </c>
      <c r="C20" s="34"/>
      <c r="D20" s="34"/>
      <c r="E20" s="12" t="s">
        <v>40</v>
      </c>
      <c r="F20" s="33" t="s">
        <v>41</v>
      </c>
      <c r="G20" s="34"/>
      <c r="H20" s="34"/>
    </row>
    <row r="21" spans="1:8" ht="15" customHeight="1" x14ac:dyDescent="0.3">
      <c r="A21" s="12" t="s">
        <v>42</v>
      </c>
      <c r="B21" s="33" t="s">
        <v>43</v>
      </c>
      <c r="C21" s="34"/>
      <c r="D21" s="34"/>
      <c r="E21" s="12" t="s">
        <v>44</v>
      </c>
      <c r="F21" s="33" t="s">
        <v>45</v>
      </c>
      <c r="G21" s="34"/>
      <c r="H21" s="34"/>
    </row>
    <row r="23" spans="1:8" ht="16.05" customHeight="1" x14ac:dyDescent="0.3">
      <c r="A23" s="40" t="s">
        <v>46</v>
      </c>
      <c r="B23" s="36"/>
      <c r="C23" s="36"/>
      <c r="D23" s="36"/>
      <c r="E23" s="36"/>
      <c r="F23" s="36"/>
      <c r="G23" s="36"/>
      <c r="H23" s="36"/>
    </row>
    <row r="24" spans="1:8" ht="15" customHeight="1" x14ac:dyDescent="0.3">
      <c r="A24" s="12" t="s">
        <v>47</v>
      </c>
      <c r="B24" s="33" t="s">
        <v>48</v>
      </c>
      <c r="C24" s="34"/>
      <c r="D24" s="34"/>
      <c r="E24" s="12" t="s">
        <v>49</v>
      </c>
      <c r="F24" s="33" t="s">
        <v>50</v>
      </c>
      <c r="G24" s="34"/>
      <c r="H24" s="34"/>
    </row>
    <row r="25" spans="1:8" ht="15" customHeight="1" x14ac:dyDescent="0.3">
      <c r="A25" s="12" t="s">
        <v>51</v>
      </c>
      <c r="B25" s="33">
        <v>62</v>
      </c>
      <c r="C25" s="34"/>
      <c r="D25" s="34"/>
      <c r="E25" s="12" t="s">
        <v>52</v>
      </c>
      <c r="F25" s="33">
        <v>85</v>
      </c>
      <c r="G25" s="34"/>
      <c r="H25" s="34"/>
    </row>
    <row r="26" spans="1:8" ht="15" customHeight="1" x14ac:dyDescent="0.3">
      <c r="A26" s="12" t="s">
        <v>53</v>
      </c>
      <c r="B26" s="33" t="s">
        <v>54</v>
      </c>
      <c r="C26" s="34"/>
      <c r="D26" s="34"/>
      <c r="E26" s="12" t="s">
        <v>55</v>
      </c>
      <c r="F26" s="33" t="s">
        <v>56</v>
      </c>
      <c r="G26" s="34"/>
      <c r="H26" s="34"/>
    </row>
    <row r="27" spans="1:8" ht="15" customHeight="1" x14ac:dyDescent="0.3">
      <c r="A27" s="12" t="s">
        <v>57</v>
      </c>
      <c r="B27" s="39" t="s">
        <v>58</v>
      </c>
      <c r="C27" s="34"/>
      <c r="D27" s="34"/>
      <c r="E27" s="12" t="s">
        <v>59</v>
      </c>
      <c r="F27" s="39" t="s">
        <v>60</v>
      </c>
      <c r="G27" s="34"/>
      <c r="H27" s="34"/>
    </row>
    <row r="28" spans="1:8" ht="15" customHeight="1" x14ac:dyDescent="0.3">
      <c r="A28" s="12" t="s">
        <v>61</v>
      </c>
      <c r="B28" s="33">
        <v>65</v>
      </c>
      <c r="C28" s="34"/>
      <c r="D28" s="34"/>
      <c r="E28" s="12" t="s">
        <v>62</v>
      </c>
      <c r="F28" s="33">
        <v>20</v>
      </c>
      <c r="G28" s="34"/>
      <c r="H28" s="34"/>
    </row>
    <row r="29" spans="1:8" ht="15" customHeight="1" x14ac:dyDescent="0.3">
      <c r="A29" s="12" t="s">
        <v>63</v>
      </c>
      <c r="B29" s="33" t="s">
        <v>64</v>
      </c>
      <c r="C29" s="34"/>
      <c r="D29" s="34"/>
      <c r="E29" s="12" t="s">
        <v>65</v>
      </c>
      <c r="F29" s="33" t="s">
        <v>66</v>
      </c>
      <c r="G29" s="34"/>
      <c r="H29" s="34"/>
    </row>
    <row r="30" spans="1:8" ht="15" customHeight="1" x14ac:dyDescent="0.3">
      <c r="A30" s="12" t="s">
        <v>67</v>
      </c>
      <c r="B30" s="33" t="s">
        <v>68</v>
      </c>
      <c r="C30" s="34"/>
      <c r="D30" s="34"/>
      <c r="E30" s="12" t="s">
        <v>69</v>
      </c>
      <c r="F30" s="33" t="s">
        <v>70</v>
      </c>
      <c r="G30" s="34"/>
      <c r="H30" s="34"/>
    </row>
    <row r="31" spans="1:8" ht="15" customHeight="1" x14ac:dyDescent="0.3">
      <c r="A31" s="12" t="s">
        <v>71</v>
      </c>
      <c r="B31" s="39" t="s">
        <v>72</v>
      </c>
      <c r="C31" s="34"/>
      <c r="D31" s="34"/>
      <c r="E31" s="12" t="s">
        <v>73</v>
      </c>
      <c r="F31" s="39" t="s">
        <v>74</v>
      </c>
      <c r="G31" s="34"/>
      <c r="H31" s="34"/>
    </row>
    <row r="33" spans="1:8" ht="16.05" customHeight="1" x14ac:dyDescent="0.3">
      <c r="A33" s="40" t="s">
        <v>75</v>
      </c>
      <c r="B33" s="36"/>
      <c r="C33" s="36"/>
      <c r="D33" s="36"/>
      <c r="E33" s="36"/>
      <c r="F33" s="36"/>
      <c r="G33" s="36"/>
      <c r="H33" s="36"/>
    </row>
    <row r="34" spans="1:8" ht="15" customHeight="1" x14ac:dyDescent="0.3">
      <c r="A34" s="12" t="s">
        <v>76</v>
      </c>
      <c r="B34" s="33" t="s">
        <v>77</v>
      </c>
      <c r="C34" s="34"/>
      <c r="D34" s="34"/>
      <c r="E34" s="37"/>
      <c r="F34" s="34"/>
      <c r="G34" s="34"/>
      <c r="H34" s="34"/>
    </row>
    <row r="35" spans="1:8" ht="15" customHeight="1" x14ac:dyDescent="0.3">
      <c r="A35" s="12" t="s">
        <v>78</v>
      </c>
      <c r="B35" s="33" t="s">
        <v>79</v>
      </c>
      <c r="C35" s="34"/>
      <c r="D35" s="34"/>
      <c r="E35" s="37"/>
      <c r="F35" s="34"/>
      <c r="G35" s="34"/>
      <c r="H35" s="34"/>
    </row>
    <row r="36" spans="1:8" ht="15" customHeight="1" x14ac:dyDescent="0.3">
      <c r="A36" s="12" t="s">
        <v>80</v>
      </c>
      <c r="B36" s="33" t="s">
        <v>81</v>
      </c>
      <c r="C36" s="34"/>
      <c r="D36" s="34"/>
      <c r="E36" s="37"/>
      <c r="F36" s="34"/>
      <c r="G36" s="34"/>
      <c r="H36" s="34"/>
    </row>
    <row r="37" spans="1:8" ht="15" customHeight="1" x14ac:dyDescent="0.3">
      <c r="A37" s="12" t="s">
        <v>82</v>
      </c>
      <c r="B37" s="33" t="s">
        <v>83</v>
      </c>
      <c r="C37" s="34"/>
      <c r="D37" s="34"/>
      <c r="E37" s="37"/>
      <c r="F37" s="34"/>
      <c r="G37" s="34"/>
      <c r="H37" s="34"/>
    </row>
    <row r="38" spans="1:8" ht="15" customHeight="1" x14ac:dyDescent="0.3">
      <c r="A38" s="12" t="s">
        <v>84</v>
      </c>
      <c r="B38" s="33" t="s">
        <v>85</v>
      </c>
      <c r="C38" s="34"/>
      <c r="D38" s="34"/>
      <c r="E38" s="37"/>
      <c r="F38" s="34"/>
      <c r="G38" s="34"/>
      <c r="H38" s="34"/>
    </row>
    <row r="39" spans="1:8" ht="15" customHeight="1" x14ac:dyDescent="0.3">
      <c r="A39" s="12" t="s">
        <v>86</v>
      </c>
      <c r="B39" s="33" t="s">
        <v>87</v>
      </c>
      <c r="C39" s="34"/>
      <c r="D39" s="34"/>
      <c r="E39" s="37"/>
      <c r="F39" s="34"/>
      <c r="G39" s="34"/>
      <c r="H39" s="34"/>
    </row>
    <row r="40" spans="1:8" ht="15" customHeight="1" x14ac:dyDescent="0.3">
      <c r="A40" s="12" t="s">
        <v>88</v>
      </c>
      <c r="B40" s="33" t="s">
        <v>89</v>
      </c>
      <c r="C40" s="34"/>
      <c r="D40" s="34"/>
      <c r="E40" s="37"/>
      <c r="F40" s="34"/>
      <c r="G40" s="34"/>
      <c r="H40" s="34"/>
    </row>
    <row r="41" spans="1:8" ht="15" customHeight="1" x14ac:dyDescent="0.3">
      <c r="A41" s="12" t="s">
        <v>90</v>
      </c>
      <c r="B41" s="33" t="s">
        <v>91</v>
      </c>
      <c r="C41" s="34"/>
      <c r="D41" s="34"/>
      <c r="E41" s="37"/>
      <c r="F41" s="34"/>
      <c r="G41" s="34"/>
      <c r="H41" s="34"/>
    </row>
    <row r="42" spans="1:8" ht="15" customHeight="1" x14ac:dyDescent="0.3">
      <c r="A42" s="12" t="s">
        <v>92</v>
      </c>
      <c r="B42" s="33" t="s">
        <v>93</v>
      </c>
      <c r="C42" s="34"/>
      <c r="D42" s="34"/>
      <c r="E42" s="37"/>
      <c r="F42" s="34"/>
      <c r="G42" s="34"/>
      <c r="H42" s="34"/>
    </row>
    <row r="44" spans="1:8" x14ac:dyDescent="0.3">
      <c r="A44" s="43" t="s">
        <v>94</v>
      </c>
      <c r="B44" s="36"/>
      <c r="C44" s="36"/>
      <c r="D44" s="36"/>
      <c r="E44" s="36"/>
      <c r="F44" s="36"/>
      <c r="G44" s="36"/>
      <c r="H44" s="36"/>
    </row>
    <row r="45" spans="1:8" x14ac:dyDescent="0.3">
      <c r="A45" s="36"/>
      <c r="B45" s="36"/>
      <c r="C45" s="36"/>
      <c r="D45" s="36"/>
      <c r="E45" s="36"/>
      <c r="F45" s="36"/>
      <c r="G45" s="36"/>
      <c r="H45" s="36"/>
    </row>
    <row r="46" spans="1:8" x14ac:dyDescent="0.3">
      <c r="A46" s="36"/>
      <c r="B46" s="36"/>
      <c r="C46" s="36"/>
      <c r="D46" s="36"/>
      <c r="E46" s="36"/>
      <c r="F46" s="36"/>
      <c r="G46" s="36"/>
      <c r="H46" s="36"/>
    </row>
  </sheetData>
  <mergeCells count="67">
    <mergeCell ref="A44:H46"/>
    <mergeCell ref="F24:H24"/>
    <mergeCell ref="E36:H36"/>
    <mergeCell ref="A2:H2"/>
    <mergeCell ref="B35:D35"/>
    <mergeCell ref="E35:H35"/>
    <mergeCell ref="B26:D26"/>
    <mergeCell ref="E38:H38"/>
    <mergeCell ref="A33:H33"/>
    <mergeCell ref="A5:H5"/>
    <mergeCell ref="A23:H23"/>
    <mergeCell ref="B25:D25"/>
    <mergeCell ref="A8:H8"/>
    <mergeCell ref="F11:H11"/>
    <mergeCell ref="B16:D16"/>
    <mergeCell ref="F29:H29"/>
    <mergeCell ref="F25:H25"/>
    <mergeCell ref="A4:H4"/>
    <mergeCell ref="F10:H10"/>
    <mergeCell ref="A3:H3"/>
    <mergeCell ref="B36:D36"/>
    <mergeCell ref="E39:H39"/>
    <mergeCell ref="F14:H14"/>
    <mergeCell ref="B41:D41"/>
    <mergeCell ref="F16:H16"/>
    <mergeCell ref="E40:H40"/>
    <mergeCell ref="F19:H19"/>
    <mergeCell ref="B31:D31"/>
    <mergeCell ref="E34:H34"/>
    <mergeCell ref="B27:D27"/>
    <mergeCell ref="B21:D21"/>
    <mergeCell ref="F12:H12"/>
    <mergeCell ref="F30:H30"/>
    <mergeCell ref="B12:D12"/>
    <mergeCell ref="B39:D39"/>
    <mergeCell ref="B9:D9"/>
    <mergeCell ref="B30:D30"/>
    <mergeCell ref="F9:H9"/>
    <mergeCell ref="B15:D15"/>
    <mergeCell ref="B24:D24"/>
    <mergeCell ref="B20:D20"/>
    <mergeCell ref="A18:H18"/>
    <mergeCell ref="F15:H15"/>
    <mergeCell ref="A1:H1"/>
    <mergeCell ref="B29:D29"/>
    <mergeCell ref="E41:H41"/>
    <mergeCell ref="B38:D38"/>
    <mergeCell ref="A6:H6"/>
    <mergeCell ref="B34:D34"/>
    <mergeCell ref="E37:H37"/>
    <mergeCell ref="B10:D10"/>
    <mergeCell ref="B28:D28"/>
    <mergeCell ref="B19:D19"/>
    <mergeCell ref="B37:D37"/>
    <mergeCell ref="F28:H28"/>
    <mergeCell ref="F13:H13"/>
    <mergeCell ref="F31:H31"/>
    <mergeCell ref="F27:H27"/>
    <mergeCell ref="B40:D40"/>
    <mergeCell ref="F20:H20"/>
    <mergeCell ref="B11:D11"/>
    <mergeCell ref="B42:D42"/>
    <mergeCell ref="B14:D14"/>
    <mergeCell ref="F21:H21"/>
    <mergeCell ref="B13:D13"/>
    <mergeCell ref="F26:H26"/>
    <mergeCell ref="E42:H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zoomScaleNormal="100" workbookViewId="0">
      <pane ySplit="6" topLeftCell="A7" activePane="bottomLeft" state="frozen"/>
      <selection pane="bottomLeft" activeCell="F8" sqref="F8:H8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50" t="s">
        <v>95</v>
      </c>
      <c r="B1" s="36"/>
      <c r="C1" s="36"/>
      <c r="D1" s="36"/>
      <c r="E1" s="36"/>
      <c r="F1" s="36"/>
      <c r="G1" s="36"/>
      <c r="H1" s="36"/>
    </row>
    <row r="2" spans="1:8" ht="18" customHeight="1" x14ac:dyDescent="0.3">
      <c r="A2" s="53" t="s">
        <v>96</v>
      </c>
      <c r="B2" s="36"/>
      <c r="C2" s="36"/>
      <c r="D2" s="36"/>
      <c r="E2" s="36"/>
      <c r="F2" s="36"/>
      <c r="G2" s="36"/>
      <c r="H2" s="36"/>
    </row>
    <row r="3" spans="1:8" ht="30" customHeight="1" x14ac:dyDescent="0.3">
      <c r="A3" s="53" t="s">
        <v>97</v>
      </c>
      <c r="B3" s="36"/>
      <c r="C3" s="36"/>
      <c r="D3" s="36"/>
      <c r="E3" s="36"/>
      <c r="F3" s="36"/>
      <c r="G3" s="36"/>
      <c r="H3" s="36"/>
    </row>
    <row r="4" spans="1:8" ht="27.75" customHeight="1" x14ac:dyDescent="0.3">
      <c r="A4" s="55" t="s">
        <v>98</v>
      </c>
      <c r="B4" s="36"/>
      <c r="C4" s="36"/>
      <c r="D4" s="36"/>
      <c r="E4" s="36"/>
      <c r="F4" s="36"/>
      <c r="G4" s="36"/>
      <c r="H4" s="36"/>
    </row>
    <row r="5" spans="1:8" ht="27.75" customHeight="1" x14ac:dyDescent="0.3">
      <c r="A5" s="54" t="s">
        <v>99</v>
      </c>
      <c r="B5" s="36"/>
      <c r="C5" s="36"/>
      <c r="D5" s="36"/>
      <c r="E5" s="36"/>
      <c r="F5" s="36"/>
      <c r="G5" s="36"/>
      <c r="H5" s="36"/>
    </row>
    <row r="6" spans="1:8" ht="24" customHeight="1" x14ac:dyDescent="0.3">
      <c r="A6" s="51" t="s">
        <v>100</v>
      </c>
      <c r="B6" s="36"/>
      <c r="C6" s="36"/>
      <c r="D6" s="36"/>
      <c r="E6" s="36"/>
      <c r="F6" s="36"/>
      <c r="G6" s="36"/>
      <c r="H6" s="36"/>
    </row>
    <row r="7" spans="1:8" ht="21.75" customHeight="1" x14ac:dyDescent="0.3">
      <c r="A7" s="52" t="s">
        <v>101</v>
      </c>
      <c r="B7" s="36"/>
      <c r="C7" s="36"/>
      <c r="D7" s="36"/>
      <c r="E7" s="36"/>
      <c r="F7" s="36"/>
      <c r="G7" s="36"/>
      <c r="H7" s="36"/>
    </row>
    <row r="8" spans="1:8" ht="19.5" customHeight="1" x14ac:dyDescent="0.3">
      <c r="A8" s="1" t="s">
        <v>102</v>
      </c>
      <c r="B8" s="48">
        <v>46245</v>
      </c>
      <c r="C8" s="45"/>
      <c r="D8" s="46"/>
      <c r="E8" s="1" t="s">
        <v>103</v>
      </c>
      <c r="F8" s="47" t="s">
        <v>104</v>
      </c>
      <c r="G8" s="45"/>
      <c r="H8" s="46"/>
    </row>
    <row r="9" spans="1:8" ht="19.5" customHeight="1" x14ac:dyDescent="0.3">
      <c r="A9" s="1" t="s">
        <v>105</v>
      </c>
      <c r="B9" s="47" t="s">
        <v>35</v>
      </c>
      <c r="C9" s="45"/>
      <c r="D9" s="46"/>
      <c r="E9" s="1" t="s">
        <v>106</v>
      </c>
      <c r="F9" s="47" t="s">
        <v>107</v>
      </c>
      <c r="G9" s="45"/>
      <c r="H9" s="46"/>
    </row>
    <row r="10" spans="1:8" ht="19.5" customHeight="1" x14ac:dyDescent="0.3">
      <c r="A10" s="1" t="s">
        <v>108</v>
      </c>
      <c r="B10" s="47" t="s">
        <v>8</v>
      </c>
      <c r="C10" s="45"/>
      <c r="D10" s="46"/>
      <c r="E10" s="1" t="s">
        <v>109</v>
      </c>
      <c r="F10" s="44" t="str">
        <f>IFERROR(VLOOKUP($B$10,tbl_Bloques,2,FALSE()),"")</f>
        <v>C1076-Q9593</v>
      </c>
      <c r="G10" s="45"/>
      <c r="H10" s="46"/>
    </row>
    <row r="11" spans="1:8" ht="19.5" customHeight="1" x14ac:dyDescent="0.3">
      <c r="A11" s="1" t="s">
        <v>110</v>
      </c>
      <c r="B11" s="44" t="str">
        <f>IFERROR(VLOOKUP($B$10,tbl_Bloques,3,FALSE()),"")</f>
        <v>Huancabamba</v>
      </c>
      <c r="C11" s="45"/>
      <c r="D11" s="46"/>
      <c r="E11" s="1" t="s">
        <v>111</v>
      </c>
      <c r="F11" s="44" t="str">
        <f>IFERROR(VLOOKUP($B$10,tbl_Bloques,4,FALSE()),"")</f>
        <v>Huarmaca</v>
      </c>
      <c r="G11" s="45"/>
      <c r="H11" s="46"/>
    </row>
    <row r="12" spans="1:8" ht="19.5" customHeight="1" x14ac:dyDescent="0.3">
      <c r="A12" s="1" t="s">
        <v>112</v>
      </c>
      <c r="B12" s="44" t="str">
        <f>IFERROR(VLOOKUP($B$10,tbl_Bloques,5,FALSE()),"")</f>
        <v>Z14</v>
      </c>
      <c r="C12" s="45"/>
      <c r="D12" s="46"/>
      <c r="E12" s="1" t="s">
        <v>113</v>
      </c>
      <c r="F12" s="44">
        <f>IFERROR(VLOOKUP($B$10,tbl_Bloques,8,FALSE()),"")</f>
        <v>22.93</v>
      </c>
      <c r="G12" s="45"/>
      <c r="H12" s="46"/>
    </row>
    <row r="13" spans="1:8" ht="19.5" customHeight="1" x14ac:dyDescent="0.3">
      <c r="A13" s="1" t="s">
        <v>114</v>
      </c>
      <c r="B13" s="49" t="s">
        <v>104</v>
      </c>
      <c r="C13" s="45"/>
      <c r="D13" s="46"/>
      <c r="E13" s="1" t="s">
        <v>115</v>
      </c>
      <c r="F13" s="49" t="s">
        <v>104</v>
      </c>
      <c r="G13" s="45"/>
      <c r="H13" s="46"/>
    </row>
    <row r="14" spans="1:8" ht="19.5" customHeight="1" x14ac:dyDescent="0.3">
      <c r="A14" s="1" t="s">
        <v>116</v>
      </c>
      <c r="B14" s="47">
        <v>1876</v>
      </c>
      <c r="C14" s="45"/>
      <c r="D14" s="46"/>
      <c r="E14" s="1" t="s">
        <v>117</v>
      </c>
      <c r="F14" s="47" t="s">
        <v>118</v>
      </c>
      <c r="G14" s="45"/>
      <c r="H14" s="46"/>
    </row>
    <row r="15" spans="1:8" ht="19.5" customHeight="1" x14ac:dyDescent="0.3">
      <c r="A15" s="1" t="s">
        <v>119</v>
      </c>
      <c r="B15" s="47" t="s">
        <v>120</v>
      </c>
      <c r="C15" s="45"/>
      <c r="D15" s="45"/>
      <c r="E15" s="45"/>
      <c r="F15" s="45"/>
      <c r="G15" s="45"/>
      <c r="H15" s="46"/>
    </row>
    <row r="17" spans="1:8" ht="21.75" customHeight="1" x14ac:dyDescent="0.3">
      <c r="A17" s="52" t="s">
        <v>121</v>
      </c>
      <c r="B17" s="36"/>
      <c r="C17" s="36"/>
      <c r="D17" s="36"/>
      <c r="E17" s="36"/>
      <c r="F17" s="36"/>
      <c r="G17" s="36"/>
      <c r="H17" s="36"/>
    </row>
    <row r="18" spans="1:8" ht="19.5" customHeight="1" x14ac:dyDescent="0.3">
      <c r="A18" s="1" t="s">
        <v>122</v>
      </c>
      <c r="B18" s="47" t="s">
        <v>48</v>
      </c>
      <c r="C18" s="45"/>
      <c r="D18" s="45"/>
      <c r="E18" s="45"/>
      <c r="F18" s="45"/>
      <c r="G18" s="45"/>
      <c r="H18" s="46"/>
    </row>
    <row r="19" spans="1:8" ht="19.5" customHeight="1" x14ac:dyDescent="0.3">
      <c r="A19" s="1" t="s">
        <v>123</v>
      </c>
      <c r="B19" s="47" t="s">
        <v>50</v>
      </c>
      <c r="C19" s="45"/>
      <c r="D19" s="45"/>
      <c r="E19" s="45"/>
      <c r="F19" s="45"/>
      <c r="G19" s="45"/>
      <c r="H19" s="46"/>
    </row>
    <row r="20" spans="1:8" ht="19.5" customHeight="1" x14ac:dyDescent="0.3">
      <c r="A20" s="1" t="s">
        <v>124</v>
      </c>
      <c r="B20" s="47" t="s">
        <v>125</v>
      </c>
      <c r="C20" s="45"/>
      <c r="D20" s="45"/>
      <c r="E20" s="45"/>
      <c r="F20" s="45"/>
      <c r="G20" s="45"/>
      <c r="H20" s="46"/>
    </row>
    <row r="21" spans="1:8" ht="19.5" customHeight="1" x14ac:dyDescent="0.3">
      <c r="A21" s="1" t="s">
        <v>126</v>
      </c>
      <c r="B21" s="47" t="s">
        <v>127</v>
      </c>
      <c r="C21" s="45"/>
      <c r="D21" s="45"/>
      <c r="E21" s="45"/>
      <c r="F21" s="45"/>
      <c r="G21" s="45"/>
      <c r="H21" s="46"/>
    </row>
    <row r="22" spans="1:8" ht="19.5" customHeight="1" x14ac:dyDescent="0.3">
      <c r="A22" s="1" t="s">
        <v>128</v>
      </c>
      <c r="B22" s="47" t="s">
        <v>129</v>
      </c>
      <c r="C22" s="45"/>
      <c r="D22" s="45"/>
      <c r="E22" s="45"/>
      <c r="F22" s="45"/>
      <c r="G22" s="45"/>
      <c r="H22" s="46"/>
    </row>
    <row r="23" spans="1:8" ht="19.5" customHeight="1" x14ac:dyDescent="0.3">
      <c r="A23" s="1" t="s">
        <v>130</v>
      </c>
      <c r="B23" s="47" t="s">
        <v>131</v>
      </c>
      <c r="C23" s="45"/>
      <c r="D23" s="45"/>
      <c r="E23" s="45"/>
      <c r="F23" s="45"/>
      <c r="G23" s="45"/>
      <c r="H23" s="46"/>
    </row>
    <row r="25" spans="1:8" ht="21.75" customHeight="1" x14ac:dyDescent="0.3">
      <c r="A25" s="52" t="s">
        <v>132</v>
      </c>
      <c r="B25" s="36"/>
      <c r="C25" s="36"/>
      <c r="D25" s="36"/>
      <c r="E25" s="36"/>
      <c r="F25" s="36"/>
      <c r="G25" s="36"/>
      <c r="H25" s="36"/>
    </row>
    <row r="26" spans="1:8" ht="19.5" customHeight="1" x14ac:dyDescent="0.3">
      <c r="A26" s="1" t="s">
        <v>133</v>
      </c>
      <c r="B26" s="47" t="s">
        <v>134</v>
      </c>
      <c r="C26" s="45"/>
      <c r="D26" s="45"/>
      <c r="E26" s="45"/>
      <c r="F26" s="45"/>
      <c r="G26" s="45"/>
      <c r="H26" s="46"/>
    </row>
    <row r="27" spans="1:8" ht="19.5" customHeight="1" x14ac:dyDescent="0.3">
      <c r="A27" s="1" t="s">
        <v>135</v>
      </c>
      <c r="B27" s="47" t="s">
        <v>136</v>
      </c>
      <c r="C27" s="45"/>
      <c r="D27" s="45"/>
      <c r="E27" s="45"/>
      <c r="F27" s="45"/>
      <c r="G27" s="45"/>
      <c r="H27" s="46"/>
    </row>
    <row r="28" spans="1:8" ht="19.5" customHeight="1" x14ac:dyDescent="0.3">
      <c r="A28" s="1" t="s">
        <v>137</v>
      </c>
      <c r="B28" s="47" t="s">
        <v>136</v>
      </c>
      <c r="C28" s="45"/>
      <c r="D28" s="45"/>
      <c r="E28" s="45"/>
      <c r="F28" s="45"/>
      <c r="G28" s="45"/>
      <c r="H28" s="46"/>
    </row>
    <row r="29" spans="1:8" ht="19.5" customHeight="1" x14ac:dyDescent="0.3">
      <c r="A29" s="1" t="s">
        <v>138</v>
      </c>
      <c r="B29" s="47" t="s">
        <v>136</v>
      </c>
      <c r="C29" s="45"/>
      <c r="D29" s="45"/>
      <c r="E29" s="45"/>
      <c r="F29" s="45"/>
      <c r="G29" s="45"/>
      <c r="H29" s="46"/>
    </row>
    <row r="30" spans="1:8" ht="19.5" customHeight="1" x14ac:dyDescent="0.3">
      <c r="A30" s="1" t="s">
        <v>139</v>
      </c>
      <c r="B30" s="47" t="s">
        <v>136</v>
      </c>
      <c r="C30" s="45"/>
      <c r="D30" s="45"/>
      <c r="E30" s="45"/>
      <c r="F30" s="45"/>
      <c r="G30" s="45"/>
      <c r="H30" s="46"/>
    </row>
    <row r="32" spans="1:8" ht="21.75" customHeight="1" x14ac:dyDescent="0.3">
      <c r="A32" s="52" t="s">
        <v>140</v>
      </c>
      <c r="B32" s="36"/>
      <c r="C32" s="36"/>
      <c r="D32" s="36"/>
      <c r="E32" s="36"/>
      <c r="F32" s="36"/>
      <c r="G32" s="36"/>
      <c r="H32" s="36"/>
    </row>
    <row r="33" spans="1:8" ht="27.75" customHeight="1" x14ac:dyDescent="0.3">
      <c r="A33" s="56" t="s">
        <v>141</v>
      </c>
      <c r="B33" s="57"/>
      <c r="C33" s="57"/>
      <c r="D33" s="57"/>
      <c r="E33" s="57"/>
      <c r="F33" s="57"/>
      <c r="G33" s="57"/>
      <c r="H33" s="58"/>
    </row>
    <row r="34" spans="1:8" ht="27.75" customHeight="1" x14ac:dyDescent="0.3">
      <c r="A34" s="59"/>
      <c r="B34" s="36"/>
      <c r="C34" s="36"/>
      <c r="D34" s="36"/>
      <c r="E34" s="36"/>
      <c r="F34" s="36"/>
      <c r="G34" s="36"/>
      <c r="H34" s="60"/>
    </row>
    <row r="35" spans="1:8" ht="27.75" customHeight="1" x14ac:dyDescent="0.3">
      <c r="A35" s="61"/>
      <c r="B35" s="62"/>
      <c r="C35" s="62"/>
      <c r="D35" s="62"/>
      <c r="E35" s="62"/>
      <c r="F35" s="62"/>
      <c r="G35" s="62"/>
      <c r="H35" s="63"/>
    </row>
  </sheetData>
  <mergeCells count="37">
    <mergeCell ref="A4:H4"/>
    <mergeCell ref="F10:H10"/>
    <mergeCell ref="A33:H35"/>
    <mergeCell ref="B29:H29"/>
    <mergeCell ref="F12:H12"/>
    <mergeCell ref="B12:D12"/>
    <mergeCell ref="B19:H19"/>
    <mergeCell ref="B28:H28"/>
    <mergeCell ref="A5:H5"/>
    <mergeCell ref="A32:H32"/>
    <mergeCell ref="F11:H11"/>
    <mergeCell ref="A17:H17"/>
    <mergeCell ref="B23:H23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21:H21"/>
    <mergeCell ref="A2:H2"/>
    <mergeCell ref="B11:D11"/>
    <mergeCell ref="B14:D14"/>
    <mergeCell ref="B8:D8"/>
    <mergeCell ref="F8:H8"/>
    <mergeCell ref="B30:H30"/>
    <mergeCell ref="B13:D13"/>
    <mergeCell ref="B15:H15"/>
    <mergeCell ref="B27:H27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1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1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1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1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1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1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1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1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1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1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4"/>
  <sheetViews>
    <sheetView showGridLines="0" zoomScaleNormal="100" workbookViewId="0">
      <pane ySplit="6" topLeftCell="A7" activePane="bottomLeft" state="frozen"/>
      <selection pane="bottomLeft" activeCell="J8" sqref="J8:L8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50" t="s">
        <v>95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8" customHeight="1" x14ac:dyDescent="0.3">
      <c r="A2" s="53" t="s">
        <v>96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30" customHeight="1" x14ac:dyDescent="0.3">
      <c r="A3" s="53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27.75" customHeight="1" x14ac:dyDescent="0.3">
      <c r="A4" s="55" t="s">
        <v>142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27.75" customHeight="1" x14ac:dyDescent="0.3">
      <c r="A5" s="54" t="s">
        <v>143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2" ht="24" customHeight="1" x14ac:dyDescent="0.3">
      <c r="A6" s="51" t="s">
        <v>100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2" ht="21.75" customHeight="1" x14ac:dyDescent="0.3">
      <c r="A7" s="52" t="s">
        <v>144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2" ht="19.5" customHeight="1" x14ac:dyDescent="0.3">
      <c r="A8" s="64" t="s">
        <v>102</v>
      </c>
      <c r="B8" s="45"/>
      <c r="C8" s="46"/>
      <c r="D8" s="48">
        <v>46245</v>
      </c>
      <c r="E8" s="45"/>
      <c r="F8" s="46"/>
      <c r="G8" s="64" t="s">
        <v>145</v>
      </c>
      <c r="H8" s="45"/>
      <c r="I8" s="46"/>
      <c r="J8" s="47" t="s">
        <v>35</v>
      </c>
      <c r="K8" s="45"/>
      <c r="L8" s="46"/>
    </row>
    <row r="9" spans="1:12" ht="19.5" customHeight="1" x14ac:dyDescent="0.3">
      <c r="A9" s="64" t="s">
        <v>108</v>
      </c>
      <c r="B9" s="45"/>
      <c r="C9" s="46"/>
      <c r="D9" s="47" t="s">
        <v>8</v>
      </c>
      <c r="E9" s="45"/>
      <c r="F9" s="46"/>
      <c r="G9" s="64" t="s">
        <v>146</v>
      </c>
      <c r="H9" s="45"/>
      <c r="I9" s="46"/>
      <c r="J9" s="44" t="str">
        <f>IFERROR(VLOOKUP($D$9,tbl_Bloques,2,FALSE()),"")</f>
        <v>C1076-Q9593</v>
      </c>
      <c r="K9" s="45"/>
      <c r="L9" s="46"/>
    </row>
    <row r="10" spans="1:12" ht="19.5" customHeight="1" x14ac:dyDescent="0.3">
      <c r="A10" s="64" t="s">
        <v>111</v>
      </c>
      <c r="B10" s="45"/>
      <c r="C10" s="46"/>
      <c r="D10" s="44" t="str">
        <f>IFERROR(VLOOKUP($D$9,tbl_Bloques,4,FALSE()),"")</f>
        <v>Huarmaca</v>
      </c>
      <c r="E10" s="45"/>
      <c r="F10" s="46"/>
      <c r="G10" s="64" t="s">
        <v>147</v>
      </c>
      <c r="H10" s="45"/>
      <c r="I10" s="46"/>
      <c r="J10" s="47">
        <v>1876</v>
      </c>
      <c r="K10" s="45"/>
      <c r="L10" s="46"/>
    </row>
    <row r="11" spans="1:12" ht="19.5" customHeight="1" x14ac:dyDescent="0.3">
      <c r="A11" s="64" t="s">
        <v>148</v>
      </c>
      <c r="B11" s="45"/>
      <c r="C11" s="46"/>
      <c r="D11" s="49" t="s">
        <v>104</v>
      </c>
      <c r="E11" s="45"/>
      <c r="F11" s="46"/>
      <c r="G11" s="64" t="s">
        <v>149</v>
      </c>
      <c r="H11" s="45"/>
      <c r="I11" s="46"/>
      <c r="J11" s="49" t="s">
        <v>104</v>
      </c>
      <c r="K11" s="45"/>
      <c r="L11" s="46"/>
    </row>
    <row r="13" spans="1:12" ht="21.75" customHeight="1" x14ac:dyDescent="0.3">
      <c r="A13" s="52" t="s">
        <v>150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2" ht="19.5" customHeight="1" x14ac:dyDescent="0.3">
      <c r="A14" s="64" t="s">
        <v>151</v>
      </c>
      <c r="B14" s="45"/>
      <c r="C14" s="46"/>
      <c r="D14" s="47" t="s">
        <v>134</v>
      </c>
      <c r="E14" s="45"/>
      <c r="F14" s="45"/>
      <c r="G14" s="45"/>
      <c r="H14" s="45"/>
      <c r="I14" s="45"/>
      <c r="J14" s="45"/>
      <c r="K14" s="45"/>
      <c r="L14" s="46"/>
    </row>
    <row r="15" spans="1:12" ht="19.5" customHeight="1" x14ac:dyDescent="0.3">
      <c r="A15" s="64" t="s">
        <v>152</v>
      </c>
      <c r="B15" s="45"/>
      <c r="C15" s="46"/>
      <c r="D15" s="47" t="s">
        <v>134</v>
      </c>
      <c r="E15" s="45"/>
      <c r="F15" s="45"/>
      <c r="G15" s="45"/>
      <c r="H15" s="45"/>
      <c r="I15" s="45"/>
      <c r="J15" s="45"/>
      <c r="K15" s="45"/>
      <c r="L15" s="46"/>
    </row>
    <row r="16" spans="1:12" ht="19.5" customHeight="1" x14ac:dyDescent="0.3">
      <c r="A16" s="64" t="s">
        <v>153</v>
      </c>
      <c r="B16" s="45"/>
      <c r="C16" s="46"/>
      <c r="D16" s="47" t="s">
        <v>136</v>
      </c>
      <c r="E16" s="45"/>
      <c r="F16" s="45"/>
      <c r="G16" s="45"/>
      <c r="H16" s="45"/>
      <c r="I16" s="45"/>
      <c r="J16" s="45"/>
      <c r="K16" s="45"/>
      <c r="L16" s="46"/>
    </row>
    <row r="17" spans="1:12" ht="19.5" customHeight="1" x14ac:dyDescent="0.3">
      <c r="A17" s="64" t="s">
        <v>154</v>
      </c>
      <c r="B17" s="45"/>
      <c r="C17" s="46"/>
      <c r="D17" s="47" t="s">
        <v>68</v>
      </c>
      <c r="E17" s="45"/>
      <c r="F17" s="45"/>
      <c r="G17" s="45"/>
      <c r="H17" s="45"/>
      <c r="I17" s="45"/>
      <c r="J17" s="45"/>
      <c r="K17" s="45"/>
      <c r="L17" s="46"/>
    </row>
    <row r="19" spans="1:12" ht="21.75" customHeight="1" x14ac:dyDescent="0.3">
      <c r="A19" s="52" t="s">
        <v>155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2" ht="25.5" customHeight="1" x14ac:dyDescent="0.3">
      <c r="A20" s="65" t="s">
        <v>156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ht="31.5" customHeight="1" x14ac:dyDescent="0.3">
      <c r="A21" s="2" t="s">
        <v>157</v>
      </c>
      <c r="B21" s="2" t="s">
        <v>158</v>
      </c>
      <c r="C21" s="2" t="s">
        <v>159</v>
      </c>
      <c r="D21" s="2" t="s">
        <v>160</v>
      </c>
      <c r="E21" s="2" t="s">
        <v>161</v>
      </c>
      <c r="F21" s="2" t="s">
        <v>162</v>
      </c>
      <c r="G21" s="2" t="s">
        <v>163</v>
      </c>
      <c r="H21" s="2" t="s">
        <v>164</v>
      </c>
      <c r="I21" s="2" t="s">
        <v>165</v>
      </c>
      <c r="J21" s="2" t="s">
        <v>166</v>
      </c>
      <c r="K21" s="2" t="s">
        <v>167</v>
      </c>
      <c r="L21" s="2" t="s">
        <v>168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52" t="s">
        <v>169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 spans="1:12" ht="19.5" customHeight="1" x14ac:dyDescent="0.3">
      <c r="A34" s="64" t="s">
        <v>170</v>
      </c>
      <c r="B34" s="45"/>
      <c r="C34" s="46"/>
      <c r="D34" s="47" t="s">
        <v>68</v>
      </c>
      <c r="E34" s="45"/>
      <c r="F34" s="45"/>
      <c r="G34" s="45"/>
      <c r="H34" s="45"/>
      <c r="I34" s="45"/>
      <c r="J34" s="45"/>
      <c r="K34" s="45"/>
      <c r="L34" s="46"/>
    </row>
    <row r="35" spans="1:12" ht="19.5" customHeight="1" x14ac:dyDescent="0.3">
      <c r="A35" s="64" t="s">
        <v>171</v>
      </c>
      <c r="B35" s="45"/>
      <c r="C35" s="46"/>
      <c r="D35" s="47">
        <v>0</v>
      </c>
      <c r="E35" s="45"/>
      <c r="F35" s="46"/>
      <c r="G35" s="64" t="s">
        <v>172</v>
      </c>
      <c r="H35" s="45"/>
      <c r="I35" s="46"/>
      <c r="J35" s="47">
        <v>0</v>
      </c>
      <c r="K35" s="45"/>
      <c r="L35" s="46"/>
    </row>
    <row r="36" spans="1:12" ht="19.5" customHeight="1" x14ac:dyDescent="0.3">
      <c r="A36" s="64" t="s">
        <v>173</v>
      </c>
      <c r="B36" s="45"/>
      <c r="C36" s="46"/>
      <c r="D36" s="47">
        <v>0</v>
      </c>
      <c r="E36" s="45"/>
      <c r="F36" s="46"/>
      <c r="G36" s="64" t="s">
        <v>174</v>
      </c>
      <c r="H36" s="45"/>
      <c r="I36" s="46"/>
      <c r="J36" s="47">
        <v>15</v>
      </c>
      <c r="K36" s="45"/>
      <c r="L36" s="46"/>
    </row>
    <row r="37" spans="1:12" ht="19.5" customHeight="1" x14ac:dyDescent="0.3">
      <c r="A37" s="64" t="s">
        <v>175</v>
      </c>
      <c r="B37" s="45"/>
      <c r="C37" s="46"/>
      <c r="D37" s="47" t="s">
        <v>176</v>
      </c>
      <c r="E37" s="45"/>
      <c r="F37" s="45"/>
      <c r="G37" s="45"/>
      <c r="H37" s="45"/>
      <c r="I37" s="45"/>
      <c r="J37" s="45"/>
      <c r="K37" s="45"/>
      <c r="L37" s="46"/>
    </row>
    <row r="38" spans="1:12" ht="19.5" customHeight="1" x14ac:dyDescent="0.3">
      <c r="A38" s="64" t="s">
        <v>177</v>
      </c>
      <c r="B38" s="45"/>
      <c r="C38" s="46"/>
      <c r="D38" s="47" t="s">
        <v>136</v>
      </c>
      <c r="E38" s="45"/>
      <c r="F38" s="45"/>
      <c r="G38" s="45"/>
      <c r="H38" s="45"/>
      <c r="I38" s="45"/>
      <c r="J38" s="45"/>
      <c r="K38" s="45"/>
      <c r="L38" s="46"/>
    </row>
    <row r="39" spans="1:12" ht="19.5" customHeight="1" x14ac:dyDescent="0.3">
      <c r="A39" s="64" t="s">
        <v>178</v>
      </c>
      <c r="B39" s="45"/>
      <c r="C39" s="46"/>
      <c r="D39" s="47" t="s">
        <v>179</v>
      </c>
      <c r="E39" s="45"/>
      <c r="F39" s="45"/>
      <c r="G39" s="45"/>
      <c r="H39" s="45"/>
      <c r="I39" s="45"/>
      <c r="J39" s="45"/>
      <c r="K39" s="45"/>
      <c r="L39" s="46"/>
    </row>
    <row r="41" spans="1:12" ht="21.75" customHeight="1" x14ac:dyDescent="0.3">
      <c r="A41" s="52" t="s">
        <v>140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spans="1:12" ht="27.75" customHeight="1" x14ac:dyDescent="0.3">
      <c r="A42" s="56" t="s">
        <v>180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ht="27.75" customHeight="1" x14ac:dyDescent="0.3">
      <c r="A43" s="59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60"/>
    </row>
    <row r="44" spans="1:12" ht="27.75" customHeight="1" x14ac:dyDescent="0.3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</row>
  </sheetData>
  <mergeCells count="53">
    <mergeCell ref="A1:L1"/>
    <mergeCell ref="G8:I8"/>
    <mergeCell ref="D36:F36"/>
    <mergeCell ref="A6:L6"/>
    <mergeCell ref="J9:L9"/>
    <mergeCell ref="A16:C16"/>
    <mergeCell ref="A42:L44"/>
    <mergeCell ref="A8:C8"/>
    <mergeCell ref="A5:L5"/>
    <mergeCell ref="A14:C14"/>
    <mergeCell ref="A17:C17"/>
    <mergeCell ref="G35:I35"/>
    <mergeCell ref="D9:F9"/>
    <mergeCell ref="A35:C35"/>
    <mergeCell ref="D8:F8"/>
    <mergeCell ref="D39:L39"/>
    <mergeCell ref="A38:C38"/>
    <mergeCell ref="A10:C10"/>
    <mergeCell ref="A20:L20"/>
    <mergeCell ref="D15:L15"/>
    <mergeCell ref="A19:L19"/>
    <mergeCell ref="D38:L38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  <mergeCell ref="J8:L8"/>
    <mergeCell ref="A15:C15"/>
    <mergeCell ref="D10:F10"/>
    <mergeCell ref="G11:I11"/>
    <mergeCell ref="A11:C11"/>
    <mergeCell ref="J10:L10"/>
    <mergeCell ref="D11:F11"/>
    <mergeCell ref="G10:I10"/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2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2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2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2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2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2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2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2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2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2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2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7"/>
  <sheetViews>
    <sheetView showGridLines="0" zoomScaleNormal="100" workbookViewId="0">
      <pane ySplit="6" topLeftCell="A61" activePane="bottomLeft" state="frozen"/>
      <selection pane="bottomLeft" activeCell="C9" sqref="C9:D9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  <col min="10" max="10" width="30" customWidth="1"/>
  </cols>
  <sheetData>
    <row r="1" spans="1:9" ht="21.75" customHeight="1" x14ac:dyDescent="0.3">
      <c r="A1" s="50" t="s">
        <v>95</v>
      </c>
      <c r="B1" s="36"/>
      <c r="C1" s="36"/>
      <c r="D1" s="36"/>
      <c r="E1" s="36"/>
      <c r="F1" s="36"/>
      <c r="G1" s="36"/>
      <c r="H1" s="36"/>
      <c r="I1" s="36"/>
    </row>
    <row r="2" spans="1:9" ht="18" customHeight="1" x14ac:dyDescent="0.3">
      <c r="A2" s="53" t="s">
        <v>96</v>
      </c>
      <c r="B2" s="36"/>
      <c r="C2" s="36"/>
      <c r="D2" s="36"/>
      <c r="E2" s="36"/>
      <c r="F2" s="36"/>
      <c r="G2" s="36"/>
      <c r="H2" s="36"/>
      <c r="I2" s="36"/>
    </row>
    <row r="3" spans="1:9" ht="30" customHeight="1" x14ac:dyDescent="0.3">
      <c r="A3" s="53" t="s">
        <v>97</v>
      </c>
      <c r="B3" s="36"/>
      <c r="C3" s="36"/>
      <c r="D3" s="36"/>
      <c r="E3" s="36"/>
      <c r="F3" s="36"/>
      <c r="G3" s="36"/>
      <c r="H3" s="36"/>
      <c r="I3" s="36"/>
    </row>
    <row r="4" spans="1:9" ht="27.75" customHeight="1" x14ac:dyDescent="0.3">
      <c r="A4" s="55" t="s">
        <v>181</v>
      </c>
      <c r="B4" s="36"/>
      <c r="C4" s="36"/>
      <c r="D4" s="36"/>
      <c r="E4" s="36"/>
      <c r="F4" s="36"/>
      <c r="G4" s="36"/>
      <c r="H4" s="36"/>
      <c r="I4" s="36"/>
    </row>
    <row r="5" spans="1:9" ht="27.75" customHeight="1" x14ac:dyDescent="0.3">
      <c r="A5" s="54" t="s">
        <v>182</v>
      </c>
      <c r="B5" s="36"/>
      <c r="C5" s="36"/>
      <c r="D5" s="36"/>
      <c r="E5" s="36"/>
      <c r="F5" s="36"/>
      <c r="G5" s="36"/>
      <c r="H5" s="36"/>
      <c r="I5" s="36"/>
    </row>
    <row r="6" spans="1:9" ht="24" customHeight="1" x14ac:dyDescent="0.3">
      <c r="A6" s="51" t="s">
        <v>100</v>
      </c>
      <c r="B6" s="36"/>
      <c r="C6" s="36"/>
      <c r="D6" s="36"/>
      <c r="E6" s="36"/>
      <c r="F6" s="36"/>
      <c r="G6" s="36"/>
      <c r="H6" s="36"/>
      <c r="I6" s="36"/>
    </row>
    <row r="7" spans="1:9" ht="21.75" customHeight="1" x14ac:dyDescent="0.3">
      <c r="A7" s="52" t="s">
        <v>144</v>
      </c>
      <c r="B7" s="36"/>
      <c r="C7" s="36"/>
      <c r="D7" s="36"/>
      <c r="E7" s="36"/>
      <c r="F7" s="36"/>
      <c r="G7" s="36"/>
      <c r="H7" s="36"/>
      <c r="I7" s="36"/>
    </row>
    <row r="8" spans="1:9" ht="19.5" customHeight="1" x14ac:dyDescent="0.3">
      <c r="A8" s="64" t="s">
        <v>183</v>
      </c>
      <c r="B8" s="46"/>
      <c r="C8" s="48">
        <v>46245</v>
      </c>
      <c r="D8" s="46"/>
      <c r="E8" s="64" t="s">
        <v>145</v>
      </c>
      <c r="F8" s="46"/>
      <c r="G8" s="47" t="s">
        <v>35</v>
      </c>
      <c r="H8" s="45"/>
      <c r="I8" s="46"/>
    </row>
    <row r="9" spans="1:9" ht="19.5" customHeight="1" x14ac:dyDescent="0.3">
      <c r="A9" s="64" t="s">
        <v>108</v>
      </c>
      <c r="B9" s="46"/>
      <c r="C9" s="47" t="s">
        <v>8</v>
      </c>
      <c r="D9" s="46"/>
      <c r="E9" s="64" t="s">
        <v>184</v>
      </c>
      <c r="F9" s="46"/>
      <c r="G9" s="44" t="str">
        <f>IFERROR(VLOOKUP($C$9,tbl_Bloques,2,FALSE()),"")</f>
        <v>C1076-Q9593</v>
      </c>
      <c r="H9" s="45"/>
      <c r="I9" s="46"/>
    </row>
    <row r="10" spans="1:9" ht="19.5" customHeight="1" x14ac:dyDescent="0.3">
      <c r="A10" s="64" t="s">
        <v>111</v>
      </c>
      <c r="B10" s="46"/>
      <c r="C10" s="44" t="str">
        <f>IFERROR(VLOOKUP($C$9,tbl_Bloques,4,FALSE()),"")</f>
        <v>Huarmaca</v>
      </c>
      <c r="D10" s="46"/>
      <c r="E10" s="64" t="s">
        <v>44</v>
      </c>
      <c r="F10" s="46"/>
      <c r="G10" s="47" t="s">
        <v>185</v>
      </c>
      <c r="H10" s="45"/>
      <c r="I10" s="46"/>
    </row>
    <row r="11" spans="1:9" ht="19.5" customHeight="1" x14ac:dyDescent="0.3">
      <c r="A11" s="64" t="s">
        <v>186</v>
      </c>
      <c r="B11" s="46"/>
      <c r="C11" s="47" t="s">
        <v>187</v>
      </c>
      <c r="D11" s="46"/>
      <c r="E11" s="64" t="s">
        <v>147</v>
      </c>
      <c r="F11" s="46"/>
      <c r="G11" s="47">
        <v>1876</v>
      </c>
      <c r="H11" s="45"/>
      <c r="I11" s="46"/>
    </row>
    <row r="12" spans="1:9" ht="19.5" customHeight="1" x14ac:dyDescent="0.3">
      <c r="A12" s="64" t="s">
        <v>188</v>
      </c>
      <c r="B12" s="46"/>
      <c r="C12" s="47">
        <v>62</v>
      </c>
      <c r="D12" s="46"/>
      <c r="E12" s="64" t="s">
        <v>189</v>
      </c>
      <c r="F12" s="46"/>
      <c r="G12" s="47">
        <v>65</v>
      </c>
      <c r="H12" s="45"/>
      <c r="I12" s="46"/>
    </row>
    <row r="13" spans="1:9" ht="19.5" customHeight="1" x14ac:dyDescent="0.3">
      <c r="A13" s="64" t="s">
        <v>190</v>
      </c>
      <c r="B13" s="46"/>
      <c r="C13" s="49" t="s">
        <v>104</v>
      </c>
      <c r="D13" s="46"/>
      <c r="E13" s="64" t="s">
        <v>191</v>
      </c>
      <c r="F13" s="46"/>
      <c r="G13" s="49" t="s">
        <v>104</v>
      </c>
      <c r="H13" s="45"/>
      <c r="I13" s="46"/>
    </row>
    <row r="15" spans="1:9" ht="21.75" customHeight="1" x14ac:dyDescent="0.3">
      <c r="A15" s="52" t="s">
        <v>192</v>
      </c>
      <c r="B15" s="36"/>
      <c r="C15" s="36"/>
      <c r="D15" s="36"/>
      <c r="E15" s="36"/>
      <c r="F15" s="36"/>
      <c r="G15" s="36"/>
      <c r="H15" s="36"/>
      <c r="I15" s="36"/>
    </row>
    <row r="16" spans="1:9" ht="19.5" customHeight="1" x14ac:dyDescent="0.3">
      <c r="A16" s="64" t="s">
        <v>193</v>
      </c>
      <c r="B16" s="46"/>
      <c r="C16" s="47" t="s">
        <v>54</v>
      </c>
      <c r="D16" s="45"/>
      <c r="E16" s="45"/>
      <c r="F16" s="45"/>
      <c r="G16" s="45"/>
      <c r="H16" s="45"/>
      <c r="I16" s="46"/>
    </row>
    <row r="17" spans="1:9" ht="19.5" customHeight="1" x14ac:dyDescent="0.3">
      <c r="A17" s="64" t="s">
        <v>194</v>
      </c>
      <c r="B17" s="46"/>
      <c r="C17" s="47">
        <v>22.927</v>
      </c>
      <c r="D17" s="45"/>
      <c r="E17" s="45"/>
      <c r="F17" s="45"/>
      <c r="G17" s="45"/>
      <c r="H17" s="45"/>
      <c r="I17" s="46"/>
    </row>
    <row r="18" spans="1:9" ht="19.5" customHeight="1" x14ac:dyDescent="0.3">
      <c r="A18" s="64" t="s">
        <v>195</v>
      </c>
      <c r="B18" s="46"/>
      <c r="C18" s="47" t="s">
        <v>56</v>
      </c>
      <c r="D18" s="45"/>
      <c r="E18" s="45"/>
      <c r="F18" s="45"/>
      <c r="G18" s="45"/>
      <c r="H18" s="45"/>
      <c r="I18" s="46"/>
    </row>
    <row r="19" spans="1:9" ht="19.5" customHeight="1" x14ac:dyDescent="0.3">
      <c r="A19" s="64" t="s">
        <v>196</v>
      </c>
      <c r="B19" s="46"/>
      <c r="C19" s="47" t="s">
        <v>197</v>
      </c>
      <c r="D19" s="45"/>
      <c r="E19" s="45"/>
      <c r="F19" s="45"/>
      <c r="G19" s="45"/>
      <c r="H19" s="45"/>
      <c r="I19" s="46"/>
    </row>
    <row r="21" spans="1:9" ht="21.75" customHeight="1" x14ac:dyDescent="0.3">
      <c r="A21" s="52" t="s">
        <v>198</v>
      </c>
      <c r="B21" s="36"/>
      <c r="C21" s="36"/>
      <c r="D21" s="36"/>
      <c r="E21" s="36"/>
      <c r="F21" s="36"/>
      <c r="G21" s="36"/>
      <c r="H21" s="36"/>
      <c r="I21" s="36"/>
    </row>
    <row r="22" spans="1:9" ht="19.5" customHeight="1" x14ac:dyDescent="0.3">
      <c r="A22" s="64" t="s">
        <v>199</v>
      </c>
      <c r="B22" s="46"/>
      <c r="C22" s="47">
        <v>10</v>
      </c>
      <c r="D22" s="46"/>
      <c r="E22" s="64" t="s">
        <v>200</v>
      </c>
      <c r="F22" s="46"/>
      <c r="G22" s="47">
        <v>25</v>
      </c>
      <c r="H22" s="45"/>
      <c r="I22" s="46"/>
    </row>
    <row r="23" spans="1:9" ht="19.5" customHeight="1" x14ac:dyDescent="0.3">
      <c r="A23" s="64" t="s">
        <v>201</v>
      </c>
      <c r="B23" s="46"/>
      <c r="C23" s="47">
        <v>30</v>
      </c>
      <c r="D23" s="46"/>
      <c r="E23" s="64" t="s">
        <v>202</v>
      </c>
      <c r="F23" s="46"/>
      <c r="G23" s="47">
        <v>15</v>
      </c>
      <c r="H23" s="45"/>
      <c r="I23" s="46"/>
    </row>
    <row r="24" spans="1:9" ht="19.5" customHeight="1" x14ac:dyDescent="0.3">
      <c r="A24" s="64" t="s">
        <v>203</v>
      </c>
      <c r="B24" s="46"/>
      <c r="C24" s="47">
        <v>20</v>
      </c>
      <c r="D24" s="46"/>
      <c r="E24" s="64" t="s">
        <v>204</v>
      </c>
      <c r="F24" s="46"/>
      <c r="G24" s="47">
        <v>2.5</v>
      </c>
      <c r="H24" s="45"/>
      <c r="I24" s="46"/>
    </row>
    <row r="25" spans="1:9" ht="19.5" customHeight="1" x14ac:dyDescent="0.3">
      <c r="A25" s="64" t="s">
        <v>205</v>
      </c>
      <c r="B25" s="46"/>
      <c r="C25" s="47">
        <v>6</v>
      </c>
      <c r="D25" s="46"/>
      <c r="E25" s="64" t="s">
        <v>206</v>
      </c>
      <c r="F25" s="46"/>
      <c r="G25" s="47">
        <v>15</v>
      </c>
      <c r="H25" s="45"/>
      <c r="I25" s="46"/>
    </row>
    <row r="26" spans="1:9" ht="19.5" customHeight="1" x14ac:dyDescent="0.3">
      <c r="A26" s="64" t="s">
        <v>207</v>
      </c>
      <c r="B26" s="46"/>
      <c r="C26" s="47" t="s">
        <v>208</v>
      </c>
      <c r="D26" s="45"/>
      <c r="E26" s="45"/>
      <c r="F26" s="45"/>
      <c r="G26" s="45"/>
      <c r="H26" s="45"/>
      <c r="I26" s="46"/>
    </row>
    <row r="27" spans="1:9" ht="19.5" customHeight="1" x14ac:dyDescent="0.3">
      <c r="A27" s="64" t="s">
        <v>209</v>
      </c>
      <c r="B27" s="46"/>
      <c r="C27" s="47" t="s">
        <v>210</v>
      </c>
      <c r="D27" s="45"/>
      <c r="E27" s="45"/>
      <c r="F27" s="45"/>
      <c r="G27" s="45"/>
      <c r="H27" s="45"/>
      <c r="I27" s="46"/>
    </row>
    <row r="28" spans="1:9" ht="19.5" customHeight="1" x14ac:dyDescent="0.3">
      <c r="A28" s="64" t="s">
        <v>211</v>
      </c>
      <c r="B28" s="46"/>
      <c r="C28" s="47" t="s">
        <v>212</v>
      </c>
      <c r="D28" s="45"/>
      <c r="E28" s="45"/>
      <c r="F28" s="45"/>
      <c r="G28" s="45"/>
      <c r="H28" s="45"/>
      <c r="I28" s="46"/>
    </row>
    <row r="29" spans="1:9" ht="19.5" customHeight="1" x14ac:dyDescent="0.3">
      <c r="A29" s="64" t="s">
        <v>213</v>
      </c>
      <c r="B29" s="46"/>
      <c r="C29" s="47" t="s">
        <v>214</v>
      </c>
      <c r="D29" s="45"/>
      <c r="E29" s="45"/>
      <c r="F29" s="45"/>
      <c r="G29" s="45"/>
      <c r="H29" s="45"/>
      <c r="I29" s="46"/>
    </row>
    <row r="30" spans="1:9" ht="19.5" customHeight="1" x14ac:dyDescent="0.3">
      <c r="A30" s="64" t="s">
        <v>215</v>
      </c>
      <c r="B30" s="46"/>
      <c r="C30" s="47" t="s">
        <v>216</v>
      </c>
      <c r="D30" s="45"/>
      <c r="E30" s="45"/>
      <c r="F30" s="45"/>
      <c r="G30" s="45"/>
      <c r="H30" s="45"/>
      <c r="I30" s="46"/>
    </row>
    <row r="32" spans="1:9" ht="21.75" customHeight="1" x14ac:dyDescent="0.3">
      <c r="A32" s="52" t="s">
        <v>217</v>
      </c>
      <c r="B32" s="36"/>
      <c r="C32" s="36"/>
      <c r="D32" s="36"/>
      <c r="E32" s="36"/>
      <c r="F32" s="36"/>
      <c r="G32" s="36"/>
      <c r="H32" s="36"/>
      <c r="I32" s="36"/>
    </row>
    <row r="33" spans="1:10" ht="43.5" customHeight="1" x14ac:dyDescent="0.3">
      <c r="A33" s="65" t="s">
        <v>218</v>
      </c>
      <c r="B33" s="45"/>
      <c r="C33" s="45"/>
      <c r="D33" s="45"/>
      <c r="E33" s="45"/>
      <c r="F33" s="45"/>
      <c r="G33" s="45"/>
      <c r="H33" s="45"/>
      <c r="I33" s="46"/>
    </row>
    <row r="34" spans="1:10" ht="31.5" customHeight="1" x14ac:dyDescent="0.3">
      <c r="A34" s="2" t="s">
        <v>219</v>
      </c>
      <c r="B34" s="2" t="s">
        <v>220</v>
      </c>
      <c r="C34" s="2" t="s">
        <v>221</v>
      </c>
      <c r="D34" s="2" t="s">
        <v>222</v>
      </c>
      <c r="E34" s="2" t="s">
        <v>223</v>
      </c>
      <c r="F34" s="2" t="s">
        <v>224</v>
      </c>
      <c r="G34" s="2" t="s">
        <v>225</v>
      </c>
      <c r="H34" s="2" t="s">
        <v>226</v>
      </c>
      <c r="I34" s="2" t="s">
        <v>227</v>
      </c>
      <c r="J34" s="13" t="s">
        <v>228</v>
      </c>
    </row>
    <row r="35" spans="1:10" ht="18" customHeight="1" x14ac:dyDescent="0.3">
      <c r="A35" s="5">
        <v>1</v>
      </c>
      <c r="B35" s="14" t="s">
        <v>229</v>
      </c>
      <c r="C35" s="14" t="s">
        <v>230</v>
      </c>
      <c r="D35" s="14" t="s">
        <v>231</v>
      </c>
      <c r="E35" s="14" t="s">
        <v>232</v>
      </c>
      <c r="F35" s="15" t="s">
        <v>233</v>
      </c>
      <c r="G35" s="15" t="s">
        <v>234</v>
      </c>
      <c r="H35" s="15">
        <v>8</v>
      </c>
      <c r="I35" s="15">
        <v>3</v>
      </c>
      <c r="J35" s="16" t="s">
        <v>235</v>
      </c>
    </row>
    <row r="36" spans="1:10" ht="18" customHeight="1" x14ac:dyDescent="0.3">
      <c r="A36" s="5">
        <v>2</v>
      </c>
      <c r="B36" s="14" t="s">
        <v>236</v>
      </c>
      <c r="C36" s="14" t="s">
        <v>237</v>
      </c>
      <c r="D36" s="14" t="s">
        <v>238</v>
      </c>
      <c r="E36" s="14" t="s">
        <v>232</v>
      </c>
      <c r="F36" s="15" t="s">
        <v>233</v>
      </c>
      <c r="G36" s="15" t="s">
        <v>234</v>
      </c>
      <c r="H36" s="15"/>
      <c r="I36" s="15"/>
      <c r="J36" s="17" t="s">
        <v>239</v>
      </c>
    </row>
    <row r="37" spans="1:10" ht="18" customHeight="1" x14ac:dyDescent="0.3">
      <c r="A37" s="5">
        <v>3</v>
      </c>
      <c r="B37" s="14" t="s">
        <v>240</v>
      </c>
      <c r="C37" s="14" t="s">
        <v>241</v>
      </c>
      <c r="D37" s="14" t="s">
        <v>242</v>
      </c>
      <c r="E37" s="14" t="s">
        <v>232</v>
      </c>
      <c r="F37" s="15" t="s">
        <v>243</v>
      </c>
      <c r="G37" s="15" t="s">
        <v>244</v>
      </c>
      <c r="H37" s="15"/>
      <c r="I37" s="15"/>
      <c r="J37" s="17" t="s">
        <v>239</v>
      </c>
    </row>
    <row r="38" spans="1:10" ht="18" customHeight="1" x14ac:dyDescent="0.3">
      <c r="A38" s="5">
        <v>4</v>
      </c>
      <c r="B38" s="14" t="s">
        <v>245</v>
      </c>
      <c r="C38" s="14" t="s">
        <v>246</v>
      </c>
      <c r="D38" s="14" t="s">
        <v>247</v>
      </c>
      <c r="E38" s="14" t="s">
        <v>248</v>
      </c>
      <c r="F38" s="15" t="s">
        <v>243</v>
      </c>
      <c r="G38" s="15" t="s">
        <v>244</v>
      </c>
      <c r="H38" s="15"/>
      <c r="I38" s="15"/>
      <c r="J38" s="17" t="s">
        <v>239</v>
      </c>
    </row>
    <row r="39" spans="1:10" ht="18" customHeight="1" x14ac:dyDescent="0.3">
      <c r="A39" s="5">
        <v>5</v>
      </c>
      <c r="B39" s="14" t="s">
        <v>249</v>
      </c>
      <c r="C39" s="14" t="s">
        <v>250</v>
      </c>
      <c r="D39" s="14" t="s">
        <v>251</v>
      </c>
      <c r="E39" s="14" t="s">
        <v>252</v>
      </c>
      <c r="F39" s="15" t="s">
        <v>243</v>
      </c>
      <c r="G39" s="15" t="s">
        <v>253</v>
      </c>
      <c r="H39" s="15"/>
      <c r="I39" s="15"/>
      <c r="J39" s="17" t="s">
        <v>239</v>
      </c>
    </row>
    <row r="40" spans="1:10" ht="18" customHeight="1" x14ac:dyDescent="0.3">
      <c r="A40" s="5">
        <v>6</v>
      </c>
      <c r="B40" s="14" t="s">
        <v>254</v>
      </c>
      <c r="C40" s="14" t="s">
        <v>255</v>
      </c>
      <c r="D40" s="14" t="s">
        <v>256</v>
      </c>
      <c r="E40" s="14" t="s">
        <v>257</v>
      </c>
      <c r="F40" s="15" t="s">
        <v>233</v>
      </c>
      <c r="G40" s="15" t="s">
        <v>258</v>
      </c>
      <c r="H40" s="15"/>
      <c r="I40" s="15">
        <v>0.3</v>
      </c>
      <c r="J40" s="16" t="s">
        <v>259</v>
      </c>
    </row>
    <row r="41" spans="1:10" ht="18" customHeight="1" x14ac:dyDescent="0.3">
      <c r="A41" s="5">
        <v>7</v>
      </c>
      <c r="B41" s="14" t="s">
        <v>260</v>
      </c>
      <c r="C41" s="14" t="s">
        <v>261</v>
      </c>
      <c r="D41" s="14" t="s">
        <v>238</v>
      </c>
      <c r="E41" s="14" t="s">
        <v>232</v>
      </c>
      <c r="F41" s="15" t="s">
        <v>233</v>
      </c>
      <c r="G41" s="15" t="s">
        <v>234</v>
      </c>
      <c r="H41" s="15"/>
      <c r="I41" s="15"/>
      <c r="J41" s="17" t="s">
        <v>239</v>
      </c>
    </row>
    <row r="42" spans="1:10" ht="18" customHeight="1" x14ac:dyDescent="0.3">
      <c r="A42" s="5">
        <v>8</v>
      </c>
      <c r="B42" s="14" t="s">
        <v>262</v>
      </c>
      <c r="C42" s="14" t="s">
        <v>263</v>
      </c>
      <c r="D42" s="14" t="s">
        <v>263</v>
      </c>
      <c r="E42" s="14" t="s">
        <v>232</v>
      </c>
      <c r="F42" s="15" t="s">
        <v>233</v>
      </c>
      <c r="G42" s="15" t="s">
        <v>234</v>
      </c>
      <c r="H42" s="15"/>
      <c r="I42" s="15"/>
      <c r="J42" s="17" t="s">
        <v>239</v>
      </c>
    </row>
    <row r="43" spans="1:10" ht="18" customHeight="1" x14ac:dyDescent="0.3">
      <c r="A43" s="5">
        <v>9</v>
      </c>
      <c r="B43" s="14" t="s">
        <v>264</v>
      </c>
      <c r="C43" s="14" t="s">
        <v>265</v>
      </c>
      <c r="D43" s="14" t="s">
        <v>256</v>
      </c>
      <c r="E43" s="14" t="s">
        <v>257</v>
      </c>
      <c r="F43" s="15" t="s">
        <v>243</v>
      </c>
      <c r="G43" s="15" t="s">
        <v>234</v>
      </c>
      <c r="H43" s="15"/>
      <c r="I43" s="15"/>
      <c r="J43" s="17" t="s">
        <v>239</v>
      </c>
    </row>
    <row r="44" spans="1:10" ht="18" customHeight="1" x14ac:dyDescent="0.3">
      <c r="A44" s="5">
        <v>10</v>
      </c>
      <c r="B44" s="14" t="s">
        <v>266</v>
      </c>
      <c r="C44" s="14" t="s">
        <v>267</v>
      </c>
      <c r="D44" s="14" t="s">
        <v>268</v>
      </c>
      <c r="E44" s="14" t="s">
        <v>269</v>
      </c>
      <c r="F44" s="15" t="s">
        <v>243</v>
      </c>
      <c r="G44" s="15" t="s">
        <v>244</v>
      </c>
      <c r="H44" s="15"/>
      <c r="I44" s="15"/>
      <c r="J44" s="17" t="s">
        <v>239</v>
      </c>
    </row>
    <row r="45" spans="1:10" ht="18" customHeight="1" x14ac:dyDescent="0.3">
      <c r="A45" s="5">
        <v>11</v>
      </c>
      <c r="B45" s="14" t="s">
        <v>270</v>
      </c>
      <c r="C45" s="14" t="s">
        <v>263</v>
      </c>
      <c r="D45" s="14" t="s">
        <v>256</v>
      </c>
      <c r="E45" s="14" t="s">
        <v>257</v>
      </c>
      <c r="F45" s="15" t="s">
        <v>243</v>
      </c>
      <c r="G45" s="15" t="s">
        <v>244</v>
      </c>
      <c r="H45" s="15"/>
      <c r="I45" s="15"/>
      <c r="J45" s="17" t="s">
        <v>239</v>
      </c>
    </row>
    <row r="46" spans="1:10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10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10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52" t="s">
        <v>271</v>
      </c>
      <c r="B51" s="36"/>
      <c r="C51" s="36"/>
      <c r="D51" s="36"/>
      <c r="E51" s="36"/>
      <c r="F51" s="36"/>
      <c r="G51" s="36"/>
      <c r="H51" s="36"/>
      <c r="I51" s="36"/>
    </row>
    <row r="52" spans="1:9" ht="30" customHeight="1" x14ac:dyDescent="0.3">
      <c r="A52" s="2" t="s">
        <v>219</v>
      </c>
      <c r="B52" s="2" t="s">
        <v>272</v>
      </c>
      <c r="C52" s="2" t="s">
        <v>273</v>
      </c>
      <c r="D52" s="2" t="s">
        <v>274</v>
      </c>
      <c r="E52" s="2" t="s">
        <v>275</v>
      </c>
      <c r="F52" s="2" t="s">
        <v>276</v>
      </c>
      <c r="G52" s="2" t="s">
        <v>277</v>
      </c>
      <c r="H52" s="2" t="s">
        <v>278</v>
      </c>
      <c r="I52" s="2" t="s">
        <v>279</v>
      </c>
    </row>
    <row r="53" spans="1:9" ht="18" customHeight="1" x14ac:dyDescent="0.3">
      <c r="A53" s="5">
        <v>1</v>
      </c>
      <c r="B53" s="14" t="s">
        <v>280</v>
      </c>
      <c r="C53" s="14" t="s">
        <v>281</v>
      </c>
      <c r="D53" s="14" t="s">
        <v>176</v>
      </c>
      <c r="E53" s="3"/>
      <c r="F53" s="3"/>
      <c r="G53" s="15"/>
      <c r="H53" s="15"/>
      <c r="I53" s="14" t="s">
        <v>282</v>
      </c>
    </row>
    <row r="54" spans="1:9" ht="18" customHeight="1" x14ac:dyDescent="0.3">
      <c r="A54" s="5">
        <v>2</v>
      </c>
      <c r="B54" s="14" t="s">
        <v>283</v>
      </c>
      <c r="C54" s="14" t="s">
        <v>281</v>
      </c>
      <c r="D54" s="14" t="s">
        <v>176</v>
      </c>
      <c r="E54" s="3"/>
      <c r="F54" s="3"/>
      <c r="G54" s="15"/>
      <c r="H54" s="15"/>
      <c r="I54" s="14" t="s">
        <v>284</v>
      </c>
    </row>
    <row r="55" spans="1:9" ht="18" customHeight="1" x14ac:dyDescent="0.3">
      <c r="A55" s="5">
        <v>3</v>
      </c>
      <c r="B55" s="14" t="s">
        <v>285</v>
      </c>
      <c r="C55" s="14" t="s">
        <v>281</v>
      </c>
      <c r="D55" s="14" t="s">
        <v>176</v>
      </c>
      <c r="E55" s="3"/>
      <c r="F55" s="3"/>
      <c r="G55" s="15"/>
      <c r="H55" s="15"/>
      <c r="I55" s="14" t="s">
        <v>286</v>
      </c>
    </row>
    <row r="56" spans="1:9" ht="18" customHeight="1" x14ac:dyDescent="0.3">
      <c r="A56" s="5">
        <v>4</v>
      </c>
      <c r="B56" s="14" t="s">
        <v>287</v>
      </c>
      <c r="C56" s="14" t="s">
        <v>281</v>
      </c>
      <c r="D56" s="14" t="s">
        <v>176</v>
      </c>
      <c r="E56" s="3"/>
      <c r="F56" s="3"/>
      <c r="G56" s="15"/>
      <c r="H56" s="15"/>
      <c r="I56" s="14" t="s">
        <v>288</v>
      </c>
    </row>
    <row r="57" spans="1:9" ht="18" customHeight="1" x14ac:dyDescent="0.3">
      <c r="A57" s="5">
        <v>5</v>
      </c>
      <c r="B57" s="14" t="s">
        <v>289</v>
      </c>
      <c r="C57" s="14" t="s">
        <v>281</v>
      </c>
      <c r="D57" s="14" t="s">
        <v>176</v>
      </c>
      <c r="E57" s="3"/>
      <c r="F57" s="3"/>
      <c r="G57" s="15"/>
      <c r="H57" s="15"/>
      <c r="I57" s="14" t="s">
        <v>290</v>
      </c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52" t="s">
        <v>140</v>
      </c>
      <c r="B64" s="36"/>
      <c r="C64" s="36"/>
      <c r="D64" s="36"/>
      <c r="E64" s="36"/>
      <c r="F64" s="36"/>
      <c r="G64" s="36"/>
      <c r="H64" s="36"/>
      <c r="I64" s="36"/>
    </row>
    <row r="65" spans="1:9" ht="90" customHeight="1" x14ac:dyDescent="0.3">
      <c r="A65" s="66" t="s">
        <v>291</v>
      </c>
      <c r="B65" s="57"/>
      <c r="C65" s="57"/>
      <c r="D65" s="57"/>
      <c r="E65" s="57"/>
      <c r="F65" s="57"/>
      <c r="G65" s="57"/>
      <c r="H65" s="57"/>
      <c r="I65" s="58"/>
    </row>
    <row r="66" spans="1:9" ht="27.75" customHeight="1" x14ac:dyDescent="0.3">
      <c r="A66" s="59"/>
      <c r="B66" s="36"/>
      <c r="C66" s="36"/>
      <c r="D66" s="36"/>
      <c r="E66" s="36"/>
      <c r="F66" s="36"/>
      <c r="G66" s="36"/>
      <c r="H66" s="36"/>
      <c r="I66" s="60"/>
    </row>
    <row r="67" spans="1:9" ht="27.75" customHeight="1" x14ac:dyDescent="0.3">
      <c r="A67" s="61"/>
      <c r="B67" s="62"/>
      <c r="C67" s="62"/>
      <c r="D67" s="62"/>
      <c r="E67" s="62"/>
      <c r="F67" s="62"/>
      <c r="G67" s="62"/>
      <c r="H67" s="62"/>
      <c r="I67" s="63"/>
    </row>
  </sheetData>
  <mergeCells count="72">
    <mergeCell ref="A1:I1"/>
    <mergeCell ref="G8:I8"/>
    <mergeCell ref="A13:B13"/>
    <mergeCell ref="A28:B28"/>
    <mergeCell ref="E22:F22"/>
    <mergeCell ref="C13:D13"/>
    <mergeCell ref="A6:I6"/>
    <mergeCell ref="A9:B9"/>
    <mergeCell ref="C27:I27"/>
    <mergeCell ref="A64:I64"/>
    <mergeCell ref="A15:I15"/>
    <mergeCell ref="A29:B29"/>
    <mergeCell ref="A51:I51"/>
    <mergeCell ref="E25:F25"/>
    <mergeCell ref="A19:B19"/>
    <mergeCell ref="G23:I23"/>
    <mergeCell ref="A2:I2"/>
    <mergeCell ref="C10:D10"/>
    <mergeCell ref="C18:I18"/>
    <mergeCell ref="A25:B25"/>
    <mergeCell ref="A5:I5"/>
    <mergeCell ref="E10:F10"/>
    <mergeCell ref="C25:D25"/>
    <mergeCell ref="E13:F13"/>
    <mergeCell ref="C22:D22"/>
    <mergeCell ref="C9:D9"/>
    <mergeCell ref="A18:B18"/>
    <mergeCell ref="E9:F9"/>
    <mergeCell ref="A4:I4"/>
    <mergeCell ref="A12:B12"/>
    <mergeCell ref="G25:I25"/>
    <mergeCell ref="C12:D12"/>
    <mergeCell ref="A3:I3"/>
    <mergeCell ref="E8:F8"/>
    <mergeCell ref="A21:I21"/>
    <mergeCell ref="C19:I19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23:B23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22:B22"/>
    <mergeCell ref="G11:I11"/>
    <mergeCell ref="A7:I7"/>
    <mergeCell ref="E12:F12"/>
    <mergeCell ref="A24:B24"/>
    <mergeCell ref="A30:B30"/>
    <mergeCell ref="G10:I10"/>
    <mergeCell ref="C24:D24"/>
    <mergeCell ref="C8:D8"/>
    <mergeCell ref="A10:B10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3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3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3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3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3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3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3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3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3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3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3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3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3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4"/>
  <sheetViews>
    <sheetView showGridLines="0" zoomScaleNormal="100" workbookViewId="0">
      <pane ySplit="6" topLeftCell="A47" activePane="bottomLeft" state="frozen"/>
      <selection pane="bottomLeft" activeCell="C9" sqref="C9:G9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50" t="s">
        <v>95</v>
      </c>
      <c r="B1" s="36"/>
      <c r="C1" s="36"/>
      <c r="D1" s="36"/>
      <c r="E1" s="36"/>
      <c r="F1" s="36"/>
      <c r="G1" s="36"/>
    </row>
    <row r="2" spans="1:7" ht="18" customHeight="1" x14ac:dyDescent="0.3">
      <c r="A2" s="53" t="s">
        <v>96</v>
      </c>
      <c r="B2" s="36"/>
      <c r="C2" s="36"/>
      <c r="D2" s="36"/>
      <c r="E2" s="36"/>
      <c r="F2" s="36"/>
      <c r="G2" s="36"/>
    </row>
    <row r="3" spans="1:7" ht="30" customHeight="1" x14ac:dyDescent="0.3">
      <c r="A3" s="53" t="s">
        <v>97</v>
      </c>
      <c r="B3" s="36"/>
      <c r="C3" s="36"/>
      <c r="D3" s="36"/>
      <c r="E3" s="36"/>
      <c r="F3" s="36"/>
      <c r="G3" s="36"/>
    </row>
    <row r="4" spans="1:7" ht="27.75" customHeight="1" x14ac:dyDescent="0.3">
      <c r="A4" s="55" t="s">
        <v>292</v>
      </c>
      <c r="B4" s="36"/>
      <c r="C4" s="36"/>
      <c r="D4" s="36"/>
      <c r="E4" s="36"/>
      <c r="F4" s="36"/>
      <c r="G4" s="36"/>
    </row>
    <row r="5" spans="1:7" ht="27.75" customHeight="1" x14ac:dyDescent="0.3">
      <c r="A5" s="54" t="s">
        <v>293</v>
      </c>
      <c r="B5" s="36"/>
      <c r="C5" s="36"/>
      <c r="D5" s="36"/>
      <c r="E5" s="36"/>
      <c r="F5" s="36"/>
      <c r="G5" s="36"/>
    </row>
    <row r="6" spans="1:7" ht="24" customHeight="1" x14ac:dyDescent="0.3">
      <c r="A6" s="51" t="s">
        <v>100</v>
      </c>
      <c r="B6" s="36"/>
      <c r="C6" s="36"/>
      <c r="D6" s="36"/>
      <c r="E6" s="36"/>
      <c r="F6" s="36"/>
      <c r="G6" s="36"/>
    </row>
    <row r="7" spans="1:7" ht="21.75" customHeight="1" x14ac:dyDescent="0.3">
      <c r="A7" s="52" t="s">
        <v>144</v>
      </c>
      <c r="B7" s="36"/>
      <c r="C7" s="36"/>
      <c r="D7" s="36"/>
      <c r="E7" s="36"/>
      <c r="F7" s="36"/>
      <c r="G7" s="36"/>
    </row>
    <row r="8" spans="1:7" ht="19.5" customHeight="1" x14ac:dyDescent="0.3">
      <c r="A8" s="64" t="s">
        <v>183</v>
      </c>
      <c r="B8" s="46"/>
      <c r="C8" s="48">
        <v>46245</v>
      </c>
      <c r="D8" s="45"/>
      <c r="E8" s="45"/>
      <c r="F8" s="45"/>
      <c r="G8" s="46"/>
    </row>
    <row r="9" spans="1:7" ht="19.5" customHeight="1" x14ac:dyDescent="0.3">
      <c r="A9" s="64" t="s">
        <v>145</v>
      </c>
      <c r="B9" s="46"/>
      <c r="C9" s="47" t="s">
        <v>35</v>
      </c>
      <c r="D9" s="45"/>
      <c r="E9" s="45"/>
      <c r="F9" s="45"/>
      <c r="G9" s="46"/>
    </row>
    <row r="10" spans="1:7" ht="19.5" customHeight="1" x14ac:dyDescent="0.3">
      <c r="A10" s="64" t="s">
        <v>108</v>
      </c>
      <c r="B10" s="46"/>
      <c r="C10" s="47" t="s">
        <v>8</v>
      </c>
      <c r="D10" s="45"/>
      <c r="E10" s="45"/>
      <c r="F10" s="45"/>
      <c r="G10" s="46"/>
    </row>
    <row r="11" spans="1:7" ht="19.5" customHeight="1" x14ac:dyDescent="0.3">
      <c r="A11" s="64" t="s">
        <v>184</v>
      </c>
      <c r="B11" s="46"/>
      <c r="C11" s="44" t="str">
        <f>IFERROR(VLOOKUP($C$10,tbl_Bloques,2,FALSE()),"")</f>
        <v>C1076-Q9593</v>
      </c>
      <c r="D11" s="45"/>
      <c r="E11" s="45"/>
      <c r="F11" s="45"/>
      <c r="G11" s="46"/>
    </row>
    <row r="12" spans="1:7" ht="21.75" customHeight="1" x14ac:dyDescent="0.3">
      <c r="A12" s="6" t="s">
        <v>294</v>
      </c>
      <c r="B12" s="11"/>
      <c r="C12" s="46"/>
      <c r="D12" s="45"/>
      <c r="E12" s="45"/>
      <c r="F12" s="45"/>
      <c r="G12" s="46"/>
    </row>
    <row r="13" spans="1:7" ht="27.75" customHeight="1" x14ac:dyDescent="0.3">
      <c r="A13" s="65" t="s">
        <v>295</v>
      </c>
      <c r="B13" s="46"/>
      <c r="C13" s="67"/>
      <c r="D13" s="45"/>
      <c r="E13" s="45"/>
      <c r="F13" s="45"/>
      <c r="G13" s="46"/>
    </row>
    <row r="14" spans="1:7" ht="31.5" customHeight="1" x14ac:dyDescent="0.3">
      <c r="A14" s="2" t="s">
        <v>219</v>
      </c>
      <c r="B14" s="2" t="s">
        <v>296</v>
      </c>
      <c r="C14" s="2" t="s">
        <v>297</v>
      </c>
      <c r="D14" s="2" t="s">
        <v>298</v>
      </c>
      <c r="E14" s="2" t="s">
        <v>299</v>
      </c>
      <c r="F14" s="2" t="s">
        <v>300</v>
      </c>
      <c r="G14" s="2" t="s">
        <v>301</v>
      </c>
    </row>
    <row r="15" spans="1:7" ht="18" customHeight="1" x14ac:dyDescent="0.3">
      <c r="A15" s="5">
        <v>1</v>
      </c>
      <c r="B15" s="7" t="s">
        <v>302</v>
      </c>
      <c r="C15" s="3" t="s">
        <v>134</v>
      </c>
      <c r="D15" s="3" t="s">
        <v>303</v>
      </c>
      <c r="E15" s="3">
        <v>30</v>
      </c>
      <c r="F15" s="3">
        <v>10</v>
      </c>
      <c r="G15" s="4" t="s">
        <v>304</v>
      </c>
    </row>
    <row r="16" spans="1:7" ht="18" customHeight="1" x14ac:dyDescent="0.3">
      <c r="A16" s="5">
        <v>2</v>
      </c>
      <c r="B16" s="7" t="s">
        <v>305</v>
      </c>
      <c r="C16" s="3" t="s">
        <v>134</v>
      </c>
      <c r="D16" s="3" t="s">
        <v>306</v>
      </c>
      <c r="E16" s="3">
        <v>10</v>
      </c>
      <c r="F16" s="3">
        <v>5</v>
      </c>
      <c r="G16" s="4" t="s">
        <v>307</v>
      </c>
    </row>
    <row r="17" spans="1:7" ht="18" customHeight="1" x14ac:dyDescent="0.3">
      <c r="A17" s="5">
        <v>3</v>
      </c>
      <c r="B17" s="7" t="s">
        <v>308</v>
      </c>
      <c r="C17" s="3" t="s">
        <v>136</v>
      </c>
      <c r="D17" s="3" t="s">
        <v>309</v>
      </c>
      <c r="E17" s="3">
        <v>0</v>
      </c>
      <c r="F17" s="3"/>
      <c r="G17" s="4"/>
    </row>
    <row r="18" spans="1:7" ht="18" customHeight="1" x14ac:dyDescent="0.3">
      <c r="A18" s="5">
        <v>4</v>
      </c>
      <c r="B18" s="7" t="s">
        <v>310</v>
      </c>
      <c r="C18" s="3" t="s">
        <v>136</v>
      </c>
      <c r="D18" s="3" t="s">
        <v>309</v>
      </c>
      <c r="E18" s="3">
        <v>0</v>
      </c>
      <c r="F18" s="3"/>
      <c r="G18" s="4"/>
    </row>
    <row r="19" spans="1:7" ht="18" customHeight="1" x14ac:dyDescent="0.3">
      <c r="A19" s="5">
        <v>5</v>
      </c>
      <c r="B19" s="7" t="s">
        <v>311</v>
      </c>
      <c r="C19" s="3" t="s">
        <v>134</v>
      </c>
      <c r="D19" s="3" t="s">
        <v>306</v>
      </c>
      <c r="E19" s="3">
        <v>15</v>
      </c>
      <c r="F19" s="3">
        <v>5</v>
      </c>
      <c r="G19" s="4" t="s">
        <v>312</v>
      </c>
    </row>
    <row r="20" spans="1:7" ht="18" customHeight="1" x14ac:dyDescent="0.3">
      <c r="A20" s="5">
        <v>6</v>
      </c>
      <c r="B20" s="7" t="s">
        <v>313</v>
      </c>
      <c r="C20" s="3" t="s">
        <v>136</v>
      </c>
      <c r="D20" s="3" t="s">
        <v>309</v>
      </c>
      <c r="E20" s="3">
        <v>0</v>
      </c>
      <c r="F20" s="3"/>
      <c r="G20" s="4"/>
    </row>
    <row r="21" spans="1:7" ht="18" customHeight="1" x14ac:dyDescent="0.3">
      <c r="A21" s="5">
        <v>7</v>
      </c>
      <c r="B21" s="7" t="s">
        <v>314</v>
      </c>
      <c r="C21" s="3" t="s">
        <v>134</v>
      </c>
      <c r="D21" s="3" t="s">
        <v>315</v>
      </c>
      <c r="E21" s="3">
        <v>40</v>
      </c>
      <c r="F21" s="3">
        <v>20</v>
      </c>
      <c r="G21" s="4" t="s">
        <v>316</v>
      </c>
    </row>
    <row r="22" spans="1:7" ht="18" customHeight="1" x14ac:dyDescent="0.3">
      <c r="A22" s="5">
        <v>8</v>
      </c>
      <c r="B22" s="7" t="s">
        <v>317</v>
      </c>
      <c r="C22" s="3" t="s">
        <v>136</v>
      </c>
      <c r="D22" s="3" t="s">
        <v>309</v>
      </c>
      <c r="E22" s="3">
        <v>0</v>
      </c>
      <c r="F22" s="3"/>
      <c r="G22" s="4"/>
    </row>
    <row r="23" spans="1:7" ht="18" customHeight="1" x14ac:dyDescent="0.3">
      <c r="A23" s="5">
        <v>9</v>
      </c>
      <c r="B23" s="7" t="s">
        <v>318</v>
      </c>
      <c r="C23" s="3" t="s">
        <v>136</v>
      </c>
      <c r="D23" s="3" t="s">
        <v>309</v>
      </c>
      <c r="E23" s="3">
        <v>0</v>
      </c>
      <c r="F23" s="3"/>
      <c r="G23" s="4"/>
    </row>
    <row r="24" spans="1:7" ht="18" customHeight="1" x14ac:dyDescent="0.3">
      <c r="A24" s="5">
        <v>10</v>
      </c>
      <c r="B24" s="7" t="s">
        <v>319</v>
      </c>
      <c r="C24" s="3" t="s">
        <v>136</v>
      </c>
      <c r="D24" s="3" t="s">
        <v>309</v>
      </c>
      <c r="E24" s="3">
        <v>0</v>
      </c>
      <c r="F24" s="3"/>
      <c r="G24" s="4"/>
    </row>
    <row r="25" spans="1:7" ht="18" customHeight="1" x14ac:dyDescent="0.3">
      <c r="A25" s="5">
        <v>11</v>
      </c>
      <c r="B25" s="7" t="s">
        <v>320</v>
      </c>
      <c r="C25" s="3" t="s">
        <v>136</v>
      </c>
      <c r="D25" s="3" t="s">
        <v>309</v>
      </c>
      <c r="E25" s="3">
        <v>0</v>
      </c>
      <c r="F25" s="3"/>
      <c r="G25" s="4"/>
    </row>
    <row r="26" spans="1:7" ht="18" customHeight="1" x14ac:dyDescent="0.3">
      <c r="A26" s="5">
        <v>12</v>
      </c>
      <c r="B26" s="7" t="s">
        <v>321</v>
      </c>
      <c r="C26" s="3" t="s">
        <v>136</v>
      </c>
      <c r="D26" s="3" t="s">
        <v>309</v>
      </c>
      <c r="E26" s="3">
        <v>0</v>
      </c>
      <c r="F26" s="3"/>
      <c r="G26" s="4"/>
    </row>
    <row r="27" spans="1:7" ht="18" customHeight="1" x14ac:dyDescent="0.3">
      <c r="A27" s="5">
        <v>13</v>
      </c>
      <c r="B27" s="7" t="s">
        <v>322</v>
      </c>
      <c r="C27" s="3" t="s">
        <v>136</v>
      </c>
      <c r="D27" s="3" t="s">
        <v>309</v>
      </c>
      <c r="E27" s="3">
        <v>0</v>
      </c>
      <c r="F27" s="3"/>
      <c r="G27" s="4"/>
    </row>
    <row r="28" spans="1:7" ht="18" customHeight="1" x14ac:dyDescent="0.3">
      <c r="A28" s="5">
        <v>14</v>
      </c>
      <c r="B28" s="7" t="s">
        <v>323</v>
      </c>
      <c r="C28" s="3" t="s">
        <v>134</v>
      </c>
      <c r="D28" s="3" t="s">
        <v>303</v>
      </c>
      <c r="E28" s="3">
        <v>100</v>
      </c>
      <c r="F28" s="3">
        <v>3</v>
      </c>
      <c r="G28" s="4" t="s">
        <v>324</v>
      </c>
    </row>
    <row r="29" spans="1:7" ht="18" customHeight="1" x14ac:dyDescent="0.3">
      <c r="A29" s="5">
        <v>15</v>
      </c>
      <c r="B29" s="7" t="s">
        <v>325</v>
      </c>
      <c r="C29" s="3" t="s">
        <v>136</v>
      </c>
      <c r="D29" s="3" t="s">
        <v>309</v>
      </c>
      <c r="E29" s="3">
        <v>0</v>
      </c>
      <c r="F29" s="3"/>
      <c r="G29" s="4"/>
    </row>
    <row r="30" spans="1:7" ht="18" customHeight="1" x14ac:dyDescent="0.3">
      <c r="A30" s="5">
        <v>16</v>
      </c>
      <c r="B30" s="7" t="s">
        <v>326</v>
      </c>
      <c r="C30" s="3" t="s">
        <v>136</v>
      </c>
      <c r="D30" s="3" t="s">
        <v>309</v>
      </c>
      <c r="E30" s="3">
        <v>0</v>
      </c>
      <c r="F30" s="3"/>
      <c r="G30" s="4"/>
    </row>
    <row r="32" spans="1:7" ht="21.75" customHeight="1" x14ac:dyDescent="0.3">
      <c r="A32" s="52" t="s">
        <v>327</v>
      </c>
      <c r="B32" s="36"/>
      <c r="C32" s="36"/>
      <c r="D32" s="36"/>
      <c r="E32" s="36"/>
      <c r="F32" s="36"/>
      <c r="G32" s="36"/>
    </row>
    <row r="33" spans="1:7" ht="25.5" customHeight="1" x14ac:dyDescent="0.3">
      <c r="A33" s="65" t="s">
        <v>328</v>
      </c>
      <c r="B33" s="45"/>
      <c r="C33" s="45"/>
      <c r="D33" s="45"/>
      <c r="E33" s="45"/>
      <c r="F33" s="45"/>
      <c r="G33" s="46"/>
    </row>
    <row r="34" spans="1:7" ht="27.75" customHeight="1" x14ac:dyDescent="0.3">
      <c r="A34" s="2" t="s">
        <v>219</v>
      </c>
      <c r="B34" s="2" t="s">
        <v>329</v>
      </c>
      <c r="C34" s="2" t="s">
        <v>330</v>
      </c>
      <c r="D34" s="2" t="s">
        <v>331</v>
      </c>
      <c r="E34" s="2" t="s">
        <v>332</v>
      </c>
      <c r="F34" s="2" t="s">
        <v>333</v>
      </c>
      <c r="G34" s="2" t="s">
        <v>334</v>
      </c>
    </row>
    <row r="35" spans="1:7" ht="21.75" customHeight="1" x14ac:dyDescent="0.3">
      <c r="A35" s="5">
        <v>1</v>
      </c>
      <c r="B35" s="7" t="s">
        <v>335</v>
      </c>
      <c r="C35" s="5" t="s">
        <v>336</v>
      </c>
      <c r="D35" s="3">
        <v>65</v>
      </c>
      <c r="E35" s="4" t="s">
        <v>337</v>
      </c>
      <c r="F35" s="7" t="s">
        <v>338</v>
      </c>
      <c r="G35" s="3" t="s">
        <v>339</v>
      </c>
    </row>
    <row r="36" spans="1:7" ht="21.75" customHeight="1" x14ac:dyDescent="0.3">
      <c r="A36" s="5">
        <v>2</v>
      </c>
      <c r="B36" s="7" t="s">
        <v>340</v>
      </c>
      <c r="C36" s="5" t="s">
        <v>336</v>
      </c>
      <c r="D36" s="3">
        <v>20</v>
      </c>
      <c r="E36" s="4" t="s">
        <v>337</v>
      </c>
      <c r="F36" s="7" t="s">
        <v>341</v>
      </c>
      <c r="G36" s="3" t="s">
        <v>339</v>
      </c>
    </row>
    <row r="37" spans="1:7" ht="21.75" customHeight="1" x14ac:dyDescent="0.3">
      <c r="A37" s="5">
        <v>3</v>
      </c>
      <c r="B37" s="7" t="s">
        <v>342</v>
      </c>
      <c r="C37" s="5" t="s">
        <v>343</v>
      </c>
      <c r="D37" s="3">
        <v>0</v>
      </c>
      <c r="E37" s="4" t="s">
        <v>279</v>
      </c>
      <c r="F37" s="7" t="s">
        <v>344</v>
      </c>
      <c r="G37" s="3" t="s">
        <v>345</v>
      </c>
    </row>
    <row r="38" spans="1:7" ht="21.75" customHeight="1" x14ac:dyDescent="0.3">
      <c r="A38" s="5">
        <v>4</v>
      </c>
      <c r="B38" s="7" t="s">
        <v>346</v>
      </c>
      <c r="C38" s="5" t="s">
        <v>347</v>
      </c>
      <c r="D38" s="3">
        <v>0</v>
      </c>
      <c r="E38" s="4" t="s">
        <v>279</v>
      </c>
      <c r="F38" s="7" t="s">
        <v>348</v>
      </c>
      <c r="G38" s="3" t="s">
        <v>345</v>
      </c>
    </row>
    <row r="39" spans="1:7" ht="21.75" customHeight="1" x14ac:dyDescent="0.3">
      <c r="A39" s="5">
        <v>5</v>
      </c>
      <c r="B39" s="7" t="s">
        <v>349</v>
      </c>
      <c r="C39" s="5" t="s">
        <v>350</v>
      </c>
      <c r="D39" s="3">
        <v>0.8</v>
      </c>
      <c r="E39" s="4" t="s">
        <v>351</v>
      </c>
      <c r="F39" s="7" t="s">
        <v>352</v>
      </c>
      <c r="G39" s="3" t="s">
        <v>339</v>
      </c>
    </row>
    <row r="40" spans="1:7" ht="21.75" customHeight="1" x14ac:dyDescent="0.3">
      <c r="A40" s="5">
        <v>6</v>
      </c>
      <c r="B40" s="7" t="s">
        <v>353</v>
      </c>
      <c r="C40" s="5" t="s">
        <v>219</v>
      </c>
      <c r="D40" s="3">
        <v>2</v>
      </c>
      <c r="E40" s="4" t="s">
        <v>354</v>
      </c>
      <c r="F40" s="7" t="s">
        <v>355</v>
      </c>
      <c r="G40" s="3" t="s">
        <v>339</v>
      </c>
    </row>
    <row r="41" spans="1:7" ht="21.75" customHeight="1" x14ac:dyDescent="0.3">
      <c r="A41" s="5">
        <v>7</v>
      </c>
      <c r="B41" s="7" t="s">
        <v>356</v>
      </c>
      <c r="C41" s="5" t="s">
        <v>336</v>
      </c>
      <c r="D41" s="3">
        <v>85</v>
      </c>
      <c r="E41" s="4" t="s">
        <v>357</v>
      </c>
      <c r="F41" s="7" t="s">
        <v>358</v>
      </c>
      <c r="G41" s="3" t="s">
        <v>359</v>
      </c>
    </row>
    <row r="42" spans="1:7" ht="21.75" customHeight="1" x14ac:dyDescent="0.3">
      <c r="A42" s="5">
        <v>8</v>
      </c>
      <c r="B42" s="7" t="s">
        <v>360</v>
      </c>
      <c r="C42" s="5" t="s">
        <v>361</v>
      </c>
      <c r="D42" s="3">
        <v>0</v>
      </c>
      <c r="E42" s="4" t="s">
        <v>362</v>
      </c>
      <c r="F42" s="7" t="s">
        <v>363</v>
      </c>
      <c r="G42" s="3" t="s">
        <v>359</v>
      </c>
    </row>
    <row r="44" spans="1:7" ht="21.75" customHeight="1" x14ac:dyDescent="0.3">
      <c r="A44" s="52" t="s">
        <v>364</v>
      </c>
      <c r="B44" s="36"/>
      <c r="C44" s="36"/>
      <c r="D44" s="36"/>
      <c r="E44" s="36"/>
      <c r="F44" s="36"/>
      <c r="G44" s="36"/>
    </row>
    <row r="45" spans="1:7" ht="19.5" customHeight="1" x14ac:dyDescent="0.3">
      <c r="A45" s="64" t="s">
        <v>365</v>
      </c>
      <c r="B45" s="46"/>
      <c r="C45" s="47" t="s">
        <v>366</v>
      </c>
      <c r="D45" s="45"/>
      <c r="E45" s="45"/>
      <c r="F45" s="45"/>
      <c r="G45" s="46"/>
    </row>
    <row r="46" spans="1:7" ht="19.5" customHeight="1" x14ac:dyDescent="0.3">
      <c r="A46" s="64" t="s">
        <v>367</v>
      </c>
      <c r="B46" s="46"/>
      <c r="C46" s="47" t="s">
        <v>368</v>
      </c>
      <c r="D46" s="45"/>
      <c r="E46" s="45"/>
      <c r="F46" s="45"/>
      <c r="G46" s="46"/>
    </row>
    <row r="47" spans="1:7" ht="19.5" customHeight="1" x14ac:dyDescent="0.3">
      <c r="A47" s="64" t="s">
        <v>369</v>
      </c>
      <c r="B47" s="46"/>
      <c r="C47" s="47" t="s">
        <v>303</v>
      </c>
      <c r="D47" s="45"/>
      <c r="E47" s="45"/>
      <c r="F47" s="45"/>
      <c r="G47" s="46"/>
    </row>
    <row r="48" spans="1:7" ht="19.5" customHeight="1" x14ac:dyDescent="0.3">
      <c r="A48" s="64" t="s">
        <v>370</v>
      </c>
      <c r="B48" s="46"/>
      <c r="C48" s="47" t="s">
        <v>371</v>
      </c>
      <c r="D48" s="45"/>
      <c r="E48" s="45"/>
      <c r="F48" s="45"/>
      <c r="G48" s="46"/>
    </row>
    <row r="49" spans="1:7" ht="19.5" customHeight="1" x14ac:dyDescent="0.3">
      <c r="A49" s="64" t="s">
        <v>69</v>
      </c>
      <c r="B49" s="46"/>
      <c r="C49" s="47" t="s">
        <v>70</v>
      </c>
      <c r="D49" s="45"/>
      <c r="E49" s="45"/>
      <c r="F49" s="45"/>
      <c r="G49" s="46"/>
    </row>
    <row r="51" spans="1:7" ht="21.75" customHeight="1" x14ac:dyDescent="0.3">
      <c r="A51" s="52" t="s">
        <v>140</v>
      </c>
      <c r="B51" s="36"/>
      <c r="C51" s="36"/>
      <c r="D51" s="36"/>
      <c r="E51" s="36"/>
      <c r="F51" s="36"/>
      <c r="G51" s="36"/>
    </row>
    <row r="52" spans="1:7" ht="27.75" customHeight="1" x14ac:dyDescent="0.3">
      <c r="A52" s="56" t="s">
        <v>372</v>
      </c>
      <c r="B52" s="57"/>
      <c r="C52" s="57"/>
      <c r="D52" s="57"/>
      <c r="E52" s="57"/>
      <c r="F52" s="57"/>
      <c r="G52" s="58"/>
    </row>
    <row r="53" spans="1:7" ht="27.75" customHeight="1" x14ac:dyDescent="0.3">
      <c r="A53" s="59"/>
      <c r="B53" s="36"/>
      <c r="C53" s="36"/>
      <c r="D53" s="36"/>
      <c r="E53" s="36"/>
      <c r="F53" s="36"/>
      <c r="G53" s="60"/>
    </row>
    <row r="54" spans="1:7" ht="27.75" customHeight="1" x14ac:dyDescent="0.3">
      <c r="A54" s="61"/>
      <c r="B54" s="62"/>
      <c r="C54" s="62"/>
      <c r="D54" s="62"/>
      <c r="E54" s="62"/>
      <c r="F54" s="62"/>
      <c r="G54" s="63"/>
    </row>
  </sheetData>
  <mergeCells count="33">
    <mergeCell ref="A2:G2"/>
    <mergeCell ref="A9:B9"/>
    <mergeCell ref="C13:G13"/>
    <mergeCell ref="A33:G33"/>
    <mergeCell ref="A5:G5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4:G4"/>
    <mergeCell ref="A45:B45"/>
    <mergeCell ref="C45:G45"/>
    <mergeCell ref="A44:G44"/>
    <mergeCell ref="C10:G10"/>
    <mergeCell ref="A13:B13"/>
    <mergeCell ref="A32:G32"/>
    <mergeCell ref="A48:B48"/>
    <mergeCell ref="C49:G49"/>
    <mergeCell ref="A11:B11"/>
    <mergeCell ref="A49:B49"/>
    <mergeCell ref="C47:G47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4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4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4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4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4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4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1"/>
  <sheetViews>
    <sheetView showGridLines="0" tabSelected="1" zoomScaleNormal="100" workbookViewId="0">
      <pane ySplit="6" topLeftCell="A14" activePane="bottomLeft" state="frozen"/>
      <selection pane="bottomLeft" activeCell="B15" sqref="B15:H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50" t="s">
        <v>95</v>
      </c>
      <c r="B1" s="36"/>
      <c r="C1" s="36"/>
      <c r="D1" s="36"/>
      <c r="E1" s="36"/>
      <c r="F1" s="36"/>
      <c r="G1" s="36"/>
      <c r="H1" s="36"/>
    </row>
    <row r="2" spans="1:8" ht="18" customHeight="1" x14ac:dyDescent="0.3">
      <c r="A2" s="53" t="s">
        <v>96</v>
      </c>
      <c r="B2" s="36"/>
      <c r="C2" s="36"/>
      <c r="D2" s="36"/>
      <c r="E2" s="36"/>
      <c r="F2" s="36"/>
      <c r="G2" s="36"/>
      <c r="H2" s="36"/>
    </row>
    <row r="3" spans="1:8" ht="30" customHeight="1" x14ac:dyDescent="0.3">
      <c r="A3" s="53" t="s">
        <v>97</v>
      </c>
      <c r="B3" s="36"/>
      <c r="C3" s="36"/>
      <c r="D3" s="36"/>
      <c r="E3" s="36"/>
      <c r="F3" s="36"/>
      <c r="G3" s="36"/>
      <c r="H3" s="36"/>
    </row>
    <row r="4" spans="1:8" ht="27.75" customHeight="1" x14ac:dyDescent="0.3">
      <c r="A4" s="55" t="s">
        <v>373</v>
      </c>
      <c r="B4" s="36"/>
      <c r="C4" s="36"/>
      <c r="D4" s="36"/>
      <c r="E4" s="36"/>
      <c r="F4" s="36"/>
      <c r="G4" s="36"/>
      <c r="H4" s="36"/>
    </row>
    <row r="5" spans="1:8" ht="27.75" customHeight="1" x14ac:dyDescent="0.3">
      <c r="A5" s="54" t="s">
        <v>374</v>
      </c>
      <c r="B5" s="36"/>
      <c r="C5" s="36"/>
      <c r="D5" s="36"/>
      <c r="E5" s="36"/>
      <c r="F5" s="36"/>
      <c r="G5" s="36"/>
      <c r="H5" s="36"/>
    </row>
    <row r="6" spans="1:8" ht="24" customHeight="1" x14ac:dyDescent="0.3">
      <c r="A6" s="51" t="s">
        <v>100</v>
      </c>
      <c r="B6" s="36"/>
      <c r="C6" s="36"/>
      <c r="D6" s="36"/>
      <c r="E6" s="36"/>
      <c r="F6" s="36"/>
      <c r="G6" s="36"/>
      <c r="H6" s="36"/>
    </row>
    <row r="7" spans="1:8" ht="21.75" customHeight="1" x14ac:dyDescent="0.3">
      <c r="A7" s="52" t="s">
        <v>144</v>
      </c>
      <c r="B7" s="36"/>
      <c r="C7" s="36"/>
      <c r="D7" s="36"/>
      <c r="E7" s="36"/>
      <c r="F7" s="36"/>
      <c r="G7" s="36"/>
      <c r="H7" s="36"/>
    </row>
    <row r="8" spans="1:8" ht="19.5" customHeight="1" x14ac:dyDescent="0.3">
      <c r="A8" s="64" t="s">
        <v>102</v>
      </c>
      <c r="B8" s="46"/>
      <c r="C8" s="48">
        <v>46245</v>
      </c>
      <c r="D8" s="46"/>
      <c r="E8" s="64" t="s">
        <v>145</v>
      </c>
      <c r="F8" s="46"/>
      <c r="G8" s="47" t="s">
        <v>35</v>
      </c>
      <c r="H8" s="46"/>
    </row>
    <row r="9" spans="1:8" ht="19.5" customHeight="1" x14ac:dyDescent="0.3">
      <c r="A9" s="64" t="s">
        <v>108</v>
      </c>
      <c r="B9" s="46"/>
      <c r="C9" s="47" t="s">
        <v>8</v>
      </c>
      <c r="D9" s="46"/>
      <c r="E9" s="64" t="s">
        <v>184</v>
      </c>
      <c r="F9" s="46"/>
      <c r="G9" s="44" t="str">
        <f>IFERROR(VLOOKUP($C$9,tbl_Bloques,2,FALSE()),"")</f>
        <v>C1076-Q9593</v>
      </c>
      <c r="H9" s="46"/>
    </row>
    <row r="10" spans="1:8" ht="19.5" customHeight="1" x14ac:dyDescent="0.3">
      <c r="A10" s="64" t="s">
        <v>111</v>
      </c>
      <c r="B10" s="46"/>
      <c r="C10" s="44" t="str">
        <f>IFERROR(VLOOKUP($C$9,tbl_Bloques,4,FALSE()),"")</f>
        <v>Huarmaca</v>
      </c>
      <c r="D10" s="46"/>
      <c r="E10" s="64" t="s">
        <v>110</v>
      </c>
      <c r="F10" s="46"/>
      <c r="G10" s="44" t="str">
        <f>IFERROR(VLOOKUP($C$9,tbl_Bloques,3,FALSE()),"")</f>
        <v>Huancabamba</v>
      </c>
      <c r="H10" s="46"/>
    </row>
    <row r="12" spans="1:8" ht="21.75" customHeight="1" x14ac:dyDescent="0.3">
      <c r="A12" s="52" t="s">
        <v>375</v>
      </c>
      <c r="B12" s="36"/>
      <c r="C12" s="36"/>
      <c r="D12" s="36"/>
      <c r="E12" s="36"/>
      <c r="F12" s="36"/>
      <c r="G12" s="36"/>
      <c r="H12" s="36"/>
    </row>
    <row r="13" spans="1:8" ht="27.75" customHeight="1" x14ac:dyDescent="0.3">
      <c r="A13" s="65" t="s">
        <v>376</v>
      </c>
      <c r="B13" s="45"/>
      <c r="C13" s="45"/>
      <c r="D13" s="45"/>
      <c r="E13" s="45"/>
      <c r="F13" s="45"/>
      <c r="G13" s="45"/>
      <c r="H13" s="46"/>
    </row>
    <row r="14" spans="1:8" ht="30" customHeight="1" x14ac:dyDescent="0.3">
      <c r="A14" s="2" t="s">
        <v>219</v>
      </c>
      <c r="B14" s="2" t="s">
        <v>377</v>
      </c>
      <c r="C14" s="2" t="s">
        <v>275</v>
      </c>
      <c r="D14" s="2" t="s">
        <v>276</v>
      </c>
      <c r="E14" s="2" t="s">
        <v>378</v>
      </c>
      <c r="F14" s="2" t="s">
        <v>379</v>
      </c>
      <c r="G14" s="2" t="s">
        <v>380</v>
      </c>
      <c r="H14" s="2" t="s">
        <v>381</v>
      </c>
    </row>
    <row r="15" spans="1:8" ht="19.5" customHeight="1" x14ac:dyDescent="0.3">
      <c r="A15" s="5">
        <v>1</v>
      </c>
      <c r="B15" s="3" t="s">
        <v>382</v>
      </c>
      <c r="C15" s="3"/>
      <c r="D15" s="3"/>
      <c r="E15" s="3"/>
      <c r="F15" s="3"/>
      <c r="G15" s="3">
        <v>500</v>
      </c>
      <c r="H15" s="4"/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52" t="s">
        <v>383</v>
      </c>
      <c r="B26" s="36"/>
      <c r="C26" s="36"/>
      <c r="D26" s="36"/>
      <c r="E26" s="36"/>
      <c r="F26" s="36"/>
      <c r="G26" s="36"/>
      <c r="H26" s="36"/>
    </row>
    <row r="27" spans="1:8" ht="19.5" customHeight="1" x14ac:dyDescent="0.3">
      <c r="A27" s="64" t="s">
        <v>384</v>
      </c>
      <c r="B27" s="46"/>
      <c r="C27" s="47" t="s">
        <v>134</v>
      </c>
      <c r="D27" s="45"/>
      <c r="E27" s="45"/>
      <c r="F27" s="45"/>
      <c r="G27" s="45"/>
      <c r="H27" s="46"/>
    </row>
    <row r="28" spans="1:8" ht="19.5" customHeight="1" x14ac:dyDescent="0.3">
      <c r="A28" s="64" t="s">
        <v>385</v>
      </c>
      <c r="B28" s="46"/>
      <c r="C28" s="47" t="s">
        <v>136</v>
      </c>
      <c r="D28" s="45"/>
      <c r="E28" s="45"/>
      <c r="F28" s="45"/>
      <c r="G28" s="45"/>
      <c r="H28" s="46"/>
    </row>
    <row r="29" spans="1:8" ht="19.5" customHeight="1" x14ac:dyDescent="0.3">
      <c r="A29" s="64" t="s">
        <v>386</v>
      </c>
      <c r="B29" s="46"/>
      <c r="C29" s="47" t="s">
        <v>134</v>
      </c>
      <c r="D29" s="45"/>
      <c r="E29" s="45"/>
      <c r="F29" s="45"/>
      <c r="G29" s="45"/>
      <c r="H29" s="46"/>
    </row>
    <row r="30" spans="1:8" ht="19.5" customHeight="1" x14ac:dyDescent="0.3">
      <c r="A30" s="64" t="s">
        <v>387</v>
      </c>
      <c r="B30" s="46"/>
      <c r="C30" s="47">
        <v>2000</v>
      </c>
      <c r="D30" s="45"/>
      <c r="E30" s="45"/>
      <c r="F30" s="45"/>
      <c r="G30" s="45"/>
      <c r="H30" s="46"/>
    </row>
    <row r="31" spans="1:8" ht="19.5" customHeight="1" x14ac:dyDescent="0.3">
      <c r="A31" s="64" t="s">
        <v>388</v>
      </c>
      <c r="B31" s="46"/>
      <c r="C31" s="47" t="s">
        <v>389</v>
      </c>
      <c r="D31" s="45"/>
      <c r="E31" s="45"/>
      <c r="F31" s="45"/>
      <c r="G31" s="45"/>
      <c r="H31" s="46"/>
    </row>
    <row r="32" spans="1:8" ht="19.5" customHeight="1" x14ac:dyDescent="0.3">
      <c r="A32" s="64" t="s">
        <v>390</v>
      </c>
      <c r="B32" s="46"/>
      <c r="C32" s="47" t="s">
        <v>136</v>
      </c>
      <c r="D32" s="45"/>
      <c r="E32" s="45"/>
      <c r="F32" s="45"/>
      <c r="G32" s="45"/>
      <c r="H32" s="46"/>
    </row>
    <row r="33" spans="1:8" ht="19.5" customHeight="1" x14ac:dyDescent="0.3">
      <c r="A33" s="64" t="s">
        <v>391</v>
      </c>
      <c r="B33" s="46"/>
      <c r="C33" s="47"/>
      <c r="D33" s="45"/>
      <c r="E33" s="45"/>
      <c r="F33" s="45"/>
      <c r="G33" s="45"/>
      <c r="H33" s="46"/>
    </row>
    <row r="35" spans="1:8" ht="21.75" customHeight="1" x14ac:dyDescent="0.3">
      <c r="A35" s="52" t="s">
        <v>392</v>
      </c>
      <c r="B35" s="36"/>
      <c r="C35" s="36"/>
      <c r="D35" s="36"/>
      <c r="E35" s="36"/>
      <c r="F35" s="36"/>
      <c r="G35" s="36"/>
      <c r="H35" s="36"/>
    </row>
    <row r="36" spans="1:8" ht="19.5" customHeight="1" x14ac:dyDescent="0.3">
      <c r="A36" s="64" t="s">
        <v>393</v>
      </c>
      <c r="B36" s="46"/>
      <c r="C36" s="47" t="s">
        <v>394</v>
      </c>
      <c r="D36" s="45"/>
      <c r="E36" s="45"/>
      <c r="F36" s="45"/>
      <c r="G36" s="45"/>
      <c r="H36" s="46"/>
    </row>
    <row r="37" spans="1:8" ht="19.5" customHeight="1" x14ac:dyDescent="0.3">
      <c r="A37" s="64" t="s">
        <v>395</v>
      </c>
      <c r="B37" s="46"/>
      <c r="C37" s="47" t="s">
        <v>396</v>
      </c>
      <c r="D37" s="45"/>
      <c r="E37" s="45"/>
      <c r="F37" s="45"/>
      <c r="G37" s="45"/>
      <c r="H37" s="46"/>
    </row>
    <row r="38" spans="1:8" ht="19.5" customHeight="1" x14ac:dyDescent="0.3">
      <c r="A38" s="64" t="s">
        <v>397</v>
      </c>
      <c r="B38" s="46"/>
      <c r="C38" s="47" t="s">
        <v>398</v>
      </c>
      <c r="D38" s="45"/>
      <c r="E38" s="45"/>
      <c r="F38" s="45"/>
      <c r="G38" s="45"/>
      <c r="H38" s="46"/>
    </row>
    <row r="39" spans="1:8" ht="19.5" customHeight="1" x14ac:dyDescent="0.3">
      <c r="A39" s="64" t="s">
        <v>399</v>
      </c>
      <c r="B39" s="46"/>
      <c r="C39" s="47" t="s">
        <v>339</v>
      </c>
      <c r="D39" s="45"/>
      <c r="E39" s="45"/>
      <c r="F39" s="45"/>
      <c r="G39" s="45"/>
      <c r="H39" s="46"/>
    </row>
    <row r="40" spans="1:8" ht="19.5" customHeight="1" x14ac:dyDescent="0.3">
      <c r="A40" s="64" t="s">
        <v>400</v>
      </c>
      <c r="B40" s="46"/>
      <c r="C40" s="47" t="s">
        <v>345</v>
      </c>
      <c r="D40" s="45"/>
      <c r="E40" s="45"/>
      <c r="F40" s="45"/>
      <c r="G40" s="45"/>
      <c r="H40" s="46"/>
    </row>
    <row r="41" spans="1:8" ht="19.5" customHeight="1" x14ac:dyDescent="0.3">
      <c r="A41" s="64" t="s">
        <v>401</v>
      </c>
      <c r="B41" s="46"/>
      <c r="C41" s="47">
        <v>45</v>
      </c>
      <c r="D41" s="46"/>
      <c r="E41" s="64" t="s">
        <v>402</v>
      </c>
      <c r="F41" s="46"/>
      <c r="G41" s="47">
        <v>120</v>
      </c>
      <c r="H41" s="46"/>
    </row>
    <row r="42" spans="1:8" ht="19.5" customHeight="1" x14ac:dyDescent="0.3">
      <c r="A42" s="64" t="s">
        <v>403</v>
      </c>
      <c r="B42" s="46"/>
      <c r="C42" s="47" t="s">
        <v>404</v>
      </c>
      <c r="D42" s="45"/>
      <c r="E42" s="45"/>
      <c r="F42" s="45"/>
      <c r="G42" s="45"/>
      <c r="H42" s="46"/>
    </row>
    <row r="43" spans="1:8" ht="19.5" customHeight="1" x14ac:dyDescent="0.3">
      <c r="A43" s="64" t="s">
        <v>405</v>
      </c>
      <c r="B43" s="46"/>
      <c r="C43" s="47" t="s">
        <v>406</v>
      </c>
      <c r="D43" s="45"/>
      <c r="E43" s="45"/>
      <c r="F43" s="45"/>
      <c r="G43" s="45"/>
      <c r="H43" s="46"/>
    </row>
    <row r="44" spans="1:8" ht="19.5" customHeight="1" x14ac:dyDescent="0.3">
      <c r="A44" s="64" t="s">
        <v>407</v>
      </c>
      <c r="B44" s="46"/>
      <c r="C44" s="47" t="s">
        <v>134</v>
      </c>
      <c r="D44" s="45"/>
      <c r="E44" s="45"/>
      <c r="F44" s="45"/>
      <c r="G44" s="45"/>
      <c r="H44" s="46"/>
    </row>
    <row r="45" spans="1:8" ht="19.5" customHeight="1" x14ac:dyDescent="0.3">
      <c r="A45" s="64" t="s">
        <v>408</v>
      </c>
      <c r="B45" s="46"/>
      <c r="C45" s="47" t="s">
        <v>134</v>
      </c>
      <c r="D45" s="45"/>
      <c r="E45" s="45"/>
      <c r="F45" s="45"/>
      <c r="G45" s="45"/>
      <c r="H45" s="46"/>
    </row>
    <row r="46" spans="1:8" ht="19.5" customHeight="1" x14ac:dyDescent="0.3">
      <c r="A46" s="64" t="s">
        <v>409</v>
      </c>
      <c r="B46" s="46"/>
      <c r="C46" s="47" t="s">
        <v>410</v>
      </c>
      <c r="D46" s="45"/>
      <c r="E46" s="45"/>
      <c r="F46" s="45"/>
      <c r="G46" s="45"/>
      <c r="H46" s="46"/>
    </row>
    <row r="48" spans="1:8" ht="21.75" customHeight="1" x14ac:dyDescent="0.3">
      <c r="A48" s="52" t="s">
        <v>140</v>
      </c>
      <c r="B48" s="36"/>
      <c r="C48" s="36"/>
      <c r="D48" s="36"/>
      <c r="E48" s="36"/>
      <c r="F48" s="36"/>
      <c r="G48" s="36"/>
      <c r="H48" s="36"/>
    </row>
    <row r="49" spans="1:8" ht="27.75" customHeight="1" x14ac:dyDescent="0.3">
      <c r="A49" s="56" t="s">
        <v>411</v>
      </c>
      <c r="B49" s="57"/>
      <c r="C49" s="57"/>
      <c r="D49" s="57"/>
      <c r="E49" s="57"/>
      <c r="F49" s="57"/>
      <c r="G49" s="57"/>
      <c r="H49" s="58"/>
    </row>
    <row r="50" spans="1:8" ht="27.75" customHeight="1" x14ac:dyDescent="0.3">
      <c r="A50" s="59"/>
      <c r="B50" s="36"/>
      <c r="C50" s="36"/>
      <c r="D50" s="36"/>
      <c r="E50" s="36"/>
      <c r="F50" s="36"/>
      <c r="G50" s="36"/>
      <c r="H50" s="60"/>
    </row>
    <row r="51" spans="1:8" ht="27.75" customHeight="1" x14ac:dyDescent="0.3">
      <c r="A51" s="61"/>
      <c r="B51" s="62"/>
      <c r="C51" s="62"/>
      <c r="D51" s="62"/>
      <c r="E51" s="62"/>
      <c r="F51" s="62"/>
      <c r="G51" s="62"/>
      <c r="H51" s="63"/>
    </row>
  </sheetData>
  <mergeCells count="63">
    <mergeCell ref="A2:H2"/>
    <mergeCell ref="C37:H37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3:H3"/>
    <mergeCell ref="A26:H26"/>
    <mergeCell ref="C38:H38"/>
    <mergeCell ref="C28:H28"/>
    <mergeCell ref="A33:B33"/>
    <mergeCell ref="A28:B28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49:H51"/>
    <mergeCell ref="C43:H43"/>
    <mergeCell ref="A1:H1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5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5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5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5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5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5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5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5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5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5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5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5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5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5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500-00000E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14" customWidth="1"/>
    <col min="3" max="3" width="16" customWidth="1"/>
    <col min="4" max="4" width="30" customWidth="1"/>
    <col min="5" max="5" width="8" customWidth="1"/>
    <col min="6" max="6" width="30" customWidth="1"/>
    <col min="7" max="7" width="14" customWidth="1"/>
    <col min="8" max="8" width="16" customWidth="1"/>
  </cols>
  <sheetData>
    <row r="1" spans="1:8" ht="18" customHeight="1" x14ac:dyDescent="0.3">
      <c r="A1" s="35" t="s">
        <v>0</v>
      </c>
      <c r="B1" s="36"/>
      <c r="C1" s="36"/>
      <c r="D1" s="36"/>
      <c r="E1" s="36"/>
      <c r="F1" s="36"/>
      <c r="G1" s="36"/>
      <c r="H1" s="36"/>
    </row>
    <row r="2" spans="1:8" ht="13.05" customHeight="1" x14ac:dyDescent="0.3">
      <c r="A2" s="41" t="s">
        <v>1</v>
      </c>
      <c r="B2" s="36"/>
      <c r="C2" s="36"/>
      <c r="D2" s="36"/>
      <c r="E2" s="36"/>
      <c r="F2" s="36"/>
      <c r="G2" s="36"/>
      <c r="H2" s="36"/>
    </row>
    <row r="3" spans="1:8" ht="13.05" customHeight="1" x14ac:dyDescent="0.3">
      <c r="A3" s="41" t="s">
        <v>2</v>
      </c>
      <c r="B3" s="36"/>
      <c r="C3" s="36"/>
      <c r="D3" s="36"/>
      <c r="E3" s="36"/>
      <c r="F3" s="36"/>
      <c r="G3" s="36"/>
      <c r="H3" s="36"/>
    </row>
    <row r="4" spans="1:8" ht="13.05" customHeight="1" x14ac:dyDescent="0.3">
      <c r="A4" s="41" t="s">
        <v>3</v>
      </c>
      <c r="B4" s="36"/>
      <c r="C4" s="36"/>
      <c r="D4" s="36"/>
      <c r="E4" s="36"/>
      <c r="F4" s="36"/>
      <c r="G4" s="36"/>
      <c r="H4" s="36"/>
    </row>
    <row r="5" spans="1:8" ht="19.95" customHeight="1" x14ac:dyDescent="0.3">
      <c r="A5" s="42" t="s">
        <v>412</v>
      </c>
      <c r="B5" s="36"/>
      <c r="C5" s="36"/>
      <c r="D5" s="36"/>
      <c r="E5" s="36"/>
      <c r="F5" s="36"/>
      <c r="G5" s="36"/>
      <c r="H5" s="36"/>
    </row>
    <row r="6" spans="1:8" ht="25.95" customHeight="1" x14ac:dyDescent="0.3">
      <c r="A6" s="38" t="s">
        <v>413</v>
      </c>
      <c r="B6" s="36"/>
      <c r="C6" s="36"/>
      <c r="D6" s="36"/>
      <c r="E6" s="36"/>
      <c r="F6" s="36"/>
      <c r="G6" s="36"/>
      <c r="H6" s="36"/>
    </row>
    <row r="8" spans="1:8" x14ac:dyDescent="0.3">
      <c r="A8" s="68" t="s">
        <v>414</v>
      </c>
      <c r="B8" s="36"/>
      <c r="C8" s="36"/>
      <c r="F8" s="68" t="s">
        <v>415</v>
      </c>
      <c r="G8" s="36"/>
      <c r="H8" s="36"/>
    </row>
    <row r="9" spans="1:8" x14ac:dyDescent="0.3">
      <c r="A9" s="18" t="s">
        <v>416</v>
      </c>
      <c r="B9" s="18" t="s">
        <v>417</v>
      </c>
      <c r="C9" s="18" t="s">
        <v>418</v>
      </c>
      <c r="F9" s="18" t="s">
        <v>416</v>
      </c>
      <c r="G9" s="18" t="s">
        <v>417</v>
      </c>
      <c r="H9" s="18" t="s">
        <v>418</v>
      </c>
    </row>
    <row r="10" spans="1:8" x14ac:dyDescent="0.3">
      <c r="A10" s="19" t="s">
        <v>419</v>
      </c>
      <c r="B10" s="20">
        <v>0</v>
      </c>
      <c r="C10" s="21">
        <f>B10/100*22.93</f>
        <v>0</v>
      </c>
      <c r="F10" s="19" t="s">
        <v>420</v>
      </c>
      <c r="G10" s="20">
        <v>0</v>
      </c>
      <c r="H10" s="21">
        <f>G10/100*22.93</f>
        <v>0</v>
      </c>
    </row>
    <row r="11" spans="1:8" x14ac:dyDescent="0.3">
      <c r="A11" s="22" t="s">
        <v>421</v>
      </c>
      <c r="B11" s="23">
        <v>5</v>
      </c>
      <c r="C11" s="24">
        <f>B11/100*22.93</f>
        <v>1.1465000000000001</v>
      </c>
      <c r="F11" s="22" t="s">
        <v>422</v>
      </c>
      <c r="G11" s="23">
        <v>0</v>
      </c>
      <c r="H11" s="24">
        <f>G11/100*22.93</f>
        <v>0</v>
      </c>
    </row>
    <row r="12" spans="1:8" x14ac:dyDescent="0.3">
      <c r="A12" s="19" t="s">
        <v>423</v>
      </c>
      <c r="B12" s="20">
        <v>32</v>
      </c>
      <c r="C12" s="21">
        <f>B12/100*22.93</f>
        <v>7.3376000000000001</v>
      </c>
      <c r="F12" s="19" t="s">
        <v>424</v>
      </c>
      <c r="G12" s="20">
        <v>1</v>
      </c>
      <c r="H12" s="21">
        <f>G12/100*22.93</f>
        <v>0.2293</v>
      </c>
    </row>
    <row r="13" spans="1:8" x14ac:dyDescent="0.3">
      <c r="A13" s="22" t="s">
        <v>64</v>
      </c>
      <c r="B13" s="23">
        <v>48</v>
      </c>
      <c r="C13" s="24">
        <f>B13/100*22.93</f>
        <v>11.006399999999999</v>
      </c>
      <c r="F13" s="22" t="s">
        <v>425</v>
      </c>
      <c r="G13" s="23">
        <v>19</v>
      </c>
      <c r="H13" s="24">
        <f>G13/100*22.93</f>
        <v>4.3567</v>
      </c>
    </row>
    <row r="14" spans="1:8" x14ac:dyDescent="0.3">
      <c r="A14" s="19" t="s">
        <v>426</v>
      </c>
      <c r="B14" s="20">
        <v>15</v>
      </c>
      <c r="C14" s="21">
        <f>B14/100*22.93</f>
        <v>3.4394999999999998</v>
      </c>
      <c r="F14" s="19" t="s">
        <v>66</v>
      </c>
      <c r="G14" s="20">
        <v>80</v>
      </c>
      <c r="H14" s="21">
        <f>G14/100*22.93</f>
        <v>18.344000000000001</v>
      </c>
    </row>
    <row r="15" spans="1:8" x14ac:dyDescent="0.3">
      <c r="A15" s="25" t="s">
        <v>427</v>
      </c>
      <c r="B15" s="26">
        <f>SUM(B10:B14)</f>
        <v>100</v>
      </c>
      <c r="C15" s="27">
        <f>SUM(C10:C14)</f>
        <v>22.929999999999996</v>
      </c>
      <c r="F15" s="25" t="s">
        <v>427</v>
      </c>
      <c r="G15" s="26">
        <f>SUM(G10:G14)</f>
        <v>100</v>
      </c>
      <c r="H15" s="27">
        <f>SUM(H10:H14)</f>
        <v>22.93</v>
      </c>
    </row>
    <row r="17" spans="1:8" ht="16.05" customHeight="1" x14ac:dyDescent="0.3">
      <c r="A17" s="40" t="s">
        <v>428</v>
      </c>
      <c r="B17" s="36"/>
      <c r="C17" s="36"/>
      <c r="D17" s="36"/>
      <c r="E17" s="36"/>
      <c r="F17" s="36"/>
      <c r="G17" s="36"/>
      <c r="H17" s="36"/>
    </row>
    <row r="18" spans="1:8" x14ac:dyDescent="0.3">
      <c r="A18" s="69" t="s">
        <v>429</v>
      </c>
      <c r="B18" s="36"/>
      <c r="C18" s="36"/>
      <c r="D18" s="36"/>
      <c r="E18" s="36"/>
      <c r="F18" s="36"/>
      <c r="G18" s="36"/>
      <c r="H18" s="36"/>
    </row>
    <row r="19" spans="1:8" x14ac:dyDescent="0.3">
      <c r="A19" s="36"/>
      <c r="B19" s="36"/>
      <c r="C19" s="36"/>
      <c r="D19" s="36"/>
      <c r="E19" s="36"/>
      <c r="F19" s="36"/>
      <c r="G19" s="36"/>
      <c r="H19" s="36"/>
    </row>
    <row r="20" spans="1:8" x14ac:dyDescent="0.3">
      <c r="A20" s="36"/>
      <c r="B20" s="36"/>
      <c r="C20" s="36"/>
      <c r="D20" s="36"/>
      <c r="E20" s="36"/>
      <c r="F20" s="36"/>
      <c r="G20" s="36"/>
      <c r="H20" s="36"/>
    </row>
    <row r="21" spans="1:8" x14ac:dyDescent="0.3">
      <c r="A21" s="36"/>
      <c r="B21" s="36"/>
      <c r="C21" s="36"/>
      <c r="D21" s="36"/>
      <c r="E21" s="36"/>
      <c r="F21" s="36"/>
      <c r="G21" s="36"/>
      <c r="H21" s="36"/>
    </row>
    <row r="22" spans="1:8" x14ac:dyDescent="0.3">
      <c r="A22" s="36"/>
      <c r="B22" s="36"/>
      <c r="C22" s="36"/>
      <c r="D22" s="36"/>
      <c r="E22" s="36"/>
      <c r="F22" s="36"/>
      <c r="G22" s="36"/>
      <c r="H22" s="36"/>
    </row>
  </sheetData>
  <mergeCells count="10">
    <mergeCell ref="A18:H22"/>
    <mergeCell ref="A6:H6"/>
    <mergeCell ref="A17:H17"/>
    <mergeCell ref="A1:H1"/>
    <mergeCell ref="A4:H4"/>
    <mergeCell ref="A3:H3"/>
    <mergeCell ref="A2:H2"/>
    <mergeCell ref="A8:C8"/>
    <mergeCell ref="F8:H8"/>
    <mergeCell ref="A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showGridLines="0" workbookViewId="0">
      <pane ySplit="8" topLeftCell="A9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26" customWidth="1"/>
    <col min="3" max="3" width="52" customWidth="1"/>
    <col min="4" max="4" width="15" customWidth="1"/>
    <col min="5" max="5" width="52" customWidth="1"/>
  </cols>
  <sheetData>
    <row r="1" spans="1:8" ht="18" customHeight="1" x14ac:dyDescent="0.3">
      <c r="A1" s="35" t="s">
        <v>0</v>
      </c>
      <c r="B1" s="36"/>
      <c r="C1" s="36"/>
      <c r="D1" s="36"/>
      <c r="E1" s="36"/>
      <c r="F1" s="36"/>
      <c r="G1" s="36"/>
      <c r="H1" s="36"/>
    </row>
    <row r="2" spans="1:8" ht="13.05" customHeight="1" x14ac:dyDescent="0.3">
      <c r="A2" s="41" t="s">
        <v>1</v>
      </c>
      <c r="B2" s="36"/>
      <c r="C2" s="36"/>
      <c r="D2" s="36"/>
      <c r="E2" s="36"/>
      <c r="F2" s="36"/>
      <c r="G2" s="36"/>
      <c r="H2" s="36"/>
    </row>
    <row r="3" spans="1:8" ht="13.05" customHeight="1" x14ac:dyDescent="0.3">
      <c r="A3" s="41" t="s">
        <v>2</v>
      </c>
      <c r="B3" s="36"/>
      <c r="C3" s="36"/>
      <c r="D3" s="36"/>
      <c r="E3" s="36"/>
      <c r="F3" s="36"/>
      <c r="G3" s="36"/>
      <c r="H3" s="36"/>
    </row>
    <row r="4" spans="1:8" ht="13.05" customHeight="1" x14ac:dyDescent="0.3">
      <c r="A4" s="41" t="s">
        <v>3</v>
      </c>
      <c r="B4" s="36"/>
      <c r="C4" s="36"/>
      <c r="D4" s="36"/>
      <c r="E4" s="36"/>
      <c r="F4" s="36"/>
      <c r="G4" s="36"/>
      <c r="H4" s="36"/>
    </row>
    <row r="5" spans="1:8" ht="19.95" customHeight="1" x14ac:dyDescent="0.3">
      <c r="A5" s="42" t="s">
        <v>430</v>
      </c>
      <c r="B5" s="36"/>
      <c r="C5" s="36"/>
      <c r="D5" s="36"/>
      <c r="E5" s="36"/>
      <c r="F5" s="36"/>
      <c r="G5" s="36"/>
      <c r="H5" s="36"/>
    </row>
    <row r="6" spans="1:8" ht="25.95" customHeight="1" x14ac:dyDescent="0.3">
      <c r="A6" s="38" t="s">
        <v>431</v>
      </c>
      <c r="B6" s="36"/>
      <c r="C6" s="36"/>
      <c r="D6" s="36"/>
      <c r="E6" s="36"/>
      <c r="F6" s="36"/>
      <c r="G6" s="36"/>
      <c r="H6" s="36"/>
    </row>
    <row r="8" spans="1:8" ht="18" customHeight="1" x14ac:dyDescent="0.3">
      <c r="A8" s="13" t="s">
        <v>432</v>
      </c>
      <c r="B8" s="13" t="s">
        <v>433</v>
      </c>
      <c r="C8" s="13" t="s">
        <v>434</v>
      </c>
      <c r="D8" s="13" t="s">
        <v>435</v>
      </c>
      <c r="E8" s="13" t="s">
        <v>436</v>
      </c>
    </row>
    <row r="9" spans="1:8" ht="46.05" customHeight="1" x14ac:dyDescent="0.3">
      <c r="A9" s="28" t="s">
        <v>437</v>
      </c>
      <c r="B9" s="29" t="s">
        <v>438</v>
      </c>
      <c r="C9" s="29" t="s">
        <v>439</v>
      </c>
      <c r="D9" s="28" t="s">
        <v>440</v>
      </c>
      <c r="E9" s="29" t="s">
        <v>441</v>
      </c>
    </row>
    <row r="10" spans="1:8" ht="46.05" customHeight="1" x14ac:dyDescent="0.3">
      <c r="A10" s="30" t="s">
        <v>442</v>
      </c>
      <c r="B10" s="31" t="s">
        <v>443</v>
      </c>
      <c r="C10" s="31" t="s">
        <v>444</v>
      </c>
      <c r="D10" s="30" t="s">
        <v>440</v>
      </c>
      <c r="E10" s="31" t="s">
        <v>445</v>
      </c>
    </row>
    <row r="11" spans="1:8" ht="46.05" customHeight="1" x14ac:dyDescent="0.3">
      <c r="A11" s="28" t="s">
        <v>446</v>
      </c>
      <c r="B11" s="29" t="s">
        <v>447</v>
      </c>
      <c r="C11" s="29" t="s">
        <v>448</v>
      </c>
      <c r="D11" s="28" t="s">
        <v>449</v>
      </c>
      <c r="E11" s="29" t="s">
        <v>450</v>
      </c>
    </row>
    <row r="12" spans="1:8" ht="46.05" customHeight="1" x14ac:dyDescent="0.3">
      <c r="A12" s="30" t="s">
        <v>451</v>
      </c>
      <c r="B12" s="31" t="s">
        <v>452</v>
      </c>
      <c r="C12" s="31" t="s">
        <v>453</v>
      </c>
      <c r="D12" s="32" t="s">
        <v>454</v>
      </c>
      <c r="E12" s="31" t="s">
        <v>455</v>
      </c>
    </row>
    <row r="13" spans="1:8" ht="46.05" customHeight="1" x14ac:dyDescent="0.3">
      <c r="A13" s="28" t="s">
        <v>456</v>
      </c>
      <c r="B13" s="29" t="s">
        <v>457</v>
      </c>
      <c r="C13" s="29" t="s">
        <v>458</v>
      </c>
      <c r="D13" s="28" t="s">
        <v>449</v>
      </c>
      <c r="E13" s="29" t="s">
        <v>459</v>
      </c>
    </row>
    <row r="14" spans="1:8" ht="46.05" customHeight="1" x14ac:dyDescent="0.3">
      <c r="A14" s="30" t="s">
        <v>460</v>
      </c>
      <c r="B14" s="31" t="s">
        <v>117</v>
      </c>
      <c r="C14" s="31" t="s">
        <v>461</v>
      </c>
      <c r="D14" s="32" t="s">
        <v>454</v>
      </c>
      <c r="E14" s="31" t="s">
        <v>462</v>
      </c>
    </row>
    <row r="15" spans="1:8" ht="46.05" customHeight="1" x14ac:dyDescent="0.3">
      <c r="A15" s="28" t="s">
        <v>463</v>
      </c>
      <c r="B15" s="29" t="s">
        <v>464</v>
      </c>
      <c r="C15" s="29" t="s">
        <v>465</v>
      </c>
      <c r="D15" s="32" t="s">
        <v>454</v>
      </c>
      <c r="E15" s="29" t="s">
        <v>466</v>
      </c>
    </row>
    <row r="16" spans="1:8" ht="46.05" customHeight="1" x14ac:dyDescent="0.3">
      <c r="A16" s="30" t="s">
        <v>467</v>
      </c>
      <c r="B16" s="31" t="s">
        <v>468</v>
      </c>
      <c r="C16" s="31" t="s">
        <v>469</v>
      </c>
      <c r="D16" s="32" t="s">
        <v>454</v>
      </c>
      <c r="E16" s="31" t="s">
        <v>470</v>
      </c>
    </row>
  </sheetData>
  <mergeCells count="6">
    <mergeCell ref="A6:H6"/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471</v>
      </c>
      <c r="B1" s="2" t="s">
        <v>472</v>
      </c>
      <c r="C1" s="2" t="s">
        <v>473</v>
      </c>
      <c r="D1" s="2" t="s">
        <v>474</v>
      </c>
      <c r="E1" s="2" t="s">
        <v>475</v>
      </c>
      <c r="F1" s="2" t="s">
        <v>476</v>
      </c>
      <c r="G1" s="2" t="s">
        <v>477</v>
      </c>
      <c r="H1" s="2" t="s">
        <v>478</v>
      </c>
    </row>
    <row r="2" spans="1:8" ht="15" customHeight="1" x14ac:dyDescent="0.3">
      <c r="A2" s="8" t="s">
        <v>479</v>
      </c>
      <c r="B2" s="8" t="s">
        <v>480</v>
      </c>
      <c r="C2" s="8" t="s">
        <v>481</v>
      </c>
      <c r="D2" s="8" t="s">
        <v>482</v>
      </c>
      <c r="E2" s="8" t="s">
        <v>483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484</v>
      </c>
      <c r="B3" s="8" t="s">
        <v>485</v>
      </c>
      <c r="C3" s="8" t="s">
        <v>481</v>
      </c>
      <c r="D3" s="8" t="s">
        <v>482</v>
      </c>
      <c r="E3" s="8" t="s">
        <v>483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486</v>
      </c>
      <c r="B4" s="8" t="s">
        <v>485</v>
      </c>
      <c r="C4" s="8" t="s">
        <v>481</v>
      </c>
      <c r="D4" s="8" t="s">
        <v>482</v>
      </c>
      <c r="E4" s="8" t="s">
        <v>483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487</v>
      </c>
      <c r="B5" s="8" t="s">
        <v>488</v>
      </c>
      <c r="C5" s="8" t="s">
        <v>481</v>
      </c>
      <c r="D5" s="8" t="s">
        <v>482</v>
      </c>
      <c r="E5" s="8" t="s">
        <v>483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489</v>
      </c>
      <c r="B6" s="8" t="s">
        <v>488</v>
      </c>
      <c r="C6" s="8" t="s">
        <v>481</v>
      </c>
      <c r="D6" s="8" t="s">
        <v>482</v>
      </c>
      <c r="E6" s="8" t="s">
        <v>483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490</v>
      </c>
      <c r="B7" s="8" t="s">
        <v>488</v>
      </c>
      <c r="C7" s="8" t="s">
        <v>481</v>
      </c>
      <c r="D7" s="8" t="s">
        <v>482</v>
      </c>
      <c r="E7" s="8" t="s">
        <v>483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491</v>
      </c>
      <c r="B8" s="8" t="s">
        <v>492</v>
      </c>
      <c r="C8" s="8" t="s">
        <v>481</v>
      </c>
      <c r="D8" s="8" t="s">
        <v>482</v>
      </c>
      <c r="E8" s="8" t="s">
        <v>483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493</v>
      </c>
      <c r="B9" s="8" t="s">
        <v>488</v>
      </c>
      <c r="C9" s="8" t="s">
        <v>481</v>
      </c>
      <c r="D9" s="8" t="s">
        <v>482</v>
      </c>
      <c r="E9" s="8" t="s">
        <v>483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494</v>
      </c>
      <c r="B10" s="8" t="s">
        <v>495</v>
      </c>
      <c r="C10" s="8" t="s">
        <v>481</v>
      </c>
      <c r="D10" s="8" t="s">
        <v>482</v>
      </c>
      <c r="E10" s="8" t="s">
        <v>483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496</v>
      </c>
      <c r="B11" s="8" t="s">
        <v>480</v>
      </c>
      <c r="C11" s="8" t="s">
        <v>497</v>
      </c>
      <c r="D11" s="8" t="s">
        <v>498</v>
      </c>
      <c r="E11" s="8" t="s">
        <v>499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500</v>
      </c>
      <c r="B12" s="8" t="s">
        <v>485</v>
      </c>
      <c r="C12" s="8" t="s">
        <v>497</v>
      </c>
      <c r="D12" s="8" t="s">
        <v>498</v>
      </c>
      <c r="E12" s="8" t="s">
        <v>499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501</v>
      </c>
      <c r="B13" s="8" t="s">
        <v>485</v>
      </c>
      <c r="C13" s="8" t="s">
        <v>497</v>
      </c>
      <c r="D13" s="8" t="s">
        <v>498</v>
      </c>
      <c r="E13" s="8" t="s">
        <v>499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502</v>
      </c>
      <c r="B14" s="8" t="s">
        <v>488</v>
      </c>
      <c r="C14" s="8" t="s">
        <v>497</v>
      </c>
      <c r="D14" s="8" t="s">
        <v>498</v>
      </c>
      <c r="E14" s="8" t="s">
        <v>499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503</v>
      </c>
      <c r="B15" s="8" t="s">
        <v>488</v>
      </c>
      <c r="C15" s="8" t="s">
        <v>497</v>
      </c>
      <c r="D15" s="8" t="s">
        <v>498</v>
      </c>
      <c r="E15" s="8" t="s">
        <v>499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504</v>
      </c>
      <c r="B16" s="8" t="s">
        <v>488</v>
      </c>
      <c r="C16" s="8" t="s">
        <v>497</v>
      </c>
      <c r="D16" s="8" t="s">
        <v>498</v>
      </c>
      <c r="E16" s="8" t="s">
        <v>499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505</v>
      </c>
      <c r="B17" s="8" t="s">
        <v>488</v>
      </c>
      <c r="C17" s="8" t="s">
        <v>497</v>
      </c>
      <c r="D17" s="8" t="s">
        <v>498</v>
      </c>
      <c r="E17" s="8" t="s">
        <v>499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506</v>
      </c>
      <c r="B18" s="8" t="s">
        <v>488</v>
      </c>
      <c r="C18" s="8" t="s">
        <v>497</v>
      </c>
      <c r="D18" s="8" t="s">
        <v>498</v>
      </c>
      <c r="E18" s="8" t="s">
        <v>499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507</v>
      </c>
      <c r="B19" s="8" t="s">
        <v>508</v>
      </c>
      <c r="C19" s="8" t="s">
        <v>497</v>
      </c>
      <c r="D19" s="8" t="s">
        <v>498</v>
      </c>
      <c r="E19" s="8" t="s">
        <v>499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509</v>
      </c>
      <c r="B20" s="8" t="s">
        <v>508</v>
      </c>
      <c r="C20" s="8" t="s">
        <v>497</v>
      </c>
      <c r="D20" s="8" t="s">
        <v>498</v>
      </c>
      <c r="E20" s="8" t="s">
        <v>499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510</v>
      </c>
      <c r="B21" s="8" t="s">
        <v>511</v>
      </c>
      <c r="C21" s="8" t="s">
        <v>481</v>
      </c>
      <c r="D21" s="8" t="s">
        <v>512</v>
      </c>
      <c r="E21" s="8" t="s">
        <v>513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514</v>
      </c>
      <c r="B22" s="8" t="s">
        <v>511</v>
      </c>
      <c r="C22" s="8" t="s">
        <v>481</v>
      </c>
      <c r="D22" s="8" t="s">
        <v>512</v>
      </c>
      <c r="E22" s="8" t="s">
        <v>513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515</v>
      </c>
      <c r="B23" s="8" t="s">
        <v>508</v>
      </c>
      <c r="C23" s="8" t="s">
        <v>481</v>
      </c>
      <c r="D23" s="8" t="s">
        <v>512</v>
      </c>
      <c r="E23" s="8" t="s">
        <v>513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516</v>
      </c>
      <c r="B24" s="8" t="s">
        <v>511</v>
      </c>
      <c r="C24" s="8" t="s">
        <v>481</v>
      </c>
      <c r="D24" s="8" t="s">
        <v>512</v>
      </c>
      <c r="E24" s="8" t="s">
        <v>513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517</v>
      </c>
      <c r="B25" s="8" t="s">
        <v>511</v>
      </c>
      <c r="C25" s="8" t="s">
        <v>481</v>
      </c>
      <c r="D25" s="8" t="s">
        <v>512</v>
      </c>
      <c r="E25" s="8" t="s">
        <v>513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518</v>
      </c>
      <c r="B26" s="8" t="s">
        <v>511</v>
      </c>
      <c r="C26" s="8" t="s">
        <v>481</v>
      </c>
      <c r="D26" s="8" t="s">
        <v>512</v>
      </c>
      <c r="E26" s="8" t="s">
        <v>513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519</v>
      </c>
      <c r="B27" s="8" t="s">
        <v>511</v>
      </c>
      <c r="C27" s="8" t="s">
        <v>481</v>
      </c>
      <c r="D27" s="8" t="s">
        <v>512</v>
      </c>
      <c r="E27" s="8" t="s">
        <v>513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520</v>
      </c>
      <c r="B28" s="8" t="s">
        <v>511</v>
      </c>
      <c r="C28" s="8" t="s">
        <v>481</v>
      </c>
      <c r="D28" s="8" t="s">
        <v>512</v>
      </c>
      <c r="E28" s="8" t="s">
        <v>513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521</v>
      </c>
      <c r="B29" s="8" t="s">
        <v>511</v>
      </c>
      <c r="C29" s="8" t="s">
        <v>481</v>
      </c>
      <c r="D29" s="8" t="s">
        <v>512</v>
      </c>
      <c r="E29" s="8" t="s">
        <v>513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522</v>
      </c>
      <c r="B30" s="8" t="s">
        <v>492</v>
      </c>
      <c r="C30" s="8" t="s">
        <v>481</v>
      </c>
      <c r="D30" s="8" t="s">
        <v>512</v>
      </c>
      <c r="E30" s="8" t="s">
        <v>513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523</v>
      </c>
      <c r="B31" s="8" t="s">
        <v>524</v>
      </c>
      <c r="C31" s="8" t="s">
        <v>481</v>
      </c>
      <c r="D31" s="8" t="s">
        <v>525</v>
      </c>
      <c r="E31" s="8" t="s">
        <v>526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527</v>
      </c>
      <c r="B32" s="8" t="s">
        <v>511</v>
      </c>
      <c r="C32" s="8" t="s">
        <v>481</v>
      </c>
      <c r="D32" s="8" t="s">
        <v>525</v>
      </c>
      <c r="E32" s="8" t="s">
        <v>526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528</v>
      </c>
      <c r="B33" s="8" t="s">
        <v>524</v>
      </c>
      <c r="C33" s="8" t="s">
        <v>481</v>
      </c>
      <c r="D33" s="8" t="s">
        <v>529</v>
      </c>
      <c r="E33" s="8" t="s">
        <v>526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530</v>
      </c>
      <c r="B34" s="8" t="s">
        <v>511</v>
      </c>
      <c r="C34" s="8" t="s">
        <v>481</v>
      </c>
      <c r="D34" s="8" t="s">
        <v>529</v>
      </c>
      <c r="E34" s="8" t="s">
        <v>526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531</v>
      </c>
      <c r="B35" s="8" t="s">
        <v>511</v>
      </c>
      <c r="C35" s="8" t="s">
        <v>481</v>
      </c>
      <c r="D35" s="8" t="s">
        <v>529</v>
      </c>
      <c r="E35" s="8" t="s">
        <v>526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532</v>
      </c>
      <c r="B36" s="8" t="s">
        <v>533</v>
      </c>
      <c r="C36" s="8" t="s">
        <v>481</v>
      </c>
      <c r="D36" s="8" t="s">
        <v>529</v>
      </c>
      <c r="E36" s="8" t="s">
        <v>526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534</v>
      </c>
      <c r="B37" s="8" t="s">
        <v>511</v>
      </c>
      <c r="C37" s="8" t="s">
        <v>481</v>
      </c>
      <c r="D37" s="8" t="s">
        <v>481</v>
      </c>
      <c r="E37" s="8" t="s">
        <v>535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536</v>
      </c>
      <c r="B38" s="8" t="s">
        <v>533</v>
      </c>
      <c r="C38" s="8" t="s">
        <v>481</v>
      </c>
      <c r="D38" s="8" t="s">
        <v>481</v>
      </c>
      <c r="E38" s="8" t="s">
        <v>535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537</v>
      </c>
      <c r="B39" s="8" t="s">
        <v>538</v>
      </c>
      <c r="C39" s="8" t="s">
        <v>481</v>
      </c>
      <c r="D39" s="8" t="s">
        <v>539</v>
      </c>
      <c r="E39" s="8" t="s">
        <v>540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541</v>
      </c>
      <c r="B40" s="8" t="s">
        <v>538</v>
      </c>
      <c r="C40" s="8" t="s">
        <v>481</v>
      </c>
      <c r="D40" s="8" t="s">
        <v>539</v>
      </c>
      <c r="E40" s="8" t="s">
        <v>540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542</v>
      </c>
      <c r="B41" s="8" t="s">
        <v>538</v>
      </c>
      <c r="C41" s="8" t="s">
        <v>481</v>
      </c>
      <c r="D41" s="8" t="s">
        <v>539</v>
      </c>
      <c r="E41" s="8" t="s">
        <v>540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543</v>
      </c>
      <c r="B42" s="8" t="s">
        <v>538</v>
      </c>
      <c r="C42" s="8" t="s">
        <v>481</v>
      </c>
      <c r="D42" s="8" t="s">
        <v>539</v>
      </c>
      <c r="E42" s="8" t="s">
        <v>540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544</v>
      </c>
      <c r="B43" s="8" t="s">
        <v>538</v>
      </c>
      <c r="C43" s="8" t="s">
        <v>481</v>
      </c>
      <c r="D43" s="8" t="s">
        <v>539</v>
      </c>
      <c r="E43" s="8" t="s">
        <v>540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545</v>
      </c>
      <c r="B44" s="8" t="s">
        <v>546</v>
      </c>
      <c r="C44" s="8" t="s">
        <v>481</v>
      </c>
      <c r="D44" s="8" t="s">
        <v>539</v>
      </c>
      <c r="E44" s="8" t="s">
        <v>540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547</v>
      </c>
      <c r="B45" s="8" t="s">
        <v>548</v>
      </c>
      <c r="C45" s="8" t="s">
        <v>481</v>
      </c>
      <c r="D45" s="8" t="s">
        <v>539</v>
      </c>
      <c r="E45" s="8" t="s">
        <v>540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549</v>
      </c>
      <c r="B46" s="8" t="s">
        <v>550</v>
      </c>
      <c r="C46" s="8" t="s">
        <v>481</v>
      </c>
      <c r="D46" s="8" t="s">
        <v>551</v>
      </c>
      <c r="E46" s="8" t="s">
        <v>552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553</v>
      </c>
      <c r="B47" s="8" t="s">
        <v>550</v>
      </c>
      <c r="C47" s="8" t="s">
        <v>481</v>
      </c>
      <c r="D47" s="8" t="s">
        <v>551</v>
      </c>
      <c r="E47" s="8" t="s">
        <v>552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554</v>
      </c>
      <c r="B48" s="8" t="s">
        <v>555</v>
      </c>
      <c r="C48" s="8" t="s">
        <v>481</v>
      </c>
      <c r="D48" s="8" t="s">
        <v>551</v>
      </c>
      <c r="E48" s="8" t="s">
        <v>552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556</v>
      </c>
      <c r="B49" s="8" t="s">
        <v>555</v>
      </c>
      <c r="C49" s="8" t="s">
        <v>481</v>
      </c>
      <c r="D49" s="8" t="s">
        <v>551</v>
      </c>
      <c r="E49" s="8" t="s">
        <v>552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557</v>
      </c>
      <c r="B50" s="8" t="s">
        <v>555</v>
      </c>
      <c r="C50" s="8" t="s">
        <v>481</v>
      </c>
      <c r="D50" s="8" t="s">
        <v>551</v>
      </c>
      <c r="E50" s="8" t="s">
        <v>552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558</v>
      </c>
      <c r="B51" s="8" t="s">
        <v>555</v>
      </c>
      <c r="C51" s="8" t="s">
        <v>481</v>
      </c>
      <c r="D51" s="8" t="s">
        <v>551</v>
      </c>
      <c r="E51" s="8" t="s">
        <v>552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559</v>
      </c>
      <c r="B52" s="8" t="s">
        <v>560</v>
      </c>
      <c r="C52" s="8" t="s">
        <v>481</v>
      </c>
      <c r="D52" s="8" t="s">
        <v>551</v>
      </c>
      <c r="E52" s="8" t="s">
        <v>552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561</v>
      </c>
      <c r="B53" s="8" t="s">
        <v>560</v>
      </c>
      <c r="C53" s="8" t="s">
        <v>481</v>
      </c>
      <c r="D53" s="8" t="s">
        <v>551</v>
      </c>
      <c r="E53" s="8" t="s">
        <v>552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562</v>
      </c>
      <c r="B54" s="8" t="s">
        <v>560</v>
      </c>
      <c r="C54" s="8" t="s">
        <v>481</v>
      </c>
      <c r="D54" s="8" t="s">
        <v>551</v>
      </c>
      <c r="E54" s="8" t="s">
        <v>552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563</v>
      </c>
      <c r="B55" s="8" t="s">
        <v>560</v>
      </c>
      <c r="C55" s="8" t="s">
        <v>481</v>
      </c>
      <c r="D55" s="8" t="s">
        <v>551</v>
      </c>
      <c r="E55" s="8" t="s">
        <v>552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564</v>
      </c>
      <c r="B56" s="8" t="s">
        <v>548</v>
      </c>
      <c r="C56" s="8" t="s">
        <v>481</v>
      </c>
      <c r="D56" s="8" t="s">
        <v>551</v>
      </c>
      <c r="E56" s="8" t="s">
        <v>552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565</v>
      </c>
      <c r="B57" s="8" t="s">
        <v>548</v>
      </c>
      <c r="C57" s="8" t="s">
        <v>481</v>
      </c>
      <c r="D57" s="8" t="s">
        <v>551</v>
      </c>
      <c r="E57" s="8" t="s">
        <v>552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566</v>
      </c>
      <c r="B58" s="8" t="s">
        <v>550</v>
      </c>
      <c r="C58" s="8" t="s">
        <v>481</v>
      </c>
      <c r="D58" s="8" t="s">
        <v>567</v>
      </c>
      <c r="E58" s="8" t="s">
        <v>568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569</v>
      </c>
      <c r="B59" s="8" t="s">
        <v>550</v>
      </c>
      <c r="C59" s="8" t="s">
        <v>481</v>
      </c>
      <c r="D59" s="8" t="s">
        <v>567</v>
      </c>
      <c r="E59" s="8" t="s">
        <v>568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570</v>
      </c>
      <c r="B60" s="8" t="s">
        <v>571</v>
      </c>
      <c r="C60" s="8" t="s">
        <v>481</v>
      </c>
      <c r="D60" s="8" t="s">
        <v>567</v>
      </c>
      <c r="E60" s="8" t="s">
        <v>568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572</v>
      </c>
      <c r="B61" s="8" t="s">
        <v>550</v>
      </c>
      <c r="C61" s="8" t="s">
        <v>481</v>
      </c>
      <c r="D61" s="8" t="s">
        <v>567</v>
      </c>
      <c r="E61" s="8" t="s">
        <v>568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573</v>
      </c>
      <c r="B62" s="8" t="s">
        <v>550</v>
      </c>
      <c r="C62" s="8" t="s">
        <v>481</v>
      </c>
      <c r="D62" s="8" t="s">
        <v>567</v>
      </c>
      <c r="E62" s="8" t="s">
        <v>568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574</v>
      </c>
      <c r="B63" s="8" t="s">
        <v>550</v>
      </c>
      <c r="C63" s="8" t="s">
        <v>481</v>
      </c>
      <c r="D63" s="8" t="s">
        <v>567</v>
      </c>
      <c r="E63" s="8" t="s">
        <v>568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575</v>
      </c>
      <c r="B64" s="8" t="s">
        <v>571</v>
      </c>
      <c r="C64" s="8" t="s">
        <v>481</v>
      </c>
      <c r="D64" s="8" t="s">
        <v>567</v>
      </c>
      <c r="E64" s="8" t="s">
        <v>568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576</v>
      </c>
      <c r="B65" s="8" t="s">
        <v>577</v>
      </c>
      <c r="C65" s="8" t="s">
        <v>481</v>
      </c>
      <c r="D65" s="8" t="s">
        <v>578</v>
      </c>
      <c r="E65" s="8" t="s">
        <v>579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580</v>
      </c>
      <c r="B66" s="8" t="s">
        <v>577</v>
      </c>
      <c r="C66" s="8" t="s">
        <v>481</v>
      </c>
      <c r="D66" s="8" t="s">
        <v>578</v>
      </c>
      <c r="E66" s="8" t="s">
        <v>579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581</v>
      </c>
      <c r="B67" s="8" t="s">
        <v>577</v>
      </c>
      <c r="C67" s="8" t="s">
        <v>481</v>
      </c>
      <c r="D67" s="8" t="s">
        <v>578</v>
      </c>
      <c r="E67" s="8" t="s">
        <v>579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582</v>
      </c>
      <c r="B68" s="8" t="s">
        <v>577</v>
      </c>
      <c r="C68" s="8" t="s">
        <v>481</v>
      </c>
      <c r="D68" s="8" t="s">
        <v>578</v>
      </c>
      <c r="E68" s="8" t="s">
        <v>579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583</v>
      </c>
      <c r="B69" s="8" t="s">
        <v>577</v>
      </c>
      <c r="C69" s="8" t="s">
        <v>481</v>
      </c>
      <c r="D69" s="8" t="s">
        <v>578</v>
      </c>
      <c r="E69" s="8" t="s">
        <v>579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584</v>
      </c>
      <c r="B70" s="8" t="s">
        <v>577</v>
      </c>
      <c r="C70" s="8" t="s">
        <v>481</v>
      </c>
      <c r="D70" s="8" t="s">
        <v>578</v>
      </c>
      <c r="E70" s="8" t="s">
        <v>579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585</v>
      </c>
      <c r="B71" s="8" t="s">
        <v>577</v>
      </c>
      <c r="C71" s="8" t="s">
        <v>481</v>
      </c>
      <c r="D71" s="8" t="s">
        <v>578</v>
      </c>
      <c r="E71" s="8" t="s">
        <v>579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586</v>
      </c>
      <c r="B72" s="8" t="s">
        <v>577</v>
      </c>
      <c r="C72" s="8" t="s">
        <v>481</v>
      </c>
      <c r="D72" s="8" t="s">
        <v>578</v>
      </c>
      <c r="E72" s="8" t="s">
        <v>579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587</v>
      </c>
      <c r="B73" s="8" t="s">
        <v>588</v>
      </c>
      <c r="C73" s="8" t="s">
        <v>18</v>
      </c>
      <c r="D73" s="8" t="s">
        <v>589</v>
      </c>
      <c r="E73" s="8" t="s">
        <v>590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591</v>
      </c>
      <c r="B74" s="8" t="s">
        <v>588</v>
      </c>
      <c r="C74" s="8" t="s">
        <v>18</v>
      </c>
      <c r="D74" s="8" t="s">
        <v>589</v>
      </c>
      <c r="E74" s="8" t="s">
        <v>590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592</v>
      </c>
      <c r="B75" s="8" t="s">
        <v>588</v>
      </c>
      <c r="C75" s="8" t="s">
        <v>18</v>
      </c>
      <c r="D75" s="8" t="s">
        <v>589</v>
      </c>
      <c r="E75" s="8" t="s">
        <v>590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593</v>
      </c>
      <c r="B76" s="8" t="s">
        <v>588</v>
      </c>
      <c r="C76" s="8" t="s">
        <v>18</v>
      </c>
      <c r="D76" s="8" t="s">
        <v>589</v>
      </c>
      <c r="E76" s="8" t="s">
        <v>590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594</v>
      </c>
      <c r="B77" s="8" t="s">
        <v>588</v>
      </c>
      <c r="C77" s="8" t="s">
        <v>18</v>
      </c>
      <c r="D77" s="8" t="s">
        <v>589</v>
      </c>
      <c r="E77" s="8" t="s">
        <v>590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595</v>
      </c>
      <c r="B78" s="8" t="s">
        <v>596</v>
      </c>
      <c r="C78" s="8" t="s">
        <v>18</v>
      </c>
      <c r="D78" s="8" t="s">
        <v>589</v>
      </c>
      <c r="E78" s="8" t="s">
        <v>590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597</v>
      </c>
      <c r="B79" s="8" t="s">
        <v>596</v>
      </c>
      <c r="C79" s="8" t="s">
        <v>18</v>
      </c>
      <c r="D79" s="8" t="s">
        <v>589</v>
      </c>
      <c r="E79" s="8" t="s">
        <v>590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598</v>
      </c>
      <c r="B80" s="8" t="s">
        <v>596</v>
      </c>
      <c r="C80" s="8" t="s">
        <v>18</v>
      </c>
      <c r="D80" s="8" t="s">
        <v>18</v>
      </c>
      <c r="E80" s="8" t="s">
        <v>599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600</v>
      </c>
      <c r="B81" s="8" t="s">
        <v>601</v>
      </c>
      <c r="C81" s="8" t="s">
        <v>18</v>
      </c>
      <c r="D81" s="8" t="s">
        <v>18</v>
      </c>
      <c r="E81" s="8" t="s">
        <v>599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602</v>
      </c>
      <c r="B82" s="8" t="s">
        <v>596</v>
      </c>
      <c r="C82" s="8" t="s">
        <v>18</v>
      </c>
      <c r="D82" s="8" t="s">
        <v>18</v>
      </c>
      <c r="E82" s="8" t="s">
        <v>599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603</v>
      </c>
      <c r="B83" s="8" t="s">
        <v>596</v>
      </c>
      <c r="C83" s="8" t="s">
        <v>18</v>
      </c>
      <c r="D83" s="8" t="s">
        <v>604</v>
      </c>
      <c r="E83" s="8" t="s">
        <v>599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605</v>
      </c>
      <c r="B84" s="8" t="s">
        <v>596</v>
      </c>
      <c r="C84" s="8" t="s">
        <v>18</v>
      </c>
      <c r="D84" s="8" t="s">
        <v>604</v>
      </c>
      <c r="E84" s="8" t="s">
        <v>599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606</v>
      </c>
      <c r="B85" s="8" t="s">
        <v>596</v>
      </c>
      <c r="C85" s="8" t="s">
        <v>18</v>
      </c>
      <c r="D85" s="8" t="s">
        <v>604</v>
      </c>
      <c r="E85" s="8" t="s">
        <v>599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607</v>
      </c>
      <c r="B86" s="8" t="s">
        <v>596</v>
      </c>
      <c r="C86" s="8" t="s">
        <v>18</v>
      </c>
      <c r="D86" s="8" t="s">
        <v>604</v>
      </c>
      <c r="E86" s="8" t="s">
        <v>599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608</v>
      </c>
      <c r="B87" s="8" t="s">
        <v>596</v>
      </c>
      <c r="C87" s="8" t="s">
        <v>18</v>
      </c>
      <c r="D87" s="8" t="s">
        <v>604</v>
      </c>
      <c r="E87" s="8" t="s">
        <v>599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609</v>
      </c>
      <c r="B88" s="8" t="s">
        <v>601</v>
      </c>
      <c r="C88" s="8" t="s">
        <v>18</v>
      </c>
      <c r="D88" s="8" t="s">
        <v>604</v>
      </c>
      <c r="E88" s="8" t="s">
        <v>599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610</v>
      </c>
      <c r="B89" s="8" t="s">
        <v>596</v>
      </c>
      <c r="C89" s="8" t="s">
        <v>18</v>
      </c>
      <c r="D89" s="8" t="s">
        <v>604</v>
      </c>
      <c r="E89" s="8" t="s">
        <v>599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611</v>
      </c>
      <c r="B90" s="8" t="s">
        <v>596</v>
      </c>
      <c r="C90" s="8" t="s">
        <v>18</v>
      </c>
      <c r="D90" s="8" t="s">
        <v>604</v>
      </c>
      <c r="E90" s="8" t="s">
        <v>599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612</v>
      </c>
      <c r="B91" s="8" t="s">
        <v>571</v>
      </c>
      <c r="C91" s="8" t="s">
        <v>18</v>
      </c>
      <c r="D91" s="8" t="s">
        <v>604</v>
      </c>
      <c r="E91" s="8" t="s">
        <v>599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613</v>
      </c>
      <c r="B92" s="8" t="s">
        <v>571</v>
      </c>
      <c r="C92" s="8" t="s">
        <v>18</v>
      </c>
      <c r="D92" s="8" t="s">
        <v>604</v>
      </c>
      <c r="E92" s="8" t="s">
        <v>599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614</v>
      </c>
      <c r="B93" s="8" t="s">
        <v>615</v>
      </c>
      <c r="C93" s="8" t="s">
        <v>18</v>
      </c>
      <c r="D93" s="8" t="s">
        <v>604</v>
      </c>
      <c r="E93" s="8" t="s">
        <v>599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616</v>
      </c>
      <c r="B94" s="8" t="s">
        <v>617</v>
      </c>
      <c r="C94" s="8" t="s">
        <v>18</v>
      </c>
      <c r="D94" s="8" t="s">
        <v>604</v>
      </c>
      <c r="E94" s="8" t="s">
        <v>599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618</v>
      </c>
      <c r="B95" s="8" t="s">
        <v>619</v>
      </c>
      <c r="C95" s="8" t="s">
        <v>18</v>
      </c>
      <c r="D95" s="8" t="s">
        <v>620</v>
      </c>
      <c r="E95" s="8" t="s">
        <v>621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622</v>
      </c>
      <c r="B96" s="8" t="s">
        <v>619</v>
      </c>
      <c r="C96" s="8" t="s">
        <v>18</v>
      </c>
      <c r="D96" s="8" t="s">
        <v>620</v>
      </c>
      <c r="E96" s="8" t="s">
        <v>621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623</v>
      </c>
      <c r="B97" s="8" t="s">
        <v>619</v>
      </c>
      <c r="C97" s="8" t="s">
        <v>18</v>
      </c>
      <c r="D97" s="8" t="s">
        <v>620</v>
      </c>
      <c r="E97" s="8" t="s">
        <v>621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624</v>
      </c>
      <c r="B98" s="8" t="s">
        <v>615</v>
      </c>
      <c r="C98" s="8" t="s">
        <v>18</v>
      </c>
      <c r="D98" s="8" t="s">
        <v>620</v>
      </c>
      <c r="E98" s="8" t="s">
        <v>621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625</v>
      </c>
      <c r="B99" s="8" t="s">
        <v>619</v>
      </c>
      <c r="C99" s="8" t="s">
        <v>18</v>
      </c>
      <c r="D99" s="8" t="s">
        <v>620</v>
      </c>
      <c r="E99" s="8" t="s">
        <v>621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626</v>
      </c>
      <c r="B100" s="8" t="s">
        <v>619</v>
      </c>
      <c r="C100" s="8" t="s">
        <v>18</v>
      </c>
      <c r="D100" s="8" t="s">
        <v>620</v>
      </c>
      <c r="E100" s="8" t="s">
        <v>621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627</v>
      </c>
      <c r="B101" s="8" t="s">
        <v>619</v>
      </c>
      <c r="C101" s="8" t="s">
        <v>18</v>
      </c>
      <c r="D101" s="8" t="s">
        <v>620</v>
      </c>
      <c r="E101" s="8" t="s">
        <v>621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628</v>
      </c>
      <c r="B102" s="8" t="s">
        <v>619</v>
      </c>
      <c r="C102" s="8" t="s">
        <v>18</v>
      </c>
      <c r="D102" s="8" t="s">
        <v>620</v>
      </c>
      <c r="E102" s="8" t="s">
        <v>621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629</v>
      </c>
      <c r="B103" s="8" t="s">
        <v>617</v>
      </c>
      <c r="C103" s="8" t="s">
        <v>18</v>
      </c>
      <c r="D103" s="8" t="s">
        <v>620</v>
      </c>
      <c r="E103" s="8" t="s">
        <v>621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630</v>
      </c>
      <c r="B104" s="8" t="s">
        <v>560</v>
      </c>
      <c r="C104" s="8" t="s">
        <v>18</v>
      </c>
      <c r="D104" s="8" t="s">
        <v>620</v>
      </c>
      <c r="E104" s="8" t="s">
        <v>621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631</v>
      </c>
      <c r="B105" s="8" t="s">
        <v>632</v>
      </c>
      <c r="C105" s="8" t="s">
        <v>18</v>
      </c>
      <c r="D105" s="8" t="s">
        <v>20</v>
      </c>
      <c r="E105" s="8" t="s">
        <v>633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634</v>
      </c>
      <c r="B106" s="8" t="s">
        <v>632</v>
      </c>
      <c r="C106" s="8" t="s">
        <v>18</v>
      </c>
      <c r="D106" s="8" t="s">
        <v>20</v>
      </c>
      <c r="E106" s="8" t="s">
        <v>633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635</v>
      </c>
      <c r="B107" s="8" t="s">
        <v>632</v>
      </c>
      <c r="C107" s="8" t="s">
        <v>18</v>
      </c>
      <c r="D107" s="8" t="s">
        <v>20</v>
      </c>
      <c r="E107" s="8" t="s">
        <v>633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636</v>
      </c>
      <c r="B108" s="8" t="s">
        <v>632</v>
      </c>
      <c r="C108" s="8" t="s">
        <v>18</v>
      </c>
      <c r="D108" s="8" t="s">
        <v>20</v>
      </c>
      <c r="E108" s="8" t="s">
        <v>633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637</v>
      </c>
      <c r="B109" s="8" t="s">
        <v>632</v>
      </c>
      <c r="C109" s="8" t="s">
        <v>18</v>
      </c>
      <c r="D109" s="8" t="s">
        <v>20</v>
      </c>
      <c r="E109" s="8" t="s">
        <v>633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638</v>
      </c>
      <c r="B110" s="8" t="s">
        <v>632</v>
      </c>
      <c r="C110" s="8" t="s">
        <v>18</v>
      </c>
      <c r="D110" s="8" t="s">
        <v>20</v>
      </c>
      <c r="E110" s="8" t="s">
        <v>633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639</v>
      </c>
      <c r="B111" s="8" t="s">
        <v>632</v>
      </c>
      <c r="C111" s="8" t="s">
        <v>18</v>
      </c>
      <c r="D111" s="8" t="s">
        <v>20</v>
      </c>
      <c r="E111" s="8" t="s">
        <v>633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640</v>
      </c>
      <c r="B112" s="8" t="s">
        <v>632</v>
      </c>
      <c r="C112" s="8" t="s">
        <v>18</v>
      </c>
      <c r="D112" s="8" t="s">
        <v>20</v>
      </c>
      <c r="E112" s="8" t="s">
        <v>633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641</v>
      </c>
      <c r="B113" s="8" t="s">
        <v>632</v>
      </c>
      <c r="C113" s="8" t="s">
        <v>18</v>
      </c>
      <c r="D113" s="8" t="s">
        <v>20</v>
      </c>
      <c r="E113" s="8" t="s">
        <v>633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642</v>
      </c>
      <c r="B114" s="8" t="s">
        <v>632</v>
      </c>
      <c r="C114" s="8" t="s">
        <v>18</v>
      </c>
      <c r="D114" s="8" t="s">
        <v>20</v>
      </c>
      <c r="E114" s="8" t="s">
        <v>633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643</v>
      </c>
      <c r="B115" s="8" t="s">
        <v>644</v>
      </c>
      <c r="C115" s="8" t="s">
        <v>18</v>
      </c>
      <c r="D115" s="8" t="s">
        <v>20</v>
      </c>
      <c r="E115" s="8" t="s">
        <v>633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645</v>
      </c>
      <c r="B116" s="8" t="s">
        <v>644</v>
      </c>
      <c r="C116" s="8" t="s">
        <v>18</v>
      </c>
      <c r="D116" s="8" t="s">
        <v>20</v>
      </c>
      <c r="E116" s="8" t="s">
        <v>633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646</v>
      </c>
      <c r="B117" s="8" t="s">
        <v>632</v>
      </c>
      <c r="C117" s="8" t="s">
        <v>18</v>
      </c>
      <c r="D117" s="8" t="s">
        <v>20</v>
      </c>
      <c r="E117" s="8" t="s">
        <v>633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647</v>
      </c>
      <c r="B118" s="8" t="s">
        <v>648</v>
      </c>
      <c r="C118" s="8" t="s">
        <v>18</v>
      </c>
      <c r="D118" s="8" t="s">
        <v>20</v>
      </c>
      <c r="E118" s="8" t="s">
        <v>14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649</v>
      </c>
      <c r="B119" s="8" t="s">
        <v>648</v>
      </c>
      <c r="C119" s="8" t="s">
        <v>18</v>
      </c>
      <c r="D119" s="8" t="s">
        <v>20</v>
      </c>
      <c r="E119" s="8" t="s">
        <v>14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650</v>
      </c>
      <c r="B120" s="8" t="s">
        <v>12</v>
      </c>
      <c r="C120" s="8" t="s">
        <v>18</v>
      </c>
      <c r="D120" s="8" t="s">
        <v>20</v>
      </c>
      <c r="E120" s="8" t="s">
        <v>14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651</v>
      </c>
      <c r="B121" s="8" t="s">
        <v>12</v>
      </c>
      <c r="C121" s="8" t="s">
        <v>18</v>
      </c>
      <c r="D121" s="8" t="s">
        <v>20</v>
      </c>
      <c r="E121" s="8" t="s">
        <v>14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652</v>
      </c>
      <c r="B122" s="8" t="s">
        <v>644</v>
      </c>
      <c r="C122" s="8" t="s">
        <v>18</v>
      </c>
      <c r="D122" s="8" t="s">
        <v>20</v>
      </c>
      <c r="E122" s="8" t="s">
        <v>14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8</v>
      </c>
      <c r="B123" s="8" t="s">
        <v>12</v>
      </c>
      <c r="C123" s="8" t="s">
        <v>18</v>
      </c>
      <c r="D123" s="8" t="s">
        <v>20</v>
      </c>
      <c r="E123" s="8" t="s">
        <v>14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653</v>
      </c>
      <c r="B124" s="8" t="s">
        <v>12</v>
      </c>
      <c r="C124" s="8" t="s">
        <v>18</v>
      </c>
      <c r="D124" s="8" t="s">
        <v>20</v>
      </c>
      <c r="E124" s="8" t="s">
        <v>14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654</v>
      </c>
      <c r="B125" s="8" t="s">
        <v>12</v>
      </c>
      <c r="C125" s="8" t="s">
        <v>18</v>
      </c>
      <c r="D125" s="8" t="s">
        <v>20</v>
      </c>
      <c r="E125" s="8" t="s">
        <v>14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655</v>
      </c>
      <c r="B126" s="8" t="s">
        <v>12</v>
      </c>
      <c r="C126" s="8" t="s">
        <v>18</v>
      </c>
      <c r="D126" s="8" t="s">
        <v>20</v>
      </c>
      <c r="E126" s="8" t="s">
        <v>14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656</v>
      </c>
      <c r="B127" s="8" t="s">
        <v>12</v>
      </c>
      <c r="C127" s="8" t="s">
        <v>18</v>
      </c>
      <c r="D127" s="8" t="s">
        <v>20</v>
      </c>
      <c r="E127" s="8" t="s">
        <v>14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657</v>
      </c>
      <c r="B128" s="8" t="s">
        <v>12</v>
      </c>
      <c r="C128" s="8" t="s">
        <v>18</v>
      </c>
      <c r="D128" s="8" t="s">
        <v>20</v>
      </c>
      <c r="E128" s="8" t="s">
        <v>14</v>
      </c>
      <c r="F128" s="9">
        <v>649847</v>
      </c>
      <c r="G128" s="9">
        <v>9376260</v>
      </c>
      <c r="H128" s="10">
        <v>81.33</v>
      </c>
    </row>
    <row r="129" spans="1:8" x14ac:dyDescent="0.3">
      <c r="A129" t="s">
        <v>658</v>
      </c>
      <c r="B129" t="s">
        <v>571</v>
      </c>
      <c r="C129" t="s">
        <v>481</v>
      </c>
      <c r="D129" t="s">
        <v>567</v>
      </c>
      <c r="E129" t="s">
        <v>568</v>
      </c>
      <c r="F129">
        <v>639720</v>
      </c>
      <c r="G129">
        <v>9410622</v>
      </c>
      <c r="H129">
        <v>24.344000000000001</v>
      </c>
    </row>
    <row r="130" spans="1:8" x14ac:dyDescent="0.3">
      <c r="A130" t="s">
        <v>659</v>
      </c>
      <c r="B130" t="s">
        <v>571</v>
      </c>
      <c r="C130" t="s">
        <v>481</v>
      </c>
      <c r="D130" t="s">
        <v>567</v>
      </c>
      <c r="E130" t="s">
        <v>568</v>
      </c>
      <c r="F130">
        <v>640237</v>
      </c>
      <c r="G130">
        <v>9410714</v>
      </c>
      <c r="H130">
        <v>5.0970000000000004</v>
      </c>
    </row>
    <row r="131" spans="1:8" x14ac:dyDescent="0.3">
      <c r="A131" t="s">
        <v>660</v>
      </c>
      <c r="B131" t="s">
        <v>571</v>
      </c>
      <c r="C131" t="s">
        <v>481</v>
      </c>
      <c r="D131" t="s">
        <v>567</v>
      </c>
      <c r="E131" t="s">
        <v>568</v>
      </c>
      <c r="F131">
        <v>642200</v>
      </c>
      <c r="G131">
        <v>9411072</v>
      </c>
      <c r="H131">
        <v>11.906000000000001</v>
      </c>
    </row>
    <row r="132" spans="1:8" x14ac:dyDescent="0.3">
      <c r="A132" t="s">
        <v>661</v>
      </c>
      <c r="B132" t="s">
        <v>571</v>
      </c>
      <c r="C132" t="s">
        <v>481</v>
      </c>
      <c r="D132" t="s">
        <v>567</v>
      </c>
      <c r="E132" t="s">
        <v>568</v>
      </c>
      <c r="F132">
        <v>642415</v>
      </c>
      <c r="G132">
        <v>9410216</v>
      </c>
      <c r="H132">
        <v>30.001000000000001</v>
      </c>
    </row>
    <row r="133" spans="1:8" x14ac:dyDescent="0.3">
      <c r="A133" t="s">
        <v>662</v>
      </c>
      <c r="B133" t="s">
        <v>571</v>
      </c>
      <c r="C133" t="s">
        <v>481</v>
      </c>
      <c r="D133" t="s">
        <v>567</v>
      </c>
      <c r="E133" t="s">
        <v>568</v>
      </c>
      <c r="F133">
        <v>642882</v>
      </c>
      <c r="G133">
        <v>9411123</v>
      </c>
      <c r="H133">
        <v>62.219000000000001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70" t="s">
        <v>663</v>
      </c>
      <c r="B1" s="36"/>
      <c r="C1" s="36"/>
      <c r="D1" s="36"/>
      <c r="E1" s="36"/>
      <c r="F1" s="36"/>
      <c r="G1" s="36"/>
      <c r="H1" s="36"/>
    </row>
    <row r="3" spans="1:37" ht="15" customHeight="1" x14ac:dyDescent="0.3">
      <c r="A3" s="2" t="s">
        <v>664</v>
      </c>
      <c r="B3" s="2" t="s">
        <v>665</v>
      </c>
      <c r="C3" s="2" t="s">
        <v>666</v>
      </c>
      <c r="D3" s="2" t="s">
        <v>667</v>
      </c>
      <c r="E3" s="2" t="s">
        <v>668</v>
      </c>
      <c r="F3" s="2" t="s">
        <v>669</v>
      </c>
      <c r="G3" s="2" t="s">
        <v>670</v>
      </c>
      <c r="H3" s="2" t="s">
        <v>671</v>
      </c>
      <c r="I3" s="2" t="s">
        <v>672</v>
      </c>
      <c r="J3" s="2" t="s">
        <v>673</v>
      </c>
      <c r="K3" s="2" t="s">
        <v>674</v>
      </c>
      <c r="L3" s="2" t="s">
        <v>675</v>
      </c>
      <c r="M3" s="2" t="s">
        <v>676</v>
      </c>
      <c r="N3" s="2" t="s">
        <v>677</v>
      </c>
      <c r="O3" s="2" t="s">
        <v>678</v>
      </c>
      <c r="P3" s="2" t="s">
        <v>679</v>
      </c>
      <c r="Q3" s="2" t="s">
        <v>680</v>
      </c>
      <c r="R3" s="2" t="s">
        <v>681</v>
      </c>
      <c r="S3" s="2" t="s">
        <v>682</v>
      </c>
      <c r="T3" s="2" t="s">
        <v>683</v>
      </c>
      <c r="U3" s="2" t="s">
        <v>684</v>
      </c>
      <c r="V3" s="2" t="s">
        <v>685</v>
      </c>
      <c r="W3" s="2" t="s">
        <v>686</v>
      </c>
      <c r="X3" s="2" t="s">
        <v>687</v>
      </c>
      <c r="Y3" s="2" t="s">
        <v>688</v>
      </c>
      <c r="Z3" s="2" t="s">
        <v>689</v>
      </c>
      <c r="AA3" s="2" t="s">
        <v>690</v>
      </c>
      <c r="AB3" s="2" t="s">
        <v>691</v>
      </c>
      <c r="AC3" s="2" t="s">
        <v>692</v>
      </c>
      <c r="AD3" s="2" t="s">
        <v>693</v>
      </c>
      <c r="AE3" s="2" t="s">
        <v>694</v>
      </c>
      <c r="AF3" s="2" t="s">
        <v>695</v>
      </c>
      <c r="AG3" s="2" t="s">
        <v>696</v>
      </c>
      <c r="AH3" s="2" t="s">
        <v>697</v>
      </c>
      <c r="AI3" s="2" t="s">
        <v>698</v>
      </c>
      <c r="AJ3" s="2" t="s">
        <v>699</v>
      </c>
      <c r="AK3" s="2" t="s">
        <v>700</v>
      </c>
    </row>
    <row r="4" spans="1:37" ht="15" customHeight="1" x14ac:dyDescent="0.3">
      <c r="A4" s="8" t="s">
        <v>701</v>
      </c>
      <c r="B4" s="8" t="s">
        <v>702</v>
      </c>
      <c r="C4" s="8" t="s">
        <v>703</v>
      </c>
      <c r="D4" s="8" t="s">
        <v>704</v>
      </c>
      <c r="E4" s="8" t="s">
        <v>705</v>
      </c>
      <c r="F4" s="8" t="s">
        <v>309</v>
      </c>
      <c r="G4" s="8" t="s">
        <v>706</v>
      </c>
      <c r="H4" s="8" t="s">
        <v>707</v>
      </c>
      <c r="I4" s="8" t="s">
        <v>708</v>
      </c>
      <c r="J4" s="8" t="s">
        <v>709</v>
      </c>
      <c r="K4" s="8" t="s">
        <v>710</v>
      </c>
      <c r="L4" s="8" t="s">
        <v>711</v>
      </c>
      <c r="M4" s="8" t="s">
        <v>712</v>
      </c>
      <c r="N4" s="8" t="s">
        <v>713</v>
      </c>
      <c r="O4" s="8" t="s">
        <v>714</v>
      </c>
      <c r="P4" s="8" t="s">
        <v>210</v>
      </c>
      <c r="Q4" s="8" t="s">
        <v>214</v>
      </c>
      <c r="R4" s="8" t="s">
        <v>715</v>
      </c>
      <c r="S4" s="8" t="s">
        <v>248</v>
      </c>
      <c r="T4" s="8" t="s">
        <v>233</v>
      </c>
      <c r="U4" s="8" t="s">
        <v>716</v>
      </c>
      <c r="V4" s="8" t="s">
        <v>717</v>
      </c>
      <c r="W4" s="8" t="s">
        <v>718</v>
      </c>
      <c r="X4" s="8" t="s">
        <v>309</v>
      </c>
      <c r="Y4" s="8" t="s">
        <v>359</v>
      </c>
      <c r="Z4" s="8" t="s">
        <v>719</v>
      </c>
      <c r="AA4" s="8" t="s">
        <v>720</v>
      </c>
      <c r="AB4" s="8" t="s">
        <v>721</v>
      </c>
      <c r="AC4" s="8" t="s">
        <v>722</v>
      </c>
      <c r="AD4" s="8" t="s">
        <v>723</v>
      </c>
      <c r="AE4" s="8" t="s">
        <v>724</v>
      </c>
      <c r="AF4" s="8" t="s">
        <v>725</v>
      </c>
      <c r="AG4" s="8" t="s">
        <v>359</v>
      </c>
      <c r="AH4" s="8" t="s">
        <v>726</v>
      </c>
      <c r="AI4" s="8" t="s">
        <v>727</v>
      </c>
      <c r="AJ4" s="8" t="s">
        <v>134</v>
      </c>
      <c r="AK4" s="8" t="s">
        <v>134</v>
      </c>
    </row>
    <row r="5" spans="1:37" ht="15" customHeight="1" x14ac:dyDescent="0.3">
      <c r="A5" s="8" t="s">
        <v>728</v>
      </c>
      <c r="B5" s="8" t="s">
        <v>729</v>
      </c>
      <c r="C5" s="8" t="s">
        <v>125</v>
      </c>
      <c r="D5" s="8" t="s">
        <v>730</v>
      </c>
      <c r="E5" s="8" t="s">
        <v>731</v>
      </c>
      <c r="F5" s="8" t="s">
        <v>732</v>
      </c>
      <c r="G5" s="8" t="s">
        <v>733</v>
      </c>
      <c r="H5" s="8" t="s">
        <v>734</v>
      </c>
      <c r="I5" s="8" t="s">
        <v>735</v>
      </c>
      <c r="J5" s="8" t="s">
        <v>736</v>
      </c>
      <c r="K5" s="8" t="s">
        <v>70</v>
      </c>
      <c r="L5" s="8" t="s">
        <v>737</v>
      </c>
      <c r="M5" s="8" t="s">
        <v>738</v>
      </c>
      <c r="N5" s="8" t="s">
        <v>739</v>
      </c>
      <c r="O5" s="8" t="s">
        <v>740</v>
      </c>
      <c r="P5" s="8" t="s">
        <v>741</v>
      </c>
      <c r="Q5" s="8" t="s">
        <v>742</v>
      </c>
      <c r="R5" s="8" t="s">
        <v>743</v>
      </c>
      <c r="S5" s="8" t="s">
        <v>252</v>
      </c>
      <c r="T5" s="8" t="s">
        <v>744</v>
      </c>
      <c r="U5" s="8" t="s">
        <v>258</v>
      </c>
      <c r="V5" s="8" t="s">
        <v>281</v>
      </c>
      <c r="W5" s="8" t="s">
        <v>745</v>
      </c>
      <c r="X5" s="8" t="s">
        <v>306</v>
      </c>
      <c r="Y5" s="8" t="s">
        <v>339</v>
      </c>
      <c r="Z5" s="8" t="s">
        <v>746</v>
      </c>
      <c r="AA5" s="8" t="s">
        <v>371</v>
      </c>
      <c r="AB5" s="8" t="s">
        <v>747</v>
      </c>
      <c r="AC5" s="8" t="s">
        <v>748</v>
      </c>
      <c r="AD5" s="8" t="s">
        <v>749</v>
      </c>
      <c r="AE5" s="8" t="s">
        <v>750</v>
      </c>
      <c r="AF5" s="8" t="s">
        <v>751</v>
      </c>
      <c r="AG5" s="8" t="s">
        <v>339</v>
      </c>
      <c r="AH5" s="8" t="s">
        <v>752</v>
      </c>
      <c r="AI5" s="8" t="s">
        <v>406</v>
      </c>
      <c r="AJ5" s="8" t="s">
        <v>136</v>
      </c>
      <c r="AK5" s="8" t="s">
        <v>136</v>
      </c>
    </row>
    <row r="6" spans="1:37" ht="15" customHeight="1" x14ac:dyDescent="0.3">
      <c r="A6" s="8" t="s">
        <v>753</v>
      </c>
      <c r="B6" s="8" t="s">
        <v>754</v>
      </c>
      <c r="C6" s="8" t="s">
        <v>755</v>
      </c>
      <c r="D6" s="8" t="s">
        <v>756</v>
      </c>
      <c r="E6" s="8" t="s">
        <v>129</v>
      </c>
      <c r="F6" s="8" t="s">
        <v>68</v>
      </c>
      <c r="G6" s="8" t="s">
        <v>757</v>
      </c>
      <c r="H6" s="8" t="s">
        <v>758</v>
      </c>
      <c r="I6" s="8" t="s">
        <v>759</v>
      </c>
      <c r="J6" s="8" t="s">
        <v>760</v>
      </c>
      <c r="K6" s="8" t="s">
        <v>179</v>
      </c>
      <c r="L6" s="8" t="s">
        <v>54</v>
      </c>
      <c r="M6" s="8" t="s">
        <v>56</v>
      </c>
      <c r="N6" s="8" t="s">
        <v>761</v>
      </c>
      <c r="O6" s="8" t="s">
        <v>208</v>
      </c>
      <c r="P6" s="8" t="s">
        <v>762</v>
      </c>
      <c r="Q6" s="8" t="s">
        <v>763</v>
      </c>
      <c r="R6" s="8" t="s">
        <v>764</v>
      </c>
      <c r="S6" s="8" t="s">
        <v>269</v>
      </c>
      <c r="T6" s="8" t="s">
        <v>243</v>
      </c>
      <c r="U6" s="8" t="s">
        <v>234</v>
      </c>
      <c r="V6" s="8" t="s">
        <v>765</v>
      </c>
      <c r="W6" s="8" t="s">
        <v>766</v>
      </c>
      <c r="X6" s="8" t="s">
        <v>303</v>
      </c>
      <c r="Y6" s="8" t="s">
        <v>345</v>
      </c>
      <c r="Z6" s="8" t="s">
        <v>303</v>
      </c>
      <c r="AA6" s="8" t="s">
        <v>767</v>
      </c>
      <c r="AB6" s="8" t="s">
        <v>382</v>
      </c>
      <c r="AC6" s="8" t="s">
        <v>404</v>
      </c>
      <c r="AD6" s="8" t="s">
        <v>768</v>
      </c>
      <c r="AE6" s="8" t="s">
        <v>394</v>
      </c>
      <c r="AF6" s="8" t="s">
        <v>769</v>
      </c>
      <c r="AG6" s="8" t="s">
        <v>345</v>
      </c>
      <c r="AH6" s="8" t="s">
        <v>404</v>
      </c>
      <c r="AI6" s="8" t="s">
        <v>770</v>
      </c>
      <c r="AK6" s="8" t="s">
        <v>176</v>
      </c>
    </row>
    <row r="7" spans="1:37" ht="15" customHeight="1" x14ac:dyDescent="0.3">
      <c r="A7" s="8" t="s">
        <v>48</v>
      </c>
      <c r="B7" s="8" t="s">
        <v>771</v>
      </c>
      <c r="C7" s="8" t="s">
        <v>772</v>
      </c>
      <c r="D7" s="8" t="s">
        <v>127</v>
      </c>
      <c r="E7" s="8" t="s">
        <v>773</v>
      </c>
      <c r="F7" s="8" t="s">
        <v>774</v>
      </c>
      <c r="G7" s="8" t="s">
        <v>775</v>
      </c>
      <c r="H7" s="8" t="s">
        <v>776</v>
      </c>
      <c r="I7" s="8" t="s">
        <v>777</v>
      </c>
      <c r="J7" s="8" t="s">
        <v>778</v>
      </c>
      <c r="K7" s="8" t="s">
        <v>779</v>
      </c>
      <c r="L7" s="8" t="s">
        <v>780</v>
      </c>
      <c r="M7" s="8" t="s">
        <v>781</v>
      </c>
      <c r="N7" s="8" t="s">
        <v>782</v>
      </c>
      <c r="O7" s="8" t="s">
        <v>783</v>
      </c>
      <c r="P7" s="8" t="s">
        <v>784</v>
      </c>
      <c r="Q7" s="8" t="s">
        <v>785</v>
      </c>
      <c r="R7" s="8" t="s">
        <v>786</v>
      </c>
      <c r="S7" s="8" t="s">
        <v>232</v>
      </c>
      <c r="T7" s="8" t="s">
        <v>787</v>
      </c>
      <c r="U7" s="8" t="s">
        <v>244</v>
      </c>
      <c r="V7" s="8" t="s">
        <v>788</v>
      </c>
      <c r="W7" s="8" t="s">
        <v>789</v>
      </c>
      <c r="X7" s="8" t="s">
        <v>315</v>
      </c>
      <c r="Z7" s="8" t="s">
        <v>790</v>
      </c>
      <c r="AA7" s="8" t="s">
        <v>791</v>
      </c>
      <c r="AB7" s="8" t="s">
        <v>792</v>
      </c>
      <c r="AC7" s="8" t="s">
        <v>793</v>
      </c>
      <c r="AD7" s="8" t="s">
        <v>794</v>
      </c>
      <c r="AE7" s="8" t="s">
        <v>795</v>
      </c>
      <c r="AF7" s="8" t="s">
        <v>796</v>
      </c>
      <c r="AH7" s="8" t="s">
        <v>797</v>
      </c>
      <c r="AI7" s="8" t="s">
        <v>798</v>
      </c>
    </row>
    <row r="8" spans="1:37" ht="15" customHeight="1" x14ac:dyDescent="0.3">
      <c r="A8" s="8" t="s">
        <v>799</v>
      </c>
      <c r="B8" s="8" t="s">
        <v>50</v>
      </c>
      <c r="C8" s="8" t="s">
        <v>800</v>
      </c>
      <c r="D8" s="8" t="s">
        <v>801</v>
      </c>
      <c r="E8" s="8" t="s">
        <v>802</v>
      </c>
      <c r="F8" s="8" t="s">
        <v>803</v>
      </c>
      <c r="G8" s="8" t="s">
        <v>804</v>
      </c>
      <c r="H8" s="8" t="s">
        <v>805</v>
      </c>
      <c r="I8" s="8" t="s">
        <v>806</v>
      </c>
      <c r="J8" s="8" t="s">
        <v>807</v>
      </c>
      <c r="L8" s="8" t="s">
        <v>808</v>
      </c>
      <c r="M8" s="8" t="s">
        <v>809</v>
      </c>
      <c r="N8" s="8" t="s">
        <v>197</v>
      </c>
      <c r="P8" s="8" t="s">
        <v>810</v>
      </c>
      <c r="Q8" s="8" t="s">
        <v>811</v>
      </c>
      <c r="R8" s="8" t="s">
        <v>812</v>
      </c>
      <c r="S8" s="8" t="s">
        <v>813</v>
      </c>
      <c r="U8" s="8" t="s">
        <v>253</v>
      </c>
      <c r="V8" s="8" t="s">
        <v>814</v>
      </c>
      <c r="W8" s="8" t="s">
        <v>815</v>
      </c>
      <c r="X8" s="8" t="s">
        <v>816</v>
      </c>
      <c r="Z8" s="8" t="s">
        <v>817</v>
      </c>
      <c r="AB8" s="8" t="s">
        <v>818</v>
      </c>
      <c r="AC8" s="8" t="s">
        <v>783</v>
      </c>
      <c r="AD8" s="8" t="s">
        <v>819</v>
      </c>
      <c r="AE8" s="8" t="s">
        <v>820</v>
      </c>
      <c r="AF8" s="8" t="s">
        <v>821</v>
      </c>
      <c r="AI8" s="8" t="s">
        <v>326</v>
      </c>
    </row>
    <row r="9" spans="1:37" ht="15" customHeight="1" x14ac:dyDescent="0.3">
      <c r="B9" s="8" t="s">
        <v>822</v>
      </c>
      <c r="C9" s="8" t="s">
        <v>823</v>
      </c>
      <c r="D9" s="8" t="s">
        <v>824</v>
      </c>
      <c r="E9" s="8" t="s">
        <v>825</v>
      </c>
      <c r="F9" s="8" t="s">
        <v>826</v>
      </c>
      <c r="I9" s="8" t="s">
        <v>827</v>
      </c>
      <c r="L9" s="8" t="s">
        <v>828</v>
      </c>
      <c r="M9" s="8" t="s">
        <v>829</v>
      </c>
      <c r="N9" s="8" t="s">
        <v>830</v>
      </c>
      <c r="P9" s="8" t="s">
        <v>831</v>
      </c>
      <c r="R9" s="8" t="s">
        <v>832</v>
      </c>
      <c r="S9" s="8" t="s">
        <v>257</v>
      </c>
      <c r="V9" s="8" t="s">
        <v>833</v>
      </c>
      <c r="W9" s="8" t="s">
        <v>834</v>
      </c>
      <c r="AB9" s="8" t="s">
        <v>835</v>
      </c>
      <c r="AE9" s="8" t="s">
        <v>836</v>
      </c>
      <c r="AF9" s="8" t="s">
        <v>396</v>
      </c>
      <c r="AI9" s="8" t="s">
        <v>797</v>
      </c>
    </row>
    <row r="10" spans="1:37" ht="15" customHeight="1" x14ac:dyDescent="0.3">
      <c r="C10" s="8" t="s">
        <v>837</v>
      </c>
      <c r="D10" s="8" t="s">
        <v>838</v>
      </c>
      <c r="E10" s="8" t="s">
        <v>839</v>
      </c>
      <c r="I10" s="8" t="s">
        <v>840</v>
      </c>
      <c r="L10" s="8" t="s">
        <v>841</v>
      </c>
      <c r="N10" s="8" t="s">
        <v>842</v>
      </c>
      <c r="R10" s="8" t="s">
        <v>843</v>
      </c>
      <c r="S10" s="8" t="s">
        <v>844</v>
      </c>
      <c r="W10" s="8" t="s">
        <v>845</v>
      </c>
      <c r="AB10" s="8" t="s">
        <v>846</v>
      </c>
      <c r="AF10" s="8" t="s">
        <v>398</v>
      </c>
    </row>
    <row r="11" spans="1:37" ht="15" customHeight="1" x14ac:dyDescent="0.3">
      <c r="C11" s="8" t="s">
        <v>847</v>
      </c>
      <c r="D11" s="8" t="s">
        <v>848</v>
      </c>
      <c r="I11" s="8" t="s">
        <v>849</v>
      </c>
      <c r="L11" s="8" t="s">
        <v>850</v>
      </c>
      <c r="N11" s="8" t="s">
        <v>851</v>
      </c>
      <c r="R11" s="8" t="s">
        <v>852</v>
      </c>
      <c r="S11" s="8" t="s">
        <v>853</v>
      </c>
      <c r="W11" s="8" t="s">
        <v>854</v>
      </c>
      <c r="AB11" s="8" t="s">
        <v>855</v>
      </c>
    </row>
    <row r="12" spans="1:37" ht="15" customHeight="1" x14ac:dyDescent="0.3">
      <c r="C12" s="8" t="s">
        <v>856</v>
      </c>
      <c r="D12" s="8" t="s">
        <v>857</v>
      </c>
      <c r="I12" s="8" t="s">
        <v>326</v>
      </c>
      <c r="L12" s="8" t="s">
        <v>858</v>
      </c>
      <c r="N12" s="8" t="s">
        <v>326</v>
      </c>
      <c r="R12" s="8" t="s">
        <v>859</v>
      </c>
      <c r="W12" s="8" t="s">
        <v>860</v>
      </c>
      <c r="AB12" s="8" t="s">
        <v>861</v>
      </c>
    </row>
    <row r="13" spans="1:37" ht="15" customHeight="1" x14ac:dyDescent="0.3">
      <c r="L13" s="8" t="s">
        <v>862</v>
      </c>
      <c r="R13" s="8" t="s">
        <v>863</v>
      </c>
      <c r="W13" s="8" t="s">
        <v>176</v>
      </c>
      <c r="AB13" s="8" t="s">
        <v>326</v>
      </c>
    </row>
    <row r="14" spans="1:37" ht="15" customHeight="1" x14ac:dyDescent="0.3">
      <c r="L14" s="8" t="s">
        <v>864</v>
      </c>
      <c r="R14" s="8" t="s">
        <v>216</v>
      </c>
    </row>
    <row r="15" spans="1:37" ht="15" customHeight="1" x14ac:dyDescent="0.3">
      <c r="L15" s="8" t="s">
        <v>865</v>
      </c>
    </row>
    <row r="16" spans="1:37" ht="15" customHeight="1" x14ac:dyDescent="0.3">
      <c r="L16" s="8" t="s">
        <v>326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44</vt:i4>
      </vt:variant>
    </vt:vector>
  </HeadingPairs>
  <TitlesOfParts>
    <vt:vector size="54" baseType="lpstr">
      <vt:lpstr>Resumen</vt:lpstr>
      <vt:lpstr>F-DT-01</vt:lpstr>
      <vt:lpstr>F-DT-02</vt:lpstr>
      <vt:lpstr>F-DT-03</vt:lpstr>
      <vt:lpstr>F-DT-04</vt:lpstr>
      <vt:lpstr>F-DT-05</vt:lpstr>
      <vt:lpstr>Cobertura MSAVI-NDVI</vt:lpstr>
      <vt:lpstr>Control de consistencia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2026-09-07T04:44:07Z</dcterms:modified>
  <dc:language>en-US</dc:language>
</cp:coreProperties>
</file>