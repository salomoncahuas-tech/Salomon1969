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5b075c037decc03/DIAGNOSTICOS TERRITORIALES BLOQUES/DIAGNOSTICO BLOQUE 13/"/>
    </mc:Choice>
  </mc:AlternateContent>
  <xr:revisionPtr revIDLastSave="1" documentId="11_D9D772D333073563ADBD0208C1C6F939A3498E2E" xr6:coauthVersionLast="47" xr6:coauthVersionMax="47" xr10:uidLastSave="{EAD4DCCB-559C-49BA-8176-89FDE61EC8D9}"/>
  <bookViews>
    <workbookView xWindow="-108" yWindow="-108" windowWidth="23256" windowHeight="12456" tabRatio="500" activeTab="2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<sst xmlns="http://schemas.openxmlformats.org/spreadsheetml/2006/main" count="1424" uniqueCount="747">
  <si>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</si>
  <si>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</si>
  <si>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</si>
  <si>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</si>
  <si>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</si>
  <si>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</si>
  <si>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</si>
  <si>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</si>
  <si>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10/06/2026</t>
  </si>
  <si>
    <t>Hora de registro</t>
  </si>
  <si>
    <t>01:17 p. m.</t>
  </si>
  <si>
    <t>Brigada / Responsable *</t>
  </si>
  <si>
    <t>Ing. Héctor S. Cahuas Miller / Ing. Pedro Talledo Hernández / Ing. Juan Carlos Domínguez Varas (ANIN–DIME–SESDI)</t>
  </si>
  <si>
    <t>Ficha N° (correlativo)</t>
  </si>
  <si>
    <t>DT-B13-01</t>
  </si>
  <si>
    <t>Código del Bloque *</t>
  </si>
  <si>
    <t>13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</si>
  <si>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</si>
  <si>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</si>
  <si>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</si>
  <si>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</si>
  <si>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</si>
  <si>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</si>
  <si>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</si>
  <si>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</si>
  <si>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</si>
  <si>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Huacas</t>
  </si>
  <si>
    <t>Comunidad Campesina (si aplica)</t>
  </si>
  <si>
    <t>Predios particulares del Caserío Huacas (sin comunidad campesina titulada identificada — por verificar)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</si>
  <si>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</si>
  <si>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</si>
  <si>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</si>
  <si>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</si>
  <si>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</si>
  <si>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</si>
  <si>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</si>
  <si>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</si>
  <si>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Oeste</t>
  </si>
  <si>
    <t>Rango altitudinal del bloque *</t>
  </si>
  <si>
    <t>1500-2000 m (Quechua media)</t>
  </si>
  <si>
    <t>Paisaje dominante (descripción libre)</t>
  </si>
  <si>
    <t>Cerro de cumbre cónica boscosa que domina el Caserío Huacas. Las laderas superiores conservan bosque relicto montano de vertiente occidental (neblina); las laderas media e inferior presentan un mosaico de matorral andino, pastizales cultivados y parcelas de maíz/caña, con afloramientos rocosos dispersos. El bloque es drenado por la Qda. Huacas (límite oeste) y por quebradas y manantiales permanentes que descienden hacia el caserío. Acceso por trocha y camino de herradura empedrado.</t>
  </si>
  <si>
    <t>3. INDICIOS DE REMOCIÓN EN MASA E INESTABILIDAD</t>
  </si>
  <si>
    <t>Presencia de afloramientos rocosos</t>
  </si>
  <si>
    <t>Sí</t>
  </si>
  <si>
    <t>Presencia de escarpes activos *</t>
  </si>
  <si>
    <t>No</t>
  </si>
  <si>
    <t>¿Reptación de suelo observada? *</t>
  </si>
  <si>
    <t>¿Deslizamientos antiguos observados?</t>
  </si>
  <si>
    <t>¿Remociones en masa activas? *</t>
  </si>
  <si>
    <t>OBSERVACIONES</t>
  </si>
  <si>
    <t>Las laderas superiores del cerro presentan fuerte pendiente (perfil de campo: media 41,4 %, máxima 78,4 % sobre 1,28 km con desnivel de 545 m), lo que configura susceptibilidad latente a movimientos en masa pese a la buena cobertura actual. No se observaron escarpes ni remociones activas en la franja accesible. La cota varía de ~1 580 msnm (Huacas) a &gt;2 180 msnm en la cima; altitud media del bloque ~1 750 msnm. Punto de muestreo referencial del sector de captación/manantial.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</si>
  <si>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</si>
  <si>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</si>
  <si>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</si>
  <si>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</si>
  <si>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</si>
  <si>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</si>
  <si>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</si>
  <si>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</si>
  <si>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</si>
  <si>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</si>
  <si>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</si>
  <si>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</si>
  <si>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</si>
  <si>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Ligera (laminar)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</si>
  <si>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</si>
  <si>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</si>
  <si>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</si>
  <si>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</si>
  <si>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</si>
  <si>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</si>
  <si>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</si>
  <si>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</si>
  <si>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</si>
  <si>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</si>
  <si>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</si>
  <si>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</si>
  <si>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</si>
  <si>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</si>
  <si>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</si>
  <si>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</si>
  <si>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</si>
  <si>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</si>
  <si>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</si>
  <si>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</si>
  <si>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</si>
  <si>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Lineal</t>
  </si>
  <si>
    <t>Presencia de socavamiento de cauce</t>
  </si>
  <si>
    <t>Urgencia de control</t>
  </si>
  <si>
    <t>Media</t>
  </si>
  <si>
    <t>No se inventariaron cárcavas activas en el tramo accesible; la erosión es predominantemente laminar bajo buena cobertura herbácea. Se observa erosión concentrada y socavamiento incipiente a lo largo de los caminos de herradura empedrados (Fig. 5 y 8) y en las márgenes de quebradas y manantiales (Fig. 7 y 10). El inventario georreferenciado detallado de surcos/cárcavas queda pendiente de verificación de campo complementaria (por verificar).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</si>
  <si>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</si>
  <si>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</si>
  <si>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</si>
  <si>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</si>
  <si>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</si>
  <si>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P-01 (ladera media, sector de pastizal–matorral con relictos)</t>
  </si>
  <si>
    <t>Dimensiones de parcela (m × m)</t>
  </si>
  <si>
    <t>50 × 20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</si>
  <si>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</si>
  <si>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</si>
  <si>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</si>
  <si>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</si>
  <si>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</si>
  <si>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</si>
  <si>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Matorral Andino subhúmedo</t>
  </si>
  <si>
    <t>Superficie del ecosistema en el bloque (ha)</t>
  </si>
  <si>
    <t>Estado de conservación general *</t>
  </si>
  <si>
    <t>Medianamente alterado</t>
  </si>
  <si>
    <t>Uso actual dominante del suelo *</t>
  </si>
  <si>
    <t>Pastoreo extensivo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</si>
  <si>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</si>
  <si>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</si>
  <si>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</si>
  <si>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</si>
  <si>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</si>
  <si>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</si>
  <si>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</si>
  <si>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</si>
  <si>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</si>
  <si>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</si>
  <si>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Regular (10-50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</si>
  <si>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</si>
  <si>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</si>
  <si>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</si>
  <si>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</si>
  <si>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</si>
  <si>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</si>
  <si>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</si>
  <si>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</si>
  <si>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</si>
  <si>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</si>
  <si>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</si>
  <si>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</si>
  <si>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</si>
  <si>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</si>
  <si>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</si>
  <si>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</si>
  <si>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</si>
  <si>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</si>
  <si>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Higuerón</t>
  </si>
  <si>
    <t>Ficus sp.</t>
  </si>
  <si>
    <t>Moraceae</t>
  </si>
  <si>
    <t>Arbóreo superior (&gt;15 m)</t>
  </si>
  <si>
    <t>Nativa</t>
  </si>
  <si>
    <t>Frecuente (5-20%)</t>
  </si>
  <si>
    <t>Nogal</t>
  </si>
  <si>
    <t>Juglans neotropica</t>
  </si>
  <si>
    <t>Juglandaceae</t>
  </si>
  <si>
    <t>Ocasional (1-5%)</t>
  </si>
  <si>
    <t>Podocarpus sp.</t>
  </si>
  <si>
    <t>Podocarpaceae</t>
  </si>
  <si>
    <t>Arbóreo medio (8-15 m)</t>
  </si>
  <si>
    <t>Pacae / Guaba</t>
  </si>
  <si>
    <t>Inga sp.</t>
  </si>
  <si>
    <t>Fabaceae</t>
  </si>
  <si>
    <t>Chirimoya silvestre</t>
  </si>
  <si>
    <t>Annona sp.</t>
  </si>
  <si>
    <t>Annonaceae</t>
  </si>
  <si>
    <t>Arbóreo bajo (4-8 m)</t>
  </si>
  <si>
    <t>Tara</t>
  </si>
  <si>
    <t>Caesalpinia spinosa</t>
  </si>
  <si>
    <t>Caña de Guayaquil</t>
  </si>
  <si>
    <t>Guadua angustifolia</t>
  </si>
  <si>
    <t>Poaceae</t>
  </si>
  <si>
    <t>Eucalipto</t>
  </si>
  <si>
    <t>Eucalyptus globulus</t>
  </si>
  <si>
    <t>Myrtaceae</t>
  </si>
  <si>
    <t>Introducida</t>
  </si>
  <si>
    <t>Pino</t>
  </si>
  <si>
    <t>Pinus sp.</t>
  </si>
  <si>
    <t>Pinaceae</t>
  </si>
  <si>
    <t>Ciprés</t>
  </si>
  <si>
    <t>Cupressus sp.</t>
  </si>
  <si>
    <t>Cupressaceae</t>
  </si>
  <si>
    <t>Rara (&lt;1%)</t>
  </si>
  <si>
    <t>Grevilea</t>
  </si>
  <si>
    <t>Grevillea robusta</t>
  </si>
  <si>
    <t>Proteaceae</t>
  </si>
  <si>
    <t>Agave / Penca</t>
  </si>
  <si>
    <t>Agave americana</t>
  </si>
  <si>
    <t>Asparagaceae</t>
  </si>
  <si>
    <t>Arbustivo alto (1.5-4 m)</t>
  </si>
  <si>
    <t>Yuca de monte</t>
  </si>
  <si>
    <t>Apodanthera biflora</t>
  </si>
  <si>
    <t>Cucurbitaceae</t>
  </si>
  <si>
    <t>Trepador</t>
  </si>
  <si>
    <t>Bromelia / Achupalla (epífita)</t>
  </si>
  <si>
    <t>Tillandsia sp.</t>
  </si>
  <si>
    <t>Bromeliaceae</t>
  </si>
  <si>
    <t>Epífito</t>
  </si>
  <si>
    <t>Helechos</t>
  </si>
  <si>
    <t>Pteridophyta (varias)</t>
  </si>
  <si>
    <t>Polypodiaceae</t>
  </si>
  <si>
    <t>Herbáceo (&lt;0.5 m)</t>
  </si>
  <si>
    <t>Abundante (20-40%)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</si>
  <si>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</si>
  <si>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</si>
  <si>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</si>
  <si>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</si>
  <si>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</si>
  <si>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</si>
  <si>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</si>
  <si>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</si>
  <si>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</si>
  <si>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Nogal (Juglans neotropica)</t>
  </si>
  <si>
    <t>Amenazada (D.S. 043-2006-AG)</t>
  </si>
  <si>
    <t>EN — En Peligro</t>
  </si>
  <si>
    <t>—</t>
  </si>
  <si>
    <t>Maderable de alto valor; hábitat 1600–2500 m; determinación preliminar</t>
  </si>
  <si>
    <t>Diablo fuerte (Podocarpus sp.)</t>
  </si>
  <si>
    <t>VU — Vulnerable</t>
  </si>
  <si>
    <t>Conífera nativa indicadora de bosque relicto montano; por determinar a especie</t>
  </si>
  <si>
    <t>Higuerón (Ficus sp.)</t>
  </si>
  <si>
    <t>Indicadora de buen estado</t>
  </si>
  <si>
    <t>No aplica</t>
  </si>
  <si>
    <t>Fig. 10</t>
  </si>
  <si>
    <t>Asociada a quebradas y relictos húmedos</t>
  </si>
  <si>
    <t>Tara (Caesalpinia spinosa)</t>
  </si>
  <si>
    <t>Clave cultural</t>
  </si>
  <si>
    <t>Aprovechamiento local (taninos)</t>
  </si>
  <si>
    <t>Chirimoya silvestre (Annona sp.)</t>
  </si>
  <si>
    <t>Pariente silvestre de interés genético</t>
  </si>
  <si>
    <t>Eucalipto / Pino / Ciprés (exóticas plantadas)</t>
  </si>
  <si>
    <t>Indicadora de perturbación</t>
  </si>
  <si>
    <t>Fig. 9</t>
  </si>
  <si>
    <t>Plantaciones exóticas dispersas en linderos</t>
  </si>
  <si>
    <t>Listado florístico preliminar basado en juicio de experto, literatura regional y registro fotográfico; las determinaciones a especie quedan pendientes de campaña de colecta botánica. El bloque conforma un mosaico de tres ecosistemas MINAM: Bosque relicto montano de vertiente occidental (26,22 ha), Matorral andino (60,35 ha) y Zona agrícola (13,94 ha). El bosque relicto montano constituye el componente de mayor valor ecológico (presencia de Nogal y Podocarpus).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</si>
  <si>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</si>
  <si>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</si>
  <si>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</si>
  <si>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</si>
  <si>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</si>
  <si>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</si>
  <si>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</si>
  <si>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</si>
  <si>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</si>
  <si>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</si>
  <si>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</si>
  <si>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Moderada</t>
  </si>
  <si>
    <t>Vacuno en pastoreo extensivo (Fig. 13 y 14); pisoteo y ramoneo en laderas</t>
  </si>
  <si>
    <t>Tala para leña</t>
  </si>
  <si>
    <t>Tala para carbón</t>
  </si>
  <si>
    <t>Tala para madera</t>
  </si>
  <si>
    <t>Ligera</t>
  </si>
  <si>
    <t>Fragmentación del bosque; extracción local inferida (por verificar)</t>
  </si>
  <si>
    <t>Quema (renovación de pastos)</t>
  </si>
  <si>
    <t>Quema accidental / Incendio</t>
  </si>
  <si>
    <t>Cambio de uso a agricultura</t>
  </si>
  <si>
    <t>Parcelas de maíz, arveja y trigo en laderas (Fig. 6, 9 y 11)</t>
  </si>
  <si>
    <t>Cambio de uso a pastoreo</t>
  </si>
  <si>
    <t>Conversión a pastizal cultivado en ladera media-baja</t>
  </si>
  <si>
    <t>Expansión urbana / vial</t>
  </si>
  <si>
    <t>Minería informal</t>
  </si>
  <si>
    <t>Extracción de áridos (cauces)</t>
  </si>
  <si>
    <t>Especies invasoras</t>
  </si>
  <si>
    <t>Plantaciones de eucalipto, pino y ciprés en linderos (Fig. 9)</t>
  </si>
  <si>
    <t>Erosión natural severa</t>
  </si>
  <si>
    <t>Sequía prolongada / CC</t>
  </si>
  <si>
    <t>Proyección de déficit hídrico futuro (SSP585) sobre ecosistema de neblina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</si>
  <si>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</si>
  <si>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</si>
  <si>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</si>
  <si>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</si>
  <si>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</si>
  <si>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</si>
  <si>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</si>
  <si>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</si>
  <si>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</si>
  <si>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</si>
  <si>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</si>
  <si>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</si>
  <si>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Campo + MSAVI 2024</t>
  </si>
  <si>
    <t>&gt;60% bueno; 30-60% medio; &lt;30% malo</t>
  </si>
  <si>
    <t>Bajo</t>
  </si>
  <si>
    <t>Porcentaje de suelo desnudo</t>
  </si>
  <si>
    <t>Campo</t>
  </si>
  <si>
    <t>&lt;10% bueno; 10-30% medio; &gt;30% malo</t>
  </si>
  <si>
    <t>Densidad de cárcavas</t>
  </si>
  <si>
    <t>N°/ha</t>
  </si>
  <si>
    <t>Inventario F-DT-02</t>
  </si>
  <si>
    <t>0 nulo; 1-3 medio; &gt;3 alto</t>
  </si>
  <si>
    <t>Presencia de especies invasoras</t>
  </si>
  <si>
    <t>% área</t>
  </si>
  <si>
    <t>&lt;5% bueno; 5-20% medio; &gt;20% alto</t>
  </si>
  <si>
    <t>Carga ganadera estimada</t>
  </si>
  <si>
    <t>UA/ha</t>
  </si>
  <si>
    <t>Campo (vacuno)</t>
  </si>
  <si>
    <t>Según tipo de ecosistema</t>
  </si>
  <si>
    <t>Medio</t>
  </si>
  <si>
    <t>Frecuencia de quemas últimos 5 años</t>
  </si>
  <si>
    <t>Por verificar</t>
  </si>
  <si>
    <t>Campo / entrevistas</t>
  </si>
  <si>
    <t>0 nulo; 1-2 medio; &gt;2 alto</t>
  </si>
  <si>
    <t>% área con pendiente &gt;50%</t>
  </si>
  <si>
    <t>MDT / Google Earth</t>
  </si>
  <si>
    <t>Factor de susceptibilidad</t>
  </si>
  <si>
    <t>Alto</t>
  </si>
  <si>
    <t>Distancia a vía vecinal más cercana</t>
  </si>
  <si>
    <t>m</t>
  </si>
  <si>
    <t>Cartografía MTC (aprox.)</t>
  </si>
  <si>
    <t>A menor distancia → mayor presión</t>
  </si>
  <si>
    <t>4. SÍNTESIS DIAGNÓSTICA DE LA DEGRADACIÓN</t>
  </si>
  <si>
    <t>Principales causas directas (texto libre)</t>
  </si>
  <si>
    <t>Conversión de bosque/matorral a pastizal cultivado y parcelas de maíz/arveja/trigo en laderas, con pastoreo vacuno extensivo; presión sobre el bosque relicto montano y las zonas de recarga hídrica.</t>
  </si>
  <si>
    <t>Principal causa subyacente (motor)</t>
  </si>
  <si>
    <t>Economía de subsistencia (ganadería y agricultura de ladera) sin ordenamiento territorial ni manejo del ecosistema</t>
  </si>
  <si>
    <t>Velocidad de degradación percibida</t>
  </si>
  <si>
    <t>Reversibilidad técnica</t>
  </si>
  <si>
    <t>Parcialmente reversible</t>
  </si>
  <si>
    <t>Urgencia de intervención</t>
  </si>
  <si>
    <t>A diferencia de bloques degradados, el Bloque 13 mantiene alta vigorosidad de la cobertura (MSAVI predominante &gt;0,6139) y abundante oferta hídrica, lo que indica un ecosistema relativamente conservado pero bajo presión antrópica crónica. La prioridad es preventiva-conservacionista: proteger el relicto montano y las zonas de recarga frente al avance del pastoreo y la agricultura de ladera.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</si>
  <si>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</si>
  <si>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</si>
  <si>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</si>
  <si>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</si>
  <si>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</si>
  <si>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</si>
  <si>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</si>
  <si>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</si>
  <si>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</si>
  <si>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Manantial / Puquio</t>
  </si>
  <si>
    <t>Permanente</t>
  </si>
  <si>
    <t>Buena (clara, sin olor, sin sedimentos)</t>
  </si>
  <si>
    <t>Captación de concreto con manguera de conducción — uso poblacional/doméstico (Fig. 15)</t>
  </si>
  <si>
    <t>Quebrada permanente</t>
  </si>
  <si>
    <t>Regular (ligeramente turbia o con sedimentos)</t>
  </si>
  <si>
    <t>Cauce con caída de agua; flujo en estiaje (Fig. 12)</t>
  </si>
  <si>
    <t>Riachuelo bajo dosel; humedad persistente (Fig. 10)</t>
  </si>
  <si>
    <t>Afloramiento con socavamiento incipiente de orilla (Fig. 7)</t>
  </si>
  <si>
    <t>Qda. Huacas — límite oeste del bloque (Fig. 1)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</si>
  <si>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</si>
  <si>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</si>
  <si>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</si>
  <si>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</si>
  <si>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</si>
  <si>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</si>
  <si>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Por verificar (captación con manguera observada en el bloque; presumiblemente abastece al Caserío Huacas — datos formales de JASS pendientes)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</si>
  <si>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</si>
  <si>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</si>
  <si>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</si>
  <si>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</si>
  <si>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30-90 min</t>
  </si>
  <si>
    <t>Vía principal de acceso (PE-/PI-/trocha) *</t>
  </si>
  <si>
    <t>Ruta a Caserío Huacas (trocha carrozable desde Santo Domingo) + camino de herradura</t>
  </si>
  <si>
    <t>Tipo de vía final</t>
  </si>
  <si>
    <t>Camino de herradura</t>
  </si>
  <si>
    <t>Estado transitabilidad — época seca</t>
  </si>
  <si>
    <t>Estado transitabilidad — época lluviosa</t>
  </si>
  <si>
    <t>Tiempo desde capital distrital (min)</t>
  </si>
  <si>
    <t>Señal celular</t>
  </si>
  <si>
    <t>Intermitente</t>
  </si>
  <si>
    <t>Operador celular dominante</t>
  </si>
  <si>
    <t>Movistar</t>
  </si>
  <si>
    <t>Alojamiento rural disponible</t>
  </si>
  <si>
    <t>¿Requiere autorización de Ronda Campesina? *</t>
  </si>
  <si>
    <t>Nombre / Contacto responsable de Ronda</t>
  </si>
  <si>
    <t>Por verificar (coordinación con posesionarios y autoridades del Caserío Huacas)</t>
  </si>
  <si>
    <t>Bloque hídricamente rico: cabecera de microcuenca con bosque de neblina, múltiples manantiales y quebradas permanentes que sostienen humedad persistente y recarga. Se confirmó una captación poblacional dentro del bloque (Fig. 15), hallazgo relevante para las salvaguardas sociales (datos de JASS por verificar). Tiempos de viaje y operador celular son estimaciones preliminares (por verificar).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</si>
  <si>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</si>
  <si>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</si>
  <si>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</si>
  <si>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</si>
  <si>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</si>
  <si>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</si>
  <si>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</si>
  <si>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</si>
  <si>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</si>
  <si>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</si>
  <si>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</si>
  <si>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</si>
  <si>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</si>
  <si>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</si>
  <si>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</si>
  <si>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</si>
  <si>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</si>
  <si>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</si>
  <si>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</si>
  <si>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</si>
  <si>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</si>
  <si>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</si>
  <si>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</si>
  <si>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</si>
  <si>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</si>
  <si>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</si>
  <si>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</si>
  <si>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</si>
  <si>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</si>
  <si>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</si>
  <si>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</si>
  <si>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</si>
  <si>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</si>
  <si>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</si>
  <si>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</si>
  <si>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</si>
  <si>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</si>
  <si>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</si>
  <si>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</si>
  <si>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</si>
  <si>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</si>
  <si>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</si>
  <si>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</si>
  <si>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</si>
  <si>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</si>
  <si>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</si>
  <si>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</si>
  <si>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</si>
  <si>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</si>
  <si>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</si>
  <si>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</si>
  <si>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</si>
  <si>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</si>
  <si>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</si>
  <si>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</si>
  <si>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</si>
  <si>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</si>
  <si>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</si>
  <si>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</si>
  <si>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</si>
  <si>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</si>
  <si>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</si>
  <si>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</si>
  <si>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</si>
  <si>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</si>
  <si>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</si>
  <si>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</si>
  <si>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</si>
  <si>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</si>
  <si>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</si>
  <si>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</si>
  <si>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</si>
  <si>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</si>
  <si>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</si>
  <si>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</si>
  <si>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</si>
  <si>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</si>
  <si>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</si>
  <si>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</si>
  <si>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</si>
  <si>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</si>
  <si>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</si>
  <si>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</si>
  <si>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</si>
  <si>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</si>
  <si>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</si>
  <si>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</si>
  <si>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</si>
  <si>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</si>
  <si>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</si>
  <si>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</si>
  <si>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</si>
  <si>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</si>
  <si>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</si>
  <si>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</si>
  <si>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</si>
  <si>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</si>
  <si>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</si>
  <si>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</si>
  <si>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</si>
  <si>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</si>
  <si>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</si>
  <si>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</si>
  <si>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</si>
  <si>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</si>
  <si>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</si>
  <si>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</si>
  <si>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</si>
  <si>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</si>
  <si>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</si>
  <si>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</si>
  <si>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</si>
  <si>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</si>
  <si>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</si>
  <si>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</si>
  <si>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</si>
  <si>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</si>
  <si>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</si>
  <si>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</si>
  <si>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</si>
  <si>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</si>
  <si>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</si>
  <si>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</si>
  <si>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</si>
  <si>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</si>
  <si>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</si>
  <si>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</si>
  <si>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</si>
  <si>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</si>
  <si>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</si>
  <si>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</si>
  <si>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</si>
  <si>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</si>
  <si>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</si>
  <si>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</si>
  <si>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</si>
  <si>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</si>
  <si>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</si>
  <si>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</si>
  <si>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</si>
  <si>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</si>
  <si>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</si>
  <si>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</si>
  <si>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</si>
  <si>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</si>
  <si>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</si>
  <si>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</si>
  <si>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</si>
  <si>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</si>
  <si>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</si>
  <si>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</si>
  <si>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</si>
  <si>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</si>
  <si>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</si>
  <si>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</si>
  <si>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</si>
  <si>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</si>
  <si>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</si>
  <si>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</si>
  <si>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</si>
  <si>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</si>
  <si>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</si>
  <si>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</si>
  <si>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</si>
  <si>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</si>
  <si>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</si>
  <si>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</si>
  <si>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</si>
  <si>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</si>
  <si>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</si>
  <si>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</si>
  <si>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</si>
  <si>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</si>
  <si>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</si>
  <si>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</si>
  <si>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</si>
  <si>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</si>
  <si>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</si>
  <si>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</si>
  <si>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</si>
  <si>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</si>
  <si>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</si>
  <si>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</si>
  <si>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</si>
  <si>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</si>
  <si>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</si>
  <si>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</si>
  <si>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</si>
  <si>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</si>
  <si>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</si>
  <si>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</si>
  <si>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</si>
  <si>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</si>
  <si>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</si>
  <si>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</si>
  <si>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</si>
  <si>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</si>
  <si>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</si>
  <si>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</si>
  <si>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</si>
  <si>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</si>
  <si>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</si>
  <si>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</si>
  <si>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</si>
  <si>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</si>
  <si>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</si>
  <si>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</si>
  <si>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</si>
  <si>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</si>
  <si>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</si>
  <si>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</si>
  <si>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</si>
  <si>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</si>
  <si>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</si>
  <si>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</si>
  <si>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</si>
  <si>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</si>
  <si>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</si>
  <si>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</si>
  <si>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</si>
  <si>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</si>
  <si>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</si>
  <si>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</si>
  <si>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</si>
  <si>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</si>
  <si>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</si>
  <si>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</si>
  <si>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</si>
  <si>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</si>
  <si>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</si>
  <si>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</si>
  <si>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</si>
  <si>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</si>
  <si>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</si>
  <si>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</si>
  <si>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</si>
  <si>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</si>
  <si>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</si>
  <si>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</si>
  <si>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</si>
  <si>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</si>
  <si>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</si>
  <si>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</si>
  <si>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</si>
  <si>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</si>
  <si>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Dominante (&gt;40%)</t>
  </si>
  <si>
    <t>EX — Extinto</t>
  </si>
  <si>
    <t>Muy rápida</t>
  </si>
  <si>
    <t>Totalmente reversible</t>
  </si>
  <si>
    <t>Vehicular 4x4 hasta el bloque</t>
  </si>
  <si>
    <t>Nacional asfaltada</t>
  </si>
  <si>
    <t>Completa</t>
  </si>
  <si>
    <t>Ondulado</t>
  </si>
  <si>
    <t>8-15% (Mod. inclinado)</t>
  </si>
  <si>
    <t>Ladera alta</t>
  </si>
  <si>
    <t>Sur</t>
  </si>
  <si>
    <t>1000-1500 m (Quechua baja)</t>
  </si>
  <si>
    <t>Cárcava incipiente (30-50 cm)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</si>
  <si>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</si>
  <si>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</si>
  <si>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</si>
  <si>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</si>
  <si>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</si>
  <si>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</si>
  <si>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</si>
  <si>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Enfermo (plaga)</t>
  </si>
  <si>
    <t>Floración</t>
  </si>
  <si>
    <t>Bosque ralo (30-70%)</t>
  </si>
  <si>
    <t>Endémica</t>
  </si>
  <si>
    <t>EW — Extinto en Estado Silvestre</t>
  </si>
  <si>
    <t>Rápida</t>
  </si>
  <si>
    <t>Estacional (lluvias)</t>
  </si>
  <si>
    <t>Vehicular + caminata &lt;30 min</t>
  </si>
  <si>
    <t>Nacional afirmada</t>
  </si>
  <si>
    <t>Parcial</t>
  </si>
  <si>
    <t>Claro</t>
  </si>
  <si>
    <t>Colinoso</t>
  </si>
  <si>
    <t>15-25% (Fuert. inclinado)</t>
  </si>
  <si>
    <t>Este</t>
  </si>
  <si>
    <t>Moderada (surcos)</t>
  </si>
  <si>
    <t>Cárcava somera (0.5-2 m)</t>
  </si>
  <si>
    <t>Estabilizada con vegetación</t>
  </si>
  <si>
    <t>Quema</t>
  </si>
  <si>
    <t>Bosque Estacionalmente Seco Colina/Montaña (Bes-cm)</t>
  </si>
  <si>
    <t>Escasa (&lt;10 pl./100m²)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</si>
  <si>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</si>
  <si>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</si>
  <si>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</si>
  <si>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</si>
  <si>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</si>
  <si>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</si>
  <si>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Quebrada estacional</t>
  </si>
  <si>
    <t>Mala (turbia, con olor o color)</t>
  </si>
  <si>
    <t>Departamental asfaltada</t>
  </si>
  <si>
    <t>Entel</t>
  </si>
  <si>
    <t>Ladera baja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</si>
  <si>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</si>
  <si>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</si>
  <si>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</si>
  <si>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</si>
  <si>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</si>
  <si>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</si>
  <si>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</si>
  <si>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</si>
  <si>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</si>
  <si>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</si>
  <si>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</si>
  <si>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</si>
  <si>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</si>
  <si>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</si>
  <si>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</si>
  <si>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</si>
  <si>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Fuerte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</si>
  <si>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</si>
  <si>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</si>
  <si>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</si>
  <si>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</si>
  <si>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</si>
  <si>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</si>
  <si>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</si>
  <si>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</si>
  <si>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</si>
  <si>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</si>
  <si>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</si>
  <si>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</si>
  <si>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</si>
  <si>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</si>
  <si>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</si>
  <si>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</si>
  <si>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</si>
  <si>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</si>
  <si>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</si>
  <si>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</si>
  <si>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</si>
  <si>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</si>
  <si>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</si>
  <si>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</si>
  <si>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</si>
  <si>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</si>
  <si>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Muy fuerte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</si>
  <si>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</si>
  <si>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</si>
  <si>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</si>
  <si>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</si>
  <si>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</si>
  <si>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</si>
  <si>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</si>
  <si>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</si>
  <si>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</si>
  <si>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</si>
  <si>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</si>
  <si>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</si>
  <si>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</si>
  <si>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</si>
  <si>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</si>
  <si>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</si>
  <si>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NT — Casi Amenazado</t>
  </si>
  <si>
    <t>Reservorio / Represa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</si>
  <si>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</si>
  <si>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</si>
  <si>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</si>
  <si>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</si>
  <si>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</si>
  <si>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</si>
  <si>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</si>
  <si>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</si>
  <si>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</si>
  <si>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LC — Preocupación Menor</t>
  </si>
  <si>
    <t>Laguna / Humedal</t>
  </si>
  <si>
    <t>Llanura / Pampa</t>
  </si>
  <si>
    <t>Suroeste</t>
  </si>
  <si>
    <t>Cambio de uso del suelo</t>
  </si>
  <si>
    <t>Uso mixto</t>
  </si>
  <si>
    <t>Cultivo permanente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</si>
  <si>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</si>
  <si>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</si>
  <si>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</si>
  <si>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</si>
  <si>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</si>
  <si>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</si>
  <si>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</si>
  <si>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</si>
  <si>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</si>
  <si>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</si>
  <si>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</si>
  <si>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Área urbana / rural</t>
  </si>
  <si>
    <t>Podocarpo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</si>
</sst>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0" borderId="0" xfId="0" applyFont="1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 t="s">
        <v>10</v>
      </c>
      <c r="G8" s="7"/>
      <c r="H8" s="7"/>
    </row>
    <row r="9" spans="1:8" ht="19.5" customHeight="1" x14ac:dyDescent="0.3">
      <c r="A9" s="15" t="s">
        <v>11</v>
      </c>
      <c r="B9" s="7" t="s">
        <v>12</v>
      </c>
      <c r="C9" s="7"/>
      <c r="D9" s="7"/>
      <c r="E9" s="15" t="s">
        <v>13</v>
      </c>
      <c r="F9" s="7" t="s">
        <v>14</v>
      </c>
      <c r="G9" s="7"/>
      <c r="H9" s="7"/>
    </row>
    <row r="10" spans="1:8" ht="19.5" customHeight="1" x14ac:dyDescent="0.3">
      <c r="A10" s="15" t="s">
        <v>15</v>
      </c>
      <c r="B10" s="7" t="s">
        <v>16</v>
      </c>
      <c r="C10" s="7"/>
      <c r="D10" s="7"/>
      <c r="E10" s="15" t="s">
        <v>17</v>
      </c>
      <c r="F10" s="6" t="str">
        <f>IFERROR(VLOOKUP($B$10,tbl_Bloques,2,FALSE()),"")</f>
        <v>C1096-Q9564</v>
      </c>
      <c r="G10" s="6"/>
      <c r="H10" s="6"/>
    </row>
    <row r="11" spans="1:8" ht="19.5" customHeight="1" x14ac:dyDescent="0.3">
      <c r="A11" s="15" t="s">
        <v>18</v>
      </c>
      <c r="B11" s="6" t="str">
        <f>IFERROR(VLOOKUP($B$10,tbl_Bloques,3,FALSE()),"")</f>
        <v>Morropon</v>
      </c>
      <c r="C11" s="6"/>
      <c r="D11" s="6"/>
      <c r="E11" s="15" t="s">
        <v>19</v>
      </c>
      <c r="F11" s="6" t="str">
        <f>IFERROR(VLOOKUP($B$10,tbl_Bloques,4,FALSE()),"")</f>
        <v>Santo Domingo</v>
      </c>
      <c r="G11" s="6"/>
      <c r="H11" s="6"/>
    </row>
    <row r="12" spans="1:8" ht="19.5" customHeight="1" x14ac:dyDescent="0.3">
      <c r="A12" s="15" t="s">
        <v>20</v>
      </c>
      <c r="B12" s="6" t="str">
        <f>IFERROR(VLOOKUP($B$10,tbl_Bloques,5,FALSE()),"")</f>
        <v>Z03</v>
      </c>
      <c r="C12" s="6"/>
      <c r="D12" s="6"/>
      <c r="E12" s="15" t="s">
        <v>21</v>
      </c>
      <c r="F12" s="6">
        <f>IFERROR(VLOOKUP($B$10,tbl_Bloques,8,FALSE()),"")</f>
        <v>100.51</v>
      </c>
      <c r="G12" s="6"/>
      <c r="H12" s="6"/>
    </row>
    <row r="13" spans="1:8" ht="19.5" customHeight="1" x14ac:dyDescent="0.3">
      <c r="A13" s="15" t="s">
        <v>22</v>
      </c>
      <c r="B13" s="7">
        <v>619674</v>
      </c>
      <c r="C13" s="7"/>
      <c r="D13" s="7"/>
      <c r="E13" s="15" t="s">
        <v>23</v>
      </c>
      <c r="F13" s="7">
        <v>9442224</v>
      </c>
      <c r="G13" s="7"/>
      <c r="H13" s="7"/>
    </row>
    <row r="14" spans="1:8" ht="19.5" customHeight="1" x14ac:dyDescent="0.3">
      <c r="A14" s="15" t="s">
        <v>24</v>
      </c>
      <c r="B14" s="7">
        <v>1700</v>
      </c>
      <c r="C14" s="7"/>
      <c r="D14" s="7"/>
      <c r="E14" s="15" t="s">
        <v>25</v>
      </c>
      <c r="F14" s="7" t="s">
        <v>26</v>
      </c>
      <c r="G14" s="7"/>
      <c r="H14" s="7"/>
    </row>
    <row r="15" spans="1:8" ht="19.5" customHeight="1" x14ac:dyDescent="0.3">
      <c r="A15" s="15" t="s">
        <v>27</v>
      </c>
      <c r="B15" s="7" t="s">
        <v>28</v>
      </c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29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30</v>
      </c>
      <c r="B18" s="7" t="s">
        <v>31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32</v>
      </c>
      <c r="B19" s="7" t="s">
        <v>33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34</v>
      </c>
      <c r="B20" s="7" t="s">
        <v>35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36</v>
      </c>
      <c r="B21" s="7" t="s">
        <v>37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38</v>
      </c>
      <c r="B22" s="7" t="s">
        <v>39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40</v>
      </c>
      <c r="B23" s="7" t="s">
        <v>41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42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43</v>
      </c>
      <c r="B26" s="7" t="s">
        <v>44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45</v>
      </c>
      <c r="B27" s="7" t="s">
        <v>46</v>
      </c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47</v>
      </c>
      <c r="B28" s="7" t="s">
        <v>46</v>
      </c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48</v>
      </c>
      <c r="B29" s="7" t="s">
        <v>46</v>
      </c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49</v>
      </c>
      <c r="B30" s="7" t="s">
        <v>46</v>
      </c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50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2" t="s">
        <v>51</v>
      </c>
      <c r="B33" s="2"/>
      <c r="C33" s="2"/>
      <c r="D33" s="2"/>
      <c r="E33" s="2"/>
      <c r="F33" s="2"/>
      <c r="G33" s="2"/>
      <c r="H33" s="2"/>
    </row>
    <row r="34" spans="1:8" ht="27.75" customHeight="1" x14ac:dyDescent="0.3">
      <c r="A34" s="2"/>
      <c r="B34" s="2"/>
      <c r="C34" s="2"/>
      <c r="D34" s="2"/>
      <c r="E34" s="2"/>
      <c r="F34" s="2"/>
      <c r="G34" s="2"/>
      <c r="H34" s="2"/>
    </row>
    <row r="35" spans="1:8" ht="27.75" customHeight="1" x14ac:dyDescent="0.3">
      <c r="A35" s="2"/>
      <c r="B35" s="2"/>
      <c r="C35" s="2"/>
      <c r="D35" s="2"/>
      <c r="E35" s="2"/>
      <c r="F35" s="2"/>
      <c r="G35" s="2"/>
      <c r="H35" s="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18" activePane="bottomLeft" state="frozen"/>
      <selection pane="bottomLeft" activeCell="D14" sqref="D14:L1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52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55</v>
      </c>
      <c r="H8" s="8"/>
      <c r="I8" s="8"/>
      <c r="J8" s="7" t="s">
        <v>12</v>
      </c>
      <c r="K8" s="7"/>
      <c r="L8" s="7"/>
    </row>
    <row r="9" spans="1:12" ht="19.5" customHeight="1" x14ac:dyDescent="0.3">
      <c r="A9" s="8" t="s">
        <v>15</v>
      </c>
      <c r="B9" s="8"/>
      <c r="C9" s="8"/>
      <c r="D9" s="7" t="s">
        <v>16</v>
      </c>
      <c r="E9" s="7"/>
      <c r="F9" s="7"/>
      <c r="G9" s="8" t="s">
        <v>56</v>
      </c>
      <c r="H9" s="8"/>
      <c r="I9" s="8"/>
      <c r="J9" s="6" t="str">
        <f>IFERROR(VLOOKUP($D$9,tbl_Bloques,2,FALSE()),"")</f>
        <v>C1096-Q9564</v>
      </c>
      <c r="K9" s="6"/>
      <c r="L9" s="6"/>
    </row>
    <row r="10" spans="1:12" ht="19.5" customHeight="1" x14ac:dyDescent="0.3">
      <c r="A10" s="8" t="s">
        <v>19</v>
      </c>
      <c r="B10" s="8"/>
      <c r="C10" s="8"/>
      <c r="D10" s="6" t="str">
        <f>IFERROR(VLOOKUP($D$9,tbl_Bloques,4,FALSE()),"")</f>
        <v>Santo Domingo</v>
      </c>
      <c r="E10" s="6"/>
      <c r="F10" s="6"/>
      <c r="G10" s="8" t="s">
        <v>57</v>
      </c>
      <c r="H10" s="8"/>
      <c r="I10" s="8"/>
      <c r="J10" s="7">
        <v>1700</v>
      </c>
      <c r="K10" s="7"/>
      <c r="L10" s="7"/>
    </row>
    <row r="11" spans="1:12" ht="19.5" customHeight="1" x14ac:dyDescent="0.3">
      <c r="A11" s="8" t="s">
        <v>58</v>
      </c>
      <c r="B11" s="8"/>
      <c r="C11" s="8"/>
      <c r="D11" s="7">
        <v>619674</v>
      </c>
      <c r="E11" s="7"/>
      <c r="F11" s="7"/>
      <c r="G11" s="8" t="s">
        <v>59</v>
      </c>
      <c r="H11" s="8"/>
      <c r="I11" s="8"/>
      <c r="J11" s="7">
        <v>9442224</v>
      </c>
      <c r="K11" s="7"/>
      <c r="L11" s="7"/>
    </row>
    <row r="13" spans="1:12" ht="21.75" customHeight="1" x14ac:dyDescent="0.3">
      <c r="A13" s="9" t="s">
        <v>60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61</v>
      </c>
      <c r="B14" s="8"/>
      <c r="C14" s="8"/>
      <c r="D14" s="7" t="s">
        <v>46</v>
      </c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62</v>
      </c>
      <c r="B15" s="8"/>
      <c r="C15" s="8"/>
      <c r="D15" s="7" t="s">
        <v>44</v>
      </c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63</v>
      </c>
      <c r="B16" s="8"/>
      <c r="C16" s="8"/>
      <c r="D16" s="7" t="s">
        <v>46</v>
      </c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64</v>
      </c>
      <c r="B17" s="8"/>
      <c r="C17" s="8"/>
      <c r="D17" s="7" t="s">
        <v>65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4" t="s">
        <v>67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5" customHeight="1" x14ac:dyDescent="0.3">
      <c r="A21" s="16" t="s">
        <v>68</v>
      </c>
      <c r="B21" s="16" t="s">
        <v>69</v>
      </c>
      <c r="C21" s="16" t="s">
        <v>70</v>
      </c>
      <c r="D21" s="16" t="s">
        <v>71</v>
      </c>
      <c r="E21" s="16" t="s">
        <v>72</v>
      </c>
      <c r="F21" s="16" t="s">
        <v>73</v>
      </c>
      <c r="G21" s="16" t="s">
        <v>74</v>
      </c>
      <c r="H21" s="16" t="s">
        <v>75</v>
      </c>
      <c r="I21" s="16" t="s">
        <v>76</v>
      </c>
      <c r="J21" s="16" t="s">
        <v>77</v>
      </c>
      <c r="K21" s="16" t="s">
        <v>78</v>
      </c>
      <c r="L21" s="16" t="s">
        <v>79</v>
      </c>
    </row>
    <row r="22" spans="1:12" ht="19.5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17"/>
    </row>
    <row r="23" spans="1:12" ht="19.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17"/>
    </row>
    <row r="24" spans="1:12" ht="19.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17"/>
    </row>
    <row r="25" spans="1:12" ht="19.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80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81</v>
      </c>
      <c r="B34" s="8"/>
      <c r="C34" s="8"/>
      <c r="D34" s="7" t="s">
        <v>65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82</v>
      </c>
      <c r="B35" s="8"/>
      <c r="C35" s="8"/>
      <c r="D35" s="7">
        <v>0</v>
      </c>
      <c r="E35" s="7"/>
      <c r="F35" s="7"/>
      <c r="G35" s="8" t="s">
        <v>83</v>
      </c>
      <c r="H35" s="8"/>
      <c r="I35" s="8"/>
      <c r="J35" s="7">
        <v>0</v>
      </c>
      <c r="K35" s="7"/>
      <c r="L35" s="7"/>
    </row>
    <row r="36" spans="1:12" ht="19.5" customHeight="1" x14ac:dyDescent="0.3">
      <c r="A36" s="8" t="s">
        <v>84</v>
      </c>
      <c r="B36" s="8"/>
      <c r="C36" s="8"/>
      <c r="D36" s="7">
        <v>0</v>
      </c>
      <c r="E36" s="7"/>
      <c r="F36" s="7"/>
      <c r="G36" s="8" t="s">
        <v>85</v>
      </c>
      <c r="H36" s="8"/>
      <c r="I36" s="8"/>
      <c r="J36" s="7">
        <v>10</v>
      </c>
      <c r="K36" s="7"/>
      <c r="L36" s="7"/>
    </row>
    <row r="37" spans="1:12" ht="19.5" customHeight="1" x14ac:dyDescent="0.3">
      <c r="A37" s="8" t="s">
        <v>86</v>
      </c>
      <c r="B37" s="8"/>
      <c r="C37" s="8"/>
      <c r="D37" s="7" t="s">
        <v>87</v>
      </c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88</v>
      </c>
      <c r="B38" s="8"/>
      <c r="C38" s="8"/>
      <c r="D38" s="7" t="s">
        <v>44</v>
      </c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89</v>
      </c>
      <c r="B39" s="8"/>
      <c r="C39" s="8"/>
      <c r="D39" s="7" t="s">
        <v>90</v>
      </c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50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2" t="s">
        <v>91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7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7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tabSelected="1" zoomScaleNormal="100" workbookViewId="0">
      <pane ySplit="6" topLeftCell="A34" activePane="bottomLeft" state="frozen"/>
      <selection pane="bottomLeft" activeCell="B39" sqref="B39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92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93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94</v>
      </c>
      <c r="B8" s="8"/>
      <c r="C8" s="7" t="s">
        <v>8</v>
      </c>
      <c r="D8" s="7"/>
      <c r="E8" s="8" t="s">
        <v>55</v>
      </c>
      <c r="F8" s="8"/>
      <c r="G8" s="7" t="s">
        <v>12</v>
      </c>
      <c r="H8" s="7"/>
      <c r="I8" s="7"/>
    </row>
    <row r="9" spans="1:9" ht="19.5" customHeight="1" x14ac:dyDescent="0.3">
      <c r="A9" s="8" t="s">
        <v>15</v>
      </c>
      <c r="B9" s="8"/>
      <c r="C9" s="7" t="s">
        <v>16</v>
      </c>
      <c r="D9" s="7"/>
      <c r="E9" s="8" t="s">
        <v>95</v>
      </c>
      <c r="F9" s="8"/>
      <c r="G9" s="6" t="str">
        <f>IFERROR(VLOOKUP($C$9,tbl_Bloques,2,FALSE()),"")</f>
        <v>C1096-Q9564</v>
      </c>
      <c r="H9" s="6"/>
      <c r="I9" s="6"/>
    </row>
    <row r="10" spans="1:9" ht="19.5" customHeight="1" x14ac:dyDescent="0.3">
      <c r="A10" s="8" t="s">
        <v>19</v>
      </c>
      <c r="B10" s="8"/>
      <c r="C10" s="6" t="str">
        <f>IFERROR(VLOOKUP($C$9,tbl_Bloques,4,FALSE()),"")</f>
        <v>Santo Domingo</v>
      </c>
      <c r="D10" s="6"/>
      <c r="E10" s="8" t="s">
        <v>96</v>
      </c>
      <c r="F10" s="8"/>
      <c r="G10" s="7" t="s">
        <v>97</v>
      </c>
      <c r="H10" s="7"/>
      <c r="I10" s="7"/>
    </row>
    <row r="11" spans="1:9" ht="19.5" customHeight="1" x14ac:dyDescent="0.3">
      <c r="A11" s="8" t="s">
        <v>98</v>
      </c>
      <c r="B11" s="8"/>
      <c r="C11" s="7" t="s">
        <v>99</v>
      </c>
      <c r="D11" s="7"/>
      <c r="E11" s="8" t="s">
        <v>57</v>
      </c>
      <c r="F11" s="8"/>
      <c r="G11" s="7">
        <v>1750</v>
      </c>
      <c r="H11" s="7"/>
      <c r="I11" s="7"/>
    </row>
    <row r="12" spans="1:9" ht="19.5" customHeight="1" x14ac:dyDescent="0.3">
      <c r="A12" s="8" t="s">
        <v>100</v>
      </c>
      <c r="B12" s="8"/>
      <c r="C12" s="7">
        <v>40</v>
      </c>
      <c r="D12" s="7"/>
      <c r="E12" s="8" t="s">
        <v>101</v>
      </c>
      <c r="F12" s="8"/>
      <c r="G12" s="7">
        <v>80</v>
      </c>
      <c r="H12" s="7"/>
      <c r="I12" s="7"/>
    </row>
    <row r="13" spans="1:9" ht="19.5" customHeight="1" x14ac:dyDescent="0.3">
      <c r="A13" s="8" t="s">
        <v>102</v>
      </c>
      <c r="B13" s="8"/>
      <c r="C13" s="7">
        <v>619674</v>
      </c>
      <c r="D13" s="7"/>
      <c r="E13" s="8" t="s">
        <v>103</v>
      </c>
      <c r="F13" s="8"/>
      <c r="G13" s="7">
        <v>9442224</v>
      </c>
      <c r="H13" s="7"/>
      <c r="I13" s="7"/>
    </row>
    <row r="15" spans="1:9" ht="21.75" customHeight="1" x14ac:dyDescent="0.3">
      <c r="A15" s="9" t="s">
        <v>104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105</v>
      </c>
      <c r="B16" s="8"/>
      <c r="C16" s="7" t="s">
        <v>106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107</v>
      </c>
      <c r="B17" s="8"/>
      <c r="C17" s="7">
        <v>60.35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108</v>
      </c>
      <c r="B18" s="8"/>
      <c r="C18" s="7" t="s">
        <v>109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110</v>
      </c>
      <c r="B19" s="8"/>
      <c r="C19" s="7" t="s">
        <v>111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112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113</v>
      </c>
      <c r="B22" s="8"/>
      <c r="C22" s="7">
        <v>35</v>
      </c>
      <c r="D22" s="7"/>
      <c r="E22" s="8" t="s">
        <v>114</v>
      </c>
      <c r="F22" s="8"/>
      <c r="G22" s="7">
        <v>30</v>
      </c>
      <c r="H22" s="7"/>
      <c r="I22" s="7"/>
    </row>
    <row r="23" spans="1:9" ht="19.5" customHeight="1" x14ac:dyDescent="0.3">
      <c r="A23" s="8" t="s">
        <v>115</v>
      </c>
      <c r="B23" s="8"/>
      <c r="C23" s="7">
        <v>35</v>
      </c>
      <c r="D23" s="7"/>
      <c r="E23" s="8" t="s">
        <v>116</v>
      </c>
      <c r="F23" s="8"/>
      <c r="G23" s="7">
        <v>10</v>
      </c>
      <c r="H23" s="7"/>
      <c r="I23" s="7"/>
    </row>
    <row r="24" spans="1:9" ht="19.5" customHeight="1" x14ac:dyDescent="0.3">
      <c r="A24" s="8" t="s">
        <v>117</v>
      </c>
      <c r="B24" s="8"/>
      <c r="C24" s="7">
        <v>10</v>
      </c>
      <c r="D24" s="7"/>
      <c r="E24" s="8" t="s">
        <v>118</v>
      </c>
      <c r="F24" s="8"/>
      <c r="G24" s="7">
        <v>8</v>
      </c>
      <c r="H24" s="7"/>
      <c r="I24" s="7"/>
    </row>
    <row r="25" spans="1:9" ht="19.5" customHeight="1" x14ac:dyDescent="0.3">
      <c r="A25" s="8" t="s">
        <v>119</v>
      </c>
      <c r="B25" s="8"/>
      <c r="C25" s="7">
        <v>18</v>
      </c>
      <c r="D25" s="7"/>
      <c r="E25" s="8" t="s">
        <v>120</v>
      </c>
      <c r="F25" s="8"/>
      <c r="G25" s="7">
        <v>25</v>
      </c>
      <c r="H25" s="7"/>
      <c r="I25" s="7"/>
    </row>
    <row r="26" spans="1:9" ht="19.5" customHeight="1" x14ac:dyDescent="0.3">
      <c r="A26" s="8" t="s">
        <v>121</v>
      </c>
      <c r="B26" s="8"/>
      <c r="C26" s="7" t="s">
        <v>122</v>
      </c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123</v>
      </c>
      <c r="B27" s="8"/>
      <c r="C27" s="7" t="s">
        <v>124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125</v>
      </c>
      <c r="B28" s="8"/>
      <c r="C28" s="7" t="s">
        <v>44</v>
      </c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126</v>
      </c>
      <c r="B29" s="8"/>
      <c r="C29" s="7" t="s">
        <v>127</v>
      </c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128</v>
      </c>
      <c r="B30" s="8"/>
      <c r="C30" s="7" t="s">
        <v>129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130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4" t="s">
        <v>131</v>
      </c>
      <c r="B33" s="4"/>
      <c r="C33" s="4"/>
      <c r="D33" s="4"/>
      <c r="E33" s="4"/>
      <c r="F33" s="4"/>
      <c r="G33" s="4"/>
      <c r="H33" s="4"/>
      <c r="I33" s="4"/>
    </row>
    <row r="34" spans="1:9" ht="31.5" customHeight="1" x14ac:dyDescent="0.3">
      <c r="A34" s="16" t="s">
        <v>132</v>
      </c>
      <c r="B34" s="16" t="s">
        <v>133</v>
      </c>
      <c r="C34" s="16" t="s">
        <v>134</v>
      </c>
      <c r="D34" s="16" t="s">
        <v>135</v>
      </c>
      <c r="E34" s="16" t="s">
        <v>136</v>
      </c>
      <c r="F34" s="16" t="s">
        <v>137</v>
      </c>
      <c r="G34" s="16" t="s">
        <v>138</v>
      </c>
      <c r="H34" s="16" t="s">
        <v>139</v>
      </c>
      <c r="I34" s="16" t="s">
        <v>140</v>
      </c>
    </row>
    <row r="35" spans="1:9" ht="18" customHeight="1" x14ac:dyDescent="0.3">
      <c r="A35" s="19">
        <v>1</v>
      </c>
      <c r="B35" s="18" t="s">
        <v>141</v>
      </c>
      <c r="C35" s="18" t="s">
        <v>142</v>
      </c>
      <c r="D35" s="18" t="s">
        <v>143</v>
      </c>
      <c r="E35" s="17" t="s">
        <v>144</v>
      </c>
      <c r="F35" s="17" t="s">
        <v>145</v>
      </c>
      <c r="G35" s="17" t="s">
        <v>146</v>
      </c>
      <c r="H35" s="17">
        <v>55</v>
      </c>
      <c r="I35" s="17">
        <v>16</v>
      </c>
    </row>
    <row r="36" spans="1:9" ht="18" customHeight="1" x14ac:dyDescent="0.3">
      <c r="A36" s="19">
        <v>2</v>
      </c>
      <c r="B36" s="18" t="s">
        <v>147</v>
      </c>
      <c r="C36" s="18" t="s">
        <v>148</v>
      </c>
      <c r="D36" s="18" t="s">
        <v>149</v>
      </c>
      <c r="E36" s="17" t="s">
        <v>144</v>
      </c>
      <c r="F36" s="17" t="s">
        <v>145</v>
      </c>
      <c r="G36" s="17" t="s">
        <v>150</v>
      </c>
      <c r="H36" s="17">
        <v>40</v>
      </c>
      <c r="I36" s="17">
        <v>15</v>
      </c>
    </row>
    <row r="37" spans="1:9" ht="18" customHeight="1" x14ac:dyDescent="0.3">
      <c r="A37" s="19">
        <v>3</v>
      </c>
      <c r="B37" s="18" t="s">
        <v>746</v>
      </c>
      <c r="C37" s="18" t="s">
        <v>151</v>
      </c>
      <c r="D37" s="18" t="s">
        <v>152</v>
      </c>
      <c r="E37" s="17" t="s">
        <v>153</v>
      </c>
      <c r="F37" s="17" t="s">
        <v>145</v>
      </c>
      <c r="G37" s="17" t="s">
        <v>150</v>
      </c>
      <c r="H37" s="17">
        <v>35</v>
      </c>
      <c r="I37" s="17">
        <v>12</v>
      </c>
    </row>
    <row r="38" spans="1:9" ht="18" customHeight="1" x14ac:dyDescent="0.3">
      <c r="A38" s="19">
        <v>4</v>
      </c>
      <c r="B38" s="18" t="s">
        <v>154</v>
      </c>
      <c r="C38" s="18" t="s">
        <v>155</v>
      </c>
      <c r="D38" s="18" t="s">
        <v>156</v>
      </c>
      <c r="E38" s="17" t="s">
        <v>153</v>
      </c>
      <c r="F38" s="17" t="s">
        <v>145</v>
      </c>
      <c r="G38" s="17" t="s">
        <v>146</v>
      </c>
      <c r="H38" s="17">
        <v>30</v>
      </c>
      <c r="I38" s="17">
        <v>10</v>
      </c>
    </row>
    <row r="39" spans="1:9" ht="18" customHeight="1" x14ac:dyDescent="0.3">
      <c r="A39" s="19">
        <v>5</v>
      </c>
      <c r="B39" s="18" t="s">
        <v>157</v>
      </c>
      <c r="C39" s="18" t="s">
        <v>158</v>
      </c>
      <c r="D39" s="18" t="s">
        <v>159</v>
      </c>
      <c r="E39" s="17" t="s">
        <v>160</v>
      </c>
      <c r="F39" s="17" t="s">
        <v>145</v>
      </c>
      <c r="G39" s="17" t="s">
        <v>150</v>
      </c>
      <c r="H39" s="17">
        <v>20</v>
      </c>
      <c r="I39" s="17">
        <v>6</v>
      </c>
    </row>
    <row r="40" spans="1:9" ht="18" customHeight="1" x14ac:dyDescent="0.3">
      <c r="A40" s="19">
        <v>6</v>
      </c>
      <c r="B40" s="18" t="s">
        <v>161</v>
      </c>
      <c r="C40" s="18" t="s">
        <v>162</v>
      </c>
      <c r="D40" s="18" t="s">
        <v>156</v>
      </c>
      <c r="E40" s="17" t="s">
        <v>160</v>
      </c>
      <c r="F40" s="17" t="s">
        <v>145</v>
      </c>
      <c r="G40" s="17" t="s">
        <v>146</v>
      </c>
      <c r="H40" s="17">
        <v>18</v>
      </c>
      <c r="I40" s="17">
        <v>6</v>
      </c>
    </row>
    <row r="41" spans="1:9" ht="18" customHeight="1" x14ac:dyDescent="0.3">
      <c r="A41" s="19">
        <v>7</v>
      </c>
      <c r="B41" s="18" t="s">
        <v>163</v>
      </c>
      <c r="C41" s="18" t="s">
        <v>164</v>
      </c>
      <c r="D41" s="18" t="s">
        <v>165</v>
      </c>
      <c r="E41" s="17" t="s">
        <v>160</v>
      </c>
      <c r="F41" s="17" t="s">
        <v>145</v>
      </c>
      <c r="G41" s="17" t="s">
        <v>146</v>
      </c>
      <c r="H41" s="17"/>
      <c r="I41" s="17">
        <v>7</v>
      </c>
    </row>
    <row r="42" spans="1:9" ht="18" customHeight="1" x14ac:dyDescent="0.3">
      <c r="A42" s="19">
        <v>8</v>
      </c>
      <c r="B42" s="18" t="s">
        <v>166</v>
      </c>
      <c r="C42" s="18" t="s">
        <v>167</v>
      </c>
      <c r="D42" s="18" t="s">
        <v>168</v>
      </c>
      <c r="E42" s="17" t="s">
        <v>144</v>
      </c>
      <c r="F42" s="17" t="s">
        <v>169</v>
      </c>
      <c r="G42" s="17" t="s">
        <v>146</v>
      </c>
      <c r="H42" s="17">
        <v>30</v>
      </c>
      <c r="I42" s="17">
        <v>18</v>
      </c>
    </row>
    <row r="43" spans="1:9" ht="18" customHeight="1" x14ac:dyDescent="0.3">
      <c r="A43" s="19">
        <v>9</v>
      </c>
      <c r="B43" s="18" t="s">
        <v>170</v>
      </c>
      <c r="C43" s="18" t="s">
        <v>171</v>
      </c>
      <c r="D43" s="18" t="s">
        <v>172</v>
      </c>
      <c r="E43" s="17" t="s">
        <v>153</v>
      </c>
      <c r="F43" s="17" t="s">
        <v>169</v>
      </c>
      <c r="G43" s="17" t="s">
        <v>150</v>
      </c>
      <c r="H43" s="17">
        <v>25</v>
      </c>
      <c r="I43" s="17">
        <v>12</v>
      </c>
    </row>
    <row r="44" spans="1:9" ht="18" customHeight="1" x14ac:dyDescent="0.3">
      <c r="A44" s="19">
        <v>10</v>
      </c>
      <c r="B44" s="18" t="s">
        <v>173</v>
      </c>
      <c r="C44" s="18" t="s">
        <v>174</v>
      </c>
      <c r="D44" s="18" t="s">
        <v>175</v>
      </c>
      <c r="E44" s="17" t="s">
        <v>153</v>
      </c>
      <c r="F44" s="17" t="s">
        <v>169</v>
      </c>
      <c r="G44" s="17" t="s">
        <v>176</v>
      </c>
      <c r="H44" s="17">
        <v>22</v>
      </c>
      <c r="I44" s="17">
        <v>10</v>
      </c>
    </row>
    <row r="45" spans="1:9" ht="18" customHeight="1" x14ac:dyDescent="0.3">
      <c r="A45" s="19">
        <v>11</v>
      </c>
      <c r="B45" s="18" t="s">
        <v>177</v>
      </c>
      <c r="C45" s="18" t="s">
        <v>178</v>
      </c>
      <c r="D45" s="18" t="s">
        <v>179</v>
      </c>
      <c r="E45" s="17" t="s">
        <v>153</v>
      </c>
      <c r="F45" s="17" t="s">
        <v>169</v>
      </c>
      <c r="G45" s="17" t="s">
        <v>150</v>
      </c>
      <c r="H45" s="17">
        <v>25</v>
      </c>
      <c r="I45" s="17">
        <v>12</v>
      </c>
    </row>
    <row r="46" spans="1:9" ht="18" customHeight="1" x14ac:dyDescent="0.3">
      <c r="A46" s="19">
        <v>12</v>
      </c>
      <c r="B46" s="18" t="s">
        <v>180</v>
      </c>
      <c r="C46" s="18" t="s">
        <v>181</v>
      </c>
      <c r="D46" s="18" t="s">
        <v>182</v>
      </c>
      <c r="E46" s="17" t="s">
        <v>183</v>
      </c>
      <c r="F46" s="17" t="s">
        <v>169</v>
      </c>
      <c r="G46" s="17" t="s">
        <v>150</v>
      </c>
      <c r="H46" s="17"/>
      <c r="I46" s="17">
        <v>2.5</v>
      </c>
    </row>
    <row r="47" spans="1:9" ht="18" customHeight="1" x14ac:dyDescent="0.3">
      <c r="A47" s="19">
        <v>13</v>
      </c>
      <c r="B47" s="18" t="s">
        <v>184</v>
      </c>
      <c r="C47" s="18" t="s">
        <v>185</v>
      </c>
      <c r="D47" s="18" t="s">
        <v>186</v>
      </c>
      <c r="E47" s="17" t="s">
        <v>187</v>
      </c>
      <c r="F47" s="17" t="s">
        <v>145</v>
      </c>
      <c r="G47" s="17" t="s">
        <v>150</v>
      </c>
      <c r="H47" s="17"/>
      <c r="I47" s="17"/>
    </row>
    <row r="48" spans="1:9" ht="18" customHeight="1" x14ac:dyDescent="0.3">
      <c r="A48" s="19">
        <v>14</v>
      </c>
      <c r="B48" s="18" t="s">
        <v>188</v>
      </c>
      <c r="C48" s="18" t="s">
        <v>189</v>
      </c>
      <c r="D48" s="18" t="s">
        <v>190</v>
      </c>
      <c r="E48" s="17" t="s">
        <v>191</v>
      </c>
      <c r="F48" s="17" t="s">
        <v>145</v>
      </c>
      <c r="G48" s="17" t="s">
        <v>146</v>
      </c>
      <c r="H48" s="17"/>
      <c r="I48" s="17"/>
    </row>
    <row r="49" spans="1:9" ht="18" customHeight="1" x14ac:dyDescent="0.3">
      <c r="A49" s="19">
        <v>15</v>
      </c>
      <c r="B49" s="18" t="s">
        <v>192</v>
      </c>
      <c r="C49" s="18" t="s">
        <v>193</v>
      </c>
      <c r="D49" s="18" t="s">
        <v>194</v>
      </c>
      <c r="E49" s="17" t="s">
        <v>195</v>
      </c>
      <c r="F49" s="17" t="s">
        <v>145</v>
      </c>
      <c r="G49" s="17" t="s">
        <v>196</v>
      </c>
      <c r="H49" s="17"/>
      <c r="I49" s="17">
        <v>0.4</v>
      </c>
    </row>
    <row r="51" spans="1:9" ht="21.75" customHeight="1" x14ac:dyDescent="0.3">
      <c r="A51" s="9" t="s">
        <v>197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132</v>
      </c>
      <c r="B52" s="16" t="s">
        <v>198</v>
      </c>
      <c r="C52" s="16" t="s">
        <v>199</v>
      </c>
      <c r="D52" s="16" t="s">
        <v>200</v>
      </c>
      <c r="E52" s="16" t="s">
        <v>201</v>
      </c>
      <c r="F52" s="16" t="s">
        <v>202</v>
      </c>
      <c r="G52" s="16" t="s">
        <v>203</v>
      </c>
      <c r="H52" s="16" t="s">
        <v>204</v>
      </c>
      <c r="I52" s="16" t="s">
        <v>205</v>
      </c>
    </row>
    <row r="53" spans="1:9" ht="18" customHeight="1" x14ac:dyDescent="0.3">
      <c r="A53" s="19">
        <v>1</v>
      </c>
      <c r="B53" s="18" t="s">
        <v>206</v>
      </c>
      <c r="C53" s="18" t="s">
        <v>207</v>
      </c>
      <c r="D53" s="18" t="s">
        <v>208</v>
      </c>
      <c r="E53" s="17">
        <v>619674</v>
      </c>
      <c r="F53" s="17">
        <v>9442224</v>
      </c>
      <c r="G53" s="17"/>
      <c r="H53" s="17" t="s">
        <v>209</v>
      </c>
      <c r="I53" s="18" t="s">
        <v>210</v>
      </c>
    </row>
    <row r="54" spans="1:9" ht="18" customHeight="1" x14ac:dyDescent="0.3">
      <c r="A54" s="19">
        <v>2</v>
      </c>
      <c r="B54" s="18" t="s">
        <v>211</v>
      </c>
      <c r="C54" s="18" t="s">
        <v>207</v>
      </c>
      <c r="D54" s="18" t="s">
        <v>212</v>
      </c>
      <c r="E54" s="17">
        <v>619739</v>
      </c>
      <c r="F54" s="17">
        <v>9442286</v>
      </c>
      <c r="G54" s="17"/>
      <c r="H54" s="17" t="s">
        <v>209</v>
      </c>
      <c r="I54" s="18" t="s">
        <v>213</v>
      </c>
    </row>
    <row r="55" spans="1:9" ht="18" customHeight="1" x14ac:dyDescent="0.3">
      <c r="A55" s="19">
        <v>3</v>
      </c>
      <c r="B55" s="18" t="s">
        <v>214</v>
      </c>
      <c r="C55" s="18" t="s">
        <v>215</v>
      </c>
      <c r="D55" s="18" t="s">
        <v>216</v>
      </c>
      <c r="E55" s="17">
        <v>619664</v>
      </c>
      <c r="F55" s="17">
        <v>9442222</v>
      </c>
      <c r="G55" s="17"/>
      <c r="H55" s="17" t="s">
        <v>217</v>
      </c>
      <c r="I55" s="18" t="s">
        <v>218</v>
      </c>
    </row>
    <row r="56" spans="1:9" ht="18" customHeight="1" x14ac:dyDescent="0.3">
      <c r="A56" s="19">
        <v>4</v>
      </c>
      <c r="B56" s="18" t="s">
        <v>219</v>
      </c>
      <c r="C56" s="18" t="s">
        <v>220</v>
      </c>
      <c r="D56" s="18" t="s">
        <v>216</v>
      </c>
      <c r="E56" s="17">
        <v>619613</v>
      </c>
      <c r="F56" s="17">
        <v>9442274</v>
      </c>
      <c r="G56" s="17"/>
      <c r="H56" s="17" t="s">
        <v>209</v>
      </c>
      <c r="I56" s="18" t="s">
        <v>221</v>
      </c>
    </row>
    <row r="57" spans="1:9" ht="18" customHeight="1" x14ac:dyDescent="0.3">
      <c r="A57" s="19">
        <v>5</v>
      </c>
      <c r="B57" s="18" t="s">
        <v>222</v>
      </c>
      <c r="C57" s="18" t="s">
        <v>220</v>
      </c>
      <c r="D57" s="18" t="s">
        <v>216</v>
      </c>
      <c r="E57" s="17">
        <v>619663</v>
      </c>
      <c r="F57" s="17">
        <v>9442216</v>
      </c>
      <c r="G57" s="17"/>
      <c r="H57" s="17" t="s">
        <v>209</v>
      </c>
      <c r="I57" s="18" t="s">
        <v>223</v>
      </c>
    </row>
    <row r="58" spans="1:9" ht="18" customHeight="1" x14ac:dyDescent="0.3">
      <c r="A58" s="19">
        <v>6</v>
      </c>
      <c r="B58" s="18" t="s">
        <v>224</v>
      </c>
      <c r="C58" s="18" t="s">
        <v>225</v>
      </c>
      <c r="D58" s="18" t="s">
        <v>216</v>
      </c>
      <c r="E58" s="17">
        <v>619663</v>
      </c>
      <c r="F58" s="17">
        <v>9442216</v>
      </c>
      <c r="G58" s="17"/>
      <c r="H58" s="17" t="s">
        <v>226</v>
      </c>
      <c r="I58" s="18" t="s">
        <v>227</v>
      </c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50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2" t="s">
        <v>228</v>
      </c>
      <c r="B65" s="2"/>
      <c r="C65" s="2"/>
      <c r="D65" s="2"/>
      <c r="E65" s="2"/>
      <c r="F65" s="2"/>
      <c r="G65" s="2"/>
      <c r="H65" s="2"/>
      <c r="I65" s="2"/>
    </row>
    <row r="66" spans="1:9" ht="27.75" customHeight="1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ht="27.75" customHeight="1" x14ac:dyDescent="0.3">
      <c r="A67" s="2"/>
      <c r="B67" s="2"/>
      <c r="C67" s="2"/>
      <c r="D67" s="2"/>
      <c r="E67" s="2"/>
      <c r="F67" s="2"/>
      <c r="G67" s="2"/>
      <c r="H67" s="2"/>
      <c r="I67" s="2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7" activePane="bottomLeft" state="frozen"/>
      <selection pane="bottomLeft" activeCell="D15" sqref="D15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229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230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54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94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55</v>
      </c>
      <c r="B9" s="8"/>
      <c r="C9" s="7" t="s">
        <v>12</v>
      </c>
      <c r="D9" s="7"/>
      <c r="E9" s="7"/>
      <c r="F9" s="7"/>
      <c r="G9" s="7"/>
    </row>
    <row r="10" spans="1:7" ht="19.5" customHeight="1" x14ac:dyDescent="0.3">
      <c r="A10" s="8" t="s">
        <v>15</v>
      </c>
      <c r="B10" s="8"/>
      <c r="C10" s="7" t="s">
        <v>16</v>
      </c>
      <c r="D10" s="7"/>
      <c r="E10" s="7"/>
      <c r="F10" s="7"/>
      <c r="G10" s="7"/>
    </row>
    <row r="11" spans="1:7" ht="19.5" customHeight="1" x14ac:dyDescent="0.3">
      <c r="A11" s="8" t="s">
        <v>95</v>
      </c>
      <c r="B11" s="8"/>
      <c r="C11" s="6" t="str">
        <f>IFERROR(VLOOKUP($C$10,tbl_Bloques,2,FALSE()),"")</f>
        <v>C1096-Q9564</v>
      </c>
      <c r="D11" s="6"/>
      <c r="E11" s="6"/>
      <c r="F11" s="6"/>
      <c r="G11" s="6"/>
    </row>
    <row r="12" spans="1:7" ht="21.75" customHeight="1" x14ac:dyDescent="0.3">
      <c r="A12" s="20" t="s">
        <v>231</v>
      </c>
      <c r="B12" s="21"/>
      <c r="C12" s="5"/>
      <c r="D12" s="5"/>
      <c r="E12" s="5"/>
      <c r="F12" s="5"/>
      <c r="G12" s="5"/>
    </row>
    <row r="13" spans="1:7" ht="27.75" customHeight="1" x14ac:dyDescent="0.3">
      <c r="A13" s="4" t="s">
        <v>232</v>
      </c>
      <c r="B13" s="4"/>
      <c r="C13" s="3"/>
      <c r="D13" s="3"/>
      <c r="E13" s="3"/>
      <c r="F13" s="3"/>
      <c r="G13" s="3"/>
    </row>
    <row r="14" spans="1:7" ht="31.5" customHeight="1" x14ac:dyDescent="0.3">
      <c r="A14" s="16" t="s">
        <v>132</v>
      </c>
      <c r="B14" s="16" t="s">
        <v>233</v>
      </c>
      <c r="C14" s="16" t="s">
        <v>234</v>
      </c>
      <c r="D14" s="16" t="s">
        <v>235</v>
      </c>
      <c r="E14" s="16" t="s">
        <v>236</v>
      </c>
      <c r="F14" s="16" t="s">
        <v>237</v>
      </c>
      <c r="G14" s="16" t="s">
        <v>238</v>
      </c>
    </row>
    <row r="15" spans="1:7" ht="18" customHeight="1" x14ac:dyDescent="0.3">
      <c r="A15" s="19">
        <v>1</v>
      </c>
      <c r="B15" s="22" t="s">
        <v>239</v>
      </c>
      <c r="C15" s="17" t="s">
        <v>44</v>
      </c>
      <c r="D15" s="17" t="s">
        <v>240</v>
      </c>
      <c r="E15" s="17">
        <v>40</v>
      </c>
      <c r="F15" s="17"/>
      <c r="G15" s="18" t="s">
        <v>241</v>
      </c>
    </row>
    <row r="16" spans="1:7" ht="18" customHeight="1" x14ac:dyDescent="0.3">
      <c r="A16" s="19">
        <v>2</v>
      </c>
      <c r="B16" s="22" t="s">
        <v>242</v>
      </c>
      <c r="C16" s="17" t="s">
        <v>46</v>
      </c>
      <c r="D16" s="17"/>
      <c r="E16" s="17"/>
      <c r="F16" s="17"/>
      <c r="G16" s="18"/>
    </row>
    <row r="17" spans="1:7" ht="18" customHeight="1" x14ac:dyDescent="0.3">
      <c r="A17" s="19">
        <v>3</v>
      </c>
      <c r="B17" s="22" t="s">
        <v>243</v>
      </c>
      <c r="C17" s="17" t="s">
        <v>46</v>
      </c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244</v>
      </c>
      <c r="C18" s="17" t="s">
        <v>44</v>
      </c>
      <c r="D18" s="17" t="s">
        <v>245</v>
      </c>
      <c r="E18" s="17">
        <v>15</v>
      </c>
      <c r="F18" s="17"/>
      <c r="G18" s="18" t="s">
        <v>246</v>
      </c>
    </row>
    <row r="19" spans="1:7" ht="18" customHeight="1" x14ac:dyDescent="0.3">
      <c r="A19" s="19">
        <v>5</v>
      </c>
      <c r="B19" s="22" t="s">
        <v>247</v>
      </c>
      <c r="C19" s="17" t="s">
        <v>46</v>
      </c>
      <c r="D19" s="17"/>
      <c r="E19" s="17"/>
      <c r="F19" s="17"/>
      <c r="G19" s="18"/>
    </row>
    <row r="20" spans="1:7" ht="18" customHeight="1" x14ac:dyDescent="0.3">
      <c r="A20" s="19">
        <v>6</v>
      </c>
      <c r="B20" s="22" t="s">
        <v>248</v>
      </c>
      <c r="C20" s="17" t="s">
        <v>46</v>
      </c>
      <c r="D20" s="17"/>
      <c r="E20" s="17"/>
      <c r="F20" s="17"/>
      <c r="G20" s="18"/>
    </row>
    <row r="21" spans="1:7" ht="18" customHeight="1" x14ac:dyDescent="0.3">
      <c r="A21" s="19">
        <v>7</v>
      </c>
      <c r="B21" s="22" t="s">
        <v>249</v>
      </c>
      <c r="C21" s="17" t="s">
        <v>44</v>
      </c>
      <c r="D21" s="17" t="s">
        <v>240</v>
      </c>
      <c r="E21" s="17">
        <v>14</v>
      </c>
      <c r="F21" s="17"/>
      <c r="G21" s="18" t="s">
        <v>250</v>
      </c>
    </row>
    <row r="22" spans="1:7" ht="18" customHeight="1" x14ac:dyDescent="0.3">
      <c r="A22" s="19">
        <v>8</v>
      </c>
      <c r="B22" s="22" t="s">
        <v>251</v>
      </c>
      <c r="C22" s="17" t="s">
        <v>44</v>
      </c>
      <c r="D22" s="17" t="s">
        <v>240</v>
      </c>
      <c r="E22" s="17">
        <v>60</v>
      </c>
      <c r="F22" s="17"/>
      <c r="G22" s="18" t="s">
        <v>252</v>
      </c>
    </row>
    <row r="23" spans="1:7" ht="18" customHeight="1" x14ac:dyDescent="0.3">
      <c r="A23" s="19">
        <v>9</v>
      </c>
      <c r="B23" s="22" t="s">
        <v>253</v>
      </c>
      <c r="C23" s="17" t="s">
        <v>46</v>
      </c>
      <c r="D23" s="17"/>
      <c r="E23" s="17"/>
      <c r="F23" s="17"/>
      <c r="G23" s="18"/>
    </row>
    <row r="24" spans="1:7" ht="18" customHeight="1" x14ac:dyDescent="0.3">
      <c r="A24" s="19">
        <v>10</v>
      </c>
      <c r="B24" s="22" t="s">
        <v>254</v>
      </c>
      <c r="C24" s="17" t="s">
        <v>46</v>
      </c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255</v>
      </c>
      <c r="C25" s="17" t="s">
        <v>46</v>
      </c>
      <c r="D25" s="17"/>
      <c r="E25" s="17"/>
      <c r="F25" s="17"/>
      <c r="G25" s="18"/>
    </row>
    <row r="26" spans="1:7" ht="18" customHeight="1" x14ac:dyDescent="0.3">
      <c r="A26" s="19">
        <v>12</v>
      </c>
      <c r="B26" s="22" t="s">
        <v>256</v>
      </c>
      <c r="C26" s="17" t="s">
        <v>44</v>
      </c>
      <c r="D26" s="17" t="s">
        <v>245</v>
      </c>
      <c r="E26" s="17">
        <v>5</v>
      </c>
      <c r="F26" s="17"/>
      <c r="G26" s="18" t="s">
        <v>257</v>
      </c>
    </row>
    <row r="27" spans="1:7" ht="18" customHeight="1" x14ac:dyDescent="0.3">
      <c r="A27" s="19">
        <v>13</v>
      </c>
      <c r="B27" s="22" t="s">
        <v>258</v>
      </c>
      <c r="C27" s="17" t="s">
        <v>46</v>
      </c>
      <c r="D27" s="17"/>
      <c r="E27" s="17"/>
      <c r="F27" s="17"/>
      <c r="G27" s="18"/>
    </row>
    <row r="28" spans="1:7" ht="18" customHeight="1" x14ac:dyDescent="0.3">
      <c r="A28" s="19">
        <v>14</v>
      </c>
      <c r="B28" s="22" t="s">
        <v>259</v>
      </c>
      <c r="C28" s="17" t="s">
        <v>44</v>
      </c>
      <c r="D28" s="17" t="s">
        <v>245</v>
      </c>
      <c r="E28" s="17">
        <v>100</v>
      </c>
      <c r="F28" s="17"/>
      <c r="G28" s="18" t="s">
        <v>260</v>
      </c>
    </row>
    <row r="29" spans="1:7" ht="18" customHeight="1" x14ac:dyDescent="0.3">
      <c r="A29" s="19">
        <v>15</v>
      </c>
      <c r="B29" s="22" t="s">
        <v>261</v>
      </c>
      <c r="C29" s="17" t="s">
        <v>46</v>
      </c>
      <c r="D29" s="17"/>
      <c r="E29" s="17"/>
      <c r="F29" s="17"/>
      <c r="G29" s="18"/>
    </row>
    <row r="30" spans="1:7" ht="18" customHeight="1" x14ac:dyDescent="0.3">
      <c r="A30" s="19">
        <v>16</v>
      </c>
      <c r="B30" s="22" t="s">
        <v>262</v>
      </c>
      <c r="C30" s="17" t="s">
        <v>46</v>
      </c>
      <c r="D30" s="17"/>
      <c r="E30" s="17"/>
      <c r="F30" s="17"/>
      <c r="G30" s="18"/>
    </row>
    <row r="32" spans="1:7" ht="21.75" customHeight="1" x14ac:dyDescent="0.3">
      <c r="A32" s="9" t="s">
        <v>263</v>
      </c>
      <c r="B32" s="9"/>
      <c r="C32" s="9"/>
      <c r="D32" s="9"/>
      <c r="E32" s="9"/>
      <c r="F32" s="9"/>
      <c r="G32" s="9"/>
    </row>
    <row r="33" spans="1:7" ht="25.5" customHeight="1" x14ac:dyDescent="0.3">
      <c r="A33" s="4" t="s">
        <v>264</v>
      </c>
      <c r="B33" s="4"/>
      <c r="C33" s="4"/>
      <c r="D33" s="4"/>
      <c r="E33" s="4"/>
      <c r="F33" s="4"/>
      <c r="G33" s="4"/>
    </row>
    <row r="34" spans="1:7" ht="27.75" customHeight="1" x14ac:dyDescent="0.3">
      <c r="A34" s="16" t="s">
        <v>132</v>
      </c>
      <c r="B34" s="16" t="s">
        <v>265</v>
      </c>
      <c r="C34" s="16" t="s">
        <v>266</v>
      </c>
      <c r="D34" s="16" t="s">
        <v>267</v>
      </c>
      <c r="E34" s="16" t="s">
        <v>268</v>
      </c>
      <c r="F34" s="16" t="s">
        <v>269</v>
      </c>
      <c r="G34" s="16" t="s">
        <v>270</v>
      </c>
    </row>
    <row r="35" spans="1:7" ht="21.75" customHeight="1" x14ac:dyDescent="0.3">
      <c r="A35" s="19">
        <v>1</v>
      </c>
      <c r="B35" s="22" t="s">
        <v>271</v>
      </c>
      <c r="C35" s="19" t="s">
        <v>272</v>
      </c>
      <c r="D35" s="17">
        <v>80</v>
      </c>
      <c r="E35" s="18" t="s">
        <v>273</v>
      </c>
      <c r="F35" s="22" t="s">
        <v>274</v>
      </c>
      <c r="G35" s="17" t="s">
        <v>275</v>
      </c>
    </row>
    <row r="36" spans="1:7" ht="21.75" customHeight="1" x14ac:dyDescent="0.3">
      <c r="A36" s="19">
        <v>2</v>
      </c>
      <c r="B36" s="22" t="s">
        <v>276</v>
      </c>
      <c r="C36" s="19" t="s">
        <v>272</v>
      </c>
      <c r="D36" s="17">
        <v>10</v>
      </c>
      <c r="E36" s="18" t="s">
        <v>277</v>
      </c>
      <c r="F36" s="22" t="s">
        <v>278</v>
      </c>
      <c r="G36" s="17" t="s">
        <v>275</v>
      </c>
    </row>
    <row r="37" spans="1:7" ht="21.75" customHeight="1" x14ac:dyDescent="0.3">
      <c r="A37" s="19">
        <v>3</v>
      </c>
      <c r="B37" s="22" t="s">
        <v>279</v>
      </c>
      <c r="C37" s="19" t="s">
        <v>280</v>
      </c>
      <c r="D37" s="17">
        <v>0</v>
      </c>
      <c r="E37" s="18" t="s">
        <v>281</v>
      </c>
      <c r="F37" s="22" t="s">
        <v>282</v>
      </c>
      <c r="G37" s="17" t="s">
        <v>275</v>
      </c>
    </row>
    <row r="38" spans="1:7" ht="21.75" customHeight="1" x14ac:dyDescent="0.3">
      <c r="A38" s="19">
        <v>4</v>
      </c>
      <c r="B38" s="22" t="s">
        <v>283</v>
      </c>
      <c r="C38" s="19" t="s">
        <v>284</v>
      </c>
      <c r="D38" s="17">
        <v>5</v>
      </c>
      <c r="E38" s="18" t="s">
        <v>277</v>
      </c>
      <c r="F38" s="22" t="s">
        <v>285</v>
      </c>
      <c r="G38" s="17" t="s">
        <v>275</v>
      </c>
    </row>
    <row r="39" spans="1:7" ht="21.75" customHeight="1" x14ac:dyDescent="0.3">
      <c r="A39" s="19">
        <v>5</v>
      </c>
      <c r="B39" s="22" t="s">
        <v>286</v>
      </c>
      <c r="C39" s="19" t="s">
        <v>287</v>
      </c>
      <c r="D39" s="17">
        <v>0.6</v>
      </c>
      <c r="E39" s="18" t="s">
        <v>288</v>
      </c>
      <c r="F39" s="22" t="s">
        <v>289</v>
      </c>
      <c r="G39" s="17" t="s">
        <v>290</v>
      </c>
    </row>
    <row r="40" spans="1:7" ht="21.75" customHeight="1" x14ac:dyDescent="0.3">
      <c r="A40" s="19">
        <v>6</v>
      </c>
      <c r="B40" s="22" t="s">
        <v>291</v>
      </c>
      <c r="C40" s="19" t="s">
        <v>132</v>
      </c>
      <c r="D40" s="17" t="s">
        <v>292</v>
      </c>
      <c r="E40" s="18" t="s">
        <v>293</v>
      </c>
      <c r="F40" s="22" t="s">
        <v>294</v>
      </c>
      <c r="G40" s="17" t="s">
        <v>275</v>
      </c>
    </row>
    <row r="41" spans="1:7" ht="21.75" customHeight="1" x14ac:dyDescent="0.3">
      <c r="A41" s="19">
        <v>7</v>
      </c>
      <c r="B41" s="22" t="s">
        <v>295</v>
      </c>
      <c r="C41" s="19" t="s">
        <v>272</v>
      </c>
      <c r="D41" s="17">
        <v>40</v>
      </c>
      <c r="E41" s="18" t="s">
        <v>296</v>
      </c>
      <c r="F41" s="22" t="s">
        <v>297</v>
      </c>
      <c r="G41" s="17" t="s">
        <v>298</v>
      </c>
    </row>
    <row r="42" spans="1:7" ht="21.75" customHeight="1" x14ac:dyDescent="0.3">
      <c r="A42" s="19">
        <v>8</v>
      </c>
      <c r="B42" s="22" t="s">
        <v>299</v>
      </c>
      <c r="C42" s="19" t="s">
        <v>300</v>
      </c>
      <c r="D42" s="17">
        <v>300</v>
      </c>
      <c r="E42" s="18" t="s">
        <v>301</v>
      </c>
      <c r="F42" s="22" t="s">
        <v>302</v>
      </c>
      <c r="G42" s="17" t="s">
        <v>290</v>
      </c>
    </row>
    <row r="44" spans="1:7" ht="21.75" customHeight="1" x14ac:dyDescent="0.3">
      <c r="A44" s="9" t="s">
        <v>303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304</v>
      </c>
      <c r="B45" s="8"/>
      <c r="C45" s="7" t="s">
        <v>305</v>
      </c>
      <c r="D45" s="7"/>
      <c r="E45" s="7"/>
      <c r="F45" s="7"/>
      <c r="G45" s="7"/>
    </row>
    <row r="46" spans="1:7" ht="19.5" customHeight="1" x14ac:dyDescent="0.3">
      <c r="A46" s="8" t="s">
        <v>306</v>
      </c>
      <c r="B46" s="8"/>
      <c r="C46" s="7" t="s">
        <v>307</v>
      </c>
      <c r="D46" s="7"/>
      <c r="E46" s="7"/>
      <c r="F46" s="7"/>
      <c r="G46" s="7"/>
    </row>
    <row r="47" spans="1:7" ht="19.5" customHeight="1" x14ac:dyDescent="0.3">
      <c r="A47" s="8" t="s">
        <v>308</v>
      </c>
      <c r="B47" s="8"/>
      <c r="C47" s="7" t="s">
        <v>240</v>
      </c>
      <c r="D47" s="7"/>
      <c r="E47" s="7"/>
      <c r="F47" s="7"/>
      <c r="G47" s="7"/>
    </row>
    <row r="48" spans="1:7" ht="19.5" customHeight="1" x14ac:dyDescent="0.3">
      <c r="A48" s="8" t="s">
        <v>309</v>
      </c>
      <c r="B48" s="8"/>
      <c r="C48" s="7" t="s">
        <v>310</v>
      </c>
      <c r="D48" s="7"/>
      <c r="E48" s="7"/>
      <c r="F48" s="7"/>
      <c r="G48" s="7"/>
    </row>
    <row r="49" spans="1:7" ht="19.5" customHeight="1" x14ac:dyDescent="0.3">
      <c r="A49" s="8" t="s">
        <v>311</v>
      </c>
      <c r="B49" s="8"/>
      <c r="C49" s="7" t="s">
        <v>90</v>
      </c>
      <c r="D49" s="7"/>
      <c r="E49" s="7"/>
      <c r="F49" s="7"/>
      <c r="G49" s="7"/>
    </row>
    <row r="51" spans="1:7" ht="21.75" customHeight="1" x14ac:dyDescent="0.3">
      <c r="A51" s="9" t="s">
        <v>50</v>
      </c>
      <c r="B51" s="9"/>
      <c r="C51" s="9"/>
      <c r="D51" s="9"/>
      <c r="E51" s="9"/>
      <c r="F51" s="9"/>
      <c r="G51" s="9"/>
    </row>
    <row r="52" spans="1:7" ht="27.75" customHeight="1" x14ac:dyDescent="0.3">
      <c r="A52" s="2" t="s">
        <v>312</v>
      </c>
      <c r="B52" s="2"/>
      <c r="C52" s="2"/>
      <c r="D52" s="2"/>
      <c r="E52" s="2"/>
      <c r="F52" s="2"/>
      <c r="G52" s="2"/>
    </row>
    <row r="53" spans="1:7" ht="27.75" customHeight="1" x14ac:dyDescent="0.3">
      <c r="A53" s="2"/>
      <c r="B53" s="2"/>
      <c r="C53" s="2"/>
      <c r="D53" s="2"/>
      <c r="E53" s="2"/>
      <c r="F53" s="2"/>
      <c r="G53" s="2"/>
    </row>
    <row r="54" spans="1:7" ht="27.75" customHeight="1" x14ac:dyDescent="0.3">
      <c r="A54" s="2"/>
      <c r="B54" s="2"/>
      <c r="C54" s="2"/>
      <c r="D54" s="2"/>
      <c r="E54" s="2"/>
      <c r="F54" s="2"/>
      <c r="G54" s="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313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314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55</v>
      </c>
      <c r="F8" s="8"/>
      <c r="G8" s="7" t="s">
        <v>12</v>
      </c>
      <c r="H8" s="7"/>
    </row>
    <row r="9" spans="1:8" ht="19.5" customHeight="1" x14ac:dyDescent="0.3">
      <c r="A9" s="8" t="s">
        <v>15</v>
      </c>
      <c r="B9" s="8"/>
      <c r="C9" s="7" t="s">
        <v>16</v>
      </c>
      <c r="D9" s="7"/>
      <c r="E9" s="8" t="s">
        <v>95</v>
      </c>
      <c r="F9" s="8"/>
      <c r="G9" s="6" t="str">
        <f>IFERROR(VLOOKUP($C$9,tbl_Bloques,2,FALSE()),"")</f>
        <v>C1096-Q9564</v>
      </c>
      <c r="H9" s="6"/>
    </row>
    <row r="10" spans="1:8" ht="19.5" customHeight="1" x14ac:dyDescent="0.3">
      <c r="A10" s="8" t="s">
        <v>19</v>
      </c>
      <c r="B10" s="8"/>
      <c r="C10" s="6" t="str">
        <f>IFERROR(VLOOKUP($C$9,tbl_Bloques,4,FALSE()),"")</f>
        <v>Santo Domingo</v>
      </c>
      <c r="D10" s="6"/>
      <c r="E10" s="8" t="s">
        <v>18</v>
      </c>
      <c r="F10" s="8"/>
      <c r="G10" s="6" t="str">
        <f>IFERROR(VLOOKUP($C$9,tbl_Bloques,3,FALSE()),"")</f>
        <v>Morropon</v>
      </c>
      <c r="H10" s="6"/>
    </row>
    <row r="12" spans="1:8" ht="21.75" customHeight="1" x14ac:dyDescent="0.3">
      <c r="A12" s="9" t="s">
        <v>315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4" t="s">
        <v>316</v>
      </c>
      <c r="B13" s="4"/>
      <c r="C13" s="4"/>
      <c r="D13" s="4"/>
      <c r="E13" s="4"/>
      <c r="F13" s="4"/>
      <c r="G13" s="4"/>
      <c r="H13" s="4"/>
    </row>
    <row r="14" spans="1:8" ht="30" customHeight="1" x14ac:dyDescent="0.3">
      <c r="A14" s="16" t="s">
        <v>132</v>
      </c>
      <c r="B14" s="16" t="s">
        <v>317</v>
      </c>
      <c r="C14" s="16" t="s">
        <v>201</v>
      </c>
      <c r="D14" s="16" t="s">
        <v>202</v>
      </c>
      <c r="E14" s="16" t="s">
        <v>318</v>
      </c>
      <c r="F14" s="16" t="s">
        <v>319</v>
      </c>
      <c r="G14" s="16" t="s">
        <v>320</v>
      </c>
      <c r="H14" s="16" t="s">
        <v>321</v>
      </c>
    </row>
    <row r="15" spans="1:8" ht="19.5" customHeight="1" x14ac:dyDescent="0.3">
      <c r="A15" s="19">
        <v>1</v>
      </c>
      <c r="B15" s="17" t="s">
        <v>322</v>
      </c>
      <c r="C15" s="17">
        <v>619674</v>
      </c>
      <c r="D15" s="17">
        <v>9442224</v>
      </c>
      <c r="E15" s="17" t="s">
        <v>323</v>
      </c>
      <c r="F15" s="17" t="s">
        <v>324</v>
      </c>
      <c r="G15" s="17">
        <v>0</v>
      </c>
      <c r="H15" s="18" t="s">
        <v>325</v>
      </c>
    </row>
    <row r="16" spans="1:8" ht="19.5" customHeight="1" x14ac:dyDescent="0.3">
      <c r="A16" s="19">
        <v>2</v>
      </c>
      <c r="B16" s="17" t="s">
        <v>326</v>
      </c>
      <c r="C16" s="17">
        <v>619739</v>
      </c>
      <c r="D16" s="17">
        <v>9442286</v>
      </c>
      <c r="E16" s="17" t="s">
        <v>323</v>
      </c>
      <c r="F16" s="17" t="s">
        <v>327</v>
      </c>
      <c r="G16" s="17">
        <v>0</v>
      </c>
      <c r="H16" s="18" t="s">
        <v>328</v>
      </c>
    </row>
    <row r="17" spans="1:8" ht="19.5" customHeight="1" x14ac:dyDescent="0.3">
      <c r="A17" s="19">
        <v>3</v>
      </c>
      <c r="B17" s="17" t="s">
        <v>326</v>
      </c>
      <c r="C17" s="17">
        <v>619664</v>
      </c>
      <c r="D17" s="17">
        <v>9442222</v>
      </c>
      <c r="E17" s="17" t="s">
        <v>323</v>
      </c>
      <c r="F17" s="17" t="s">
        <v>324</v>
      </c>
      <c r="G17" s="17">
        <v>0</v>
      </c>
      <c r="H17" s="18" t="s">
        <v>329</v>
      </c>
    </row>
    <row r="18" spans="1:8" ht="19.5" customHeight="1" x14ac:dyDescent="0.3">
      <c r="A18" s="19">
        <v>4</v>
      </c>
      <c r="B18" s="17" t="s">
        <v>322</v>
      </c>
      <c r="C18" s="17">
        <v>619650</v>
      </c>
      <c r="D18" s="17">
        <v>9442217</v>
      </c>
      <c r="E18" s="17" t="s">
        <v>323</v>
      </c>
      <c r="F18" s="17" t="s">
        <v>327</v>
      </c>
      <c r="G18" s="17">
        <v>0</v>
      </c>
      <c r="H18" s="18" t="s">
        <v>330</v>
      </c>
    </row>
    <row r="19" spans="1:8" ht="19.5" customHeight="1" x14ac:dyDescent="0.3">
      <c r="A19" s="19">
        <v>5</v>
      </c>
      <c r="B19" s="17" t="s">
        <v>326</v>
      </c>
      <c r="C19" s="17">
        <v>619300</v>
      </c>
      <c r="D19" s="17">
        <v>9442500</v>
      </c>
      <c r="E19" s="17" t="s">
        <v>323</v>
      </c>
      <c r="F19" s="17" t="s">
        <v>327</v>
      </c>
      <c r="G19" s="17">
        <v>50</v>
      </c>
      <c r="H19" s="18" t="s">
        <v>331</v>
      </c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332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333</v>
      </c>
      <c r="B27" s="8"/>
      <c r="C27" s="7" t="s">
        <v>44</v>
      </c>
      <c r="D27" s="7"/>
      <c r="E27" s="7"/>
      <c r="F27" s="7"/>
      <c r="G27" s="7"/>
      <c r="H27" s="7"/>
    </row>
    <row r="28" spans="1:8" ht="19.5" customHeight="1" x14ac:dyDescent="0.3">
      <c r="A28" s="8" t="s">
        <v>334</v>
      </c>
      <c r="B28" s="8"/>
      <c r="C28" s="7" t="s">
        <v>44</v>
      </c>
      <c r="D28" s="7"/>
      <c r="E28" s="7"/>
      <c r="F28" s="7"/>
      <c r="G28" s="7"/>
      <c r="H28" s="7"/>
    </row>
    <row r="29" spans="1:8" ht="19.5" customHeight="1" x14ac:dyDescent="0.3">
      <c r="A29" s="8" t="s">
        <v>335</v>
      </c>
      <c r="B29" s="8"/>
      <c r="C29" s="7" t="s">
        <v>44</v>
      </c>
      <c r="D29" s="7"/>
      <c r="E29" s="7"/>
      <c r="F29" s="7"/>
      <c r="G29" s="7"/>
      <c r="H29" s="7"/>
    </row>
    <row r="30" spans="1:8" ht="19.5" customHeight="1" x14ac:dyDescent="0.3">
      <c r="A30" s="8" t="s">
        <v>336</v>
      </c>
      <c r="B30" s="8"/>
      <c r="C30" s="7">
        <v>0</v>
      </c>
      <c r="D30" s="7"/>
      <c r="E30" s="7"/>
      <c r="F30" s="7"/>
      <c r="G30" s="7"/>
      <c r="H30" s="7"/>
    </row>
    <row r="31" spans="1:8" ht="19.5" customHeight="1" x14ac:dyDescent="0.3">
      <c r="A31" s="8" t="s">
        <v>337</v>
      </c>
      <c r="B31" s="8"/>
      <c r="C31" s="7" t="s">
        <v>338</v>
      </c>
      <c r="D31" s="7"/>
      <c r="E31" s="7"/>
      <c r="F31" s="7"/>
      <c r="G31" s="7"/>
      <c r="H31" s="7"/>
    </row>
    <row r="32" spans="1:8" ht="19.5" customHeight="1" x14ac:dyDescent="0.3">
      <c r="A32" s="8" t="s">
        <v>339</v>
      </c>
      <c r="B32" s="8"/>
      <c r="C32" s="7" t="s">
        <v>46</v>
      </c>
      <c r="D32" s="7"/>
      <c r="E32" s="7"/>
      <c r="F32" s="7"/>
      <c r="G32" s="7"/>
      <c r="H32" s="7"/>
    </row>
    <row r="33" spans="1:8" ht="19.5" customHeight="1" x14ac:dyDescent="0.3">
      <c r="A33" s="8" t="s">
        <v>340</v>
      </c>
      <c r="B33" s="8"/>
      <c r="C33" s="7"/>
      <c r="D33" s="7"/>
      <c r="E33" s="7"/>
      <c r="F33" s="7"/>
      <c r="G33" s="7"/>
      <c r="H33" s="7"/>
    </row>
    <row r="35" spans="1:8" ht="21.75" customHeight="1" x14ac:dyDescent="0.3">
      <c r="A35" s="9" t="s">
        <v>341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342</v>
      </c>
      <c r="B36" s="8"/>
      <c r="C36" s="7" t="s">
        <v>343</v>
      </c>
      <c r="D36" s="7"/>
      <c r="E36" s="7"/>
      <c r="F36" s="7"/>
      <c r="G36" s="7"/>
      <c r="H36" s="7"/>
    </row>
    <row r="37" spans="1:8" ht="19.5" customHeight="1" x14ac:dyDescent="0.3">
      <c r="A37" s="8" t="s">
        <v>344</v>
      </c>
      <c r="B37" s="8"/>
      <c r="C37" s="7" t="s">
        <v>345</v>
      </c>
      <c r="D37" s="7"/>
      <c r="E37" s="7"/>
      <c r="F37" s="7"/>
      <c r="G37" s="7"/>
      <c r="H37" s="7"/>
    </row>
    <row r="38" spans="1:8" ht="19.5" customHeight="1" x14ac:dyDescent="0.3">
      <c r="A38" s="8" t="s">
        <v>346</v>
      </c>
      <c r="B38" s="8"/>
      <c r="C38" s="7" t="s">
        <v>347</v>
      </c>
      <c r="D38" s="7"/>
      <c r="E38" s="7"/>
      <c r="F38" s="7"/>
      <c r="G38" s="7"/>
      <c r="H38" s="7"/>
    </row>
    <row r="39" spans="1:8" ht="19.5" customHeight="1" x14ac:dyDescent="0.3">
      <c r="A39" s="8" t="s">
        <v>348</v>
      </c>
      <c r="B39" s="8"/>
      <c r="C39" s="7" t="s">
        <v>290</v>
      </c>
      <c r="D39" s="7"/>
      <c r="E39" s="7"/>
      <c r="F39" s="7"/>
      <c r="G39" s="7"/>
      <c r="H39" s="7"/>
    </row>
    <row r="40" spans="1:8" ht="19.5" customHeight="1" x14ac:dyDescent="0.3">
      <c r="A40" s="8" t="s">
        <v>349</v>
      </c>
      <c r="B40" s="8"/>
      <c r="C40" s="7" t="s">
        <v>275</v>
      </c>
      <c r="D40" s="7"/>
      <c r="E40" s="7"/>
      <c r="F40" s="7"/>
      <c r="G40" s="7"/>
      <c r="H40" s="7"/>
    </row>
    <row r="41" spans="1:8" ht="19.5" customHeight="1" x14ac:dyDescent="0.3">
      <c r="A41" s="8" t="s">
        <v>350</v>
      </c>
      <c r="B41" s="8"/>
      <c r="C41" s="7">
        <v>75</v>
      </c>
      <c r="D41" s="7"/>
      <c r="E41" s="8">
        <v>180</v>
      </c>
      <c r="F41" s="8"/>
      <c r="G41" s="7"/>
      <c r="H41" s="7"/>
    </row>
    <row r="42" spans="1:8" ht="19.5" customHeight="1" x14ac:dyDescent="0.3">
      <c r="A42" s="8" t="s">
        <v>351</v>
      </c>
      <c r="B42" s="8"/>
      <c r="C42" s="7" t="s">
        <v>352</v>
      </c>
      <c r="D42" s="7"/>
      <c r="E42" s="7"/>
      <c r="F42" s="7"/>
      <c r="G42" s="7"/>
      <c r="H42" s="7"/>
    </row>
    <row r="43" spans="1:8" ht="19.5" customHeight="1" x14ac:dyDescent="0.3">
      <c r="A43" s="8" t="s">
        <v>353</v>
      </c>
      <c r="B43" s="8"/>
      <c r="C43" s="7" t="s">
        <v>354</v>
      </c>
      <c r="D43" s="7"/>
      <c r="E43" s="7"/>
      <c r="F43" s="7"/>
      <c r="G43" s="7"/>
      <c r="H43" s="7"/>
    </row>
    <row r="44" spans="1:8" ht="19.5" customHeight="1" x14ac:dyDescent="0.3">
      <c r="A44" s="8" t="s">
        <v>355</v>
      </c>
      <c r="B44" s="8"/>
      <c r="C44" s="7" t="s">
        <v>46</v>
      </c>
      <c r="D44" s="7"/>
      <c r="E44" s="7"/>
      <c r="F44" s="7"/>
      <c r="G44" s="7"/>
      <c r="H44" s="7"/>
    </row>
    <row r="45" spans="1:8" ht="19.5" customHeight="1" x14ac:dyDescent="0.3">
      <c r="A45" s="8" t="s">
        <v>356</v>
      </c>
      <c r="B45" s="8"/>
      <c r="C45" s="7" t="s">
        <v>44</v>
      </c>
      <c r="D45" s="7"/>
      <c r="E45" s="7"/>
      <c r="F45" s="7"/>
      <c r="G45" s="7"/>
      <c r="H45" s="7"/>
    </row>
    <row r="46" spans="1:8" ht="19.5" customHeight="1" x14ac:dyDescent="0.3">
      <c r="A46" s="8" t="s">
        <v>357</v>
      </c>
      <c r="B46" s="8"/>
      <c r="C46" s="7" t="s">
        <v>358</v>
      </c>
      <c r="D46" s="7"/>
      <c r="E46" s="7"/>
      <c r="F46" s="7"/>
      <c r="G46" s="7"/>
      <c r="H46" s="7"/>
    </row>
    <row r="48" spans="1:8" ht="21.75" customHeight="1" x14ac:dyDescent="0.3">
      <c r="A48" s="9" t="s">
        <v>50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2" t="s">
        <v>359</v>
      </c>
      <c r="B49" s="2"/>
      <c r="C49" s="2"/>
      <c r="D49" s="2"/>
      <c r="E49" s="2"/>
      <c r="F49" s="2"/>
      <c r="G49" s="2"/>
      <c r="H49" s="2"/>
    </row>
    <row r="50" spans="1:8" ht="27.7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27.75" customHeight="1" x14ac:dyDescent="0.3">
      <c r="A51" s="2"/>
      <c r="B51" s="2"/>
      <c r="C51" s="2"/>
      <c r="D51" s="2"/>
      <c r="E51" s="2"/>
      <c r="F51" s="2"/>
      <c r="G51" s="2"/>
      <c r="H51" s="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360</v>
      </c>
      <c r="B1" s="16" t="s">
        <v>361</v>
      </c>
      <c r="C1" s="16" t="s">
        <v>362</v>
      </c>
      <c r="D1" s="16" t="s">
        <v>363</v>
      </c>
      <c r="E1" s="16" t="s">
        <v>364</v>
      </c>
      <c r="F1" s="16" t="s">
        <v>365</v>
      </c>
      <c r="G1" s="16" t="s">
        <v>366</v>
      </c>
      <c r="H1" s="16" t="s">
        <v>367</v>
      </c>
    </row>
    <row r="2" spans="1:8" ht="15" customHeight="1" x14ac:dyDescent="0.3">
      <c r="A2" s="23" t="s">
        <v>368</v>
      </c>
      <c r="B2" s="23" t="s">
        <v>369</v>
      </c>
      <c r="C2" s="23" t="s">
        <v>370</v>
      </c>
      <c r="D2" s="23" t="s">
        <v>371</v>
      </c>
      <c r="E2" s="23" t="s">
        <v>372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373</v>
      </c>
      <c r="B3" s="23" t="s">
        <v>374</v>
      </c>
      <c r="C3" s="23" t="s">
        <v>370</v>
      </c>
      <c r="D3" s="23" t="s">
        <v>371</v>
      </c>
      <c r="E3" s="23" t="s">
        <v>372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375</v>
      </c>
      <c r="B4" s="23" t="s">
        <v>374</v>
      </c>
      <c r="C4" s="23" t="s">
        <v>370</v>
      </c>
      <c r="D4" s="23" t="s">
        <v>371</v>
      </c>
      <c r="E4" s="23" t="s">
        <v>372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376</v>
      </c>
      <c r="B5" s="23" t="s">
        <v>377</v>
      </c>
      <c r="C5" s="23" t="s">
        <v>370</v>
      </c>
      <c r="D5" s="23" t="s">
        <v>371</v>
      </c>
      <c r="E5" s="23" t="s">
        <v>372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378</v>
      </c>
      <c r="B6" s="23" t="s">
        <v>377</v>
      </c>
      <c r="C6" s="23" t="s">
        <v>370</v>
      </c>
      <c r="D6" s="23" t="s">
        <v>371</v>
      </c>
      <c r="E6" s="23" t="s">
        <v>372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379</v>
      </c>
      <c r="B7" s="23" t="s">
        <v>377</v>
      </c>
      <c r="C7" s="23" t="s">
        <v>370</v>
      </c>
      <c r="D7" s="23" t="s">
        <v>371</v>
      </c>
      <c r="E7" s="23" t="s">
        <v>372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380</v>
      </c>
      <c r="B8" s="23" t="s">
        <v>381</v>
      </c>
      <c r="C8" s="23" t="s">
        <v>370</v>
      </c>
      <c r="D8" s="23" t="s">
        <v>371</v>
      </c>
      <c r="E8" s="23" t="s">
        <v>372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382</v>
      </c>
      <c r="B9" s="23" t="s">
        <v>377</v>
      </c>
      <c r="C9" s="23" t="s">
        <v>370</v>
      </c>
      <c r="D9" s="23" t="s">
        <v>371</v>
      </c>
      <c r="E9" s="23" t="s">
        <v>372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383</v>
      </c>
      <c r="B10" s="23" t="s">
        <v>384</v>
      </c>
      <c r="C10" s="23" t="s">
        <v>370</v>
      </c>
      <c r="D10" s="23" t="s">
        <v>371</v>
      </c>
      <c r="E10" s="23" t="s">
        <v>372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385</v>
      </c>
      <c r="B11" s="23" t="s">
        <v>369</v>
      </c>
      <c r="C11" s="23" t="s">
        <v>386</v>
      </c>
      <c r="D11" s="23" t="s">
        <v>387</v>
      </c>
      <c r="E11" s="23" t="s">
        <v>388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389</v>
      </c>
      <c r="B12" s="23" t="s">
        <v>374</v>
      </c>
      <c r="C12" s="23" t="s">
        <v>386</v>
      </c>
      <c r="D12" s="23" t="s">
        <v>387</v>
      </c>
      <c r="E12" s="23" t="s">
        <v>388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390</v>
      </c>
      <c r="B13" s="23" t="s">
        <v>374</v>
      </c>
      <c r="C13" s="23" t="s">
        <v>386</v>
      </c>
      <c r="D13" s="23" t="s">
        <v>387</v>
      </c>
      <c r="E13" s="23" t="s">
        <v>388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391</v>
      </c>
      <c r="B14" s="23" t="s">
        <v>377</v>
      </c>
      <c r="C14" s="23" t="s">
        <v>386</v>
      </c>
      <c r="D14" s="23" t="s">
        <v>387</v>
      </c>
      <c r="E14" s="23" t="s">
        <v>388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392</v>
      </c>
      <c r="B15" s="23" t="s">
        <v>377</v>
      </c>
      <c r="C15" s="23" t="s">
        <v>386</v>
      </c>
      <c r="D15" s="23" t="s">
        <v>387</v>
      </c>
      <c r="E15" s="23" t="s">
        <v>388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393</v>
      </c>
      <c r="B16" s="23" t="s">
        <v>377</v>
      </c>
      <c r="C16" s="23" t="s">
        <v>386</v>
      </c>
      <c r="D16" s="23" t="s">
        <v>387</v>
      </c>
      <c r="E16" s="23" t="s">
        <v>388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394</v>
      </c>
      <c r="B17" s="23" t="s">
        <v>377</v>
      </c>
      <c r="C17" s="23" t="s">
        <v>386</v>
      </c>
      <c r="D17" s="23" t="s">
        <v>387</v>
      </c>
      <c r="E17" s="23" t="s">
        <v>388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395</v>
      </c>
      <c r="B18" s="23" t="s">
        <v>377</v>
      </c>
      <c r="C18" s="23" t="s">
        <v>386</v>
      </c>
      <c r="D18" s="23" t="s">
        <v>387</v>
      </c>
      <c r="E18" s="23" t="s">
        <v>388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396</v>
      </c>
      <c r="B19" s="23" t="s">
        <v>397</v>
      </c>
      <c r="C19" s="23" t="s">
        <v>386</v>
      </c>
      <c r="D19" s="23" t="s">
        <v>387</v>
      </c>
      <c r="E19" s="23" t="s">
        <v>388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398</v>
      </c>
      <c r="B20" s="23" t="s">
        <v>397</v>
      </c>
      <c r="C20" s="23" t="s">
        <v>386</v>
      </c>
      <c r="D20" s="23" t="s">
        <v>387</v>
      </c>
      <c r="E20" s="23" t="s">
        <v>388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399</v>
      </c>
      <c r="B21" s="23" t="s">
        <v>400</v>
      </c>
      <c r="C21" s="23" t="s">
        <v>370</v>
      </c>
      <c r="D21" s="23" t="s">
        <v>401</v>
      </c>
      <c r="E21" s="23" t="s">
        <v>402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403</v>
      </c>
      <c r="B22" s="23" t="s">
        <v>400</v>
      </c>
      <c r="C22" s="23" t="s">
        <v>370</v>
      </c>
      <c r="D22" s="23" t="s">
        <v>401</v>
      </c>
      <c r="E22" s="23" t="s">
        <v>402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16</v>
      </c>
      <c r="B23" s="23" t="s">
        <v>397</v>
      </c>
      <c r="C23" s="23" t="s">
        <v>370</v>
      </c>
      <c r="D23" s="23" t="s">
        <v>401</v>
      </c>
      <c r="E23" s="23" t="s">
        <v>402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404</v>
      </c>
      <c r="B24" s="23" t="s">
        <v>400</v>
      </c>
      <c r="C24" s="23" t="s">
        <v>370</v>
      </c>
      <c r="D24" s="23" t="s">
        <v>401</v>
      </c>
      <c r="E24" s="23" t="s">
        <v>402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405</v>
      </c>
      <c r="B25" s="23" t="s">
        <v>400</v>
      </c>
      <c r="C25" s="23" t="s">
        <v>370</v>
      </c>
      <c r="D25" s="23" t="s">
        <v>401</v>
      </c>
      <c r="E25" s="23" t="s">
        <v>402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406</v>
      </c>
      <c r="B26" s="23" t="s">
        <v>400</v>
      </c>
      <c r="C26" s="23" t="s">
        <v>370</v>
      </c>
      <c r="D26" s="23" t="s">
        <v>401</v>
      </c>
      <c r="E26" s="23" t="s">
        <v>402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407</v>
      </c>
      <c r="B27" s="23" t="s">
        <v>400</v>
      </c>
      <c r="C27" s="23" t="s">
        <v>370</v>
      </c>
      <c r="D27" s="23" t="s">
        <v>401</v>
      </c>
      <c r="E27" s="23" t="s">
        <v>402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408</v>
      </c>
      <c r="B28" s="23" t="s">
        <v>400</v>
      </c>
      <c r="C28" s="23" t="s">
        <v>370</v>
      </c>
      <c r="D28" s="23" t="s">
        <v>401</v>
      </c>
      <c r="E28" s="23" t="s">
        <v>402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409</v>
      </c>
      <c r="B29" s="23" t="s">
        <v>400</v>
      </c>
      <c r="C29" s="23" t="s">
        <v>370</v>
      </c>
      <c r="D29" s="23" t="s">
        <v>401</v>
      </c>
      <c r="E29" s="23" t="s">
        <v>402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410</v>
      </c>
      <c r="B30" s="23" t="s">
        <v>381</v>
      </c>
      <c r="C30" s="23" t="s">
        <v>370</v>
      </c>
      <c r="D30" s="23" t="s">
        <v>401</v>
      </c>
      <c r="E30" s="23" t="s">
        <v>402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411</v>
      </c>
      <c r="B31" s="23" t="s">
        <v>412</v>
      </c>
      <c r="C31" s="23" t="s">
        <v>370</v>
      </c>
      <c r="D31" s="23" t="s">
        <v>413</v>
      </c>
      <c r="E31" s="23" t="s">
        <v>414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415</v>
      </c>
      <c r="B32" s="23" t="s">
        <v>400</v>
      </c>
      <c r="C32" s="23" t="s">
        <v>370</v>
      </c>
      <c r="D32" s="23" t="s">
        <v>413</v>
      </c>
      <c r="E32" s="23" t="s">
        <v>414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416</v>
      </c>
      <c r="B33" s="23" t="s">
        <v>412</v>
      </c>
      <c r="C33" s="23" t="s">
        <v>370</v>
      </c>
      <c r="D33" s="23" t="s">
        <v>417</v>
      </c>
      <c r="E33" s="23" t="s">
        <v>414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418</v>
      </c>
      <c r="B34" s="23" t="s">
        <v>400</v>
      </c>
      <c r="C34" s="23" t="s">
        <v>370</v>
      </c>
      <c r="D34" s="23" t="s">
        <v>417</v>
      </c>
      <c r="E34" s="23" t="s">
        <v>414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419</v>
      </c>
      <c r="B35" s="23" t="s">
        <v>400</v>
      </c>
      <c r="C35" s="23" t="s">
        <v>370</v>
      </c>
      <c r="D35" s="23" t="s">
        <v>417</v>
      </c>
      <c r="E35" s="23" t="s">
        <v>414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420</v>
      </c>
      <c r="B36" s="23" t="s">
        <v>421</v>
      </c>
      <c r="C36" s="23" t="s">
        <v>370</v>
      </c>
      <c r="D36" s="23" t="s">
        <v>417</v>
      </c>
      <c r="E36" s="23" t="s">
        <v>414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422</v>
      </c>
      <c r="B37" s="23" t="s">
        <v>400</v>
      </c>
      <c r="C37" s="23" t="s">
        <v>370</v>
      </c>
      <c r="D37" s="23" t="s">
        <v>370</v>
      </c>
      <c r="E37" s="23" t="s">
        <v>423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424</v>
      </c>
      <c r="B38" s="23" t="s">
        <v>421</v>
      </c>
      <c r="C38" s="23" t="s">
        <v>370</v>
      </c>
      <c r="D38" s="23" t="s">
        <v>370</v>
      </c>
      <c r="E38" s="23" t="s">
        <v>423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425</v>
      </c>
      <c r="B39" s="23" t="s">
        <v>426</v>
      </c>
      <c r="C39" s="23" t="s">
        <v>370</v>
      </c>
      <c r="D39" s="23" t="s">
        <v>427</v>
      </c>
      <c r="E39" s="23" t="s">
        <v>428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429</v>
      </c>
      <c r="B40" s="23" t="s">
        <v>426</v>
      </c>
      <c r="C40" s="23" t="s">
        <v>370</v>
      </c>
      <c r="D40" s="23" t="s">
        <v>427</v>
      </c>
      <c r="E40" s="23" t="s">
        <v>428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430</v>
      </c>
      <c r="B41" s="23" t="s">
        <v>426</v>
      </c>
      <c r="C41" s="23" t="s">
        <v>370</v>
      </c>
      <c r="D41" s="23" t="s">
        <v>427</v>
      </c>
      <c r="E41" s="23" t="s">
        <v>428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431</v>
      </c>
      <c r="B42" s="23" t="s">
        <v>426</v>
      </c>
      <c r="C42" s="23" t="s">
        <v>370</v>
      </c>
      <c r="D42" s="23" t="s">
        <v>427</v>
      </c>
      <c r="E42" s="23" t="s">
        <v>428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432</v>
      </c>
      <c r="B43" s="23" t="s">
        <v>426</v>
      </c>
      <c r="C43" s="23" t="s">
        <v>370</v>
      </c>
      <c r="D43" s="23" t="s">
        <v>427</v>
      </c>
      <c r="E43" s="23" t="s">
        <v>428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433</v>
      </c>
      <c r="B44" s="23" t="s">
        <v>434</v>
      </c>
      <c r="C44" s="23" t="s">
        <v>370</v>
      </c>
      <c r="D44" s="23" t="s">
        <v>427</v>
      </c>
      <c r="E44" s="23" t="s">
        <v>428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435</v>
      </c>
      <c r="B45" s="23" t="s">
        <v>436</v>
      </c>
      <c r="C45" s="23" t="s">
        <v>370</v>
      </c>
      <c r="D45" s="23" t="s">
        <v>427</v>
      </c>
      <c r="E45" s="23" t="s">
        <v>428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437</v>
      </c>
      <c r="B46" s="23" t="s">
        <v>438</v>
      </c>
      <c r="C46" s="23" t="s">
        <v>370</v>
      </c>
      <c r="D46" s="23" t="s">
        <v>439</v>
      </c>
      <c r="E46" s="23" t="s">
        <v>440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441</v>
      </c>
      <c r="B47" s="23" t="s">
        <v>438</v>
      </c>
      <c r="C47" s="23" t="s">
        <v>370</v>
      </c>
      <c r="D47" s="23" t="s">
        <v>439</v>
      </c>
      <c r="E47" s="23" t="s">
        <v>440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442</v>
      </c>
      <c r="B48" s="23" t="s">
        <v>443</v>
      </c>
      <c r="C48" s="23" t="s">
        <v>370</v>
      </c>
      <c r="D48" s="23" t="s">
        <v>439</v>
      </c>
      <c r="E48" s="23" t="s">
        <v>440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444</v>
      </c>
      <c r="B49" s="23" t="s">
        <v>443</v>
      </c>
      <c r="C49" s="23" t="s">
        <v>370</v>
      </c>
      <c r="D49" s="23" t="s">
        <v>439</v>
      </c>
      <c r="E49" s="23" t="s">
        <v>440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445</v>
      </c>
      <c r="B50" s="23" t="s">
        <v>443</v>
      </c>
      <c r="C50" s="23" t="s">
        <v>370</v>
      </c>
      <c r="D50" s="23" t="s">
        <v>439</v>
      </c>
      <c r="E50" s="23" t="s">
        <v>440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446</v>
      </c>
      <c r="B51" s="23" t="s">
        <v>443</v>
      </c>
      <c r="C51" s="23" t="s">
        <v>370</v>
      </c>
      <c r="D51" s="23" t="s">
        <v>439</v>
      </c>
      <c r="E51" s="23" t="s">
        <v>440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447</v>
      </c>
      <c r="B52" s="23" t="s">
        <v>448</v>
      </c>
      <c r="C52" s="23" t="s">
        <v>370</v>
      </c>
      <c r="D52" s="23" t="s">
        <v>439</v>
      </c>
      <c r="E52" s="23" t="s">
        <v>440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449</v>
      </c>
      <c r="B53" s="23" t="s">
        <v>448</v>
      </c>
      <c r="C53" s="23" t="s">
        <v>370</v>
      </c>
      <c r="D53" s="23" t="s">
        <v>439</v>
      </c>
      <c r="E53" s="23" t="s">
        <v>440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450</v>
      </c>
      <c r="B54" s="23" t="s">
        <v>448</v>
      </c>
      <c r="C54" s="23" t="s">
        <v>370</v>
      </c>
      <c r="D54" s="23" t="s">
        <v>439</v>
      </c>
      <c r="E54" s="23" t="s">
        <v>440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451</v>
      </c>
      <c r="B55" s="23" t="s">
        <v>448</v>
      </c>
      <c r="C55" s="23" t="s">
        <v>370</v>
      </c>
      <c r="D55" s="23" t="s">
        <v>439</v>
      </c>
      <c r="E55" s="23" t="s">
        <v>440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452</v>
      </c>
      <c r="B56" s="23" t="s">
        <v>436</v>
      </c>
      <c r="C56" s="23" t="s">
        <v>370</v>
      </c>
      <c r="D56" s="23" t="s">
        <v>439</v>
      </c>
      <c r="E56" s="23" t="s">
        <v>440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453</v>
      </c>
      <c r="B57" s="23" t="s">
        <v>436</v>
      </c>
      <c r="C57" s="23" t="s">
        <v>370</v>
      </c>
      <c r="D57" s="23" t="s">
        <v>439</v>
      </c>
      <c r="E57" s="23" t="s">
        <v>440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454</v>
      </c>
      <c r="B58" s="23" t="s">
        <v>438</v>
      </c>
      <c r="C58" s="23" t="s">
        <v>370</v>
      </c>
      <c r="D58" s="23" t="s">
        <v>455</v>
      </c>
      <c r="E58" s="23" t="s">
        <v>456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457</v>
      </c>
      <c r="B59" s="23" t="s">
        <v>438</v>
      </c>
      <c r="C59" s="23" t="s">
        <v>370</v>
      </c>
      <c r="D59" s="23" t="s">
        <v>455</v>
      </c>
      <c r="E59" s="23" t="s">
        <v>456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458</v>
      </c>
      <c r="B60" s="23" t="s">
        <v>459</v>
      </c>
      <c r="C60" s="23" t="s">
        <v>370</v>
      </c>
      <c r="D60" s="23" t="s">
        <v>455</v>
      </c>
      <c r="E60" s="23" t="s">
        <v>456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460</v>
      </c>
      <c r="B61" s="23" t="s">
        <v>438</v>
      </c>
      <c r="C61" s="23" t="s">
        <v>370</v>
      </c>
      <c r="D61" s="23" t="s">
        <v>455</v>
      </c>
      <c r="E61" s="23" t="s">
        <v>456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461</v>
      </c>
      <c r="B62" s="23" t="s">
        <v>438</v>
      </c>
      <c r="C62" s="23" t="s">
        <v>370</v>
      </c>
      <c r="D62" s="23" t="s">
        <v>455</v>
      </c>
      <c r="E62" s="23" t="s">
        <v>456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462</v>
      </c>
      <c r="B63" s="23" t="s">
        <v>438</v>
      </c>
      <c r="C63" s="23" t="s">
        <v>370</v>
      </c>
      <c r="D63" s="23" t="s">
        <v>455</v>
      </c>
      <c r="E63" s="23" t="s">
        <v>456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463</v>
      </c>
      <c r="B64" s="23" t="s">
        <v>459</v>
      </c>
      <c r="C64" s="23" t="s">
        <v>370</v>
      </c>
      <c r="D64" s="23" t="s">
        <v>455</v>
      </c>
      <c r="E64" s="23" t="s">
        <v>456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464</v>
      </c>
      <c r="B65" s="23" t="s">
        <v>465</v>
      </c>
      <c r="C65" s="23" t="s">
        <v>370</v>
      </c>
      <c r="D65" s="23" t="s">
        <v>466</v>
      </c>
      <c r="E65" s="23" t="s">
        <v>467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468</v>
      </c>
      <c r="B66" s="23" t="s">
        <v>465</v>
      </c>
      <c r="C66" s="23" t="s">
        <v>370</v>
      </c>
      <c r="D66" s="23" t="s">
        <v>466</v>
      </c>
      <c r="E66" s="23" t="s">
        <v>467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469</v>
      </c>
      <c r="B67" s="23" t="s">
        <v>465</v>
      </c>
      <c r="C67" s="23" t="s">
        <v>370</v>
      </c>
      <c r="D67" s="23" t="s">
        <v>466</v>
      </c>
      <c r="E67" s="23" t="s">
        <v>467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470</v>
      </c>
      <c r="B68" s="23" t="s">
        <v>465</v>
      </c>
      <c r="C68" s="23" t="s">
        <v>370</v>
      </c>
      <c r="D68" s="23" t="s">
        <v>466</v>
      </c>
      <c r="E68" s="23" t="s">
        <v>467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471</v>
      </c>
      <c r="B69" s="23" t="s">
        <v>465</v>
      </c>
      <c r="C69" s="23" t="s">
        <v>370</v>
      </c>
      <c r="D69" s="23" t="s">
        <v>466</v>
      </c>
      <c r="E69" s="23" t="s">
        <v>467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472</v>
      </c>
      <c r="B70" s="23" t="s">
        <v>465</v>
      </c>
      <c r="C70" s="23" t="s">
        <v>370</v>
      </c>
      <c r="D70" s="23" t="s">
        <v>466</v>
      </c>
      <c r="E70" s="23" t="s">
        <v>467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473</v>
      </c>
      <c r="B71" s="23" t="s">
        <v>465</v>
      </c>
      <c r="C71" s="23" t="s">
        <v>370</v>
      </c>
      <c r="D71" s="23" t="s">
        <v>466</v>
      </c>
      <c r="E71" s="23" t="s">
        <v>467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474</v>
      </c>
      <c r="B72" s="23" t="s">
        <v>465</v>
      </c>
      <c r="C72" s="23" t="s">
        <v>370</v>
      </c>
      <c r="D72" s="23" t="s">
        <v>466</v>
      </c>
      <c r="E72" s="23" t="s">
        <v>467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475</v>
      </c>
      <c r="B73" s="23" t="s">
        <v>476</v>
      </c>
      <c r="C73" s="23" t="s">
        <v>477</v>
      </c>
      <c r="D73" s="23" t="s">
        <v>478</v>
      </c>
      <c r="E73" s="23" t="s">
        <v>479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480</v>
      </c>
      <c r="B74" s="23" t="s">
        <v>476</v>
      </c>
      <c r="C74" s="23" t="s">
        <v>477</v>
      </c>
      <c r="D74" s="23" t="s">
        <v>478</v>
      </c>
      <c r="E74" s="23" t="s">
        <v>479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481</v>
      </c>
      <c r="B75" s="23" t="s">
        <v>476</v>
      </c>
      <c r="C75" s="23" t="s">
        <v>477</v>
      </c>
      <c r="D75" s="23" t="s">
        <v>478</v>
      </c>
      <c r="E75" s="23" t="s">
        <v>479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482</v>
      </c>
      <c r="B76" s="23" t="s">
        <v>476</v>
      </c>
      <c r="C76" s="23" t="s">
        <v>477</v>
      </c>
      <c r="D76" s="23" t="s">
        <v>478</v>
      </c>
      <c r="E76" s="23" t="s">
        <v>479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483</v>
      </c>
      <c r="B77" s="23" t="s">
        <v>476</v>
      </c>
      <c r="C77" s="23" t="s">
        <v>477</v>
      </c>
      <c r="D77" s="23" t="s">
        <v>478</v>
      </c>
      <c r="E77" s="23" t="s">
        <v>479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484</v>
      </c>
      <c r="B78" s="23" t="s">
        <v>485</v>
      </c>
      <c r="C78" s="23" t="s">
        <v>477</v>
      </c>
      <c r="D78" s="23" t="s">
        <v>478</v>
      </c>
      <c r="E78" s="23" t="s">
        <v>479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486</v>
      </c>
      <c r="B79" s="23" t="s">
        <v>485</v>
      </c>
      <c r="C79" s="23" t="s">
        <v>477</v>
      </c>
      <c r="D79" s="23" t="s">
        <v>478</v>
      </c>
      <c r="E79" s="23" t="s">
        <v>479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487</v>
      </c>
      <c r="B80" s="23" t="s">
        <v>485</v>
      </c>
      <c r="C80" s="23" t="s">
        <v>477</v>
      </c>
      <c r="D80" s="23" t="s">
        <v>477</v>
      </c>
      <c r="E80" s="23" t="s">
        <v>488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489</v>
      </c>
      <c r="B81" s="23" t="s">
        <v>490</v>
      </c>
      <c r="C81" s="23" t="s">
        <v>477</v>
      </c>
      <c r="D81" s="23" t="s">
        <v>477</v>
      </c>
      <c r="E81" s="23" t="s">
        <v>488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491</v>
      </c>
      <c r="B82" s="23" t="s">
        <v>485</v>
      </c>
      <c r="C82" s="23" t="s">
        <v>477</v>
      </c>
      <c r="D82" s="23" t="s">
        <v>477</v>
      </c>
      <c r="E82" s="23" t="s">
        <v>488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492</v>
      </c>
      <c r="B83" s="23" t="s">
        <v>485</v>
      </c>
      <c r="C83" s="23" t="s">
        <v>477</v>
      </c>
      <c r="D83" s="23" t="s">
        <v>493</v>
      </c>
      <c r="E83" s="23" t="s">
        <v>488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494</v>
      </c>
      <c r="B84" s="23" t="s">
        <v>485</v>
      </c>
      <c r="C84" s="23" t="s">
        <v>477</v>
      </c>
      <c r="D84" s="23" t="s">
        <v>493</v>
      </c>
      <c r="E84" s="23" t="s">
        <v>488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495</v>
      </c>
      <c r="B85" s="23" t="s">
        <v>485</v>
      </c>
      <c r="C85" s="23" t="s">
        <v>477</v>
      </c>
      <c r="D85" s="23" t="s">
        <v>493</v>
      </c>
      <c r="E85" s="23" t="s">
        <v>488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496</v>
      </c>
      <c r="B86" s="23" t="s">
        <v>485</v>
      </c>
      <c r="C86" s="23" t="s">
        <v>477</v>
      </c>
      <c r="D86" s="23" t="s">
        <v>493</v>
      </c>
      <c r="E86" s="23" t="s">
        <v>488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497</v>
      </c>
      <c r="B87" s="23" t="s">
        <v>485</v>
      </c>
      <c r="C87" s="23" t="s">
        <v>477</v>
      </c>
      <c r="D87" s="23" t="s">
        <v>493</v>
      </c>
      <c r="E87" s="23" t="s">
        <v>488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498</v>
      </c>
      <c r="B88" s="23" t="s">
        <v>490</v>
      </c>
      <c r="C88" s="23" t="s">
        <v>477</v>
      </c>
      <c r="D88" s="23" t="s">
        <v>493</v>
      </c>
      <c r="E88" s="23" t="s">
        <v>488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499</v>
      </c>
      <c r="B89" s="23" t="s">
        <v>485</v>
      </c>
      <c r="C89" s="23" t="s">
        <v>477</v>
      </c>
      <c r="D89" s="23" t="s">
        <v>493</v>
      </c>
      <c r="E89" s="23" t="s">
        <v>488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500</v>
      </c>
      <c r="B90" s="23" t="s">
        <v>485</v>
      </c>
      <c r="C90" s="23" t="s">
        <v>477</v>
      </c>
      <c r="D90" s="23" t="s">
        <v>493</v>
      </c>
      <c r="E90" s="23" t="s">
        <v>488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501</v>
      </c>
      <c r="B91" s="23" t="s">
        <v>459</v>
      </c>
      <c r="C91" s="23" t="s">
        <v>477</v>
      </c>
      <c r="D91" s="23" t="s">
        <v>493</v>
      </c>
      <c r="E91" s="23" t="s">
        <v>488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502</v>
      </c>
      <c r="B92" s="23" t="s">
        <v>459</v>
      </c>
      <c r="C92" s="23" t="s">
        <v>477</v>
      </c>
      <c r="D92" s="23" t="s">
        <v>493</v>
      </c>
      <c r="E92" s="23" t="s">
        <v>488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503</v>
      </c>
      <c r="B93" s="23" t="s">
        <v>504</v>
      </c>
      <c r="C93" s="23" t="s">
        <v>477</v>
      </c>
      <c r="D93" s="23" t="s">
        <v>493</v>
      </c>
      <c r="E93" s="23" t="s">
        <v>488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505</v>
      </c>
      <c r="B94" s="23" t="s">
        <v>506</v>
      </c>
      <c r="C94" s="23" t="s">
        <v>477</v>
      </c>
      <c r="D94" s="23" t="s">
        <v>493</v>
      </c>
      <c r="E94" s="23" t="s">
        <v>488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507</v>
      </c>
      <c r="B95" s="23" t="s">
        <v>508</v>
      </c>
      <c r="C95" s="23" t="s">
        <v>477</v>
      </c>
      <c r="D95" s="23" t="s">
        <v>509</v>
      </c>
      <c r="E95" s="23" t="s">
        <v>510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511</v>
      </c>
      <c r="B96" s="23" t="s">
        <v>508</v>
      </c>
      <c r="C96" s="23" t="s">
        <v>477</v>
      </c>
      <c r="D96" s="23" t="s">
        <v>509</v>
      </c>
      <c r="E96" s="23" t="s">
        <v>510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512</v>
      </c>
      <c r="B97" s="23" t="s">
        <v>508</v>
      </c>
      <c r="C97" s="23" t="s">
        <v>477</v>
      </c>
      <c r="D97" s="23" t="s">
        <v>509</v>
      </c>
      <c r="E97" s="23" t="s">
        <v>510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513</v>
      </c>
      <c r="B98" s="23" t="s">
        <v>504</v>
      </c>
      <c r="C98" s="23" t="s">
        <v>477</v>
      </c>
      <c r="D98" s="23" t="s">
        <v>509</v>
      </c>
      <c r="E98" s="23" t="s">
        <v>510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514</v>
      </c>
      <c r="B99" s="23" t="s">
        <v>508</v>
      </c>
      <c r="C99" s="23" t="s">
        <v>477</v>
      </c>
      <c r="D99" s="23" t="s">
        <v>509</v>
      </c>
      <c r="E99" s="23" t="s">
        <v>510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515</v>
      </c>
      <c r="B100" s="23" t="s">
        <v>508</v>
      </c>
      <c r="C100" s="23" t="s">
        <v>477</v>
      </c>
      <c r="D100" s="23" t="s">
        <v>509</v>
      </c>
      <c r="E100" s="23" t="s">
        <v>510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516</v>
      </c>
      <c r="B101" s="23" t="s">
        <v>508</v>
      </c>
      <c r="C101" s="23" t="s">
        <v>477</v>
      </c>
      <c r="D101" s="23" t="s">
        <v>509</v>
      </c>
      <c r="E101" s="23" t="s">
        <v>510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517</v>
      </c>
      <c r="B102" s="23" t="s">
        <v>508</v>
      </c>
      <c r="C102" s="23" t="s">
        <v>477</v>
      </c>
      <c r="D102" s="23" t="s">
        <v>509</v>
      </c>
      <c r="E102" s="23" t="s">
        <v>510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518</v>
      </c>
      <c r="B103" s="23" t="s">
        <v>506</v>
      </c>
      <c r="C103" s="23" t="s">
        <v>477</v>
      </c>
      <c r="D103" s="23" t="s">
        <v>509</v>
      </c>
      <c r="E103" s="23" t="s">
        <v>510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519</v>
      </c>
      <c r="B104" s="23" t="s">
        <v>448</v>
      </c>
      <c r="C104" s="23" t="s">
        <v>477</v>
      </c>
      <c r="D104" s="23" t="s">
        <v>509</v>
      </c>
      <c r="E104" s="23" t="s">
        <v>510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520</v>
      </c>
      <c r="B105" s="23" t="s">
        <v>521</v>
      </c>
      <c r="C105" s="23" t="s">
        <v>477</v>
      </c>
      <c r="D105" s="23" t="s">
        <v>522</v>
      </c>
      <c r="E105" s="23" t="s">
        <v>523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524</v>
      </c>
      <c r="B106" s="23" t="s">
        <v>521</v>
      </c>
      <c r="C106" s="23" t="s">
        <v>477</v>
      </c>
      <c r="D106" s="23" t="s">
        <v>522</v>
      </c>
      <c r="E106" s="23" t="s">
        <v>523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525</v>
      </c>
      <c r="B107" s="23" t="s">
        <v>521</v>
      </c>
      <c r="C107" s="23" t="s">
        <v>477</v>
      </c>
      <c r="D107" s="23" t="s">
        <v>522</v>
      </c>
      <c r="E107" s="23" t="s">
        <v>523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526</v>
      </c>
      <c r="B108" s="23" t="s">
        <v>521</v>
      </c>
      <c r="C108" s="23" t="s">
        <v>477</v>
      </c>
      <c r="D108" s="23" t="s">
        <v>522</v>
      </c>
      <c r="E108" s="23" t="s">
        <v>523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527</v>
      </c>
      <c r="B109" s="23" t="s">
        <v>521</v>
      </c>
      <c r="C109" s="23" t="s">
        <v>477</v>
      </c>
      <c r="D109" s="23" t="s">
        <v>522</v>
      </c>
      <c r="E109" s="23" t="s">
        <v>523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528</v>
      </c>
      <c r="B110" s="23" t="s">
        <v>521</v>
      </c>
      <c r="C110" s="23" t="s">
        <v>477</v>
      </c>
      <c r="D110" s="23" t="s">
        <v>522</v>
      </c>
      <c r="E110" s="23" t="s">
        <v>523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529</v>
      </c>
      <c r="B111" s="23" t="s">
        <v>521</v>
      </c>
      <c r="C111" s="23" t="s">
        <v>477</v>
      </c>
      <c r="D111" s="23" t="s">
        <v>522</v>
      </c>
      <c r="E111" s="23" t="s">
        <v>523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530</v>
      </c>
      <c r="B112" s="23" t="s">
        <v>521</v>
      </c>
      <c r="C112" s="23" t="s">
        <v>477</v>
      </c>
      <c r="D112" s="23" t="s">
        <v>522</v>
      </c>
      <c r="E112" s="23" t="s">
        <v>523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531</v>
      </c>
      <c r="B113" s="23" t="s">
        <v>521</v>
      </c>
      <c r="C113" s="23" t="s">
        <v>477</v>
      </c>
      <c r="D113" s="23" t="s">
        <v>522</v>
      </c>
      <c r="E113" s="23" t="s">
        <v>523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532</v>
      </c>
      <c r="B114" s="23" t="s">
        <v>521</v>
      </c>
      <c r="C114" s="23" t="s">
        <v>477</v>
      </c>
      <c r="D114" s="23" t="s">
        <v>522</v>
      </c>
      <c r="E114" s="23" t="s">
        <v>523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533</v>
      </c>
      <c r="B115" s="23" t="s">
        <v>534</v>
      </c>
      <c r="C115" s="23" t="s">
        <v>477</v>
      </c>
      <c r="D115" s="23" t="s">
        <v>522</v>
      </c>
      <c r="E115" s="23" t="s">
        <v>523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535</v>
      </c>
      <c r="B116" s="23" t="s">
        <v>534</v>
      </c>
      <c r="C116" s="23" t="s">
        <v>477</v>
      </c>
      <c r="D116" s="23" t="s">
        <v>522</v>
      </c>
      <c r="E116" s="23" t="s">
        <v>523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536</v>
      </c>
      <c r="B117" s="23" t="s">
        <v>521</v>
      </c>
      <c r="C117" s="23" t="s">
        <v>477</v>
      </c>
      <c r="D117" s="23" t="s">
        <v>522</v>
      </c>
      <c r="E117" s="23" t="s">
        <v>523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537</v>
      </c>
      <c r="B118" s="23" t="s">
        <v>538</v>
      </c>
      <c r="C118" s="23" t="s">
        <v>477</v>
      </c>
      <c r="D118" s="23" t="s">
        <v>522</v>
      </c>
      <c r="E118" s="23" t="s">
        <v>539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540</v>
      </c>
      <c r="B119" s="23" t="s">
        <v>538</v>
      </c>
      <c r="C119" s="23" t="s">
        <v>477</v>
      </c>
      <c r="D119" s="23" t="s">
        <v>522</v>
      </c>
      <c r="E119" s="23" t="s">
        <v>539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541</v>
      </c>
      <c r="B120" s="23" t="s">
        <v>542</v>
      </c>
      <c r="C120" s="23" t="s">
        <v>477</v>
      </c>
      <c r="D120" s="23" t="s">
        <v>522</v>
      </c>
      <c r="E120" s="23" t="s">
        <v>539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543</v>
      </c>
      <c r="B121" s="23" t="s">
        <v>542</v>
      </c>
      <c r="C121" s="23" t="s">
        <v>477</v>
      </c>
      <c r="D121" s="23" t="s">
        <v>522</v>
      </c>
      <c r="E121" s="23" t="s">
        <v>539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544</v>
      </c>
      <c r="B122" s="23" t="s">
        <v>534</v>
      </c>
      <c r="C122" s="23" t="s">
        <v>477</v>
      </c>
      <c r="D122" s="23" t="s">
        <v>522</v>
      </c>
      <c r="E122" s="23" t="s">
        <v>539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545</v>
      </c>
      <c r="B123" s="23" t="s">
        <v>542</v>
      </c>
      <c r="C123" s="23" t="s">
        <v>477</v>
      </c>
      <c r="D123" s="23" t="s">
        <v>522</v>
      </c>
      <c r="E123" s="23" t="s">
        <v>539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546</v>
      </c>
      <c r="B124" s="23" t="s">
        <v>542</v>
      </c>
      <c r="C124" s="23" t="s">
        <v>477</v>
      </c>
      <c r="D124" s="23" t="s">
        <v>522</v>
      </c>
      <c r="E124" s="23" t="s">
        <v>539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547</v>
      </c>
      <c r="B125" s="23" t="s">
        <v>542</v>
      </c>
      <c r="C125" s="23" t="s">
        <v>477</v>
      </c>
      <c r="D125" s="23" t="s">
        <v>522</v>
      </c>
      <c r="E125" s="23" t="s">
        <v>539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548</v>
      </c>
      <c r="B126" s="23" t="s">
        <v>542</v>
      </c>
      <c r="C126" s="23" t="s">
        <v>477</v>
      </c>
      <c r="D126" s="23" t="s">
        <v>522</v>
      </c>
      <c r="E126" s="23" t="s">
        <v>539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549</v>
      </c>
      <c r="B127" s="23" t="s">
        <v>542</v>
      </c>
      <c r="C127" s="23" t="s">
        <v>477</v>
      </c>
      <c r="D127" s="23" t="s">
        <v>522</v>
      </c>
      <c r="E127" s="23" t="s">
        <v>539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550</v>
      </c>
      <c r="B128" s="23" t="s">
        <v>542</v>
      </c>
      <c r="C128" s="23" t="s">
        <v>477</v>
      </c>
      <c r="D128" s="23" t="s">
        <v>522</v>
      </c>
      <c r="E128" s="23" t="s">
        <v>539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1" t="s">
        <v>551</v>
      </c>
      <c r="B1" s="1"/>
      <c r="C1" s="1"/>
      <c r="D1" s="1"/>
      <c r="E1" s="1"/>
      <c r="F1" s="1"/>
      <c r="G1" s="1"/>
      <c r="H1" s="1"/>
    </row>
    <row r="3" spans="1:37" ht="15" customHeight="1" x14ac:dyDescent="0.3">
      <c r="A3" s="16" t="s">
        <v>552</v>
      </c>
      <c r="B3" s="16" t="s">
        <v>553</v>
      </c>
      <c r="C3" s="16" t="s">
        <v>554</v>
      </c>
      <c r="D3" s="16" t="s">
        <v>555</v>
      </c>
      <c r="E3" s="16" t="s">
        <v>556</v>
      </c>
      <c r="F3" s="16" t="s">
        <v>557</v>
      </c>
      <c r="G3" s="16" t="s">
        <v>558</v>
      </c>
      <c r="H3" s="16" t="s">
        <v>559</v>
      </c>
      <c r="I3" s="16" t="s">
        <v>560</v>
      </c>
      <c r="J3" s="16" t="s">
        <v>561</v>
      </c>
      <c r="K3" s="16" t="s">
        <v>562</v>
      </c>
      <c r="L3" s="16" t="s">
        <v>563</v>
      </c>
      <c r="M3" s="16" t="s">
        <v>564</v>
      </c>
      <c r="N3" s="16" t="s">
        <v>565</v>
      </c>
      <c r="O3" s="16" t="s">
        <v>566</v>
      </c>
      <c r="P3" s="16" t="s">
        <v>567</v>
      </c>
      <c r="Q3" s="16" t="s">
        <v>568</v>
      </c>
      <c r="R3" s="16" t="s">
        <v>569</v>
      </c>
      <c r="S3" s="16" t="s">
        <v>570</v>
      </c>
      <c r="T3" s="16" t="s">
        <v>571</v>
      </c>
      <c r="U3" s="16" t="s">
        <v>572</v>
      </c>
      <c r="V3" s="16" t="s">
        <v>573</v>
      </c>
      <c r="W3" s="16" t="s">
        <v>574</v>
      </c>
      <c r="X3" s="16" t="s">
        <v>575</v>
      </c>
      <c r="Y3" s="16" t="s">
        <v>576</v>
      </c>
      <c r="Z3" s="16" t="s">
        <v>577</v>
      </c>
      <c r="AA3" s="16" t="s">
        <v>578</v>
      </c>
      <c r="AB3" s="16" t="s">
        <v>579</v>
      </c>
      <c r="AC3" s="16" t="s">
        <v>580</v>
      </c>
      <c r="AD3" s="16" t="s">
        <v>581</v>
      </c>
      <c r="AE3" s="16" t="s">
        <v>582</v>
      </c>
      <c r="AF3" s="16" t="s">
        <v>583</v>
      </c>
      <c r="AG3" s="16" t="s">
        <v>584</v>
      </c>
      <c r="AH3" s="16" t="s">
        <v>585</v>
      </c>
      <c r="AI3" s="16" t="s">
        <v>586</v>
      </c>
      <c r="AJ3" s="16" t="s">
        <v>587</v>
      </c>
      <c r="AK3" s="16" t="s">
        <v>588</v>
      </c>
    </row>
    <row r="4" spans="1:37" ht="15" customHeight="1" x14ac:dyDescent="0.3">
      <c r="A4" s="23" t="s">
        <v>589</v>
      </c>
      <c r="B4" s="23" t="s">
        <v>590</v>
      </c>
      <c r="C4" s="23" t="s">
        <v>591</v>
      </c>
      <c r="D4" s="23" t="s">
        <v>592</v>
      </c>
      <c r="E4" s="23" t="s">
        <v>593</v>
      </c>
      <c r="F4" s="23" t="s">
        <v>594</v>
      </c>
      <c r="G4" s="23" t="s">
        <v>595</v>
      </c>
      <c r="H4" s="23" t="s">
        <v>596</v>
      </c>
      <c r="I4" s="23" t="s">
        <v>597</v>
      </c>
      <c r="J4" s="23" t="s">
        <v>598</v>
      </c>
      <c r="K4" s="23" t="s">
        <v>599</v>
      </c>
      <c r="L4" s="23" t="s">
        <v>600</v>
      </c>
      <c r="M4" s="23" t="s">
        <v>601</v>
      </c>
      <c r="N4" s="23" t="s">
        <v>602</v>
      </c>
      <c r="O4" s="23" t="s">
        <v>603</v>
      </c>
      <c r="P4" s="23" t="s">
        <v>124</v>
      </c>
      <c r="Q4" s="23" t="s">
        <v>127</v>
      </c>
      <c r="R4" s="23" t="s">
        <v>604</v>
      </c>
      <c r="S4" s="23" t="s">
        <v>144</v>
      </c>
      <c r="T4" s="23" t="s">
        <v>145</v>
      </c>
      <c r="U4" s="23" t="s">
        <v>605</v>
      </c>
      <c r="V4" s="23" t="s">
        <v>215</v>
      </c>
      <c r="W4" s="23" t="s">
        <v>606</v>
      </c>
      <c r="X4" s="23" t="s">
        <v>594</v>
      </c>
      <c r="Y4" s="23" t="s">
        <v>298</v>
      </c>
      <c r="Z4" s="23" t="s">
        <v>607</v>
      </c>
      <c r="AA4" s="23" t="s">
        <v>608</v>
      </c>
      <c r="AB4" s="23" t="s">
        <v>322</v>
      </c>
      <c r="AC4" s="23" t="s">
        <v>323</v>
      </c>
      <c r="AD4" s="23" t="s">
        <v>324</v>
      </c>
      <c r="AE4" s="23" t="s">
        <v>609</v>
      </c>
      <c r="AF4" s="23" t="s">
        <v>610</v>
      </c>
      <c r="AG4" s="23" t="s">
        <v>298</v>
      </c>
      <c r="AH4" s="23" t="s">
        <v>611</v>
      </c>
      <c r="AI4" s="23" t="s">
        <v>354</v>
      </c>
      <c r="AJ4" s="23" t="s">
        <v>44</v>
      </c>
      <c r="AK4" s="23" t="s">
        <v>44</v>
      </c>
    </row>
    <row r="5" spans="1:37" ht="15" customHeight="1" x14ac:dyDescent="0.3">
      <c r="A5" s="23" t="s">
        <v>612</v>
      </c>
      <c r="B5" s="23" t="s">
        <v>613</v>
      </c>
      <c r="C5" s="23" t="s">
        <v>614</v>
      </c>
      <c r="D5" s="23" t="s">
        <v>615</v>
      </c>
      <c r="E5" s="23" t="s">
        <v>616</v>
      </c>
      <c r="F5" s="23" t="s">
        <v>65</v>
      </c>
      <c r="G5" s="23" t="s">
        <v>617</v>
      </c>
      <c r="H5" s="23" t="s">
        <v>618</v>
      </c>
      <c r="I5" s="23" t="s">
        <v>619</v>
      </c>
      <c r="J5" s="23" t="s">
        <v>620</v>
      </c>
      <c r="K5" s="23" t="s">
        <v>621</v>
      </c>
      <c r="L5" s="23" t="s">
        <v>622</v>
      </c>
      <c r="M5" s="23" t="s">
        <v>623</v>
      </c>
      <c r="N5" s="23" t="s">
        <v>624</v>
      </c>
      <c r="O5" s="23" t="s">
        <v>122</v>
      </c>
      <c r="P5" s="23" t="s">
        <v>625</v>
      </c>
      <c r="Q5" s="23" t="s">
        <v>626</v>
      </c>
      <c r="R5" s="23" t="s">
        <v>627</v>
      </c>
      <c r="S5" s="23" t="s">
        <v>153</v>
      </c>
      <c r="T5" s="23" t="s">
        <v>628</v>
      </c>
      <c r="U5" s="23" t="s">
        <v>196</v>
      </c>
      <c r="V5" s="23" t="s">
        <v>225</v>
      </c>
      <c r="W5" s="23" t="s">
        <v>629</v>
      </c>
      <c r="X5" s="23" t="s">
        <v>245</v>
      </c>
      <c r="Y5" s="23" t="s">
        <v>290</v>
      </c>
      <c r="Z5" s="23" t="s">
        <v>630</v>
      </c>
      <c r="AA5" s="23" t="s">
        <v>310</v>
      </c>
      <c r="AB5" s="23" t="s">
        <v>326</v>
      </c>
      <c r="AC5" s="23" t="s">
        <v>631</v>
      </c>
      <c r="AD5" s="23" t="s">
        <v>327</v>
      </c>
      <c r="AE5" s="23" t="s">
        <v>632</v>
      </c>
      <c r="AF5" s="23" t="s">
        <v>633</v>
      </c>
      <c r="AG5" s="23" t="s">
        <v>290</v>
      </c>
      <c r="AH5" s="23" t="s">
        <v>634</v>
      </c>
      <c r="AI5" s="23" t="s">
        <v>635</v>
      </c>
      <c r="AJ5" s="23" t="s">
        <v>46</v>
      </c>
      <c r="AK5" s="23" t="s">
        <v>46</v>
      </c>
    </row>
    <row r="6" spans="1:37" ht="15" customHeight="1" x14ac:dyDescent="0.3">
      <c r="A6" s="23" t="s">
        <v>636</v>
      </c>
      <c r="B6" s="23" t="s">
        <v>637</v>
      </c>
      <c r="C6" s="23" t="s">
        <v>35</v>
      </c>
      <c r="D6" s="23" t="s">
        <v>638</v>
      </c>
      <c r="E6" s="23" t="s">
        <v>39</v>
      </c>
      <c r="F6" s="23" t="s">
        <v>639</v>
      </c>
      <c r="G6" s="23" t="s">
        <v>640</v>
      </c>
      <c r="H6" s="23" t="s">
        <v>641</v>
      </c>
      <c r="I6" s="23" t="s">
        <v>642</v>
      </c>
      <c r="J6" s="23" t="s">
        <v>87</v>
      </c>
      <c r="K6" s="23" t="s">
        <v>90</v>
      </c>
      <c r="L6" s="23" t="s">
        <v>643</v>
      </c>
      <c r="M6" s="23" t="s">
        <v>109</v>
      </c>
      <c r="N6" s="23" t="s">
        <v>111</v>
      </c>
      <c r="O6" s="23" t="s">
        <v>644</v>
      </c>
      <c r="P6" s="23" t="s">
        <v>645</v>
      </c>
      <c r="Q6" s="23" t="s">
        <v>646</v>
      </c>
      <c r="R6" s="23" t="s">
        <v>647</v>
      </c>
      <c r="S6" s="23" t="s">
        <v>160</v>
      </c>
      <c r="T6" s="23" t="s">
        <v>169</v>
      </c>
      <c r="U6" s="23" t="s">
        <v>146</v>
      </c>
      <c r="V6" s="23" t="s">
        <v>648</v>
      </c>
      <c r="W6" s="23" t="s">
        <v>649</v>
      </c>
      <c r="X6" s="23" t="s">
        <v>240</v>
      </c>
      <c r="Y6" s="23" t="s">
        <v>275</v>
      </c>
      <c r="Z6" s="23" t="s">
        <v>240</v>
      </c>
      <c r="AA6" s="23" t="s">
        <v>650</v>
      </c>
      <c r="AB6" s="23" t="s">
        <v>651</v>
      </c>
      <c r="AC6" s="23" t="s">
        <v>352</v>
      </c>
      <c r="AD6" s="23" t="s">
        <v>652</v>
      </c>
      <c r="AE6" s="23" t="s">
        <v>343</v>
      </c>
      <c r="AF6" s="23" t="s">
        <v>653</v>
      </c>
      <c r="AG6" s="23" t="s">
        <v>275</v>
      </c>
      <c r="AH6" s="23" t="s">
        <v>352</v>
      </c>
      <c r="AI6" s="23" t="s">
        <v>654</v>
      </c>
      <c r="AK6" s="23" t="s">
        <v>216</v>
      </c>
    </row>
    <row r="7" spans="1:37" ht="15" customHeight="1" x14ac:dyDescent="0.3">
      <c r="A7" s="23" t="s">
        <v>31</v>
      </c>
      <c r="B7" s="23" t="s">
        <v>33</v>
      </c>
      <c r="C7" s="23" t="s">
        <v>655</v>
      </c>
      <c r="D7" s="23" t="s">
        <v>37</v>
      </c>
      <c r="E7" s="23" t="s">
        <v>656</v>
      </c>
      <c r="F7" s="23" t="s">
        <v>657</v>
      </c>
      <c r="G7" s="23" t="s">
        <v>658</v>
      </c>
      <c r="H7" s="23" t="s">
        <v>659</v>
      </c>
      <c r="I7" s="23" t="s">
        <v>660</v>
      </c>
      <c r="J7" s="23" t="s">
        <v>661</v>
      </c>
      <c r="K7" s="23" t="s">
        <v>662</v>
      </c>
      <c r="L7" s="23" t="s">
        <v>663</v>
      </c>
      <c r="M7" s="23" t="s">
        <v>664</v>
      </c>
      <c r="N7" s="23" t="s">
        <v>665</v>
      </c>
      <c r="O7" s="23" t="s">
        <v>666</v>
      </c>
      <c r="P7" s="23" t="s">
        <v>667</v>
      </c>
      <c r="Q7" s="23" t="s">
        <v>668</v>
      </c>
      <c r="R7" s="23" t="s">
        <v>669</v>
      </c>
      <c r="S7" s="23" t="s">
        <v>183</v>
      </c>
      <c r="T7" s="23" t="s">
        <v>670</v>
      </c>
      <c r="U7" s="23" t="s">
        <v>150</v>
      </c>
      <c r="V7" s="23" t="s">
        <v>671</v>
      </c>
      <c r="W7" s="23" t="s">
        <v>208</v>
      </c>
      <c r="X7" s="23" t="s">
        <v>672</v>
      </c>
      <c r="Z7" s="23" t="s">
        <v>673</v>
      </c>
      <c r="AA7" s="23" t="s">
        <v>674</v>
      </c>
      <c r="AB7" s="23" t="s">
        <v>675</v>
      </c>
      <c r="AC7" s="23" t="s">
        <v>676</v>
      </c>
      <c r="AD7" s="23" t="s">
        <v>677</v>
      </c>
      <c r="AE7" s="23" t="s">
        <v>678</v>
      </c>
      <c r="AF7" s="23" t="s">
        <v>679</v>
      </c>
      <c r="AH7" s="23" t="s">
        <v>680</v>
      </c>
      <c r="AI7" s="23" t="s">
        <v>681</v>
      </c>
    </row>
    <row r="8" spans="1:37" ht="15" customHeight="1" x14ac:dyDescent="0.3">
      <c r="A8" s="23" t="s">
        <v>682</v>
      </c>
      <c r="B8" s="23" t="s">
        <v>683</v>
      </c>
      <c r="C8" s="23" t="s">
        <v>684</v>
      </c>
      <c r="D8" s="23" t="s">
        <v>685</v>
      </c>
      <c r="E8" s="23" t="s">
        <v>686</v>
      </c>
      <c r="F8" s="23" t="s">
        <v>687</v>
      </c>
      <c r="G8" s="23" t="s">
        <v>688</v>
      </c>
      <c r="H8" s="23" t="s">
        <v>689</v>
      </c>
      <c r="I8" s="23" t="s">
        <v>690</v>
      </c>
      <c r="J8" s="23" t="s">
        <v>691</v>
      </c>
      <c r="L8" s="23" t="s">
        <v>692</v>
      </c>
      <c r="M8" s="23" t="s">
        <v>693</v>
      </c>
      <c r="N8" s="23" t="s">
        <v>694</v>
      </c>
      <c r="P8" s="23" t="s">
        <v>695</v>
      </c>
      <c r="Q8" s="23" t="s">
        <v>696</v>
      </c>
      <c r="R8" s="23" t="s">
        <v>697</v>
      </c>
      <c r="S8" s="23" t="s">
        <v>698</v>
      </c>
      <c r="U8" s="23" t="s">
        <v>176</v>
      </c>
      <c r="V8" s="23" t="s">
        <v>207</v>
      </c>
      <c r="W8" s="23" t="s">
        <v>212</v>
      </c>
      <c r="X8" s="23" t="s">
        <v>699</v>
      </c>
      <c r="Z8" s="23" t="s">
        <v>700</v>
      </c>
      <c r="AB8" s="23" t="s">
        <v>701</v>
      </c>
      <c r="AC8" s="23" t="s">
        <v>666</v>
      </c>
      <c r="AD8" s="23" t="s">
        <v>702</v>
      </c>
      <c r="AE8" s="23" t="s">
        <v>703</v>
      </c>
      <c r="AF8" s="23" t="s">
        <v>704</v>
      </c>
      <c r="AI8" s="23" t="s">
        <v>262</v>
      </c>
    </row>
    <row r="9" spans="1:37" ht="15" customHeight="1" x14ac:dyDescent="0.3">
      <c r="B9" s="23" t="s">
        <v>705</v>
      </c>
      <c r="C9" s="23" t="s">
        <v>706</v>
      </c>
      <c r="D9" s="23" t="s">
        <v>707</v>
      </c>
      <c r="E9" s="23" t="s">
        <v>708</v>
      </c>
      <c r="F9" s="23" t="s">
        <v>709</v>
      </c>
      <c r="I9" s="23" t="s">
        <v>710</v>
      </c>
      <c r="L9" s="23" t="s">
        <v>711</v>
      </c>
      <c r="M9" s="23" t="s">
        <v>712</v>
      </c>
      <c r="N9" s="23" t="s">
        <v>713</v>
      </c>
      <c r="P9" s="23" t="s">
        <v>714</v>
      </c>
      <c r="R9" s="23" t="s">
        <v>715</v>
      </c>
      <c r="S9" s="23" t="s">
        <v>195</v>
      </c>
      <c r="V9" s="23" t="s">
        <v>220</v>
      </c>
      <c r="W9" s="23" t="s">
        <v>716</v>
      </c>
      <c r="AB9" s="23" t="s">
        <v>717</v>
      </c>
      <c r="AE9" s="23" t="s">
        <v>718</v>
      </c>
      <c r="AF9" s="23" t="s">
        <v>719</v>
      </c>
      <c r="AI9" s="23" t="s">
        <v>680</v>
      </c>
    </row>
    <row r="10" spans="1:37" ht="15" customHeight="1" x14ac:dyDescent="0.3">
      <c r="C10" s="23" t="s">
        <v>720</v>
      </c>
      <c r="D10" s="23" t="s">
        <v>721</v>
      </c>
      <c r="E10" s="23" t="s">
        <v>722</v>
      </c>
      <c r="I10" s="23" t="s">
        <v>723</v>
      </c>
      <c r="L10" s="23" t="s">
        <v>724</v>
      </c>
      <c r="N10" s="23" t="s">
        <v>725</v>
      </c>
      <c r="R10" s="23" t="s">
        <v>726</v>
      </c>
      <c r="S10" s="23" t="s">
        <v>191</v>
      </c>
      <c r="W10" s="23" t="s">
        <v>727</v>
      </c>
      <c r="AB10" s="23" t="s">
        <v>728</v>
      </c>
      <c r="AF10" s="23" t="s">
        <v>347</v>
      </c>
    </row>
    <row r="11" spans="1:37" ht="15" customHeight="1" x14ac:dyDescent="0.3">
      <c r="C11" s="23" t="s">
        <v>729</v>
      </c>
      <c r="D11" s="23" t="s">
        <v>730</v>
      </c>
      <c r="I11" s="23" t="s">
        <v>731</v>
      </c>
      <c r="L11" s="23" t="s">
        <v>106</v>
      </c>
      <c r="N11" s="23" t="s">
        <v>732</v>
      </c>
      <c r="R11" s="23" t="s">
        <v>733</v>
      </c>
      <c r="S11" s="23" t="s">
        <v>187</v>
      </c>
      <c r="W11" s="23" t="s">
        <v>734</v>
      </c>
      <c r="AB11" s="23" t="s">
        <v>735</v>
      </c>
    </row>
    <row r="12" spans="1:37" ht="15" customHeight="1" x14ac:dyDescent="0.3">
      <c r="C12" s="23" t="s">
        <v>736</v>
      </c>
      <c r="D12" s="23" t="s">
        <v>737</v>
      </c>
      <c r="I12" s="23" t="s">
        <v>262</v>
      </c>
      <c r="L12" s="23" t="s">
        <v>738</v>
      </c>
      <c r="N12" s="23" t="s">
        <v>262</v>
      </c>
      <c r="R12" s="23" t="s">
        <v>739</v>
      </c>
      <c r="W12" s="23" t="s">
        <v>740</v>
      </c>
      <c r="AB12" s="23" t="s">
        <v>741</v>
      </c>
    </row>
    <row r="13" spans="1:37" ht="15" customHeight="1" x14ac:dyDescent="0.3">
      <c r="L13" s="23" t="s">
        <v>742</v>
      </c>
      <c r="R13" s="23" t="s">
        <v>743</v>
      </c>
      <c r="W13" s="23" t="s">
        <v>216</v>
      </c>
      <c r="AB13" s="23" t="s">
        <v>262</v>
      </c>
    </row>
    <row r="14" spans="1:37" ht="15" customHeight="1" x14ac:dyDescent="0.3">
      <c r="L14" s="23" t="s">
        <v>744</v>
      </c>
      <c r="R14" s="23" t="s">
        <v>129</v>
      </c>
    </row>
    <row r="15" spans="1:37" ht="15" customHeight="1" x14ac:dyDescent="0.3">
      <c r="L15" s="23" t="s">
        <v>745</v>
      </c>
    </row>
    <row r="16" spans="1:37" ht="15" customHeight="1" x14ac:dyDescent="0.3">
      <c r="L16" s="23" t="s">
        <v>262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2026-06-21T13:49:34Z</dcterms:modified>
  <dc:language>en-US</dc:language>
</cp:coreProperties>
</file>