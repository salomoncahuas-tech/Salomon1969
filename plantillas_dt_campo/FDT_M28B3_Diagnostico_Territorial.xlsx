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M28B3/"/>
    </mc:Choice>
  </mc:AlternateContent>
  <xr:revisionPtr revIDLastSave="8" documentId="13_ncr:1_{C267645A-BC0C-4F63-BE8A-BEA974D99987}" xr6:coauthVersionLast="47" xr6:coauthVersionMax="47" xr10:uidLastSave="{93832381-0C34-41EB-845E-02AB50D53EF3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_xlnm.Print_Area" localSheetId="2">'F-DT-03'!$A$1:$I$67</definedName>
    <definedName name="_xlnm.Print_Area" localSheetId="4">'F-DT-05'!$A$1:$H$51</definedName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1" i="4"/>
  <c r="C10" i="3"/>
  <c r="G9" i="3"/>
  <c r="D10" i="2"/>
  <c r="J9" i="2"/>
  <c r="F12" i="1"/>
  <c r="B12" i="1"/>
  <c r="F11" i="1"/>
  <c r="B11" i="1"/>
  <c r="F10" i="1"/>
</calcChain>
</file>

<file path=xl/sharedStrings.xml><?xml version="1.0" encoding="utf-8"?>
<sst xmlns="http://schemas.openxmlformats.org/spreadsheetml/2006/main" count="1246" uniqueCount="663">
  <si>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</si>
  <si>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</si>
  <si>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</si>
  <si>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</si>
  <si>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</si>
  <si>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</si>
  <si>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</si>
  <si>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</si>
  <si>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</si>
  <si>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Brigada / Responsable *</t>
  </si>
  <si>
    <t>Ficha N° (correlativo)</t>
  </si>
  <si>
    <t>Código del Bloque *</t>
  </si>
  <si>
    <t>52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</si>
  <si>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</si>
  <si>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</si>
  <si>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</si>
  <si>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</si>
  <si>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</si>
  <si>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</si>
  <si>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</si>
  <si>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</si>
  <si>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</si>
  <si>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</si>
  <si>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</si>
  <si>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</si>
  <si>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</si>
  <si>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</si>
  <si>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</si>
  <si>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</si>
  <si>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</si>
  <si>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</si>
  <si>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</t>
  </si>
  <si>
    <t>Rango altitudinal del bloque *</t>
  </si>
  <si>
    <t>3000-3500 m (Puna baja)</t>
  </si>
  <si>
    <t>Paisaje dominante (descripción libre)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</si>
  <si>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</si>
  <si>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</si>
  <si>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</si>
  <si>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</si>
  <si>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</si>
  <si>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</si>
  <si>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</si>
  <si>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</si>
  <si>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</si>
  <si>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</si>
  <si>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</si>
  <si>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</si>
  <si>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Código de Microcuenca (auto)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</si>
  <si>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</si>
  <si>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</si>
  <si>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</si>
  <si>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</si>
  <si>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</si>
  <si>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</si>
  <si>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</si>
  <si>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</si>
  <si>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</si>
  <si>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</si>
  <si>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</si>
  <si>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</si>
  <si>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</si>
  <si>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</si>
  <si>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</si>
  <si>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</si>
  <si>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</si>
  <si>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</si>
  <si>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</si>
  <si>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</si>
  <si>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Surco (&lt;30 cm)</t>
  </si>
  <si>
    <t>Activa</t>
  </si>
  <si>
    <t>Caminos / huellas de ganado</t>
  </si>
  <si>
    <t>Cárcava incipiente (30-50 cm)</t>
  </si>
  <si>
    <t>Semi-activa</t>
  </si>
  <si>
    <t>Sobrepastoreo</t>
  </si>
  <si>
    <t>Cárcava somera (0.5-2 m)</t>
  </si>
  <si>
    <t>Concentración natural de escorrentía</t>
  </si>
  <si>
    <t>4. SÍNTESIS DE PROCESOS EROSIVOS DEL BLOQUE</t>
  </si>
  <si>
    <t>Nivel general de erosión (síntesis) *</t>
  </si>
  <si>
    <t>N° total de cárcavas registradas</t>
  </si>
  <si>
    <t>% del bloque afectado por cárcavas</t>
  </si>
  <si>
    <t>Patrón de cárcavas dominante</t>
  </si>
  <si>
    <t>Aislado</t>
  </si>
  <si>
    <t>Presencia de socavamiento de cauce</t>
  </si>
  <si>
    <t>Urgencia de control</t>
  </si>
  <si>
    <t>Media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</si>
  <si>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</si>
  <si>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</si>
  <si>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</si>
  <si>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</si>
  <si>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P-01 (transecto 50 × 4 m)</t>
  </si>
  <si>
    <t>50 × 4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</si>
  <si>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</si>
  <si>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</si>
  <si>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</si>
  <si>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</si>
  <si>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</si>
  <si>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</si>
  <si>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</si>
  <si>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</si>
  <si>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</si>
  <si>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</si>
  <si>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herbácea-graminoide (%)</t>
  </si>
  <si>
    <t>Cobertura de suelo desnudo (%)</t>
  </si>
  <si>
    <t>Altura máxima observada (m)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</si>
  <si>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</si>
  <si>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</si>
  <si>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</si>
  <si>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</si>
  <si>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</si>
  <si>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</si>
  <si>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</si>
  <si>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</si>
  <si>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</si>
  <si>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</si>
  <si>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</si>
  <si>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</si>
  <si>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</si>
  <si>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</si>
  <si>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</si>
  <si>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</si>
  <si>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</si>
  <si>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</si>
  <si>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</si>
  <si>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</si>
  <si>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Arbóreo medio (8-15 m)</t>
  </si>
  <si>
    <t>Nativa</t>
  </si>
  <si>
    <t>Frecuente (5-20%)</t>
  </si>
  <si>
    <t>Arbóreo bajo (4-8 m)</t>
  </si>
  <si>
    <t>Ocasional (1-5%)</t>
  </si>
  <si>
    <t>Rara (&lt;1%)</t>
  </si>
  <si>
    <t>Arbustivo alto (1.5-4 m)</t>
  </si>
  <si>
    <t>Arbustivo bajo (0.5-1.5 m)</t>
  </si>
  <si>
    <t>Abundante (20-40%)</t>
  </si>
  <si>
    <t>Herbáceo (&lt;0.5 m)</t>
  </si>
  <si>
    <t>Introducida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</si>
  <si>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</si>
  <si>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</si>
  <si>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</si>
  <si>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</si>
  <si>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</si>
  <si>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</si>
  <si>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</si>
  <si>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</si>
  <si>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</si>
  <si>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</si>
  <si>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Amenazada (D.S. 043-2006-AG)</t>
  </si>
  <si>
    <t>VU — Vulnerable</t>
  </si>
  <si>
    <t>EN — En Peligro</t>
  </si>
  <si>
    <t>NT — Casi Amenazado</t>
  </si>
  <si>
    <t>Indicadora de buen estado</t>
  </si>
  <si>
    <t>LC — Preocupación Menor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</si>
  <si>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</si>
  <si>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</si>
  <si>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Responsable *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</si>
  <si>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</si>
  <si>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</si>
  <si>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</si>
  <si>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</si>
  <si>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</si>
  <si>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</si>
  <si>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</si>
  <si>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</si>
  <si>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</si>
  <si>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Muy fuerte</t>
  </si>
  <si>
    <t>Tala para leña</t>
  </si>
  <si>
    <t>Moderada</t>
  </si>
  <si>
    <t>Tala para carbón</t>
  </si>
  <si>
    <t>Nula</t>
  </si>
  <si>
    <t>Tala para madera</t>
  </si>
  <si>
    <t>Ligera</t>
  </si>
  <si>
    <t>Quema (renovación de pastos)</t>
  </si>
  <si>
    <t>Quema accidental / Incendio</t>
  </si>
  <si>
    <t>Cambio de uso a agricultura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</si>
  <si>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</si>
  <si>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</si>
  <si>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</si>
  <si>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</si>
  <si>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</si>
  <si>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</si>
  <si>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</si>
  <si>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</si>
  <si>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</si>
  <si>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No aplica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</si>
  <si>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</si>
  <si>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</si>
  <si>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</si>
  <si>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</si>
  <si>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</si>
  <si>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</si>
  <si>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</si>
  <si>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</si>
  <si>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</si>
  <si>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</si>
  <si>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</si>
  <si>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Medio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</si>
  <si>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</si>
  <si>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</si>
  <si>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</si>
  <si>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</si>
  <si>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</si>
  <si>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</si>
  <si>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</si>
  <si>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</si>
  <si>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Alto</t>
  </si>
  <si>
    <t>Carga ganadera estimada</t>
  </si>
  <si>
    <t>UA/ha</t>
  </si>
  <si>
    <t>Estimación pastoreo extensivo (UA/ha)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</si>
  <si>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</si>
  <si>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</si>
  <si>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</si>
  <si>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</si>
  <si>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</si>
  <si>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</si>
  <si>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</si>
  <si>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</si>
  <si>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</si>
  <si>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</si>
  <si>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Principal causa subyacente (motor)</t>
  </si>
  <si>
    <t>Velocidad de degradación percibida</t>
  </si>
  <si>
    <t>Lenta</t>
  </si>
  <si>
    <t>Reversibilidad técnica</t>
  </si>
  <si>
    <t>Parcialmente reversible</t>
  </si>
  <si>
    <t>Urgencia de intervención</t>
  </si>
  <si>
    <t>Alta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</si>
  <si>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</si>
  <si>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</si>
  <si>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</si>
  <si>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</si>
  <si>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</si>
  <si>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</si>
  <si>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</si>
  <si>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</si>
  <si>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</si>
  <si>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</si>
  <si>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</si>
  <si>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Regular (ligeramente turbia o con sedimentos)</t>
  </si>
  <si>
    <t>Manantial / Puquio</t>
  </si>
  <si>
    <t>Permanente</t>
  </si>
  <si>
    <t>Buena (clara, sin olor, sin sedimentos)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</si>
  <si>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</si>
  <si>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</si>
  <si>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</si>
  <si>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</si>
  <si>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</si>
  <si>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JASS Miraflores (a confirmar en visita social posterior)</t>
  </si>
  <si>
    <t>¿Interferencia con obras de riego?</t>
  </si>
  <si>
    <t>No aplica en el área de muestreo</t>
  </si>
  <si>
    <t>4. ACCESIBILIDAD Y LOGÍSTICA</t>
  </si>
  <si>
    <t>Modalidad de acceso al bloque *</t>
  </si>
  <si>
    <t>Vehicular + caminata &lt;30 min</t>
  </si>
  <si>
    <t>Tipo de vía final</t>
  </si>
  <si>
    <t>Trocha carrozable</t>
  </si>
  <si>
    <t>Estado transitabilidad — época seca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</si>
  <si>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</si>
  <si>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</si>
  <si>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</si>
  <si>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</si>
  <si>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</si>
  <si>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</si>
  <si>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</si>
  <si>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</si>
  <si>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</si>
  <si>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</si>
  <si>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Coordinación con Junta Directiva C.C. Yamango — Sector Miraflores (pendiente registro)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</si>
  <si>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</si>
  <si>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</si>
  <si>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</si>
  <si>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</si>
  <si>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</si>
  <si>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</si>
  <si>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</si>
  <si>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</si>
  <si>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</si>
  <si>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</si>
  <si>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</si>
  <si>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</si>
  <si>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</si>
  <si>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</si>
  <si>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</si>
  <si>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</si>
  <si>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</si>
  <si>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</si>
  <si>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</si>
  <si>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</si>
  <si>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</si>
  <si>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</si>
  <si>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</si>
  <si>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</si>
  <si>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</si>
  <si>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</si>
  <si>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</si>
  <si>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</si>
  <si>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</si>
  <si>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</si>
  <si>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</si>
  <si>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</si>
  <si>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</si>
  <si>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</si>
  <si>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</si>
  <si>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</si>
  <si>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</si>
  <si>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</si>
  <si>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</si>
  <si>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</si>
  <si>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</si>
  <si>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</si>
  <si>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</si>
  <si>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</si>
  <si>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</si>
  <si>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</si>
  <si>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</si>
  <si>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</si>
  <si>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</si>
  <si>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</si>
  <si>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</si>
  <si>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</si>
  <si>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</si>
  <si>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</si>
  <si>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</si>
  <si>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</si>
  <si>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</si>
  <si>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</si>
  <si>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</si>
  <si>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</si>
  <si>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</si>
  <si>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</si>
  <si>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</si>
  <si>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</si>
  <si>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</si>
  <si>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</si>
  <si>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</si>
  <si>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</si>
  <si>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</si>
  <si>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</si>
  <si>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</si>
  <si>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</si>
  <si>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</si>
  <si>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</si>
  <si>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</si>
  <si>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</si>
  <si>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</si>
  <si>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</si>
  <si>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</si>
  <si>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</si>
  <si>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</si>
  <si>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</si>
  <si>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</si>
  <si>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</si>
  <si>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</si>
  <si>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</si>
  <si>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</si>
  <si>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</si>
  <si>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</si>
  <si>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</si>
  <si>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</si>
  <si>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</si>
  <si>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</si>
  <si>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</si>
  <si>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</si>
  <si>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</si>
  <si>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</si>
  <si>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</si>
  <si>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</si>
  <si>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</si>
  <si>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</si>
  <si>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</si>
  <si>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</si>
  <si>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</si>
  <si>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</si>
  <si>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</si>
  <si>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</si>
  <si>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</si>
  <si>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</si>
  <si>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</si>
  <si>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</si>
  <si>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</si>
  <si>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</si>
  <si>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</si>
  <si>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</si>
  <si>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</si>
  <si>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</si>
  <si>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</si>
  <si>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</si>
  <si>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</si>
  <si>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</si>
  <si>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</si>
  <si>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</si>
  <si>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</si>
  <si>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</si>
  <si>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</si>
  <si>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</si>
  <si>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</si>
  <si>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</si>
  <si>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</si>
  <si>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</si>
  <si>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</si>
  <si>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</si>
  <si>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</si>
  <si>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</si>
  <si>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</si>
  <si>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</si>
  <si>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</si>
  <si>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</si>
  <si>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</si>
  <si>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</si>
  <si>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</si>
  <si>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</si>
  <si>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</si>
  <si>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</si>
  <si>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</si>
  <si>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</si>
  <si>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</si>
  <si>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</si>
  <si>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</si>
  <si>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</si>
  <si>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</si>
  <si>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</si>
  <si>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</si>
  <si>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</si>
  <si>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</si>
  <si>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</si>
  <si>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</si>
  <si>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</si>
  <si>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</si>
  <si>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</si>
  <si>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</si>
  <si>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</si>
  <si>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</si>
  <si>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</si>
  <si>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</si>
  <si>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</si>
  <si>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</si>
  <si>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</si>
  <si>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</si>
  <si>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</si>
  <si>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</si>
  <si>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</si>
  <si>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</si>
  <si>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</si>
  <si>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</si>
  <si>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</si>
  <si>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</si>
  <si>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</si>
  <si>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</si>
  <si>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</si>
  <si>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</si>
  <si>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</si>
  <si>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</si>
  <si>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</si>
  <si>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</si>
  <si>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</si>
  <si>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</si>
  <si>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</si>
  <si>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</si>
  <si>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</si>
  <si>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</si>
  <si>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</si>
  <si>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</si>
  <si>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</si>
  <si>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</si>
  <si>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</si>
  <si>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</si>
  <si>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</si>
  <si>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</si>
  <si>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</si>
  <si>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</si>
  <si>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</si>
  <si>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</si>
  <si>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</si>
  <si>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</si>
  <si>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</si>
  <si>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</si>
  <si>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</si>
  <si>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</si>
  <si>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</si>
  <si>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</si>
  <si>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</si>
  <si>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</si>
  <si>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</si>
  <si>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</si>
  <si>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</si>
  <si>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</si>
  <si>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</si>
  <si>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</si>
  <si>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</si>
  <si>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</si>
  <si>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</si>
  <si>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</si>
  <si>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</si>
  <si>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</si>
  <si>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</si>
  <si>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</si>
  <si>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</si>
  <si>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</si>
  <si>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</si>
  <si>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</si>
  <si>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</si>
  <si>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</si>
  <si>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</si>
  <si>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</si>
  <si>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</si>
  <si>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</si>
  <si>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</si>
  <si>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</si>
  <si>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</si>
  <si>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</si>
  <si>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</si>
  <si>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</si>
  <si>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</si>
  <si>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</si>
  <si>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</si>
  <si>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</si>
  <si>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</si>
  <si>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</si>
  <si>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</si>
  <si>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1000-1500 m (Quechua baja)</t>
  </si>
  <si>
    <t>Ligera (laminar)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</si>
  <si>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</si>
  <si>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</si>
  <si>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</si>
  <si>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</si>
  <si>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</si>
  <si>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</si>
  <si>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</si>
  <si>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</si>
  <si>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</si>
  <si>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</si>
  <si>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</si>
  <si>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</si>
  <si>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</si>
  <si>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</si>
  <si>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</si>
  <si>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</si>
  <si>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</si>
  <si>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</si>
  <si>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</si>
  <si>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</si>
  <si>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</si>
  <si>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</si>
  <si>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</si>
  <si>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Lineal</t>
  </si>
  <si>
    <t>Bosque Estacionalmente Seco Colina/Montaña (Bes-cm)</t>
  </si>
  <si>
    <t>Medianamente alterado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</si>
  <si>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</si>
  <si>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</si>
  <si>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</si>
  <si>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</si>
  <si>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</si>
  <si>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</si>
  <si>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</si>
  <si>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</si>
  <si>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</si>
  <si>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</si>
  <si>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</si>
  <si>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</si>
  <si>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</si>
  <si>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</si>
  <si>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</si>
  <si>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</si>
  <si>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</si>
  <si>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</si>
  <si>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</si>
  <si>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</si>
  <si>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</si>
  <si>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</si>
  <si>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</si>
  <si>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</si>
  <si>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</si>
  <si>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</si>
  <si>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</si>
  <si>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</si>
  <si>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</si>
  <si>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</si>
  <si>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</si>
  <si>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</si>
  <si>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</si>
  <si>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</si>
  <si>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</si>
  <si>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</si>
  <si>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</si>
  <si>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</si>
  <si>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</si>
  <si>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</si>
  <si>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</si>
  <si>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</si>
  <si>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</si>
  <si>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</si>
  <si>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</si>
  <si>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</si>
  <si>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</si>
  <si>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</si>
  <si>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</si>
  <si>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</si>
  <si>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</si>
  <si>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</si>
  <si>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</si>
  <si>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</si>
  <si>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</si>
  <si>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</si>
  <si>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</si>
  <si>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</si>
  <si>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</si>
  <si>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</si>
  <si>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</si>
  <si>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</si>
  <si>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</si>
  <si>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</si>
  <si>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</si>
  <si>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</si>
  <si>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</si>
  <si>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</si>
  <si>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</si>
  <si>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</si>
  <si>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</si>
  <si>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</si>
  <si>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</si>
  <si>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</si>
  <si>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</si>
  <si>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</si>
  <si>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</si>
  <si>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</si>
  <si>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</si>
  <si>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</si>
  <si>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</si>
  <si>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</si>
  <si>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</si>
  <si>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</si>
  <si>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</si>
  <si>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</si>
  <si>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</si>
  <si>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</si>
  <si>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</si>
  <si>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</si>
  <si>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</si>
  <si>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</si>
  <si>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</si>
  <si>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</si>
  <si>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Área urbana / rural</t>
  </si>
  <si>
    <t>?</t>
  </si>
  <si>
    <t>Ing. Juan Dominguez</t>
  </si>
  <si>
    <t>-</t>
  </si>
  <si>
    <t>Pasallo</t>
  </si>
  <si>
    <t>Charan</t>
  </si>
  <si>
    <t>Ceibo</t>
  </si>
  <si>
    <t>Palo Santo</t>
  </si>
  <si>
    <t>Se observo ganado caprino en areas cercanas al talud</t>
  </si>
  <si>
    <t>Se observaron tocones en areas cercanas al talud</t>
  </si>
  <si>
    <t>Estimación visual de campo</t>
  </si>
  <si>
    <t>Estimación visual</t>
  </si>
  <si>
    <t>Via asfaltada contigua al bloque</t>
  </si>
  <si>
    <t>Extraccion de individuos para leña y sobrepastoreo de ganado caprino.</t>
  </si>
  <si>
    <t>Pastoreo de ganado caprino</t>
  </si>
  <si>
    <t>Las quebradas que discurren del bloque estaban secas debido a que se evaluo en epoca seca.</t>
  </si>
  <si>
    <t>En el terrno no se evidenciaron carcavas desarrolladas, solo se observaron algunos surcos menores en formacion. La mayor afectacion a nivel de suelo se debe a erosion laminar, producido por la lluvia.</t>
  </si>
  <si>
    <t>El bosque se encuentra degradado en zonas cercanas al centro poblado ya que la poblacion es menos densa y los arboles se encuentran dispersos con alturas menores a 10 m y clases diametricas menores a 40 cm. En zonas proximas a los CCPP se desarrolla actividades agricolas como la siembra de maiz, caña y platanos.</t>
  </si>
  <si>
    <t>Si</t>
  </si>
  <si>
    <t>Se observaron parcelas de maiz</t>
  </si>
  <si>
    <t>El bloque se encuentra degradado a nivel de cobertura vegetal y suelo en zonas proximas a la via y cercanas al CCPP. En el interior del bloque se puede evidenciar claros productos de la extraccion algunos individuos arboreos cercanos a la carretera. Hay cambio de uso del suelo por parcelas agricolas.</t>
  </si>
  <si>
    <t>16:45 - 17:30</t>
  </si>
  <si>
    <t>Ricardo Palma</t>
  </si>
  <si>
    <t>580 - 750 msnm</t>
  </si>
  <si>
    <t>Sistema de laderas convexo-cóncavas tributarias de la quebrada Q9575 (microcuenca C1086), con altitudes de 580 a 750 msnm y desniveles internos. Paisaje de colina baja, dominado por bosque estacionalmente seco de colina.</t>
  </si>
  <si>
    <t>Acceso por via vecinal, ruta desde el distrito de Yamango al CCPP de Ricardo Palma, punto en el que se detuvo la camioneta en el centro poblado y al pie del bloque en la via afirmada. Se ingreso al bloque por la zona oeste, colindante a la via. En el interior del bloque se evidenció actividades agricolas como siembra de maiz, bambu y platano. La zona proxima a la via y al CCPP es la parte del bloque que se encuentra mas degradada. Tambien se evidenció presencia de ganado caprino.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</si>
</sst>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4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top" wrapText="1"/>
    </xf>
    <xf numFmtId="14" fontId="7" fillId="4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="60" zoomScaleNormal="60" workbookViewId="0">
      <pane ySplit="6" topLeftCell="A13" activePane="bottomLeft" state="frozen"/>
      <selection pane="bottomLeft" activeCell="F13" sqref="F13:H13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3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4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" t="s">
        <v>7</v>
      </c>
      <c r="B8" s="19">
        <v>46167</v>
      </c>
      <c r="C8" s="20"/>
      <c r="D8" s="20"/>
      <c r="E8" s="1" t="s">
        <v>8</v>
      </c>
      <c r="F8" s="20" t="s">
        <v>658</v>
      </c>
      <c r="G8" s="20"/>
      <c r="H8" s="20"/>
    </row>
    <row r="9" spans="1:8" ht="19.5" customHeight="1" x14ac:dyDescent="0.3">
      <c r="A9" s="1" t="s">
        <v>9</v>
      </c>
      <c r="B9" s="20" t="s">
        <v>639</v>
      </c>
      <c r="C9" s="20"/>
      <c r="D9" s="20"/>
      <c r="E9" s="1" t="s">
        <v>10</v>
      </c>
      <c r="F9" s="20" t="s">
        <v>638</v>
      </c>
      <c r="G9" s="20"/>
      <c r="H9" s="20"/>
    </row>
    <row r="10" spans="1:8" ht="19.5" customHeight="1" x14ac:dyDescent="0.3">
      <c r="A10" s="1" t="s">
        <v>11</v>
      </c>
      <c r="B10" s="20" t="s">
        <v>377</v>
      </c>
      <c r="C10" s="20"/>
      <c r="D10" s="20"/>
      <c r="E10" s="1" t="s">
        <v>13</v>
      </c>
      <c r="F10" s="21" t="str">
        <f>IFERROR(VLOOKUP($B$10,tbl_Bloques,2,FALSE()),"")</f>
        <v>C1086-Q9575</v>
      </c>
      <c r="G10" s="21"/>
      <c r="H10" s="21"/>
    </row>
    <row r="11" spans="1:8" ht="19.5" customHeight="1" x14ac:dyDescent="0.3">
      <c r="A11" s="1" t="s">
        <v>14</v>
      </c>
      <c r="B11" s="21" t="str">
        <f>IFERROR(VLOOKUP($B$10,tbl_Bloques,3,FALSE()),"")</f>
        <v>Morropon</v>
      </c>
      <c r="C11" s="21"/>
      <c r="D11" s="21"/>
      <c r="E11" s="1" t="s">
        <v>15</v>
      </c>
      <c r="F11" s="21" t="str">
        <f>IFERROR(VLOOKUP($B$10,tbl_Bloques,4,FALSE()),"")</f>
        <v>Yamango</v>
      </c>
      <c r="G11" s="21"/>
      <c r="H11" s="21"/>
    </row>
    <row r="12" spans="1:8" ht="19.5" customHeight="1" x14ac:dyDescent="0.3">
      <c r="A12" s="1" t="s">
        <v>16</v>
      </c>
      <c r="B12" s="21" t="str">
        <f>IFERROR(VLOOKUP($B$10,tbl_Bloques,5,FALSE()),"")</f>
        <v>Z09</v>
      </c>
      <c r="C12" s="21"/>
      <c r="D12" s="21"/>
      <c r="E12" s="1" t="s">
        <v>17</v>
      </c>
      <c r="F12" s="21">
        <f>IFERROR(VLOOKUP($B$10,tbl_Bloques,8,FALSE()),"")</f>
        <v>58.29</v>
      </c>
      <c r="G12" s="21"/>
      <c r="H12" s="21"/>
    </row>
    <row r="13" spans="1:8" ht="19.5" customHeight="1" x14ac:dyDescent="0.3">
      <c r="A13" s="1" t="s">
        <v>18</v>
      </c>
      <c r="B13" s="20">
        <v>634353</v>
      </c>
      <c r="C13" s="20"/>
      <c r="D13" s="20"/>
      <c r="E13" s="1" t="s">
        <v>19</v>
      </c>
      <c r="F13" s="20">
        <v>9426864</v>
      </c>
      <c r="G13" s="20"/>
      <c r="H13" s="20"/>
    </row>
    <row r="14" spans="1:8" ht="19.5" customHeight="1" x14ac:dyDescent="0.3">
      <c r="A14" s="1" t="s">
        <v>20</v>
      </c>
      <c r="B14" s="20">
        <v>600</v>
      </c>
      <c r="C14" s="20"/>
      <c r="D14" s="20"/>
      <c r="E14" s="1" t="s">
        <v>21</v>
      </c>
      <c r="F14" s="20" t="s">
        <v>659</v>
      </c>
      <c r="G14" s="20"/>
      <c r="H14" s="20"/>
    </row>
    <row r="15" spans="1:8" ht="19.5" customHeight="1" x14ac:dyDescent="0.3">
      <c r="A15" s="1" t="s">
        <v>22</v>
      </c>
      <c r="B15" s="20" t="s">
        <v>640</v>
      </c>
      <c r="C15" s="20"/>
      <c r="D15" s="20"/>
      <c r="E15" s="20"/>
      <c r="F15" s="20"/>
      <c r="G15" s="20"/>
      <c r="H15" s="20"/>
    </row>
    <row r="17" spans="1:8" ht="21.75" customHeight="1" x14ac:dyDescent="0.3">
      <c r="A17" s="17" t="s">
        <v>23</v>
      </c>
      <c r="B17" s="17"/>
      <c r="C17" s="17"/>
      <c r="D17" s="17"/>
      <c r="E17" s="17"/>
      <c r="F17" s="17"/>
      <c r="G17" s="17"/>
      <c r="H17" s="17"/>
    </row>
    <row r="18" spans="1:8" ht="19.5" customHeight="1" x14ac:dyDescent="0.3">
      <c r="A18" s="1" t="s">
        <v>24</v>
      </c>
      <c r="B18" s="20" t="s">
        <v>534</v>
      </c>
      <c r="C18" s="20"/>
      <c r="D18" s="20"/>
      <c r="E18" s="20"/>
      <c r="F18" s="20"/>
      <c r="G18" s="20"/>
      <c r="H18" s="20"/>
    </row>
    <row r="19" spans="1:8" ht="19.5" customHeight="1" x14ac:dyDescent="0.3">
      <c r="A19" s="1" t="s">
        <v>26</v>
      </c>
      <c r="B19" s="20" t="s">
        <v>27</v>
      </c>
      <c r="C19" s="20"/>
      <c r="D19" s="20"/>
      <c r="E19" s="20"/>
      <c r="F19" s="20"/>
      <c r="G19" s="20"/>
      <c r="H19" s="20"/>
    </row>
    <row r="20" spans="1:8" ht="19.5" customHeight="1" x14ac:dyDescent="0.3">
      <c r="A20" s="1" t="s">
        <v>28</v>
      </c>
      <c r="B20" s="20" t="s">
        <v>553</v>
      </c>
      <c r="C20" s="20"/>
      <c r="D20" s="20"/>
      <c r="E20" s="20"/>
      <c r="F20" s="20"/>
      <c r="G20" s="20"/>
      <c r="H20" s="20"/>
    </row>
    <row r="21" spans="1:8" ht="19.5" customHeight="1" x14ac:dyDescent="0.3">
      <c r="A21" s="1" t="s">
        <v>30</v>
      </c>
      <c r="B21" s="20" t="s">
        <v>554</v>
      </c>
      <c r="C21" s="20"/>
      <c r="D21" s="20"/>
      <c r="E21" s="20"/>
      <c r="F21" s="20"/>
      <c r="G21" s="20"/>
      <c r="H21" s="20"/>
    </row>
    <row r="22" spans="1:8" ht="19.5" customHeight="1" x14ac:dyDescent="0.3">
      <c r="A22" s="1" t="s">
        <v>32</v>
      </c>
      <c r="B22" s="20" t="s">
        <v>660</v>
      </c>
      <c r="C22" s="20"/>
      <c r="D22" s="20"/>
      <c r="E22" s="20"/>
      <c r="F22" s="20"/>
      <c r="G22" s="20"/>
      <c r="H22" s="20"/>
    </row>
    <row r="23" spans="1:8" ht="57.6" customHeight="1" x14ac:dyDescent="0.3">
      <c r="A23" s="1" t="s">
        <v>34</v>
      </c>
      <c r="B23" s="20" t="s">
        <v>661</v>
      </c>
      <c r="C23" s="20"/>
      <c r="D23" s="20"/>
      <c r="E23" s="20"/>
      <c r="F23" s="20"/>
      <c r="G23" s="20"/>
      <c r="H23" s="20"/>
    </row>
    <row r="25" spans="1:8" ht="21.75" customHeight="1" x14ac:dyDescent="0.3">
      <c r="A25" s="17" t="s">
        <v>35</v>
      </c>
      <c r="B25" s="17"/>
      <c r="C25" s="17"/>
      <c r="D25" s="17"/>
      <c r="E25" s="17"/>
      <c r="F25" s="17"/>
      <c r="G25" s="17"/>
      <c r="H25" s="17"/>
    </row>
    <row r="26" spans="1:8" ht="19.5" customHeight="1" x14ac:dyDescent="0.3">
      <c r="A26" s="1" t="s">
        <v>36</v>
      </c>
      <c r="B26" s="20" t="s">
        <v>40</v>
      </c>
      <c r="C26" s="20"/>
      <c r="D26" s="20"/>
      <c r="E26" s="20"/>
      <c r="F26" s="20"/>
      <c r="G26" s="20"/>
      <c r="H26" s="20"/>
    </row>
    <row r="27" spans="1:8" ht="19.5" customHeight="1" x14ac:dyDescent="0.3">
      <c r="A27" s="1" t="s">
        <v>38</v>
      </c>
      <c r="B27" s="20" t="s">
        <v>40</v>
      </c>
      <c r="C27" s="20"/>
      <c r="D27" s="20"/>
      <c r="E27" s="20"/>
      <c r="F27" s="20"/>
      <c r="G27" s="20"/>
      <c r="H27" s="20"/>
    </row>
    <row r="28" spans="1:8" ht="19.5" customHeight="1" x14ac:dyDescent="0.3">
      <c r="A28" s="1" t="s">
        <v>39</v>
      </c>
      <c r="B28" s="20" t="s">
        <v>40</v>
      </c>
      <c r="C28" s="20"/>
      <c r="D28" s="20"/>
      <c r="E28" s="20"/>
      <c r="F28" s="20"/>
      <c r="G28" s="20"/>
      <c r="H28" s="20"/>
    </row>
    <row r="29" spans="1:8" ht="19.5" customHeight="1" x14ac:dyDescent="0.3">
      <c r="A29" s="1" t="s">
        <v>41</v>
      </c>
      <c r="B29" s="20" t="s">
        <v>37</v>
      </c>
      <c r="C29" s="20"/>
      <c r="D29" s="20"/>
      <c r="E29" s="20"/>
      <c r="F29" s="20"/>
      <c r="G29" s="20"/>
      <c r="H29" s="20"/>
    </row>
    <row r="30" spans="1:8" ht="19.5" customHeight="1" x14ac:dyDescent="0.3">
      <c r="A30" s="1" t="s">
        <v>42</v>
      </c>
      <c r="B30" s="20" t="s">
        <v>40</v>
      </c>
      <c r="C30" s="20"/>
      <c r="D30" s="20"/>
      <c r="E30" s="20"/>
      <c r="F30" s="20"/>
      <c r="G30" s="20"/>
      <c r="H30" s="20"/>
    </row>
    <row r="32" spans="1:8" ht="21.75" customHeight="1" x14ac:dyDescent="0.3">
      <c r="A32" s="17" t="s">
        <v>43</v>
      </c>
      <c r="B32" s="17"/>
      <c r="C32" s="17"/>
      <c r="D32" s="17"/>
      <c r="E32" s="17"/>
      <c r="F32" s="17"/>
      <c r="G32" s="17"/>
      <c r="H32" s="17"/>
    </row>
    <row r="33" spans="1:8" ht="27.75" customHeight="1" x14ac:dyDescent="0.3">
      <c r="A33" s="23" t="s">
        <v>662</v>
      </c>
      <c r="B33" s="23"/>
      <c r="C33" s="23"/>
      <c r="D33" s="23"/>
      <c r="E33" s="23"/>
      <c r="F33" s="23"/>
      <c r="G33" s="23"/>
      <c r="H33" s="23"/>
    </row>
    <row r="34" spans="1:8" ht="27.7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27.75" customHeight="1" x14ac:dyDescent="0.3">
      <c r="A35" s="23"/>
      <c r="B35" s="23"/>
      <c r="C35" s="23"/>
      <c r="D35" s="23"/>
      <c r="E35" s="23"/>
      <c r="F35" s="23"/>
      <c r="G35" s="23"/>
      <c r="H35" s="23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2"/>
  <sheetViews>
    <sheetView showGridLines="0" zoomScale="60" zoomScaleNormal="60" workbookViewId="0">
      <pane ySplit="6" topLeftCell="A7" activePane="bottomLeft" state="frozen"/>
      <selection pane="bottomLeft" activeCell="D17" sqref="D17:L17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4" t="s">
        <v>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27.75" customHeight="1" x14ac:dyDescent="0.3">
      <c r="A5" s="15" t="s">
        <v>45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9.5" customHeight="1" x14ac:dyDescent="0.3">
      <c r="A8" s="24">
        <v>46167</v>
      </c>
      <c r="B8" s="18"/>
      <c r="C8" s="18"/>
      <c r="D8" s="20"/>
      <c r="E8" s="20"/>
      <c r="F8" s="20"/>
      <c r="G8" s="18" t="s">
        <v>639</v>
      </c>
      <c r="H8" s="18"/>
      <c r="I8" s="18"/>
      <c r="J8" s="20"/>
      <c r="K8" s="20"/>
      <c r="L8" s="20"/>
    </row>
    <row r="9" spans="1:12" ht="19.5" customHeight="1" x14ac:dyDescent="0.3">
      <c r="A9" s="18" t="s">
        <v>11</v>
      </c>
      <c r="B9" s="18"/>
      <c r="C9" s="18"/>
      <c r="D9" s="20" t="s">
        <v>377</v>
      </c>
      <c r="E9" s="20"/>
      <c r="F9" s="20"/>
      <c r="G9" s="18" t="s">
        <v>47</v>
      </c>
      <c r="H9" s="18"/>
      <c r="I9" s="18"/>
      <c r="J9" s="21" t="str">
        <f>IFERROR(VLOOKUP($D$9,tbl_Bloques,2,FALSE()),"")</f>
        <v>C1086-Q9575</v>
      </c>
      <c r="K9" s="21"/>
      <c r="L9" s="21"/>
    </row>
    <row r="10" spans="1:12" ht="19.5" customHeight="1" x14ac:dyDescent="0.3">
      <c r="A10" s="18" t="s">
        <v>15</v>
      </c>
      <c r="B10" s="18"/>
      <c r="C10" s="18"/>
      <c r="D10" s="21" t="str">
        <f>IFERROR(VLOOKUP($D$9,tbl_Bloques,4,FALSE()),"")</f>
        <v>Yamango</v>
      </c>
      <c r="E10" s="21"/>
      <c r="F10" s="21"/>
      <c r="G10" s="18"/>
      <c r="H10" s="18"/>
      <c r="I10" s="18"/>
      <c r="J10" s="20"/>
      <c r="K10" s="20"/>
      <c r="L10" s="20"/>
    </row>
    <row r="11" spans="1:12" ht="19.5" customHeight="1" x14ac:dyDescent="0.3">
      <c r="A11" s="18">
        <v>634353</v>
      </c>
      <c r="B11" s="18"/>
      <c r="C11" s="18"/>
      <c r="D11" s="20"/>
      <c r="E11" s="20"/>
      <c r="F11" s="20"/>
      <c r="G11" s="18">
        <v>9426864</v>
      </c>
      <c r="H11" s="18"/>
      <c r="I11" s="18"/>
      <c r="J11" s="20"/>
      <c r="K11" s="20"/>
      <c r="L11" s="20"/>
    </row>
    <row r="13" spans="1:12" ht="21.75" customHeight="1" x14ac:dyDescent="0.3">
      <c r="A13" s="17" t="s">
        <v>48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9.5" customHeight="1" x14ac:dyDescent="0.3">
      <c r="A14" s="18" t="s">
        <v>49</v>
      </c>
      <c r="B14" s="18"/>
      <c r="C14" s="18"/>
      <c r="D14" s="20" t="s">
        <v>40</v>
      </c>
      <c r="E14" s="20"/>
      <c r="F14" s="20"/>
      <c r="G14" s="20"/>
      <c r="H14" s="20"/>
      <c r="I14" s="20"/>
      <c r="J14" s="20"/>
      <c r="K14" s="20"/>
      <c r="L14" s="20"/>
    </row>
    <row r="15" spans="1:12" ht="19.5" customHeight="1" x14ac:dyDescent="0.3">
      <c r="A15" s="18" t="s">
        <v>50</v>
      </c>
      <c r="B15" s="18"/>
      <c r="C15" s="18"/>
      <c r="D15" s="20" t="s">
        <v>37</v>
      </c>
      <c r="E15" s="20"/>
      <c r="F15" s="20"/>
      <c r="G15" s="20"/>
      <c r="H15" s="20"/>
      <c r="I15" s="20"/>
      <c r="J15" s="20"/>
      <c r="K15" s="20"/>
      <c r="L15" s="20"/>
    </row>
    <row r="16" spans="1:12" ht="19.5" customHeight="1" x14ac:dyDescent="0.3">
      <c r="A16" s="18" t="s">
        <v>51</v>
      </c>
      <c r="B16" s="18"/>
      <c r="C16" s="18"/>
      <c r="D16" s="20" t="s">
        <v>40</v>
      </c>
      <c r="E16" s="20"/>
      <c r="F16" s="20"/>
      <c r="G16" s="20"/>
      <c r="H16" s="20"/>
      <c r="I16" s="20"/>
      <c r="J16" s="20"/>
      <c r="K16" s="20"/>
      <c r="L16" s="20"/>
    </row>
    <row r="17" spans="1:12" ht="19.5" customHeight="1" x14ac:dyDescent="0.3">
      <c r="A17" s="18" t="s">
        <v>52</v>
      </c>
      <c r="B17" s="18"/>
      <c r="C17" s="18"/>
      <c r="D17" s="20" t="s">
        <v>516</v>
      </c>
      <c r="E17" s="20"/>
      <c r="F17" s="20"/>
      <c r="G17" s="20"/>
      <c r="H17" s="20"/>
      <c r="I17" s="20"/>
      <c r="J17" s="20"/>
      <c r="K17" s="20"/>
      <c r="L17" s="20"/>
    </row>
    <row r="19" spans="1:12" ht="21.75" customHeight="1" x14ac:dyDescent="0.3">
      <c r="A19" s="17" t="s">
        <v>54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5.5" customHeight="1" x14ac:dyDescent="0.3">
      <c r="A20" s="22" t="s">
        <v>55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31.5" customHeight="1" x14ac:dyDescent="0.3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  <c r="H21" s="2" t="s">
        <v>63</v>
      </c>
      <c r="I21" s="2" t="s">
        <v>64</v>
      </c>
      <c r="J21" s="2" t="s">
        <v>65</v>
      </c>
      <c r="K21" s="2" t="s">
        <v>66</v>
      </c>
      <c r="L21" s="2" t="s">
        <v>67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2" spans="1:12" ht="19.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3"/>
    </row>
    <row r="33" spans="1:12" ht="19.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3"/>
    </row>
    <row r="34" spans="1:12" ht="19.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3"/>
    </row>
    <row r="35" spans="1:12" ht="19.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3"/>
    </row>
    <row r="36" spans="1:12" ht="19.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3"/>
    </row>
    <row r="37" spans="1:12" ht="19.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3"/>
    </row>
    <row r="38" spans="1:12" ht="19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3"/>
    </row>
    <row r="39" spans="1:12" ht="19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3"/>
    </row>
    <row r="41" spans="1:12" ht="21.75" customHeight="1" x14ac:dyDescent="0.3">
      <c r="A41" s="17" t="s">
        <v>76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9.5" customHeight="1" x14ac:dyDescent="0.3">
      <c r="A42" s="18" t="s">
        <v>77</v>
      </c>
      <c r="B42" s="18"/>
      <c r="C42" s="18"/>
      <c r="D42" s="20" t="s">
        <v>516</v>
      </c>
      <c r="E42" s="20"/>
      <c r="F42" s="20"/>
      <c r="G42" s="20"/>
      <c r="H42" s="20"/>
      <c r="I42" s="20"/>
      <c r="J42" s="20"/>
      <c r="K42" s="20"/>
      <c r="L42" s="20"/>
    </row>
    <row r="43" spans="1:12" ht="19.5" customHeight="1" x14ac:dyDescent="0.3">
      <c r="A43" s="18" t="s">
        <v>78</v>
      </c>
      <c r="B43" s="18"/>
      <c r="C43" s="18"/>
      <c r="D43" s="20">
        <v>0</v>
      </c>
      <c r="E43" s="20"/>
      <c r="F43" s="20"/>
      <c r="G43" s="18"/>
      <c r="H43" s="18"/>
      <c r="I43" s="18"/>
      <c r="J43" s="20"/>
      <c r="K43" s="20"/>
      <c r="L43" s="20"/>
    </row>
    <row r="44" spans="1:12" ht="19.5" customHeight="1" x14ac:dyDescent="0.3">
      <c r="A44" s="18" t="s">
        <v>79</v>
      </c>
      <c r="B44" s="18"/>
      <c r="C44" s="18"/>
      <c r="D44" s="20">
        <v>0</v>
      </c>
      <c r="E44" s="20"/>
      <c r="F44" s="20"/>
      <c r="G44" s="18"/>
      <c r="H44" s="18"/>
      <c r="I44" s="18"/>
      <c r="J44" s="20"/>
      <c r="K44" s="20"/>
      <c r="L44" s="20"/>
    </row>
    <row r="45" spans="1:12" ht="19.5" customHeight="1" x14ac:dyDescent="0.3">
      <c r="A45" s="18" t="s">
        <v>80</v>
      </c>
      <c r="B45" s="18"/>
      <c r="C45" s="18"/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19.5" customHeight="1" x14ac:dyDescent="0.3">
      <c r="A46" s="18" t="s">
        <v>82</v>
      </c>
      <c r="B46" s="18"/>
      <c r="C46" s="18"/>
      <c r="D46" s="20" t="s">
        <v>40</v>
      </c>
      <c r="E46" s="20"/>
      <c r="F46" s="20"/>
      <c r="G46" s="20"/>
      <c r="H46" s="20"/>
      <c r="I46" s="20"/>
      <c r="J46" s="20"/>
      <c r="K46" s="20"/>
      <c r="L46" s="20"/>
    </row>
    <row r="47" spans="1:12" ht="19.5" customHeight="1" x14ac:dyDescent="0.3">
      <c r="A47" s="18" t="s">
        <v>83</v>
      </c>
      <c r="B47" s="18"/>
      <c r="C47" s="18"/>
      <c r="D47" s="20" t="s">
        <v>84</v>
      </c>
      <c r="E47" s="20"/>
      <c r="F47" s="20"/>
      <c r="G47" s="20"/>
      <c r="H47" s="20"/>
      <c r="I47" s="20"/>
      <c r="J47" s="20"/>
      <c r="K47" s="20"/>
      <c r="L47" s="20"/>
    </row>
    <row r="49" spans="1:12" ht="21.75" customHeight="1" x14ac:dyDescent="0.3">
      <c r="A49" s="17" t="s">
        <v>43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27.75" customHeight="1" x14ac:dyDescent="0.3">
      <c r="A50" s="23" t="s">
        <v>653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27.7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27.7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</sheetData>
  <mergeCells count="53">
    <mergeCell ref="A50:L52"/>
    <mergeCell ref="A46:C46"/>
    <mergeCell ref="D46:L46"/>
    <mergeCell ref="A47:C47"/>
    <mergeCell ref="D47:L47"/>
    <mergeCell ref="A49:L49"/>
    <mergeCell ref="A44:C44"/>
    <mergeCell ref="D44:F44"/>
    <mergeCell ref="G44:I44"/>
    <mergeCell ref="J44:L44"/>
    <mergeCell ref="A45:C45"/>
    <mergeCell ref="D45:L45"/>
    <mergeCell ref="A42:C42"/>
    <mergeCell ref="D42:L42"/>
    <mergeCell ref="A43:C43"/>
    <mergeCell ref="D43:F43"/>
    <mergeCell ref="G43:I43"/>
    <mergeCell ref="J43:L43"/>
    <mergeCell ref="A17:C17"/>
    <mergeCell ref="D17:L17"/>
    <mergeCell ref="A19:L19"/>
    <mergeCell ref="A20:L20"/>
    <mergeCell ref="A41:L41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9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9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9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42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45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46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47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scale="58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="60" zoomScaleNormal="60" workbookViewId="0">
      <pane ySplit="6" topLeftCell="A51" activePane="bottomLeft" state="frozen"/>
      <selection pane="bottomLeft" sqref="A1:I6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4" t="s">
        <v>85</v>
      </c>
      <c r="B4" s="14"/>
      <c r="C4" s="14"/>
      <c r="D4" s="14"/>
      <c r="E4" s="14"/>
      <c r="F4" s="14"/>
      <c r="G4" s="14"/>
      <c r="H4" s="14"/>
      <c r="I4" s="14"/>
    </row>
    <row r="5" spans="1:9" ht="27.75" customHeight="1" x14ac:dyDescent="0.3">
      <c r="A5" s="15" t="s">
        <v>86</v>
      </c>
      <c r="B5" s="15"/>
      <c r="C5" s="15"/>
      <c r="D5" s="15"/>
      <c r="E5" s="15"/>
      <c r="F5" s="15"/>
      <c r="G5" s="15"/>
      <c r="H5" s="15"/>
      <c r="I5" s="15"/>
    </row>
    <row r="6" spans="1:9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</row>
    <row r="7" spans="1:9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  <c r="I7" s="17"/>
    </row>
    <row r="8" spans="1:9" ht="19.5" customHeight="1" x14ac:dyDescent="0.3">
      <c r="A8" s="18" t="s">
        <v>87</v>
      </c>
      <c r="B8" s="18"/>
      <c r="C8" s="19">
        <v>46167</v>
      </c>
      <c r="D8" s="20"/>
      <c r="E8" s="18" t="s">
        <v>639</v>
      </c>
      <c r="F8" s="18"/>
      <c r="G8" s="20"/>
      <c r="H8" s="20"/>
      <c r="I8" s="20"/>
    </row>
    <row r="9" spans="1:9" ht="19.5" customHeight="1" x14ac:dyDescent="0.3">
      <c r="A9" s="18" t="s">
        <v>11</v>
      </c>
      <c r="B9" s="18"/>
      <c r="C9" s="20" t="s">
        <v>377</v>
      </c>
      <c r="D9" s="20"/>
      <c r="E9" s="18" t="s">
        <v>88</v>
      </c>
      <c r="F9" s="18"/>
      <c r="G9" s="21" t="str">
        <f>IFERROR(VLOOKUP($C$9,tbl_Bloques,2,FALSE()),"")</f>
        <v>C1086-Q9575</v>
      </c>
      <c r="H9" s="21"/>
      <c r="I9" s="21"/>
    </row>
    <row r="10" spans="1:9" ht="19.5" customHeight="1" x14ac:dyDescent="0.3">
      <c r="A10" s="18" t="s">
        <v>15</v>
      </c>
      <c r="B10" s="18"/>
      <c r="C10" s="21" t="str">
        <f>IFERROR(VLOOKUP($C$9,tbl_Bloques,4,FALSE()),"")</f>
        <v>Yamango</v>
      </c>
      <c r="D10" s="21"/>
      <c r="E10" s="18" t="s">
        <v>89</v>
      </c>
      <c r="F10" s="18"/>
      <c r="G10" s="20"/>
      <c r="H10" s="20"/>
      <c r="I10" s="20"/>
    </row>
    <row r="11" spans="1:9" ht="19.5" customHeight="1" x14ac:dyDescent="0.3">
      <c r="A11" s="18" t="s">
        <v>90</v>
      </c>
      <c r="B11" s="18"/>
      <c r="C11" s="20"/>
      <c r="D11" s="20"/>
      <c r="E11" s="18"/>
      <c r="F11" s="18"/>
      <c r="G11" s="20"/>
      <c r="H11" s="20"/>
      <c r="I11" s="20"/>
    </row>
    <row r="12" spans="1:9" ht="19.5" customHeight="1" x14ac:dyDescent="0.3">
      <c r="A12" s="18"/>
      <c r="B12" s="18"/>
      <c r="C12" s="20"/>
      <c r="D12" s="20"/>
      <c r="E12" s="18"/>
      <c r="F12" s="18"/>
      <c r="G12" s="20"/>
      <c r="H12" s="20"/>
      <c r="I12" s="20"/>
    </row>
    <row r="13" spans="1:9" ht="19.5" customHeight="1" x14ac:dyDescent="0.3">
      <c r="A13" s="18">
        <v>634358</v>
      </c>
      <c r="B13" s="18"/>
      <c r="C13" s="20"/>
      <c r="D13" s="20"/>
      <c r="E13" s="18">
        <v>9426868</v>
      </c>
      <c r="F13" s="18"/>
      <c r="G13" s="20"/>
      <c r="H13" s="20"/>
      <c r="I13" s="20"/>
    </row>
    <row r="15" spans="1:9" ht="21.75" customHeight="1" x14ac:dyDescent="0.3">
      <c r="A15" s="17" t="s">
        <v>91</v>
      </c>
      <c r="B15" s="17"/>
      <c r="C15" s="17"/>
      <c r="D15" s="17"/>
      <c r="E15" s="17"/>
      <c r="F15" s="17"/>
      <c r="G15" s="17"/>
      <c r="H15" s="17"/>
      <c r="I15" s="17"/>
    </row>
    <row r="16" spans="1:9" ht="19.5" customHeight="1" x14ac:dyDescent="0.3">
      <c r="A16" s="18" t="s">
        <v>92</v>
      </c>
      <c r="B16" s="18"/>
      <c r="C16" s="20" t="s">
        <v>541</v>
      </c>
      <c r="D16" s="20"/>
      <c r="E16" s="20"/>
      <c r="F16" s="20"/>
      <c r="G16" s="20"/>
      <c r="H16" s="20"/>
      <c r="I16" s="20"/>
    </row>
    <row r="17" spans="1:9" ht="19.5" customHeight="1" x14ac:dyDescent="0.3">
      <c r="A17" s="18" t="s">
        <v>94</v>
      </c>
      <c r="B17" s="18"/>
      <c r="C17" s="20">
        <v>58.29</v>
      </c>
      <c r="D17" s="20"/>
      <c r="E17" s="20"/>
      <c r="F17" s="20"/>
      <c r="G17" s="20"/>
      <c r="H17" s="20"/>
      <c r="I17" s="20"/>
    </row>
    <row r="18" spans="1:9" ht="19.5" customHeight="1" x14ac:dyDescent="0.3">
      <c r="A18" s="18" t="s">
        <v>95</v>
      </c>
      <c r="B18" s="18"/>
      <c r="C18" s="20" t="s">
        <v>542</v>
      </c>
      <c r="D18" s="20"/>
      <c r="E18" s="20"/>
      <c r="F18" s="20"/>
      <c r="G18" s="20"/>
      <c r="H18" s="20"/>
      <c r="I18" s="20"/>
    </row>
    <row r="19" spans="1:9" ht="19.5" customHeight="1" x14ac:dyDescent="0.3">
      <c r="A19" s="18" t="s">
        <v>97</v>
      </c>
      <c r="B19" s="18"/>
      <c r="C19" s="20" t="s">
        <v>589</v>
      </c>
      <c r="D19" s="20"/>
      <c r="E19" s="20"/>
      <c r="F19" s="20"/>
      <c r="G19" s="20"/>
      <c r="H19" s="20"/>
      <c r="I19" s="20"/>
    </row>
    <row r="21" spans="1:9" ht="21.75" customHeight="1" x14ac:dyDescent="0.3">
      <c r="A21" s="17" t="s">
        <v>99</v>
      </c>
      <c r="B21" s="17"/>
      <c r="C21" s="17"/>
      <c r="D21" s="17"/>
      <c r="E21" s="17"/>
      <c r="F21" s="17"/>
      <c r="G21" s="17"/>
      <c r="H21" s="17"/>
      <c r="I21" s="17"/>
    </row>
    <row r="22" spans="1:9" ht="19.5" customHeight="1" x14ac:dyDescent="0.3">
      <c r="A22" s="18" t="s">
        <v>100</v>
      </c>
      <c r="B22" s="18"/>
      <c r="C22" s="20">
        <v>60</v>
      </c>
      <c r="D22" s="20"/>
      <c r="E22" s="18"/>
      <c r="F22" s="18"/>
      <c r="G22" s="20"/>
      <c r="H22" s="20"/>
      <c r="I22" s="20"/>
    </row>
    <row r="23" spans="1:9" ht="19.5" customHeight="1" x14ac:dyDescent="0.3">
      <c r="A23" s="18" t="s">
        <v>101</v>
      </c>
      <c r="B23" s="18"/>
      <c r="C23" s="20">
        <v>30</v>
      </c>
      <c r="D23" s="20"/>
      <c r="E23" s="18"/>
      <c r="F23" s="18"/>
      <c r="G23" s="20"/>
      <c r="H23" s="20"/>
      <c r="I23" s="20"/>
    </row>
    <row r="24" spans="1:9" ht="19.5" customHeight="1" x14ac:dyDescent="0.3">
      <c r="A24" s="18" t="s">
        <v>102</v>
      </c>
      <c r="B24" s="18"/>
      <c r="C24" s="20">
        <v>20</v>
      </c>
      <c r="D24" s="20"/>
      <c r="E24" s="18"/>
      <c r="F24" s="18"/>
      <c r="G24" s="20"/>
      <c r="H24" s="20"/>
      <c r="I24" s="20"/>
    </row>
    <row r="25" spans="1:9" ht="19.5" customHeight="1" x14ac:dyDescent="0.3">
      <c r="A25" s="18" t="s">
        <v>103</v>
      </c>
      <c r="B25" s="18"/>
      <c r="C25" s="20">
        <v>8</v>
      </c>
      <c r="D25" s="20"/>
      <c r="E25" s="18"/>
      <c r="F25" s="18"/>
      <c r="G25" s="20"/>
      <c r="H25" s="20"/>
      <c r="I25" s="20"/>
    </row>
    <row r="26" spans="1:9" ht="19.5" customHeight="1" x14ac:dyDescent="0.3">
      <c r="A26" s="18" t="s">
        <v>104</v>
      </c>
      <c r="B26" s="18"/>
      <c r="C26" s="20" t="s">
        <v>105</v>
      </c>
      <c r="D26" s="20"/>
      <c r="E26" s="20"/>
      <c r="F26" s="20"/>
      <c r="G26" s="20"/>
      <c r="H26" s="20"/>
      <c r="I26" s="20"/>
    </row>
    <row r="27" spans="1:9" ht="19.5" customHeight="1" x14ac:dyDescent="0.3">
      <c r="A27" s="18" t="s">
        <v>106</v>
      </c>
      <c r="B27" s="18"/>
      <c r="C27" s="20" t="s">
        <v>107</v>
      </c>
      <c r="D27" s="20"/>
      <c r="E27" s="20"/>
      <c r="F27" s="20"/>
      <c r="G27" s="20"/>
      <c r="H27" s="20"/>
      <c r="I27" s="20"/>
    </row>
    <row r="28" spans="1:9" ht="19.5" customHeight="1" x14ac:dyDescent="0.3">
      <c r="A28" s="18" t="s">
        <v>108</v>
      </c>
      <c r="B28" s="18"/>
      <c r="C28" s="20" t="s">
        <v>37</v>
      </c>
      <c r="D28" s="20"/>
      <c r="E28" s="20"/>
      <c r="F28" s="20"/>
      <c r="G28" s="20"/>
      <c r="H28" s="20"/>
      <c r="I28" s="20"/>
    </row>
    <row r="29" spans="1:9" ht="19.5" customHeight="1" x14ac:dyDescent="0.3">
      <c r="A29" s="18" t="s">
        <v>109</v>
      </c>
      <c r="B29" s="18"/>
      <c r="C29" s="20" t="s">
        <v>110</v>
      </c>
      <c r="D29" s="20"/>
      <c r="E29" s="20"/>
      <c r="F29" s="20"/>
      <c r="G29" s="20"/>
      <c r="H29" s="20"/>
      <c r="I29" s="20"/>
    </row>
    <row r="30" spans="1:9" ht="19.5" customHeight="1" x14ac:dyDescent="0.3">
      <c r="A30" s="18" t="s">
        <v>111</v>
      </c>
      <c r="B30" s="18"/>
      <c r="C30" s="20" t="s">
        <v>525</v>
      </c>
      <c r="D30" s="20"/>
      <c r="E30" s="20"/>
      <c r="F30" s="20"/>
      <c r="G30" s="20"/>
      <c r="H30" s="20"/>
      <c r="I30" s="20"/>
    </row>
    <row r="32" spans="1:9" ht="21.75" customHeight="1" x14ac:dyDescent="0.3">
      <c r="A32" s="17" t="s">
        <v>113</v>
      </c>
      <c r="B32" s="17"/>
      <c r="C32" s="17"/>
      <c r="D32" s="17"/>
      <c r="E32" s="17"/>
      <c r="F32" s="17"/>
      <c r="G32" s="17"/>
      <c r="H32" s="17"/>
      <c r="I32" s="17"/>
    </row>
    <row r="33" spans="1:9" ht="43.5" customHeight="1" x14ac:dyDescent="0.3">
      <c r="A33" s="22" t="s">
        <v>114</v>
      </c>
      <c r="B33" s="22"/>
      <c r="C33" s="22"/>
      <c r="D33" s="22"/>
      <c r="E33" s="22"/>
      <c r="F33" s="22"/>
      <c r="G33" s="22"/>
      <c r="H33" s="22"/>
      <c r="I33" s="22"/>
    </row>
    <row r="34" spans="1:9" ht="31.5" customHeight="1" x14ac:dyDescent="0.3">
      <c r="A34" s="2" t="s">
        <v>115</v>
      </c>
      <c r="B34" s="2" t="s">
        <v>116</v>
      </c>
      <c r="C34" s="2" t="s">
        <v>117</v>
      </c>
      <c r="D34" s="2" t="s">
        <v>118</v>
      </c>
      <c r="E34" s="2" t="s">
        <v>119</v>
      </c>
      <c r="F34" s="2" t="s">
        <v>120</v>
      </c>
      <c r="G34" s="2" t="s">
        <v>121</v>
      </c>
      <c r="H34" s="2" t="s">
        <v>122</v>
      </c>
      <c r="I34" s="2" t="s">
        <v>123</v>
      </c>
    </row>
    <row r="35" spans="1:9" ht="18" customHeight="1" x14ac:dyDescent="0.3">
      <c r="A35" s="5">
        <v>1</v>
      </c>
      <c r="B35" s="4" t="s">
        <v>641</v>
      </c>
      <c r="C35" s="4"/>
      <c r="D35" s="4"/>
      <c r="E35" s="3" t="s">
        <v>124</v>
      </c>
      <c r="F35" s="3" t="s">
        <v>125</v>
      </c>
      <c r="G35" s="3" t="s">
        <v>132</v>
      </c>
      <c r="H35" s="3">
        <v>30</v>
      </c>
      <c r="I35" s="3">
        <v>8</v>
      </c>
    </row>
    <row r="36" spans="1:9" ht="18" customHeight="1" x14ac:dyDescent="0.3">
      <c r="A36" s="5">
        <v>2</v>
      </c>
      <c r="B36" s="4" t="s">
        <v>642</v>
      </c>
      <c r="C36" s="4"/>
      <c r="D36" s="4"/>
      <c r="E36" s="3" t="s">
        <v>127</v>
      </c>
      <c r="F36" s="3" t="s">
        <v>125</v>
      </c>
      <c r="G36" s="3" t="s">
        <v>135</v>
      </c>
      <c r="H36" s="3">
        <v>20</v>
      </c>
      <c r="I36" s="3">
        <v>5</v>
      </c>
    </row>
    <row r="37" spans="1:9" ht="18" customHeight="1" x14ac:dyDescent="0.3">
      <c r="A37" s="5">
        <v>3</v>
      </c>
      <c r="B37" s="4" t="s">
        <v>643</v>
      </c>
      <c r="C37" s="4"/>
      <c r="D37" s="4"/>
      <c r="E37" s="3" t="s">
        <v>124</v>
      </c>
      <c r="F37" s="3" t="s">
        <v>125</v>
      </c>
      <c r="G37" s="3" t="s">
        <v>128</v>
      </c>
      <c r="H37" s="3">
        <v>40</v>
      </c>
      <c r="I37" s="3">
        <v>12</v>
      </c>
    </row>
    <row r="38" spans="1:9" ht="18" customHeight="1" x14ac:dyDescent="0.3">
      <c r="A38" s="5">
        <v>4</v>
      </c>
      <c r="B38" s="4" t="s">
        <v>644</v>
      </c>
      <c r="C38" s="4"/>
      <c r="D38" s="4"/>
      <c r="E38" s="3" t="s">
        <v>124</v>
      </c>
      <c r="F38" s="3" t="s">
        <v>125</v>
      </c>
      <c r="G38" s="3" t="s">
        <v>128</v>
      </c>
      <c r="H38" s="3">
        <v>30</v>
      </c>
      <c r="I38" s="3">
        <v>7</v>
      </c>
    </row>
    <row r="39" spans="1:9" ht="18" customHeight="1" x14ac:dyDescent="0.3">
      <c r="A39" s="5">
        <v>5</v>
      </c>
      <c r="B39" s="4"/>
      <c r="C39" s="4"/>
      <c r="D39" s="4"/>
      <c r="E39" s="3"/>
      <c r="F39" s="3"/>
      <c r="G39" s="3"/>
      <c r="H39" s="3"/>
      <c r="I39" s="3"/>
    </row>
    <row r="40" spans="1:9" ht="18" customHeight="1" x14ac:dyDescent="0.3">
      <c r="A40" s="5">
        <v>6</v>
      </c>
      <c r="B40" s="4"/>
      <c r="C40" s="4"/>
      <c r="D40" s="4"/>
      <c r="E40" s="3"/>
      <c r="F40" s="3"/>
      <c r="G40" s="3"/>
      <c r="H40" s="3"/>
      <c r="I40" s="3"/>
    </row>
    <row r="41" spans="1:9" ht="18" customHeight="1" x14ac:dyDescent="0.3">
      <c r="A41" s="5">
        <v>7</v>
      </c>
      <c r="B41" s="4"/>
      <c r="C41" s="4"/>
      <c r="D41" s="4"/>
      <c r="E41" s="3"/>
      <c r="F41" s="3"/>
      <c r="G41" s="3"/>
      <c r="H41" s="3"/>
      <c r="I41" s="3"/>
    </row>
    <row r="42" spans="1:9" ht="18" customHeight="1" x14ac:dyDescent="0.3">
      <c r="A42" s="5">
        <v>8</v>
      </c>
      <c r="B42" s="4"/>
      <c r="C42" s="4"/>
      <c r="D42" s="4"/>
      <c r="E42" s="3"/>
      <c r="F42" s="3"/>
      <c r="G42" s="3"/>
      <c r="H42" s="3"/>
      <c r="I42" s="3"/>
    </row>
    <row r="43" spans="1:9" ht="18" customHeight="1" x14ac:dyDescent="0.3">
      <c r="A43" s="5">
        <v>9</v>
      </c>
      <c r="B43" s="4"/>
      <c r="C43" s="4"/>
      <c r="D43" s="4"/>
      <c r="E43" s="3"/>
      <c r="F43" s="3"/>
      <c r="G43" s="3"/>
      <c r="H43" s="3"/>
      <c r="I43" s="3"/>
    </row>
    <row r="44" spans="1:9" ht="18" customHeight="1" x14ac:dyDescent="0.3">
      <c r="A44" s="5">
        <v>10</v>
      </c>
      <c r="B44" s="4"/>
      <c r="C44" s="4"/>
      <c r="D44" s="4"/>
      <c r="E44" s="3"/>
      <c r="F44" s="3"/>
      <c r="G44" s="3"/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7" t="s">
        <v>136</v>
      </c>
      <c r="B51" s="17"/>
      <c r="C51" s="17"/>
      <c r="D51" s="17"/>
      <c r="E51" s="17"/>
      <c r="F51" s="17"/>
      <c r="G51" s="17"/>
      <c r="H51" s="17"/>
      <c r="I51" s="17"/>
    </row>
    <row r="52" spans="1:9" ht="30" customHeight="1" x14ac:dyDescent="0.3">
      <c r="A52" s="2" t="s">
        <v>115</v>
      </c>
      <c r="B52" s="2" t="s">
        <v>137</v>
      </c>
      <c r="C52" s="2" t="s">
        <v>138</v>
      </c>
      <c r="D52" s="2" t="s">
        <v>139</v>
      </c>
      <c r="E52" s="2" t="s">
        <v>140</v>
      </c>
      <c r="F52" s="2" t="s">
        <v>141</v>
      </c>
      <c r="G52" s="2" t="s">
        <v>142</v>
      </c>
      <c r="H52" s="2" t="s">
        <v>143</v>
      </c>
      <c r="I52" s="2" t="s">
        <v>144</v>
      </c>
    </row>
    <row r="53" spans="1:9" ht="18" customHeight="1" x14ac:dyDescent="0.3">
      <c r="A53" s="5">
        <v>1</v>
      </c>
      <c r="B53" s="4"/>
      <c r="C53" s="4"/>
      <c r="D53" s="4"/>
      <c r="E53" s="3"/>
      <c r="F53" s="3"/>
      <c r="G53" s="3"/>
      <c r="H53" s="3"/>
      <c r="I53" s="4"/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7" t="s">
        <v>43</v>
      </c>
      <c r="B64" s="17"/>
      <c r="C64" s="17"/>
      <c r="D64" s="17"/>
      <c r="E64" s="17"/>
      <c r="F64" s="17"/>
      <c r="G64" s="17"/>
      <c r="H64" s="17"/>
      <c r="I64" s="17"/>
    </row>
    <row r="65" spans="1:9" ht="27.75" customHeight="1" x14ac:dyDescent="0.3">
      <c r="A65" s="23" t="s">
        <v>654</v>
      </c>
      <c r="B65" s="23"/>
      <c r="C65" s="23"/>
      <c r="D65" s="23"/>
      <c r="E65" s="23"/>
      <c r="F65" s="23"/>
      <c r="G65" s="23"/>
      <c r="H65" s="23"/>
      <c r="I65" s="23"/>
    </row>
    <row r="66" spans="1:9" ht="27.7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</row>
    <row r="67" spans="1:9" ht="27.7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scale="51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="70" zoomScaleNormal="70" workbookViewId="0">
      <pane ySplit="6" topLeftCell="A12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2" t="s">
        <v>0</v>
      </c>
      <c r="B1" s="12"/>
      <c r="C1" s="12"/>
      <c r="D1" s="12"/>
      <c r="E1" s="12"/>
      <c r="F1" s="12"/>
      <c r="G1" s="12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4" t="s">
        <v>151</v>
      </c>
      <c r="B4" s="14"/>
      <c r="C4" s="14"/>
      <c r="D4" s="14"/>
      <c r="E4" s="14"/>
      <c r="F4" s="14"/>
      <c r="G4" s="14"/>
    </row>
    <row r="5" spans="1:7" ht="27.75" customHeight="1" x14ac:dyDescent="0.3">
      <c r="A5" s="15" t="s">
        <v>152</v>
      </c>
      <c r="B5" s="15"/>
      <c r="C5" s="15"/>
      <c r="D5" s="15"/>
      <c r="E5" s="15"/>
      <c r="F5" s="15"/>
      <c r="G5" s="15"/>
    </row>
    <row r="6" spans="1:7" ht="24" customHeight="1" x14ac:dyDescent="0.3">
      <c r="A6" s="16" t="s">
        <v>5</v>
      </c>
      <c r="B6" s="16"/>
      <c r="C6" s="16"/>
      <c r="D6" s="16"/>
      <c r="E6" s="16"/>
      <c r="F6" s="16"/>
      <c r="G6" s="16"/>
    </row>
    <row r="7" spans="1:7" ht="21.75" customHeight="1" x14ac:dyDescent="0.3">
      <c r="A7" s="17" t="s">
        <v>46</v>
      </c>
      <c r="B7" s="17"/>
      <c r="C7" s="17"/>
      <c r="D7" s="17"/>
      <c r="E7" s="17"/>
      <c r="F7" s="17"/>
      <c r="G7" s="17"/>
    </row>
    <row r="8" spans="1:7" ht="19.5" customHeight="1" x14ac:dyDescent="0.3">
      <c r="A8" s="18" t="s">
        <v>87</v>
      </c>
      <c r="B8" s="18"/>
      <c r="C8" s="19">
        <v>46167</v>
      </c>
      <c r="D8" s="20"/>
      <c r="E8" s="20"/>
      <c r="F8" s="20"/>
      <c r="G8" s="20"/>
    </row>
    <row r="9" spans="1:7" ht="19.5" customHeight="1" x14ac:dyDescent="0.3">
      <c r="A9" s="18" t="s">
        <v>153</v>
      </c>
      <c r="B9" s="18"/>
      <c r="C9" s="20" t="s">
        <v>639</v>
      </c>
      <c r="D9" s="20"/>
      <c r="E9" s="20"/>
      <c r="F9" s="20"/>
      <c r="G9" s="20"/>
    </row>
    <row r="10" spans="1:7" ht="19.5" customHeight="1" x14ac:dyDescent="0.3">
      <c r="A10" s="18" t="s">
        <v>11</v>
      </c>
      <c r="B10" s="18"/>
      <c r="C10" s="20" t="s">
        <v>377</v>
      </c>
      <c r="D10" s="20"/>
      <c r="E10" s="20"/>
      <c r="F10" s="20"/>
      <c r="G10" s="20"/>
    </row>
    <row r="11" spans="1:7" ht="19.5" customHeight="1" x14ac:dyDescent="0.3">
      <c r="A11" s="18" t="s">
        <v>88</v>
      </c>
      <c r="B11" s="18"/>
      <c r="C11" s="21" t="str">
        <f>IFERROR(VLOOKUP($C$10,tbl_Bloques,2,FALSE()),"")</f>
        <v>C1086-Q9575</v>
      </c>
      <c r="D11" s="21"/>
      <c r="E11" s="21"/>
      <c r="F11" s="21"/>
      <c r="G11" s="21"/>
    </row>
    <row r="12" spans="1:7" ht="21.75" customHeight="1" x14ac:dyDescent="0.3">
      <c r="A12" s="6" t="s">
        <v>154</v>
      </c>
      <c r="B12" s="7"/>
      <c r="C12" s="25"/>
      <c r="D12" s="25"/>
      <c r="E12" s="25"/>
      <c r="F12" s="25"/>
      <c r="G12" s="25"/>
    </row>
    <row r="13" spans="1:7" ht="27.75" customHeight="1" x14ac:dyDescent="0.3">
      <c r="A13" s="22" t="s">
        <v>155</v>
      </c>
      <c r="B13" s="22"/>
      <c r="C13" s="26"/>
      <c r="D13" s="26"/>
      <c r="E13" s="26"/>
      <c r="F13" s="26"/>
      <c r="G13" s="26"/>
    </row>
    <row r="14" spans="1:7" ht="31.5" customHeight="1" x14ac:dyDescent="0.3">
      <c r="A14" s="2" t="s">
        <v>115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</row>
    <row r="15" spans="1:7" ht="18" customHeight="1" x14ac:dyDescent="0.3">
      <c r="A15" s="5">
        <v>1</v>
      </c>
      <c r="B15" s="8" t="s">
        <v>162</v>
      </c>
      <c r="C15" s="3" t="s">
        <v>37</v>
      </c>
      <c r="D15" s="3" t="s">
        <v>165</v>
      </c>
      <c r="E15" s="3">
        <v>25</v>
      </c>
      <c r="F15" s="3">
        <v>20</v>
      </c>
      <c r="G15" s="4" t="s">
        <v>645</v>
      </c>
    </row>
    <row r="16" spans="1:7" ht="18" customHeight="1" x14ac:dyDescent="0.3">
      <c r="A16" s="5">
        <v>2</v>
      </c>
      <c r="B16" s="8" t="s">
        <v>164</v>
      </c>
      <c r="C16" s="3" t="s">
        <v>37</v>
      </c>
      <c r="D16" s="3" t="s">
        <v>165</v>
      </c>
      <c r="E16" s="3">
        <v>10</v>
      </c>
      <c r="F16" s="3">
        <v>10</v>
      </c>
      <c r="G16" s="4" t="s">
        <v>646</v>
      </c>
    </row>
    <row r="17" spans="1:7" ht="18" customHeight="1" x14ac:dyDescent="0.3">
      <c r="A17" s="5">
        <v>3</v>
      </c>
      <c r="B17" s="8" t="s">
        <v>166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168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8" t="s">
        <v>170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8" t="s">
        <v>171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172</v>
      </c>
      <c r="C21" s="3" t="s">
        <v>655</v>
      </c>
      <c r="D21" s="3" t="s">
        <v>165</v>
      </c>
      <c r="E21" s="3">
        <v>30</v>
      </c>
      <c r="F21" s="3">
        <v>20</v>
      </c>
      <c r="G21" s="4" t="s">
        <v>656</v>
      </c>
    </row>
    <row r="22" spans="1:7" ht="18" customHeight="1" x14ac:dyDescent="0.3">
      <c r="A22" s="5">
        <v>8</v>
      </c>
      <c r="B22" s="8" t="s">
        <v>173</v>
      </c>
      <c r="C22" s="3" t="s">
        <v>37</v>
      </c>
      <c r="D22" s="3" t="s">
        <v>169</v>
      </c>
      <c r="E22" s="3">
        <v>25</v>
      </c>
      <c r="F22" s="3">
        <v>10</v>
      </c>
      <c r="G22" s="4" t="s">
        <v>645</v>
      </c>
    </row>
    <row r="23" spans="1:7" ht="18" customHeight="1" x14ac:dyDescent="0.3">
      <c r="A23" s="5">
        <v>9</v>
      </c>
      <c r="B23" s="8" t="s">
        <v>174</v>
      </c>
      <c r="C23" s="3"/>
      <c r="D23" s="3"/>
      <c r="E23" s="3"/>
      <c r="F23" s="3"/>
      <c r="G23" s="4"/>
    </row>
    <row r="24" spans="1:7" ht="18" customHeight="1" x14ac:dyDescent="0.3">
      <c r="A24" s="5">
        <v>10</v>
      </c>
      <c r="B24" s="8" t="s">
        <v>175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176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177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8" t="s">
        <v>178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8" t="s">
        <v>179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180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181</v>
      </c>
      <c r="C30" s="3"/>
      <c r="D30" s="3"/>
      <c r="E30" s="3"/>
      <c r="F30" s="3"/>
      <c r="G30" s="4"/>
    </row>
    <row r="32" spans="1:7" ht="21.75" customHeight="1" x14ac:dyDescent="0.3">
      <c r="A32" s="17" t="s">
        <v>183</v>
      </c>
      <c r="B32" s="17"/>
      <c r="C32" s="17"/>
      <c r="D32" s="17"/>
      <c r="E32" s="17"/>
      <c r="F32" s="17"/>
      <c r="G32" s="17"/>
    </row>
    <row r="33" spans="1:7" ht="25.5" customHeight="1" x14ac:dyDescent="0.3">
      <c r="A33" s="22" t="s">
        <v>184</v>
      </c>
      <c r="B33" s="22"/>
      <c r="C33" s="22"/>
      <c r="D33" s="22"/>
      <c r="E33" s="22"/>
      <c r="F33" s="22"/>
      <c r="G33" s="22"/>
    </row>
    <row r="34" spans="1:7" ht="27.75" customHeight="1" x14ac:dyDescent="0.3">
      <c r="A34" s="2" t="s">
        <v>115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189</v>
      </c>
      <c r="G34" s="2" t="s">
        <v>190</v>
      </c>
    </row>
    <row r="35" spans="1:7" ht="21.75" customHeight="1" x14ac:dyDescent="0.3">
      <c r="A35" s="5">
        <v>1</v>
      </c>
      <c r="B35" s="8" t="s">
        <v>191</v>
      </c>
      <c r="C35" s="5" t="s">
        <v>192</v>
      </c>
      <c r="D35" s="3">
        <v>60</v>
      </c>
      <c r="E35" s="4" t="s">
        <v>647</v>
      </c>
      <c r="F35" s="8" t="s">
        <v>193</v>
      </c>
      <c r="G35" s="3" t="s">
        <v>203</v>
      </c>
    </row>
    <row r="36" spans="1:7" ht="21.75" customHeight="1" x14ac:dyDescent="0.3">
      <c r="A36" s="5">
        <v>2</v>
      </c>
      <c r="B36" s="8" t="s">
        <v>195</v>
      </c>
      <c r="C36" s="5" t="s">
        <v>192</v>
      </c>
      <c r="D36" s="3">
        <v>15</v>
      </c>
      <c r="E36" s="4" t="s">
        <v>648</v>
      </c>
      <c r="F36" s="8" t="s">
        <v>196</v>
      </c>
      <c r="G36" s="3" t="s">
        <v>254</v>
      </c>
    </row>
    <row r="37" spans="1:7" ht="21.75" customHeight="1" x14ac:dyDescent="0.3">
      <c r="A37" s="5">
        <v>3</v>
      </c>
      <c r="B37" s="8" t="s">
        <v>197</v>
      </c>
      <c r="C37" s="5" t="s">
        <v>198</v>
      </c>
      <c r="D37" s="3"/>
      <c r="E37" s="4"/>
      <c r="F37" s="8" t="s">
        <v>199</v>
      </c>
      <c r="G37" s="3"/>
    </row>
    <row r="38" spans="1:7" ht="21.75" customHeight="1" x14ac:dyDescent="0.3">
      <c r="A38" s="5">
        <v>4</v>
      </c>
      <c r="B38" s="8" t="s">
        <v>200</v>
      </c>
      <c r="C38" s="5" t="s">
        <v>201</v>
      </c>
      <c r="D38" s="3"/>
      <c r="E38" s="4"/>
      <c r="F38" s="8" t="s">
        <v>202</v>
      </c>
      <c r="G38" s="3"/>
    </row>
    <row r="39" spans="1:7" ht="21.75" customHeight="1" x14ac:dyDescent="0.3">
      <c r="A39" s="5">
        <v>5</v>
      </c>
      <c r="B39" s="8" t="s">
        <v>204</v>
      </c>
      <c r="C39" s="5" t="s">
        <v>205</v>
      </c>
      <c r="D39" s="3">
        <v>2</v>
      </c>
      <c r="E39" s="4" t="s">
        <v>206</v>
      </c>
      <c r="F39" s="8" t="s">
        <v>207</v>
      </c>
      <c r="G39" s="3" t="s">
        <v>254</v>
      </c>
    </row>
    <row r="40" spans="1:7" ht="21.75" customHeight="1" x14ac:dyDescent="0.3">
      <c r="A40" s="5">
        <v>6</v>
      </c>
      <c r="B40" s="8" t="s">
        <v>208</v>
      </c>
      <c r="C40" s="5" t="s">
        <v>115</v>
      </c>
      <c r="D40" s="3"/>
      <c r="E40" s="4"/>
      <c r="F40" s="8" t="s">
        <v>209</v>
      </c>
      <c r="G40" s="3"/>
    </row>
    <row r="41" spans="1:7" ht="21.75" customHeight="1" x14ac:dyDescent="0.3">
      <c r="A41" s="5">
        <v>7</v>
      </c>
      <c r="B41" s="8" t="s">
        <v>210</v>
      </c>
      <c r="C41" s="5" t="s">
        <v>192</v>
      </c>
      <c r="D41" s="3"/>
      <c r="E41" s="4"/>
      <c r="F41" s="8" t="s">
        <v>211</v>
      </c>
      <c r="G41" s="3"/>
    </row>
    <row r="42" spans="1:7" ht="21.75" customHeight="1" x14ac:dyDescent="0.3">
      <c r="A42" s="5">
        <v>8</v>
      </c>
      <c r="B42" s="8" t="s">
        <v>212</v>
      </c>
      <c r="C42" s="5" t="s">
        <v>213</v>
      </c>
      <c r="D42" s="3">
        <v>0</v>
      </c>
      <c r="E42" s="4" t="s">
        <v>649</v>
      </c>
      <c r="F42" s="8" t="s">
        <v>214</v>
      </c>
      <c r="G42" s="3" t="s">
        <v>203</v>
      </c>
    </row>
    <row r="44" spans="1:7" ht="21.75" customHeight="1" x14ac:dyDescent="0.3">
      <c r="A44" s="17" t="s">
        <v>215</v>
      </c>
      <c r="B44" s="17"/>
      <c r="C44" s="17"/>
      <c r="D44" s="17"/>
      <c r="E44" s="17"/>
      <c r="F44" s="17"/>
      <c r="G44" s="17"/>
    </row>
    <row r="45" spans="1:7" ht="19.5" customHeight="1" x14ac:dyDescent="0.3">
      <c r="A45" s="18" t="s">
        <v>216</v>
      </c>
      <c r="B45" s="18"/>
      <c r="C45" s="20" t="s">
        <v>650</v>
      </c>
      <c r="D45" s="20"/>
      <c r="E45" s="20"/>
      <c r="F45" s="20"/>
      <c r="G45" s="20"/>
    </row>
    <row r="46" spans="1:7" ht="19.5" customHeight="1" x14ac:dyDescent="0.3">
      <c r="A46" s="18" t="s">
        <v>217</v>
      </c>
      <c r="B46" s="18"/>
      <c r="C46" s="20" t="s">
        <v>651</v>
      </c>
      <c r="D46" s="20"/>
      <c r="E46" s="20"/>
      <c r="F46" s="20"/>
      <c r="G46" s="20"/>
    </row>
    <row r="47" spans="1:7" ht="19.5" customHeight="1" x14ac:dyDescent="0.3">
      <c r="A47" s="18" t="s">
        <v>218</v>
      </c>
      <c r="B47" s="18"/>
      <c r="C47" s="20" t="s">
        <v>165</v>
      </c>
      <c r="D47" s="20"/>
      <c r="E47" s="20"/>
      <c r="F47" s="20"/>
      <c r="G47" s="20"/>
    </row>
    <row r="48" spans="1:7" ht="19.5" customHeight="1" x14ac:dyDescent="0.3">
      <c r="A48" s="18" t="s">
        <v>220</v>
      </c>
      <c r="B48" s="18"/>
      <c r="C48" s="20" t="s">
        <v>221</v>
      </c>
      <c r="D48" s="20"/>
      <c r="E48" s="20"/>
      <c r="F48" s="20"/>
      <c r="G48" s="20"/>
    </row>
    <row r="49" spans="1:7" ht="19.5" customHeight="1" x14ac:dyDescent="0.3">
      <c r="A49" s="18" t="s">
        <v>222</v>
      </c>
      <c r="B49" s="18"/>
      <c r="C49" s="20" t="s">
        <v>84</v>
      </c>
      <c r="D49" s="20"/>
      <c r="E49" s="20"/>
      <c r="F49" s="20"/>
      <c r="G49" s="20"/>
    </row>
    <row r="51" spans="1:7" ht="21.75" customHeight="1" x14ac:dyDescent="0.3">
      <c r="A51" s="17" t="s">
        <v>43</v>
      </c>
      <c r="B51" s="17"/>
      <c r="C51" s="17"/>
      <c r="D51" s="17"/>
      <c r="E51" s="17"/>
      <c r="F51" s="17"/>
      <c r="G51" s="17"/>
    </row>
    <row r="52" spans="1:7" ht="27.75" customHeight="1" x14ac:dyDescent="0.3">
      <c r="A52" s="23" t="s">
        <v>657</v>
      </c>
      <c r="B52" s="23"/>
      <c r="C52" s="23"/>
      <c r="D52" s="23"/>
      <c r="E52" s="23"/>
      <c r="F52" s="23"/>
      <c r="G52" s="23"/>
    </row>
    <row r="53" spans="1:7" ht="27.75" customHeight="1" x14ac:dyDescent="0.3">
      <c r="A53" s="23"/>
      <c r="B53" s="23"/>
      <c r="C53" s="23"/>
      <c r="D53" s="23"/>
      <c r="E53" s="23"/>
      <c r="F53" s="23"/>
      <c r="G53" s="23"/>
    </row>
    <row r="54" spans="1:7" ht="27.75" customHeight="1" x14ac:dyDescent="0.3">
      <c r="A54" s="23"/>
      <c r="B54" s="23"/>
      <c r="C54" s="23"/>
      <c r="D54" s="23"/>
      <c r="E54" s="23"/>
      <c r="F54" s="23"/>
      <c r="G54" s="23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disablePrompts="1"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="70" zoomScaleNormal="70" workbookViewId="0">
      <pane ySplit="6" topLeftCell="A31" activePane="bottomLeft" state="frozen"/>
      <selection pane="bottomLeft" sqref="A1:H5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224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225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8" t="s">
        <v>7</v>
      </c>
      <c r="B8" s="18"/>
      <c r="C8" s="19">
        <v>46167</v>
      </c>
      <c r="D8" s="20"/>
      <c r="E8" s="18" t="s">
        <v>639</v>
      </c>
      <c r="F8" s="18"/>
      <c r="G8" s="20"/>
      <c r="H8" s="20"/>
    </row>
    <row r="9" spans="1:8" ht="19.5" customHeight="1" x14ac:dyDescent="0.3">
      <c r="A9" s="18" t="s">
        <v>11</v>
      </c>
      <c r="B9" s="18"/>
      <c r="C9" s="20" t="s">
        <v>377</v>
      </c>
      <c r="D9" s="20"/>
      <c r="E9" s="18" t="s">
        <v>88</v>
      </c>
      <c r="F9" s="18"/>
      <c r="G9" s="21" t="str">
        <f>IFERROR(VLOOKUP($C$9,tbl_Bloques,2,FALSE()),"")</f>
        <v>C1086-Q9575</v>
      </c>
      <c r="H9" s="21"/>
    </row>
    <row r="10" spans="1:8" ht="19.5" customHeight="1" x14ac:dyDescent="0.3">
      <c r="A10" s="18" t="s">
        <v>15</v>
      </c>
      <c r="B10" s="18"/>
      <c r="C10" s="21" t="str">
        <f>IFERROR(VLOOKUP($C$9,tbl_Bloques,4,FALSE()),"")</f>
        <v>Yamango</v>
      </c>
      <c r="D10" s="21"/>
      <c r="E10" s="18" t="s">
        <v>14</v>
      </c>
      <c r="F10" s="18"/>
      <c r="G10" s="21" t="str">
        <f>IFERROR(VLOOKUP($C$9,tbl_Bloques,3,FALSE()),"")</f>
        <v>Morropon</v>
      </c>
      <c r="H10" s="21"/>
    </row>
    <row r="12" spans="1:8" ht="21.75" customHeight="1" x14ac:dyDescent="0.3">
      <c r="A12" s="17" t="s">
        <v>226</v>
      </c>
      <c r="B12" s="17"/>
      <c r="C12" s="17"/>
      <c r="D12" s="17"/>
      <c r="E12" s="17"/>
      <c r="F12" s="17"/>
      <c r="G12" s="17"/>
      <c r="H12" s="17"/>
    </row>
    <row r="13" spans="1:8" ht="27.75" customHeight="1" x14ac:dyDescent="0.3">
      <c r="A13" s="22" t="s">
        <v>227</v>
      </c>
      <c r="B13" s="22"/>
      <c r="C13" s="22"/>
      <c r="D13" s="22"/>
      <c r="E13" s="22"/>
      <c r="F13" s="22"/>
      <c r="G13" s="22"/>
      <c r="H13" s="22"/>
    </row>
    <row r="14" spans="1:8" ht="30" customHeight="1" x14ac:dyDescent="0.3">
      <c r="A14" s="2" t="s">
        <v>115</v>
      </c>
      <c r="B14" s="2" t="s">
        <v>228</v>
      </c>
      <c r="C14" s="2" t="s">
        <v>140</v>
      </c>
      <c r="D14" s="2" t="s">
        <v>141</v>
      </c>
      <c r="E14" s="2" t="s">
        <v>229</v>
      </c>
      <c r="F14" s="2" t="s">
        <v>230</v>
      </c>
      <c r="G14" s="2" t="s">
        <v>231</v>
      </c>
      <c r="H14" s="2" t="s">
        <v>232</v>
      </c>
    </row>
    <row r="15" spans="1:8" ht="19.5" customHeight="1" x14ac:dyDescent="0.3">
      <c r="A15" s="5">
        <v>1</v>
      </c>
      <c r="B15" s="3"/>
      <c r="C15" s="3"/>
      <c r="D15" s="3"/>
      <c r="E15" s="3"/>
      <c r="F15" s="3"/>
      <c r="G15" s="3"/>
      <c r="H15" s="4"/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7" t="s">
        <v>239</v>
      </c>
      <c r="B26" s="17"/>
      <c r="C26" s="17"/>
      <c r="D26" s="17"/>
      <c r="E26" s="17"/>
      <c r="F26" s="17"/>
      <c r="G26" s="17"/>
      <c r="H26" s="17"/>
    </row>
    <row r="27" spans="1:8" ht="19.5" customHeight="1" x14ac:dyDescent="0.3">
      <c r="A27" s="18" t="s">
        <v>240</v>
      </c>
      <c r="B27" s="18"/>
      <c r="C27" s="20" t="s">
        <v>40</v>
      </c>
      <c r="D27" s="20"/>
      <c r="E27" s="20"/>
      <c r="F27" s="20"/>
      <c r="G27" s="20"/>
      <c r="H27" s="20"/>
    </row>
    <row r="28" spans="1:8" ht="19.5" customHeight="1" x14ac:dyDescent="0.3">
      <c r="A28" s="18" t="s">
        <v>241</v>
      </c>
      <c r="B28" s="18"/>
      <c r="C28" s="20" t="s">
        <v>40</v>
      </c>
      <c r="D28" s="20"/>
      <c r="E28" s="20"/>
      <c r="F28" s="20"/>
      <c r="G28" s="20"/>
      <c r="H28" s="20"/>
    </row>
    <row r="29" spans="1:8" ht="19.5" customHeight="1" x14ac:dyDescent="0.3">
      <c r="A29" s="18" t="s">
        <v>242</v>
      </c>
      <c r="B29" s="18"/>
      <c r="C29" s="20" t="s">
        <v>40</v>
      </c>
      <c r="D29" s="20"/>
      <c r="E29" s="20"/>
      <c r="F29" s="20"/>
      <c r="G29" s="20"/>
      <c r="H29" s="20"/>
    </row>
    <row r="30" spans="1:8" ht="19.5" customHeight="1" x14ac:dyDescent="0.3">
      <c r="A30" s="18" t="s">
        <v>243</v>
      </c>
      <c r="B30" s="18"/>
      <c r="C30" s="20"/>
      <c r="D30" s="20"/>
      <c r="E30" s="20"/>
      <c r="F30" s="20"/>
      <c r="G30" s="20"/>
      <c r="H30" s="20"/>
    </row>
    <row r="31" spans="1:8" ht="19.5" customHeight="1" x14ac:dyDescent="0.3">
      <c r="A31" s="18" t="s">
        <v>244</v>
      </c>
      <c r="B31" s="18"/>
      <c r="C31" s="20"/>
      <c r="D31" s="20"/>
      <c r="E31" s="20"/>
      <c r="F31" s="20"/>
      <c r="G31" s="20"/>
      <c r="H31" s="20"/>
    </row>
    <row r="32" spans="1:8" ht="19.5" customHeight="1" x14ac:dyDescent="0.3">
      <c r="A32" s="18" t="s">
        <v>245</v>
      </c>
      <c r="B32" s="18"/>
      <c r="C32" s="20" t="s">
        <v>40</v>
      </c>
      <c r="D32" s="20"/>
      <c r="E32" s="20"/>
      <c r="F32" s="20"/>
      <c r="G32" s="20"/>
      <c r="H32" s="20"/>
    </row>
    <row r="33" spans="1:8" ht="19.5" customHeight="1" x14ac:dyDescent="0.3">
      <c r="A33" s="18" t="s">
        <v>246</v>
      </c>
      <c r="B33" s="18"/>
      <c r="C33" s="20"/>
      <c r="D33" s="20"/>
      <c r="E33" s="20"/>
      <c r="F33" s="20"/>
      <c r="G33" s="20"/>
      <c r="H33" s="20"/>
    </row>
    <row r="35" spans="1:8" ht="21.75" customHeight="1" x14ac:dyDescent="0.3">
      <c r="A35" s="17" t="s">
        <v>247</v>
      </c>
      <c r="B35" s="17"/>
      <c r="C35" s="17"/>
      <c r="D35" s="17"/>
      <c r="E35" s="17"/>
      <c r="F35" s="17"/>
      <c r="G35" s="17"/>
      <c r="H35" s="17"/>
    </row>
    <row r="36" spans="1:8" ht="19.5" customHeight="1" x14ac:dyDescent="0.3">
      <c r="A36" s="18" t="s">
        <v>248</v>
      </c>
      <c r="B36" s="18"/>
      <c r="C36" s="20" t="s">
        <v>249</v>
      </c>
      <c r="D36" s="20"/>
      <c r="E36" s="20"/>
      <c r="F36" s="20"/>
      <c r="G36" s="20"/>
      <c r="H36" s="20"/>
    </row>
    <row r="37" spans="1:8" ht="19.5" customHeight="1" x14ac:dyDescent="0.3">
      <c r="A37" s="18"/>
      <c r="B37" s="18"/>
      <c r="C37" s="20"/>
      <c r="D37" s="20"/>
      <c r="E37" s="20"/>
      <c r="F37" s="20"/>
      <c r="G37" s="20"/>
      <c r="H37" s="20"/>
    </row>
    <row r="38" spans="1:8" ht="19.5" customHeight="1" x14ac:dyDescent="0.3">
      <c r="A38" s="18" t="s">
        <v>250</v>
      </c>
      <c r="B38" s="18"/>
      <c r="C38" s="20" t="s">
        <v>597</v>
      </c>
      <c r="D38" s="20"/>
      <c r="E38" s="20"/>
      <c r="F38" s="20"/>
      <c r="G38" s="20"/>
      <c r="H38" s="20"/>
    </row>
    <row r="39" spans="1:8" ht="19.5" customHeight="1" x14ac:dyDescent="0.3">
      <c r="A39" s="18" t="s">
        <v>252</v>
      </c>
      <c r="B39" s="18"/>
      <c r="C39" s="20" t="s">
        <v>254</v>
      </c>
      <c r="D39" s="20"/>
      <c r="E39" s="20"/>
      <c r="F39" s="20"/>
      <c r="G39" s="20"/>
      <c r="H39" s="20"/>
    </row>
    <row r="40" spans="1:8" ht="19.5" customHeight="1" x14ac:dyDescent="0.3">
      <c r="A40" s="18" t="s">
        <v>253</v>
      </c>
      <c r="B40" s="18"/>
      <c r="C40" s="20" t="s">
        <v>254</v>
      </c>
      <c r="D40" s="20"/>
      <c r="E40" s="20"/>
      <c r="F40" s="20"/>
      <c r="G40" s="20"/>
      <c r="H40" s="20"/>
    </row>
    <row r="41" spans="1:8" ht="19.5" customHeight="1" x14ac:dyDescent="0.3">
      <c r="A41" s="18" t="s">
        <v>255</v>
      </c>
      <c r="B41" s="18"/>
      <c r="C41" s="20">
        <v>10</v>
      </c>
      <c r="D41" s="20"/>
      <c r="E41" s="18" t="s">
        <v>256</v>
      </c>
      <c r="F41" s="18"/>
      <c r="G41" s="20">
        <v>40</v>
      </c>
      <c r="H41" s="20"/>
    </row>
    <row r="42" spans="1:8" ht="19.5" customHeight="1" x14ac:dyDescent="0.3">
      <c r="A42" s="18" t="s">
        <v>257</v>
      </c>
      <c r="B42" s="18"/>
      <c r="C42" s="20" t="s">
        <v>258</v>
      </c>
      <c r="D42" s="20"/>
      <c r="E42" s="20"/>
      <c r="F42" s="20"/>
      <c r="G42" s="20"/>
      <c r="H42" s="20"/>
    </row>
    <row r="43" spans="1:8" ht="19.5" customHeight="1" x14ac:dyDescent="0.3">
      <c r="A43" s="18" t="s">
        <v>259</v>
      </c>
      <c r="B43" s="18"/>
      <c r="C43" s="20" t="s">
        <v>552</v>
      </c>
      <c r="D43" s="20"/>
      <c r="E43" s="20"/>
      <c r="F43" s="20"/>
      <c r="G43" s="20"/>
      <c r="H43" s="20"/>
    </row>
    <row r="44" spans="1:8" ht="19.5" customHeight="1" x14ac:dyDescent="0.3">
      <c r="A44" s="18" t="s">
        <v>261</v>
      </c>
      <c r="B44" s="18"/>
      <c r="C44" s="20" t="s">
        <v>40</v>
      </c>
      <c r="D44" s="20"/>
      <c r="E44" s="20"/>
      <c r="F44" s="20"/>
      <c r="G44" s="20"/>
      <c r="H44" s="20"/>
    </row>
    <row r="45" spans="1:8" ht="19.5" customHeight="1" x14ac:dyDescent="0.3">
      <c r="A45" s="18" t="s">
        <v>262</v>
      </c>
      <c r="B45" s="18"/>
      <c r="C45" s="20" t="s">
        <v>37</v>
      </c>
      <c r="D45" s="20"/>
      <c r="E45" s="20"/>
      <c r="F45" s="20"/>
      <c r="G45" s="20"/>
      <c r="H45" s="20"/>
    </row>
    <row r="46" spans="1:8" ht="19.5" customHeight="1" x14ac:dyDescent="0.3">
      <c r="A46" s="18" t="s">
        <v>263</v>
      </c>
      <c r="B46" s="18"/>
      <c r="C46" s="20"/>
      <c r="D46" s="20"/>
      <c r="E46" s="20"/>
      <c r="F46" s="20"/>
      <c r="G46" s="20"/>
      <c r="H46" s="20"/>
    </row>
    <row r="48" spans="1:8" ht="21.75" customHeight="1" x14ac:dyDescent="0.3">
      <c r="A48" s="17" t="s">
        <v>43</v>
      </c>
      <c r="B48" s="17"/>
      <c r="C48" s="17"/>
      <c r="D48" s="17"/>
      <c r="E48" s="17"/>
      <c r="F48" s="17"/>
      <c r="G48" s="17"/>
      <c r="H48" s="17"/>
    </row>
    <row r="49" spans="1:8" ht="27.75" customHeight="1" x14ac:dyDescent="0.3">
      <c r="A49" s="23" t="s">
        <v>652</v>
      </c>
      <c r="B49" s="23"/>
      <c r="C49" s="23"/>
      <c r="D49" s="23"/>
      <c r="E49" s="23"/>
      <c r="F49" s="23"/>
      <c r="G49" s="23"/>
      <c r="H49" s="23"/>
    </row>
    <row r="50" spans="1:8" ht="27.7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27.75" customHeight="1" x14ac:dyDescent="0.3">
      <c r="A51" s="23"/>
      <c r="B51" s="23"/>
      <c r="C51" s="23"/>
      <c r="D51" s="23"/>
      <c r="E51" s="23"/>
      <c r="F51" s="23"/>
      <c r="G51" s="23"/>
      <c r="H51" s="23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scale="63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</row>
    <row r="2" spans="1:8" ht="15" customHeight="1" x14ac:dyDescent="0.3">
      <c r="A2" s="9" t="s">
        <v>272</v>
      </c>
      <c r="B2" s="9" t="s">
        <v>273</v>
      </c>
      <c r="C2" s="9" t="s">
        <v>274</v>
      </c>
      <c r="D2" s="9" t="s">
        <v>275</v>
      </c>
      <c r="E2" s="9" t="s">
        <v>276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277</v>
      </c>
      <c r="B3" s="9" t="s">
        <v>278</v>
      </c>
      <c r="C3" s="9" t="s">
        <v>274</v>
      </c>
      <c r="D3" s="9" t="s">
        <v>275</v>
      </c>
      <c r="E3" s="9" t="s">
        <v>276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279</v>
      </c>
      <c r="B4" s="9" t="s">
        <v>278</v>
      </c>
      <c r="C4" s="9" t="s">
        <v>274</v>
      </c>
      <c r="D4" s="9" t="s">
        <v>275</v>
      </c>
      <c r="E4" s="9" t="s">
        <v>276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280</v>
      </c>
      <c r="B5" s="9" t="s">
        <v>281</v>
      </c>
      <c r="C5" s="9" t="s">
        <v>274</v>
      </c>
      <c r="D5" s="9" t="s">
        <v>275</v>
      </c>
      <c r="E5" s="9" t="s">
        <v>276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282</v>
      </c>
      <c r="B6" s="9" t="s">
        <v>281</v>
      </c>
      <c r="C6" s="9" t="s">
        <v>274</v>
      </c>
      <c r="D6" s="9" t="s">
        <v>275</v>
      </c>
      <c r="E6" s="9" t="s">
        <v>276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283</v>
      </c>
      <c r="B7" s="9" t="s">
        <v>281</v>
      </c>
      <c r="C7" s="9" t="s">
        <v>274</v>
      </c>
      <c r="D7" s="9" t="s">
        <v>275</v>
      </c>
      <c r="E7" s="9" t="s">
        <v>276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284</v>
      </c>
      <c r="B8" s="9" t="s">
        <v>285</v>
      </c>
      <c r="C8" s="9" t="s">
        <v>274</v>
      </c>
      <c r="D8" s="9" t="s">
        <v>275</v>
      </c>
      <c r="E8" s="9" t="s">
        <v>276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286</v>
      </c>
      <c r="B9" s="9" t="s">
        <v>281</v>
      </c>
      <c r="C9" s="9" t="s">
        <v>274</v>
      </c>
      <c r="D9" s="9" t="s">
        <v>275</v>
      </c>
      <c r="E9" s="9" t="s">
        <v>276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287</v>
      </c>
      <c r="B10" s="9" t="s">
        <v>288</v>
      </c>
      <c r="C10" s="9" t="s">
        <v>274</v>
      </c>
      <c r="D10" s="9" t="s">
        <v>275</v>
      </c>
      <c r="E10" s="9" t="s">
        <v>276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289</v>
      </c>
      <c r="B11" s="9" t="s">
        <v>273</v>
      </c>
      <c r="C11" s="9" t="s">
        <v>290</v>
      </c>
      <c r="D11" s="9" t="s">
        <v>291</v>
      </c>
      <c r="E11" s="9" t="s">
        <v>292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293</v>
      </c>
      <c r="B12" s="9" t="s">
        <v>278</v>
      </c>
      <c r="C12" s="9" t="s">
        <v>290</v>
      </c>
      <c r="D12" s="9" t="s">
        <v>291</v>
      </c>
      <c r="E12" s="9" t="s">
        <v>292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294</v>
      </c>
      <c r="B13" s="9" t="s">
        <v>278</v>
      </c>
      <c r="C13" s="9" t="s">
        <v>290</v>
      </c>
      <c r="D13" s="9" t="s">
        <v>291</v>
      </c>
      <c r="E13" s="9" t="s">
        <v>292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295</v>
      </c>
      <c r="B14" s="9" t="s">
        <v>281</v>
      </c>
      <c r="C14" s="9" t="s">
        <v>290</v>
      </c>
      <c r="D14" s="9" t="s">
        <v>291</v>
      </c>
      <c r="E14" s="9" t="s">
        <v>292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296</v>
      </c>
      <c r="B15" s="9" t="s">
        <v>281</v>
      </c>
      <c r="C15" s="9" t="s">
        <v>290</v>
      </c>
      <c r="D15" s="9" t="s">
        <v>291</v>
      </c>
      <c r="E15" s="9" t="s">
        <v>292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297</v>
      </c>
      <c r="B16" s="9" t="s">
        <v>281</v>
      </c>
      <c r="C16" s="9" t="s">
        <v>290</v>
      </c>
      <c r="D16" s="9" t="s">
        <v>291</v>
      </c>
      <c r="E16" s="9" t="s">
        <v>292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298</v>
      </c>
      <c r="B17" s="9" t="s">
        <v>281</v>
      </c>
      <c r="C17" s="9" t="s">
        <v>290</v>
      </c>
      <c r="D17" s="9" t="s">
        <v>291</v>
      </c>
      <c r="E17" s="9" t="s">
        <v>292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299</v>
      </c>
      <c r="B18" s="9" t="s">
        <v>281</v>
      </c>
      <c r="C18" s="9" t="s">
        <v>290</v>
      </c>
      <c r="D18" s="9" t="s">
        <v>291</v>
      </c>
      <c r="E18" s="9" t="s">
        <v>292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300</v>
      </c>
      <c r="B19" s="9" t="s">
        <v>301</v>
      </c>
      <c r="C19" s="9" t="s">
        <v>290</v>
      </c>
      <c r="D19" s="9" t="s">
        <v>291</v>
      </c>
      <c r="E19" s="9" t="s">
        <v>292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302</v>
      </c>
      <c r="B20" s="9" t="s">
        <v>301</v>
      </c>
      <c r="C20" s="9" t="s">
        <v>290</v>
      </c>
      <c r="D20" s="9" t="s">
        <v>291</v>
      </c>
      <c r="E20" s="9" t="s">
        <v>292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303</v>
      </c>
      <c r="B21" s="9" t="s">
        <v>304</v>
      </c>
      <c r="C21" s="9" t="s">
        <v>274</v>
      </c>
      <c r="D21" s="9" t="s">
        <v>305</v>
      </c>
      <c r="E21" s="9" t="s">
        <v>306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307</v>
      </c>
      <c r="B22" s="9" t="s">
        <v>304</v>
      </c>
      <c r="C22" s="9" t="s">
        <v>274</v>
      </c>
      <c r="D22" s="9" t="s">
        <v>305</v>
      </c>
      <c r="E22" s="9" t="s">
        <v>306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308</v>
      </c>
      <c r="B23" s="9" t="s">
        <v>301</v>
      </c>
      <c r="C23" s="9" t="s">
        <v>274</v>
      </c>
      <c r="D23" s="9" t="s">
        <v>305</v>
      </c>
      <c r="E23" s="9" t="s">
        <v>306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309</v>
      </c>
      <c r="B24" s="9" t="s">
        <v>304</v>
      </c>
      <c r="C24" s="9" t="s">
        <v>274</v>
      </c>
      <c r="D24" s="9" t="s">
        <v>305</v>
      </c>
      <c r="E24" s="9" t="s">
        <v>306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310</v>
      </c>
      <c r="B25" s="9" t="s">
        <v>304</v>
      </c>
      <c r="C25" s="9" t="s">
        <v>274</v>
      </c>
      <c r="D25" s="9" t="s">
        <v>305</v>
      </c>
      <c r="E25" s="9" t="s">
        <v>306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311</v>
      </c>
      <c r="B26" s="9" t="s">
        <v>304</v>
      </c>
      <c r="C26" s="9" t="s">
        <v>274</v>
      </c>
      <c r="D26" s="9" t="s">
        <v>305</v>
      </c>
      <c r="E26" s="9" t="s">
        <v>306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312</v>
      </c>
      <c r="B27" s="9" t="s">
        <v>304</v>
      </c>
      <c r="C27" s="9" t="s">
        <v>274</v>
      </c>
      <c r="D27" s="9" t="s">
        <v>305</v>
      </c>
      <c r="E27" s="9" t="s">
        <v>306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313</v>
      </c>
      <c r="B28" s="9" t="s">
        <v>304</v>
      </c>
      <c r="C28" s="9" t="s">
        <v>274</v>
      </c>
      <c r="D28" s="9" t="s">
        <v>305</v>
      </c>
      <c r="E28" s="9" t="s">
        <v>306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314</v>
      </c>
      <c r="B29" s="9" t="s">
        <v>304</v>
      </c>
      <c r="C29" s="9" t="s">
        <v>274</v>
      </c>
      <c r="D29" s="9" t="s">
        <v>305</v>
      </c>
      <c r="E29" s="9" t="s">
        <v>306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315</v>
      </c>
      <c r="B30" s="9" t="s">
        <v>285</v>
      </c>
      <c r="C30" s="9" t="s">
        <v>274</v>
      </c>
      <c r="D30" s="9" t="s">
        <v>305</v>
      </c>
      <c r="E30" s="9" t="s">
        <v>306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316</v>
      </c>
      <c r="B31" s="9" t="s">
        <v>317</v>
      </c>
      <c r="C31" s="9" t="s">
        <v>274</v>
      </c>
      <c r="D31" s="9" t="s">
        <v>318</v>
      </c>
      <c r="E31" s="9" t="s">
        <v>319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320</v>
      </c>
      <c r="B32" s="9" t="s">
        <v>304</v>
      </c>
      <c r="C32" s="9" t="s">
        <v>274</v>
      </c>
      <c r="D32" s="9" t="s">
        <v>318</v>
      </c>
      <c r="E32" s="9" t="s">
        <v>319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321</v>
      </c>
      <c r="B33" s="9" t="s">
        <v>317</v>
      </c>
      <c r="C33" s="9" t="s">
        <v>274</v>
      </c>
      <c r="D33" s="9" t="s">
        <v>322</v>
      </c>
      <c r="E33" s="9" t="s">
        <v>319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323</v>
      </c>
      <c r="B34" s="9" t="s">
        <v>304</v>
      </c>
      <c r="C34" s="9" t="s">
        <v>274</v>
      </c>
      <c r="D34" s="9" t="s">
        <v>322</v>
      </c>
      <c r="E34" s="9" t="s">
        <v>319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324</v>
      </c>
      <c r="B35" s="9" t="s">
        <v>304</v>
      </c>
      <c r="C35" s="9" t="s">
        <v>274</v>
      </c>
      <c r="D35" s="9" t="s">
        <v>322</v>
      </c>
      <c r="E35" s="9" t="s">
        <v>319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325</v>
      </c>
      <c r="B36" s="9" t="s">
        <v>326</v>
      </c>
      <c r="C36" s="9" t="s">
        <v>274</v>
      </c>
      <c r="D36" s="9" t="s">
        <v>322</v>
      </c>
      <c r="E36" s="9" t="s">
        <v>319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327</v>
      </c>
      <c r="B37" s="9" t="s">
        <v>304</v>
      </c>
      <c r="C37" s="9" t="s">
        <v>274</v>
      </c>
      <c r="D37" s="9" t="s">
        <v>274</v>
      </c>
      <c r="E37" s="9" t="s">
        <v>328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329</v>
      </c>
      <c r="B38" s="9" t="s">
        <v>326</v>
      </c>
      <c r="C38" s="9" t="s">
        <v>274</v>
      </c>
      <c r="D38" s="9" t="s">
        <v>274</v>
      </c>
      <c r="E38" s="9" t="s">
        <v>328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330</v>
      </c>
      <c r="B39" s="9" t="s">
        <v>331</v>
      </c>
      <c r="C39" s="9" t="s">
        <v>274</v>
      </c>
      <c r="D39" s="9" t="s">
        <v>332</v>
      </c>
      <c r="E39" s="9" t="s">
        <v>333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334</v>
      </c>
      <c r="B40" s="9" t="s">
        <v>331</v>
      </c>
      <c r="C40" s="9" t="s">
        <v>274</v>
      </c>
      <c r="D40" s="9" t="s">
        <v>332</v>
      </c>
      <c r="E40" s="9" t="s">
        <v>333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335</v>
      </c>
      <c r="B41" s="9" t="s">
        <v>331</v>
      </c>
      <c r="C41" s="9" t="s">
        <v>274</v>
      </c>
      <c r="D41" s="9" t="s">
        <v>332</v>
      </c>
      <c r="E41" s="9" t="s">
        <v>333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336</v>
      </c>
      <c r="B42" s="9" t="s">
        <v>331</v>
      </c>
      <c r="C42" s="9" t="s">
        <v>274</v>
      </c>
      <c r="D42" s="9" t="s">
        <v>332</v>
      </c>
      <c r="E42" s="9" t="s">
        <v>333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337</v>
      </c>
      <c r="B43" s="9" t="s">
        <v>331</v>
      </c>
      <c r="C43" s="9" t="s">
        <v>274</v>
      </c>
      <c r="D43" s="9" t="s">
        <v>332</v>
      </c>
      <c r="E43" s="9" t="s">
        <v>333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338</v>
      </c>
      <c r="B44" s="9" t="s">
        <v>339</v>
      </c>
      <c r="C44" s="9" t="s">
        <v>274</v>
      </c>
      <c r="D44" s="9" t="s">
        <v>332</v>
      </c>
      <c r="E44" s="9" t="s">
        <v>333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340</v>
      </c>
      <c r="B45" s="9" t="s">
        <v>341</v>
      </c>
      <c r="C45" s="9" t="s">
        <v>274</v>
      </c>
      <c r="D45" s="9" t="s">
        <v>332</v>
      </c>
      <c r="E45" s="9" t="s">
        <v>333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342</v>
      </c>
      <c r="B46" s="9" t="s">
        <v>343</v>
      </c>
      <c r="C46" s="9" t="s">
        <v>274</v>
      </c>
      <c r="D46" s="9" t="s">
        <v>344</v>
      </c>
      <c r="E46" s="9" t="s">
        <v>345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346</v>
      </c>
      <c r="B47" s="9" t="s">
        <v>343</v>
      </c>
      <c r="C47" s="9" t="s">
        <v>274</v>
      </c>
      <c r="D47" s="9" t="s">
        <v>344</v>
      </c>
      <c r="E47" s="9" t="s">
        <v>345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347</v>
      </c>
      <c r="B48" s="9" t="s">
        <v>348</v>
      </c>
      <c r="C48" s="9" t="s">
        <v>274</v>
      </c>
      <c r="D48" s="9" t="s">
        <v>344</v>
      </c>
      <c r="E48" s="9" t="s">
        <v>345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349</v>
      </c>
      <c r="B49" s="9" t="s">
        <v>348</v>
      </c>
      <c r="C49" s="9" t="s">
        <v>274</v>
      </c>
      <c r="D49" s="9" t="s">
        <v>344</v>
      </c>
      <c r="E49" s="9" t="s">
        <v>345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350</v>
      </c>
      <c r="B50" s="9" t="s">
        <v>348</v>
      </c>
      <c r="C50" s="9" t="s">
        <v>274</v>
      </c>
      <c r="D50" s="9" t="s">
        <v>344</v>
      </c>
      <c r="E50" s="9" t="s">
        <v>345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351</v>
      </c>
      <c r="B51" s="9" t="s">
        <v>348</v>
      </c>
      <c r="C51" s="9" t="s">
        <v>274</v>
      </c>
      <c r="D51" s="9" t="s">
        <v>344</v>
      </c>
      <c r="E51" s="9" t="s">
        <v>345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352</v>
      </c>
      <c r="B52" s="9" t="s">
        <v>353</v>
      </c>
      <c r="C52" s="9" t="s">
        <v>274</v>
      </c>
      <c r="D52" s="9" t="s">
        <v>344</v>
      </c>
      <c r="E52" s="9" t="s">
        <v>345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354</v>
      </c>
      <c r="B53" s="9" t="s">
        <v>353</v>
      </c>
      <c r="C53" s="9" t="s">
        <v>274</v>
      </c>
      <c r="D53" s="9" t="s">
        <v>344</v>
      </c>
      <c r="E53" s="9" t="s">
        <v>345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355</v>
      </c>
      <c r="B54" s="9" t="s">
        <v>353</v>
      </c>
      <c r="C54" s="9" t="s">
        <v>274</v>
      </c>
      <c r="D54" s="9" t="s">
        <v>344</v>
      </c>
      <c r="E54" s="9" t="s">
        <v>345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356</v>
      </c>
      <c r="B55" s="9" t="s">
        <v>353</v>
      </c>
      <c r="C55" s="9" t="s">
        <v>274</v>
      </c>
      <c r="D55" s="9" t="s">
        <v>344</v>
      </c>
      <c r="E55" s="9" t="s">
        <v>345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357</v>
      </c>
      <c r="B56" s="9" t="s">
        <v>341</v>
      </c>
      <c r="C56" s="9" t="s">
        <v>274</v>
      </c>
      <c r="D56" s="9" t="s">
        <v>344</v>
      </c>
      <c r="E56" s="9" t="s">
        <v>345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358</v>
      </c>
      <c r="B57" s="9" t="s">
        <v>341</v>
      </c>
      <c r="C57" s="9" t="s">
        <v>274</v>
      </c>
      <c r="D57" s="9" t="s">
        <v>344</v>
      </c>
      <c r="E57" s="9" t="s">
        <v>345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359</v>
      </c>
      <c r="B58" s="9" t="s">
        <v>343</v>
      </c>
      <c r="C58" s="9" t="s">
        <v>274</v>
      </c>
      <c r="D58" s="9" t="s">
        <v>360</v>
      </c>
      <c r="E58" s="9" t="s">
        <v>361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362</v>
      </c>
      <c r="B59" s="9" t="s">
        <v>343</v>
      </c>
      <c r="C59" s="9" t="s">
        <v>274</v>
      </c>
      <c r="D59" s="9" t="s">
        <v>360</v>
      </c>
      <c r="E59" s="9" t="s">
        <v>361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363</v>
      </c>
      <c r="B60" s="9" t="s">
        <v>364</v>
      </c>
      <c r="C60" s="9" t="s">
        <v>274</v>
      </c>
      <c r="D60" s="9" t="s">
        <v>360</v>
      </c>
      <c r="E60" s="9" t="s">
        <v>361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365</v>
      </c>
      <c r="B61" s="9" t="s">
        <v>343</v>
      </c>
      <c r="C61" s="9" t="s">
        <v>274</v>
      </c>
      <c r="D61" s="9" t="s">
        <v>360</v>
      </c>
      <c r="E61" s="9" t="s">
        <v>361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366</v>
      </c>
      <c r="B62" s="9" t="s">
        <v>343</v>
      </c>
      <c r="C62" s="9" t="s">
        <v>274</v>
      </c>
      <c r="D62" s="9" t="s">
        <v>360</v>
      </c>
      <c r="E62" s="9" t="s">
        <v>361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367</v>
      </c>
      <c r="B63" s="9" t="s">
        <v>343</v>
      </c>
      <c r="C63" s="9" t="s">
        <v>274</v>
      </c>
      <c r="D63" s="9" t="s">
        <v>360</v>
      </c>
      <c r="E63" s="9" t="s">
        <v>361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368</v>
      </c>
      <c r="B64" s="9" t="s">
        <v>364</v>
      </c>
      <c r="C64" s="9" t="s">
        <v>274</v>
      </c>
      <c r="D64" s="9" t="s">
        <v>360</v>
      </c>
      <c r="E64" s="9" t="s">
        <v>361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369</v>
      </c>
      <c r="B65" s="9" t="s">
        <v>370</v>
      </c>
      <c r="C65" s="9" t="s">
        <v>274</v>
      </c>
      <c r="D65" s="9" t="s">
        <v>371</v>
      </c>
      <c r="E65" s="9" t="s">
        <v>372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373</v>
      </c>
      <c r="B66" s="9" t="s">
        <v>370</v>
      </c>
      <c r="C66" s="9" t="s">
        <v>274</v>
      </c>
      <c r="D66" s="9" t="s">
        <v>371</v>
      </c>
      <c r="E66" s="9" t="s">
        <v>372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12</v>
      </c>
      <c r="B67" s="9" t="s">
        <v>370</v>
      </c>
      <c r="C67" s="9" t="s">
        <v>274</v>
      </c>
      <c r="D67" s="9" t="s">
        <v>371</v>
      </c>
      <c r="E67" s="9" t="s">
        <v>372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374</v>
      </c>
      <c r="B68" s="9" t="s">
        <v>370</v>
      </c>
      <c r="C68" s="9" t="s">
        <v>274</v>
      </c>
      <c r="D68" s="9" t="s">
        <v>371</v>
      </c>
      <c r="E68" s="9" t="s">
        <v>372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375</v>
      </c>
      <c r="B69" s="9" t="s">
        <v>370</v>
      </c>
      <c r="C69" s="9" t="s">
        <v>274</v>
      </c>
      <c r="D69" s="9" t="s">
        <v>371</v>
      </c>
      <c r="E69" s="9" t="s">
        <v>372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376</v>
      </c>
      <c r="B70" s="9" t="s">
        <v>370</v>
      </c>
      <c r="C70" s="9" t="s">
        <v>274</v>
      </c>
      <c r="D70" s="9" t="s">
        <v>371</v>
      </c>
      <c r="E70" s="9" t="s">
        <v>372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377</v>
      </c>
      <c r="B71" s="9" t="s">
        <v>370</v>
      </c>
      <c r="C71" s="9" t="s">
        <v>274</v>
      </c>
      <c r="D71" s="9" t="s">
        <v>371</v>
      </c>
      <c r="E71" s="9" t="s">
        <v>372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378</v>
      </c>
      <c r="B72" s="9" t="s">
        <v>370</v>
      </c>
      <c r="C72" s="9" t="s">
        <v>274</v>
      </c>
      <c r="D72" s="9" t="s">
        <v>371</v>
      </c>
      <c r="E72" s="9" t="s">
        <v>372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379</v>
      </c>
      <c r="B73" s="9" t="s">
        <v>380</v>
      </c>
      <c r="C73" s="9" t="s">
        <v>381</v>
      </c>
      <c r="D73" s="9" t="s">
        <v>382</v>
      </c>
      <c r="E73" s="9" t="s">
        <v>383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384</v>
      </c>
      <c r="B74" s="9" t="s">
        <v>380</v>
      </c>
      <c r="C74" s="9" t="s">
        <v>381</v>
      </c>
      <c r="D74" s="9" t="s">
        <v>382</v>
      </c>
      <c r="E74" s="9" t="s">
        <v>383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385</v>
      </c>
      <c r="B75" s="9" t="s">
        <v>380</v>
      </c>
      <c r="C75" s="9" t="s">
        <v>381</v>
      </c>
      <c r="D75" s="9" t="s">
        <v>382</v>
      </c>
      <c r="E75" s="9" t="s">
        <v>383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386</v>
      </c>
      <c r="B76" s="9" t="s">
        <v>380</v>
      </c>
      <c r="C76" s="9" t="s">
        <v>381</v>
      </c>
      <c r="D76" s="9" t="s">
        <v>382</v>
      </c>
      <c r="E76" s="9" t="s">
        <v>383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387</v>
      </c>
      <c r="B77" s="9" t="s">
        <v>380</v>
      </c>
      <c r="C77" s="9" t="s">
        <v>381</v>
      </c>
      <c r="D77" s="9" t="s">
        <v>382</v>
      </c>
      <c r="E77" s="9" t="s">
        <v>383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388</v>
      </c>
      <c r="B78" s="9" t="s">
        <v>389</v>
      </c>
      <c r="C78" s="9" t="s">
        <v>381</v>
      </c>
      <c r="D78" s="9" t="s">
        <v>382</v>
      </c>
      <c r="E78" s="9" t="s">
        <v>383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390</v>
      </c>
      <c r="B79" s="9" t="s">
        <v>389</v>
      </c>
      <c r="C79" s="9" t="s">
        <v>381</v>
      </c>
      <c r="D79" s="9" t="s">
        <v>382</v>
      </c>
      <c r="E79" s="9" t="s">
        <v>383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391</v>
      </c>
      <c r="B80" s="9" t="s">
        <v>389</v>
      </c>
      <c r="C80" s="9" t="s">
        <v>381</v>
      </c>
      <c r="D80" s="9" t="s">
        <v>381</v>
      </c>
      <c r="E80" s="9" t="s">
        <v>392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393</v>
      </c>
      <c r="B81" s="9" t="s">
        <v>394</v>
      </c>
      <c r="C81" s="9" t="s">
        <v>381</v>
      </c>
      <c r="D81" s="9" t="s">
        <v>381</v>
      </c>
      <c r="E81" s="9" t="s">
        <v>392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395</v>
      </c>
      <c r="B82" s="9" t="s">
        <v>389</v>
      </c>
      <c r="C82" s="9" t="s">
        <v>381</v>
      </c>
      <c r="D82" s="9" t="s">
        <v>381</v>
      </c>
      <c r="E82" s="9" t="s">
        <v>392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396</v>
      </c>
      <c r="B83" s="9" t="s">
        <v>389</v>
      </c>
      <c r="C83" s="9" t="s">
        <v>381</v>
      </c>
      <c r="D83" s="9" t="s">
        <v>397</v>
      </c>
      <c r="E83" s="9" t="s">
        <v>392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398</v>
      </c>
      <c r="B84" s="9" t="s">
        <v>389</v>
      </c>
      <c r="C84" s="9" t="s">
        <v>381</v>
      </c>
      <c r="D84" s="9" t="s">
        <v>397</v>
      </c>
      <c r="E84" s="9" t="s">
        <v>392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399</v>
      </c>
      <c r="B85" s="9" t="s">
        <v>389</v>
      </c>
      <c r="C85" s="9" t="s">
        <v>381</v>
      </c>
      <c r="D85" s="9" t="s">
        <v>397</v>
      </c>
      <c r="E85" s="9" t="s">
        <v>392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400</v>
      </c>
      <c r="B86" s="9" t="s">
        <v>389</v>
      </c>
      <c r="C86" s="9" t="s">
        <v>381</v>
      </c>
      <c r="D86" s="9" t="s">
        <v>397</v>
      </c>
      <c r="E86" s="9" t="s">
        <v>392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401</v>
      </c>
      <c r="B87" s="9" t="s">
        <v>389</v>
      </c>
      <c r="C87" s="9" t="s">
        <v>381</v>
      </c>
      <c r="D87" s="9" t="s">
        <v>397</v>
      </c>
      <c r="E87" s="9" t="s">
        <v>392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402</v>
      </c>
      <c r="B88" s="9" t="s">
        <v>394</v>
      </c>
      <c r="C88" s="9" t="s">
        <v>381</v>
      </c>
      <c r="D88" s="9" t="s">
        <v>397</v>
      </c>
      <c r="E88" s="9" t="s">
        <v>392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403</v>
      </c>
      <c r="B89" s="9" t="s">
        <v>389</v>
      </c>
      <c r="C89" s="9" t="s">
        <v>381</v>
      </c>
      <c r="D89" s="9" t="s">
        <v>397</v>
      </c>
      <c r="E89" s="9" t="s">
        <v>392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404</v>
      </c>
      <c r="B90" s="9" t="s">
        <v>389</v>
      </c>
      <c r="C90" s="9" t="s">
        <v>381</v>
      </c>
      <c r="D90" s="9" t="s">
        <v>397</v>
      </c>
      <c r="E90" s="9" t="s">
        <v>392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405</v>
      </c>
      <c r="B91" s="9" t="s">
        <v>364</v>
      </c>
      <c r="C91" s="9" t="s">
        <v>381</v>
      </c>
      <c r="D91" s="9" t="s">
        <v>397</v>
      </c>
      <c r="E91" s="9" t="s">
        <v>392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406</v>
      </c>
      <c r="B92" s="9" t="s">
        <v>364</v>
      </c>
      <c r="C92" s="9" t="s">
        <v>381</v>
      </c>
      <c r="D92" s="9" t="s">
        <v>397</v>
      </c>
      <c r="E92" s="9" t="s">
        <v>392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407</v>
      </c>
      <c r="B93" s="9" t="s">
        <v>408</v>
      </c>
      <c r="C93" s="9" t="s">
        <v>381</v>
      </c>
      <c r="D93" s="9" t="s">
        <v>397</v>
      </c>
      <c r="E93" s="9" t="s">
        <v>392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409</v>
      </c>
      <c r="B94" s="9" t="s">
        <v>410</v>
      </c>
      <c r="C94" s="9" t="s">
        <v>381</v>
      </c>
      <c r="D94" s="9" t="s">
        <v>397</v>
      </c>
      <c r="E94" s="9" t="s">
        <v>392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411</v>
      </c>
      <c r="B95" s="9" t="s">
        <v>412</v>
      </c>
      <c r="C95" s="9" t="s">
        <v>381</v>
      </c>
      <c r="D95" s="9" t="s">
        <v>413</v>
      </c>
      <c r="E95" s="9" t="s">
        <v>414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415</v>
      </c>
      <c r="B96" s="9" t="s">
        <v>412</v>
      </c>
      <c r="C96" s="9" t="s">
        <v>381</v>
      </c>
      <c r="D96" s="9" t="s">
        <v>413</v>
      </c>
      <c r="E96" s="9" t="s">
        <v>414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416</v>
      </c>
      <c r="B97" s="9" t="s">
        <v>412</v>
      </c>
      <c r="C97" s="9" t="s">
        <v>381</v>
      </c>
      <c r="D97" s="9" t="s">
        <v>413</v>
      </c>
      <c r="E97" s="9" t="s">
        <v>414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417</v>
      </c>
      <c r="B98" s="9" t="s">
        <v>408</v>
      </c>
      <c r="C98" s="9" t="s">
        <v>381</v>
      </c>
      <c r="D98" s="9" t="s">
        <v>413</v>
      </c>
      <c r="E98" s="9" t="s">
        <v>414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418</v>
      </c>
      <c r="B99" s="9" t="s">
        <v>412</v>
      </c>
      <c r="C99" s="9" t="s">
        <v>381</v>
      </c>
      <c r="D99" s="9" t="s">
        <v>413</v>
      </c>
      <c r="E99" s="9" t="s">
        <v>414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419</v>
      </c>
      <c r="B100" s="9" t="s">
        <v>412</v>
      </c>
      <c r="C100" s="9" t="s">
        <v>381</v>
      </c>
      <c r="D100" s="9" t="s">
        <v>413</v>
      </c>
      <c r="E100" s="9" t="s">
        <v>414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420</v>
      </c>
      <c r="B101" s="9" t="s">
        <v>412</v>
      </c>
      <c r="C101" s="9" t="s">
        <v>381</v>
      </c>
      <c r="D101" s="9" t="s">
        <v>413</v>
      </c>
      <c r="E101" s="9" t="s">
        <v>414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421</v>
      </c>
      <c r="B102" s="9" t="s">
        <v>412</v>
      </c>
      <c r="C102" s="9" t="s">
        <v>381</v>
      </c>
      <c r="D102" s="9" t="s">
        <v>413</v>
      </c>
      <c r="E102" s="9" t="s">
        <v>414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422</v>
      </c>
      <c r="B103" s="9" t="s">
        <v>410</v>
      </c>
      <c r="C103" s="9" t="s">
        <v>381</v>
      </c>
      <c r="D103" s="9" t="s">
        <v>413</v>
      </c>
      <c r="E103" s="9" t="s">
        <v>414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423</v>
      </c>
      <c r="B104" s="9" t="s">
        <v>353</v>
      </c>
      <c r="C104" s="9" t="s">
        <v>381</v>
      </c>
      <c r="D104" s="9" t="s">
        <v>413</v>
      </c>
      <c r="E104" s="9" t="s">
        <v>414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424</v>
      </c>
      <c r="B105" s="9" t="s">
        <v>425</v>
      </c>
      <c r="C105" s="9" t="s">
        <v>381</v>
      </c>
      <c r="D105" s="9" t="s">
        <v>426</v>
      </c>
      <c r="E105" s="9" t="s">
        <v>427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428</v>
      </c>
      <c r="B106" s="9" t="s">
        <v>425</v>
      </c>
      <c r="C106" s="9" t="s">
        <v>381</v>
      </c>
      <c r="D106" s="9" t="s">
        <v>426</v>
      </c>
      <c r="E106" s="9" t="s">
        <v>427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429</v>
      </c>
      <c r="B107" s="9" t="s">
        <v>425</v>
      </c>
      <c r="C107" s="9" t="s">
        <v>381</v>
      </c>
      <c r="D107" s="9" t="s">
        <v>426</v>
      </c>
      <c r="E107" s="9" t="s">
        <v>427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430</v>
      </c>
      <c r="B108" s="9" t="s">
        <v>425</v>
      </c>
      <c r="C108" s="9" t="s">
        <v>381</v>
      </c>
      <c r="D108" s="9" t="s">
        <v>426</v>
      </c>
      <c r="E108" s="9" t="s">
        <v>427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431</v>
      </c>
      <c r="B109" s="9" t="s">
        <v>425</v>
      </c>
      <c r="C109" s="9" t="s">
        <v>381</v>
      </c>
      <c r="D109" s="9" t="s">
        <v>426</v>
      </c>
      <c r="E109" s="9" t="s">
        <v>427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432</v>
      </c>
      <c r="B110" s="9" t="s">
        <v>425</v>
      </c>
      <c r="C110" s="9" t="s">
        <v>381</v>
      </c>
      <c r="D110" s="9" t="s">
        <v>426</v>
      </c>
      <c r="E110" s="9" t="s">
        <v>427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433</v>
      </c>
      <c r="B111" s="9" t="s">
        <v>425</v>
      </c>
      <c r="C111" s="9" t="s">
        <v>381</v>
      </c>
      <c r="D111" s="9" t="s">
        <v>426</v>
      </c>
      <c r="E111" s="9" t="s">
        <v>427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434</v>
      </c>
      <c r="B112" s="9" t="s">
        <v>425</v>
      </c>
      <c r="C112" s="9" t="s">
        <v>381</v>
      </c>
      <c r="D112" s="9" t="s">
        <v>426</v>
      </c>
      <c r="E112" s="9" t="s">
        <v>427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435</v>
      </c>
      <c r="B113" s="9" t="s">
        <v>425</v>
      </c>
      <c r="C113" s="9" t="s">
        <v>381</v>
      </c>
      <c r="D113" s="9" t="s">
        <v>426</v>
      </c>
      <c r="E113" s="9" t="s">
        <v>427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436</v>
      </c>
      <c r="B114" s="9" t="s">
        <v>425</v>
      </c>
      <c r="C114" s="9" t="s">
        <v>381</v>
      </c>
      <c r="D114" s="9" t="s">
        <v>426</v>
      </c>
      <c r="E114" s="9" t="s">
        <v>427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437</v>
      </c>
      <c r="B115" s="9" t="s">
        <v>438</v>
      </c>
      <c r="C115" s="9" t="s">
        <v>381</v>
      </c>
      <c r="D115" s="9" t="s">
        <v>426</v>
      </c>
      <c r="E115" s="9" t="s">
        <v>427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439</v>
      </c>
      <c r="B116" s="9" t="s">
        <v>438</v>
      </c>
      <c r="C116" s="9" t="s">
        <v>381</v>
      </c>
      <c r="D116" s="9" t="s">
        <v>426</v>
      </c>
      <c r="E116" s="9" t="s">
        <v>427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440</v>
      </c>
      <c r="B117" s="9" t="s">
        <v>425</v>
      </c>
      <c r="C117" s="9" t="s">
        <v>381</v>
      </c>
      <c r="D117" s="9" t="s">
        <v>426</v>
      </c>
      <c r="E117" s="9" t="s">
        <v>427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441</v>
      </c>
      <c r="B118" s="9" t="s">
        <v>442</v>
      </c>
      <c r="C118" s="9" t="s">
        <v>381</v>
      </c>
      <c r="D118" s="9" t="s">
        <v>426</v>
      </c>
      <c r="E118" s="9" t="s">
        <v>443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444</v>
      </c>
      <c r="B119" s="9" t="s">
        <v>442</v>
      </c>
      <c r="C119" s="9" t="s">
        <v>381</v>
      </c>
      <c r="D119" s="9" t="s">
        <v>426</v>
      </c>
      <c r="E119" s="9" t="s">
        <v>443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445</v>
      </c>
      <c r="B120" s="9" t="s">
        <v>446</v>
      </c>
      <c r="C120" s="9" t="s">
        <v>381</v>
      </c>
      <c r="D120" s="9" t="s">
        <v>426</v>
      </c>
      <c r="E120" s="9" t="s">
        <v>443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447</v>
      </c>
      <c r="B121" s="9" t="s">
        <v>446</v>
      </c>
      <c r="C121" s="9" t="s">
        <v>381</v>
      </c>
      <c r="D121" s="9" t="s">
        <v>426</v>
      </c>
      <c r="E121" s="9" t="s">
        <v>443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448</v>
      </c>
      <c r="B122" s="9" t="s">
        <v>438</v>
      </c>
      <c r="C122" s="9" t="s">
        <v>381</v>
      </c>
      <c r="D122" s="9" t="s">
        <v>426</v>
      </c>
      <c r="E122" s="9" t="s">
        <v>443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449</v>
      </c>
      <c r="B123" s="9" t="s">
        <v>446</v>
      </c>
      <c r="C123" s="9" t="s">
        <v>381</v>
      </c>
      <c r="D123" s="9" t="s">
        <v>426</v>
      </c>
      <c r="E123" s="9" t="s">
        <v>443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450</v>
      </c>
      <c r="B124" s="9" t="s">
        <v>446</v>
      </c>
      <c r="C124" s="9" t="s">
        <v>381</v>
      </c>
      <c r="D124" s="9" t="s">
        <v>426</v>
      </c>
      <c r="E124" s="9" t="s">
        <v>443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451</v>
      </c>
      <c r="B125" s="9" t="s">
        <v>446</v>
      </c>
      <c r="C125" s="9" t="s">
        <v>381</v>
      </c>
      <c r="D125" s="9" t="s">
        <v>426</v>
      </c>
      <c r="E125" s="9" t="s">
        <v>443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452</v>
      </c>
      <c r="B126" s="9" t="s">
        <v>446</v>
      </c>
      <c r="C126" s="9" t="s">
        <v>381</v>
      </c>
      <c r="D126" s="9" t="s">
        <v>426</v>
      </c>
      <c r="E126" s="9" t="s">
        <v>443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453</v>
      </c>
      <c r="B127" s="9" t="s">
        <v>446</v>
      </c>
      <c r="C127" s="9" t="s">
        <v>381</v>
      </c>
      <c r="D127" s="9" t="s">
        <v>426</v>
      </c>
      <c r="E127" s="9" t="s">
        <v>443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454</v>
      </c>
      <c r="B128" s="9" t="s">
        <v>446</v>
      </c>
      <c r="C128" s="9" t="s">
        <v>381</v>
      </c>
      <c r="D128" s="9" t="s">
        <v>426</v>
      </c>
      <c r="E128" s="9" t="s">
        <v>443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7" t="s">
        <v>455</v>
      </c>
      <c r="B1" s="27"/>
      <c r="C1" s="27"/>
      <c r="D1" s="27"/>
      <c r="E1" s="27"/>
      <c r="F1" s="27"/>
      <c r="G1" s="27"/>
      <c r="H1" s="27"/>
    </row>
    <row r="3" spans="1:37" ht="15" customHeight="1" x14ac:dyDescent="0.3">
      <c r="A3" s="2" t="s">
        <v>456</v>
      </c>
      <c r="B3" s="2" t="s">
        <v>457</v>
      </c>
      <c r="C3" s="2" t="s">
        <v>458</v>
      </c>
      <c r="D3" s="2" t="s">
        <v>459</v>
      </c>
      <c r="E3" s="2" t="s">
        <v>460</v>
      </c>
      <c r="F3" s="2" t="s">
        <v>461</v>
      </c>
      <c r="G3" s="2" t="s">
        <v>462</v>
      </c>
      <c r="H3" s="2" t="s">
        <v>463</v>
      </c>
      <c r="I3" s="2" t="s">
        <v>464</v>
      </c>
      <c r="J3" s="2" t="s">
        <v>465</v>
      </c>
      <c r="K3" s="2" t="s">
        <v>466</v>
      </c>
      <c r="L3" s="2" t="s">
        <v>467</v>
      </c>
      <c r="M3" s="2" t="s">
        <v>468</v>
      </c>
      <c r="N3" s="2" t="s">
        <v>469</v>
      </c>
      <c r="O3" s="2" t="s">
        <v>470</v>
      </c>
      <c r="P3" s="2" t="s">
        <v>471</v>
      </c>
      <c r="Q3" s="2" t="s">
        <v>472</v>
      </c>
      <c r="R3" s="2" t="s">
        <v>473</v>
      </c>
      <c r="S3" s="2" t="s">
        <v>474</v>
      </c>
      <c r="T3" s="2" t="s">
        <v>475</v>
      </c>
      <c r="U3" s="2" t="s">
        <v>476</v>
      </c>
      <c r="V3" s="2" t="s">
        <v>477</v>
      </c>
      <c r="W3" s="2" t="s">
        <v>478</v>
      </c>
      <c r="X3" s="2" t="s">
        <v>479</v>
      </c>
      <c r="Y3" s="2" t="s">
        <v>480</v>
      </c>
      <c r="Z3" s="2" t="s">
        <v>481</v>
      </c>
      <c r="AA3" s="2" t="s">
        <v>482</v>
      </c>
      <c r="AB3" s="2" t="s">
        <v>483</v>
      </c>
      <c r="AC3" s="2" t="s">
        <v>484</v>
      </c>
      <c r="AD3" s="2" t="s">
        <v>485</v>
      </c>
      <c r="AE3" s="2" t="s">
        <v>486</v>
      </c>
      <c r="AF3" s="2" t="s">
        <v>487</v>
      </c>
      <c r="AG3" s="2" t="s">
        <v>488</v>
      </c>
      <c r="AH3" s="2" t="s">
        <v>489</v>
      </c>
      <c r="AI3" s="2" t="s">
        <v>490</v>
      </c>
      <c r="AJ3" s="2" t="s">
        <v>491</v>
      </c>
      <c r="AK3" s="2" t="s">
        <v>492</v>
      </c>
    </row>
    <row r="4" spans="1:37" ht="15" customHeight="1" x14ac:dyDescent="0.3">
      <c r="A4" s="9" t="s">
        <v>493</v>
      </c>
      <c r="B4" s="9" t="s">
        <v>494</v>
      </c>
      <c r="C4" s="9" t="s">
        <v>495</v>
      </c>
      <c r="D4" s="9" t="s">
        <v>496</v>
      </c>
      <c r="E4" s="9" t="s">
        <v>497</v>
      </c>
      <c r="F4" s="9" t="s">
        <v>167</v>
      </c>
      <c r="G4" s="9" t="s">
        <v>68</v>
      </c>
      <c r="H4" s="9" t="s">
        <v>69</v>
      </c>
      <c r="I4" s="9" t="s">
        <v>73</v>
      </c>
      <c r="J4" s="9" t="s">
        <v>498</v>
      </c>
      <c r="K4" s="9" t="s">
        <v>499</v>
      </c>
      <c r="L4" s="9" t="s">
        <v>500</v>
      </c>
      <c r="M4" s="9" t="s">
        <v>501</v>
      </c>
      <c r="N4" s="9" t="s">
        <v>502</v>
      </c>
      <c r="O4" s="9" t="s">
        <v>503</v>
      </c>
      <c r="P4" s="9" t="s">
        <v>107</v>
      </c>
      <c r="Q4" s="9" t="s">
        <v>110</v>
      </c>
      <c r="R4" s="9" t="s">
        <v>504</v>
      </c>
      <c r="S4" s="9" t="s">
        <v>505</v>
      </c>
      <c r="T4" s="9" t="s">
        <v>125</v>
      </c>
      <c r="U4" s="9" t="s">
        <v>135</v>
      </c>
      <c r="V4" s="9" t="s">
        <v>149</v>
      </c>
      <c r="W4" s="9" t="s">
        <v>506</v>
      </c>
      <c r="X4" s="9" t="s">
        <v>167</v>
      </c>
      <c r="Y4" s="9" t="s">
        <v>203</v>
      </c>
      <c r="Z4" s="9" t="s">
        <v>507</v>
      </c>
      <c r="AA4" s="9" t="s">
        <v>508</v>
      </c>
      <c r="AB4" s="9" t="s">
        <v>236</v>
      </c>
      <c r="AC4" s="9" t="s">
        <v>237</v>
      </c>
      <c r="AD4" s="9" t="s">
        <v>238</v>
      </c>
      <c r="AE4" s="9" t="s">
        <v>509</v>
      </c>
      <c r="AF4" s="9" t="s">
        <v>510</v>
      </c>
      <c r="AG4" s="9" t="s">
        <v>203</v>
      </c>
      <c r="AH4" s="9" t="s">
        <v>511</v>
      </c>
      <c r="AI4" s="9" t="s">
        <v>260</v>
      </c>
      <c r="AJ4" s="9" t="s">
        <v>37</v>
      </c>
      <c r="AK4" s="9" t="s">
        <v>37</v>
      </c>
    </row>
    <row r="5" spans="1:37" ht="15" customHeight="1" x14ac:dyDescent="0.3">
      <c r="A5" s="9" t="s">
        <v>512</v>
      </c>
      <c r="B5" s="9" t="s">
        <v>513</v>
      </c>
      <c r="C5" s="9" t="s">
        <v>514</v>
      </c>
      <c r="D5" s="9" t="s">
        <v>31</v>
      </c>
      <c r="E5" s="9" t="s">
        <v>515</v>
      </c>
      <c r="F5" s="9" t="s">
        <v>516</v>
      </c>
      <c r="G5" s="9" t="s">
        <v>71</v>
      </c>
      <c r="H5" s="9" t="s">
        <v>72</v>
      </c>
      <c r="I5" s="9" t="s">
        <v>517</v>
      </c>
      <c r="J5" s="9" t="s">
        <v>518</v>
      </c>
      <c r="K5" s="9" t="s">
        <v>223</v>
      </c>
      <c r="L5" s="9" t="s">
        <v>519</v>
      </c>
      <c r="M5" s="9" t="s">
        <v>520</v>
      </c>
      <c r="N5" s="9" t="s">
        <v>521</v>
      </c>
      <c r="O5" s="9" t="s">
        <v>522</v>
      </c>
      <c r="P5" s="9" t="s">
        <v>523</v>
      </c>
      <c r="Q5" s="9" t="s">
        <v>524</v>
      </c>
      <c r="R5" s="9" t="s">
        <v>525</v>
      </c>
      <c r="S5" s="9" t="s">
        <v>124</v>
      </c>
      <c r="T5" s="9" t="s">
        <v>526</v>
      </c>
      <c r="U5" s="9" t="s">
        <v>132</v>
      </c>
      <c r="V5" s="9" t="s">
        <v>527</v>
      </c>
      <c r="W5" s="9" t="s">
        <v>528</v>
      </c>
      <c r="X5" s="9" t="s">
        <v>169</v>
      </c>
      <c r="Y5" s="9" t="s">
        <v>194</v>
      </c>
      <c r="Z5" s="9" t="s">
        <v>529</v>
      </c>
      <c r="AA5" s="9" t="s">
        <v>221</v>
      </c>
      <c r="AB5" s="9" t="s">
        <v>530</v>
      </c>
      <c r="AC5" s="9" t="s">
        <v>234</v>
      </c>
      <c r="AD5" s="9" t="s">
        <v>235</v>
      </c>
      <c r="AE5" s="9" t="s">
        <v>249</v>
      </c>
      <c r="AF5" s="9" t="s">
        <v>531</v>
      </c>
      <c r="AG5" s="9" t="s">
        <v>194</v>
      </c>
      <c r="AH5" s="9" t="s">
        <v>532</v>
      </c>
      <c r="AI5" s="9" t="s">
        <v>533</v>
      </c>
      <c r="AJ5" s="9" t="s">
        <v>40</v>
      </c>
      <c r="AK5" s="9" t="s">
        <v>40</v>
      </c>
    </row>
    <row r="6" spans="1:37" ht="15" customHeight="1" x14ac:dyDescent="0.3">
      <c r="A6" s="9" t="s">
        <v>534</v>
      </c>
      <c r="B6" s="9" t="s">
        <v>535</v>
      </c>
      <c r="C6" s="9" t="s">
        <v>29</v>
      </c>
      <c r="D6" s="9" t="s">
        <v>536</v>
      </c>
      <c r="E6" s="9" t="s">
        <v>537</v>
      </c>
      <c r="F6" s="9" t="s">
        <v>53</v>
      </c>
      <c r="G6" s="9" t="s">
        <v>74</v>
      </c>
      <c r="H6" s="9" t="s">
        <v>538</v>
      </c>
      <c r="I6" s="9" t="s">
        <v>539</v>
      </c>
      <c r="J6" s="9" t="s">
        <v>540</v>
      </c>
      <c r="K6" s="9" t="s">
        <v>84</v>
      </c>
      <c r="L6" s="9" t="s">
        <v>541</v>
      </c>
      <c r="M6" s="9" t="s">
        <v>542</v>
      </c>
      <c r="N6" s="9" t="s">
        <v>98</v>
      </c>
      <c r="O6" s="9" t="s">
        <v>105</v>
      </c>
      <c r="P6" s="9" t="s">
        <v>543</v>
      </c>
      <c r="Q6" s="9" t="s">
        <v>544</v>
      </c>
      <c r="R6" s="9" t="s">
        <v>545</v>
      </c>
      <c r="S6" s="9" t="s">
        <v>127</v>
      </c>
      <c r="T6" s="9" t="s">
        <v>134</v>
      </c>
      <c r="U6" s="9" t="s">
        <v>126</v>
      </c>
      <c r="V6" s="9" t="s">
        <v>546</v>
      </c>
      <c r="W6" s="9" t="s">
        <v>547</v>
      </c>
      <c r="X6" s="9" t="s">
        <v>165</v>
      </c>
      <c r="Y6" s="9" t="s">
        <v>254</v>
      </c>
      <c r="Z6" s="9" t="s">
        <v>165</v>
      </c>
      <c r="AA6" s="9" t="s">
        <v>548</v>
      </c>
      <c r="AB6" s="9" t="s">
        <v>233</v>
      </c>
      <c r="AC6" s="9" t="s">
        <v>258</v>
      </c>
      <c r="AD6" s="9" t="s">
        <v>549</v>
      </c>
      <c r="AE6" s="9" t="s">
        <v>550</v>
      </c>
      <c r="AF6" s="9" t="s">
        <v>551</v>
      </c>
      <c r="AG6" s="9" t="s">
        <v>254</v>
      </c>
      <c r="AH6" s="9" t="s">
        <v>258</v>
      </c>
      <c r="AI6" s="9" t="s">
        <v>552</v>
      </c>
      <c r="AK6" s="9" t="s">
        <v>182</v>
      </c>
    </row>
    <row r="7" spans="1:37" ht="15" customHeight="1" x14ac:dyDescent="0.3">
      <c r="A7" s="9" t="s">
        <v>25</v>
      </c>
      <c r="B7" s="9" t="s">
        <v>27</v>
      </c>
      <c r="C7" s="9" t="s">
        <v>553</v>
      </c>
      <c r="D7" s="9" t="s">
        <v>554</v>
      </c>
      <c r="E7" s="9" t="s">
        <v>555</v>
      </c>
      <c r="F7" s="9" t="s">
        <v>556</v>
      </c>
      <c r="G7" s="9" t="s">
        <v>557</v>
      </c>
      <c r="H7" s="9" t="s">
        <v>558</v>
      </c>
      <c r="I7" s="9" t="s">
        <v>559</v>
      </c>
      <c r="J7" s="9" t="s">
        <v>81</v>
      </c>
      <c r="K7" s="9" t="s">
        <v>560</v>
      </c>
      <c r="L7" s="9" t="s">
        <v>561</v>
      </c>
      <c r="M7" s="9" t="s">
        <v>96</v>
      </c>
      <c r="N7" s="9" t="s">
        <v>562</v>
      </c>
      <c r="O7" s="9" t="s">
        <v>563</v>
      </c>
      <c r="P7" s="9" t="s">
        <v>564</v>
      </c>
      <c r="Q7" s="9" t="s">
        <v>565</v>
      </c>
      <c r="R7" s="9" t="s">
        <v>566</v>
      </c>
      <c r="S7" s="9" t="s">
        <v>130</v>
      </c>
      <c r="T7" s="9" t="s">
        <v>567</v>
      </c>
      <c r="U7" s="9" t="s">
        <v>128</v>
      </c>
      <c r="V7" s="9" t="s">
        <v>568</v>
      </c>
      <c r="W7" s="9" t="s">
        <v>147</v>
      </c>
      <c r="X7" s="9" t="s">
        <v>569</v>
      </c>
      <c r="Z7" s="9" t="s">
        <v>219</v>
      </c>
      <c r="AA7" s="9" t="s">
        <v>570</v>
      </c>
      <c r="AB7" s="9" t="s">
        <v>571</v>
      </c>
      <c r="AC7" s="9" t="s">
        <v>572</v>
      </c>
      <c r="AD7" s="9" t="s">
        <v>573</v>
      </c>
      <c r="AE7" s="9" t="s">
        <v>574</v>
      </c>
      <c r="AF7" s="9" t="s">
        <v>575</v>
      </c>
      <c r="AH7" s="9" t="s">
        <v>576</v>
      </c>
      <c r="AI7" s="9" t="s">
        <v>577</v>
      </c>
    </row>
    <row r="8" spans="1:37" ht="15" customHeight="1" x14ac:dyDescent="0.3">
      <c r="A8" s="9" t="s">
        <v>578</v>
      </c>
      <c r="B8" s="9" t="s">
        <v>579</v>
      </c>
      <c r="C8" s="9" t="s">
        <v>580</v>
      </c>
      <c r="D8" s="9" t="s">
        <v>581</v>
      </c>
      <c r="E8" s="9" t="s">
        <v>582</v>
      </c>
      <c r="F8" s="9" t="s">
        <v>583</v>
      </c>
      <c r="G8" s="9" t="s">
        <v>584</v>
      </c>
      <c r="H8" s="9" t="s">
        <v>585</v>
      </c>
      <c r="I8" s="9" t="s">
        <v>70</v>
      </c>
      <c r="J8" s="9" t="s">
        <v>586</v>
      </c>
      <c r="L8" s="9" t="s">
        <v>587</v>
      </c>
      <c r="M8" s="9" t="s">
        <v>588</v>
      </c>
      <c r="N8" s="9" t="s">
        <v>589</v>
      </c>
      <c r="P8" s="9" t="s">
        <v>590</v>
      </c>
      <c r="Q8" s="9" t="s">
        <v>591</v>
      </c>
      <c r="R8" s="9" t="s">
        <v>592</v>
      </c>
      <c r="S8" s="9" t="s">
        <v>131</v>
      </c>
      <c r="U8" s="9" t="s">
        <v>129</v>
      </c>
      <c r="V8" s="9" t="s">
        <v>145</v>
      </c>
      <c r="W8" s="9" t="s">
        <v>146</v>
      </c>
      <c r="X8" s="9" t="s">
        <v>163</v>
      </c>
      <c r="Z8" s="9" t="s">
        <v>593</v>
      </c>
      <c r="AB8" s="9" t="s">
        <v>594</v>
      </c>
      <c r="AC8" s="9" t="s">
        <v>563</v>
      </c>
      <c r="AD8" s="9" t="s">
        <v>595</v>
      </c>
      <c r="AE8" s="9" t="s">
        <v>596</v>
      </c>
      <c r="AF8" s="9" t="s">
        <v>597</v>
      </c>
      <c r="AI8" s="9" t="s">
        <v>181</v>
      </c>
    </row>
    <row r="9" spans="1:37" ht="15" customHeight="1" x14ac:dyDescent="0.3">
      <c r="B9" s="9" t="s">
        <v>598</v>
      </c>
      <c r="C9" s="9" t="s">
        <v>599</v>
      </c>
      <c r="D9" s="9" t="s">
        <v>600</v>
      </c>
      <c r="E9" s="9" t="s">
        <v>33</v>
      </c>
      <c r="F9" s="9" t="s">
        <v>601</v>
      </c>
      <c r="I9" s="9" t="s">
        <v>75</v>
      </c>
      <c r="L9" s="9" t="s">
        <v>602</v>
      </c>
      <c r="M9" s="9" t="s">
        <v>603</v>
      </c>
      <c r="N9" s="9" t="s">
        <v>604</v>
      </c>
      <c r="P9" s="9" t="s">
        <v>605</v>
      </c>
      <c r="R9" s="9" t="s">
        <v>606</v>
      </c>
      <c r="S9" s="9" t="s">
        <v>133</v>
      </c>
      <c r="V9" s="9" t="s">
        <v>607</v>
      </c>
      <c r="W9" s="9" t="s">
        <v>148</v>
      </c>
      <c r="AB9" s="9" t="s">
        <v>608</v>
      </c>
      <c r="AE9" s="9" t="s">
        <v>609</v>
      </c>
      <c r="AF9" s="9" t="s">
        <v>251</v>
      </c>
      <c r="AI9" s="9" t="s">
        <v>576</v>
      </c>
    </row>
    <row r="10" spans="1:37" ht="15" customHeight="1" x14ac:dyDescent="0.3">
      <c r="C10" s="9" t="s">
        <v>610</v>
      </c>
      <c r="D10" s="9" t="s">
        <v>611</v>
      </c>
      <c r="E10" s="9" t="s">
        <v>612</v>
      </c>
      <c r="I10" s="9" t="s">
        <v>613</v>
      </c>
      <c r="L10" s="9" t="s">
        <v>614</v>
      </c>
      <c r="N10" s="9" t="s">
        <v>615</v>
      </c>
      <c r="R10" s="9" t="s">
        <v>616</v>
      </c>
      <c r="S10" s="9" t="s">
        <v>617</v>
      </c>
      <c r="W10" s="9" t="s">
        <v>150</v>
      </c>
      <c r="AB10" s="9" t="s">
        <v>618</v>
      </c>
      <c r="AF10" s="9" t="s">
        <v>619</v>
      </c>
    </row>
    <row r="11" spans="1:37" ht="15" customHeight="1" x14ac:dyDescent="0.3">
      <c r="C11" s="9" t="s">
        <v>620</v>
      </c>
      <c r="D11" s="9" t="s">
        <v>621</v>
      </c>
      <c r="I11" s="9" t="s">
        <v>622</v>
      </c>
      <c r="L11" s="9" t="s">
        <v>623</v>
      </c>
      <c r="N11" s="9" t="s">
        <v>624</v>
      </c>
      <c r="R11" s="9" t="s">
        <v>625</v>
      </c>
      <c r="S11" s="9" t="s">
        <v>626</v>
      </c>
      <c r="W11" s="9" t="s">
        <v>627</v>
      </c>
      <c r="AB11" s="9" t="s">
        <v>628</v>
      </c>
    </row>
    <row r="12" spans="1:37" ht="15" customHeight="1" x14ac:dyDescent="0.3">
      <c r="C12" s="9" t="s">
        <v>629</v>
      </c>
      <c r="D12" s="9" t="s">
        <v>630</v>
      </c>
      <c r="I12" s="9" t="s">
        <v>181</v>
      </c>
      <c r="L12" s="9" t="s">
        <v>631</v>
      </c>
      <c r="N12" s="9" t="s">
        <v>181</v>
      </c>
      <c r="R12" s="9" t="s">
        <v>632</v>
      </c>
      <c r="W12" s="9" t="s">
        <v>633</v>
      </c>
      <c r="AB12" s="9" t="s">
        <v>634</v>
      </c>
    </row>
    <row r="13" spans="1:37" ht="15" customHeight="1" x14ac:dyDescent="0.3">
      <c r="L13" s="9" t="s">
        <v>635</v>
      </c>
      <c r="R13" s="9" t="s">
        <v>636</v>
      </c>
      <c r="W13" s="9" t="s">
        <v>182</v>
      </c>
      <c r="AB13" s="9" t="s">
        <v>181</v>
      </c>
    </row>
    <row r="14" spans="1:37" ht="15" customHeight="1" x14ac:dyDescent="0.3">
      <c r="L14" s="9" t="s">
        <v>93</v>
      </c>
      <c r="R14" s="9" t="s">
        <v>112</v>
      </c>
    </row>
    <row r="15" spans="1:37" ht="15" customHeight="1" x14ac:dyDescent="0.3">
      <c r="L15" s="9" t="s">
        <v>637</v>
      </c>
    </row>
    <row r="16" spans="1:37" ht="15" customHeight="1" x14ac:dyDescent="0.3">
      <c r="L16" s="9" t="s">
        <v>181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46</vt:i4>
      </vt:variant>
    </vt:vector>
  </HeadingPairs>
  <TitlesOfParts>
    <vt:vector size="53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'F-DT-03'!Área_de_impresión</vt:lpstr>
      <vt:lpstr>'F-DT-05'!Área_de_impresión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cp:lastPrinted>2026-08-02T03:14:28Z</cp:lastPrinted>
  <dcterms:created xsi:type="dcterms:W3CDTF">2026-05-08T03:16:44Z</dcterms:created>
  <dcterms:modified xsi:type="dcterms:W3CDTF">2026-08-02T03:15:06Z</dcterms:modified>
  <dc:language>en-US</dc:language>
</cp:coreProperties>
</file>