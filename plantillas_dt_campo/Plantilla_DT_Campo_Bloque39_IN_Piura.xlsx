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QOUE 39\"/>
    </mc:Choice>
  </mc:AlternateContent>
  <xr:revisionPtr revIDLastSave="0" documentId="13_ncr:1_{335B7F46-9AA9-42E7-9D90-6E203E4E7634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  <sheet name="Resumen Bloque" sheetId="8" r:id="rId8"/>
    <sheet name="Cobertura MSAVI-NDVI" sheetId="9" r:id="rId9"/>
    <sheet name="Estaciones fotográficas" sheetId="10" r:id="rId10"/>
    <sheet name="Microcuenca C1096-Q9564" sheetId="11" r:id="rId11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<sst xmlns="http://schemas.openxmlformats.org/spreadsheetml/2006/main" count="1653" uniqueCount="944">
  <si>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</si>
  <si>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</si>
  <si>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</si>
  <si>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</si>
  <si>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</si>
  <si>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</si>
  <si>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</si>
  <si>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</si>
  <si>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24-06-2026 / 04-09-2026</t>
  </si>
  <si>
    <t>Hora de registro</t>
  </si>
  <si>
    <t>11:49 h (24-06) · 15:39–16:42 h (04-09)</t>
  </si>
  <si>
    <t>Brigada / Responsable *</t>
  </si>
  <si>
    <t>Ing. Héctor Salomón Cahuas Miller (ANIN / DIME – SESDI)</t>
  </si>
  <si>
    <t>Ficha N° (correlativo)</t>
  </si>
  <si>
    <t>F-DT-01 / B39-2026</t>
  </si>
  <si>
    <t>Código del Bloque *</t>
  </si>
  <si>
    <t>39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</si>
  <si>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</si>
  <si>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</si>
  <si>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</si>
  <si>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</si>
  <si>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</si>
  <si>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</si>
  <si>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</si>
  <si>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</si>
  <si>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No registrada por la aplicación</t>
  </si>
  <si>
    <t>Centro poblado más cercano</t>
  </si>
  <si>
    <t>La Cría</t>
  </si>
  <si>
    <t>Comunidad Campesina (si aplica)</t>
  </si>
  <si>
    <t>Por verificar (consultar Dirección Regional Agraria Piura)</t>
  </si>
  <si>
    <t>2. CARACTERIZACIÓN FISIOGRÁFICA DEL BLOQUE</t>
  </si>
  <si>
    <t>Forma predominante del terreno *</t>
  </si>
  <si>
    <t>Montañoso</t>
  </si>
  <si>
    <t>Rango de pendiente dominante *</t>
  </si>
  <si>
    <t>15-25% (Fuert. inclinado)</t>
  </si>
  <si>
    <t>Posición fisiográfica *</t>
  </si>
  <si>
    <t>Ladera media</t>
  </si>
  <si>
    <t>Exposición / Orientación dominante *</t>
  </si>
  <si>
    <t>Norte</t>
  </si>
  <si>
    <t>Rango altitudinal del bloque *</t>
  </si>
  <si>
    <t>1500-2000 m (Quechua media)</t>
  </si>
  <si>
    <t>Paisaje dominante (descripción libre)</t>
  </si>
  <si>
    <t>Macizo de colina-montaña de la margen occidental del valle de La Cría, en cabecera de la microcuenca C1096-Q9564. Ladera de exposición dominante norte, con gradiente de 1 729 a 2 088 msnm y curvas de nivel regulares y paralelas, indicativas de una vertiente uniforme sin grandes rupturas de pendiente. Dosel boscoso continuo y cerrado en prácticamente toda la superficie, con claros de matorral y pastizal dispersos en el tercio norte y en el flanco occidental. El flanco norte está delimitado por un curso de agua; el vértice nororiental se aproxima a 225 m de la red vial. El entorno inmediato oriental (C.P. La Cría, fuera del polígono) es un mosaico agropecuario de maíz en ladera, pastos cultivados y rodales de eucalipto, con bolonería granítica métrica expuesta.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</si>
  <si>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</si>
  <si>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</si>
  <si>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</si>
  <si>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</si>
  <si>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</si>
  <si>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</si>
  <si>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</si>
  <si>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</si>
  <si>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MODALIDAD DE VERIFICACIÓN — EXTERNA. Ninguna de las 14 estaciones fotográficas se localiza dentro del polígono. Las 13 tomas del 04-09-2026 se concentran en un rectángulo de 53 m (E) × 58 m (N) en el C.P. La Cría, entre 419 y 458 m al este del límite del bloque y a 780–817 m del centroide de catálogo. La toma del 24-06-2026 (617 717 E / 9 450 103 N, azimut 179° S) se sitúa a 729 m al nor-noroeste del límite y encuadra el macizo completo. La completitud del levantamiento interno es NULA (0 %). En consecuencia: (i) los afloramientos rocosos se marcan «Sí» por evidencia directa en la cresta del macizo (F-01) y en el pie de ladera oriental (F-04, F-05, F-13); (ii) escarpes activos, reptación de suelo, deslizamientos antiguos y remociones en masa activas se dejan EN BLANCO —no «No»— porque no son observables desde estaciones externas y una casilla «No» afirmaría una ausencia verificada que este levantamiento no sostiene. La altitud GPS no fue registrada por la aplicación de campo. El punto de muestreo consignado corresponde a la media de las estaciones del 04-09-2026 y es EXTERNO al polígono. Área, microcuenca, provincia, distrito y zona son autocalculados desde el catálogo «Bloques V4» (68.57 ha); el catálogo «Bloques V5 (05-ago)» consigna 68.569 ha y «CP´s y Bloques V5» 68.6 ha; la superficie planimétrica medida sobre el plano temático MSAVI es ≈ 67.56 ha (−1.5 %).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</si>
  <si>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</si>
  <si>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</si>
  <si>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</si>
  <si>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</si>
  <si>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</si>
  <si>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</si>
  <si>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No registrada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</si>
  <si>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</si>
  <si>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</si>
  <si>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</si>
  <si>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</si>
  <si>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</si>
  <si>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</si>
  <si>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</si>
  <si>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</si>
  <si>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</si>
  <si>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</si>
  <si>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</si>
  <si>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</si>
  <si>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</si>
  <si>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</si>
  <si>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</si>
  <si>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</si>
  <si>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</si>
  <si>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</si>
  <si>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</si>
  <si>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</si>
  <si>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</si>
  <si>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</si>
  <si>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E-01</t>
  </si>
  <si>
    <t>Cárcava somera (0.5-2 m)</t>
  </si>
  <si>
    <t>Activa</t>
  </si>
  <si>
    <t>Caminos / huellas de ganado</t>
  </si>
  <si>
    <t>F-04, F-05, F-13</t>
  </si>
  <si>
    <t>E-02</t>
  </si>
  <si>
    <t>Concentración natural de escorrentía</t>
  </si>
  <si>
    <t>F-09, F-11</t>
  </si>
  <si>
    <t>4. SÍNTESIS DE PROCESOS EROSIVOS DEL BLOQUE</t>
  </si>
  <si>
    <t>Nivel general de erosión (síntesis) *</t>
  </si>
  <si>
    <t>N° total de cárcavas registradas</t>
  </si>
  <si>
    <t>No inventariado</t>
  </si>
  <si>
    <t>Longitud total de cárcavas (m)</t>
  </si>
  <si>
    <t>% del bloque afectado por cárcavas</t>
  </si>
  <si>
    <t>Por determinar</t>
  </si>
  <si>
    <t>Erosión laminar observada (%)</t>
  </si>
  <si>
    <t>Patrón de cárcavas dominante</t>
  </si>
  <si>
    <t>Presencia de socavamiento de cauce</t>
  </si>
  <si>
    <t>Urgencia de control</t>
  </si>
  <si>
    <t>Baja</t>
  </si>
  <si>
    <t>No se ejecutó inventario georreferenciado de cárcavas DENTRO del polígono: el levantamiento fue externo. Consignar «0» habría significado ausencia verificada de cárcavas, lo que no se ha comprobado; se consigna «No inventariado». Las dos filas E-01 y E-02 registran rasgos erosivos observados en el ENTORNO INMEDIATO (C.P. La Cría, 420–455 m al este del límite del bloque) y NO computan en los indicadores del bloque: se incorporan por su valor diagnóstico sobre el comportamiento de la escorrentía concentrada en el sector. Sus dimensiones (longitud, profundidad, ancho) no fueron medidas y se dejan en blanco. La calificación «Ligera (laminar)» a escala de bloque es preliminar y se sustenta en la continuidad del dosel verificada por sensores remotos: el 83.0 % de la superficie registra MSAVI 2024 &gt; 0.6139 y el 94.0 % clasifica como «vegetación alta» en el NDVI mediana 2025, sin un solo píxel en las clases de suelo desnudo o degradación crítica. Sellamiento superficial, compactación por pisoteo y raíces expuestas requieren observación directa en calicata o punto de control y quedan en blanco.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</si>
  <si>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</si>
  <si>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</si>
  <si>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</si>
  <si>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</si>
  <si>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</si>
  <si>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No instalada — levantamiento externo</t>
  </si>
  <si>
    <t>Dimensiones de parcela (m × m)</t>
  </si>
  <si>
    <t>No aplica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</si>
  <si>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</si>
  <si>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</si>
  <si>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</si>
  <si>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</si>
  <si>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</si>
  <si>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</si>
  <si>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Bosque Relicto Montano V. Occidental (BMVO)</t>
  </si>
  <si>
    <t>Superficie del ecosistema en el bloque (ha)</t>
  </si>
  <si>
    <t>Estado de conservación general *</t>
  </si>
  <si>
    <t>Levemente alterado</t>
  </si>
  <si>
    <t>Uso actual dominante del suelo *</t>
  </si>
  <si>
    <t>Forestal protección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</si>
  <si>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</si>
  <si>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</si>
  <si>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</si>
  <si>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</si>
  <si>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</si>
  <si>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Por verificar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</si>
  <si>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</si>
  <si>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</si>
  <si>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</si>
  <si>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</si>
  <si>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</si>
  <si>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</si>
  <si>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</si>
  <si>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</si>
  <si>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</si>
  <si>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</si>
  <si>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</si>
  <si>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Bosque denso (&gt;70%)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</si>
  <si>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</si>
  <si>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</si>
  <si>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</si>
  <si>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</si>
  <si>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</si>
  <si>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</si>
  <si>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</si>
  <si>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</si>
  <si>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</si>
  <si>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</si>
  <si>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</si>
  <si>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Lanche</t>
  </si>
  <si>
    <t>Myrcianthes rhopaloides (por confirmar)</t>
  </si>
  <si>
    <t>Myrtaceae</t>
  </si>
  <si>
    <t>Arbóreo medio (8-15 m)</t>
  </si>
  <si>
    <t>Nativa</t>
  </si>
  <si>
    <t>Arrayán</t>
  </si>
  <si>
    <t>Myrcianthes sp.</t>
  </si>
  <si>
    <t>Arbóreo bajo (4-8 m)</t>
  </si>
  <si>
    <t>Sauco</t>
  </si>
  <si>
    <t>Sambucus peruviana</t>
  </si>
  <si>
    <t>Adoxaceae</t>
  </si>
  <si>
    <t>Roble (roble andino)</t>
  </si>
  <si>
    <t>Roupala sp. (por confirmar)</t>
  </si>
  <si>
    <t>Proteaceae</t>
  </si>
  <si>
    <t>Higuerón</t>
  </si>
  <si>
    <t>Ficus sp.</t>
  </si>
  <si>
    <t>Moraceae</t>
  </si>
  <si>
    <t>Arbóreo superior (&gt;15 m)</t>
  </si>
  <si>
    <t>Pacae / Guaba</t>
  </si>
  <si>
    <t>Inga sp. (I. feuillei / I. edulis, por confirmar)</t>
  </si>
  <si>
    <t>Fabaceae</t>
  </si>
  <si>
    <t>Sauce</t>
  </si>
  <si>
    <t>Salix humboldtiana</t>
  </si>
  <si>
    <t>Salicaceae</t>
  </si>
  <si>
    <t>Tara</t>
  </si>
  <si>
    <t>Caesalpinia spinosa (= Tara spinosa)</t>
  </si>
  <si>
    <t>Chirimoyo silvestre</t>
  </si>
  <si>
    <t>Annona sp. (A. cherimola, por confirmar)</t>
  </si>
  <si>
    <t>Annonaceae</t>
  </si>
  <si>
    <t>Chin chin</t>
  </si>
  <si>
    <t>Tecoma stans (por confirmar)</t>
  </si>
  <si>
    <t>Bignoniaceae</t>
  </si>
  <si>
    <t>Arbustivo alto (1.5-4 m)</t>
  </si>
  <si>
    <t>Matico</t>
  </si>
  <si>
    <t>Piper aduncum</t>
  </si>
  <si>
    <t>Piperaceae</t>
  </si>
  <si>
    <t>Chilca</t>
  </si>
  <si>
    <t>Baccharis latifolia (por confirmar)</t>
  </si>
  <si>
    <t>Asteraceae</t>
  </si>
  <si>
    <t>Mosquero</t>
  </si>
  <si>
    <t>Por determinar (Croton sp. / Baccharis sp., atribución preliminar)</t>
  </si>
  <si>
    <t>Tabaco silvestre</t>
  </si>
  <si>
    <t>Nicotiana sp. (N. tomentosa / N. paniculata, por confirmar)</t>
  </si>
  <si>
    <t>Solanaceae</t>
  </si>
  <si>
    <t>Arbustivo bajo (0.5-1.5 m)</t>
  </si>
  <si>
    <t>Eucalipto</t>
  </si>
  <si>
    <t>Eucalyptus globulus</t>
  </si>
  <si>
    <t>Introducida</t>
  </si>
  <si>
    <t>Pino</t>
  </si>
  <si>
    <t>Pinus sp. (P. radiata / P. patula, por confirmar)</t>
  </si>
  <si>
    <t>Pinaceae</t>
  </si>
  <si>
    <t>Ciprés</t>
  </si>
  <si>
    <t>Cupressus sp. (C. macrocarpa, por confirmar)</t>
  </si>
  <si>
    <t>Cupressaceae</t>
  </si>
  <si>
    <t>Grevilea</t>
  </si>
  <si>
    <t>Grevillea robusta</t>
  </si>
  <si>
    <t>Maíz (cultivo)</t>
  </si>
  <si>
    <t>Zea mays</t>
  </si>
  <si>
    <t>Poaceae</t>
  </si>
  <si>
    <t>Herbáceo (&lt;0.5 m)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</si>
  <si>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</si>
  <si>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</si>
  <si>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</si>
  <si>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</si>
  <si>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</si>
  <si>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</si>
  <si>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</si>
  <si>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</si>
  <si>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</si>
  <si>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Lanche (Myrcianthes rhopaloides)</t>
  </si>
  <si>
    <t>Indicadora de buen estado</t>
  </si>
  <si>
    <t>NE — No Evaluado</t>
  </si>
  <si>
    <t>Elemento estructural del bosque relicto montano; no incluida en el D.S. 043-2006-AG. Determinación específica pendiente.</t>
  </si>
  <si>
    <t>Arrayán (Myrcianthes sp.)</t>
  </si>
  <si>
    <t>Registrada fotográficamente (F-08). Determinación específica pendiente.</t>
  </si>
  <si>
    <t>Roble andino (Roupala sp.)</t>
  </si>
  <si>
    <t>Atribución preliminar del nombre local «roble»; requiere colecta botánica.</t>
  </si>
  <si>
    <t>Higuerón (Ficus sp.)</t>
  </si>
  <si>
    <t>Emergente de quebrada; indica humedad edáfica persistente.</t>
  </si>
  <si>
    <t>Sauco (Sambucus peruviana)</t>
  </si>
  <si>
    <t>Clave cultural</t>
  </si>
  <si>
    <t>Uso medicinal y alimenticio local; especie prioritaria para viveros comunales.</t>
  </si>
  <si>
    <t>Tara (Caesalpinia spinosa)</t>
  </si>
  <si>
    <t>Especie de valor comercial (taninos). Categoría en D.S. 043-2006-AG POR VERIFICAR.</t>
  </si>
  <si>
    <t>Chirimoyo silvestre (Annona sp.)</t>
  </si>
  <si>
    <t>Frutal nativo asilvestrado; germoplasma local de interés.</t>
  </si>
  <si>
    <t>Matico (Piper aduncum)</t>
  </si>
  <si>
    <t>Registrado fotográficamente (F-06). Medicinal; coloniza bordes y claros.</t>
  </si>
  <si>
    <t>Chilca (Baccharis latifolia)</t>
  </si>
  <si>
    <t>Indicadora de perturbación</t>
  </si>
  <si>
    <t>Arbustiva colonizadora de suelos removidos y bordes de camino.</t>
  </si>
  <si>
    <t>Tabaco silvestre (Nicotiana sp.)</t>
  </si>
  <si>
    <t>Ruderal, indicadora de suelo alterado y de presión de pastoreo.</t>
  </si>
  <si>
    <t>LISTA FLORÍSTICA PRELIMINAR — 19 taxones (15 nativos + 4 forestales introducidos), aportados por el responsable de brigada a partir del reconocimiento del 24-06-2026 y del 04-09-2026 y verificados fotográficamente en dos casos (matico, F-06; arrayán, F-08). La columna ABUNDANCIA se deja deliberadamente en blanco: no se instalaron parcelas ni transectos, por lo que no existe muestreo que la sustente. Los nombres científicos de «mosquero», «roble», «chin chin», «chilca», «lanche» y «tabaco silvestre» son atribuciones genéricas referenciales a partir del nombre local y quedan sujetas a determinación botánica formal (colecta en época de lluvias, a cargo del Biól. Abel Aucasime Orihuela). Las coberturas (%) son estimaciones apoyadas en la clasificación de los rásteres MSAVI 2024 y NDVI mediana 2025 y en la observación externa; no son mediciones de parcela. DAP, alturas, hojarasca y regeneración natural exigen parcela de muestreo y se consignan «Por verificar»; la regeneración natural se deja en blanco por no ser observable desde estación externa. Las categorías de amenaza se consignan «NE» por no figurar las especies en el D.S. 043-2006-AG según la revisión disponible; su verificación contra el texto oficial queda pendiente. El eucalipto, pino, ciprés y grevilea se registraron en el entorno inmediato (rodales y cercos vivos del C.P. La Cría); su presencia DENTRO del polígono queda por verificar.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</si>
  <si>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</si>
  <si>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</si>
  <si>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</si>
  <si>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</si>
  <si>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</si>
  <si>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</si>
  <si>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</si>
  <si>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</si>
  <si>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</si>
  <si>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</si>
  <si>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</si>
  <si>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Pastos cultivados y ganado vacuno en el entorno oriental (F-07, F-10). Carga ganadera y ocurrencia dentro del polígono POR VERIFICAR.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</si>
  <si>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</si>
  <si>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</si>
  <si>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</si>
  <si>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</si>
  <si>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</si>
  <si>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</si>
  <si>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Ligera</t>
  </si>
  <si>
    <t>Parcelas de maíz en ladera y claros de cultivo en el tercio norte y flanco occidental del macizo (F-01, F-03, F-12). La extensión consignada corresponde a la superficie con MSAVI 2024 &lt; 0.6139 (11.65 ha ≈ 17.0 % del bloque), tomada como cota superior del área intervenida.</t>
  </si>
  <si>
    <t>Cambio de uso a pastoreo</t>
  </si>
  <si>
    <t>Fajas de pastos cultivados de tonalidad verde intensa en el borde oriental del macizo (F-07, F-09, F-10); extensión dentro del polígono por delimitar.</t>
  </si>
  <si>
    <t>Expansión urbana / vial</t>
  </si>
  <si>
    <t>C.P. La Cría a 419 m del límite oriental, con trocha carrozable de acceso y red de media tensión. La red vial más próxima dista 225 m del vértice nororiental (medición sobre plano temático).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</si>
  <si>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</si>
  <si>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</si>
  <si>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</si>
  <si>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</si>
  <si>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</si>
  <si>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</si>
  <si>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</si>
  <si>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OTRO — Forestación con especies exóticas: rodales de eucalipto, pino, ciprés y grevilea en el entorno inmediato (F-03, F-07, F-09). Riesgo de sustitución de flora nativa y de consumo hídrico en cabecera; presencia dentro del polígono por verificar.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</si>
  <si>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</si>
  <si>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</si>
  <si>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</si>
  <si>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</si>
  <si>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</si>
  <si>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</si>
  <si>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</si>
  <si>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</si>
  <si>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</si>
  <si>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</si>
  <si>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apoyada en NDVI mediana 2025 (94.0 % veg. alta) y MSAVI 2024</t>
  </si>
  <si>
    <t>&gt;60% bueno; 30-60% medio; &lt;30% malo</t>
  </si>
  <si>
    <t>Alto</t>
  </si>
  <si>
    <t>Porcentaje de suelo desnudo</t>
  </si>
  <si>
    <t>Estimación apoyada en MSAVI 2024: 0 % de superficie en clases ≤ 0.3813</t>
  </si>
  <si>
    <t>&lt;10% bueno; 10-30% medio; &gt;30% malo</t>
  </si>
  <si>
    <t>Bajo</t>
  </si>
  <si>
    <t>Densidad de cárcavas</t>
  </si>
  <si>
    <t>N°/ha</t>
  </si>
  <si>
    <t>Inventario de cárcavas no ejecutado dentro del polígono</t>
  </si>
  <si>
    <t>0 nulo; 1-3 medio; &gt;3 alto</t>
  </si>
  <si>
    <t>Presencia de especies invasoras</t>
  </si>
  <si>
    <t>% área</t>
  </si>
  <si>
    <t>No verificado; forestales exóticas registradas en el entorno</t>
  </si>
  <si>
    <t>&lt;5% bueno; 5-20% medio; &gt;20% alto</t>
  </si>
  <si>
    <t>Carga ganadera estimada</t>
  </si>
  <si>
    <t>UA/ha</t>
  </si>
  <si>
    <t>Requiere entrevistas a titulares y conteo de campo</t>
  </si>
  <si>
    <t>Según tipo de ecosistema</t>
  </si>
  <si>
    <t>Frecuencia de quemas últimos 5 años</t>
  </si>
  <si>
    <t>Requiere serie de focos de calor (NASA FIRMS / Sentinel-2)</t>
  </si>
  <si>
    <t>0 nulo; 1-2 medio; &gt;2 alto</t>
  </si>
  <si>
    <t>% área con pendiente &gt;50%</t>
  </si>
  <si>
    <t>Requiere procesamiento zonal del MDE sobre el polígono</t>
  </si>
  <si>
    <t>Factor de susceptibilidad</t>
  </si>
  <si>
    <t>Distancia a vía vecinal más cercana</t>
  </si>
  <si>
    <t>m</t>
  </si>
  <si>
    <t>Medición sobre plano temático MSAVI_Piura_2024 (vértice NE al eje vial)</t>
  </si>
  <si>
    <t>A menor distancia → mayor presión</t>
  </si>
  <si>
    <t>Medio</t>
  </si>
  <si>
    <t>4. SÍNTESIS DIAGNÓSTICA DE LA DEGRADACIÓN</t>
  </si>
  <si>
    <t>Principales causas directas (texto libre)</t>
  </si>
  <si>
    <t>Presión agropecuaria de borde: parcelas de maíz en ladera y pastos cultivados que ascienden desde el C.P. La Cría hacia el flanco oriental y el tercio norte del macizo, acompañadas de rodales de forestales exóticas. No se observó tala para leña o madera, quema, minería ni extracción de áridos; estas causas se dejan en blanco por no haber sido verificadas, no por ausencia comprobada. El núcleo del bloque conserva dosel continuo (83.0 % con MSAVI &gt; 0.6139).</t>
  </si>
  <si>
    <t>Principal causa subyacente (motor)</t>
  </si>
  <si>
    <t>Expansión de la frontera agropecuaria familiar desde el C.P. La Cría hacia la cabecera de microcuenca, en ausencia de alternativas productivas y de un acuerdo de conservación sobre el macizo. Como motor secundario, la mejora de la accesibilidad vial del sector.</t>
  </si>
  <si>
    <t>Velocidad de degradación percibida</t>
  </si>
  <si>
    <t>Lenta</t>
  </si>
  <si>
    <t>Reversibilidad técnica</t>
  </si>
  <si>
    <t>Totalmente reversible</t>
  </si>
  <si>
    <t>Urgencia de intervención</t>
  </si>
  <si>
    <t>El Bloque 39 es, en términos de cobertura, uno de los bloques mejor conservados del catálogo del proyecto: su MSAVI 2024 de 0.7016 lo ubica en el 5.° lugar entre los 127 bloques inventariados y es el más alto de su microcuenca (C1096-Q9564: 0.7016 en el B-39 frente a 0.6777 en el B-56 y 0.6711 en el B-13). El diagnóstico de degradación es, por tanto, de PRESIÓN DE BORDE y no de deterioro consumado: la intervención pertinente es de CONSERVACIÓN Y ENRIQUECIMIENTO —clausura, acuerdos de conservación, control del avance agrícola en la franja de contacto— y no de restauración intensiva, que sería técnicamente innecesaria y económicamente ineficiente sobre un dosel funcional. Las casillas de presencia en blanco NO equivalen a «No»: significan que la causa no fue verificada desde estaciones externas.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</si>
  <si>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</si>
  <si>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</si>
  <si>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</si>
  <si>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</si>
  <si>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</si>
  <si>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</si>
  <si>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</si>
  <si>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</si>
  <si>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</si>
  <si>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No evaluable</t>
  </si>
  <si>
    <t>Caja de captación de concreto armado con tapa metálica, en servicio (F-14). Asociada aparentemente al sistema de agua potable del C.P. La Cría. Nombre de la JASS, caudal, manantial de origen y padrón de usuarios POR VERIFICAR.</t>
  </si>
  <si>
    <t>Curso de agua que delimita el flanco norte del bloque, trazado en la capa hidrográfica del proyecto sobre imagen Google Earth / Airbus. Tipo (quebrada permanente o estacional), régimen, coordenadas y caudal POR PRECISAR en campo; no fue accesible desde las estaciones externas.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</si>
  <si>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</si>
  <si>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</si>
  <si>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</si>
  <si>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</si>
  <si>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</si>
  <si>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</si>
  <si>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</si>
  <si>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</si>
  <si>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</si>
  <si>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</si>
  <si>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</si>
  <si>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</si>
  <si>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de acceso al C.P. La Cría, con empalme a la red vial del distrito de Frías (código de ruta por confirmar)</t>
  </si>
  <si>
    <t>Tipo de vía final</t>
  </si>
  <si>
    <t>Trocha carrozable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</si>
  <si>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</si>
  <si>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</si>
  <si>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</si>
  <si>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</si>
  <si>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</si>
  <si>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</si>
  <si>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</si>
  <si>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</si>
  <si>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</si>
  <si>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La calificación «Sí» de zona de recarga se sustenta en la posición del bloque en cabecera de la microcuenca C1096-Q9564, en la continuidad del dosel (83.0 % del área con MSAVI &gt; 0.6139) y en la existencia de una captación poblacional en servicio a 419 m aguas abajo del límite oriental; su confirmación exige caracterización hidrogeológica. La humedad persistente se sustenta en la neblina registrada en las tomas del 04-09-2026 en pleno estiaje (F-03 a F-14) y en el dosel verde continuo del macizo. La escorrentía concentrada se evidencia en los dos rasgos erosivos activos sobre la calle y la trocha del C.P. La Cría (E-01 y E-02, ficha F-DT-02), ambos externos al polígono. Transitabilidad en época lluviosa, tiempos de viaje, señal celular, operador, alojamiento y requerimiento de autorización de Ronda Campesina NO fueron levantados y se dejan en blanco; deben completarse en la siguiente salida en coordinación con la brigada social. La distancia de 419 m es la separación horizontal medida entre la caja de captación y el límite oriental del polígono sobre el plano temático georreferenciado.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</si>
  <si>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</si>
  <si>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</si>
  <si>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</si>
  <si>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</si>
  <si>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</si>
  <si>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</si>
  <si>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</si>
  <si>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</si>
  <si>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</si>
  <si>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</si>
  <si>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</si>
  <si>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</si>
  <si>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</si>
  <si>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</si>
  <si>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</si>
  <si>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</si>
  <si>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</si>
  <si>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</si>
  <si>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</si>
  <si>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</si>
  <si>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</si>
  <si>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</si>
  <si>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</si>
  <si>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</si>
  <si>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</si>
  <si>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</si>
  <si>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</si>
  <si>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</si>
  <si>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</si>
  <si>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</si>
  <si>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</si>
  <si>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</si>
  <si>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</si>
  <si>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</si>
  <si>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</si>
  <si>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</si>
  <si>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</si>
  <si>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</si>
  <si>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</si>
  <si>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</si>
  <si>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</si>
  <si>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</si>
  <si>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</si>
  <si>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</si>
  <si>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</si>
  <si>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</si>
  <si>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</si>
  <si>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</si>
  <si>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</si>
  <si>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</si>
  <si>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</si>
  <si>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</si>
  <si>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</si>
  <si>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</si>
  <si>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</si>
  <si>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</si>
  <si>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</si>
  <si>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</si>
  <si>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</si>
  <si>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</si>
  <si>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</si>
  <si>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</si>
  <si>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</si>
  <si>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</si>
  <si>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</si>
  <si>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</si>
  <si>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</si>
  <si>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</si>
  <si>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</si>
  <si>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</si>
  <si>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</si>
  <si>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</si>
  <si>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</si>
  <si>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</si>
  <si>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</si>
  <si>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</si>
  <si>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</si>
  <si>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</si>
  <si>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</si>
  <si>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</si>
  <si>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</si>
  <si>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</si>
  <si>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</si>
  <si>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</si>
  <si>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</si>
  <si>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</si>
  <si>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</si>
  <si>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</si>
  <si>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</si>
  <si>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</si>
  <si>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</si>
  <si>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</si>
  <si>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</si>
  <si>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</si>
  <si>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</si>
  <si>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</si>
  <si>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</si>
  <si>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</si>
  <si>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</si>
  <si>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</si>
  <si>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</si>
  <si>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</si>
  <si>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</si>
  <si>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</si>
  <si>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</si>
  <si>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</si>
  <si>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</si>
  <si>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</si>
  <si>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</si>
  <si>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</si>
  <si>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</si>
  <si>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</si>
  <si>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</si>
  <si>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</si>
  <si>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</si>
  <si>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</si>
  <si>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</si>
  <si>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</si>
  <si>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</si>
  <si>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</si>
  <si>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</si>
  <si>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</si>
  <si>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</si>
  <si>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</si>
  <si>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</si>
  <si>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</si>
  <si>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</si>
  <si>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</si>
  <si>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</si>
  <si>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</si>
  <si>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</si>
  <si>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</si>
  <si>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</si>
  <si>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</si>
  <si>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</si>
  <si>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</si>
  <si>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</si>
  <si>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</si>
  <si>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</si>
  <si>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</si>
  <si>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</si>
  <si>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</si>
  <si>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</si>
  <si>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</si>
  <si>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</si>
  <si>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</si>
  <si>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</si>
  <si>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</si>
  <si>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</si>
  <si>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</si>
  <si>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</si>
  <si>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</si>
  <si>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</si>
  <si>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</si>
  <si>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</si>
  <si>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</si>
  <si>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</si>
  <si>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</si>
  <si>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</si>
  <si>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</si>
  <si>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</si>
  <si>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</si>
  <si>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</si>
  <si>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</si>
  <si>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</si>
  <si>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</si>
  <si>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</si>
  <si>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</si>
  <si>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</si>
  <si>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</si>
  <si>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</si>
  <si>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</si>
  <si>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</si>
  <si>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</si>
  <si>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</si>
  <si>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</si>
  <si>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</si>
  <si>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</si>
  <si>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</si>
  <si>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</si>
  <si>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</si>
  <si>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</si>
  <si>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</si>
  <si>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</si>
  <si>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</si>
  <si>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</si>
  <si>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</si>
  <si>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</si>
  <si>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</si>
  <si>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</si>
  <si>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</si>
  <si>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</si>
  <si>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</si>
  <si>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</si>
  <si>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</si>
  <si>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</si>
  <si>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</si>
  <si>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</si>
  <si>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</si>
  <si>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</si>
  <si>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</si>
  <si>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</si>
  <si>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</si>
  <si>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</si>
  <si>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</si>
  <si>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</si>
  <si>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</si>
  <si>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</si>
  <si>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</si>
  <si>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</si>
  <si>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</si>
  <si>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</si>
  <si>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</si>
  <si>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</si>
  <si>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</si>
  <si>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</si>
  <si>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</si>
  <si>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</si>
  <si>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</si>
  <si>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</si>
  <si>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</si>
  <si>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</si>
  <si>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</si>
  <si>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</si>
  <si>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</si>
  <si>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</si>
  <si>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</si>
  <si>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</si>
  <si>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</si>
  <si>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</si>
  <si>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</si>
  <si>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</si>
  <si>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&lt;1000 m (Yunga)</t>
  </si>
  <si>
    <t>Nula</t>
  </si>
  <si>
    <t>Surco (&lt;30 cm)</t>
  </si>
  <si>
    <t>Sobrepastoreo</t>
  </si>
  <si>
    <t>Dendrítico</t>
  </si>
  <si>
    <t>Crítica</t>
  </si>
  <si>
    <t>Páramo</t>
  </si>
  <si>
    <t>Conservado (sin intervención evidente)</t>
  </si>
  <si>
    <t>Abundante (&gt;50 pl./100m²)</t>
  </si>
  <si>
    <t>Dominante (&gt;40%)</t>
  </si>
  <si>
    <t>EX — Extinto</t>
  </si>
  <si>
    <t>Muy rápida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</si>
  <si>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</si>
  <si>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</si>
  <si>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</si>
  <si>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</si>
  <si>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</si>
  <si>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</si>
  <si>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</si>
  <si>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</si>
  <si>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</si>
  <si>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</si>
  <si>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</si>
  <si>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</si>
  <si>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Cárcava incipiente (30-50 cm)</t>
  </si>
  <si>
    <t>Semi-activa</t>
  </si>
  <si>
    <t>Tala / pérdida de cobertura</t>
  </si>
  <si>
    <t>Paralelo</t>
  </si>
  <si>
    <t>Alta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</si>
  <si>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</si>
  <si>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</si>
  <si>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</si>
  <si>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</si>
  <si>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</si>
  <si>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</si>
  <si>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Abundante (20-40%)</t>
  </si>
  <si>
    <t>EW — Extinto en Estado Silvestre</t>
  </si>
  <si>
    <t>Rápida</t>
  </si>
  <si>
    <t>Parcialmente reversible</t>
  </si>
  <si>
    <t>Quebrada permanente</t>
  </si>
  <si>
    <t>Estacional (lluvias)</t>
  </si>
  <si>
    <t>Regular (ligeramente turbia o con sedimentos)</t>
  </si>
  <si>
    <t>Nacional afirmada</t>
  </si>
  <si>
    <t>Parcial</t>
  </si>
  <si>
    <t>Claro</t>
  </si>
  <si>
    <t>No</t>
  </si>
  <si>
    <t>Colinoso</t>
  </si>
  <si>
    <t>Este</t>
  </si>
  <si>
    <t>Moderada (surcos)</t>
  </si>
  <si>
    <t>Estabilizada con vegetación</t>
  </si>
  <si>
    <t>Quema</t>
  </si>
  <si>
    <t>Lineal</t>
  </si>
  <si>
    <t>Media</t>
  </si>
  <si>
    <t>Bosque Estacionalmente Seco Colina/Montaña (Bes-cm)</t>
  </si>
  <si>
    <t>Medianamente alterado</t>
  </si>
  <si>
    <t>Pastoreo extensivo</t>
  </si>
  <si>
    <t>Escasa (&lt;10 pl./100m²)</t>
  </si>
  <si>
    <t>Enfermo (hongo)</t>
  </si>
  <si>
    <t>Fructificación</t>
  </si>
  <si>
    <t>Matorral denso</t>
  </si>
  <si>
    <t>Frecuente (5-20%)</t>
  </si>
  <si>
    <t>Endémica del Perú</t>
  </si>
  <si>
    <t>CR — En Peligro Crítico</t>
  </si>
  <si>
    <t>Moderada</t>
  </si>
  <si>
    <t>Difícilmente reversible</t>
  </si>
  <si>
    <t>Quebrada estacional</t>
  </si>
  <si>
    <t>Intermitente</t>
  </si>
  <si>
    <t>Mala (turbia, con olor o color)</t>
  </si>
  <si>
    <t>Vehicular + caminata 30-90 min</t>
  </si>
  <si>
    <t>Departamental asfaltada</t>
  </si>
  <si>
    <t>Entel</t>
  </si>
  <si>
    <t>25-50% (Mod. escarpado)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</si>
  <si>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</si>
  <si>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</si>
  <si>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</si>
  <si>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</si>
  <si>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</si>
  <si>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</si>
  <si>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</si>
  <si>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</si>
  <si>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</si>
  <si>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</si>
  <si>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</si>
  <si>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</si>
  <si>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</si>
  <si>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</si>
  <si>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</si>
  <si>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</si>
  <si>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Ocasional (1-5%)</t>
  </si>
  <si>
    <t>Endémica norte / Piura</t>
  </si>
  <si>
    <t>EN — En Peligro</t>
  </si>
  <si>
    <t>Fuerte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</si>
  <si>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</si>
  <si>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</si>
  <si>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</si>
  <si>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</si>
  <si>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</si>
  <si>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</si>
  <si>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</si>
  <si>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</si>
  <si>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</si>
  <si>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</si>
  <si>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</si>
  <si>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</si>
  <si>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</si>
  <si>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</si>
  <si>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</si>
  <si>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</si>
  <si>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</si>
  <si>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</si>
  <si>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</si>
  <si>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</si>
  <si>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</si>
  <si>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</si>
  <si>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</si>
  <si>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Rara (&lt;1%)</t>
  </si>
  <si>
    <t>Amenazada (D.S. 043-2006-AG)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</si>
  <si>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</si>
  <si>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</si>
  <si>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</si>
  <si>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</si>
  <si>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</si>
  <si>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</si>
  <si>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</si>
  <si>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</si>
  <si>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</si>
  <si>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</si>
  <si>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</si>
  <si>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</si>
  <si>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</si>
  <si>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</si>
  <si>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</si>
  <si>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</si>
  <si>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</si>
  <si>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</si>
  <si>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</si>
  <si>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</si>
  <si>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</si>
  <si>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</si>
  <si>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</si>
  <si>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</si>
  <si>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</si>
  <si>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</si>
  <si>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</si>
  <si>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</si>
  <si>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</si>
  <si>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</si>
  <si>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</si>
  <si>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</si>
  <si>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</si>
  <si>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</si>
  <si>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</si>
  <si>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</si>
  <si>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</si>
  <si>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</si>
  <si>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</si>
  <si>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</si>
  <si>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</si>
  <si>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</si>
  <si>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</si>
  <si>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</si>
  <si>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</si>
  <si>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</si>
  <si>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</si>
  <si>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</si>
  <si>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</si>
  <si>
    <t>DIRECCIÓN DE INTERVENCIONES MULTISECTORIALES Y DE EMERGENCIA — DIME</t>
  </si>
  <si>
    <t>SUBDIRECCIÓN DE ESTUDIOS DE INVERSIÓN — SESDI</t>
  </si>
  <si>
    <t>PROYECTO IN PIURA  |  CUI 2669244  |  Bloque preliminar de intervención N.° 39  |  Microcuenca C1096-Q9564</t>
  </si>
  <si>
    <t>RESUMEN EJECUTIVO DEL BLOQUE</t>
  </si>
  <si>
    <t>Parámetro</t>
  </si>
  <si>
    <t>Fuente / observación</t>
  </si>
  <si>
    <t>Código del bloque</t>
  </si>
  <si>
    <t>Catálogo Bloques V5 / V4</t>
  </si>
  <si>
    <t>Microcuenca · Zona de planificación</t>
  </si>
  <si>
    <t>C1096-Q9564 · Z02</t>
  </si>
  <si>
    <t>Catálogo Bloques V4</t>
  </si>
  <si>
    <t>Ámbito político-administrativo</t>
  </si>
  <si>
    <t>Piura / Ayabaca / Frías</t>
  </si>
  <si>
    <t>Centro poblado asociado</t>
  </si>
  <si>
    <t>CP´s y Bloques V5</t>
  </si>
  <si>
    <t>Superficie (Bloques V5, 05-ago)</t>
  </si>
  <si>
    <t>ha</t>
  </si>
  <si>
    <t>Superficie (Bloques V4 — plantilla)</t>
  </si>
  <si>
    <t>Superficie (CP´s y Bloques V5)</t>
  </si>
  <si>
    <t>Superficie planimétrica sobre plano MSAVI</t>
  </si>
  <si>
    <t>ha (−1.5 % respecto del catálogo)</t>
  </si>
  <si>
    <t>Centroide de catálogo (Bloques V4)</t>
  </si>
  <si>
    <t>618 523 E · 9 448 918 N</t>
  </si>
  <si>
    <t>UTM WGS84 17S (EPSG:32717)</t>
  </si>
  <si>
    <t>Centroide medido sobre plano temático</t>
  </si>
  <si>
    <t>618 491 E · 9 448 900 N</t>
  </si>
  <si>
    <t>Δ ≈ 37 m respecto del catálogo</t>
  </si>
  <si>
    <t>Extensión E–O / N–S</t>
  </si>
  <si>
    <t>≈ 1 579 m / ≈ 1 025 m</t>
  </si>
  <si>
    <t>Medición sobre plano temático</t>
  </si>
  <si>
    <t>Altitud mínima – máxima</t>
  </si>
  <si>
    <t>1 729 – 2 088 msnm</t>
  </si>
  <si>
    <t>Estadística zonal del MDE (reporte del proyecto)</t>
  </si>
  <si>
    <t>Gradiente altitudinal</t>
  </si>
  <si>
    <t>Pendiente promedio (zonal)</t>
  </si>
  <si>
    <t>% — clase 15-25 % (fuertemente inclinado)</t>
  </si>
  <si>
    <t>MSAVI 2024 (media zonal)</t>
  </si>
  <si>
    <t>5.° valor más alto entre los 127 bloques del catálogo</t>
  </si>
  <si>
    <t>Ecosistema (MINAM)</t>
  </si>
  <si>
    <t>Bosque Relicto Montano de Vertiente Occidental (BMVO)</t>
  </si>
  <si>
    <t>Asignación preliminar — por confirmar con la capa oficial</t>
  </si>
  <si>
    <t>Estado de conservación</t>
  </si>
  <si>
    <t>F-DT-03</t>
  </si>
  <si>
    <t>Nivel general de erosión</t>
  </si>
  <si>
    <t>Ligera (laminar) — preliminar</t>
  </si>
  <si>
    <t>F-DT-02</t>
  </si>
  <si>
    <t>F-DT-04</t>
  </si>
  <si>
    <t>Estrategia recomendada</t>
  </si>
  <si>
    <t>Conservación y enriquecimiento (no restauración intensiva)</t>
  </si>
  <si>
    <t>F-DT-04 / informe técnico</t>
  </si>
  <si>
    <t>Fechas de verificación</t>
  </si>
  <si>
    <t>24-06-2026 y 04-09-2026</t>
  </si>
  <si>
    <t>Registro fotográfico georreferenciado</t>
  </si>
  <si>
    <t>Responsable de brigada</t>
  </si>
  <si>
    <t>ANIN / DIME – SESDI</t>
  </si>
  <si>
    <t>Modalidad de verificación</t>
  </si>
  <si>
    <t>Externa / perimetral — 0 % de recorrido interno</t>
  </si>
  <si>
    <t>14 estaciones, todas fuera del polígono</t>
  </si>
  <si>
    <t>CUANTIFICACIÓN DE COBERTURA VEGETAL — MSAVI 2024 Y NDVI MEDIANA 2025</t>
  </si>
  <si>
    <t>A. MSAVI Piura 2024 (Sentinel-2) — media zonal del bloque: 0.7016</t>
  </si>
  <si>
    <t>Clase MSAVI 2024</t>
  </si>
  <si>
    <t>Interpretación</t>
  </si>
  <si>
    <t>% del bloque</t>
  </si>
  <si>
    <t>Superficie (ha)</t>
  </si>
  <si>
    <t>Localización dominante</t>
  </si>
  <si>
    <t>&gt; 0.6139</t>
  </si>
  <si>
    <t>Cobertura vegetal densa y vigorosa</t>
  </si>
  <si>
    <t>Núcleo boscoso continuo en toda la ladera</t>
  </si>
  <si>
    <t>0.4976 – 0.6139</t>
  </si>
  <si>
    <t>Cobertura vegetal moderada</t>
  </si>
  <si>
    <t>Claros y borde norte del polígono</t>
  </si>
  <si>
    <t>0.3813 – 0.4976</t>
  </si>
  <si>
    <t>Cobertura escasa</t>
  </si>
  <si>
    <t>Manchas discretas en el tercio norte y el flanco occidental</t>
  </si>
  <si>
    <t>0.2650 – 0.3813</t>
  </si>
  <si>
    <t>Cobertura muy escasa</t>
  </si>
  <si>
    <t>Sin superficie en esta clase</t>
  </si>
  <si>
    <t>≤ 0.2650</t>
  </si>
  <si>
    <t>Suelo desnudo / degradación crítica</t>
  </si>
  <si>
    <t>TOTAL</t>
  </si>
  <si>
    <t>—</t>
  </si>
  <si>
    <t>Referido a la superficie de catálogo</t>
  </si>
  <si>
    <t>B. NDVI mediana 2025 (Sentinel-2)</t>
  </si>
  <si>
    <t>Clase NDVI 2025</t>
  </si>
  <si>
    <t>Vegetación alta</t>
  </si>
  <si>
    <t>Dosel denso y vigoroso</t>
  </si>
  <si>
    <t>Práctica totalidad del polígono</t>
  </si>
  <si>
    <t>Vegetación mediana</t>
  </si>
  <si>
    <t>Cobertura moderada</t>
  </si>
  <si>
    <t>Franja nororiental y dos manchas centrales</t>
  </si>
  <si>
    <t>Vegetación ligera</t>
  </si>
  <si>
    <t>Cobertura rala</t>
  </si>
  <si>
    <t>Píxeles aislados</t>
  </si>
  <si>
    <t>Tierra desnuda</t>
  </si>
  <si>
    <t>Suelo expuesto</t>
  </si>
  <si>
    <t>Clase no vegetal</t>
  </si>
  <si>
    <t>Sin vegetación</t>
  </si>
  <si>
    <t>MÉTODO Y ALCANCE: los porcentajes se obtuvieron por conteo de píxeles por clase de color sobre los planos temáticos «MSAVI_Piura_2024» y «NDVI mediana 2025» del proyecto, con exclusión del recuadro de leyenda y de la simbología vial. La georreferenciación se validó sobre la cuadrícula UTM del plano MSAVI (líneas 618 000 / 618 500 / 619 000 E y 9 448 500 / 9 449 000 N; escala 0.5225 m/píxel), lo que arroja una superficie planimétrica de 67.56 ha frente a las 68.569 ha del catálogo (−1.5 %). Las hectáreas de las tablas se calcularon prorrateando el porcentaje de clase sobre la superficie de catálogo. Los valores deben ratificarse con estadística zonal directa sobre el ráster.</t>
  </si>
  <si>
    <t>ESTACIONES DEL REGISTRO FOTOGRÁFICO GEORREFERENCIADO</t>
  </si>
  <si>
    <t>Cód.</t>
  </si>
  <si>
    <t>Fecha</t>
  </si>
  <si>
    <t>Hora</t>
  </si>
  <si>
    <t>UTM Este</t>
  </si>
  <si>
    <t>UTM Norte</t>
  </si>
  <si>
    <t>Azimut</t>
  </si>
  <si>
    <t>Distancia al límite del bloque (m)</t>
  </si>
  <si>
    <t>Contenido / uso en el diagnóstico</t>
  </si>
  <si>
    <t>F-01</t>
  </si>
  <si>
    <t>24-06-2026</t>
  </si>
  <si>
    <t>11:49:37</t>
  </si>
  <si>
    <t>179° S</t>
  </si>
  <si>
    <t>Panorámica del macizo del bloque desde el norte; índice de campo N.° 236</t>
  </si>
  <si>
    <t>F-02</t>
  </si>
  <si>
    <t>04-09-2026</t>
  </si>
  <si>
    <t>15:39:29</t>
  </si>
  <si>
    <t>218° SW</t>
  </si>
  <si>
    <t>Vivienda y adobera en el C.P. La Cría (archivo no incluido en el paquete recibido)</t>
  </si>
  <si>
    <t>F-03</t>
  </si>
  <si>
    <t>15:41:18</t>
  </si>
  <si>
    <t>282° W</t>
  </si>
  <si>
    <t>Mosaico agropecuario de ladera con rodal de eucalipto y trocha</t>
  </si>
  <si>
    <t>F-04</t>
  </si>
  <si>
    <t>15:42:20</t>
  </si>
  <si>
    <t>309° NW</t>
  </si>
  <si>
    <t>Calle del C.P. con erosión en surcos y bolonería expuesta</t>
  </si>
  <si>
    <t>F-05</t>
  </si>
  <si>
    <t>15:56:05</t>
  </si>
  <si>
    <t>306° NW</t>
  </si>
  <si>
    <t>Calle del C.P.; bolonería granítica métrica junto a vivienda</t>
  </si>
  <si>
    <t>F-06</t>
  </si>
  <si>
    <t>15:57:05</t>
  </si>
  <si>
    <t>265° W</t>
  </si>
  <si>
    <t>Matico (Piper aduncum) en floración — registro florístico</t>
  </si>
  <si>
    <t>F-07</t>
  </si>
  <si>
    <t>15:57:48</t>
  </si>
  <si>
    <t>260° W</t>
  </si>
  <si>
    <t>Fajas de pasto cultivado y rodal de eucalipto en ladera</t>
  </si>
  <si>
    <t>F-08</t>
  </si>
  <si>
    <t>16:02:43</t>
  </si>
  <si>
    <t>280° W</t>
  </si>
  <si>
    <t>Arrayán (Myrcianthes sp.) sobre afloramiento — registro florístico</t>
  </si>
  <si>
    <t>F-09</t>
  </si>
  <si>
    <t>16:04:15</t>
  </si>
  <si>
    <t>278° W</t>
  </si>
  <si>
    <t>Quebrada, trocha con cárcava activa y viviendas dispersas</t>
  </si>
  <si>
    <t>F-10</t>
  </si>
  <si>
    <t>16:05:56</t>
  </si>
  <si>
    <t>228° SW</t>
  </si>
  <si>
    <t>Pastos cultivados, rastrojo de maíz y ganado en ladera</t>
  </si>
  <si>
    <t>F-11</t>
  </si>
  <si>
    <t>16:06:37</t>
  </si>
  <si>
    <t>271° W</t>
  </si>
  <si>
    <t>Cabecera de quebrada con cárcava sobre trocha</t>
  </si>
  <si>
    <t>F-12</t>
  </si>
  <si>
    <t>16:08:42</t>
  </si>
  <si>
    <t>203° SW</t>
  </si>
  <si>
    <t>Rastrojo de maíz en ladera y pastizal; la aplicación NO registró coordenada</t>
  </si>
  <si>
    <t>F-13</t>
  </si>
  <si>
    <t>16:11:42</t>
  </si>
  <si>
    <t>145° SE</t>
  </si>
  <si>
    <t>Calle del C.P. con erosión en surcos y cárcava incipiente</t>
  </si>
  <si>
    <t>F-14</t>
  </si>
  <si>
    <t>16:42:42</t>
  </si>
  <si>
    <t>211° SW</t>
  </si>
  <si>
    <t>Caja de captación de concreto en servicio — F-DT-05</t>
  </si>
  <si>
    <t>Sistema de referencia UTM WGS84 Zona 17S (EPSG:32717); todas las coordenadas verifican los rangos de validación del proyecto (Este 450 000–750 000 m; Norte 9 300 000–9 600 000 m). La distancia se midió desde cada estación al límite más próximo del polígono sobre el plano temático georreferenciado. NINGUNA estación se localiza dentro del bloque: las 13 tomas del 04-09-2026 se agrupan en un rectángulo de 53 × 58 m en el C.P. La Cría, a 419–458 m al este del límite; la toma del 24-06-2026 se sitúa a 729 m al nor-noroeste. Las fotografías F-02, F-03 y F-04 del informe corresponden a la vista satelital y a los dos planos temáticos, no a estaciones de campo.</t>
  </si>
  <si>
    <t>CONTEXTO COMPARATIVO — MICROCUENCA C1096-Q9564</t>
  </si>
  <si>
    <t>Bloque</t>
  </si>
  <si>
    <t>Distrito / Provincia</t>
  </si>
  <si>
    <t>Centro poblado</t>
  </si>
  <si>
    <t>Área (ha)</t>
  </si>
  <si>
    <t>MSAVI 2024</t>
  </si>
  <si>
    <t>Gradiente (m)</t>
  </si>
  <si>
    <t>Pendiente prom. (%)</t>
  </si>
  <si>
    <t>Frías / Ayabaca</t>
  </si>
  <si>
    <t>1 729 – 2 088</t>
  </si>
  <si>
    <t>Putagas · Banda de la Cruz</t>
  </si>
  <si>
    <t>2 342 – 2 770</t>
  </si>
  <si>
    <t>Santo Domingo / Morropón</t>
  </si>
  <si>
    <t>1 649 – 2 267</t>
  </si>
  <si>
    <t>La microcuenca C1096-Q9564 concentra tres bloques preliminares con 246.749 ha en total. El Bloque 39 aporta el 27.8 % de esa superficie y presenta, simultáneamente, el MSAVI más alto (0.7016) y la pendiente promedio más baja (22.51 %) de los tres, además del gradiente altitudinal más corto (359 m). Es, por tanto, el bloque de la microcuenca con mejor relación entre estado de conservación y viabilidad técnica de intervención: la combinación de dosel funcional y pendiente moderada favorece una estrategia de conservación y enriquecimiento de bajo costo unitario, frente a los bloques 56 y 13, de mayor pendiente y mayor amplitud altitudinal. Los tres comparten el distrito de Frías salvo el Bloque 13, adscrito a Santo Domingo (Morropón). Fuente: reporte «Rango de altitud y pendiente promedio por bloque» y catálogo Bloques V5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</si>
</sst>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  <font>
      <b/>
      <sz val="10"/>
      <color rgb="FF1B4D2E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DF3EE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EDF3EE"/>
      </patternFill>
    </fill>
    <fill>
      <patternFill patternType="solid">
        <fgColor rgb="FFFFF8DC"/>
        <bgColor rgb="FFEDF3EE"/>
      </patternFill>
    </fill>
    <fill>
      <patternFill patternType="solid">
        <fgColor rgb="FFEDF3EE"/>
        <bgColor rgb="FFEEF2F5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top"/>
    </xf>
    <xf numFmtId="0" fontId="15" fillId="0" borderId="4" xfId="0" applyFont="1" applyBorder="1" applyAlignment="1">
      <alignment vertical="top" wrapText="1"/>
    </xf>
    <xf numFmtId="0" fontId="15" fillId="8" borderId="4" xfId="0" applyFont="1" applyFill="1" applyBorder="1" applyAlignment="1">
      <alignment vertical="top"/>
    </xf>
    <xf numFmtId="0" fontId="15" fillId="8" borderId="4" xfId="0" applyFont="1" applyFill="1" applyBorder="1" applyAlignment="1">
      <alignment vertical="top" wrapText="1"/>
    </xf>
    <xf numFmtId="0" fontId="6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D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5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E9E9E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C1096-Q9564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Ayabaca</v>
      </c>
      <c r="C11" s="6"/>
      <c r="D11" s="6"/>
      <c r="E11" s="15" t="s">
        <v>19</v>
      </c>
      <c r="F11" s="6" t="str">
        <f>IFERROR(VLOOKUP($B$10,tbl_Bloques,4,FALSE()),"")</f>
        <v>Frias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Z02</v>
      </c>
      <c r="C12" s="6"/>
      <c r="D12" s="6"/>
      <c r="E12" s="15" t="s">
        <v>21</v>
      </c>
      <c r="F12" s="6">
        <f>IFERROR(VLOOKUP($B$10,tbl_Bloques,8,FALSE()),"")</f>
        <v>68.569999999999993</v>
      </c>
      <c r="G12" s="6"/>
      <c r="H12" s="6"/>
    </row>
    <row r="13" spans="1:8" ht="19.5" customHeight="1" x14ac:dyDescent="0.3">
      <c r="A13" s="15" t="s">
        <v>22</v>
      </c>
      <c r="B13" s="7">
        <v>619274</v>
      </c>
      <c r="C13" s="7"/>
      <c r="D13" s="7"/>
      <c r="E13" s="15" t="s">
        <v>23</v>
      </c>
      <c r="F13" s="7">
        <v>9449187</v>
      </c>
      <c r="G13" s="7"/>
      <c r="H13" s="7"/>
    </row>
    <row r="14" spans="1:8" ht="19.5" customHeight="1" x14ac:dyDescent="0.3">
      <c r="A14" s="15" t="s">
        <v>24</v>
      </c>
      <c r="B14" s="7" t="s">
        <v>25</v>
      </c>
      <c r="C14" s="7"/>
      <c r="D14" s="7"/>
      <c r="E14" s="15" t="s">
        <v>26</v>
      </c>
      <c r="F14" s="7" t="s">
        <v>27</v>
      </c>
      <c r="G14" s="7"/>
      <c r="H14" s="7"/>
    </row>
    <row r="15" spans="1:8" ht="19.5" customHeight="1" x14ac:dyDescent="0.3">
      <c r="A15" s="15" t="s">
        <v>28</v>
      </c>
      <c r="B15" s="7" t="s">
        <v>29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30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31</v>
      </c>
      <c r="B18" s="7" t="s">
        <v>32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33</v>
      </c>
      <c r="B19" s="7" t="s">
        <v>34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35</v>
      </c>
      <c r="B20" s="7" t="s">
        <v>36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37</v>
      </c>
      <c r="B21" s="7" t="s">
        <v>38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39</v>
      </c>
      <c r="B22" s="7" t="s">
        <v>40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41</v>
      </c>
      <c r="B23" s="7" t="s">
        <v>42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43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44</v>
      </c>
      <c r="B26" s="7" t="s">
        <v>45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46</v>
      </c>
      <c r="B27" s="7"/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47</v>
      </c>
      <c r="B28" s="7"/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48</v>
      </c>
      <c r="B29" s="7"/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49</v>
      </c>
      <c r="B30" s="7"/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50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51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K22" sqref="K22:K23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55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56</v>
      </c>
      <c r="H9" s="8"/>
      <c r="I9" s="8"/>
      <c r="J9" s="6" t="str">
        <f>IFERROR(VLOOKUP($D$9,tbl_Bloques,2,FALSE()),"")</f>
        <v>C1096-Q9564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Frias</v>
      </c>
      <c r="E10" s="6"/>
      <c r="F10" s="6"/>
      <c r="G10" s="8" t="s">
        <v>57</v>
      </c>
      <c r="H10" s="8"/>
      <c r="I10" s="8"/>
      <c r="J10" s="7" t="s">
        <v>58</v>
      </c>
      <c r="K10" s="7"/>
      <c r="L10" s="7"/>
    </row>
    <row r="11" spans="1:12" ht="19.5" customHeight="1" x14ac:dyDescent="0.3">
      <c r="A11" s="8" t="s">
        <v>59</v>
      </c>
      <c r="B11" s="8"/>
      <c r="C11" s="8"/>
      <c r="D11" s="7">
        <v>619274</v>
      </c>
      <c r="E11" s="7"/>
      <c r="F11" s="7"/>
      <c r="G11" s="8" t="s">
        <v>60</v>
      </c>
      <c r="H11" s="8"/>
      <c r="I11" s="8"/>
      <c r="J11" s="7">
        <v>9449187</v>
      </c>
      <c r="K11" s="7"/>
      <c r="L11" s="7"/>
    </row>
    <row r="13" spans="1:12" ht="21.75" customHeight="1" x14ac:dyDescent="0.3">
      <c r="A13" s="9" t="s">
        <v>61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62</v>
      </c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63</v>
      </c>
      <c r="B15" s="8"/>
      <c r="C15" s="8"/>
      <c r="D15" s="7"/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64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65</v>
      </c>
      <c r="B17" s="8"/>
      <c r="C17" s="8"/>
      <c r="D17" s="7" t="s">
        <v>66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69</v>
      </c>
      <c r="B21" s="16" t="s">
        <v>70</v>
      </c>
      <c r="C21" s="16" t="s">
        <v>71</v>
      </c>
      <c r="D21" s="16" t="s">
        <v>72</v>
      </c>
      <c r="E21" s="16" t="s">
        <v>73</v>
      </c>
      <c r="F21" s="16" t="s">
        <v>74</v>
      </c>
      <c r="G21" s="16" t="s">
        <v>75</v>
      </c>
      <c r="H21" s="16" t="s">
        <v>76</v>
      </c>
      <c r="I21" s="16" t="s">
        <v>77</v>
      </c>
      <c r="J21" s="16" t="s">
        <v>78</v>
      </c>
      <c r="K21" s="16" t="s">
        <v>79</v>
      </c>
      <c r="L21" s="16" t="s">
        <v>80</v>
      </c>
    </row>
    <row r="22" spans="1:12" ht="19.5" customHeight="1" x14ac:dyDescent="0.3">
      <c r="A22" s="17" t="s">
        <v>81</v>
      </c>
      <c r="B22" s="17" t="s">
        <v>82</v>
      </c>
      <c r="C22" s="17">
        <v>619281</v>
      </c>
      <c r="D22" s="17">
        <v>9449192</v>
      </c>
      <c r="E22" s="17"/>
      <c r="F22" s="17"/>
      <c r="G22" s="17"/>
      <c r="H22" s="17"/>
      <c r="I22" s="17"/>
      <c r="J22" s="17" t="s">
        <v>83</v>
      </c>
      <c r="K22" s="18" t="s">
        <v>84</v>
      </c>
      <c r="L22" s="17" t="s">
        <v>85</v>
      </c>
    </row>
    <row r="23" spans="1:12" ht="19.5" customHeight="1" x14ac:dyDescent="0.3">
      <c r="A23" s="17" t="s">
        <v>86</v>
      </c>
      <c r="B23" s="17" t="s">
        <v>82</v>
      </c>
      <c r="C23" s="17">
        <v>619265</v>
      </c>
      <c r="D23" s="17">
        <v>9449198</v>
      </c>
      <c r="E23" s="17"/>
      <c r="F23" s="17"/>
      <c r="G23" s="17"/>
      <c r="H23" s="17"/>
      <c r="I23" s="17"/>
      <c r="J23" s="17" t="s">
        <v>83</v>
      </c>
      <c r="K23" s="18" t="s">
        <v>87</v>
      </c>
      <c r="L23" s="17" t="s">
        <v>88</v>
      </c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89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90</v>
      </c>
      <c r="B34" s="8"/>
      <c r="C34" s="8"/>
      <c r="D34" s="7" t="s">
        <v>66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91</v>
      </c>
      <c r="B35" s="8"/>
      <c r="C35" s="8"/>
      <c r="D35" s="7" t="s">
        <v>92</v>
      </c>
      <c r="E35" s="7"/>
      <c r="F35" s="7"/>
      <c r="G35" s="8" t="s">
        <v>93</v>
      </c>
      <c r="H35" s="8"/>
      <c r="I35" s="8"/>
      <c r="J35" s="7" t="s">
        <v>92</v>
      </c>
      <c r="K35" s="7"/>
      <c r="L35" s="7"/>
    </row>
    <row r="36" spans="1:12" ht="19.5" customHeight="1" x14ac:dyDescent="0.3">
      <c r="A36" s="8" t="s">
        <v>94</v>
      </c>
      <c r="B36" s="8"/>
      <c r="C36" s="8"/>
      <c r="D36" s="7" t="s">
        <v>95</v>
      </c>
      <c r="E36" s="7"/>
      <c r="F36" s="7"/>
      <c r="G36" s="8" t="s">
        <v>96</v>
      </c>
      <c r="H36" s="8"/>
      <c r="I36" s="8"/>
      <c r="J36" s="7" t="s">
        <v>95</v>
      </c>
      <c r="K36" s="7"/>
      <c r="L36" s="7"/>
    </row>
    <row r="37" spans="1:12" ht="19.5" customHeight="1" x14ac:dyDescent="0.3">
      <c r="A37" s="8" t="s">
        <v>97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98</v>
      </c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99</v>
      </c>
      <c r="B39" s="8"/>
      <c r="C39" s="8"/>
      <c r="D39" s="7" t="s">
        <v>100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101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71"/>
  <sheetViews>
    <sheetView showGridLines="0" zoomScaleNormal="100" workbookViewId="0">
      <pane ySplit="6" topLeftCell="A67" activePane="bottomLeft" state="frozen"/>
      <selection pane="bottomLeft" activeCell="F66" sqref="F66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102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103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104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105</v>
      </c>
      <c r="F9" s="8"/>
      <c r="G9" s="6" t="str">
        <f>IFERROR(VLOOKUP($C$9,tbl_Bloques,2,FALSE()),"")</f>
        <v>C1096-Q9564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Frias</v>
      </c>
      <c r="D10" s="6"/>
      <c r="E10" s="8" t="s">
        <v>106</v>
      </c>
      <c r="F10" s="8"/>
      <c r="G10" s="7" t="s">
        <v>107</v>
      </c>
      <c r="H10" s="7"/>
      <c r="I10" s="7"/>
    </row>
    <row r="11" spans="1:9" ht="19.5" customHeight="1" x14ac:dyDescent="0.3">
      <c r="A11" s="8" t="s">
        <v>108</v>
      </c>
      <c r="B11" s="8"/>
      <c r="C11" s="7" t="s">
        <v>109</v>
      </c>
      <c r="D11" s="7"/>
      <c r="E11" s="8" t="s">
        <v>57</v>
      </c>
      <c r="F11" s="8"/>
      <c r="G11" s="7" t="s">
        <v>58</v>
      </c>
      <c r="H11" s="7"/>
      <c r="I11" s="7"/>
    </row>
    <row r="12" spans="1:9" ht="19.5" customHeight="1" x14ac:dyDescent="0.3">
      <c r="A12" s="8" t="s">
        <v>110</v>
      </c>
      <c r="B12" s="8"/>
      <c r="C12" s="7">
        <v>22.51</v>
      </c>
      <c r="D12" s="7"/>
      <c r="E12" s="8" t="s">
        <v>111</v>
      </c>
      <c r="F12" s="8"/>
      <c r="G12" s="7">
        <v>90</v>
      </c>
      <c r="H12" s="7"/>
      <c r="I12" s="7"/>
    </row>
    <row r="13" spans="1:9" ht="19.5" customHeight="1" x14ac:dyDescent="0.3">
      <c r="A13" s="8" t="s">
        <v>112</v>
      </c>
      <c r="B13" s="8"/>
      <c r="C13" s="7">
        <v>619274</v>
      </c>
      <c r="D13" s="7"/>
      <c r="E13" s="8" t="s">
        <v>113</v>
      </c>
      <c r="F13" s="8"/>
      <c r="G13" s="7">
        <v>9449187</v>
      </c>
      <c r="H13" s="7"/>
      <c r="I13" s="7"/>
    </row>
    <row r="15" spans="1:9" ht="21.75" customHeight="1" x14ac:dyDescent="0.3">
      <c r="A15" s="9" t="s">
        <v>114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115</v>
      </c>
      <c r="B16" s="8"/>
      <c r="C16" s="7" t="s">
        <v>747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117</v>
      </c>
      <c r="B17" s="8"/>
      <c r="C17" s="7">
        <v>68.569999999999993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118</v>
      </c>
      <c r="B18" s="8"/>
      <c r="C18" s="7" t="s">
        <v>119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120</v>
      </c>
      <c r="B19" s="8"/>
      <c r="C19" s="7" t="s">
        <v>121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122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123</v>
      </c>
      <c r="B22" s="8"/>
      <c r="C22" s="7">
        <v>70</v>
      </c>
      <c r="D22" s="7"/>
      <c r="E22" s="8" t="s">
        <v>124</v>
      </c>
      <c r="F22" s="8"/>
      <c r="G22" s="7">
        <v>20</v>
      </c>
      <c r="H22" s="7"/>
      <c r="I22" s="7"/>
    </row>
    <row r="23" spans="1:9" ht="19.5" customHeight="1" x14ac:dyDescent="0.3">
      <c r="A23" s="8" t="s">
        <v>125</v>
      </c>
      <c r="B23" s="8"/>
      <c r="C23" s="7">
        <v>15</v>
      </c>
      <c r="D23" s="7"/>
      <c r="E23" s="8" t="s">
        <v>126</v>
      </c>
      <c r="F23" s="8"/>
      <c r="G23" s="7" t="s">
        <v>127</v>
      </c>
      <c r="H23" s="7"/>
      <c r="I23" s="7"/>
    </row>
    <row r="24" spans="1:9" ht="19.5" customHeight="1" x14ac:dyDescent="0.3">
      <c r="A24" s="8" t="s">
        <v>128</v>
      </c>
      <c r="B24" s="8"/>
      <c r="C24" s="7">
        <v>3</v>
      </c>
      <c r="D24" s="7"/>
      <c r="E24" s="8" t="s">
        <v>129</v>
      </c>
      <c r="F24" s="8"/>
      <c r="G24" s="7" t="s">
        <v>127</v>
      </c>
      <c r="H24" s="7"/>
      <c r="I24" s="7"/>
    </row>
    <row r="25" spans="1:9" ht="19.5" customHeight="1" x14ac:dyDescent="0.3">
      <c r="A25" s="8" t="s">
        <v>130</v>
      </c>
      <c r="B25" s="8"/>
      <c r="C25" s="7" t="s">
        <v>127</v>
      </c>
      <c r="D25" s="7"/>
      <c r="E25" s="8" t="s">
        <v>131</v>
      </c>
      <c r="F25" s="8"/>
      <c r="G25" s="7" t="s">
        <v>127</v>
      </c>
      <c r="H25" s="7"/>
      <c r="I25" s="7"/>
    </row>
    <row r="26" spans="1:9" ht="19.5" customHeight="1" x14ac:dyDescent="0.3">
      <c r="A26" s="8" t="s">
        <v>132</v>
      </c>
      <c r="B26" s="8"/>
      <c r="C26" s="7"/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133</v>
      </c>
      <c r="B27" s="8"/>
      <c r="C27" s="7" t="s">
        <v>134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135</v>
      </c>
      <c r="B28" s="8"/>
      <c r="C28" s="7" t="s">
        <v>45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136</v>
      </c>
      <c r="B29" s="8"/>
      <c r="C29" s="7" t="s">
        <v>137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138</v>
      </c>
      <c r="B30" s="8"/>
      <c r="C30" s="7" t="s">
        <v>139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140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141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142</v>
      </c>
      <c r="B34" s="16" t="s">
        <v>143</v>
      </c>
      <c r="C34" s="16" t="s">
        <v>144</v>
      </c>
      <c r="D34" s="16" t="s">
        <v>145</v>
      </c>
      <c r="E34" s="16" t="s">
        <v>146</v>
      </c>
      <c r="F34" s="16" t="s">
        <v>147</v>
      </c>
      <c r="G34" s="16" t="s">
        <v>148</v>
      </c>
      <c r="H34" s="16" t="s">
        <v>149</v>
      </c>
      <c r="I34" s="16" t="s">
        <v>150</v>
      </c>
    </row>
    <row r="35" spans="1:9" ht="18" customHeight="1" x14ac:dyDescent="0.3">
      <c r="A35" s="19">
        <v>1</v>
      </c>
      <c r="B35" s="18" t="s">
        <v>151</v>
      </c>
      <c r="C35" s="18" t="s">
        <v>152</v>
      </c>
      <c r="D35" s="18" t="s">
        <v>153</v>
      </c>
      <c r="E35" s="17" t="s">
        <v>154</v>
      </c>
      <c r="F35" s="17" t="s">
        <v>155</v>
      </c>
      <c r="G35" s="17"/>
      <c r="H35" s="17"/>
      <c r="I35" s="17"/>
    </row>
    <row r="36" spans="1:9" ht="18" customHeight="1" x14ac:dyDescent="0.3">
      <c r="A36" s="19">
        <v>2</v>
      </c>
      <c r="B36" s="18" t="s">
        <v>156</v>
      </c>
      <c r="C36" s="18" t="s">
        <v>157</v>
      </c>
      <c r="D36" s="18" t="s">
        <v>153</v>
      </c>
      <c r="E36" s="17" t="s">
        <v>158</v>
      </c>
      <c r="F36" s="17" t="s">
        <v>155</v>
      </c>
      <c r="G36" s="17"/>
      <c r="H36" s="17"/>
      <c r="I36" s="17"/>
    </row>
    <row r="37" spans="1:9" ht="18" customHeight="1" x14ac:dyDescent="0.3">
      <c r="A37" s="19">
        <v>3</v>
      </c>
      <c r="B37" s="18" t="s">
        <v>159</v>
      </c>
      <c r="C37" s="18" t="s">
        <v>160</v>
      </c>
      <c r="D37" s="18" t="s">
        <v>161</v>
      </c>
      <c r="E37" s="17" t="s">
        <v>158</v>
      </c>
      <c r="F37" s="17" t="s">
        <v>155</v>
      </c>
      <c r="G37" s="17"/>
      <c r="H37" s="17"/>
      <c r="I37" s="17"/>
    </row>
    <row r="38" spans="1:9" ht="18" customHeight="1" x14ac:dyDescent="0.3">
      <c r="A38" s="19">
        <v>4</v>
      </c>
      <c r="B38" s="18" t="s">
        <v>162</v>
      </c>
      <c r="C38" s="18" t="s">
        <v>163</v>
      </c>
      <c r="D38" s="18" t="s">
        <v>164</v>
      </c>
      <c r="E38" s="17" t="s">
        <v>154</v>
      </c>
      <c r="F38" s="17" t="s">
        <v>155</v>
      </c>
      <c r="G38" s="17"/>
      <c r="H38" s="17"/>
      <c r="I38" s="17"/>
    </row>
    <row r="39" spans="1:9" ht="18" customHeight="1" x14ac:dyDescent="0.3">
      <c r="A39" s="19">
        <v>5</v>
      </c>
      <c r="B39" s="18" t="s">
        <v>165</v>
      </c>
      <c r="C39" s="18" t="s">
        <v>166</v>
      </c>
      <c r="D39" s="18" t="s">
        <v>167</v>
      </c>
      <c r="E39" s="17" t="s">
        <v>168</v>
      </c>
      <c r="F39" s="17" t="s">
        <v>155</v>
      </c>
      <c r="G39" s="17"/>
      <c r="H39" s="17"/>
      <c r="I39" s="17"/>
    </row>
    <row r="40" spans="1:9" ht="18" customHeight="1" x14ac:dyDescent="0.3">
      <c r="A40" s="19">
        <v>6</v>
      </c>
      <c r="B40" s="18" t="s">
        <v>169</v>
      </c>
      <c r="C40" s="18" t="s">
        <v>170</v>
      </c>
      <c r="D40" s="18" t="s">
        <v>171</v>
      </c>
      <c r="E40" s="17" t="s">
        <v>154</v>
      </c>
      <c r="F40" s="17" t="s">
        <v>155</v>
      </c>
      <c r="G40" s="17"/>
      <c r="H40" s="17"/>
      <c r="I40" s="17"/>
    </row>
    <row r="41" spans="1:9" ht="18" customHeight="1" x14ac:dyDescent="0.3">
      <c r="A41" s="19">
        <v>7</v>
      </c>
      <c r="B41" s="18" t="s">
        <v>172</v>
      </c>
      <c r="C41" s="18" t="s">
        <v>173</v>
      </c>
      <c r="D41" s="18" t="s">
        <v>174</v>
      </c>
      <c r="E41" s="17" t="s">
        <v>154</v>
      </c>
      <c r="F41" s="17" t="s">
        <v>155</v>
      </c>
      <c r="G41" s="17"/>
      <c r="H41" s="17"/>
      <c r="I41" s="17"/>
    </row>
    <row r="42" spans="1:9" ht="18" customHeight="1" x14ac:dyDescent="0.3">
      <c r="A42" s="19">
        <v>8</v>
      </c>
      <c r="B42" s="18" t="s">
        <v>175</v>
      </c>
      <c r="C42" s="18" t="s">
        <v>176</v>
      </c>
      <c r="D42" s="18" t="s">
        <v>171</v>
      </c>
      <c r="E42" s="17" t="s">
        <v>158</v>
      </c>
      <c r="F42" s="17" t="s">
        <v>155</v>
      </c>
      <c r="G42" s="17"/>
      <c r="H42" s="17"/>
      <c r="I42" s="17"/>
    </row>
    <row r="43" spans="1:9" ht="18" customHeight="1" x14ac:dyDescent="0.3">
      <c r="A43" s="19">
        <v>9</v>
      </c>
      <c r="B43" s="18" t="s">
        <v>177</v>
      </c>
      <c r="C43" s="18" t="s">
        <v>178</v>
      </c>
      <c r="D43" s="18" t="s">
        <v>179</v>
      </c>
      <c r="E43" s="17" t="s">
        <v>158</v>
      </c>
      <c r="F43" s="17" t="s">
        <v>155</v>
      </c>
      <c r="G43" s="17"/>
      <c r="H43" s="17"/>
      <c r="I43" s="17"/>
    </row>
    <row r="44" spans="1:9" ht="18" customHeight="1" x14ac:dyDescent="0.3">
      <c r="A44" s="19">
        <v>10</v>
      </c>
      <c r="B44" s="18" t="s">
        <v>180</v>
      </c>
      <c r="C44" s="18" t="s">
        <v>181</v>
      </c>
      <c r="D44" s="18" t="s">
        <v>182</v>
      </c>
      <c r="E44" s="17" t="s">
        <v>183</v>
      </c>
      <c r="F44" s="17" t="s">
        <v>155</v>
      </c>
      <c r="G44" s="17"/>
      <c r="H44" s="17"/>
      <c r="I44" s="17"/>
    </row>
    <row r="45" spans="1:9" ht="18" customHeight="1" x14ac:dyDescent="0.3">
      <c r="A45" s="19">
        <v>11</v>
      </c>
      <c r="B45" s="18" t="s">
        <v>184</v>
      </c>
      <c r="C45" s="18" t="s">
        <v>185</v>
      </c>
      <c r="D45" s="18" t="s">
        <v>186</v>
      </c>
      <c r="E45" s="17" t="s">
        <v>183</v>
      </c>
      <c r="F45" s="17" t="s">
        <v>155</v>
      </c>
      <c r="G45" s="17"/>
      <c r="H45" s="17"/>
      <c r="I45" s="17"/>
    </row>
    <row r="46" spans="1:9" ht="18" customHeight="1" x14ac:dyDescent="0.3">
      <c r="A46" s="19">
        <v>12</v>
      </c>
      <c r="B46" s="18" t="s">
        <v>187</v>
      </c>
      <c r="C46" s="18" t="s">
        <v>188</v>
      </c>
      <c r="D46" s="18" t="s">
        <v>189</v>
      </c>
      <c r="E46" s="17" t="s">
        <v>183</v>
      </c>
      <c r="F46" s="17" t="s">
        <v>155</v>
      </c>
      <c r="G46" s="17"/>
      <c r="H46" s="17"/>
      <c r="I46" s="17"/>
    </row>
    <row r="47" spans="1:9" ht="18" customHeight="1" x14ac:dyDescent="0.3">
      <c r="A47" s="19">
        <v>13</v>
      </c>
      <c r="B47" s="18" t="s">
        <v>190</v>
      </c>
      <c r="C47" s="18" t="s">
        <v>191</v>
      </c>
      <c r="D47" s="18" t="s">
        <v>95</v>
      </c>
      <c r="E47" s="17" t="s">
        <v>183</v>
      </c>
      <c r="F47" s="17" t="s">
        <v>155</v>
      </c>
      <c r="G47" s="17"/>
      <c r="H47" s="17"/>
      <c r="I47" s="17"/>
    </row>
    <row r="48" spans="1:9" ht="18" customHeight="1" x14ac:dyDescent="0.3">
      <c r="A48" s="19">
        <v>14</v>
      </c>
      <c r="B48" s="18" t="s">
        <v>192</v>
      </c>
      <c r="C48" s="18" t="s">
        <v>193</v>
      </c>
      <c r="D48" s="18" t="s">
        <v>194</v>
      </c>
      <c r="E48" s="17" t="s">
        <v>195</v>
      </c>
      <c r="F48" s="17" t="s">
        <v>155</v>
      </c>
      <c r="G48" s="17"/>
      <c r="H48" s="17"/>
      <c r="I48" s="17"/>
    </row>
    <row r="49" spans="1:9" ht="18" customHeight="1" x14ac:dyDescent="0.3">
      <c r="A49" s="19">
        <v>15</v>
      </c>
      <c r="B49" s="18" t="s">
        <v>196</v>
      </c>
      <c r="C49" s="18" t="s">
        <v>197</v>
      </c>
      <c r="D49" s="18" t="s">
        <v>153</v>
      </c>
      <c r="E49" s="17" t="s">
        <v>168</v>
      </c>
      <c r="F49" s="17" t="s">
        <v>198</v>
      </c>
      <c r="G49" s="17"/>
      <c r="H49" s="17"/>
      <c r="I49" s="17"/>
    </row>
    <row r="50" spans="1:9" ht="22.8" x14ac:dyDescent="0.3">
      <c r="A50" s="19">
        <v>16</v>
      </c>
      <c r="B50" s="18" t="s">
        <v>199</v>
      </c>
      <c r="C50" s="18" t="s">
        <v>200</v>
      </c>
      <c r="D50" s="18" t="s">
        <v>201</v>
      </c>
      <c r="E50" s="17" t="s">
        <v>168</v>
      </c>
      <c r="F50" s="17" t="s">
        <v>198</v>
      </c>
      <c r="G50" s="17"/>
      <c r="H50" s="17"/>
      <c r="I50" s="17"/>
    </row>
    <row r="51" spans="1:9" ht="21.75" customHeight="1" x14ac:dyDescent="0.3">
      <c r="A51" s="19">
        <v>17</v>
      </c>
      <c r="B51" s="18" t="s">
        <v>202</v>
      </c>
      <c r="C51" s="18" t="s">
        <v>203</v>
      </c>
      <c r="D51" s="18" t="s">
        <v>204</v>
      </c>
      <c r="E51" s="17" t="s">
        <v>154</v>
      </c>
      <c r="F51" s="17" t="s">
        <v>198</v>
      </c>
      <c r="G51" s="17"/>
      <c r="H51" s="17"/>
      <c r="I51" s="17"/>
    </row>
    <row r="52" spans="1:9" ht="30" customHeight="1" x14ac:dyDescent="0.3">
      <c r="A52" s="19">
        <v>18</v>
      </c>
      <c r="B52" s="18" t="s">
        <v>205</v>
      </c>
      <c r="C52" s="18" t="s">
        <v>206</v>
      </c>
      <c r="D52" s="18" t="s">
        <v>164</v>
      </c>
      <c r="E52" s="17" t="s">
        <v>154</v>
      </c>
      <c r="F52" s="17" t="s">
        <v>198</v>
      </c>
      <c r="G52" s="17"/>
      <c r="H52" s="17"/>
      <c r="I52" s="17"/>
    </row>
    <row r="53" spans="1:9" ht="18" customHeight="1" x14ac:dyDescent="0.3">
      <c r="A53" s="19">
        <v>19</v>
      </c>
      <c r="B53" s="18" t="s">
        <v>207</v>
      </c>
      <c r="C53" s="18" t="s">
        <v>208</v>
      </c>
      <c r="D53" s="18" t="s">
        <v>209</v>
      </c>
      <c r="E53" s="17" t="s">
        <v>210</v>
      </c>
      <c r="F53" s="17" t="s">
        <v>198</v>
      </c>
      <c r="G53" s="17"/>
      <c r="H53" s="17"/>
      <c r="I53" s="17"/>
    </row>
    <row r="54" spans="1:9" ht="18" customHeight="1" x14ac:dyDescent="0.3"/>
    <row r="55" spans="1:9" ht="18" customHeight="1" x14ac:dyDescent="0.3">
      <c r="A55" s="9" t="s">
        <v>211</v>
      </c>
      <c r="B55" s="9"/>
      <c r="C55" s="9"/>
      <c r="D55" s="9"/>
      <c r="E55" s="9"/>
      <c r="F55" s="9"/>
      <c r="G55" s="9"/>
      <c r="H55" s="9"/>
      <c r="I55" s="9"/>
    </row>
    <row r="56" spans="1:9" ht="18" customHeight="1" x14ac:dyDescent="0.3">
      <c r="A56" s="16" t="s">
        <v>142</v>
      </c>
      <c r="B56" s="16" t="s">
        <v>212</v>
      </c>
      <c r="C56" s="16" t="s">
        <v>213</v>
      </c>
      <c r="D56" s="16" t="s">
        <v>214</v>
      </c>
      <c r="E56" s="16" t="s">
        <v>215</v>
      </c>
      <c r="F56" s="16" t="s">
        <v>216</v>
      </c>
      <c r="G56" s="16" t="s">
        <v>217</v>
      </c>
      <c r="H56" s="16" t="s">
        <v>218</v>
      </c>
      <c r="I56" s="16" t="s">
        <v>219</v>
      </c>
    </row>
    <row r="57" spans="1:9" ht="18" customHeight="1" x14ac:dyDescent="0.3">
      <c r="A57" s="19">
        <v>1</v>
      </c>
      <c r="B57" s="18" t="s">
        <v>220</v>
      </c>
      <c r="C57" s="18" t="s">
        <v>221</v>
      </c>
      <c r="D57" s="18" t="s">
        <v>222</v>
      </c>
      <c r="E57" s="17"/>
      <c r="F57" s="17"/>
      <c r="G57" s="17"/>
      <c r="H57" s="17"/>
      <c r="I57" s="18" t="s">
        <v>223</v>
      </c>
    </row>
    <row r="58" spans="1:9" ht="18" customHeight="1" x14ac:dyDescent="0.3">
      <c r="A58" s="19">
        <v>2</v>
      </c>
      <c r="B58" s="18" t="s">
        <v>224</v>
      </c>
      <c r="C58" s="18" t="s">
        <v>221</v>
      </c>
      <c r="D58" s="18" t="s">
        <v>222</v>
      </c>
      <c r="E58" s="17"/>
      <c r="F58" s="17"/>
      <c r="G58" s="17"/>
      <c r="H58" s="17"/>
      <c r="I58" s="18" t="s">
        <v>225</v>
      </c>
    </row>
    <row r="59" spans="1:9" ht="18" customHeight="1" x14ac:dyDescent="0.3">
      <c r="A59" s="19">
        <v>3</v>
      </c>
      <c r="B59" s="18" t="s">
        <v>226</v>
      </c>
      <c r="C59" s="18" t="s">
        <v>221</v>
      </c>
      <c r="D59" s="18" t="s">
        <v>222</v>
      </c>
      <c r="E59" s="17"/>
      <c r="F59" s="17"/>
      <c r="G59" s="17"/>
      <c r="H59" s="17"/>
      <c r="I59" s="18" t="s">
        <v>227</v>
      </c>
    </row>
    <row r="60" spans="1:9" ht="18" customHeight="1" x14ac:dyDescent="0.3">
      <c r="A60" s="19">
        <v>4</v>
      </c>
      <c r="B60" s="18" t="s">
        <v>228</v>
      </c>
      <c r="C60" s="18" t="s">
        <v>221</v>
      </c>
      <c r="D60" s="18" t="s">
        <v>222</v>
      </c>
      <c r="E60" s="17"/>
      <c r="F60" s="17"/>
      <c r="G60" s="17"/>
      <c r="H60" s="17"/>
      <c r="I60" s="18" t="s">
        <v>229</v>
      </c>
    </row>
    <row r="61" spans="1:9" ht="18" customHeight="1" x14ac:dyDescent="0.3">
      <c r="A61" s="19">
        <v>5</v>
      </c>
      <c r="B61" s="18" t="s">
        <v>230</v>
      </c>
      <c r="C61" s="18" t="s">
        <v>231</v>
      </c>
      <c r="D61" s="18" t="s">
        <v>222</v>
      </c>
      <c r="E61" s="17"/>
      <c r="F61" s="17"/>
      <c r="G61" s="17"/>
      <c r="H61" s="17"/>
      <c r="I61" s="18" t="s">
        <v>232</v>
      </c>
    </row>
    <row r="62" spans="1:9" ht="18" customHeight="1" x14ac:dyDescent="0.3">
      <c r="A62" s="19">
        <v>6</v>
      </c>
      <c r="B62" s="18" t="s">
        <v>233</v>
      </c>
      <c r="C62" s="18" t="s">
        <v>231</v>
      </c>
      <c r="D62" s="18" t="s">
        <v>222</v>
      </c>
      <c r="E62" s="17"/>
      <c r="F62" s="17"/>
      <c r="G62" s="17"/>
      <c r="H62" s="17"/>
      <c r="I62" s="18" t="s">
        <v>234</v>
      </c>
    </row>
    <row r="63" spans="1:9" ht="57" x14ac:dyDescent="0.3">
      <c r="A63" s="19">
        <v>7</v>
      </c>
      <c r="B63" s="18" t="s">
        <v>235</v>
      </c>
      <c r="C63" s="18" t="s">
        <v>221</v>
      </c>
      <c r="D63" s="18" t="s">
        <v>222</v>
      </c>
      <c r="E63" s="17"/>
      <c r="F63" s="17"/>
      <c r="G63" s="17"/>
      <c r="H63" s="17"/>
      <c r="I63" s="18" t="s">
        <v>236</v>
      </c>
    </row>
    <row r="64" spans="1:9" ht="21.75" customHeight="1" x14ac:dyDescent="0.3">
      <c r="A64" s="19">
        <v>8</v>
      </c>
      <c r="B64" t="s">
        <v>237</v>
      </c>
      <c r="C64" t="s">
        <v>231</v>
      </c>
      <c r="D64" t="s">
        <v>222</v>
      </c>
      <c r="I64" t="s">
        <v>238</v>
      </c>
    </row>
    <row r="65" spans="1:9" ht="27.75" customHeight="1" x14ac:dyDescent="0.3">
      <c r="A65" s="19">
        <v>9</v>
      </c>
      <c r="B65" t="s">
        <v>239</v>
      </c>
      <c r="C65" t="s">
        <v>240</v>
      </c>
      <c r="D65" t="s">
        <v>222</v>
      </c>
      <c r="I65" t="s">
        <v>241</v>
      </c>
    </row>
    <row r="66" spans="1:9" ht="27.75" customHeight="1" x14ac:dyDescent="0.3">
      <c r="B66" t="s">
        <v>242</v>
      </c>
      <c r="C66" t="s">
        <v>240</v>
      </c>
      <c r="D66" t="s">
        <v>222</v>
      </c>
      <c r="I66" t="s">
        <v>243</v>
      </c>
    </row>
    <row r="67" spans="1:9" ht="27.75" customHeight="1" x14ac:dyDescent="0.3"/>
    <row r="68" spans="1:9" ht="14.25" customHeight="1" x14ac:dyDescent="0.3">
      <c r="A68" s="9" t="s">
        <v>50</v>
      </c>
      <c r="B68" s="9"/>
      <c r="C68" s="9"/>
      <c r="D68" s="9"/>
      <c r="E68" s="9"/>
      <c r="F68" s="9"/>
      <c r="G68" s="9"/>
      <c r="H68" s="9"/>
      <c r="I68" s="9"/>
    </row>
    <row r="69" spans="1:9" ht="14.25" customHeight="1" x14ac:dyDescent="0.3">
      <c r="A69" s="2" t="s">
        <v>244</v>
      </c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</sheetData>
  <mergeCells count="72">
    <mergeCell ref="A68:I68"/>
    <mergeCell ref="A69:I71"/>
    <mergeCell ref="A30:B30"/>
    <mergeCell ref="C30:I30"/>
    <mergeCell ref="A32:I32"/>
    <mergeCell ref="A33:I33"/>
    <mergeCell ref="A55:I55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sqref="C9" xr:uid="{00000000-0002-0000-0200-000000000000}">
      <formula1>lst_CodigoBloque</formula1>
      <formula2>0</formula2>
    </dataValidation>
    <dataValidation type="list" allowBlank="1" sqref="C16" xr:uid="{00000000-0002-0000-0200-000001000000}">
      <formula1>lst_TipoEcosistema</formula1>
      <formula2>0</formula2>
    </dataValidation>
    <dataValidation type="list" allowBlank="1" sqref="C18" xr:uid="{00000000-0002-0000-0200-000002000000}">
      <formula1>lst_EstadoConservacion</formula1>
      <formula2>0</formula2>
    </dataValidation>
    <dataValidation type="list" allowBlank="1" sqref="C19" xr:uid="{00000000-0002-0000-0200-000003000000}">
      <formula1>lst_UsoSueloDom</formula1>
      <formula2>0</formula2>
    </dataValidation>
    <dataValidation type="list" allowBlank="1" sqref="C26" xr:uid="{00000000-0002-0000-0200-000004000000}">
      <formula1>lst_Regeneracion</formula1>
      <formula2>0</formula2>
    </dataValidation>
    <dataValidation type="list" allowBlank="1" sqref="C27" xr:uid="{00000000-0002-0000-0200-000005000000}">
      <formula1>lst_EstadoSanitario</formula1>
      <formula2>0</formula2>
    </dataValidation>
    <dataValidation type="list" allowBlank="1" sqref="C28" xr:uid="{00000000-0002-0000-0200-000006000000}">
      <formula1>lst_SiNo</formula1>
      <formula2>0</formula2>
    </dataValidation>
    <dataValidation type="list" allowBlank="1" sqref="C29" xr:uid="{00000000-0002-0000-0200-000007000000}">
      <formula1>lst_Fenologia</formula1>
      <formula2>0</formula2>
    </dataValidation>
    <dataValidation type="list" allowBlank="1" sqref="C30" xr:uid="{00000000-0002-0000-0200-000008000000}">
      <formula1>lst_TipoCobertura</formula1>
      <formula2>0</formula2>
    </dataValidation>
    <dataValidation type="list" allowBlank="1" sqref="E35:E53" xr:uid="{00000000-0002-0000-0200-000009000000}">
      <formula1>lst_Estrato</formula1>
      <formula2>0</formula2>
    </dataValidation>
    <dataValidation type="list" allowBlank="1" sqref="F35:F53" xr:uid="{00000000-0002-0000-0200-00000A000000}">
      <formula1>lst_Origen</formula1>
      <formula2>0</formula2>
    </dataValidation>
    <dataValidation type="list" allowBlank="1" sqref="G35:G53" xr:uid="{00000000-0002-0000-0200-00000B000000}">
      <formula1>lst_Abundancia</formula1>
      <formula2>0</formula2>
    </dataValidation>
    <dataValidation type="list" allowBlank="1" sqref="C57:C66" xr:uid="{00000000-0002-0000-0200-00000C000000}">
      <formula1>lst_CategoriaIndicadora</formula1>
      <formula2>0</formula2>
    </dataValidation>
    <dataValidation type="list" allowBlank="1" sqref="D57:D66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4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245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246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54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104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55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105</v>
      </c>
      <c r="B11" s="8"/>
      <c r="C11" s="6" t="str">
        <f>IFERROR(VLOOKUP($C$10,tbl_Bloques,2,FALSE()),"")</f>
        <v>C1096-Q9564</v>
      </c>
      <c r="D11" s="6"/>
      <c r="E11" s="6"/>
      <c r="F11" s="6"/>
      <c r="G11" s="6"/>
    </row>
    <row r="12" spans="1:7" ht="21.75" customHeight="1" x14ac:dyDescent="0.3">
      <c r="A12" s="20" t="s">
        <v>247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248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142</v>
      </c>
      <c r="B14" s="16" t="s">
        <v>249</v>
      </c>
      <c r="C14" s="16" t="s">
        <v>250</v>
      </c>
      <c r="D14" s="16" t="s">
        <v>251</v>
      </c>
      <c r="E14" s="16" t="s">
        <v>252</v>
      </c>
      <c r="F14" s="16" t="s">
        <v>253</v>
      </c>
      <c r="G14" s="16" t="s">
        <v>254</v>
      </c>
    </row>
    <row r="15" spans="1:7" ht="18" customHeight="1" x14ac:dyDescent="0.3">
      <c r="A15" s="19">
        <v>1</v>
      </c>
      <c r="B15" s="22" t="s">
        <v>255</v>
      </c>
      <c r="C15" s="17"/>
      <c r="D15" s="17"/>
      <c r="E15" s="17"/>
      <c r="F15" s="17"/>
      <c r="G15" s="18" t="s">
        <v>256</v>
      </c>
    </row>
    <row r="16" spans="1:7" ht="18" customHeight="1" x14ac:dyDescent="0.3">
      <c r="A16" s="19">
        <v>2</v>
      </c>
      <c r="B16" s="22" t="s">
        <v>257</v>
      </c>
      <c r="C16" s="17"/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258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259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260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261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262</v>
      </c>
      <c r="C21" s="17" t="s">
        <v>45</v>
      </c>
      <c r="D21" s="17" t="s">
        <v>263</v>
      </c>
      <c r="E21" s="17">
        <v>17</v>
      </c>
      <c r="F21" s="17"/>
      <c r="G21" s="18" t="s">
        <v>264</v>
      </c>
    </row>
    <row r="22" spans="1:7" ht="18" customHeight="1" x14ac:dyDescent="0.3">
      <c r="A22" s="19">
        <v>8</v>
      </c>
      <c r="B22" s="22" t="s">
        <v>265</v>
      </c>
      <c r="C22" s="17" t="s">
        <v>45</v>
      </c>
      <c r="D22" s="17" t="s">
        <v>263</v>
      </c>
      <c r="E22" s="17"/>
      <c r="F22" s="17"/>
      <c r="G22" s="18" t="s">
        <v>266</v>
      </c>
    </row>
    <row r="23" spans="1:7" ht="18" customHeight="1" x14ac:dyDescent="0.3">
      <c r="A23" s="19">
        <v>9</v>
      </c>
      <c r="B23" s="22" t="s">
        <v>267</v>
      </c>
      <c r="C23" s="17" t="s">
        <v>45</v>
      </c>
      <c r="D23" s="17" t="s">
        <v>263</v>
      </c>
      <c r="E23" s="17"/>
      <c r="F23" s="17"/>
      <c r="G23" s="18" t="s">
        <v>268</v>
      </c>
    </row>
    <row r="24" spans="1:7" ht="18" customHeight="1" x14ac:dyDescent="0.3">
      <c r="A24" s="19">
        <v>10</v>
      </c>
      <c r="B24" s="22" t="s">
        <v>269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270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271</v>
      </c>
      <c r="C26" s="17"/>
      <c r="D26" s="17"/>
      <c r="E26" s="17"/>
      <c r="F26" s="17"/>
      <c r="G26" s="18"/>
    </row>
    <row r="27" spans="1:7" ht="18" customHeight="1" x14ac:dyDescent="0.3">
      <c r="A27" s="19">
        <v>13</v>
      </c>
      <c r="B27" s="22" t="s">
        <v>272</v>
      </c>
      <c r="C27" s="17"/>
      <c r="D27" s="17"/>
      <c r="E27" s="17"/>
      <c r="F27" s="17"/>
      <c r="G27" s="18"/>
    </row>
    <row r="28" spans="1:7" ht="18" customHeight="1" x14ac:dyDescent="0.3">
      <c r="A28" s="19">
        <v>14</v>
      </c>
      <c r="B28" s="22" t="s">
        <v>273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274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275</v>
      </c>
      <c r="C30" s="17" t="s">
        <v>45</v>
      </c>
      <c r="D30" s="17" t="s">
        <v>263</v>
      </c>
      <c r="E30" s="17"/>
      <c r="F30" s="17"/>
      <c r="G30" s="18" t="s">
        <v>276</v>
      </c>
    </row>
    <row r="32" spans="1:7" ht="21.75" customHeight="1" x14ac:dyDescent="0.3">
      <c r="A32" s="9" t="s">
        <v>277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278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142</v>
      </c>
      <c r="B34" s="16" t="s">
        <v>279</v>
      </c>
      <c r="C34" s="16" t="s">
        <v>280</v>
      </c>
      <c r="D34" s="16" t="s">
        <v>281</v>
      </c>
      <c r="E34" s="16" t="s">
        <v>282</v>
      </c>
      <c r="F34" s="16" t="s">
        <v>283</v>
      </c>
      <c r="G34" s="16" t="s">
        <v>284</v>
      </c>
    </row>
    <row r="35" spans="1:7" ht="21.75" customHeight="1" x14ac:dyDescent="0.3">
      <c r="A35" s="19">
        <v>1</v>
      </c>
      <c r="B35" s="22" t="s">
        <v>285</v>
      </c>
      <c r="C35" s="19" t="s">
        <v>286</v>
      </c>
      <c r="D35" s="17">
        <v>90</v>
      </c>
      <c r="E35" s="18" t="s">
        <v>287</v>
      </c>
      <c r="F35" s="22" t="s">
        <v>288</v>
      </c>
      <c r="G35" s="17" t="s">
        <v>289</v>
      </c>
    </row>
    <row r="36" spans="1:7" ht="21.75" customHeight="1" x14ac:dyDescent="0.3">
      <c r="A36" s="19">
        <v>2</v>
      </c>
      <c r="B36" s="22" t="s">
        <v>290</v>
      </c>
      <c r="C36" s="19" t="s">
        <v>286</v>
      </c>
      <c r="D36" s="17">
        <v>3</v>
      </c>
      <c r="E36" s="18" t="s">
        <v>291</v>
      </c>
      <c r="F36" s="22" t="s">
        <v>292</v>
      </c>
      <c r="G36" s="17" t="s">
        <v>293</v>
      </c>
    </row>
    <row r="37" spans="1:7" ht="21.75" customHeight="1" x14ac:dyDescent="0.3">
      <c r="A37" s="19">
        <v>3</v>
      </c>
      <c r="B37" s="22" t="s">
        <v>294</v>
      </c>
      <c r="C37" s="19" t="s">
        <v>295</v>
      </c>
      <c r="D37" s="17" t="s">
        <v>95</v>
      </c>
      <c r="E37" s="18" t="s">
        <v>296</v>
      </c>
      <c r="F37" s="22" t="s">
        <v>297</v>
      </c>
      <c r="G37" s="17"/>
    </row>
    <row r="38" spans="1:7" ht="21.75" customHeight="1" x14ac:dyDescent="0.3">
      <c r="A38" s="19">
        <v>4</v>
      </c>
      <c r="B38" s="22" t="s">
        <v>298</v>
      </c>
      <c r="C38" s="19" t="s">
        <v>299</v>
      </c>
      <c r="D38" s="17" t="s">
        <v>95</v>
      </c>
      <c r="E38" s="18" t="s">
        <v>300</v>
      </c>
      <c r="F38" s="22" t="s">
        <v>301</v>
      </c>
      <c r="G38" s="17"/>
    </row>
    <row r="39" spans="1:7" ht="21.75" customHeight="1" x14ac:dyDescent="0.3">
      <c r="A39" s="19">
        <v>5</v>
      </c>
      <c r="B39" s="22" t="s">
        <v>302</v>
      </c>
      <c r="C39" s="19" t="s">
        <v>303</v>
      </c>
      <c r="D39" s="17" t="s">
        <v>95</v>
      </c>
      <c r="E39" s="18" t="s">
        <v>304</v>
      </c>
      <c r="F39" s="22" t="s">
        <v>305</v>
      </c>
      <c r="G39" s="17"/>
    </row>
    <row r="40" spans="1:7" ht="21.75" customHeight="1" x14ac:dyDescent="0.3">
      <c r="A40" s="19">
        <v>6</v>
      </c>
      <c r="B40" s="22" t="s">
        <v>306</v>
      </c>
      <c r="C40" s="19" t="s">
        <v>142</v>
      </c>
      <c r="D40" s="17" t="s">
        <v>95</v>
      </c>
      <c r="E40" s="18" t="s">
        <v>307</v>
      </c>
      <c r="F40" s="22" t="s">
        <v>308</v>
      </c>
      <c r="G40" s="17"/>
    </row>
    <row r="41" spans="1:7" ht="21.75" customHeight="1" x14ac:dyDescent="0.3">
      <c r="A41" s="19">
        <v>7</v>
      </c>
      <c r="B41" s="22" t="s">
        <v>309</v>
      </c>
      <c r="C41" s="19" t="s">
        <v>286</v>
      </c>
      <c r="D41" s="17" t="s">
        <v>95</v>
      </c>
      <c r="E41" s="18" t="s">
        <v>310</v>
      </c>
      <c r="F41" s="22" t="s">
        <v>311</v>
      </c>
      <c r="G41" s="17"/>
    </row>
    <row r="42" spans="1:7" ht="21.75" customHeight="1" x14ac:dyDescent="0.3">
      <c r="A42" s="19">
        <v>8</v>
      </c>
      <c r="B42" s="22" t="s">
        <v>312</v>
      </c>
      <c r="C42" s="19" t="s">
        <v>313</v>
      </c>
      <c r="D42" s="17">
        <v>225</v>
      </c>
      <c r="E42" s="18" t="s">
        <v>314</v>
      </c>
      <c r="F42" s="22" t="s">
        <v>315</v>
      </c>
      <c r="G42" s="17" t="s">
        <v>316</v>
      </c>
    </row>
    <row r="44" spans="1:7" ht="21.75" customHeight="1" x14ac:dyDescent="0.3">
      <c r="A44" s="9" t="s">
        <v>317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318</v>
      </c>
      <c r="B45" s="8"/>
      <c r="C45" s="7" t="s">
        <v>319</v>
      </c>
      <c r="D45" s="7"/>
      <c r="E45" s="7"/>
      <c r="F45" s="7"/>
      <c r="G45" s="7"/>
    </row>
    <row r="46" spans="1:7" ht="19.5" customHeight="1" x14ac:dyDescent="0.3">
      <c r="A46" s="8" t="s">
        <v>320</v>
      </c>
      <c r="B46" s="8"/>
      <c r="C46" s="7" t="s">
        <v>321</v>
      </c>
      <c r="D46" s="7"/>
      <c r="E46" s="7"/>
      <c r="F46" s="7"/>
      <c r="G46" s="7"/>
    </row>
    <row r="47" spans="1:7" ht="19.5" customHeight="1" x14ac:dyDescent="0.3">
      <c r="A47" s="8" t="s">
        <v>322</v>
      </c>
      <c r="B47" s="8"/>
      <c r="C47" s="7" t="s">
        <v>323</v>
      </c>
      <c r="D47" s="7"/>
      <c r="E47" s="7"/>
      <c r="F47" s="7"/>
      <c r="G47" s="7"/>
    </row>
    <row r="48" spans="1:7" ht="19.5" customHeight="1" x14ac:dyDescent="0.3">
      <c r="A48" s="8" t="s">
        <v>324</v>
      </c>
      <c r="B48" s="8"/>
      <c r="C48" s="7" t="s">
        <v>325</v>
      </c>
      <c r="D48" s="7"/>
      <c r="E48" s="7"/>
      <c r="F48" s="7"/>
      <c r="G48" s="7"/>
    </row>
    <row r="49" spans="1:7" ht="19.5" customHeight="1" x14ac:dyDescent="0.3">
      <c r="A49" s="8" t="s">
        <v>326</v>
      </c>
      <c r="B49" s="8"/>
      <c r="C49" s="7" t="s">
        <v>100</v>
      </c>
      <c r="D49" s="7"/>
      <c r="E49" s="7"/>
      <c r="F49" s="7"/>
      <c r="G49" s="7"/>
    </row>
    <row r="51" spans="1:7" ht="21.75" customHeight="1" x14ac:dyDescent="0.3">
      <c r="A51" s="9" t="s">
        <v>50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327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42" activePane="bottomLeft" state="frozen"/>
      <selection pane="bottomLeft" activeCell="B15" sqref="B15:H1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328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329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105</v>
      </c>
      <c r="F9" s="8"/>
      <c r="G9" s="6" t="str">
        <f>IFERROR(VLOOKUP($C$9,tbl_Bloques,2,FALSE()),"")</f>
        <v>C1096-Q9564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Frias</v>
      </c>
      <c r="D10" s="6"/>
      <c r="E10" s="8" t="s">
        <v>18</v>
      </c>
      <c r="F10" s="8"/>
      <c r="G10" s="6" t="str">
        <f>IFERROR(VLOOKUP($C$9,tbl_Bloques,3,FALSE()),"")</f>
        <v>Ayabaca</v>
      </c>
      <c r="H10" s="6"/>
    </row>
    <row r="12" spans="1:8" ht="21.75" customHeight="1" x14ac:dyDescent="0.3">
      <c r="A12" s="9" t="s">
        <v>330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331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142</v>
      </c>
      <c r="B14" s="16" t="s">
        <v>332</v>
      </c>
      <c r="C14" s="16" t="s">
        <v>215</v>
      </c>
      <c r="D14" s="16" t="s">
        <v>216</v>
      </c>
      <c r="E14" s="16" t="s">
        <v>333</v>
      </c>
      <c r="F14" s="16" t="s">
        <v>334</v>
      </c>
      <c r="G14" s="16" t="s">
        <v>335</v>
      </c>
      <c r="H14" s="16" t="s">
        <v>336</v>
      </c>
    </row>
    <row r="15" spans="1:8" ht="19.5" customHeight="1" x14ac:dyDescent="0.3">
      <c r="A15" s="19">
        <v>1</v>
      </c>
      <c r="B15" s="17" t="s">
        <v>275</v>
      </c>
      <c r="C15" s="17">
        <v>619278</v>
      </c>
      <c r="D15" s="17">
        <v>9449154</v>
      </c>
      <c r="E15" s="17"/>
      <c r="F15" s="17" t="s">
        <v>337</v>
      </c>
      <c r="G15" s="17">
        <v>419</v>
      </c>
      <c r="H15" s="18" t="s">
        <v>338</v>
      </c>
    </row>
    <row r="16" spans="1:8" ht="19.5" customHeight="1" x14ac:dyDescent="0.3">
      <c r="A16" s="19">
        <v>2</v>
      </c>
      <c r="B16" s="17" t="s">
        <v>275</v>
      </c>
      <c r="C16" s="17"/>
      <c r="D16" s="17"/>
      <c r="E16" s="17"/>
      <c r="F16" s="17"/>
      <c r="G16" s="17">
        <v>0</v>
      </c>
      <c r="H16" s="18" t="s">
        <v>339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340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341</v>
      </c>
      <c r="B27" s="8"/>
      <c r="C27" s="7" t="s">
        <v>45</v>
      </c>
      <c r="D27" s="7"/>
      <c r="E27" s="7"/>
      <c r="F27" s="7"/>
      <c r="G27" s="7"/>
      <c r="H27" s="7"/>
    </row>
    <row r="28" spans="1:8" ht="19.5" customHeight="1" x14ac:dyDescent="0.3">
      <c r="A28" s="8" t="s">
        <v>342</v>
      </c>
      <c r="B28" s="8"/>
      <c r="C28" s="7" t="s">
        <v>45</v>
      </c>
      <c r="D28" s="7"/>
      <c r="E28" s="7"/>
      <c r="F28" s="7"/>
      <c r="G28" s="7"/>
      <c r="H28" s="7"/>
    </row>
    <row r="29" spans="1:8" ht="19.5" customHeight="1" x14ac:dyDescent="0.3">
      <c r="A29" s="8" t="s">
        <v>343</v>
      </c>
      <c r="B29" s="8"/>
      <c r="C29" s="7" t="s">
        <v>45</v>
      </c>
      <c r="D29" s="7"/>
      <c r="E29" s="7"/>
      <c r="F29" s="7"/>
      <c r="G29" s="7"/>
      <c r="H29" s="7"/>
    </row>
    <row r="30" spans="1:8" ht="19.5" customHeight="1" x14ac:dyDescent="0.3">
      <c r="A30" s="8" t="s">
        <v>344</v>
      </c>
      <c r="B30" s="8"/>
      <c r="C30" s="7">
        <v>419</v>
      </c>
      <c r="D30" s="7"/>
      <c r="E30" s="7"/>
      <c r="F30" s="7"/>
      <c r="G30" s="7"/>
      <c r="H30" s="7"/>
    </row>
    <row r="31" spans="1:8" ht="19.5" customHeight="1" x14ac:dyDescent="0.3">
      <c r="A31" s="8" t="s">
        <v>345</v>
      </c>
      <c r="B31" s="8"/>
      <c r="C31" s="7" t="s">
        <v>127</v>
      </c>
      <c r="D31" s="7"/>
      <c r="E31" s="7"/>
      <c r="F31" s="7"/>
      <c r="G31" s="7"/>
      <c r="H31" s="7"/>
    </row>
    <row r="32" spans="1:8" ht="19.5" customHeight="1" x14ac:dyDescent="0.3">
      <c r="A32" s="8" t="s">
        <v>346</v>
      </c>
      <c r="B32" s="8"/>
      <c r="C32" s="7"/>
      <c r="D32" s="7"/>
      <c r="E32" s="7"/>
      <c r="F32" s="7"/>
      <c r="G32" s="7"/>
      <c r="H32" s="7"/>
    </row>
    <row r="33" spans="1:8" ht="19.5" customHeight="1" x14ac:dyDescent="0.3">
      <c r="A33" s="8" t="s">
        <v>347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348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349</v>
      </c>
      <c r="B36" s="8"/>
      <c r="C36" s="7" t="s">
        <v>350</v>
      </c>
      <c r="D36" s="7"/>
      <c r="E36" s="7"/>
      <c r="F36" s="7"/>
      <c r="G36" s="7"/>
      <c r="H36" s="7"/>
    </row>
    <row r="37" spans="1:8" ht="19.5" customHeight="1" x14ac:dyDescent="0.3">
      <c r="A37" s="8" t="s">
        <v>351</v>
      </c>
      <c r="B37" s="8"/>
      <c r="C37" s="7" t="s">
        <v>352</v>
      </c>
      <c r="D37" s="7"/>
      <c r="E37" s="7"/>
      <c r="F37" s="7"/>
      <c r="G37" s="7"/>
      <c r="H37" s="7"/>
    </row>
    <row r="38" spans="1:8" ht="19.5" customHeight="1" x14ac:dyDescent="0.3">
      <c r="A38" s="8" t="s">
        <v>353</v>
      </c>
      <c r="B38" s="8"/>
      <c r="C38" s="7" t="s">
        <v>354</v>
      </c>
      <c r="D38" s="7"/>
      <c r="E38" s="7"/>
      <c r="F38" s="7"/>
      <c r="G38" s="7"/>
      <c r="H38" s="7"/>
    </row>
    <row r="39" spans="1:8" ht="19.5" customHeight="1" x14ac:dyDescent="0.3">
      <c r="A39" s="8" t="s">
        <v>355</v>
      </c>
      <c r="B39" s="8"/>
      <c r="C39" s="7" t="s">
        <v>289</v>
      </c>
      <c r="D39" s="7"/>
      <c r="E39" s="7"/>
      <c r="F39" s="7"/>
      <c r="G39" s="7"/>
      <c r="H39" s="7"/>
    </row>
    <row r="40" spans="1:8" ht="19.5" customHeight="1" x14ac:dyDescent="0.3">
      <c r="A40" s="8" t="s">
        <v>356</v>
      </c>
      <c r="B40" s="8"/>
      <c r="C40" s="7"/>
      <c r="D40" s="7"/>
      <c r="E40" s="7"/>
      <c r="F40" s="7"/>
      <c r="G40" s="7"/>
      <c r="H40" s="7"/>
    </row>
    <row r="41" spans="1:8" ht="19.5" customHeight="1" x14ac:dyDescent="0.3">
      <c r="A41" s="8" t="s">
        <v>357</v>
      </c>
      <c r="B41" s="8"/>
      <c r="C41" s="7" t="s">
        <v>95</v>
      </c>
      <c r="D41" s="7"/>
      <c r="E41" s="8" t="s">
        <v>358</v>
      </c>
      <c r="F41" s="8"/>
      <c r="G41" s="7" t="s">
        <v>95</v>
      </c>
      <c r="H41" s="7"/>
    </row>
    <row r="42" spans="1:8" ht="19.5" customHeight="1" x14ac:dyDescent="0.3">
      <c r="A42" s="8" t="s">
        <v>359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360</v>
      </c>
      <c r="B43" s="8"/>
      <c r="C43" s="7"/>
      <c r="D43" s="7"/>
      <c r="E43" s="7"/>
      <c r="F43" s="7"/>
      <c r="G43" s="7"/>
      <c r="H43" s="7"/>
    </row>
    <row r="44" spans="1:8" ht="19.5" customHeight="1" x14ac:dyDescent="0.3">
      <c r="A44" s="8" t="s">
        <v>361</v>
      </c>
      <c r="B44" s="8"/>
      <c r="C44" s="7"/>
      <c r="D44" s="7"/>
      <c r="E44" s="7"/>
      <c r="F44" s="7"/>
      <c r="G44" s="7"/>
      <c r="H44" s="7"/>
    </row>
    <row r="45" spans="1:8" ht="19.5" customHeight="1" x14ac:dyDescent="0.3">
      <c r="A45" s="8" t="s">
        <v>362</v>
      </c>
      <c r="B45" s="8"/>
      <c r="C45" s="7"/>
      <c r="D45" s="7"/>
      <c r="E45" s="7"/>
      <c r="F45" s="7"/>
      <c r="G45" s="7"/>
      <c r="H45" s="7"/>
    </row>
    <row r="46" spans="1:8" ht="19.5" customHeight="1" x14ac:dyDescent="0.3">
      <c r="A46" s="8" t="s">
        <v>363</v>
      </c>
      <c r="B46" s="8"/>
      <c r="C46" s="7"/>
      <c r="D46" s="7"/>
      <c r="E46" s="7"/>
      <c r="F46" s="7"/>
      <c r="G46" s="7"/>
      <c r="H46" s="7"/>
    </row>
    <row r="48" spans="1:8" ht="21.75" customHeight="1" x14ac:dyDescent="0.3">
      <c r="A48" s="9" t="s">
        <v>50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364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365</v>
      </c>
      <c r="B1" s="16" t="s">
        <v>366</v>
      </c>
      <c r="C1" s="16" t="s">
        <v>367</v>
      </c>
      <c r="D1" s="16" t="s">
        <v>368</v>
      </c>
      <c r="E1" s="16" t="s">
        <v>369</v>
      </c>
      <c r="F1" s="16" t="s">
        <v>370</v>
      </c>
      <c r="G1" s="16" t="s">
        <v>371</v>
      </c>
      <c r="H1" s="16" t="s">
        <v>372</v>
      </c>
    </row>
    <row r="2" spans="1:8" ht="15" customHeight="1" x14ac:dyDescent="0.3">
      <c r="A2" s="23" t="s">
        <v>373</v>
      </c>
      <c r="B2" s="23" t="s">
        <v>374</v>
      </c>
      <c r="C2" s="23" t="s">
        <v>375</v>
      </c>
      <c r="D2" s="23" t="s">
        <v>376</v>
      </c>
      <c r="E2" s="23" t="s">
        <v>377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378</v>
      </c>
      <c r="B3" s="23" t="s">
        <v>379</v>
      </c>
      <c r="C3" s="23" t="s">
        <v>375</v>
      </c>
      <c r="D3" s="23" t="s">
        <v>376</v>
      </c>
      <c r="E3" s="23" t="s">
        <v>377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380</v>
      </c>
      <c r="B4" s="23" t="s">
        <v>379</v>
      </c>
      <c r="C4" s="23" t="s">
        <v>375</v>
      </c>
      <c r="D4" s="23" t="s">
        <v>376</v>
      </c>
      <c r="E4" s="23" t="s">
        <v>377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381</v>
      </c>
      <c r="B5" s="23" t="s">
        <v>382</v>
      </c>
      <c r="C5" s="23" t="s">
        <v>375</v>
      </c>
      <c r="D5" s="23" t="s">
        <v>376</v>
      </c>
      <c r="E5" s="23" t="s">
        <v>377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383</v>
      </c>
      <c r="B6" s="23" t="s">
        <v>382</v>
      </c>
      <c r="C6" s="23" t="s">
        <v>375</v>
      </c>
      <c r="D6" s="23" t="s">
        <v>376</v>
      </c>
      <c r="E6" s="23" t="s">
        <v>377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384</v>
      </c>
      <c r="B7" s="23" t="s">
        <v>382</v>
      </c>
      <c r="C7" s="23" t="s">
        <v>375</v>
      </c>
      <c r="D7" s="23" t="s">
        <v>376</v>
      </c>
      <c r="E7" s="23" t="s">
        <v>377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385</v>
      </c>
      <c r="B8" s="23" t="s">
        <v>386</v>
      </c>
      <c r="C8" s="23" t="s">
        <v>375</v>
      </c>
      <c r="D8" s="23" t="s">
        <v>376</v>
      </c>
      <c r="E8" s="23" t="s">
        <v>377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387</v>
      </c>
      <c r="B9" s="23" t="s">
        <v>382</v>
      </c>
      <c r="C9" s="23" t="s">
        <v>375</v>
      </c>
      <c r="D9" s="23" t="s">
        <v>376</v>
      </c>
      <c r="E9" s="23" t="s">
        <v>377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388</v>
      </c>
      <c r="B10" s="23" t="s">
        <v>389</v>
      </c>
      <c r="C10" s="23" t="s">
        <v>375</v>
      </c>
      <c r="D10" s="23" t="s">
        <v>376</v>
      </c>
      <c r="E10" s="23" t="s">
        <v>377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390</v>
      </c>
      <c r="B11" s="23" t="s">
        <v>374</v>
      </c>
      <c r="C11" s="23" t="s">
        <v>391</v>
      </c>
      <c r="D11" s="23" t="s">
        <v>392</v>
      </c>
      <c r="E11" s="23" t="s">
        <v>393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394</v>
      </c>
      <c r="B12" s="23" t="s">
        <v>379</v>
      </c>
      <c r="C12" s="23" t="s">
        <v>391</v>
      </c>
      <c r="D12" s="23" t="s">
        <v>392</v>
      </c>
      <c r="E12" s="23" t="s">
        <v>393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395</v>
      </c>
      <c r="B13" s="23" t="s">
        <v>379</v>
      </c>
      <c r="C13" s="23" t="s">
        <v>391</v>
      </c>
      <c r="D13" s="23" t="s">
        <v>392</v>
      </c>
      <c r="E13" s="23" t="s">
        <v>393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396</v>
      </c>
      <c r="B14" s="23" t="s">
        <v>382</v>
      </c>
      <c r="C14" s="23" t="s">
        <v>391</v>
      </c>
      <c r="D14" s="23" t="s">
        <v>392</v>
      </c>
      <c r="E14" s="23" t="s">
        <v>393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397</v>
      </c>
      <c r="B15" s="23" t="s">
        <v>382</v>
      </c>
      <c r="C15" s="23" t="s">
        <v>391</v>
      </c>
      <c r="D15" s="23" t="s">
        <v>392</v>
      </c>
      <c r="E15" s="23" t="s">
        <v>393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398</v>
      </c>
      <c r="B16" s="23" t="s">
        <v>382</v>
      </c>
      <c r="C16" s="23" t="s">
        <v>391</v>
      </c>
      <c r="D16" s="23" t="s">
        <v>392</v>
      </c>
      <c r="E16" s="23" t="s">
        <v>393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399</v>
      </c>
      <c r="B17" s="23" t="s">
        <v>382</v>
      </c>
      <c r="C17" s="23" t="s">
        <v>391</v>
      </c>
      <c r="D17" s="23" t="s">
        <v>392</v>
      </c>
      <c r="E17" s="23" t="s">
        <v>393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400</v>
      </c>
      <c r="B18" s="23" t="s">
        <v>382</v>
      </c>
      <c r="C18" s="23" t="s">
        <v>391</v>
      </c>
      <c r="D18" s="23" t="s">
        <v>392</v>
      </c>
      <c r="E18" s="23" t="s">
        <v>393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16</v>
      </c>
      <c r="B19" s="23" t="s">
        <v>401</v>
      </c>
      <c r="C19" s="23" t="s">
        <v>391</v>
      </c>
      <c r="D19" s="23" t="s">
        <v>392</v>
      </c>
      <c r="E19" s="23" t="s">
        <v>393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402</v>
      </c>
      <c r="B20" s="23" t="s">
        <v>401</v>
      </c>
      <c r="C20" s="23" t="s">
        <v>391</v>
      </c>
      <c r="D20" s="23" t="s">
        <v>392</v>
      </c>
      <c r="E20" s="23" t="s">
        <v>393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403</v>
      </c>
      <c r="B21" s="23" t="s">
        <v>404</v>
      </c>
      <c r="C21" s="23" t="s">
        <v>375</v>
      </c>
      <c r="D21" s="23" t="s">
        <v>405</v>
      </c>
      <c r="E21" s="23" t="s">
        <v>406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407</v>
      </c>
      <c r="B22" s="23" t="s">
        <v>404</v>
      </c>
      <c r="C22" s="23" t="s">
        <v>375</v>
      </c>
      <c r="D22" s="23" t="s">
        <v>405</v>
      </c>
      <c r="E22" s="23" t="s">
        <v>406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408</v>
      </c>
      <c r="B23" s="23" t="s">
        <v>401</v>
      </c>
      <c r="C23" s="23" t="s">
        <v>375</v>
      </c>
      <c r="D23" s="23" t="s">
        <v>405</v>
      </c>
      <c r="E23" s="23" t="s">
        <v>406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409</v>
      </c>
      <c r="B24" s="23" t="s">
        <v>404</v>
      </c>
      <c r="C24" s="23" t="s">
        <v>375</v>
      </c>
      <c r="D24" s="23" t="s">
        <v>405</v>
      </c>
      <c r="E24" s="23" t="s">
        <v>406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410</v>
      </c>
      <c r="B25" s="23" t="s">
        <v>404</v>
      </c>
      <c r="C25" s="23" t="s">
        <v>375</v>
      </c>
      <c r="D25" s="23" t="s">
        <v>405</v>
      </c>
      <c r="E25" s="23" t="s">
        <v>406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411</v>
      </c>
      <c r="B26" s="23" t="s">
        <v>404</v>
      </c>
      <c r="C26" s="23" t="s">
        <v>375</v>
      </c>
      <c r="D26" s="23" t="s">
        <v>405</v>
      </c>
      <c r="E26" s="23" t="s">
        <v>406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412</v>
      </c>
      <c r="B27" s="23" t="s">
        <v>404</v>
      </c>
      <c r="C27" s="23" t="s">
        <v>375</v>
      </c>
      <c r="D27" s="23" t="s">
        <v>405</v>
      </c>
      <c r="E27" s="23" t="s">
        <v>406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413</v>
      </c>
      <c r="B28" s="23" t="s">
        <v>404</v>
      </c>
      <c r="C28" s="23" t="s">
        <v>375</v>
      </c>
      <c r="D28" s="23" t="s">
        <v>405</v>
      </c>
      <c r="E28" s="23" t="s">
        <v>406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414</v>
      </c>
      <c r="B29" s="23" t="s">
        <v>404</v>
      </c>
      <c r="C29" s="23" t="s">
        <v>375</v>
      </c>
      <c r="D29" s="23" t="s">
        <v>405</v>
      </c>
      <c r="E29" s="23" t="s">
        <v>406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415</v>
      </c>
      <c r="B30" s="23" t="s">
        <v>386</v>
      </c>
      <c r="C30" s="23" t="s">
        <v>375</v>
      </c>
      <c r="D30" s="23" t="s">
        <v>405</v>
      </c>
      <c r="E30" s="23" t="s">
        <v>406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416</v>
      </c>
      <c r="B31" s="23" t="s">
        <v>417</v>
      </c>
      <c r="C31" s="23" t="s">
        <v>375</v>
      </c>
      <c r="D31" s="23" t="s">
        <v>418</v>
      </c>
      <c r="E31" s="23" t="s">
        <v>419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420</v>
      </c>
      <c r="B32" s="23" t="s">
        <v>404</v>
      </c>
      <c r="C32" s="23" t="s">
        <v>375</v>
      </c>
      <c r="D32" s="23" t="s">
        <v>418</v>
      </c>
      <c r="E32" s="23" t="s">
        <v>419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421</v>
      </c>
      <c r="B33" s="23" t="s">
        <v>417</v>
      </c>
      <c r="C33" s="23" t="s">
        <v>375</v>
      </c>
      <c r="D33" s="23" t="s">
        <v>422</v>
      </c>
      <c r="E33" s="23" t="s">
        <v>419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423</v>
      </c>
      <c r="B34" s="23" t="s">
        <v>404</v>
      </c>
      <c r="C34" s="23" t="s">
        <v>375</v>
      </c>
      <c r="D34" s="23" t="s">
        <v>422</v>
      </c>
      <c r="E34" s="23" t="s">
        <v>419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424</v>
      </c>
      <c r="B35" s="23" t="s">
        <v>404</v>
      </c>
      <c r="C35" s="23" t="s">
        <v>375</v>
      </c>
      <c r="D35" s="23" t="s">
        <v>422</v>
      </c>
      <c r="E35" s="23" t="s">
        <v>419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425</v>
      </c>
      <c r="B36" s="23" t="s">
        <v>426</v>
      </c>
      <c r="C36" s="23" t="s">
        <v>375</v>
      </c>
      <c r="D36" s="23" t="s">
        <v>422</v>
      </c>
      <c r="E36" s="23" t="s">
        <v>419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427</v>
      </c>
      <c r="B37" s="23" t="s">
        <v>404</v>
      </c>
      <c r="C37" s="23" t="s">
        <v>375</v>
      </c>
      <c r="D37" s="23" t="s">
        <v>375</v>
      </c>
      <c r="E37" s="23" t="s">
        <v>428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429</v>
      </c>
      <c r="B38" s="23" t="s">
        <v>426</v>
      </c>
      <c r="C38" s="23" t="s">
        <v>375</v>
      </c>
      <c r="D38" s="23" t="s">
        <v>375</v>
      </c>
      <c r="E38" s="23" t="s">
        <v>428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430</v>
      </c>
      <c r="B39" s="23" t="s">
        <v>431</v>
      </c>
      <c r="C39" s="23" t="s">
        <v>375</v>
      </c>
      <c r="D39" s="23" t="s">
        <v>432</v>
      </c>
      <c r="E39" s="23" t="s">
        <v>433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434</v>
      </c>
      <c r="B40" s="23" t="s">
        <v>431</v>
      </c>
      <c r="C40" s="23" t="s">
        <v>375</v>
      </c>
      <c r="D40" s="23" t="s">
        <v>432</v>
      </c>
      <c r="E40" s="23" t="s">
        <v>433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435</v>
      </c>
      <c r="B41" s="23" t="s">
        <v>431</v>
      </c>
      <c r="C41" s="23" t="s">
        <v>375</v>
      </c>
      <c r="D41" s="23" t="s">
        <v>432</v>
      </c>
      <c r="E41" s="23" t="s">
        <v>433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436</v>
      </c>
      <c r="B42" s="23" t="s">
        <v>431</v>
      </c>
      <c r="C42" s="23" t="s">
        <v>375</v>
      </c>
      <c r="D42" s="23" t="s">
        <v>432</v>
      </c>
      <c r="E42" s="23" t="s">
        <v>433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437</v>
      </c>
      <c r="B43" s="23" t="s">
        <v>431</v>
      </c>
      <c r="C43" s="23" t="s">
        <v>375</v>
      </c>
      <c r="D43" s="23" t="s">
        <v>432</v>
      </c>
      <c r="E43" s="23" t="s">
        <v>433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438</v>
      </c>
      <c r="B44" s="23" t="s">
        <v>439</v>
      </c>
      <c r="C44" s="23" t="s">
        <v>375</v>
      </c>
      <c r="D44" s="23" t="s">
        <v>432</v>
      </c>
      <c r="E44" s="23" t="s">
        <v>433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440</v>
      </c>
      <c r="B45" s="23" t="s">
        <v>441</v>
      </c>
      <c r="C45" s="23" t="s">
        <v>375</v>
      </c>
      <c r="D45" s="23" t="s">
        <v>432</v>
      </c>
      <c r="E45" s="23" t="s">
        <v>433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442</v>
      </c>
      <c r="B46" s="23" t="s">
        <v>443</v>
      </c>
      <c r="C46" s="23" t="s">
        <v>375</v>
      </c>
      <c r="D46" s="23" t="s">
        <v>444</v>
      </c>
      <c r="E46" s="23" t="s">
        <v>445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446</v>
      </c>
      <c r="B47" s="23" t="s">
        <v>443</v>
      </c>
      <c r="C47" s="23" t="s">
        <v>375</v>
      </c>
      <c r="D47" s="23" t="s">
        <v>444</v>
      </c>
      <c r="E47" s="23" t="s">
        <v>445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447</v>
      </c>
      <c r="B48" s="23" t="s">
        <v>448</v>
      </c>
      <c r="C48" s="23" t="s">
        <v>375</v>
      </c>
      <c r="D48" s="23" t="s">
        <v>444</v>
      </c>
      <c r="E48" s="23" t="s">
        <v>445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449</v>
      </c>
      <c r="B49" s="23" t="s">
        <v>448</v>
      </c>
      <c r="C49" s="23" t="s">
        <v>375</v>
      </c>
      <c r="D49" s="23" t="s">
        <v>444</v>
      </c>
      <c r="E49" s="23" t="s">
        <v>445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450</v>
      </c>
      <c r="B50" s="23" t="s">
        <v>448</v>
      </c>
      <c r="C50" s="23" t="s">
        <v>375</v>
      </c>
      <c r="D50" s="23" t="s">
        <v>444</v>
      </c>
      <c r="E50" s="23" t="s">
        <v>445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451</v>
      </c>
      <c r="B51" s="23" t="s">
        <v>448</v>
      </c>
      <c r="C51" s="23" t="s">
        <v>375</v>
      </c>
      <c r="D51" s="23" t="s">
        <v>444</v>
      </c>
      <c r="E51" s="23" t="s">
        <v>445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452</v>
      </c>
      <c r="B52" s="23" t="s">
        <v>453</v>
      </c>
      <c r="C52" s="23" t="s">
        <v>375</v>
      </c>
      <c r="D52" s="23" t="s">
        <v>444</v>
      </c>
      <c r="E52" s="23" t="s">
        <v>445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454</v>
      </c>
      <c r="B53" s="23" t="s">
        <v>453</v>
      </c>
      <c r="C53" s="23" t="s">
        <v>375</v>
      </c>
      <c r="D53" s="23" t="s">
        <v>444</v>
      </c>
      <c r="E53" s="23" t="s">
        <v>445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455</v>
      </c>
      <c r="B54" s="23" t="s">
        <v>453</v>
      </c>
      <c r="C54" s="23" t="s">
        <v>375</v>
      </c>
      <c r="D54" s="23" t="s">
        <v>444</v>
      </c>
      <c r="E54" s="23" t="s">
        <v>445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456</v>
      </c>
      <c r="B55" s="23" t="s">
        <v>453</v>
      </c>
      <c r="C55" s="23" t="s">
        <v>375</v>
      </c>
      <c r="D55" s="23" t="s">
        <v>444</v>
      </c>
      <c r="E55" s="23" t="s">
        <v>445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457</v>
      </c>
      <c r="B56" s="23" t="s">
        <v>441</v>
      </c>
      <c r="C56" s="23" t="s">
        <v>375</v>
      </c>
      <c r="D56" s="23" t="s">
        <v>444</v>
      </c>
      <c r="E56" s="23" t="s">
        <v>445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458</v>
      </c>
      <c r="B57" s="23" t="s">
        <v>441</v>
      </c>
      <c r="C57" s="23" t="s">
        <v>375</v>
      </c>
      <c r="D57" s="23" t="s">
        <v>444</v>
      </c>
      <c r="E57" s="23" t="s">
        <v>445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459</v>
      </c>
      <c r="B58" s="23" t="s">
        <v>443</v>
      </c>
      <c r="C58" s="23" t="s">
        <v>375</v>
      </c>
      <c r="D58" s="23" t="s">
        <v>460</v>
      </c>
      <c r="E58" s="23" t="s">
        <v>461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462</v>
      </c>
      <c r="B59" s="23" t="s">
        <v>443</v>
      </c>
      <c r="C59" s="23" t="s">
        <v>375</v>
      </c>
      <c r="D59" s="23" t="s">
        <v>460</v>
      </c>
      <c r="E59" s="23" t="s">
        <v>461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463</v>
      </c>
      <c r="B60" s="23" t="s">
        <v>464</v>
      </c>
      <c r="C60" s="23" t="s">
        <v>375</v>
      </c>
      <c r="D60" s="23" t="s">
        <v>460</v>
      </c>
      <c r="E60" s="23" t="s">
        <v>461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465</v>
      </c>
      <c r="B61" s="23" t="s">
        <v>443</v>
      </c>
      <c r="C61" s="23" t="s">
        <v>375</v>
      </c>
      <c r="D61" s="23" t="s">
        <v>460</v>
      </c>
      <c r="E61" s="23" t="s">
        <v>461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466</v>
      </c>
      <c r="B62" s="23" t="s">
        <v>443</v>
      </c>
      <c r="C62" s="23" t="s">
        <v>375</v>
      </c>
      <c r="D62" s="23" t="s">
        <v>460</v>
      </c>
      <c r="E62" s="23" t="s">
        <v>461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467</v>
      </c>
      <c r="B63" s="23" t="s">
        <v>443</v>
      </c>
      <c r="C63" s="23" t="s">
        <v>375</v>
      </c>
      <c r="D63" s="23" t="s">
        <v>460</v>
      </c>
      <c r="E63" s="23" t="s">
        <v>461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468</v>
      </c>
      <c r="B64" s="23" t="s">
        <v>464</v>
      </c>
      <c r="C64" s="23" t="s">
        <v>375</v>
      </c>
      <c r="D64" s="23" t="s">
        <v>460</v>
      </c>
      <c r="E64" s="23" t="s">
        <v>461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469</v>
      </c>
      <c r="B65" s="23" t="s">
        <v>470</v>
      </c>
      <c r="C65" s="23" t="s">
        <v>375</v>
      </c>
      <c r="D65" s="23" t="s">
        <v>471</v>
      </c>
      <c r="E65" s="23" t="s">
        <v>472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473</v>
      </c>
      <c r="B66" s="23" t="s">
        <v>470</v>
      </c>
      <c r="C66" s="23" t="s">
        <v>375</v>
      </c>
      <c r="D66" s="23" t="s">
        <v>471</v>
      </c>
      <c r="E66" s="23" t="s">
        <v>472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474</v>
      </c>
      <c r="B67" s="23" t="s">
        <v>470</v>
      </c>
      <c r="C67" s="23" t="s">
        <v>375</v>
      </c>
      <c r="D67" s="23" t="s">
        <v>471</v>
      </c>
      <c r="E67" s="23" t="s">
        <v>472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475</v>
      </c>
      <c r="B68" s="23" t="s">
        <v>470</v>
      </c>
      <c r="C68" s="23" t="s">
        <v>375</v>
      </c>
      <c r="D68" s="23" t="s">
        <v>471</v>
      </c>
      <c r="E68" s="23" t="s">
        <v>472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476</v>
      </c>
      <c r="B69" s="23" t="s">
        <v>470</v>
      </c>
      <c r="C69" s="23" t="s">
        <v>375</v>
      </c>
      <c r="D69" s="23" t="s">
        <v>471</v>
      </c>
      <c r="E69" s="23" t="s">
        <v>472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477</v>
      </c>
      <c r="B70" s="23" t="s">
        <v>470</v>
      </c>
      <c r="C70" s="23" t="s">
        <v>375</v>
      </c>
      <c r="D70" s="23" t="s">
        <v>471</v>
      </c>
      <c r="E70" s="23" t="s">
        <v>472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478</v>
      </c>
      <c r="B71" s="23" t="s">
        <v>470</v>
      </c>
      <c r="C71" s="23" t="s">
        <v>375</v>
      </c>
      <c r="D71" s="23" t="s">
        <v>471</v>
      </c>
      <c r="E71" s="23" t="s">
        <v>472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479</v>
      </c>
      <c r="B72" s="23" t="s">
        <v>470</v>
      </c>
      <c r="C72" s="23" t="s">
        <v>375</v>
      </c>
      <c r="D72" s="23" t="s">
        <v>471</v>
      </c>
      <c r="E72" s="23" t="s">
        <v>472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480</v>
      </c>
      <c r="B73" s="23" t="s">
        <v>481</v>
      </c>
      <c r="C73" s="23" t="s">
        <v>482</v>
      </c>
      <c r="D73" s="23" t="s">
        <v>483</v>
      </c>
      <c r="E73" s="23" t="s">
        <v>484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485</v>
      </c>
      <c r="B74" s="23" t="s">
        <v>481</v>
      </c>
      <c r="C74" s="23" t="s">
        <v>482</v>
      </c>
      <c r="D74" s="23" t="s">
        <v>483</v>
      </c>
      <c r="E74" s="23" t="s">
        <v>484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486</v>
      </c>
      <c r="B75" s="23" t="s">
        <v>481</v>
      </c>
      <c r="C75" s="23" t="s">
        <v>482</v>
      </c>
      <c r="D75" s="23" t="s">
        <v>483</v>
      </c>
      <c r="E75" s="23" t="s">
        <v>484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487</v>
      </c>
      <c r="B76" s="23" t="s">
        <v>481</v>
      </c>
      <c r="C76" s="23" t="s">
        <v>482</v>
      </c>
      <c r="D76" s="23" t="s">
        <v>483</v>
      </c>
      <c r="E76" s="23" t="s">
        <v>484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488</v>
      </c>
      <c r="B77" s="23" t="s">
        <v>481</v>
      </c>
      <c r="C77" s="23" t="s">
        <v>482</v>
      </c>
      <c r="D77" s="23" t="s">
        <v>483</v>
      </c>
      <c r="E77" s="23" t="s">
        <v>484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489</v>
      </c>
      <c r="B78" s="23" t="s">
        <v>490</v>
      </c>
      <c r="C78" s="23" t="s">
        <v>482</v>
      </c>
      <c r="D78" s="23" t="s">
        <v>483</v>
      </c>
      <c r="E78" s="23" t="s">
        <v>484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491</v>
      </c>
      <c r="B79" s="23" t="s">
        <v>490</v>
      </c>
      <c r="C79" s="23" t="s">
        <v>482</v>
      </c>
      <c r="D79" s="23" t="s">
        <v>483</v>
      </c>
      <c r="E79" s="23" t="s">
        <v>484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492</v>
      </c>
      <c r="B80" s="23" t="s">
        <v>490</v>
      </c>
      <c r="C80" s="23" t="s">
        <v>482</v>
      </c>
      <c r="D80" s="23" t="s">
        <v>482</v>
      </c>
      <c r="E80" s="23" t="s">
        <v>493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494</v>
      </c>
      <c r="B81" s="23" t="s">
        <v>495</v>
      </c>
      <c r="C81" s="23" t="s">
        <v>482</v>
      </c>
      <c r="D81" s="23" t="s">
        <v>482</v>
      </c>
      <c r="E81" s="23" t="s">
        <v>493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496</v>
      </c>
      <c r="B82" s="23" t="s">
        <v>490</v>
      </c>
      <c r="C82" s="23" t="s">
        <v>482</v>
      </c>
      <c r="D82" s="23" t="s">
        <v>482</v>
      </c>
      <c r="E82" s="23" t="s">
        <v>493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497</v>
      </c>
      <c r="B83" s="23" t="s">
        <v>490</v>
      </c>
      <c r="C83" s="23" t="s">
        <v>482</v>
      </c>
      <c r="D83" s="23" t="s">
        <v>498</v>
      </c>
      <c r="E83" s="23" t="s">
        <v>493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499</v>
      </c>
      <c r="B84" s="23" t="s">
        <v>490</v>
      </c>
      <c r="C84" s="23" t="s">
        <v>482</v>
      </c>
      <c r="D84" s="23" t="s">
        <v>498</v>
      </c>
      <c r="E84" s="23" t="s">
        <v>493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500</v>
      </c>
      <c r="B85" s="23" t="s">
        <v>490</v>
      </c>
      <c r="C85" s="23" t="s">
        <v>482</v>
      </c>
      <c r="D85" s="23" t="s">
        <v>498</v>
      </c>
      <c r="E85" s="23" t="s">
        <v>493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501</v>
      </c>
      <c r="B86" s="23" t="s">
        <v>490</v>
      </c>
      <c r="C86" s="23" t="s">
        <v>482</v>
      </c>
      <c r="D86" s="23" t="s">
        <v>498</v>
      </c>
      <c r="E86" s="23" t="s">
        <v>493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502</v>
      </c>
      <c r="B87" s="23" t="s">
        <v>490</v>
      </c>
      <c r="C87" s="23" t="s">
        <v>482</v>
      </c>
      <c r="D87" s="23" t="s">
        <v>498</v>
      </c>
      <c r="E87" s="23" t="s">
        <v>493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503</v>
      </c>
      <c r="B88" s="23" t="s">
        <v>495</v>
      </c>
      <c r="C88" s="23" t="s">
        <v>482</v>
      </c>
      <c r="D88" s="23" t="s">
        <v>498</v>
      </c>
      <c r="E88" s="23" t="s">
        <v>493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504</v>
      </c>
      <c r="B89" s="23" t="s">
        <v>490</v>
      </c>
      <c r="C89" s="23" t="s">
        <v>482</v>
      </c>
      <c r="D89" s="23" t="s">
        <v>498</v>
      </c>
      <c r="E89" s="23" t="s">
        <v>493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505</v>
      </c>
      <c r="B90" s="23" t="s">
        <v>490</v>
      </c>
      <c r="C90" s="23" t="s">
        <v>482</v>
      </c>
      <c r="D90" s="23" t="s">
        <v>498</v>
      </c>
      <c r="E90" s="23" t="s">
        <v>493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506</v>
      </c>
      <c r="B91" s="23" t="s">
        <v>464</v>
      </c>
      <c r="C91" s="23" t="s">
        <v>482</v>
      </c>
      <c r="D91" s="23" t="s">
        <v>498</v>
      </c>
      <c r="E91" s="23" t="s">
        <v>493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507</v>
      </c>
      <c r="B92" s="23" t="s">
        <v>464</v>
      </c>
      <c r="C92" s="23" t="s">
        <v>482</v>
      </c>
      <c r="D92" s="23" t="s">
        <v>498</v>
      </c>
      <c r="E92" s="23" t="s">
        <v>493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508</v>
      </c>
      <c r="B93" s="23" t="s">
        <v>509</v>
      </c>
      <c r="C93" s="23" t="s">
        <v>482</v>
      </c>
      <c r="D93" s="23" t="s">
        <v>498</v>
      </c>
      <c r="E93" s="23" t="s">
        <v>493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510</v>
      </c>
      <c r="B94" s="23" t="s">
        <v>511</v>
      </c>
      <c r="C94" s="23" t="s">
        <v>482</v>
      </c>
      <c r="D94" s="23" t="s">
        <v>498</v>
      </c>
      <c r="E94" s="23" t="s">
        <v>493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512</v>
      </c>
      <c r="B95" s="23" t="s">
        <v>513</v>
      </c>
      <c r="C95" s="23" t="s">
        <v>482</v>
      </c>
      <c r="D95" s="23" t="s">
        <v>514</v>
      </c>
      <c r="E95" s="23" t="s">
        <v>515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516</v>
      </c>
      <c r="B96" s="23" t="s">
        <v>513</v>
      </c>
      <c r="C96" s="23" t="s">
        <v>482</v>
      </c>
      <c r="D96" s="23" t="s">
        <v>514</v>
      </c>
      <c r="E96" s="23" t="s">
        <v>515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517</v>
      </c>
      <c r="B97" s="23" t="s">
        <v>513</v>
      </c>
      <c r="C97" s="23" t="s">
        <v>482</v>
      </c>
      <c r="D97" s="23" t="s">
        <v>514</v>
      </c>
      <c r="E97" s="23" t="s">
        <v>515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518</v>
      </c>
      <c r="B98" s="23" t="s">
        <v>509</v>
      </c>
      <c r="C98" s="23" t="s">
        <v>482</v>
      </c>
      <c r="D98" s="23" t="s">
        <v>514</v>
      </c>
      <c r="E98" s="23" t="s">
        <v>515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519</v>
      </c>
      <c r="B99" s="23" t="s">
        <v>513</v>
      </c>
      <c r="C99" s="23" t="s">
        <v>482</v>
      </c>
      <c r="D99" s="23" t="s">
        <v>514</v>
      </c>
      <c r="E99" s="23" t="s">
        <v>515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520</v>
      </c>
      <c r="B100" s="23" t="s">
        <v>513</v>
      </c>
      <c r="C100" s="23" t="s">
        <v>482</v>
      </c>
      <c r="D100" s="23" t="s">
        <v>514</v>
      </c>
      <c r="E100" s="23" t="s">
        <v>515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521</v>
      </c>
      <c r="B101" s="23" t="s">
        <v>513</v>
      </c>
      <c r="C101" s="23" t="s">
        <v>482</v>
      </c>
      <c r="D101" s="23" t="s">
        <v>514</v>
      </c>
      <c r="E101" s="23" t="s">
        <v>515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522</v>
      </c>
      <c r="B102" s="23" t="s">
        <v>513</v>
      </c>
      <c r="C102" s="23" t="s">
        <v>482</v>
      </c>
      <c r="D102" s="23" t="s">
        <v>514</v>
      </c>
      <c r="E102" s="23" t="s">
        <v>515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523</v>
      </c>
      <c r="B103" s="23" t="s">
        <v>511</v>
      </c>
      <c r="C103" s="23" t="s">
        <v>482</v>
      </c>
      <c r="D103" s="23" t="s">
        <v>514</v>
      </c>
      <c r="E103" s="23" t="s">
        <v>515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524</v>
      </c>
      <c r="B104" s="23" t="s">
        <v>453</v>
      </c>
      <c r="C104" s="23" t="s">
        <v>482</v>
      </c>
      <c r="D104" s="23" t="s">
        <v>514</v>
      </c>
      <c r="E104" s="23" t="s">
        <v>515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525</v>
      </c>
      <c r="B105" s="23" t="s">
        <v>526</v>
      </c>
      <c r="C105" s="23" t="s">
        <v>482</v>
      </c>
      <c r="D105" s="23" t="s">
        <v>527</v>
      </c>
      <c r="E105" s="23" t="s">
        <v>528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529</v>
      </c>
      <c r="B106" s="23" t="s">
        <v>526</v>
      </c>
      <c r="C106" s="23" t="s">
        <v>482</v>
      </c>
      <c r="D106" s="23" t="s">
        <v>527</v>
      </c>
      <c r="E106" s="23" t="s">
        <v>528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530</v>
      </c>
      <c r="B107" s="23" t="s">
        <v>526</v>
      </c>
      <c r="C107" s="23" t="s">
        <v>482</v>
      </c>
      <c r="D107" s="23" t="s">
        <v>527</v>
      </c>
      <c r="E107" s="23" t="s">
        <v>528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531</v>
      </c>
      <c r="B108" s="23" t="s">
        <v>526</v>
      </c>
      <c r="C108" s="23" t="s">
        <v>482</v>
      </c>
      <c r="D108" s="23" t="s">
        <v>527</v>
      </c>
      <c r="E108" s="23" t="s">
        <v>528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532</v>
      </c>
      <c r="B109" s="23" t="s">
        <v>526</v>
      </c>
      <c r="C109" s="23" t="s">
        <v>482</v>
      </c>
      <c r="D109" s="23" t="s">
        <v>527</v>
      </c>
      <c r="E109" s="23" t="s">
        <v>528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533</v>
      </c>
      <c r="B110" s="23" t="s">
        <v>526</v>
      </c>
      <c r="C110" s="23" t="s">
        <v>482</v>
      </c>
      <c r="D110" s="23" t="s">
        <v>527</v>
      </c>
      <c r="E110" s="23" t="s">
        <v>528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534</v>
      </c>
      <c r="B111" s="23" t="s">
        <v>526</v>
      </c>
      <c r="C111" s="23" t="s">
        <v>482</v>
      </c>
      <c r="D111" s="23" t="s">
        <v>527</v>
      </c>
      <c r="E111" s="23" t="s">
        <v>528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535</v>
      </c>
      <c r="B112" s="23" t="s">
        <v>526</v>
      </c>
      <c r="C112" s="23" t="s">
        <v>482</v>
      </c>
      <c r="D112" s="23" t="s">
        <v>527</v>
      </c>
      <c r="E112" s="23" t="s">
        <v>528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536</v>
      </c>
      <c r="B113" s="23" t="s">
        <v>526</v>
      </c>
      <c r="C113" s="23" t="s">
        <v>482</v>
      </c>
      <c r="D113" s="23" t="s">
        <v>527</v>
      </c>
      <c r="E113" s="23" t="s">
        <v>528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537</v>
      </c>
      <c r="B114" s="23" t="s">
        <v>526</v>
      </c>
      <c r="C114" s="23" t="s">
        <v>482</v>
      </c>
      <c r="D114" s="23" t="s">
        <v>527</v>
      </c>
      <c r="E114" s="23" t="s">
        <v>528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538</v>
      </c>
      <c r="B115" s="23" t="s">
        <v>539</v>
      </c>
      <c r="C115" s="23" t="s">
        <v>482</v>
      </c>
      <c r="D115" s="23" t="s">
        <v>527</v>
      </c>
      <c r="E115" s="23" t="s">
        <v>528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540</v>
      </c>
      <c r="B116" s="23" t="s">
        <v>539</v>
      </c>
      <c r="C116" s="23" t="s">
        <v>482</v>
      </c>
      <c r="D116" s="23" t="s">
        <v>527</v>
      </c>
      <c r="E116" s="23" t="s">
        <v>528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541</v>
      </c>
      <c r="B117" s="23" t="s">
        <v>526</v>
      </c>
      <c r="C117" s="23" t="s">
        <v>482</v>
      </c>
      <c r="D117" s="23" t="s">
        <v>527</v>
      </c>
      <c r="E117" s="23" t="s">
        <v>528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542</v>
      </c>
      <c r="B118" s="23" t="s">
        <v>543</v>
      </c>
      <c r="C118" s="23" t="s">
        <v>482</v>
      </c>
      <c r="D118" s="23" t="s">
        <v>527</v>
      </c>
      <c r="E118" s="23" t="s">
        <v>544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545</v>
      </c>
      <c r="B119" s="23" t="s">
        <v>543</v>
      </c>
      <c r="C119" s="23" t="s">
        <v>482</v>
      </c>
      <c r="D119" s="23" t="s">
        <v>527</v>
      </c>
      <c r="E119" s="23" t="s">
        <v>544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546</v>
      </c>
      <c r="B120" s="23" t="s">
        <v>547</v>
      </c>
      <c r="C120" s="23" t="s">
        <v>482</v>
      </c>
      <c r="D120" s="23" t="s">
        <v>527</v>
      </c>
      <c r="E120" s="23" t="s">
        <v>544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548</v>
      </c>
      <c r="B121" s="23" t="s">
        <v>547</v>
      </c>
      <c r="C121" s="23" t="s">
        <v>482</v>
      </c>
      <c r="D121" s="23" t="s">
        <v>527</v>
      </c>
      <c r="E121" s="23" t="s">
        <v>544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549</v>
      </c>
      <c r="B122" s="23" t="s">
        <v>539</v>
      </c>
      <c r="C122" s="23" t="s">
        <v>482</v>
      </c>
      <c r="D122" s="23" t="s">
        <v>527</v>
      </c>
      <c r="E122" s="23" t="s">
        <v>544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550</v>
      </c>
      <c r="B123" s="23" t="s">
        <v>547</v>
      </c>
      <c r="C123" s="23" t="s">
        <v>482</v>
      </c>
      <c r="D123" s="23" t="s">
        <v>527</v>
      </c>
      <c r="E123" s="23" t="s">
        <v>544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551</v>
      </c>
      <c r="B124" s="23" t="s">
        <v>547</v>
      </c>
      <c r="C124" s="23" t="s">
        <v>482</v>
      </c>
      <c r="D124" s="23" t="s">
        <v>527</v>
      </c>
      <c r="E124" s="23" t="s">
        <v>544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552</v>
      </c>
      <c r="B125" s="23" t="s">
        <v>547</v>
      </c>
      <c r="C125" s="23" t="s">
        <v>482</v>
      </c>
      <c r="D125" s="23" t="s">
        <v>527</v>
      </c>
      <c r="E125" s="23" t="s">
        <v>544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553</v>
      </c>
      <c r="B126" s="23" t="s">
        <v>547</v>
      </c>
      <c r="C126" s="23" t="s">
        <v>482</v>
      </c>
      <c r="D126" s="23" t="s">
        <v>527</v>
      </c>
      <c r="E126" s="23" t="s">
        <v>544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554</v>
      </c>
      <c r="B127" s="23" t="s">
        <v>547</v>
      </c>
      <c r="C127" s="23" t="s">
        <v>482</v>
      </c>
      <c r="D127" s="23" t="s">
        <v>527</v>
      </c>
      <c r="E127" s="23" t="s">
        <v>544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555</v>
      </c>
      <c r="B128" s="23" t="s">
        <v>547</v>
      </c>
      <c r="C128" s="23" t="s">
        <v>482</v>
      </c>
      <c r="D128" s="23" t="s">
        <v>527</v>
      </c>
      <c r="E128" s="23" t="s">
        <v>544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556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557</v>
      </c>
      <c r="B3" s="16" t="s">
        <v>558</v>
      </c>
      <c r="C3" s="16" t="s">
        <v>559</v>
      </c>
      <c r="D3" s="16" t="s">
        <v>560</v>
      </c>
      <c r="E3" s="16" t="s">
        <v>561</v>
      </c>
      <c r="F3" s="16" t="s">
        <v>562</v>
      </c>
      <c r="G3" s="16" t="s">
        <v>563</v>
      </c>
      <c r="H3" s="16" t="s">
        <v>564</v>
      </c>
      <c r="I3" s="16" t="s">
        <v>565</v>
      </c>
      <c r="J3" s="16" t="s">
        <v>566</v>
      </c>
      <c r="K3" s="16" t="s">
        <v>567</v>
      </c>
      <c r="L3" s="16" t="s">
        <v>568</v>
      </c>
      <c r="M3" s="16" t="s">
        <v>569</v>
      </c>
      <c r="N3" s="16" t="s">
        <v>570</v>
      </c>
      <c r="O3" s="16" t="s">
        <v>571</v>
      </c>
      <c r="P3" s="16" t="s">
        <v>572</v>
      </c>
      <c r="Q3" s="16" t="s">
        <v>573</v>
      </c>
      <c r="R3" s="16" t="s">
        <v>574</v>
      </c>
      <c r="S3" s="16" t="s">
        <v>575</v>
      </c>
      <c r="T3" s="16" t="s">
        <v>576</v>
      </c>
      <c r="U3" s="16" t="s">
        <v>577</v>
      </c>
      <c r="V3" s="16" t="s">
        <v>578</v>
      </c>
      <c r="W3" s="16" t="s">
        <v>579</v>
      </c>
      <c r="X3" s="16" t="s">
        <v>580</v>
      </c>
      <c r="Y3" s="16" t="s">
        <v>581</v>
      </c>
      <c r="Z3" s="16" t="s">
        <v>582</v>
      </c>
      <c r="AA3" s="16" t="s">
        <v>583</v>
      </c>
      <c r="AB3" s="16" t="s">
        <v>584</v>
      </c>
      <c r="AC3" s="16" t="s">
        <v>585</v>
      </c>
      <c r="AD3" s="16" t="s">
        <v>586</v>
      </c>
      <c r="AE3" s="16" t="s">
        <v>587</v>
      </c>
      <c r="AF3" s="16" t="s">
        <v>588</v>
      </c>
      <c r="AG3" s="16" t="s">
        <v>589</v>
      </c>
      <c r="AH3" s="16" t="s">
        <v>590</v>
      </c>
      <c r="AI3" s="16" t="s">
        <v>591</v>
      </c>
      <c r="AJ3" s="16" t="s">
        <v>592</v>
      </c>
      <c r="AK3" s="16" t="s">
        <v>593</v>
      </c>
    </row>
    <row r="4" spans="1:37" ht="15" customHeight="1" x14ac:dyDescent="0.3">
      <c r="A4" s="23" t="s">
        <v>594</v>
      </c>
      <c r="B4" s="23" t="s">
        <v>595</v>
      </c>
      <c r="C4" s="23" t="s">
        <v>596</v>
      </c>
      <c r="D4" s="23" t="s">
        <v>38</v>
      </c>
      <c r="E4" s="23" t="s">
        <v>597</v>
      </c>
      <c r="F4" s="23" t="s">
        <v>598</v>
      </c>
      <c r="G4" s="23" t="s">
        <v>599</v>
      </c>
      <c r="H4" s="23" t="s">
        <v>83</v>
      </c>
      <c r="I4" s="23" t="s">
        <v>600</v>
      </c>
      <c r="J4" s="23" t="s">
        <v>601</v>
      </c>
      <c r="K4" s="23" t="s">
        <v>602</v>
      </c>
      <c r="L4" s="23" t="s">
        <v>603</v>
      </c>
      <c r="M4" s="23" t="s">
        <v>604</v>
      </c>
      <c r="N4" s="23" t="s">
        <v>121</v>
      </c>
      <c r="O4" s="23" t="s">
        <v>605</v>
      </c>
      <c r="P4" s="23" t="s">
        <v>134</v>
      </c>
      <c r="Q4" s="23" t="s">
        <v>137</v>
      </c>
      <c r="R4" s="23" t="s">
        <v>139</v>
      </c>
      <c r="S4" s="23" t="s">
        <v>168</v>
      </c>
      <c r="T4" s="23" t="s">
        <v>155</v>
      </c>
      <c r="U4" s="23" t="s">
        <v>606</v>
      </c>
      <c r="V4" s="23" t="s">
        <v>221</v>
      </c>
      <c r="W4" s="23" t="s">
        <v>607</v>
      </c>
      <c r="X4" s="23" t="s">
        <v>598</v>
      </c>
      <c r="Y4" s="23" t="s">
        <v>289</v>
      </c>
      <c r="Z4" s="23" t="s">
        <v>608</v>
      </c>
      <c r="AA4" s="23" t="s">
        <v>325</v>
      </c>
      <c r="AB4" s="23" t="s">
        <v>609</v>
      </c>
      <c r="AC4" s="23" t="s">
        <v>610</v>
      </c>
      <c r="AD4" s="23" t="s">
        <v>611</v>
      </c>
      <c r="AE4" s="23" t="s">
        <v>612</v>
      </c>
      <c r="AF4" s="23" t="s">
        <v>613</v>
      </c>
      <c r="AG4" s="23" t="s">
        <v>289</v>
      </c>
      <c r="AH4" s="23" t="s">
        <v>614</v>
      </c>
      <c r="AI4" s="23" t="s">
        <v>615</v>
      </c>
      <c r="AJ4" s="23" t="s">
        <v>45</v>
      </c>
      <c r="AK4" s="23" t="s">
        <v>45</v>
      </c>
    </row>
    <row r="5" spans="1:37" ht="15" customHeight="1" x14ac:dyDescent="0.3">
      <c r="A5" s="23" t="s">
        <v>616</v>
      </c>
      <c r="B5" s="23" t="s">
        <v>617</v>
      </c>
      <c r="C5" s="23" t="s">
        <v>618</v>
      </c>
      <c r="D5" s="23" t="s">
        <v>619</v>
      </c>
      <c r="E5" s="23" t="s">
        <v>620</v>
      </c>
      <c r="F5" s="23" t="s">
        <v>66</v>
      </c>
      <c r="G5" s="23" t="s">
        <v>621</v>
      </c>
      <c r="H5" s="23" t="s">
        <v>622</v>
      </c>
      <c r="I5" s="23" t="s">
        <v>623</v>
      </c>
      <c r="J5" s="23" t="s">
        <v>624</v>
      </c>
      <c r="K5" s="23" t="s">
        <v>625</v>
      </c>
      <c r="L5" s="23" t="s">
        <v>116</v>
      </c>
      <c r="M5" s="23" t="s">
        <v>119</v>
      </c>
      <c r="N5" s="23" t="s">
        <v>626</v>
      </c>
      <c r="O5" s="23" t="s">
        <v>627</v>
      </c>
      <c r="P5" s="23" t="s">
        <v>628</v>
      </c>
      <c r="Q5" s="23" t="s">
        <v>629</v>
      </c>
      <c r="R5" s="23" t="s">
        <v>630</v>
      </c>
      <c r="S5" s="23" t="s">
        <v>154</v>
      </c>
      <c r="T5" s="23" t="s">
        <v>631</v>
      </c>
      <c r="U5" s="23" t="s">
        <v>632</v>
      </c>
      <c r="V5" s="23" t="s">
        <v>240</v>
      </c>
      <c r="W5" s="23" t="s">
        <v>633</v>
      </c>
      <c r="X5" s="23" t="s">
        <v>263</v>
      </c>
      <c r="Y5" s="23" t="s">
        <v>316</v>
      </c>
      <c r="Z5" s="23" t="s">
        <v>634</v>
      </c>
      <c r="AA5" s="23" t="s">
        <v>635</v>
      </c>
      <c r="AB5" s="23" t="s">
        <v>636</v>
      </c>
      <c r="AC5" s="23" t="s">
        <v>637</v>
      </c>
      <c r="AD5" s="23" t="s">
        <v>638</v>
      </c>
      <c r="AE5" s="23" t="s">
        <v>350</v>
      </c>
      <c r="AF5" s="23" t="s">
        <v>639</v>
      </c>
      <c r="AG5" s="23" t="s">
        <v>316</v>
      </c>
      <c r="AH5" s="23" t="s">
        <v>640</v>
      </c>
      <c r="AI5" s="23" t="s">
        <v>641</v>
      </c>
      <c r="AJ5" s="23" t="s">
        <v>642</v>
      </c>
      <c r="AK5" s="23" t="s">
        <v>642</v>
      </c>
    </row>
    <row r="6" spans="1:37" ht="15" customHeight="1" x14ac:dyDescent="0.3">
      <c r="A6" s="23" t="s">
        <v>643</v>
      </c>
      <c r="B6" s="23" t="s">
        <v>34</v>
      </c>
      <c r="C6" s="23" t="s">
        <v>36</v>
      </c>
      <c r="D6" s="23" t="s">
        <v>644</v>
      </c>
      <c r="E6" s="23" t="s">
        <v>40</v>
      </c>
      <c r="F6" s="23" t="s">
        <v>645</v>
      </c>
      <c r="G6" s="23" t="s">
        <v>82</v>
      </c>
      <c r="H6" s="23" t="s">
        <v>646</v>
      </c>
      <c r="I6" s="23" t="s">
        <v>647</v>
      </c>
      <c r="J6" s="23" t="s">
        <v>648</v>
      </c>
      <c r="K6" s="23" t="s">
        <v>649</v>
      </c>
      <c r="L6" s="23" t="s">
        <v>650</v>
      </c>
      <c r="M6" s="23" t="s">
        <v>651</v>
      </c>
      <c r="N6" s="23" t="s">
        <v>652</v>
      </c>
      <c r="O6" s="23" t="s">
        <v>653</v>
      </c>
      <c r="P6" s="23" t="s">
        <v>654</v>
      </c>
      <c r="Q6" s="23" t="s">
        <v>655</v>
      </c>
      <c r="R6" s="23" t="s">
        <v>656</v>
      </c>
      <c r="S6" s="23" t="s">
        <v>158</v>
      </c>
      <c r="T6" s="23" t="s">
        <v>198</v>
      </c>
      <c r="U6" s="23" t="s">
        <v>657</v>
      </c>
      <c r="V6" s="23" t="s">
        <v>658</v>
      </c>
      <c r="W6" s="23" t="s">
        <v>659</v>
      </c>
      <c r="X6" s="23" t="s">
        <v>660</v>
      </c>
      <c r="Y6" s="23" t="s">
        <v>293</v>
      </c>
      <c r="Z6" s="23" t="s">
        <v>660</v>
      </c>
      <c r="AA6" s="23" t="s">
        <v>661</v>
      </c>
      <c r="AB6" s="23" t="s">
        <v>662</v>
      </c>
      <c r="AC6" s="23" t="s">
        <v>663</v>
      </c>
      <c r="AD6" s="23" t="s">
        <v>664</v>
      </c>
      <c r="AE6" s="23" t="s">
        <v>665</v>
      </c>
      <c r="AF6" s="23" t="s">
        <v>666</v>
      </c>
      <c r="AG6" s="23" t="s">
        <v>293</v>
      </c>
      <c r="AH6" s="23" t="s">
        <v>663</v>
      </c>
      <c r="AI6" s="23" t="s">
        <v>667</v>
      </c>
      <c r="AK6" s="23" t="s">
        <v>109</v>
      </c>
    </row>
    <row r="7" spans="1:37" ht="15" customHeight="1" x14ac:dyDescent="0.3">
      <c r="A7" s="23" t="s">
        <v>32</v>
      </c>
      <c r="B7" s="23" t="s">
        <v>668</v>
      </c>
      <c r="C7" s="23" t="s">
        <v>669</v>
      </c>
      <c r="D7" s="23" t="s">
        <v>670</v>
      </c>
      <c r="E7" s="23" t="s">
        <v>671</v>
      </c>
      <c r="F7" s="23" t="s">
        <v>672</v>
      </c>
      <c r="G7" s="23" t="s">
        <v>673</v>
      </c>
      <c r="H7" s="23" t="s">
        <v>674</v>
      </c>
      <c r="I7" s="23" t="s">
        <v>675</v>
      </c>
      <c r="J7" s="23" t="s">
        <v>676</v>
      </c>
      <c r="K7" s="23" t="s">
        <v>100</v>
      </c>
      <c r="L7" s="23" t="s">
        <v>677</v>
      </c>
      <c r="M7" s="23" t="s">
        <v>678</v>
      </c>
      <c r="N7" s="23" t="s">
        <v>679</v>
      </c>
      <c r="O7" s="23" t="s">
        <v>680</v>
      </c>
      <c r="P7" s="23" t="s">
        <v>681</v>
      </c>
      <c r="Q7" s="23" t="s">
        <v>682</v>
      </c>
      <c r="R7" s="23" t="s">
        <v>683</v>
      </c>
      <c r="S7" s="23" t="s">
        <v>183</v>
      </c>
      <c r="T7" s="23" t="s">
        <v>684</v>
      </c>
      <c r="U7" s="23" t="s">
        <v>685</v>
      </c>
      <c r="V7" s="23" t="s">
        <v>686</v>
      </c>
      <c r="W7" s="23" t="s">
        <v>687</v>
      </c>
      <c r="X7" s="23" t="s">
        <v>688</v>
      </c>
      <c r="Z7" s="23" t="s">
        <v>323</v>
      </c>
      <c r="AA7" s="23" t="s">
        <v>689</v>
      </c>
      <c r="AB7" s="23" t="s">
        <v>690</v>
      </c>
      <c r="AC7" s="23" t="s">
        <v>691</v>
      </c>
      <c r="AD7" s="23" t="s">
        <v>692</v>
      </c>
      <c r="AE7" s="23" t="s">
        <v>693</v>
      </c>
      <c r="AF7" s="23" t="s">
        <v>694</v>
      </c>
      <c r="AH7" s="23" t="s">
        <v>695</v>
      </c>
      <c r="AI7" s="23" t="s">
        <v>696</v>
      </c>
    </row>
    <row r="8" spans="1:37" ht="15" customHeight="1" x14ac:dyDescent="0.3">
      <c r="A8" s="23" t="s">
        <v>697</v>
      </c>
      <c r="B8" s="23" t="s">
        <v>698</v>
      </c>
      <c r="C8" s="23" t="s">
        <v>699</v>
      </c>
      <c r="D8" s="23" t="s">
        <v>700</v>
      </c>
      <c r="E8" s="23" t="s">
        <v>701</v>
      </c>
      <c r="F8" s="23" t="s">
        <v>702</v>
      </c>
      <c r="G8" s="23" t="s">
        <v>703</v>
      </c>
      <c r="H8" s="23" t="s">
        <v>704</v>
      </c>
      <c r="I8" s="23" t="s">
        <v>84</v>
      </c>
      <c r="J8" s="23" t="s">
        <v>705</v>
      </c>
      <c r="L8" s="23" t="s">
        <v>706</v>
      </c>
      <c r="M8" s="23" t="s">
        <v>707</v>
      </c>
      <c r="N8" s="23" t="s">
        <v>708</v>
      </c>
      <c r="P8" s="23" t="s">
        <v>709</v>
      </c>
      <c r="Q8" s="23" t="s">
        <v>710</v>
      </c>
      <c r="R8" s="23" t="s">
        <v>711</v>
      </c>
      <c r="S8" s="23" t="s">
        <v>195</v>
      </c>
      <c r="U8" s="23" t="s">
        <v>712</v>
      </c>
      <c r="V8" s="23" t="s">
        <v>713</v>
      </c>
      <c r="W8" s="23" t="s">
        <v>714</v>
      </c>
      <c r="X8" s="23" t="s">
        <v>715</v>
      </c>
      <c r="Z8" s="23" t="s">
        <v>716</v>
      </c>
      <c r="AB8" s="23" t="s">
        <v>717</v>
      </c>
      <c r="AC8" s="23" t="s">
        <v>680</v>
      </c>
      <c r="AD8" s="23" t="s">
        <v>337</v>
      </c>
      <c r="AE8" s="23" t="s">
        <v>718</v>
      </c>
      <c r="AF8" s="23" t="s">
        <v>719</v>
      </c>
      <c r="AI8" s="23" t="s">
        <v>275</v>
      </c>
    </row>
    <row r="9" spans="1:37" ht="15" customHeight="1" x14ac:dyDescent="0.3">
      <c r="B9" s="23" t="s">
        <v>720</v>
      </c>
      <c r="C9" s="23" t="s">
        <v>721</v>
      </c>
      <c r="D9" s="23" t="s">
        <v>722</v>
      </c>
      <c r="E9" s="23" t="s">
        <v>723</v>
      </c>
      <c r="F9" s="23" t="s">
        <v>724</v>
      </c>
      <c r="I9" s="23" t="s">
        <v>87</v>
      </c>
      <c r="L9" s="23" t="s">
        <v>725</v>
      </c>
      <c r="M9" s="23" t="s">
        <v>726</v>
      </c>
      <c r="N9" s="23" t="s">
        <v>727</v>
      </c>
      <c r="P9" s="23" t="s">
        <v>728</v>
      </c>
      <c r="R9" s="23" t="s">
        <v>729</v>
      </c>
      <c r="S9" s="23" t="s">
        <v>210</v>
      </c>
      <c r="V9" s="23" t="s">
        <v>231</v>
      </c>
      <c r="W9" s="23" t="s">
        <v>730</v>
      </c>
      <c r="AB9" s="23" t="s">
        <v>731</v>
      </c>
      <c r="AE9" s="23" t="s">
        <v>732</v>
      </c>
      <c r="AF9" s="23" t="s">
        <v>354</v>
      </c>
      <c r="AI9" s="23" t="s">
        <v>695</v>
      </c>
    </row>
    <row r="10" spans="1:37" ht="15" customHeight="1" x14ac:dyDescent="0.3">
      <c r="C10" s="23" t="s">
        <v>733</v>
      </c>
      <c r="D10" s="23" t="s">
        <v>734</v>
      </c>
      <c r="E10" s="23" t="s">
        <v>735</v>
      </c>
      <c r="I10" s="23" t="s">
        <v>736</v>
      </c>
      <c r="L10" s="23" t="s">
        <v>737</v>
      </c>
      <c r="N10" s="23" t="s">
        <v>738</v>
      </c>
      <c r="R10" s="23" t="s">
        <v>739</v>
      </c>
      <c r="S10" s="23" t="s">
        <v>740</v>
      </c>
      <c r="W10" s="23" t="s">
        <v>741</v>
      </c>
      <c r="AB10" s="23" t="s">
        <v>742</v>
      </c>
      <c r="AF10" s="23" t="s">
        <v>743</v>
      </c>
    </row>
    <row r="11" spans="1:37" ht="15" customHeight="1" x14ac:dyDescent="0.3">
      <c r="C11" s="23" t="s">
        <v>744</v>
      </c>
      <c r="D11" s="23" t="s">
        <v>745</v>
      </c>
      <c r="I11" s="23" t="s">
        <v>746</v>
      </c>
      <c r="L11" s="23" t="s">
        <v>747</v>
      </c>
      <c r="N11" s="23" t="s">
        <v>748</v>
      </c>
      <c r="R11" s="23" t="s">
        <v>749</v>
      </c>
      <c r="S11" s="23" t="s">
        <v>750</v>
      </c>
      <c r="W11" s="23" t="s">
        <v>751</v>
      </c>
      <c r="AB11" s="23" t="s">
        <v>752</v>
      </c>
    </row>
    <row r="12" spans="1:37" ht="15" customHeight="1" x14ac:dyDescent="0.3">
      <c r="C12" s="23" t="s">
        <v>753</v>
      </c>
      <c r="D12" s="23" t="s">
        <v>754</v>
      </c>
      <c r="I12" s="23" t="s">
        <v>275</v>
      </c>
      <c r="L12" s="23" t="s">
        <v>755</v>
      </c>
      <c r="N12" s="23" t="s">
        <v>275</v>
      </c>
      <c r="R12" s="23" t="s">
        <v>756</v>
      </c>
      <c r="W12" s="23" t="s">
        <v>222</v>
      </c>
      <c r="AB12" s="23" t="s">
        <v>757</v>
      </c>
    </row>
    <row r="13" spans="1:37" ht="15" customHeight="1" x14ac:dyDescent="0.3">
      <c r="L13" s="23" t="s">
        <v>758</v>
      </c>
      <c r="R13" s="23" t="s">
        <v>759</v>
      </c>
      <c r="W13" s="23" t="s">
        <v>109</v>
      </c>
      <c r="AB13" s="23" t="s">
        <v>275</v>
      </c>
    </row>
    <row r="14" spans="1:37" ht="15" customHeight="1" x14ac:dyDescent="0.3">
      <c r="L14" s="23" t="s">
        <v>760</v>
      </c>
      <c r="R14" s="23" t="s">
        <v>761</v>
      </c>
    </row>
    <row r="15" spans="1:37" ht="15" customHeight="1" x14ac:dyDescent="0.3">
      <c r="L15" s="23" t="s">
        <v>762</v>
      </c>
    </row>
    <row r="16" spans="1:37" ht="15" customHeight="1" x14ac:dyDescent="0.3">
      <c r="L16" s="23" t="s">
        <v>275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0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8.6640625" defaultRowHeight="14.4" x14ac:dyDescent="0.3"/>
  <cols>
    <col min="1" max="1" width="42" customWidth="1"/>
    <col min="2" max="2" width="34" customWidth="1"/>
    <col min="3" max="3" width="58" customWidth="1"/>
  </cols>
  <sheetData>
    <row r="1" spans="1:3" ht="15.75" customHeight="1" x14ac:dyDescent="0.3">
      <c r="A1" s="32" t="s">
        <v>0</v>
      </c>
      <c r="B1" s="32"/>
      <c r="C1" s="32"/>
    </row>
    <row r="2" spans="1:3" ht="15.75" customHeight="1" x14ac:dyDescent="0.3">
      <c r="A2" s="32" t="s">
        <v>763</v>
      </c>
      <c r="B2" s="32"/>
      <c r="C2" s="32"/>
    </row>
    <row r="3" spans="1:3" ht="15.75" customHeight="1" x14ac:dyDescent="0.3">
      <c r="A3" s="32" t="s">
        <v>764</v>
      </c>
      <c r="B3" s="32"/>
      <c r="C3" s="32"/>
    </row>
    <row r="4" spans="1:3" ht="15.75" customHeight="1" x14ac:dyDescent="0.3">
      <c r="A4" s="33" t="s">
        <v>765</v>
      </c>
      <c r="B4" s="33"/>
      <c r="C4" s="33"/>
    </row>
    <row r="5" spans="1:3" ht="15.75" customHeight="1" x14ac:dyDescent="0.3">
      <c r="A5" s="33" t="s">
        <v>766</v>
      </c>
      <c r="B5" s="33"/>
      <c r="C5" s="33"/>
    </row>
    <row r="7" spans="1:3" ht="30" customHeight="1" x14ac:dyDescent="0.3">
      <c r="A7" s="27" t="s">
        <v>767</v>
      </c>
      <c r="B7" s="27" t="s">
        <v>281</v>
      </c>
      <c r="C7" s="27" t="s">
        <v>768</v>
      </c>
    </row>
    <row r="8" spans="1:3" x14ac:dyDescent="0.3">
      <c r="A8" s="28" t="s">
        <v>769</v>
      </c>
      <c r="B8" s="28" t="s">
        <v>16</v>
      </c>
      <c r="C8" s="29" t="s">
        <v>770</v>
      </c>
    </row>
    <row r="9" spans="1:3" x14ac:dyDescent="0.3">
      <c r="A9" s="30" t="s">
        <v>771</v>
      </c>
      <c r="B9" s="30" t="s">
        <v>772</v>
      </c>
      <c r="C9" s="31" t="s">
        <v>773</v>
      </c>
    </row>
    <row r="10" spans="1:3" x14ac:dyDescent="0.3">
      <c r="A10" s="28" t="s">
        <v>774</v>
      </c>
      <c r="B10" s="28" t="s">
        <v>775</v>
      </c>
      <c r="C10" s="29" t="s">
        <v>773</v>
      </c>
    </row>
    <row r="11" spans="1:3" x14ac:dyDescent="0.3">
      <c r="A11" s="30" t="s">
        <v>776</v>
      </c>
      <c r="B11" s="30" t="s">
        <v>27</v>
      </c>
      <c r="C11" s="31" t="s">
        <v>777</v>
      </c>
    </row>
    <row r="12" spans="1:3" x14ac:dyDescent="0.3">
      <c r="A12" s="28" t="s">
        <v>778</v>
      </c>
      <c r="B12" s="28">
        <v>68.569000000000003</v>
      </c>
      <c r="C12" s="29" t="s">
        <v>779</v>
      </c>
    </row>
    <row r="13" spans="1:3" x14ac:dyDescent="0.3">
      <c r="A13" s="30" t="s">
        <v>780</v>
      </c>
      <c r="B13" s="30">
        <v>68.569999999999993</v>
      </c>
      <c r="C13" s="31" t="s">
        <v>779</v>
      </c>
    </row>
    <row r="14" spans="1:3" x14ac:dyDescent="0.3">
      <c r="A14" s="28" t="s">
        <v>781</v>
      </c>
      <c r="B14" s="28">
        <v>68.599999999999994</v>
      </c>
      <c r="C14" s="29" t="s">
        <v>779</v>
      </c>
    </row>
    <row r="15" spans="1:3" x14ac:dyDescent="0.3">
      <c r="A15" s="30" t="s">
        <v>782</v>
      </c>
      <c r="B15" s="30">
        <v>67.56</v>
      </c>
      <c r="C15" s="31" t="s">
        <v>783</v>
      </c>
    </row>
    <row r="16" spans="1:3" x14ac:dyDescent="0.3">
      <c r="A16" s="28" t="s">
        <v>784</v>
      </c>
      <c r="B16" s="28" t="s">
        <v>785</v>
      </c>
      <c r="C16" s="29" t="s">
        <v>786</v>
      </c>
    </row>
    <row r="17" spans="1:3" x14ac:dyDescent="0.3">
      <c r="A17" s="30" t="s">
        <v>787</v>
      </c>
      <c r="B17" s="30" t="s">
        <v>788</v>
      </c>
      <c r="C17" s="31" t="s">
        <v>789</v>
      </c>
    </row>
    <row r="18" spans="1:3" x14ac:dyDescent="0.3">
      <c r="A18" s="28" t="s">
        <v>790</v>
      </c>
      <c r="B18" s="28" t="s">
        <v>791</v>
      </c>
      <c r="C18" s="29" t="s">
        <v>792</v>
      </c>
    </row>
    <row r="19" spans="1:3" x14ac:dyDescent="0.3">
      <c r="A19" s="30" t="s">
        <v>793</v>
      </c>
      <c r="B19" s="30" t="s">
        <v>794</v>
      </c>
      <c r="C19" s="31" t="s">
        <v>795</v>
      </c>
    </row>
    <row r="20" spans="1:3" x14ac:dyDescent="0.3">
      <c r="A20" s="28" t="s">
        <v>796</v>
      </c>
      <c r="B20" s="28">
        <v>359</v>
      </c>
      <c r="C20" s="29" t="s">
        <v>313</v>
      </c>
    </row>
    <row r="21" spans="1:3" x14ac:dyDescent="0.3">
      <c r="A21" s="30" t="s">
        <v>797</v>
      </c>
      <c r="B21" s="30">
        <v>22.51</v>
      </c>
      <c r="C21" s="31" t="s">
        <v>798</v>
      </c>
    </row>
    <row r="22" spans="1:3" x14ac:dyDescent="0.3">
      <c r="A22" s="28" t="s">
        <v>799</v>
      </c>
      <c r="B22" s="28">
        <v>0.7016</v>
      </c>
      <c r="C22" s="29" t="s">
        <v>800</v>
      </c>
    </row>
    <row r="23" spans="1:3" x14ac:dyDescent="0.3">
      <c r="A23" s="30" t="s">
        <v>801</v>
      </c>
      <c r="B23" s="30" t="s">
        <v>802</v>
      </c>
      <c r="C23" s="31" t="s">
        <v>803</v>
      </c>
    </row>
    <row r="24" spans="1:3" x14ac:dyDescent="0.3">
      <c r="A24" s="28" t="s">
        <v>804</v>
      </c>
      <c r="B24" s="28" t="s">
        <v>119</v>
      </c>
      <c r="C24" s="29" t="s">
        <v>805</v>
      </c>
    </row>
    <row r="25" spans="1:3" x14ac:dyDescent="0.3">
      <c r="A25" s="30" t="s">
        <v>806</v>
      </c>
      <c r="B25" s="30" t="s">
        <v>807</v>
      </c>
      <c r="C25" s="31" t="s">
        <v>808</v>
      </c>
    </row>
    <row r="26" spans="1:3" x14ac:dyDescent="0.3">
      <c r="A26" s="28" t="s">
        <v>326</v>
      </c>
      <c r="B26" s="28" t="s">
        <v>100</v>
      </c>
      <c r="C26" s="29" t="s">
        <v>809</v>
      </c>
    </row>
    <row r="27" spans="1:3" x14ac:dyDescent="0.3">
      <c r="A27" s="30" t="s">
        <v>810</v>
      </c>
      <c r="B27" s="30" t="s">
        <v>811</v>
      </c>
      <c r="C27" s="31" t="s">
        <v>812</v>
      </c>
    </row>
    <row r="28" spans="1:3" x14ac:dyDescent="0.3">
      <c r="A28" s="28" t="s">
        <v>813</v>
      </c>
      <c r="B28" s="28" t="s">
        <v>814</v>
      </c>
      <c r="C28" s="29" t="s">
        <v>815</v>
      </c>
    </row>
    <row r="29" spans="1:3" x14ac:dyDescent="0.3">
      <c r="A29" s="30" t="s">
        <v>816</v>
      </c>
      <c r="B29" s="30" t="s">
        <v>12</v>
      </c>
      <c r="C29" s="31" t="s">
        <v>817</v>
      </c>
    </row>
    <row r="30" spans="1:3" x14ac:dyDescent="0.3">
      <c r="A30" s="28" t="s">
        <v>818</v>
      </c>
      <c r="B30" s="28" t="s">
        <v>819</v>
      </c>
      <c r="C30" s="29" t="s">
        <v>820</v>
      </c>
    </row>
  </sheetData>
  <mergeCells count="5">
    <mergeCell ref="A1:C1"/>
    <mergeCell ref="A2:C2"/>
    <mergeCell ref="A3:C3"/>
    <mergeCell ref="A4:C4"/>
    <mergeCell ref="A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8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42" customWidth="1"/>
    <col min="3" max="3" width="14" customWidth="1"/>
    <col min="4" max="4" width="16" customWidth="1"/>
    <col min="5" max="5" width="52" customWidth="1"/>
  </cols>
  <sheetData>
    <row r="1" spans="1:5" ht="15.75" customHeight="1" x14ac:dyDescent="0.3">
      <c r="A1" s="32" t="s">
        <v>0</v>
      </c>
      <c r="B1" s="32"/>
      <c r="C1" s="32"/>
      <c r="D1" s="32"/>
      <c r="E1" s="32"/>
    </row>
    <row r="2" spans="1:5" ht="15.75" customHeight="1" x14ac:dyDescent="0.3">
      <c r="A2" s="32" t="s">
        <v>763</v>
      </c>
      <c r="B2" s="32"/>
      <c r="C2" s="32"/>
      <c r="D2" s="32"/>
      <c r="E2" s="32"/>
    </row>
    <row r="3" spans="1:5" ht="15.75" customHeight="1" x14ac:dyDescent="0.3">
      <c r="A3" s="32" t="s">
        <v>764</v>
      </c>
      <c r="B3" s="32"/>
      <c r="C3" s="32"/>
      <c r="D3" s="32"/>
      <c r="E3" s="32"/>
    </row>
    <row r="4" spans="1:5" ht="15.75" customHeight="1" x14ac:dyDescent="0.3">
      <c r="A4" s="33" t="s">
        <v>765</v>
      </c>
      <c r="B4" s="33"/>
      <c r="C4" s="33"/>
      <c r="D4" s="33"/>
      <c r="E4" s="33"/>
    </row>
    <row r="5" spans="1:5" ht="15.75" customHeight="1" x14ac:dyDescent="0.3">
      <c r="A5" s="33" t="s">
        <v>821</v>
      </c>
      <c r="B5" s="33"/>
      <c r="C5" s="33"/>
      <c r="D5" s="33"/>
      <c r="E5" s="33"/>
    </row>
    <row r="7" spans="1:5" x14ac:dyDescent="0.3">
      <c r="A7" s="26" t="s">
        <v>822</v>
      </c>
    </row>
    <row r="8" spans="1:5" ht="30" customHeight="1" x14ac:dyDescent="0.3">
      <c r="A8" s="27" t="s">
        <v>823</v>
      </c>
      <c r="B8" s="27" t="s">
        <v>824</v>
      </c>
      <c r="C8" s="27" t="s">
        <v>825</v>
      </c>
      <c r="D8" s="27" t="s">
        <v>826</v>
      </c>
      <c r="E8" s="27" t="s">
        <v>827</v>
      </c>
    </row>
    <row r="9" spans="1:5" x14ac:dyDescent="0.3">
      <c r="A9" s="28" t="s">
        <v>828</v>
      </c>
      <c r="B9" s="28" t="s">
        <v>829</v>
      </c>
      <c r="C9" s="29">
        <v>83</v>
      </c>
      <c r="D9" s="29">
        <v>56.91</v>
      </c>
      <c r="E9" s="29" t="s">
        <v>830</v>
      </c>
    </row>
    <row r="10" spans="1:5" x14ac:dyDescent="0.3">
      <c r="A10" s="30" t="s">
        <v>831</v>
      </c>
      <c r="B10" s="30" t="s">
        <v>832</v>
      </c>
      <c r="C10" s="31">
        <v>13.2</v>
      </c>
      <c r="D10" s="31">
        <v>9.0500000000000007</v>
      </c>
      <c r="E10" s="31" t="s">
        <v>833</v>
      </c>
    </row>
    <row r="11" spans="1:5" x14ac:dyDescent="0.3">
      <c r="A11" s="28" t="s">
        <v>834</v>
      </c>
      <c r="B11" s="28" t="s">
        <v>835</v>
      </c>
      <c r="C11" s="29">
        <v>3.8</v>
      </c>
      <c r="D11" s="29">
        <v>2.6</v>
      </c>
      <c r="E11" s="29" t="s">
        <v>836</v>
      </c>
    </row>
    <row r="12" spans="1:5" x14ac:dyDescent="0.3">
      <c r="A12" s="30" t="s">
        <v>837</v>
      </c>
      <c r="B12" s="30" t="s">
        <v>838</v>
      </c>
      <c r="C12" s="31">
        <v>0</v>
      </c>
      <c r="D12" s="31">
        <v>0</v>
      </c>
      <c r="E12" s="31" t="s">
        <v>839</v>
      </c>
    </row>
    <row r="13" spans="1:5" x14ac:dyDescent="0.3">
      <c r="A13" s="28" t="s">
        <v>840</v>
      </c>
      <c r="B13" s="28" t="s">
        <v>841</v>
      </c>
      <c r="C13" s="29">
        <v>0</v>
      </c>
      <c r="D13" s="29">
        <v>0</v>
      </c>
      <c r="E13" s="29" t="s">
        <v>839</v>
      </c>
    </row>
    <row r="14" spans="1:5" x14ac:dyDescent="0.3">
      <c r="A14" s="30" t="s">
        <v>842</v>
      </c>
      <c r="B14" s="30" t="s">
        <v>843</v>
      </c>
      <c r="C14" s="31">
        <v>100</v>
      </c>
      <c r="D14" s="31">
        <v>68.569999999999993</v>
      </c>
      <c r="E14" s="31" t="s">
        <v>844</v>
      </c>
    </row>
    <row r="16" spans="1:5" x14ac:dyDescent="0.3">
      <c r="A16" s="26" t="s">
        <v>845</v>
      </c>
    </row>
    <row r="17" spans="1:5" ht="30" customHeight="1" x14ac:dyDescent="0.3">
      <c r="A17" s="27" t="s">
        <v>846</v>
      </c>
      <c r="B17" s="27" t="s">
        <v>824</v>
      </c>
      <c r="C17" s="27" t="s">
        <v>825</v>
      </c>
      <c r="D17" s="27" t="s">
        <v>826</v>
      </c>
      <c r="E17" s="27" t="s">
        <v>827</v>
      </c>
    </row>
    <row r="18" spans="1:5" x14ac:dyDescent="0.3">
      <c r="A18" s="28" t="s">
        <v>847</v>
      </c>
      <c r="B18" s="28" t="s">
        <v>848</v>
      </c>
      <c r="C18" s="29">
        <v>94.03</v>
      </c>
      <c r="D18" s="29">
        <v>64.47</v>
      </c>
      <c r="E18" s="29" t="s">
        <v>849</v>
      </c>
    </row>
    <row r="19" spans="1:5" x14ac:dyDescent="0.3">
      <c r="A19" s="30" t="s">
        <v>850</v>
      </c>
      <c r="B19" s="30" t="s">
        <v>851</v>
      </c>
      <c r="C19" s="31">
        <v>5.94</v>
      </c>
      <c r="D19" s="31">
        <v>4.07</v>
      </c>
      <c r="E19" s="31" t="s">
        <v>852</v>
      </c>
    </row>
    <row r="20" spans="1:5" x14ac:dyDescent="0.3">
      <c r="A20" s="28" t="s">
        <v>853</v>
      </c>
      <c r="B20" s="28" t="s">
        <v>854</v>
      </c>
      <c r="C20" s="29">
        <v>0.03</v>
      </c>
      <c r="D20" s="29">
        <v>0.02</v>
      </c>
      <c r="E20" s="29" t="s">
        <v>855</v>
      </c>
    </row>
    <row r="21" spans="1:5" x14ac:dyDescent="0.3">
      <c r="A21" s="30" t="s">
        <v>856</v>
      </c>
      <c r="B21" s="30" t="s">
        <v>857</v>
      </c>
      <c r="C21" s="31">
        <v>0</v>
      </c>
      <c r="D21" s="31">
        <v>0</v>
      </c>
      <c r="E21" s="31" t="s">
        <v>839</v>
      </c>
    </row>
    <row r="22" spans="1:5" x14ac:dyDescent="0.3">
      <c r="A22" s="28" t="s">
        <v>858</v>
      </c>
      <c r="B22" s="28" t="s">
        <v>859</v>
      </c>
      <c r="C22" s="29">
        <v>0</v>
      </c>
      <c r="D22" s="29">
        <v>0</v>
      </c>
      <c r="E22" s="29" t="s">
        <v>839</v>
      </c>
    </row>
    <row r="23" spans="1:5" x14ac:dyDescent="0.3">
      <c r="A23" s="30" t="s">
        <v>842</v>
      </c>
      <c r="B23" s="30" t="s">
        <v>843</v>
      </c>
      <c r="C23" s="31">
        <v>100</v>
      </c>
      <c r="D23" s="31">
        <v>68.569999999999993</v>
      </c>
      <c r="E23" s="31" t="s">
        <v>844</v>
      </c>
    </row>
    <row r="25" spans="1:5" ht="15" customHeight="1" x14ac:dyDescent="0.3">
      <c r="A25" s="34" t="s">
        <v>860</v>
      </c>
      <c r="B25" s="34"/>
      <c r="C25" s="34"/>
      <c r="D25" s="34"/>
      <c r="E25" s="34"/>
    </row>
    <row r="26" spans="1:5" x14ac:dyDescent="0.3">
      <c r="A26" s="34"/>
      <c r="B26" s="34"/>
      <c r="C26" s="34"/>
      <c r="D26" s="34"/>
      <c r="E26" s="34"/>
    </row>
    <row r="27" spans="1:5" x14ac:dyDescent="0.3">
      <c r="A27" s="34"/>
      <c r="B27" s="34"/>
      <c r="C27" s="34"/>
      <c r="D27" s="34"/>
      <c r="E27" s="34"/>
    </row>
    <row r="28" spans="1:5" x14ac:dyDescent="0.3">
      <c r="A28" s="34"/>
      <c r="B28" s="34"/>
      <c r="C28" s="34"/>
      <c r="D28" s="34"/>
      <c r="E28" s="34"/>
    </row>
  </sheetData>
  <mergeCells count="6">
    <mergeCell ref="A25:E28"/>
    <mergeCell ref="A1:E1"/>
    <mergeCell ref="A2:E2"/>
    <mergeCell ref="A3:E3"/>
    <mergeCell ref="A4:E4"/>
    <mergeCell ref="A5:E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12" customWidth="1"/>
    <col min="3" max="3" width="10" customWidth="1"/>
    <col min="4" max="5" width="12" customWidth="1"/>
    <col min="6" max="6" width="10" customWidth="1"/>
    <col min="7" max="7" width="16" customWidth="1"/>
    <col min="8" max="8" width="62" customWidth="1"/>
  </cols>
  <sheetData>
    <row r="1" spans="1:8" ht="15.75" customHeight="1" x14ac:dyDescent="0.3">
      <c r="A1" s="32" t="s">
        <v>0</v>
      </c>
      <c r="B1" s="32"/>
      <c r="C1" s="32"/>
      <c r="D1" s="32"/>
      <c r="E1" s="32"/>
      <c r="F1" s="32"/>
      <c r="G1" s="32"/>
      <c r="H1" s="32"/>
    </row>
    <row r="2" spans="1:8" ht="15.75" customHeight="1" x14ac:dyDescent="0.3">
      <c r="A2" s="32" t="s">
        <v>763</v>
      </c>
      <c r="B2" s="32"/>
      <c r="C2" s="32"/>
      <c r="D2" s="32"/>
      <c r="E2" s="32"/>
      <c r="F2" s="32"/>
      <c r="G2" s="32"/>
      <c r="H2" s="32"/>
    </row>
    <row r="3" spans="1:8" ht="15.75" customHeight="1" x14ac:dyDescent="0.3">
      <c r="A3" s="32" t="s">
        <v>764</v>
      </c>
      <c r="B3" s="32"/>
      <c r="C3" s="32"/>
      <c r="D3" s="32"/>
      <c r="E3" s="32"/>
      <c r="F3" s="32"/>
      <c r="G3" s="32"/>
      <c r="H3" s="32"/>
    </row>
    <row r="4" spans="1:8" ht="15.75" customHeight="1" x14ac:dyDescent="0.3">
      <c r="A4" s="33" t="s">
        <v>765</v>
      </c>
      <c r="B4" s="33"/>
      <c r="C4" s="33"/>
      <c r="D4" s="33"/>
      <c r="E4" s="33"/>
      <c r="F4" s="33"/>
      <c r="G4" s="33"/>
      <c r="H4" s="33"/>
    </row>
    <row r="5" spans="1:8" ht="15.75" customHeight="1" x14ac:dyDescent="0.3">
      <c r="A5" s="33" t="s">
        <v>861</v>
      </c>
      <c r="B5" s="33"/>
      <c r="C5" s="33"/>
      <c r="D5" s="33"/>
      <c r="E5" s="33"/>
      <c r="F5" s="33"/>
      <c r="G5" s="33"/>
      <c r="H5" s="33"/>
    </row>
    <row r="7" spans="1:8" ht="30" customHeight="1" x14ac:dyDescent="0.3">
      <c r="A7" s="27" t="s">
        <v>862</v>
      </c>
      <c r="B7" s="27" t="s">
        <v>863</v>
      </c>
      <c r="C7" s="27" t="s">
        <v>864</v>
      </c>
      <c r="D7" s="27" t="s">
        <v>865</v>
      </c>
      <c r="E7" s="27" t="s">
        <v>866</v>
      </c>
      <c r="F7" s="27" t="s">
        <v>867</v>
      </c>
      <c r="G7" s="27" t="s">
        <v>868</v>
      </c>
      <c r="H7" s="27" t="s">
        <v>869</v>
      </c>
    </row>
    <row r="8" spans="1:8" ht="26.4" x14ac:dyDescent="0.3">
      <c r="A8" s="28" t="s">
        <v>870</v>
      </c>
      <c r="B8" s="28" t="s">
        <v>871</v>
      </c>
      <c r="C8" s="29" t="s">
        <v>872</v>
      </c>
      <c r="D8" s="29">
        <v>617717</v>
      </c>
      <c r="E8" s="29">
        <v>9450103</v>
      </c>
      <c r="F8" s="29" t="s">
        <v>873</v>
      </c>
      <c r="G8" s="29">
        <v>729</v>
      </c>
      <c r="H8" s="29" t="s">
        <v>874</v>
      </c>
    </row>
    <row r="9" spans="1:8" ht="26.4" x14ac:dyDescent="0.3">
      <c r="A9" s="30" t="s">
        <v>875</v>
      </c>
      <c r="B9" s="30" t="s">
        <v>876</v>
      </c>
      <c r="C9" s="31" t="s">
        <v>877</v>
      </c>
      <c r="D9" s="31">
        <v>619285</v>
      </c>
      <c r="E9" s="31">
        <v>9449167</v>
      </c>
      <c r="F9" s="31" t="s">
        <v>878</v>
      </c>
      <c r="G9" s="31">
        <v>434</v>
      </c>
      <c r="H9" s="31" t="s">
        <v>879</v>
      </c>
    </row>
    <row r="10" spans="1:8" x14ac:dyDescent="0.3">
      <c r="A10" s="28" t="s">
        <v>880</v>
      </c>
      <c r="B10" s="28" t="s">
        <v>876</v>
      </c>
      <c r="C10" s="29" t="s">
        <v>881</v>
      </c>
      <c r="D10" s="29">
        <v>619283</v>
      </c>
      <c r="E10" s="29">
        <v>9449168</v>
      </c>
      <c r="F10" s="29" t="s">
        <v>882</v>
      </c>
      <c r="G10" s="29">
        <v>433</v>
      </c>
      <c r="H10" s="29" t="s">
        <v>883</v>
      </c>
    </row>
    <row r="11" spans="1:8" x14ac:dyDescent="0.3">
      <c r="A11" s="30" t="s">
        <v>884</v>
      </c>
      <c r="B11" s="30" t="s">
        <v>876</v>
      </c>
      <c r="C11" s="31" t="s">
        <v>885</v>
      </c>
      <c r="D11" s="31">
        <v>619298</v>
      </c>
      <c r="E11" s="31">
        <v>9449176</v>
      </c>
      <c r="F11" s="31" t="s">
        <v>886</v>
      </c>
      <c r="G11" s="31">
        <v>448</v>
      </c>
      <c r="H11" s="31" t="s">
        <v>887</v>
      </c>
    </row>
    <row r="12" spans="1:8" x14ac:dyDescent="0.3">
      <c r="A12" s="28" t="s">
        <v>888</v>
      </c>
      <c r="B12" s="28" t="s">
        <v>876</v>
      </c>
      <c r="C12" s="29" t="s">
        <v>889</v>
      </c>
      <c r="D12" s="29">
        <v>619291</v>
      </c>
      <c r="E12" s="29">
        <v>9449184</v>
      </c>
      <c r="F12" s="29" t="s">
        <v>890</v>
      </c>
      <c r="G12" s="29">
        <v>451</v>
      </c>
      <c r="H12" s="29" t="s">
        <v>891</v>
      </c>
    </row>
    <row r="13" spans="1:8" x14ac:dyDescent="0.3">
      <c r="A13" s="30" t="s">
        <v>892</v>
      </c>
      <c r="B13" s="30" t="s">
        <v>876</v>
      </c>
      <c r="C13" s="31" t="s">
        <v>893</v>
      </c>
      <c r="D13" s="31">
        <v>619274</v>
      </c>
      <c r="E13" s="31">
        <v>9449192</v>
      </c>
      <c r="F13" s="31" t="s">
        <v>894</v>
      </c>
      <c r="G13" s="31">
        <v>451</v>
      </c>
      <c r="H13" s="31" t="s">
        <v>895</v>
      </c>
    </row>
    <row r="14" spans="1:8" x14ac:dyDescent="0.3">
      <c r="A14" s="28" t="s">
        <v>896</v>
      </c>
      <c r="B14" s="28" t="s">
        <v>876</v>
      </c>
      <c r="C14" s="29" t="s">
        <v>897</v>
      </c>
      <c r="D14" s="29">
        <v>619273</v>
      </c>
      <c r="E14" s="29">
        <v>9449193</v>
      </c>
      <c r="F14" s="29" t="s">
        <v>898</v>
      </c>
      <c r="G14" s="29">
        <v>451</v>
      </c>
      <c r="H14" s="29" t="s">
        <v>899</v>
      </c>
    </row>
    <row r="15" spans="1:8" x14ac:dyDescent="0.3">
      <c r="A15" s="30" t="s">
        <v>900</v>
      </c>
      <c r="B15" s="30" t="s">
        <v>876</v>
      </c>
      <c r="C15" s="31" t="s">
        <v>901</v>
      </c>
      <c r="D15" s="31">
        <v>619265</v>
      </c>
      <c r="E15" s="31">
        <v>9449198</v>
      </c>
      <c r="F15" s="31" t="s">
        <v>902</v>
      </c>
      <c r="G15" s="31">
        <v>453</v>
      </c>
      <c r="H15" s="31" t="s">
        <v>903</v>
      </c>
    </row>
    <row r="16" spans="1:8" x14ac:dyDescent="0.3">
      <c r="A16" s="28" t="s">
        <v>904</v>
      </c>
      <c r="B16" s="28" t="s">
        <v>876</v>
      </c>
      <c r="C16" s="29" t="s">
        <v>905</v>
      </c>
      <c r="D16" s="29">
        <v>619265</v>
      </c>
      <c r="E16" s="29">
        <v>9449198</v>
      </c>
      <c r="F16" s="29" t="s">
        <v>906</v>
      </c>
      <c r="G16" s="29">
        <v>453</v>
      </c>
      <c r="H16" s="29" t="s">
        <v>907</v>
      </c>
    </row>
    <row r="17" spans="1:8" x14ac:dyDescent="0.3">
      <c r="A17" s="30" t="s">
        <v>908</v>
      </c>
      <c r="B17" s="30" t="s">
        <v>876</v>
      </c>
      <c r="C17" s="31" t="s">
        <v>909</v>
      </c>
      <c r="D17" s="31">
        <v>619248</v>
      </c>
      <c r="E17" s="31">
        <v>9449208</v>
      </c>
      <c r="F17" s="31" t="s">
        <v>910</v>
      </c>
      <c r="G17" s="31">
        <v>455</v>
      </c>
      <c r="H17" s="31" t="s">
        <v>911</v>
      </c>
    </row>
    <row r="18" spans="1:8" x14ac:dyDescent="0.3">
      <c r="A18" s="28" t="s">
        <v>912</v>
      </c>
      <c r="B18" s="28" t="s">
        <v>876</v>
      </c>
      <c r="C18" s="29" t="s">
        <v>913</v>
      </c>
      <c r="D18" s="29">
        <v>619245</v>
      </c>
      <c r="E18" s="29">
        <v>9449212</v>
      </c>
      <c r="F18" s="29" t="s">
        <v>914</v>
      </c>
      <c r="G18" s="29">
        <v>458</v>
      </c>
      <c r="H18" s="29" t="s">
        <v>915</v>
      </c>
    </row>
    <row r="19" spans="1:8" ht="26.4" x14ac:dyDescent="0.3">
      <c r="A19" s="30" t="s">
        <v>916</v>
      </c>
      <c r="B19" s="30" t="s">
        <v>876</v>
      </c>
      <c r="C19" s="31" t="s">
        <v>917</v>
      </c>
      <c r="D19" s="31"/>
      <c r="E19" s="31"/>
      <c r="F19" s="31" t="s">
        <v>918</v>
      </c>
      <c r="G19" s="31"/>
      <c r="H19" s="31" t="s">
        <v>919</v>
      </c>
    </row>
    <row r="20" spans="1:8" x14ac:dyDescent="0.3">
      <c r="A20" s="28" t="s">
        <v>920</v>
      </c>
      <c r="B20" s="28" t="s">
        <v>876</v>
      </c>
      <c r="C20" s="29" t="s">
        <v>921</v>
      </c>
      <c r="D20" s="29">
        <v>619281</v>
      </c>
      <c r="E20" s="29">
        <v>9449192</v>
      </c>
      <c r="F20" s="29" t="s">
        <v>922</v>
      </c>
      <c r="G20" s="29">
        <v>454</v>
      </c>
      <c r="H20" s="29" t="s">
        <v>923</v>
      </c>
    </row>
    <row r="21" spans="1:8" x14ac:dyDescent="0.3">
      <c r="A21" s="30" t="s">
        <v>924</v>
      </c>
      <c r="B21" s="30" t="s">
        <v>876</v>
      </c>
      <c r="C21" s="31" t="s">
        <v>925</v>
      </c>
      <c r="D21" s="31">
        <v>619278</v>
      </c>
      <c r="E21" s="31">
        <v>9449154</v>
      </c>
      <c r="F21" s="31" t="s">
        <v>926</v>
      </c>
      <c r="G21" s="31">
        <v>419</v>
      </c>
      <c r="H21" s="31" t="s">
        <v>927</v>
      </c>
    </row>
    <row r="23" spans="1:8" ht="15" customHeight="1" x14ac:dyDescent="0.3">
      <c r="A23" s="34" t="s">
        <v>928</v>
      </c>
      <c r="B23" s="34"/>
      <c r="C23" s="34"/>
      <c r="D23" s="34"/>
      <c r="E23" s="34"/>
      <c r="F23" s="34"/>
      <c r="G23" s="34"/>
      <c r="H23" s="34"/>
    </row>
    <row r="24" spans="1:8" x14ac:dyDescent="0.3">
      <c r="A24" s="34"/>
      <c r="B24" s="34"/>
      <c r="C24" s="34"/>
      <c r="D24" s="34"/>
      <c r="E24" s="34"/>
      <c r="F24" s="34"/>
      <c r="G24" s="34"/>
      <c r="H24" s="34"/>
    </row>
    <row r="25" spans="1:8" x14ac:dyDescent="0.3">
      <c r="A25" s="34"/>
      <c r="B25" s="34"/>
      <c r="C25" s="34"/>
      <c r="D25" s="34"/>
      <c r="E25" s="34"/>
      <c r="F25" s="34"/>
      <c r="G25" s="34"/>
      <c r="H25" s="34"/>
    </row>
  </sheetData>
  <mergeCells count="6">
    <mergeCell ref="A23:H25"/>
    <mergeCell ref="A1:H1"/>
    <mergeCell ref="A2:H2"/>
    <mergeCell ref="A3:H3"/>
    <mergeCell ref="A4:H4"/>
    <mergeCell ref="A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showGridLines="0" zoomScaleNormal="100" workbookViewId="0">
      <pane ySplit="7" topLeftCell="A8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28" customWidth="1"/>
    <col min="4" max="5" width="12" customWidth="1"/>
    <col min="6" max="6" width="16" customWidth="1"/>
    <col min="7" max="7" width="13" customWidth="1"/>
    <col min="8" max="8" width="16" customWidth="1"/>
  </cols>
  <sheetData>
    <row r="1" spans="1:8" ht="15.75" customHeight="1" x14ac:dyDescent="0.3">
      <c r="A1" s="32" t="s">
        <v>0</v>
      </c>
      <c r="B1" s="32"/>
      <c r="C1" s="32"/>
      <c r="D1" s="32"/>
      <c r="E1" s="32"/>
      <c r="F1" s="32"/>
      <c r="G1" s="32"/>
    </row>
    <row r="2" spans="1:8" ht="15.75" customHeight="1" x14ac:dyDescent="0.3">
      <c r="A2" s="32" t="s">
        <v>763</v>
      </c>
      <c r="B2" s="32"/>
      <c r="C2" s="32"/>
      <c r="D2" s="32"/>
      <c r="E2" s="32"/>
      <c r="F2" s="32"/>
      <c r="G2" s="32"/>
    </row>
    <row r="3" spans="1:8" ht="15.75" customHeight="1" x14ac:dyDescent="0.3">
      <c r="A3" s="32" t="s">
        <v>764</v>
      </c>
      <c r="B3" s="32"/>
      <c r="C3" s="32"/>
      <c r="D3" s="32"/>
      <c r="E3" s="32"/>
      <c r="F3" s="32"/>
      <c r="G3" s="32"/>
    </row>
    <row r="4" spans="1:8" ht="15.75" customHeight="1" x14ac:dyDescent="0.3">
      <c r="A4" s="33" t="s">
        <v>765</v>
      </c>
      <c r="B4" s="33"/>
      <c r="C4" s="33"/>
      <c r="D4" s="33"/>
      <c r="E4" s="33"/>
      <c r="F4" s="33"/>
      <c r="G4" s="33"/>
    </row>
    <row r="5" spans="1:8" ht="15.75" customHeight="1" x14ac:dyDescent="0.3">
      <c r="A5" s="33" t="s">
        <v>929</v>
      </c>
      <c r="B5" s="33"/>
      <c r="C5" s="33"/>
      <c r="D5" s="33"/>
      <c r="E5" s="33"/>
      <c r="F5" s="33"/>
      <c r="G5" s="33"/>
    </row>
    <row r="7" spans="1:8" ht="30" customHeight="1" x14ac:dyDescent="0.3">
      <c r="A7" s="27" t="s">
        <v>930</v>
      </c>
      <c r="B7" s="27" t="s">
        <v>931</v>
      </c>
      <c r="C7" s="27" t="s">
        <v>932</v>
      </c>
      <c r="D7" s="27" t="s">
        <v>933</v>
      </c>
      <c r="E7" s="27" t="s">
        <v>934</v>
      </c>
      <c r="F7" s="27" t="s">
        <v>57</v>
      </c>
      <c r="G7" s="27" t="s">
        <v>935</v>
      </c>
      <c r="H7" s="27" t="s">
        <v>936</v>
      </c>
    </row>
    <row r="8" spans="1:8" x14ac:dyDescent="0.3">
      <c r="A8" s="28" t="s">
        <v>16</v>
      </c>
      <c r="B8" s="28" t="s">
        <v>937</v>
      </c>
      <c r="C8" s="29" t="s">
        <v>27</v>
      </c>
      <c r="D8" s="29">
        <v>68.569000000000003</v>
      </c>
      <c r="E8" s="29">
        <v>0.7016</v>
      </c>
      <c r="F8" s="29" t="s">
        <v>938</v>
      </c>
      <c r="G8" s="29">
        <v>359</v>
      </c>
      <c r="H8" s="29">
        <v>22.51</v>
      </c>
    </row>
    <row r="9" spans="1:8" x14ac:dyDescent="0.3">
      <c r="A9" s="30" t="s">
        <v>402</v>
      </c>
      <c r="B9" s="30" t="s">
        <v>937</v>
      </c>
      <c r="C9" s="31" t="s">
        <v>939</v>
      </c>
      <c r="D9" s="31">
        <v>77.665999999999997</v>
      </c>
      <c r="E9" s="31">
        <v>0.67769999999999997</v>
      </c>
      <c r="F9" s="31" t="s">
        <v>940</v>
      </c>
      <c r="G9" s="31">
        <v>428</v>
      </c>
      <c r="H9" s="31">
        <v>27.27</v>
      </c>
    </row>
    <row r="10" spans="1:8" x14ac:dyDescent="0.3">
      <c r="A10" s="28" t="s">
        <v>408</v>
      </c>
      <c r="B10" s="28" t="s">
        <v>941</v>
      </c>
      <c r="C10" s="29" t="s">
        <v>843</v>
      </c>
      <c r="D10" s="29">
        <v>100.514</v>
      </c>
      <c r="E10" s="29">
        <v>0.67110000000000003</v>
      </c>
      <c r="F10" s="29" t="s">
        <v>942</v>
      </c>
      <c r="G10" s="29">
        <v>618</v>
      </c>
      <c r="H10" s="29">
        <v>28.99</v>
      </c>
    </row>
    <row r="11" spans="1:8" x14ac:dyDescent="0.3">
      <c r="A11" s="30" t="s">
        <v>842</v>
      </c>
      <c r="B11" s="30" t="s">
        <v>843</v>
      </c>
      <c r="C11" s="31" t="s">
        <v>843</v>
      </c>
      <c r="D11" s="31">
        <v>246.749</v>
      </c>
      <c r="E11" s="31"/>
      <c r="F11" s="31" t="s">
        <v>843</v>
      </c>
      <c r="G11" s="31"/>
      <c r="H11" s="31"/>
    </row>
    <row r="13" spans="1:8" ht="15" customHeight="1" x14ac:dyDescent="0.3">
      <c r="A13" s="34" t="s">
        <v>943</v>
      </c>
      <c r="B13" s="34"/>
      <c r="C13" s="34"/>
      <c r="D13" s="34"/>
      <c r="E13" s="34"/>
      <c r="F13" s="34"/>
      <c r="G13" s="34"/>
    </row>
    <row r="14" spans="1:8" x14ac:dyDescent="0.3">
      <c r="A14" s="34"/>
      <c r="B14" s="34"/>
      <c r="C14" s="34"/>
      <c r="D14" s="34"/>
      <c r="E14" s="34"/>
      <c r="F14" s="34"/>
      <c r="G14" s="34"/>
    </row>
    <row r="15" spans="1:8" x14ac:dyDescent="0.3">
      <c r="A15" s="34"/>
      <c r="B15" s="34"/>
      <c r="C15" s="34"/>
      <c r="D15" s="34"/>
      <c r="E15" s="34"/>
      <c r="F15" s="34"/>
      <c r="G15" s="34"/>
    </row>
    <row r="16" spans="1:8" x14ac:dyDescent="0.3">
      <c r="A16" s="34"/>
      <c r="B16" s="34"/>
      <c r="C16" s="34"/>
      <c r="D16" s="34"/>
      <c r="E16" s="34"/>
      <c r="F16" s="34"/>
      <c r="G16" s="34"/>
    </row>
  </sheetData>
  <mergeCells count="6">
    <mergeCell ref="A13:G16"/>
    <mergeCell ref="A1:G1"/>
    <mergeCell ref="A2:G2"/>
    <mergeCell ref="A3:G3"/>
    <mergeCell ref="A4:G4"/>
    <mergeCell ref="A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44</vt:i4>
      </vt:variant>
    </vt:vector>
  </HeadingPairs>
  <TitlesOfParts>
    <vt:vector size="55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Resumen Bloque</vt:lpstr>
      <vt:lpstr>Cobertura MSAVI-NDVI</vt:lpstr>
      <vt:lpstr>Estaciones fotográficas</vt:lpstr>
      <vt:lpstr>Microcuenca C1096-Q9564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2026-09-05T16:41:08Z</dcterms:modified>
  <dc:language>en-US</dc:language>
</cp:coreProperties>
</file>