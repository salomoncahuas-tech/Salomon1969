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ell\Downloads\DIAGNOSTICO BLOQUE 9\"/>
    </mc:Choice>
  </mc:AlternateContent>
  <xr:revisionPtr revIDLastSave="0" documentId="13_ncr:1_{40B9983C-FBCC-4354-86D3-46F0FBDD140B}" xr6:coauthVersionLast="47" xr6:coauthVersionMax="47" xr10:uidLastSave="{00000000-0000-0000-0000-000000000000}"/>
  <bookViews>
    <workbookView xWindow="-108" yWindow="-108" windowWidth="23256" windowHeight="12456" tabRatio="500" activeTab="5" xr2:uid="{00000000-000D-0000-FFFF-FFFF00000000}"/>
  </bookViews>
  <sheets>
    <sheet name="Resumen" sheetId="1" r:id="rId1"/>
    <sheet name="F-DT-01" sheetId="2" r:id="rId2"/>
    <sheet name="F-DT-02" sheetId="3" r:id="rId3"/>
    <sheet name="F-DT-03" sheetId="4" r:id="rId4"/>
    <sheet name="F-DT-04" sheetId="5" r:id="rId5"/>
    <sheet name="F-DT-05" sheetId="6" r:id="rId6"/>
    <sheet name="Cobertura MSAVI-NDVI" sheetId="7" r:id="rId7"/>
    <sheet name="Control de consistencia" sheetId="8" r:id="rId8"/>
    <sheet name="Bloques V4" sheetId="9" r:id="rId9"/>
    <sheet name="_Listas" sheetId="10" r:id="rId10"/>
  </sheets>
  <definedNames>
    <definedName name="lst_Abundancia">_Listas!$U$4:$U$8</definedName>
    <definedName name="lst_CalidadAgua">_Listas!$AD$4:$AD$8</definedName>
    <definedName name="lst_CategoriaIndicadora">_Listas!$V$4:$V$9</definedName>
    <definedName name="lst_CausaCarcava">_Listas!$I$4:$I$12</definedName>
    <definedName name="lst_CodigoBloque">'Bloques V4'!$A$2:$A$128</definedName>
    <definedName name="lst_EstadoCarcava">_Listas!$H$4:$H$8</definedName>
    <definedName name="lst_EstadoConservacion">_Listas!$M$4:$M$9</definedName>
    <definedName name="lst_EstadoSanitario">_Listas!$P$4:$P$9</definedName>
    <definedName name="lst_EstadoUICN">_Listas!$W$4:$W$13</definedName>
    <definedName name="lst_Estrato">_Listas!$S$4:$S$11</definedName>
    <definedName name="lst_Exposicion">_Listas!$D$4:$D$12</definedName>
    <definedName name="lst_Fenologia">_Listas!$Q$4:$Q$8</definedName>
    <definedName name="lst_FormaTerreno">_Listas!$A$4:$A$8</definedName>
    <definedName name="lst_Intensidad">_Listas!$X$4:$X$8</definedName>
    <definedName name="lst_ModalidadAcceso">_Listas!$AE$4:$AE$9</definedName>
    <definedName name="lst_NivelErosion">_Listas!$F$4:$F$9</definedName>
    <definedName name="lst_NivelInd">_Listas!$Y$4:$Y$6</definedName>
    <definedName name="lst_NivelTransitabilidad">_Listas!$AG$4:$AG$6</definedName>
    <definedName name="lst_Operador">_Listas!$AI$4:$AI$9</definedName>
    <definedName name="lst_Origen">_Listas!$T$4:$T$7</definedName>
    <definedName name="lst_PatronCarcavas">_Listas!$J$4:$J$8</definedName>
    <definedName name="lst_PosicionFisio">_Listas!$C$4:$C$12</definedName>
    <definedName name="lst_RangoAltitud">_Listas!$E$4:$E$10</definedName>
    <definedName name="lst_RangoPendiente">_Listas!$B$4:$B$9</definedName>
    <definedName name="lst_Regeneracion">_Listas!$O$4:$O$7</definedName>
    <definedName name="lst_RegimenHidrico">_Listas!$AC$4:$AC$8</definedName>
    <definedName name="lst_Reversibilidad">_Listas!$AA$4:$AA$7</definedName>
    <definedName name="lst_SenalCelular">_Listas!$AH$4:$AH$7</definedName>
    <definedName name="lst_SiNo">_Listas!$AJ$4:$AJ$5</definedName>
    <definedName name="lst_SiNoNA">_Listas!$AK$4:$AK$6</definedName>
    <definedName name="lst_TipoCarcava">_Listas!$G$4:$G$8</definedName>
    <definedName name="lst_TipoCobertura">_Listas!$R$4:$R$14</definedName>
    <definedName name="lst_TipoEcosistema">_Listas!$L$4:$L$16</definedName>
    <definedName name="lst_TipoFuente">_Listas!$AB$4:$AB$13</definedName>
    <definedName name="lst_TipoVia">_Listas!$AF$4:$AF$10</definedName>
    <definedName name="lst_Urgencia">_Listas!$K$4:$K$7</definedName>
    <definedName name="lst_UsoSueloDom">_Listas!$N$4:$N$12</definedName>
    <definedName name="lst_Velocidad">_Listas!$Z$4:$Z$8</definedName>
    <definedName name="tbl_Bloques">'Bloques V4'!$A$2:$H$128</definedName>
    <definedName name="_xlnm.Print_Titles" localSheetId="1">'F-DT-01'!$1:$6</definedName>
    <definedName name="_xlnm.Print_Titles" localSheetId="2">'F-DT-02'!$1:$6</definedName>
    <definedName name="_xlnm.Print_Titles" localSheetId="3">'F-DT-03'!$1:$6</definedName>
    <definedName name="_xlnm.Print_Titles" localSheetId="4">'F-DT-04'!$1:$6</definedName>
    <definedName name="_xlnm.Print_Titles" localSheetId="5">'F-DT-05'!$1:$6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7" l="1"/>
  <c r="B15" i="7"/>
  <c r="H14" i="7"/>
  <c r="C14" i="7"/>
  <c r="H13" i="7"/>
  <c r="C13" i="7"/>
  <c r="H12" i="7"/>
  <c r="C12" i="7"/>
  <c r="H11" i="7"/>
  <c r="C11" i="7"/>
  <c r="H10" i="7"/>
  <c r="H15" i="7" s="1"/>
  <c r="C10" i="7"/>
  <c r="C15" i="7" s="1"/>
  <c r="G10" i="6"/>
  <c r="C10" i="6"/>
  <c r="G9" i="6"/>
  <c r="C11" i="5"/>
  <c r="C10" i="4"/>
  <c r="G9" i="4"/>
  <c r="D10" i="3"/>
  <c r="J9" i="3"/>
  <c r="F12" i="2"/>
  <c r="B12" i="2"/>
  <c r="F11" i="2"/>
  <c r="B11" i="2"/>
  <c r="F10" i="2"/>
</calcChain>
</file>

<file path=xl/sharedStrings.xml><?xml version="1.0" encoding="utf-8"?>
<sst xmlns="http://schemas.openxmlformats.org/spreadsheetml/2006/main" count="1545" uniqueCount="865">
  <si>
    <t>AUTORIDAD NACIONAL DE INFRAESTRUCTURA - ANIN</t>
  </si>
  <si>
    <t>DIRECCIÓN DE INTERVENCIONES MULTISECTORIALES Y DE EMERGENCIA - DIME</t>
  </si>
  <si>
    <t>SUBDIRECCIÓN DE ESTUDIOS DE INVERSIÓN - SESDI</t>
  </si>
  <si>
    <t>PROYECTO IN PIURA  |  CUI 2669244  |  Recuperación del servicio de regulación de riesgos naturales y de ecosistemas degradados - Cuenca Alta del Río Piura</t>
  </si>
  <si>
    <t>FICHA RESUMEN DEL BLOQUE PRELIMINAR DE INTERVENCIÓN 9</t>
  </si>
  <si>
    <t>Diagnóstico Territorial - Plantilla DT Campo Check Validada V5 | Sistema de referencia: UTM WGS 84 Zona 17S (EPSG:32717)</t>
  </si>
  <si>
    <t>1. IDENTIFICACIÓN Y LOCALIZACIÓN</t>
  </si>
  <si>
    <t>Código del bloque</t>
  </si>
  <si>
    <t>9</t>
  </si>
  <si>
    <t>Rótulo cartográfico</t>
  </si>
  <si>
    <t>B4_2</t>
  </si>
  <si>
    <t>Microcuenca</t>
  </si>
  <si>
    <t>C1076-Q9586</t>
  </si>
  <si>
    <t>Zona de planificación</t>
  </si>
  <si>
    <t>Z12</t>
  </si>
  <si>
    <t>Departamento</t>
  </si>
  <si>
    <t>Piura</t>
  </si>
  <si>
    <t>Provincia</t>
  </si>
  <si>
    <t>Huancabamba</t>
  </si>
  <si>
    <t>Distrito</t>
  </si>
  <si>
    <t>San Miguel de El Faique</t>
  </si>
  <si>
    <t>Centro poblado asociado</t>
  </si>
  <si>
    <t>San Miguel de El Faique / sector La Unión</t>
  </si>
  <si>
    <t>Superficie oficial (ha)</t>
  </si>
  <si>
    <t>Fuente de superficie</t>
  </si>
  <si>
    <t>Catálogo maestro Bloques V4/V5</t>
  </si>
  <si>
    <t>Centroide UTM ESTE (m)</t>
  </si>
  <si>
    <t>Centroide UTM NORTE (m)</t>
  </si>
  <si>
    <t>Sistema de coordenadas</t>
  </si>
  <si>
    <t>UTM WGS 84 Zona 17S (EPSG:32717)</t>
  </si>
  <si>
    <t>Altitud GPS de referencia (msnm)</t>
  </si>
  <si>
    <t>Altitud mínima sobre MDE (msnm)</t>
  </si>
  <si>
    <t>Altitud máxima sobre MDE (msnm)</t>
  </si>
  <si>
    <t>2. RESPONSABLE Y MODALIDAD DE LA EVALUACIÓN</t>
  </si>
  <si>
    <t>Responsable de la evaluación</t>
  </si>
  <si>
    <t>Ing. Pedro Talledo Hernández</t>
  </si>
  <si>
    <t>Fecha de evaluación</t>
  </si>
  <si>
    <t>11 de agosto de 2026</t>
  </si>
  <si>
    <t>Entidad</t>
  </si>
  <si>
    <t>ANIN - DIME - SESDI</t>
  </si>
  <si>
    <t>Fase del estudio</t>
  </si>
  <si>
    <t>Preinversión (Perfil)</t>
  </si>
  <si>
    <t>Instrumento aplicado</t>
  </si>
  <si>
    <t>Fichas F-DT-01 a F-DT-05 (Plantilla V5)</t>
  </si>
  <si>
    <t>Parcela de muestreo</t>
  </si>
  <si>
    <t>P-01 (20 x 20 m)</t>
  </si>
  <si>
    <t>3. SÍNTESIS BIOFÍSICA Y DE ESTADO</t>
  </si>
  <si>
    <t>Forma predominante del terreno</t>
  </si>
  <si>
    <t>Montañoso</t>
  </si>
  <si>
    <t>Rango de pendiente dominante</t>
  </si>
  <si>
    <t>50-75% (Escarpado)</t>
  </si>
  <si>
    <t>Pendiente promedio de parcela (%)</t>
  </si>
  <si>
    <t>Area con pendiente &gt; 50% (%)</t>
  </si>
  <si>
    <t>Tipo de ecosistema (UP)</t>
  </si>
  <si>
    <t>Matorral Andino subhúmedo</t>
  </si>
  <si>
    <t>Estado de conservación</t>
  </si>
  <si>
    <t>Medianamente alterado</t>
  </si>
  <si>
    <t>Descriptor del ecosistema</t>
  </si>
  <si>
    <t>Matorral Andino subhúmedo, con relictos arbóreos en vaguadas y mosaico agroforestal  (corregido por analogía con el Bloque 73)</t>
  </si>
  <si>
    <t>Elenco florístico</t>
  </si>
  <si>
    <t>11 taxones — ver F-DT-03, columna J para la fuente de cada registro</t>
  </si>
  <si>
    <t>Cobertura vegetal - campo (%)</t>
  </si>
  <si>
    <t>Suelo desnudo - campo (%)</t>
  </si>
  <si>
    <t>MSAVI 2024 - clase modal</t>
  </si>
  <si>
    <t>0.4976 - 0.6139</t>
  </si>
  <si>
    <t>NDVI 2025 - clase modal</t>
  </si>
  <si>
    <t>Vegetación alta</t>
  </si>
  <si>
    <t>Nivel general de erosión</t>
  </si>
  <si>
    <t>Moderada (surcos)</t>
  </si>
  <si>
    <t>Urgencia de intervención</t>
  </si>
  <si>
    <t>Alta</t>
  </si>
  <si>
    <t>Peligro integrado (MCA-AHP)</t>
  </si>
  <si>
    <t>No disponible en los insumos; debe tomarse del modelamiento de mesolocalización</t>
  </si>
  <si>
    <t>Prioridad de intervención</t>
  </si>
  <si>
    <t>ALTA (propuesta)</t>
  </si>
  <si>
    <t>4. CONTENIDO DEL LIBRO</t>
  </si>
  <si>
    <t>F-DT-01</t>
  </si>
  <si>
    <t>Datos generales y fisiografía del bloque</t>
  </si>
  <si>
    <t>F-DT-02</t>
  </si>
  <si>
    <t>Suelo y procesos erosivos (incl. inventario de cárcavas)</t>
  </si>
  <si>
    <t>F-DT-03</t>
  </si>
  <si>
    <t>Ecosistema: composición, estructura y valor ecológico</t>
  </si>
  <si>
    <t>F-DT-04</t>
  </si>
  <si>
    <t>Causas e indicadores de degradación del ecosistema</t>
  </si>
  <si>
    <t>F-DT-05</t>
  </si>
  <si>
    <t>Recursos hídricos y accesibilidad</t>
  </si>
  <si>
    <t>Cobertura MSAVI-NDVI</t>
  </si>
  <si>
    <t>Distribución areal de clases espectrales (estimación sobre plano temático)</t>
  </si>
  <si>
    <t>Control de consistencia</t>
  </si>
  <si>
    <t>Discrepancias detectadas entre campo, gabinete y catálogo</t>
  </si>
  <si>
    <t>Bloques V4</t>
  </si>
  <si>
    <t>Catalogo maestro de bloques (tbl_Bloques) - NO MODIFICAR</t>
  </si>
  <si>
    <t>_Listas</t>
  </si>
  <si>
    <t>Dominios de validación del formato V5 - NO MODIFICAR</t>
  </si>
  <si>
    <t>Declaración de integridad de datos: ningún valor ausente ha sido estimado o inferido sin declararlo. Los campos que no pudieron sustentarse en observación de campo, imagen satelital o catálogo oficial se consignan como "Por registrar" o "Por verificar". Los porcentajes de clases MSAVI y NDVI son estimaciónes areales sobre mapa temático, pendientes de confirmación mediante estadística zonal sobre el ráster. Las discrepancias detectadas se listan en la hoja "Control de consistencia".</t>
  </si>
  <si>
    <t>AUTORIDAD NACIONAL DE INFRAESTRUCTURA — ANIN</t>
  </si>
  <si>
    <t>DIME — Dirección de Intervenciones Multisectoriales y de Emergencia  |  SESDI — Subdirección de Estudios de Inversión</t>
  </si>
  <si>
    <t>PROYECTO IN PIURA  |  CUI 2669244  |  Recuperación de servicios de regulación de riesgos naturales y regulación hídrica — Cuenca Alta del Río Piura</t>
  </si>
  <si>
    <t>F-DT-01: DATOS GENERALES Y FISIOGRAFÍA DEL BLOQUE</t>
  </si>
  <si>
    <t>Identificación del bloque e inventario rápido de parámetros fisiográficos observados a escala del bloque. Base para todos los formatos F-DT siguientes.</t>
  </si>
  <si>
    <t>★ Campos obligatorios marcados con *  |  Celdas naranjas = ingreso manual  |  Celdas grises = autocalculadas (NO modificar)  |  Despliegue las flechas para elegir opciones de las listas.</t>
  </si>
  <si>
    <t>1. DATOS GENERALES Y LOCALIZACIÓN</t>
  </si>
  <si>
    <t>Fecha (dd-mm-aaaa) *</t>
  </si>
  <si>
    <t>Hora de registro</t>
  </si>
  <si>
    <t>Por registrar</t>
  </si>
  <si>
    <t>Brigada / Responsable *</t>
  </si>
  <si>
    <t>Ficha N° (correlativo)</t>
  </si>
  <si>
    <t>F-DT-09-01</t>
  </si>
  <si>
    <t>Código del Bloque *</t>
  </si>
  <si>
    <t>Código de Microcuenca</t>
  </si>
  <si>
    <t>Provincia (auto)</t>
  </si>
  <si>
    <t>Distrito (auto)</t>
  </si>
  <si>
    <t>Zona del bloque (auto)</t>
  </si>
  <si>
    <t>Área del bloque (ha) — auto</t>
  </si>
  <si>
    <t>UTM ESTE punto de muestreo (m) *</t>
  </si>
  <si>
    <t>UTM NORTE punto de muestreo (m) *</t>
  </si>
  <si>
    <t>Altitud GPS (msnm) *</t>
  </si>
  <si>
    <t>Centro poblado más cercano</t>
  </si>
  <si>
    <t>San Miguel de El Faique (sector La Unión)</t>
  </si>
  <si>
    <t>Comunidad Campesina (si aplica)</t>
  </si>
  <si>
    <t>2. CARACTERIZACIÓN FISIOGRÁFICA DEL BLOQUE</t>
  </si>
  <si>
    <t>Forma predominante del terreno *</t>
  </si>
  <si>
    <t>Rango de pendiente dominante *</t>
  </si>
  <si>
    <t>Posición fisiográfica *</t>
  </si>
  <si>
    <t>Ladera media</t>
  </si>
  <si>
    <t>Exposición / Orientación dominante *</t>
  </si>
  <si>
    <t>Cima (sin dom.)</t>
  </si>
  <si>
    <t>Rango altitudinal del bloque *</t>
  </si>
  <si>
    <t>1500-2000 m (Quechua media)</t>
  </si>
  <si>
    <t>Paisaje dominante (descripción libre)</t>
  </si>
  <si>
    <t>Montaña con vertiente montañosa empinada a escarpada, sobre geología plutónica (Granodiorita de la Unidad Carrizal).</t>
  </si>
  <si>
    <t>3. INDICIOS DE REMOCIÓN EN MASA E INESTABILIDAD</t>
  </si>
  <si>
    <t>Presencia de afloramientos rocosos</t>
  </si>
  <si>
    <t>Sí</t>
  </si>
  <si>
    <t>Presencia de escarpes activos *</t>
  </si>
  <si>
    <t>No</t>
  </si>
  <si>
    <t>¿Reptación de suelo observada? *</t>
  </si>
  <si>
    <t>¿Deslizamientos antiguos observados?</t>
  </si>
  <si>
    <t>¿Remociones en masa activas? *</t>
  </si>
  <si>
    <t>OBSERVACIONES</t>
  </si>
  <si>
    <t>Bloque con predominio de pendientes muy fuertes (&gt;27° en el 93% del área), lo que lo hace altamente susceptible a procesos erosivos si se pierde la cobertura vegetal.</t>
  </si>
  <si>
    <t>F-DT-02: SUELO Y PROCESOS EROSIVOS (INCL. INVENTARIO DE CÁRCAVAS)</t>
  </si>
  <si>
    <t>Caracterización de procesos erosivos del suelo a escala de bloque + inventario georreferenciado de cárcavas/surcos. Insumo para diseño de obras de control de erosión.</t>
  </si>
  <si>
    <t>1. DATOS GENERALES</t>
  </si>
  <si>
    <t>Responsable *</t>
  </si>
  <si>
    <t>Código de Microcuenca (auto)</t>
  </si>
  <si>
    <t>Altitud (msnm)</t>
  </si>
  <si>
    <t>UTM ESTE punto de muestreo *</t>
  </si>
  <si>
    <t>UTM NORTE punto de muestreo *</t>
  </si>
  <si>
    <t>2. DESCRIPCIÓN DE PROCESOS EROSIVOS DEL SUELO</t>
  </si>
  <si>
    <t>Sellamiento / Costra superficial</t>
  </si>
  <si>
    <t>¿Compactación por pisoteo de ganado?</t>
  </si>
  <si>
    <t>¿Raíces expuestas en superficie?</t>
  </si>
  <si>
    <t>Nivel general de erosión observado *</t>
  </si>
  <si>
    <t>3. INVENTARIO GEORREFERENCIADO DE CÁRCAVAS / SURCOS</t>
  </si>
  <si>
    <t>Registre una fila por cárcava o grupo de surcos homogéneos. Use los desplegables en columnas Tipo, Estado y Causa principal.</t>
  </si>
  <si>
    <t>Código
cárcava</t>
  </si>
  <si>
    <t>Tipo</t>
  </si>
  <si>
    <t>UTM ESTE
(inicio)</t>
  </si>
  <si>
    <t>UTM NORTE
(inicio)</t>
  </si>
  <si>
    <t>UTM ESTE
(fin)</t>
  </si>
  <si>
    <t>UTM NORTE
(fin)</t>
  </si>
  <si>
    <t>Long.
(m)</t>
  </si>
  <si>
    <t>Prof.
med. (m)</t>
  </si>
  <si>
    <t>Ancho
med. (m)</t>
  </si>
  <si>
    <t>Estado /
Actividad</t>
  </si>
  <si>
    <t>Causa
principal</t>
  </si>
  <si>
    <t>Cód.
Fotografía</t>
  </si>
  <si>
    <t>4. SÍNTESIS DE PROCESOS EROSIVOS DEL BLOQUE</t>
  </si>
  <si>
    <t>Nivel general de erosión (síntesis) *</t>
  </si>
  <si>
    <t>N° total de cárcavas registradas</t>
  </si>
  <si>
    <t>Longitud total de cárcavas (m)</t>
  </si>
  <si>
    <t>% del bloque afectado por cárcavas</t>
  </si>
  <si>
    <t>Erosión laminar observada (%)</t>
  </si>
  <si>
    <t>Patrón de cárcavas dominante</t>
  </si>
  <si>
    <t>No aplica</t>
  </si>
  <si>
    <t>Presencia de socavamiento de cauce</t>
  </si>
  <si>
    <t>Urgencia de control</t>
  </si>
  <si>
    <t>No se registraron cárcavas activas de gran magnitud, pero la erosión laminar y en surcos es evidente en las zonas de cultivo en pendiente.</t>
  </si>
  <si>
    <t>F-DT-03: ECOSISTEMA: COMPOSICIÓN, ESTRUCTURA Y VALOR ECOLÓGICO</t>
  </si>
  <si>
    <t>Caracterización ecológica del bloque: tipo de ecosistema, estado de conservación, estructura vertical, composición florística rápida y registro de especies clave/indicadoras.</t>
  </si>
  <si>
    <t>Fecha *</t>
  </si>
  <si>
    <t>Microcuenca (auto)</t>
  </si>
  <si>
    <t>P-01</t>
  </si>
  <si>
    <t>Dimensiones de parcela (m × m)</t>
  </si>
  <si>
    <t>20x20</t>
  </si>
  <si>
    <t>Pendiente promedio de la parcela (%)</t>
  </si>
  <si>
    <t>Cobertura vegetal total estimada (%) *</t>
  </si>
  <si>
    <t>UTM ESTE esquina inferior *</t>
  </si>
  <si>
    <t>UTM NORTE esquina inferior *</t>
  </si>
  <si>
    <t>2. CLASIFICACIÓN DEL ECOSISTEMA (UP)</t>
  </si>
  <si>
    <t>Tipo de ecosistema MINAM (dominante) *</t>
  </si>
  <si>
    <t>Superficie del ecosistema en el bloque (ha)</t>
  </si>
  <si>
    <t>Estado de conservación general *</t>
  </si>
  <si>
    <t>Uso actual dominante del suelo *</t>
  </si>
  <si>
    <t>Agricultura secano</t>
  </si>
  <si>
    <t>3. ESTRUCTURA DEL ECOSISTEMA</t>
  </si>
  <si>
    <t>Cobertura del dosel arbóreo (%)</t>
  </si>
  <si>
    <t>Cobertura arbustiva (%)</t>
  </si>
  <si>
    <t>Cobertura herbácea-graminoide (%)</t>
  </si>
  <si>
    <t>Cobertura de hojarasca (%)</t>
  </si>
  <si>
    <t>Cobertura de suelo desnudo (%)</t>
  </si>
  <si>
    <t>Altura promedio estrato dominante (m)</t>
  </si>
  <si>
    <t>Altura máxima observada (m)</t>
  </si>
  <si>
    <t>DAP promedio árboles DAP≥10 cm (cm)</t>
  </si>
  <si>
    <t>Regeneración natural observada *</t>
  </si>
  <si>
    <t>Escasa (&lt;10 pl./100m²)</t>
  </si>
  <si>
    <t>Estado sanitario general del dosel *</t>
  </si>
  <si>
    <t>Sano</t>
  </si>
  <si>
    <t>Presencia de epífitas (cualitativa)</t>
  </si>
  <si>
    <t>Escasa</t>
  </si>
  <si>
    <t>Fenología dominante (época de visita)</t>
  </si>
  <si>
    <t>Vegetativo</t>
  </si>
  <si>
    <t>Tipo de cobertura vegetal dominante *</t>
  </si>
  <si>
    <t>Matorral ralo</t>
  </si>
  <si>
    <t>4. COMPOSICIÓN FLORÍSTICA — Registro rápido por estrato (mín. 15 especies)</t>
  </si>
  <si>
    <t>ESTRATO: Arbóreo sup(&gt;15 m) | Arbóreo med(8-15 m) | Arbóreo bajo(4-8 m) | Arbustivo alto(1.5-4 m) | Arbustivo bajo(0.5-1.5 m) | Herbáceo(&lt;0.5 m) | Epífito | Trepador  ——  ORIGEN: Nativa | Endémica | Introducida | Invasora  ——  ABUNDANCIA: Dominante(&gt;40%) | Abundante(20-40%) | Frecuente(5-20%) | Ocasional(1-5%) | Rara(&lt;1%)</t>
  </si>
  <si>
    <t>N°</t>
  </si>
  <si>
    <t>Nombre común/local</t>
  </si>
  <si>
    <t>Nombre científico
(preliminar)</t>
  </si>
  <si>
    <t>Familia</t>
  </si>
  <si>
    <t>Estrato</t>
  </si>
  <si>
    <t>Origen</t>
  </si>
  <si>
    <t>Abundancia</t>
  </si>
  <si>
    <t>DAP (cm)
[árboles]</t>
  </si>
  <si>
    <t>Altura (m)</t>
  </si>
  <si>
    <t>Fuente / trazabilidad</t>
  </si>
  <si>
    <t>Eucalipto</t>
  </si>
  <si>
    <t>Eucalyptus globulus</t>
  </si>
  <si>
    <t>Myrtaceae</t>
  </si>
  <si>
    <t>Arbóreo superior (&gt;15 m)</t>
  </si>
  <si>
    <t>Introducida</t>
  </si>
  <si>
    <t>Analogía B73</t>
  </si>
  <si>
    <t>Higuerón</t>
  </si>
  <si>
    <t>Ficus sp.</t>
  </si>
  <si>
    <t>Moraceae</t>
  </si>
  <si>
    <t>Nativa</t>
  </si>
  <si>
    <t>Grevilea</t>
  </si>
  <si>
    <t>Grevillea robusta</t>
  </si>
  <si>
    <t>Proteaceae</t>
  </si>
  <si>
    <t>Arbóreo medio (8-15 m)</t>
  </si>
  <si>
    <t>Pacae</t>
  </si>
  <si>
    <t>Inga feuillei</t>
  </si>
  <si>
    <t>Fabaceae</t>
  </si>
  <si>
    <t>Caña guayaquil / bambú</t>
  </si>
  <si>
    <t>Guadua angustifolia</t>
  </si>
  <si>
    <t>Poaceae</t>
  </si>
  <si>
    <t>Faique</t>
  </si>
  <si>
    <t>Vachellia macracantha (= Acacia macracantha)</t>
  </si>
  <si>
    <t>Arbóreo bajo (4-8 m)</t>
  </si>
  <si>
    <t>Frecuente (5-20%)</t>
  </si>
  <si>
    <t>CAMPO 11-08-2026 + analogía B73</t>
  </si>
  <si>
    <t>Cactácea columnar</t>
  </si>
  <si>
    <t>Armatocereus sp.</t>
  </si>
  <si>
    <t>Cactaceae</t>
  </si>
  <si>
    <t>Arbustivo alto (1.5-4 m)</t>
  </si>
  <si>
    <t>Plátano (cultivo)</t>
  </si>
  <si>
    <t>Musa × paradisiaca</t>
  </si>
  <si>
    <t>Musaceae</t>
  </si>
  <si>
    <t>Café (cultivo)</t>
  </si>
  <si>
    <t>Coffea arabica</t>
  </si>
  <si>
    <t>Rubiaceae</t>
  </si>
  <si>
    <t>Maíz (cultivo)</t>
  </si>
  <si>
    <t>Zea mays</t>
  </si>
  <si>
    <t>Herbáceo (&lt;0.5 m)</t>
  </si>
  <si>
    <t>Pastos cultivados</t>
  </si>
  <si>
    <t>Poaceae (por determinar)</t>
  </si>
  <si>
    <t>5. ESPECIES CLAVE / INDICADORAS</t>
  </si>
  <si>
    <t>Nombre científico o común</t>
  </si>
  <si>
    <t>Categoría</t>
  </si>
  <si>
    <t>Estado UICN / D.S. 043</t>
  </si>
  <si>
    <t>UTM ESTE</t>
  </si>
  <si>
    <t>UTM NORTE</t>
  </si>
  <si>
    <t>N° indiv.</t>
  </si>
  <si>
    <t>Foto N°</t>
  </si>
  <si>
    <t>Observación</t>
  </si>
  <si>
    <t>Guadua angustifolia (caña guayaquil)</t>
  </si>
  <si>
    <t>Indicadora de buen estado</t>
  </si>
  <si>
    <t>Restringida a fondos de quebrada con humedad permanente; indicadora de freático somero y candidata directa para revegetación de fajas marginales. Analogía B73</t>
  </si>
  <si>
    <t>Ficus sp. (higuerón)</t>
  </si>
  <si>
    <t>NE — No Evaluado</t>
  </si>
  <si>
    <t>Individuos aislados de gran porte en vaguadas; relictos del dosel original y potenciales árboles semilleros. Determinación específica pendiente. Analogía B73</t>
  </si>
  <si>
    <t>Vachellia macracantha (faique)</t>
  </si>
  <si>
    <t>Clave cultural</t>
  </si>
  <si>
    <t>Especie estructurante del estrato arbóreo bajo; leñosa multipropósito de uso local y de alta rusticidad para la revegetación de ladera. Registrada en campo en el Bloque 9</t>
  </si>
  <si>
    <t>Armatocereus sp. (cactácea columnar)</t>
  </si>
  <si>
    <t>Indicadora de perturbación</t>
  </si>
  <si>
    <t>Su presencia delimita los sectores de suelo somero y cobertura abierta, que deben priorizarse para clausura y revegetación. Analogía B73</t>
  </si>
  <si>
    <t>Eucalyptus globulus (eucalipto)</t>
  </si>
  <si>
    <t>Plantaciones en el entorno del caserío; su competencia hídrica debe considerarse al definir la composición de la revegetación en cabecera. Analogía B73</t>
  </si>
  <si>
    <t>CORRECCIÓN 07-09-2026 — Tipo de ecosistema y elenco florístico rectificados por la Unidad Formuladora. Se adopta «Matorral Andino subhúmedo, con relictos arbóreos en vaguadas y mosaico agroforestal» y el elenco del Bloque 73 (C1076-Q9592, a ~2.9 km, 1 845 – 2 305 msnm, verificado el 01 de agosto de 2026 mediante vuelo fotogramétrico con RPAS), por analogía de altitud, proximidad y ecosistema. La columna J indica, fila por fila, si el registro procede del levantamiento de campo del Bloque 9 o de la analogía. Se retiran del elenco: «Algarrobo — Prosopis pallida» (especie de bosque seco de llanura, propia de cotas muy inferiores, incompatible con el matorral andino subhúmedo de 1 450-2 300 msnm) y «Hualtaco — Cordia lutea» (nombre común y binomio incompatibles entre sí; ninguno de los dos taxones corresponde al elenco del Bloque 73). Se conserva «Faique», reconciliado a su nombre aceptado Vachellia macracantha, por coincidir con el registro de campo y con el elenco de referencia. La especie clave del levantamiento original (Prosopis pallida, «indicadora de buen estado», 15 individuos, foto F01) se retira por la misma razón. Ninguna determinación está confirmada taxonómicamente: la lista es preliminar y debe cerrarse con colecta botánica.</t>
  </si>
  <si>
    <t>F-DT-04: CAUSAS E INDICADORES DE DEGRADACIÓN DEL ECOSISTEMA</t>
  </si>
  <si>
    <t>Identificación y ponderación de causas directas de degradación (antrópicas y naturales) y registro de indicadores cuantitativos. Permite priorizar medidas de mitigación y gobernanza.</t>
  </si>
  <si>
    <t>2. MATRIZ DE CAUSAS DE DEGRADACIÓN</t>
  </si>
  <si>
    <t>PRESENCIA: Sí / No  |  INTENSIDAD: Nula / Ligera / Moderada / Fuerte / Muy fuerte  |  EXTENSIÓN: % del bloque afectado  |  ANTIGÜEDAD: años aproximados.</t>
  </si>
  <si>
    <t>Causa / Factor de degradación</t>
  </si>
  <si>
    <t>Presencia</t>
  </si>
  <si>
    <t>Intensidad</t>
  </si>
  <si>
    <t>Extensión
(% bloque)</t>
  </si>
  <si>
    <t>Antigüedad
(años aprox.)</t>
  </si>
  <si>
    <t>Evidencia observada / Descripción</t>
  </si>
  <si>
    <t>Sobrepastoreo (caprino/vacuno)</t>
  </si>
  <si>
    <t>Moderada</t>
  </si>
  <si>
    <t>Senderos de ganado y compactación del suelo en laderas</t>
  </si>
  <si>
    <t>Tala para leña</t>
  </si>
  <si>
    <t>Tala para carbón</t>
  </si>
  <si>
    <t>Tala para madera</t>
  </si>
  <si>
    <t>Quema (renovación de pastos)</t>
  </si>
  <si>
    <t>Quema accidental / Incendio</t>
  </si>
  <si>
    <t>Cambio de uso a agricultura</t>
  </si>
  <si>
    <t>Laderas convertidas en parcelas de cultivo de secano con alta pendiente</t>
  </si>
  <si>
    <t>Cambio de uso a pastoreo</t>
  </si>
  <si>
    <t>Expansión urbana / vial</t>
  </si>
  <si>
    <t>Minería informal</t>
  </si>
  <si>
    <t>Extracción de áridos (cauces)</t>
  </si>
  <si>
    <t>Especies invasoras</t>
  </si>
  <si>
    <t>Erosión natural severa</t>
  </si>
  <si>
    <t>Sequía prolongada / CC</t>
  </si>
  <si>
    <t>Plagas o enfermedades forestales</t>
  </si>
  <si>
    <t>Otro</t>
  </si>
  <si>
    <t>3. INDICADORES CUANTITATIVOS DE DEGRADACIÓN</t>
  </si>
  <si>
    <t>Combina observación directa con información de gabinete (MSAVI, NDVI, Theil-Sen). NIVEL: Alto / Medio / Bajo según umbrales.</t>
  </si>
  <si>
    <t>Indicador</t>
  </si>
  <si>
    <t>Unidad</t>
  </si>
  <si>
    <t>Valor</t>
  </si>
  <si>
    <t>Fuente</t>
  </si>
  <si>
    <t>Umbral / Referencia</t>
  </si>
  <si>
    <t>Nivel</t>
  </si>
  <si>
    <t>Cobertura vegetal total</t>
  </si>
  <si>
    <t>%</t>
  </si>
  <si>
    <t>Estimación en campo / MSAVI</t>
  </si>
  <si>
    <t>&gt;60% bueno; 30-60% medio; &lt;30% malo</t>
  </si>
  <si>
    <t>Medio</t>
  </si>
  <si>
    <t>Porcentaje de suelo desnudo</t>
  </si>
  <si>
    <t>Estimación en campo</t>
  </si>
  <si>
    <t>&lt;10% bueno; 10-30% medio; &gt;30% malo</t>
  </si>
  <si>
    <t>Densidad de cárcavas</t>
  </si>
  <si>
    <t>N°/ha</t>
  </si>
  <si>
    <t>Inventario en campo</t>
  </si>
  <si>
    <t>0 nulo; 1-3 medio; &gt;3 alto</t>
  </si>
  <si>
    <t>Bajo</t>
  </si>
  <si>
    <t>Presencia de especies invasoras</t>
  </si>
  <si>
    <t>% área</t>
  </si>
  <si>
    <t>&lt;5% bueno; 5-20% medio; &gt;20% alto</t>
  </si>
  <si>
    <t>Carga ganadera estimada</t>
  </si>
  <si>
    <t>UA/ha</t>
  </si>
  <si>
    <t>Según tipo de ecosistema</t>
  </si>
  <si>
    <t>Frecuencia de quemas últimos 5 años</t>
  </si>
  <si>
    <t>0 nulo; 1-2 medio; &gt;2 alto</t>
  </si>
  <si>
    <t>% área con pendiente &gt;50%</t>
  </si>
  <si>
    <t>Análisis de pendiente (102.48/109.86 ha)</t>
  </si>
  <si>
    <t>Factor de susceptibilidad</t>
  </si>
  <si>
    <t>Alto</t>
  </si>
  <si>
    <t>Distancia a vía vecinal más cercana</t>
  </si>
  <si>
    <t>m</t>
  </si>
  <si>
    <t>Por medir</t>
  </si>
  <si>
    <t>No consignado en campo; vía 108 al oeste del bloque en la vista satelital</t>
  </si>
  <si>
    <t>A menor distancia → mayor presión</t>
  </si>
  <si>
    <t>Por determinar</t>
  </si>
  <si>
    <t>4. SÍNTESIS DIAGNÓSTICA DE LA DEGRADACIÓN</t>
  </si>
  <si>
    <t>Principales causas directas (texto libre)</t>
  </si>
  <si>
    <t>La expansión de la agricultura de secano en laderas con pendientes muy fuertes (&gt;50%) y el pastoreo extensivo son los principales motores de degradación, generando pérdida de cobertura vegetal y exposición del suelo a la erosión hídrica.</t>
  </si>
  <si>
    <t>Principal causa subyacente (motor)</t>
  </si>
  <si>
    <t>Presión demográfica y necesidad de tierras para cultivo y pastoreo de subsistencia</t>
  </si>
  <si>
    <t>Velocidad de degradación percibida</t>
  </si>
  <si>
    <t>Reversibilidad técnica</t>
  </si>
  <si>
    <t>Parcialmente reversible</t>
  </si>
  <si>
    <t>La alta pendiente (promedio 34.8°, ~69%) hace que cualquier pérdida de cobertura derive rápidamente en erosión acelerada. Se requiere intervención prioritaria.</t>
  </si>
  <si>
    <t>F-DT-05: RECURSOS HÍDRICOS Y ACCESIBILIDAD</t>
  </si>
  <si>
    <t>Inventario rápido de fuentes de agua dentro o colindantes al bloque + condiciones logísticas de acceso y seguridad. Insumo para diseño hidráulico y planificación operativa de campo.</t>
  </si>
  <si>
    <t>2. INVENTARIO DE FUENTES DE AGUA (dentro o hasta 500 m del bloque)</t>
  </si>
  <si>
    <t>Use los desplegables en columnas Tipo de fuente, Régimen y Calidad aparente. DISTANCIA: medida en metros desde el límite del bloque a la fuente.</t>
  </si>
  <si>
    <t>Tipo de fuente</t>
  </si>
  <si>
    <t>Régimen</t>
  </si>
  <si>
    <t>Calidad
aparente</t>
  </si>
  <si>
    <t>Distancia
bloque (m)</t>
  </si>
  <si>
    <t>Uso observado / Observaciones</t>
  </si>
  <si>
    <t>3. ANÁLISIS HÍDRICO PRELIMINAR</t>
  </si>
  <si>
    <t>¿Bloque en zona de recarga hídrica?</t>
  </si>
  <si>
    <t>¿Zonas de humedad persistente observadas?</t>
  </si>
  <si>
    <t>¿Escorrentía concentrada observada?</t>
  </si>
  <si>
    <t>Distancia a captación poblacional más cercana (m)</t>
  </si>
  <si>
    <t>Nombre de la JASS o captación asociada</t>
  </si>
  <si>
    <t>No identificada en campo</t>
  </si>
  <si>
    <t>¿Interferencia con obras de riego?</t>
  </si>
  <si>
    <t>Nombre del sistema de riego (si aplica)</t>
  </si>
  <si>
    <t>4. ACCESIBILIDAD Y LOGÍSTICA</t>
  </si>
  <si>
    <t>Modalidad de acceso al bloque *</t>
  </si>
  <si>
    <t>Vehicular + caminata 30-90 min</t>
  </si>
  <si>
    <t>Vía principal de acceso (PE-/PI-/trocha) *</t>
  </si>
  <si>
    <t>Departamental afirmada</t>
  </si>
  <si>
    <t>Tipo de vía final</t>
  </si>
  <si>
    <t>Camino de herradura</t>
  </si>
  <si>
    <t>Estado transitabilidad — época seca</t>
  </si>
  <si>
    <t>Estado transitabilidad — época lluviosa</t>
  </si>
  <si>
    <t>Tiempo desde capital distrital (min)</t>
  </si>
  <si>
    <t>Tiempo desde capital provincial (min)</t>
  </si>
  <si>
    <t>Señal celular</t>
  </si>
  <si>
    <t>Parcial</t>
  </si>
  <si>
    <t>Operador celular dominante</t>
  </si>
  <si>
    <t>Movistar</t>
  </si>
  <si>
    <t>Alojamiento rural disponible</t>
  </si>
  <si>
    <t>¿Requiere autorización de Ronda Campesina? *</t>
  </si>
  <si>
    <t>Nombre / Contacto responsable de Ronda</t>
  </si>
  <si>
    <t>Por definir</t>
  </si>
  <si>
    <t>El acceso se dificulta notablemente en época de lluvias debido a la pendiente y la falta de afirmado en los caminos de herradura.</t>
  </si>
  <si>
    <t>DISTRIBUCION AREAL DE CLASES ESPECTRALES - BLOQUE 9</t>
  </si>
  <si>
    <t>MSAVI 2024 y NDVI mediana 2025 (Sentinel-2). Estimación areal sobre plano temático - pendiente de confirmación por estadística zonal.</t>
  </si>
  <si>
    <t>MSAVI 2024 (Sentinel-2)</t>
  </si>
  <si>
    <t>NDVI MEDIANA 2025 (Sentinel-2)</t>
  </si>
  <si>
    <t>Clase</t>
  </si>
  <si>
    <t>Participación (%)</t>
  </si>
  <si>
    <t>Superficie (ha)</t>
  </si>
  <si>
    <t>&lt;= 0.2650</t>
  </si>
  <si>
    <t>Clase no vegetal</t>
  </si>
  <si>
    <t>0.2650 - 0.3813</t>
  </si>
  <si>
    <t>Tierra desnuda</t>
  </si>
  <si>
    <t>0.3813 - 0.4976</t>
  </si>
  <si>
    <t>Vegetación ligera</t>
  </si>
  <si>
    <t>Vegetación mediana</t>
  </si>
  <si>
    <t>&gt; 0.6139</t>
  </si>
  <si>
    <t>TOTAL</t>
  </si>
  <si>
    <t>LECTURA CRÍTICA</t>
  </si>
  <si>
    <t>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40% frente a un 91.5% del polígono clasificado como "Vegetación alta" por el NDVI 2025; la observación de campo corresponde a una parcela de 20 x 20 m y no es estadísticamente representativa de las 109.86 ha del bloque.</t>
  </si>
  <si>
    <t>CONTROL DE CONSISTENCIA DE LA INFORMACION - BLOQUE 9</t>
  </si>
  <si>
    <t>Discrepancias detectadas entre el registro de campo, los productos de gabinete y el catálogo maestro. Calificación: SUSTANTIVA / NO SUSTANTIVA.</t>
  </si>
  <si>
    <t>Cod.</t>
  </si>
  <si>
    <t>Campo afectado</t>
  </si>
  <si>
    <t>Discrepancia observada</t>
  </si>
  <si>
    <t>Calificación</t>
  </si>
  <si>
    <t>Tratamiento adoptado</t>
  </si>
  <si>
    <t>C-01</t>
  </si>
  <si>
    <t>Tipo de ecosistema y elenco florístico  [CORRECCIÓN 07-09-2026]</t>
  </si>
  <si>
    <t>El levantamiento asignó "Bosque Estacionalmente Seco Colina/Montaña (Bes-cm)" y registró 3 especies (Prosopis pallida, Acacia macracantha y "Hualtaco/Cordia lutea"). La Unidad Formuladora determinó que ambos elementos son erróneos</t>
  </si>
  <si>
    <t>CORREGIDO</t>
  </si>
  <si>
    <t>Se adopta "Matorral Andino subhúmedo" con relictos arbóreos en vaguadas y mosaico agroforestal, y el elenco de 11 taxones del Bloque 73 (misma vertiente, a ~2.9 km, 1845-2305 msnm, verificado el 01-08-2026 con RPAS), por analogía de altitud, proximidad y ecosistema. Cada fila del elenco lleva su fuente en la columna J. La abundancia no se transfiere: el informe de referencia no la consigna y se deja en blanco para su levantamiento</t>
  </si>
  <si>
    <t>C-02</t>
  </si>
  <si>
    <t>Registros retirados del elenco  [CORRECCIÓN 07-09-2026]</t>
  </si>
  <si>
    <t>Se retiran del elenco: «Algarrobo — Prosopis pallida» (especie de bosque seco de llanura, propia de cotas muy inferiores, incompatible con el matorral andino subhúmedo de 1 450-2 300 msnm) y «Hualtaco — Cordia lutea» (nombre común y binomio incompatibles entre sí; ninguno de los dos taxones corresponde al elenco del Bloque 73). Se conserva «Faique», reconciliado a su nombre aceptado Vachellia macracantha, por coincidir con el registro de campo y con el elenco de referencia. La especie clave del levantamiento original (Prosopis pallida, «indicadora de buen estado», 15 individuos, foto F01) se retira por la misma razón.</t>
  </si>
  <si>
    <t>Retiro documentado. El elenco resultante debe validarse con colecta botánica en el marco del estudio especializado de diagnóstico del ecosistema; ninguna determinación está confirmada taxonómicamente</t>
  </si>
  <si>
    <t>D-01</t>
  </si>
  <si>
    <t>UTM del punto de muestreo</t>
  </si>
  <si>
    <t>Las celdas de UTM ESTE / NORTE del punto de muestreo están vacías en F-DT-01, F-DT-02 y F-DT-03</t>
  </si>
  <si>
    <t>SUSTANTIVA</t>
  </si>
  <si>
    <t>No se sustituye por el centroide del catálogo. Se consigna "Por registrar en campo" y se solicita completar en la segunda campaña</t>
  </si>
  <si>
    <t>D-02</t>
  </si>
  <si>
    <t>Rango altitudinal</t>
  </si>
  <si>
    <t>F-DT-01 declara 1500-2000 m (Quechua media); las curvas de nivel del plano temático recorren el polígono entre ~1450 y ~2300 msnm</t>
  </si>
  <si>
    <t>El bloque abarca dos pisos (Quechua media y Quechua alta). Se adopta 1450-2300 msnm para el análisis y se solicita corregir el desplegable o desagregar por sector</t>
  </si>
  <si>
    <t>D-03</t>
  </si>
  <si>
    <t>F-DT-03 registra 40% de cobertura y 25% de suelo desnudo; el NDVI mediana 2025 asigna ~91.5% del polígono a "Vegetación alta" y no registra tierra desnuda</t>
  </si>
  <si>
    <t>La observación de campo corresponde a la parcela P-01 (20x20 m) y no es representativa de las 109.86 ha. Se conserva el dato de campo como puntual y se declara el contraste; requiere estadística zonal y parcelas adicionales</t>
  </si>
  <si>
    <t>D-04</t>
  </si>
  <si>
    <t>Exposición / orientacion</t>
  </si>
  <si>
    <t>F-DT-01 declara posición fisiográfica "Ladera media" y exposición "Cima (sin dom.)"</t>
  </si>
  <si>
    <t>NO SUSTANTIVA</t>
  </si>
  <si>
    <t>Combinación internamente inconsistente. Se mantiene el registro original y se solicita reasignar la exposición dominante sobre el MDE</t>
  </si>
  <si>
    <t>D-07</t>
  </si>
  <si>
    <t>Presión vial</t>
  </si>
  <si>
    <t>F-DT-04 deja vacío el indicador "Distancia a vía vecinal". La vista satelital muestra la vía 108 al oeste y un marcador de gabinete rotulado "Futura Interoceánica" sobre el borde noroeste del polígono</t>
  </si>
  <si>
    <t>No se asigna valor al indicador: el marcador es una anotación sobre la imagen, no un trazo oficial. Se solicita consulta al MTC / ProVías antes de incorporarlo al análisis de exposición</t>
  </si>
  <si>
    <t>D-08</t>
  </si>
  <si>
    <t>Geometría de la delimitación</t>
  </si>
  <si>
    <t>El polígono trazado sobre Google Earth no coincide en forma ni extensión con el polígono oficial V5 de los planos MSAVI y NDVI</t>
  </si>
  <si>
    <t>Se adopta el polígono oficial V5 (109.86 ha) para todo cálculo. Se solicita a la especialidad GIS verificar la traza de Google Earth</t>
  </si>
  <si>
    <t>codigo</t>
  </si>
  <si>
    <t>microcuenca</t>
  </si>
  <si>
    <t>provincia</t>
  </si>
  <si>
    <t>distrito</t>
  </si>
  <si>
    <t>zona</t>
  </si>
  <si>
    <t>este_utm</t>
  </si>
  <si>
    <t>norte_utm</t>
  </si>
  <si>
    <t>area_ha</t>
  </si>
  <si>
    <t>M9B1</t>
  </si>
  <si>
    <t>C1096-Q9545</t>
  </si>
  <si>
    <t>Morropon</t>
  </si>
  <si>
    <t>Chulucanas</t>
  </si>
  <si>
    <t>Z01</t>
  </si>
  <si>
    <t>M10B4</t>
  </si>
  <si>
    <t>C1096-Q9547</t>
  </si>
  <si>
    <t>25</t>
  </si>
  <si>
    <t>32</t>
  </si>
  <si>
    <t>C1096-Q9556</t>
  </si>
  <si>
    <t>22</t>
  </si>
  <si>
    <t>M17B1</t>
  </si>
  <si>
    <t>2</t>
  </si>
  <si>
    <t>C1096-Q9558</t>
  </si>
  <si>
    <t>M17B4</t>
  </si>
  <si>
    <t>M27B1</t>
  </si>
  <si>
    <t>C1096-Q9557</t>
  </si>
  <si>
    <t>3</t>
  </si>
  <si>
    <t>Ayabaca</t>
  </si>
  <si>
    <t>Frias</t>
  </si>
  <si>
    <t>Z02</t>
  </si>
  <si>
    <t>6</t>
  </si>
  <si>
    <t>36</t>
  </si>
  <si>
    <t>M17B7</t>
  </si>
  <si>
    <t>M17B6</t>
  </si>
  <si>
    <t>M17B10</t>
  </si>
  <si>
    <t>M17B5</t>
  </si>
  <si>
    <t>27</t>
  </si>
  <si>
    <t>39</t>
  </si>
  <si>
    <t>C1096-Q9564</t>
  </si>
  <si>
    <t>56</t>
  </si>
  <si>
    <t>12</t>
  </si>
  <si>
    <t>C1086-Q9570</t>
  </si>
  <si>
    <t>Santo Domingo</t>
  </si>
  <si>
    <t>Z03</t>
  </si>
  <si>
    <t>82</t>
  </si>
  <si>
    <t>13</t>
  </si>
  <si>
    <t>78</t>
  </si>
  <si>
    <t>11</t>
  </si>
  <si>
    <t>23</t>
  </si>
  <si>
    <t>15</t>
  </si>
  <si>
    <t>M19B7</t>
  </si>
  <si>
    <t>17</t>
  </si>
  <si>
    <t>M8B2</t>
  </si>
  <si>
    <t>57</t>
  </si>
  <si>
    <t>C1086-Q9576</t>
  </si>
  <si>
    <t>Chalaco</t>
  </si>
  <si>
    <t>Z04</t>
  </si>
  <si>
    <t>59</t>
  </si>
  <si>
    <t>M36B2</t>
  </si>
  <si>
    <t>Santa Catalina de Mossa</t>
  </si>
  <si>
    <t>42</t>
  </si>
  <si>
    <t>14</t>
  </si>
  <si>
    <t>58</t>
  </si>
  <si>
    <t>C1086-Q9569</t>
  </si>
  <si>
    <t>M19B2</t>
  </si>
  <si>
    <t>Z05</t>
  </si>
  <si>
    <t>M32B3</t>
  </si>
  <si>
    <t>M6B10</t>
  </si>
  <si>
    <t>C1077-Q9566</t>
  </si>
  <si>
    <t>Buenos Aires</t>
  </si>
  <si>
    <t>Z06</t>
  </si>
  <si>
    <t>M6B2-3</t>
  </si>
  <si>
    <t>M6B2-2</t>
  </si>
  <si>
    <t>M6B2-1</t>
  </si>
  <si>
    <t>5</t>
  </si>
  <si>
    <t>M1B1</t>
  </si>
  <si>
    <t>C1077-Q9580</t>
  </si>
  <si>
    <t>M18B1</t>
  </si>
  <si>
    <t>C1077-Q9579</t>
  </si>
  <si>
    <t>M3B9</t>
  </si>
  <si>
    <t>C1081-Q9582</t>
  </si>
  <si>
    <t>Salitral</t>
  </si>
  <si>
    <t>Z07</t>
  </si>
  <si>
    <t>M3B1</t>
  </si>
  <si>
    <t>M7B1</t>
  </si>
  <si>
    <t>C1076-Q9581</t>
  </si>
  <si>
    <t>M7B2</t>
  </si>
  <si>
    <t>M7B3</t>
  </si>
  <si>
    <t>M7B6</t>
  </si>
  <si>
    <t>M2B1</t>
  </si>
  <si>
    <t>C1076-Q9584</t>
  </si>
  <si>
    <t>7</t>
  </si>
  <si>
    <t>M2B5</t>
  </si>
  <si>
    <t>1</t>
  </si>
  <si>
    <t>M18B3</t>
  </si>
  <si>
    <t>M18B5</t>
  </si>
  <si>
    <t>M3B7</t>
  </si>
  <si>
    <t>San Juan de Bigote</t>
  </si>
  <si>
    <t>Z08</t>
  </si>
  <si>
    <t>M3B6</t>
  </si>
  <si>
    <t>77</t>
  </si>
  <si>
    <t>C1081-Q9583</t>
  </si>
  <si>
    <t>M3B5</t>
  </si>
  <si>
    <t>M3B3</t>
  </si>
  <si>
    <t>M3B8</t>
  </si>
  <si>
    <t>M11B3</t>
  </si>
  <si>
    <t>55</t>
  </si>
  <si>
    <t>C1086-Q9575</t>
  </si>
  <si>
    <t>Yamango</t>
  </si>
  <si>
    <t>Z09</t>
  </si>
  <si>
    <t>49</t>
  </si>
  <si>
    <t>52</t>
  </si>
  <si>
    <t>48</t>
  </si>
  <si>
    <t>46</t>
  </si>
  <si>
    <t>M28B2</t>
  </si>
  <si>
    <t>M28B3</t>
  </si>
  <si>
    <t>M28B4</t>
  </si>
  <si>
    <t>33</t>
  </si>
  <si>
    <t>C1081-Q9590</t>
  </si>
  <si>
    <t>Lalaquiz</t>
  </si>
  <si>
    <t>Z10</t>
  </si>
  <si>
    <t>38</t>
  </si>
  <si>
    <t>50</t>
  </si>
  <si>
    <t>34</t>
  </si>
  <si>
    <t>61</t>
  </si>
  <si>
    <t>37</t>
  </si>
  <si>
    <t>C1081-Q9591</t>
  </si>
  <si>
    <t>26</t>
  </si>
  <si>
    <t>64</t>
  </si>
  <si>
    <t>Z11</t>
  </si>
  <si>
    <t>54</t>
  </si>
  <si>
    <t>C1081-Q9591 (inferida)</t>
  </si>
  <si>
    <t>M30B5</t>
  </si>
  <si>
    <t>60</t>
  </si>
  <si>
    <t>Canchaque</t>
  </si>
  <si>
    <t>40</t>
  </si>
  <si>
    <t>30</t>
  </si>
  <si>
    <t>28</t>
  </si>
  <si>
    <t>62</t>
  </si>
  <si>
    <t>65</t>
  </si>
  <si>
    <t>21</t>
  </si>
  <si>
    <t>66</t>
  </si>
  <si>
    <t>24</t>
  </si>
  <si>
    <t>63</t>
  </si>
  <si>
    <t>79</t>
  </si>
  <si>
    <t>C1076-Q9587</t>
  </si>
  <si>
    <t>81</t>
  </si>
  <si>
    <t>C1076-Q9585</t>
  </si>
  <si>
    <t>M22B1</t>
  </si>
  <si>
    <t>44</t>
  </si>
  <si>
    <t>47</t>
  </si>
  <si>
    <t>75</t>
  </si>
  <si>
    <t>43</t>
  </si>
  <si>
    <t>35</t>
  </si>
  <si>
    <t>67</t>
  </si>
  <si>
    <t>M20B1</t>
  </si>
  <si>
    <t>M2B8</t>
  </si>
  <si>
    <t>29</t>
  </si>
  <si>
    <t>C1076-Q9592</t>
  </si>
  <si>
    <t>Huarmaca</t>
  </si>
  <si>
    <t>Z13</t>
  </si>
  <si>
    <t>68</t>
  </si>
  <si>
    <t>53</t>
  </si>
  <si>
    <t>70</t>
  </si>
  <si>
    <t>31</t>
  </si>
  <si>
    <t>69</t>
  </si>
  <si>
    <t>72</t>
  </si>
  <si>
    <t>41</t>
  </si>
  <si>
    <t>73</t>
  </si>
  <si>
    <t>18</t>
  </si>
  <si>
    <t>74</t>
  </si>
  <si>
    <t>C1076-Q9588</t>
  </si>
  <si>
    <t>M12B1</t>
  </si>
  <si>
    <t>19</t>
  </si>
  <si>
    <t>M4B4</t>
  </si>
  <si>
    <t>C1076-Q9589</t>
  </si>
  <si>
    <t>Z14</t>
  </si>
  <si>
    <t>M4B3</t>
  </si>
  <si>
    <t>10</t>
  </si>
  <si>
    <t>C1076-Q9593</t>
  </si>
  <si>
    <t>16</t>
  </si>
  <si>
    <t>4</t>
  </si>
  <si>
    <t>51</t>
  </si>
  <si>
    <t>76</t>
  </si>
  <si>
    <t>80</t>
  </si>
  <si>
    <t>71</t>
  </si>
  <si>
    <t>8</t>
  </si>
  <si>
    <t>20</t>
  </si>
  <si>
    <t>83</t>
  </si>
  <si>
    <t>84</t>
  </si>
  <si>
    <t>85</t>
  </si>
  <si>
    <t>86</t>
  </si>
  <si>
    <t>87</t>
  </si>
  <si>
    <t>Listas de opciones para validación de datos — IN Piura | Cada columna es un rango nombrado.</t>
  </si>
  <si>
    <t>lst_FormaTerreno</t>
  </si>
  <si>
    <t>lst_RangoPendiente</t>
  </si>
  <si>
    <t>lst_PosicionFisio</t>
  </si>
  <si>
    <t>lst_Exposicion</t>
  </si>
  <si>
    <t>lst_RangoAltitud</t>
  </si>
  <si>
    <t>lst_NivelErosion</t>
  </si>
  <si>
    <t>lst_TipoCarcava</t>
  </si>
  <si>
    <t>lst_EstadoCarcava</t>
  </si>
  <si>
    <t>lst_CausaCarcava</t>
  </si>
  <si>
    <t>lst_PatronCarcavas</t>
  </si>
  <si>
    <t>lst_Urgencia</t>
  </si>
  <si>
    <t>lst_TipoEcosistema</t>
  </si>
  <si>
    <t>lst_EstadoConservacion</t>
  </si>
  <si>
    <t>lst_UsoSueloDom</t>
  </si>
  <si>
    <t>lst_Regeneracion</t>
  </si>
  <si>
    <t>lst_EstadoSanitario</t>
  </si>
  <si>
    <t>lst_Fenologia</t>
  </si>
  <si>
    <t>lst_TipoCobertura</t>
  </si>
  <si>
    <t>lst_Estrato</t>
  </si>
  <si>
    <t>lst_Origen</t>
  </si>
  <si>
    <t>lst_Abundancia</t>
  </si>
  <si>
    <t>lst_CategoriaIndicadora</t>
  </si>
  <si>
    <t>lst_EstadoUICN</t>
  </si>
  <si>
    <t>lst_Intensidad</t>
  </si>
  <si>
    <t>lst_NivelInd</t>
  </si>
  <si>
    <t>lst_Velocidad</t>
  </si>
  <si>
    <t>lst_Reversibilidad</t>
  </si>
  <si>
    <t>lst_TipoFuente</t>
  </si>
  <si>
    <t>lst_RegimenHidrico</t>
  </si>
  <si>
    <t>lst_CalidadAgua</t>
  </si>
  <si>
    <t>lst_ModalidadAcceso</t>
  </si>
  <si>
    <t>lst_TipoVia</t>
  </si>
  <si>
    <t>lst_NivelTransitabilidad</t>
  </si>
  <si>
    <t>lst_SenalCelular</t>
  </si>
  <si>
    <t>lst_Operador</t>
  </si>
  <si>
    <t>lst_SiNo</t>
  </si>
  <si>
    <t>lst_SiNoNA</t>
  </si>
  <si>
    <t>Plano</t>
  </si>
  <si>
    <t>0-8% (Plano-lig. inclinado)</t>
  </si>
  <si>
    <t>Cresta / Divortium</t>
  </si>
  <si>
    <t>Norte</t>
  </si>
  <si>
    <t>&lt;1000 m (Yunga)</t>
  </si>
  <si>
    <t>Nula</t>
  </si>
  <si>
    <t>Surco (&lt;30 cm)</t>
  </si>
  <si>
    <t>Activa</t>
  </si>
  <si>
    <t>Sobrepastoreo</t>
  </si>
  <si>
    <t>Dendrítico</t>
  </si>
  <si>
    <t>Crítica</t>
  </si>
  <si>
    <t>Páramo</t>
  </si>
  <si>
    <t>Conservado (sin intervención evidente)</t>
  </si>
  <si>
    <t>Forestal protección</t>
  </si>
  <si>
    <t>Abundante (&gt;50 pl./100m²)</t>
  </si>
  <si>
    <t>Bosque denso (&gt;70%)</t>
  </si>
  <si>
    <t>Dominante (&gt;40%)</t>
  </si>
  <si>
    <t>EX — Extinto</t>
  </si>
  <si>
    <t>Muy rápida</t>
  </si>
  <si>
    <t>Totalmente reversible</t>
  </si>
  <si>
    <t>Manantial / Puquio</t>
  </si>
  <si>
    <t>Permanente</t>
  </si>
  <si>
    <t>Buena (clara, sin olor, sin sedimentos)</t>
  </si>
  <si>
    <t>Vehicular 4x4 hasta el bloque</t>
  </si>
  <si>
    <t>Nacional asfaltada</t>
  </si>
  <si>
    <t>Completa</t>
  </si>
  <si>
    <t>Ondulado</t>
  </si>
  <si>
    <t>8-15% (Mod. inclinado)</t>
  </si>
  <si>
    <t>Ladera alta</t>
  </si>
  <si>
    <t>Sur</t>
  </si>
  <si>
    <t>1000-1500 m (Quechua baja)</t>
  </si>
  <si>
    <t>Ligera (laminar)</t>
  </si>
  <si>
    <t>Cárcava incipiente (30-50 cm)</t>
  </si>
  <si>
    <t>Semi-activa</t>
  </si>
  <si>
    <t>Tala / pérdida de cobertura</t>
  </si>
  <si>
    <t>Paralelo</t>
  </si>
  <si>
    <t>Bosque Relicto Montano V. Occidental (BMVO)</t>
  </si>
  <si>
    <t>Levemente alterado</t>
  </si>
  <si>
    <t>Forestal producción</t>
  </si>
  <si>
    <t>Regular (10-50 pl./100m²)</t>
  </si>
  <si>
    <t>Enfermo (plaga)</t>
  </si>
  <si>
    <t>Floración</t>
  </si>
  <si>
    <t>Bosque ralo (30-70%)</t>
  </si>
  <si>
    <t>Endémica</t>
  </si>
  <si>
    <t>Abundante (20-40%)</t>
  </si>
  <si>
    <t>EW — Extinto en Estado Silvestre</t>
  </si>
  <si>
    <t>Ligera</t>
  </si>
  <si>
    <t>Rápida</t>
  </si>
  <si>
    <t>Quebrada permanente</t>
  </si>
  <si>
    <t>Estacional (lluvias)</t>
  </si>
  <si>
    <t>Regular (ligeramente turbia o con sedimentos)</t>
  </si>
  <si>
    <t>Vehicular + caminata &lt;30 min</t>
  </si>
  <si>
    <t>Nacional afirmada</t>
  </si>
  <si>
    <t>Claro</t>
  </si>
  <si>
    <t>Colinoso</t>
  </si>
  <si>
    <t>15-25% (Fuert. inclinado)</t>
  </si>
  <si>
    <t>Este</t>
  </si>
  <si>
    <t>Cárcava somera (0.5-2 m)</t>
  </si>
  <si>
    <t>Estabilizada con vegetación</t>
  </si>
  <si>
    <t>Quema</t>
  </si>
  <si>
    <t>Lineal</t>
  </si>
  <si>
    <t>Media</t>
  </si>
  <si>
    <t>Bosque Estacionalmente Seco Colina/Montaña (Bes-cm)</t>
  </si>
  <si>
    <t>Pastoreo extensivo</t>
  </si>
  <si>
    <t>Enfermo (hongo)</t>
  </si>
  <si>
    <t>Fructificación</t>
  </si>
  <si>
    <t>Matorral denso</t>
  </si>
  <si>
    <t>Endémica del Perú</t>
  </si>
  <si>
    <t>CR — En Peligro Crítico</t>
  </si>
  <si>
    <t>Difícilmente reversible</t>
  </si>
  <si>
    <t>Quebrada estacional</t>
  </si>
  <si>
    <t>Intermitente</t>
  </si>
  <si>
    <t>Mala (turbia, con olor o color)</t>
  </si>
  <si>
    <t>Departamental asfaltada</t>
  </si>
  <si>
    <t>Entel</t>
  </si>
  <si>
    <t>25-50% (Mod. escarpado)</t>
  </si>
  <si>
    <t>Ladera baja</t>
  </si>
  <si>
    <t>Oeste</t>
  </si>
  <si>
    <t>2000-2500 m (Quechua alta)</t>
  </si>
  <si>
    <t>Fuerte (cárcavas incipientes)</t>
  </si>
  <si>
    <t>Cárcava profunda (2-5 m)</t>
  </si>
  <si>
    <t>Estabilizada con obras</t>
  </si>
  <si>
    <t>Surcos de labranza en pendiente</t>
  </si>
  <si>
    <t>Aislado</t>
  </si>
  <si>
    <t>Baja</t>
  </si>
  <si>
    <t>Bosque Estacionalmente Seco Llanura (Bes-ll)</t>
  </si>
  <si>
    <t>Alterado (intervención marcada)</t>
  </si>
  <si>
    <t>Pastoreo intensivo</t>
  </si>
  <si>
    <t>Ausente</t>
  </si>
  <si>
    <t>Daño mecánico</t>
  </si>
  <si>
    <t>Caducifolio (hojas caídas)</t>
  </si>
  <si>
    <t>Invasora</t>
  </si>
  <si>
    <t>Ocasional (1-5%)</t>
  </si>
  <si>
    <t>Endémica norte / Piura</t>
  </si>
  <si>
    <t>EN — En Peligro</t>
  </si>
  <si>
    <t>Fuerte</t>
  </si>
  <si>
    <t>Lenta</t>
  </si>
  <si>
    <t>En recuperación</t>
  </si>
  <si>
    <t>Río</t>
  </si>
  <si>
    <t>Efímero</t>
  </si>
  <si>
    <t>Muy mala (contaminación evidente)</t>
  </si>
  <si>
    <t>Vehicular + caminata &gt;90 min</t>
  </si>
  <si>
    <t>Sin señal</t>
  </si>
  <si>
    <t>Bitel</t>
  </si>
  <si>
    <t>Muy escarpado</t>
  </si>
  <si>
    <t>Pie de ladera</t>
  </si>
  <si>
    <t>Noreste</t>
  </si>
  <si>
    <t>2500-3000 m (Suni)</t>
  </si>
  <si>
    <t>Severa (cárcavas activas)</t>
  </si>
  <si>
    <t>Cárcava muy profunda (&gt;5 m)</t>
  </si>
  <si>
    <t>Inactiva</t>
  </si>
  <si>
    <t>Caminos / huellas de ganado</t>
  </si>
  <si>
    <t>Mixto</t>
  </si>
  <si>
    <t>Bosque Estacionalmente Seco Ribereño (Bes-rb)</t>
  </si>
  <si>
    <t>Muy alterado / Degradado</t>
  </si>
  <si>
    <t>Muerto en pie</t>
  </si>
  <si>
    <t>Latencia / Estrés hídrico</t>
  </si>
  <si>
    <t>Pastizal natural</t>
  </si>
  <si>
    <t>Arbustivo bajo (0.5-1.5 m)</t>
  </si>
  <si>
    <t>Rara (&lt;1%)</t>
  </si>
  <si>
    <t>Amenazada (D.S. 043-2006-AG)</t>
  </si>
  <si>
    <t>VU — Vulnerable</t>
  </si>
  <si>
    <t>Muy fuerte</t>
  </si>
  <si>
    <t>Estable</t>
  </si>
  <si>
    <t>Canal de riego</t>
  </si>
  <si>
    <t>No evaluable</t>
  </si>
  <si>
    <t>Requiere acémila (páramo/jalca)</t>
  </si>
  <si>
    <t>Vecinal afirmada</t>
  </si>
  <si>
    <t>&gt;75% (Muy escarpado)</t>
  </si>
  <si>
    <t>Terraza aluvial</t>
  </si>
  <si>
    <t>Noroeste</t>
  </si>
  <si>
    <t>3000-3500 m (Puna baja)</t>
  </si>
  <si>
    <t>Extrema</t>
  </si>
  <si>
    <t>Concentración natural de escorrentía</t>
  </si>
  <si>
    <t>Matorral Andino árido</t>
  </si>
  <si>
    <t>En restauración / Recuperación</t>
  </si>
  <si>
    <t>Agricultura bajo riego</t>
  </si>
  <si>
    <t>Rebrote vigoroso</t>
  </si>
  <si>
    <t>Pastizal cultivado</t>
  </si>
  <si>
    <t>NT — Casi Amenazado</t>
  </si>
  <si>
    <t>Reservorio / Represa</t>
  </si>
  <si>
    <t>Inaccesible en lluvias</t>
  </si>
  <si>
    <t>Trocha carrozable</t>
  </si>
  <si>
    <t>Cauce / Ribera</t>
  </si>
  <si>
    <t>Sureste</t>
  </si>
  <si>
    <t>&gt;3500 m (Puna/Jalca)</t>
  </si>
  <si>
    <t>Socavamiento de cauce</t>
  </si>
  <si>
    <t>Matorral Andino semiárido</t>
  </si>
  <si>
    <t>Sin uso aparente / Abandonado</t>
  </si>
  <si>
    <t>Cultivo anual</t>
  </si>
  <si>
    <t>Epífito</t>
  </si>
  <si>
    <t>LC — Preocupación Menor</t>
  </si>
  <si>
    <t>Laguna / Humedal</t>
  </si>
  <si>
    <t>Llanura / Pampa</t>
  </si>
  <si>
    <t>Suroeste</t>
  </si>
  <si>
    <t>Cambio de uso del suelo</t>
  </si>
  <si>
    <t>Uso mixto</t>
  </si>
  <si>
    <t>Cultivo permanente</t>
  </si>
  <si>
    <t>Trepador</t>
  </si>
  <si>
    <t>DD — Datos Insuficientes</t>
  </si>
  <si>
    <t>Pozo / Galería filtrante</t>
  </si>
  <si>
    <t>Cima (sin exp.)</t>
  </si>
  <si>
    <t>Matorral Andino húmedo</t>
  </si>
  <si>
    <t>Suelo desnudo</t>
  </si>
  <si>
    <t>Bofedal</t>
  </si>
  <si>
    <t>Pastizal andino / Jalca</t>
  </si>
  <si>
    <t>Afloramiento rocoso</t>
  </si>
  <si>
    <t>Agroecosistema / Mosaico</t>
  </si>
  <si>
    <t>Mixto / Mosaico</t>
  </si>
  <si>
    <t>Área urbana / rural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</si>
</sst>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dd\-mm\-yyyy"/>
    <numFmt numFmtId="166" formatCode="0.0"/>
  </numFmts>
  <fonts count="27" x14ac:knownFonts="1">
    <font>
      <sz val="11"/>
      <color theme="1"/>
      <name val="Calibri"/>
      <family val="2"/>
      <charset val="1"/>
    </font>
    <font>
      <b/>
      <sz val="12"/>
      <color rgb="FFFFFFFF"/>
      <name val="Arial"/>
      <charset val="1"/>
    </font>
    <font>
      <b/>
      <sz val="10"/>
      <color rgb="FFFFFFFF"/>
      <name val="Arial"/>
      <charset val="1"/>
    </font>
    <font>
      <b/>
      <sz val="14"/>
      <color rgb="FFFFFFFF"/>
      <name val="Arial"/>
      <charset val="1"/>
    </font>
    <font>
      <i/>
      <sz val="9"/>
      <color rgb="FF555555"/>
      <name val="Arial"/>
      <charset val="1"/>
    </font>
    <font>
      <i/>
      <sz val="8"/>
      <color rgb="FF666666"/>
      <name val="Arial"/>
      <charset val="1"/>
    </font>
    <font>
      <b/>
      <sz val="11"/>
      <color rgb="FFFFFFFF"/>
      <name val="Arial"/>
      <charset val="1"/>
    </font>
    <font>
      <b/>
      <sz val="10"/>
      <color rgb="FF000000"/>
      <name val="Arial"/>
      <charset val="1"/>
    </font>
    <font>
      <sz val="10"/>
      <color rgb="FF000000"/>
      <name val="Arial"/>
      <charset val="1"/>
    </font>
    <font>
      <i/>
      <sz val="10"/>
      <color rgb="FF333333"/>
      <name val="Arial"/>
      <charset val="1"/>
    </font>
    <font>
      <i/>
      <sz val="8"/>
      <color rgb="FF555555"/>
      <name val="Arial"/>
      <charset val="1"/>
    </font>
    <font>
      <b/>
      <sz val="9"/>
      <color rgb="FFFFFFFF"/>
      <name val="Arial"/>
      <charset val="1"/>
    </font>
    <font>
      <sz val="9"/>
      <color rgb="FF000000"/>
      <name val="Arial"/>
      <charset val="1"/>
    </font>
    <font>
      <b/>
      <sz val="11"/>
      <color rgb="FF1B4D2E"/>
      <name val="Arial"/>
      <charset val="1"/>
    </font>
    <font>
      <i/>
      <sz val="9"/>
      <color rgb="FFC00000"/>
      <name val="Arial"/>
    </font>
    <font>
      <b/>
      <sz val="9"/>
      <color rgb="FFFFFFFF"/>
      <name val="Arial"/>
    </font>
    <font>
      <sz val="9"/>
      <name val="Arial"/>
    </font>
    <font>
      <i/>
      <sz val="8"/>
      <color rgb="FF7F5F00"/>
      <name val="Arial"/>
    </font>
    <font>
      <i/>
      <sz val="8"/>
      <color rgb="FF1B4D2E"/>
      <name val="Arial"/>
    </font>
    <font>
      <b/>
      <sz val="11"/>
      <color rgb="FFFFFFFF"/>
      <name val="Arial"/>
    </font>
    <font>
      <sz val="8"/>
      <color rgb="FFFFFFFF"/>
      <name val="Arial"/>
    </font>
    <font>
      <b/>
      <sz val="11"/>
      <color rgb="FF1B4D2E"/>
      <name val="Arial"/>
    </font>
    <font>
      <i/>
      <sz val="8"/>
      <color rgb="FF404040"/>
      <name val="Arial"/>
    </font>
    <font>
      <b/>
      <sz val="9"/>
      <name val="Arial"/>
    </font>
    <font>
      <b/>
      <sz val="9"/>
      <color rgb="FF1B4D2E"/>
      <name val="Arial"/>
    </font>
    <font>
      <sz val="9"/>
      <color rgb="FF000000"/>
      <name val="Arial"/>
    </font>
    <font>
      <b/>
      <sz val="9"/>
      <color rgb="FFC00000"/>
      <name val="Arial"/>
    </font>
  </fonts>
  <fills count="14">
    <fill>
      <patternFill patternType="none"/>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
      <patternFill patternType="solid">
        <fgColor rgb="FF1B4D2E"/>
      </patternFill>
    </fill>
    <fill>
      <patternFill patternType="solid">
        <fgColor rgb="FFD8E4DC"/>
      </patternFill>
    </fill>
    <fill>
      <patternFill patternType="solid">
        <fgColor rgb="FFF2F2F2"/>
      </patternFill>
    </fill>
    <fill>
      <patternFill patternType="solid">
        <fgColor rgb="FFFFF2CC"/>
      </patternFill>
    </fill>
    <fill>
      <patternFill patternType="solid">
        <fgColor rgb="FFFFFFFF"/>
      </patternFill>
    </fill>
    <fill>
      <patternFill patternType="solid">
        <fgColor rgb="FFF8D7DA"/>
      </patternFill>
    </fill>
  </fills>
  <borders count="12">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diagonal/>
    </border>
    <border>
      <left/>
      <right style="thin">
        <color rgb="FFB7B7B7"/>
      </right>
      <top style="thin">
        <color rgb="FFB7B7B7"/>
      </top>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top/>
      <bottom/>
      <diagonal/>
    </border>
    <border>
      <left/>
      <right style="thin">
        <color rgb="FFB7B7B7"/>
      </right>
      <top/>
      <bottom/>
      <diagonal/>
    </border>
    <border>
      <left style="thin">
        <color rgb="FFB7B7B7"/>
      </left>
      <right/>
      <top/>
      <bottom style="thin">
        <color rgb="FFB7B7B7"/>
      </bottom>
      <diagonal/>
    </border>
    <border>
      <left/>
      <right/>
      <top/>
      <bottom style="thin">
        <color rgb="FFB7B7B7"/>
      </bottom>
      <diagonal/>
    </border>
    <border>
      <left/>
      <right style="thin">
        <color rgb="FFB7B7B7"/>
      </right>
      <top/>
      <bottom style="thin">
        <color rgb="FFB7B7B7"/>
      </bottom>
      <diagonal/>
    </border>
    <border>
      <left style="thin">
        <color rgb="FF9BB0A5"/>
      </left>
      <right style="thin">
        <color rgb="FF9BB0A5"/>
      </right>
      <top style="thin">
        <color rgb="FF9BB0A5"/>
      </top>
      <bottom style="thin">
        <color rgb="FF9BB0A5"/>
      </bottom>
      <diagonal/>
    </border>
  </borders>
  <cellStyleXfs count="1">
    <xf numFmtId="0" fontId="0" fillId="0" borderId="0"/>
  </cellStyleXfs>
  <cellXfs count="71">
    <xf numFmtId="0" fontId="0" fillId="0" borderId="0" xfId="0"/>
    <xf numFmtId="0" fontId="7" fillId="4"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2" fillId="4" borderId="1" xfId="0" applyFont="1" applyFill="1" applyBorder="1" applyAlignment="1">
      <alignment horizontal="left" vertical="center" wrapText="1"/>
    </xf>
    <xf numFmtId="0" fontId="12" fillId="0" borderId="1" xfId="0" applyFont="1" applyBorder="1" applyAlignment="1">
      <alignment horizontal="left" vertical="center" wrapText="1"/>
    </xf>
    <xf numFmtId="3" fontId="12" fillId="0" borderId="1" xfId="0" applyNumberFormat="1" applyFont="1" applyBorder="1" applyAlignment="1">
      <alignment horizontal="center" vertical="center" wrapText="1"/>
    </xf>
    <xf numFmtId="4" fontId="12" fillId="0" borderId="1" xfId="0" applyNumberFormat="1" applyFont="1" applyBorder="1" applyAlignment="1">
      <alignment horizontal="center" vertical="center" wrapText="1"/>
    </xf>
    <xf numFmtId="0" fontId="0" fillId="0" borderId="4" xfId="0" applyBorder="1"/>
    <xf numFmtId="0" fontId="23" fillId="9" borderId="11" xfId="0" applyFont="1" applyFill="1" applyBorder="1"/>
    <xf numFmtId="0" fontId="15" fillId="8" borderId="11" xfId="0" applyFont="1" applyFill="1" applyBorder="1" applyAlignment="1">
      <alignment horizontal="center" vertical="center" wrapText="1"/>
    </xf>
    <xf numFmtId="0" fontId="16" fillId="5" borderId="1" xfId="0" applyFont="1" applyFill="1" applyBorder="1" applyAlignment="1">
      <alignment horizontal="left" vertical="center" wrapText="1"/>
    </xf>
    <xf numFmtId="0" fontId="16" fillId="5" borderId="1" xfId="0" applyFont="1" applyFill="1" applyBorder="1" applyAlignment="1">
      <alignment horizontal="center" vertical="center" wrapText="1"/>
    </xf>
    <xf numFmtId="0" fontId="17" fillId="0" borderId="11" xfId="0" applyFont="1" applyBorder="1" applyAlignment="1">
      <alignment horizontal="left" vertical="center" wrapText="1"/>
    </xf>
    <xf numFmtId="0" fontId="18" fillId="0" borderId="11" xfId="0" applyFont="1" applyBorder="1" applyAlignment="1">
      <alignment horizontal="left" vertical="center" wrapText="1"/>
    </xf>
    <xf numFmtId="0" fontId="24" fillId="9" borderId="11" xfId="0" applyFont="1" applyFill="1" applyBorder="1" applyAlignment="1">
      <alignment horizontal="center" vertical="center" wrapText="1"/>
    </xf>
    <xf numFmtId="0" fontId="16" fillId="10" borderId="11" xfId="0" applyFont="1" applyFill="1" applyBorder="1"/>
    <xf numFmtId="166" fontId="16" fillId="10" borderId="11" xfId="0" applyNumberFormat="1" applyFont="1" applyFill="1" applyBorder="1" applyAlignment="1">
      <alignment horizontal="center"/>
    </xf>
    <xf numFmtId="2" fontId="16" fillId="10" borderId="11" xfId="0" applyNumberFormat="1" applyFont="1" applyFill="1" applyBorder="1" applyAlignment="1">
      <alignment horizontal="center"/>
    </xf>
    <xf numFmtId="0" fontId="16" fillId="12" borderId="11" xfId="0" applyFont="1" applyFill="1" applyBorder="1"/>
    <xf numFmtId="166" fontId="16" fillId="12" borderId="11" xfId="0" applyNumberFormat="1" applyFont="1" applyFill="1" applyBorder="1" applyAlignment="1">
      <alignment horizontal="center"/>
    </xf>
    <xf numFmtId="2" fontId="16" fillId="12" borderId="11" xfId="0" applyNumberFormat="1" applyFont="1" applyFill="1" applyBorder="1" applyAlignment="1">
      <alignment horizontal="center"/>
    </xf>
    <xf numFmtId="0" fontId="15" fillId="8" borderId="11" xfId="0" applyFont="1" applyFill="1" applyBorder="1"/>
    <xf numFmtId="166" fontId="15" fillId="8" borderId="11" xfId="0" applyNumberFormat="1" applyFont="1" applyFill="1" applyBorder="1" applyAlignment="1">
      <alignment horizontal="center"/>
    </xf>
    <xf numFmtId="2" fontId="15" fillId="8" borderId="11" xfId="0" applyNumberFormat="1" applyFont="1" applyFill="1" applyBorder="1" applyAlignment="1">
      <alignment horizontal="center"/>
    </xf>
    <xf numFmtId="0" fontId="25" fillId="10" borderId="11" xfId="0" applyFont="1" applyFill="1" applyBorder="1" applyAlignment="1">
      <alignment horizontal="center" vertical="top" wrapText="1"/>
    </xf>
    <xf numFmtId="0" fontId="25" fillId="10" borderId="11" xfId="0" applyFont="1" applyFill="1" applyBorder="1" applyAlignment="1">
      <alignment horizontal="left" vertical="top" wrapText="1"/>
    </xf>
    <xf numFmtId="0" fontId="25" fillId="12" borderId="11" xfId="0" applyFont="1" applyFill="1" applyBorder="1" applyAlignment="1">
      <alignment horizontal="center" vertical="top" wrapText="1"/>
    </xf>
    <xf numFmtId="0" fontId="25" fillId="12" borderId="11" xfId="0" applyFont="1" applyFill="1" applyBorder="1" applyAlignment="1">
      <alignment horizontal="left" vertical="top" wrapText="1"/>
    </xf>
    <xf numFmtId="0" fontId="26" fillId="13" borderId="11" xfId="0" applyFont="1" applyFill="1" applyBorder="1" applyAlignment="1">
      <alignment horizontal="center" vertical="top" wrapText="1"/>
    </xf>
    <xf numFmtId="0" fontId="16" fillId="10" borderId="11" xfId="0" applyFont="1" applyFill="1" applyBorder="1" applyAlignment="1">
      <alignment horizontal="left" vertical="center" wrapText="1" indent="1"/>
    </xf>
    <xf numFmtId="0" fontId="0" fillId="0" borderId="11" xfId="0" applyBorder="1"/>
    <xf numFmtId="0" fontId="19" fillId="8" borderId="0" xfId="0" applyFont="1" applyFill="1" applyAlignment="1">
      <alignment horizontal="center" vertical="center" wrapText="1"/>
    </xf>
    <xf numFmtId="0" fontId="0" fillId="0" borderId="0" xfId="0"/>
    <xf numFmtId="0" fontId="0" fillId="10" borderId="11" xfId="0" applyFill="1" applyBorder="1"/>
    <xf numFmtId="0" fontId="22" fillId="0" borderId="0" xfId="0" applyFont="1" applyAlignment="1">
      <alignment horizontal="center" vertical="center" wrapText="1"/>
    </xf>
    <xf numFmtId="0" fontId="16" fillId="11" borderId="11" xfId="0" applyFont="1" applyFill="1" applyBorder="1" applyAlignment="1">
      <alignment horizontal="left" vertical="center" wrapText="1" indent="1"/>
    </xf>
    <xf numFmtId="0" fontId="15" fillId="8" borderId="0" xfId="0" applyFont="1" applyFill="1" applyAlignment="1">
      <alignment horizontal="left" vertical="center" indent="1"/>
    </xf>
    <xf numFmtId="0" fontId="20" fillId="8" borderId="0" xfId="0" applyFont="1" applyFill="1" applyAlignment="1">
      <alignment horizontal="center" vertical="center" wrapText="1"/>
    </xf>
    <xf numFmtId="0" fontId="21" fillId="9" borderId="0" xfId="0" applyFont="1" applyFill="1" applyAlignment="1">
      <alignment horizontal="center" vertical="center"/>
    </xf>
    <xf numFmtId="0" fontId="22" fillId="0" borderId="0" xfId="0" applyFont="1" applyAlignment="1">
      <alignment horizontal="left" vertical="top" wrapText="1"/>
    </xf>
    <xf numFmtId="0" fontId="9" fillId="6" borderId="1" xfId="0" applyFont="1" applyFill="1" applyBorder="1" applyAlignment="1">
      <alignment horizontal="left" vertical="center" wrapText="1"/>
    </xf>
    <xf numFmtId="0" fontId="0" fillId="0" borderId="4" xfId="0" applyBorder="1"/>
    <xf numFmtId="0" fontId="0" fillId="0" borderId="5" xfId="0" applyBorder="1"/>
    <xf numFmtId="0" fontId="8" fillId="5" borderId="1" xfId="0" applyFont="1" applyFill="1" applyBorder="1" applyAlignment="1">
      <alignment horizontal="left" vertical="center" wrapText="1"/>
    </xf>
    <xf numFmtId="165" fontId="8" fillId="5" borderId="1" xfId="0" applyNumberFormat="1" applyFont="1" applyFill="1" applyBorder="1" applyAlignment="1">
      <alignment horizontal="left" vertical="center" wrapText="1"/>
    </xf>
    <xf numFmtId="0" fontId="14" fillId="5" borderId="1" xfId="0" applyFont="1" applyFill="1" applyBorder="1" applyAlignment="1">
      <alignment horizontal="left" vertical="center" wrapText="1"/>
    </xf>
    <xf numFmtId="0" fontId="1" fillId="2" borderId="0" xfId="0" applyFont="1" applyFill="1" applyAlignment="1">
      <alignment horizontal="center" vertical="center" wrapText="1"/>
    </xf>
    <xf numFmtId="0" fontId="5" fillId="0" borderId="0" xfId="0" applyFont="1" applyAlignment="1">
      <alignment horizontal="center" vertical="center" wrapText="1"/>
    </xf>
    <xf numFmtId="0" fontId="6" fillId="2" borderId="0" xfId="0" applyFont="1" applyFill="1" applyAlignment="1">
      <alignment horizontal="center" vertical="center" wrapText="1"/>
    </xf>
    <xf numFmtId="0" fontId="2" fillId="2" borderId="0" xfId="0" applyFont="1" applyFill="1" applyAlignment="1">
      <alignment horizontal="center" vertical="center" wrapText="1"/>
    </xf>
    <xf numFmtId="0" fontId="4" fillId="0" borderId="0" xfId="0" applyFont="1" applyAlignment="1">
      <alignment horizontal="center" vertical="center" wrapText="1"/>
    </xf>
    <xf numFmtId="0" fontId="3" fillId="3" borderId="0" xfId="0" applyFont="1" applyFill="1" applyAlignment="1">
      <alignment horizontal="center" vertical="center" wrapText="1"/>
    </xf>
    <xf numFmtId="0" fontId="8" fillId="5" borderId="1" xfId="0" applyFont="1" applyFill="1" applyBorder="1" applyAlignment="1">
      <alignment horizontal="left" vertical="top" wrapText="1"/>
    </xf>
    <xf numFmtId="0" fontId="0" fillId="0" borderId="2" xfId="0" applyBorder="1"/>
    <xf numFmtId="0" fontId="0" fillId="0" borderId="3"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7" fillId="4" borderId="1" xfId="0" applyFont="1" applyFill="1" applyBorder="1" applyAlignment="1">
      <alignment horizontal="left" vertical="center" wrapText="1"/>
    </xf>
    <xf numFmtId="0" fontId="10" fillId="7" borderId="1" xfId="0" applyFont="1" applyFill="1" applyBorder="1" applyAlignment="1">
      <alignment horizontal="left" vertical="center" wrapText="1"/>
    </xf>
    <xf numFmtId="0" fontId="16" fillId="5" borderId="1" xfId="0" applyFont="1" applyFill="1" applyBorder="1" applyAlignment="1">
      <alignment horizontal="left" vertical="top" wrapText="1"/>
    </xf>
    <xf numFmtId="0" fontId="0" fillId="0" borderId="1" xfId="0" applyBorder="1"/>
    <xf numFmtId="0" fontId="15" fillId="8" borderId="0" xfId="0" applyFont="1" applyFill="1" applyAlignment="1">
      <alignment horizontal="center" vertical="center"/>
    </xf>
    <xf numFmtId="0" fontId="16" fillId="0" borderId="0" xfId="0" applyFont="1" applyAlignment="1">
      <alignment horizontal="left" vertical="top" wrapText="1"/>
    </xf>
    <xf numFmtId="0" fontId="13"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showGridLines="0" workbookViewId="0">
      <pane ySplit="6" topLeftCell="A7" activePane="bottomLeft" state="frozen"/>
      <selection activeCell="B9" sqref="B9:D9"/>
      <selection pane="bottomLeft" activeCell="B9" sqref="B9:D9"/>
    </sheetView>
  </sheetViews>
  <sheetFormatPr baseColWidth="10" defaultColWidth="8.88671875" defaultRowHeight="14.4" x14ac:dyDescent="0.3"/>
  <cols>
    <col min="1" max="1" width="34" customWidth="1"/>
    <col min="2" max="2" width="16" customWidth="1"/>
    <col min="3" max="4" width="12" customWidth="1"/>
    <col min="5" max="5" width="30" customWidth="1"/>
    <col min="6" max="6" width="14" customWidth="1"/>
    <col min="7" max="7" width="12" customWidth="1"/>
    <col min="8" max="8" width="14" customWidth="1"/>
  </cols>
  <sheetData>
    <row r="1" spans="1:8" ht="18" customHeight="1" x14ac:dyDescent="0.3">
      <c r="A1" s="35" t="s">
        <v>0</v>
      </c>
      <c r="B1" s="36"/>
      <c r="C1" s="36"/>
      <c r="D1" s="36"/>
      <c r="E1" s="36"/>
      <c r="F1" s="36"/>
      <c r="G1" s="36"/>
      <c r="H1" s="36"/>
    </row>
    <row r="2" spans="1:8" ht="13.05" customHeight="1" x14ac:dyDescent="0.3">
      <c r="A2" s="41" t="s">
        <v>1</v>
      </c>
      <c r="B2" s="36"/>
      <c r="C2" s="36"/>
      <c r="D2" s="36"/>
      <c r="E2" s="36"/>
      <c r="F2" s="36"/>
      <c r="G2" s="36"/>
      <c r="H2" s="36"/>
    </row>
    <row r="3" spans="1:8" ht="13.05" customHeight="1" x14ac:dyDescent="0.3">
      <c r="A3" s="41" t="s">
        <v>2</v>
      </c>
      <c r="B3" s="36"/>
      <c r="C3" s="36"/>
      <c r="D3" s="36"/>
      <c r="E3" s="36"/>
      <c r="F3" s="36"/>
      <c r="G3" s="36"/>
      <c r="H3" s="36"/>
    </row>
    <row r="4" spans="1:8" ht="13.05" customHeight="1" x14ac:dyDescent="0.3">
      <c r="A4" s="41" t="s">
        <v>3</v>
      </c>
      <c r="B4" s="36"/>
      <c r="C4" s="36"/>
      <c r="D4" s="36"/>
      <c r="E4" s="36"/>
      <c r="F4" s="36"/>
      <c r="G4" s="36"/>
      <c r="H4" s="36"/>
    </row>
    <row r="5" spans="1:8" ht="19.95" customHeight="1" x14ac:dyDescent="0.3">
      <c r="A5" s="42" t="s">
        <v>4</v>
      </c>
      <c r="B5" s="36"/>
      <c r="C5" s="36"/>
      <c r="D5" s="36"/>
      <c r="E5" s="36"/>
      <c r="F5" s="36"/>
      <c r="G5" s="36"/>
      <c r="H5" s="36"/>
    </row>
    <row r="6" spans="1:8" ht="25.95" customHeight="1" x14ac:dyDescent="0.3">
      <c r="A6" s="38" t="s">
        <v>5</v>
      </c>
      <c r="B6" s="36"/>
      <c r="C6" s="36"/>
      <c r="D6" s="36"/>
      <c r="E6" s="36"/>
      <c r="F6" s="36"/>
      <c r="G6" s="36"/>
      <c r="H6" s="36"/>
    </row>
    <row r="8" spans="1:8" ht="16.05" customHeight="1" x14ac:dyDescent="0.3">
      <c r="A8" s="40" t="s">
        <v>6</v>
      </c>
      <c r="B8" s="36"/>
      <c r="C8" s="36"/>
      <c r="D8" s="36"/>
      <c r="E8" s="36"/>
      <c r="F8" s="36"/>
      <c r="G8" s="36"/>
      <c r="H8" s="36"/>
    </row>
    <row r="9" spans="1:8" ht="15" customHeight="1" x14ac:dyDescent="0.3">
      <c r="A9" s="12" t="s">
        <v>7</v>
      </c>
      <c r="B9" s="33" t="s">
        <v>8</v>
      </c>
      <c r="C9" s="34"/>
      <c r="D9" s="34"/>
      <c r="E9" s="12" t="s">
        <v>9</v>
      </c>
      <c r="F9" s="33" t="s">
        <v>10</v>
      </c>
      <c r="G9" s="34"/>
      <c r="H9" s="34"/>
    </row>
    <row r="10" spans="1:8" ht="15" customHeight="1" x14ac:dyDescent="0.3">
      <c r="A10" s="12" t="s">
        <v>11</v>
      </c>
      <c r="B10" s="33" t="s">
        <v>12</v>
      </c>
      <c r="C10" s="34"/>
      <c r="D10" s="34"/>
      <c r="E10" s="12" t="s">
        <v>13</v>
      </c>
      <c r="F10" s="33" t="s">
        <v>14</v>
      </c>
      <c r="G10" s="34"/>
      <c r="H10" s="34"/>
    </row>
    <row r="11" spans="1:8" ht="15" customHeight="1" x14ac:dyDescent="0.3">
      <c r="A11" s="12" t="s">
        <v>15</v>
      </c>
      <c r="B11" s="33" t="s">
        <v>16</v>
      </c>
      <c r="C11" s="34"/>
      <c r="D11" s="34"/>
      <c r="E11" s="12" t="s">
        <v>17</v>
      </c>
      <c r="F11" s="33" t="s">
        <v>18</v>
      </c>
      <c r="G11" s="34"/>
      <c r="H11" s="34"/>
    </row>
    <row r="12" spans="1:8" ht="15" customHeight="1" x14ac:dyDescent="0.3">
      <c r="A12" s="12" t="s">
        <v>19</v>
      </c>
      <c r="B12" s="33" t="s">
        <v>20</v>
      </c>
      <c r="C12" s="34"/>
      <c r="D12" s="34"/>
      <c r="E12" s="12" t="s">
        <v>21</v>
      </c>
      <c r="F12" s="33" t="s">
        <v>22</v>
      </c>
      <c r="G12" s="34"/>
      <c r="H12" s="34"/>
    </row>
    <row r="13" spans="1:8" ht="15" customHeight="1" x14ac:dyDescent="0.3">
      <c r="A13" s="12" t="s">
        <v>23</v>
      </c>
      <c r="B13" s="33">
        <v>109.86</v>
      </c>
      <c r="C13" s="34"/>
      <c r="D13" s="34"/>
      <c r="E13" s="12" t="s">
        <v>24</v>
      </c>
      <c r="F13" s="33" t="s">
        <v>25</v>
      </c>
      <c r="G13" s="34"/>
      <c r="H13" s="34"/>
    </row>
    <row r="14" spans="1:8" ht="15" customHeight="1" x14ac:dyDescent="0.3">
      <c r="A14" s="12" t="s">
        <v>26</v>
      </c>
      <c r="B14" s="33">
        <v>656578</v>
      </c>
      <c r="C14" s="34"/>
      <c r="D14" s="34"/>
      <c r="E14" s="12" t="s">
        <v>27</v>
      </c>
      <c r="F14" s="33">
        <v>9397762</v>
      </c>
      <c r="G14" s="34"/>
      <c r="H14" s="34"/>
    </row>
    <row r="15" spans="1:8" ht="15" customHeight="1" x14ac:dyDescent="0.3">
      <c r="A15" s="12" t="s">
        <v>28</v>
      </c>
      <c r="B15" s="33" t="s">
        <v>29</v>
      </c>
      <c r="C15" s="34"/>
      <c r="D15" s="34"/>
      <c r="E15" s="12" t="s">
        <v>30</v>
      </c>
      <c r="F15" s="33">
        <v>1896.5</v>
      </c>
      <c r="G15" s="34"/>
      <c r="H15" s="34"/>
    </row>
    <row r="16" spans="1:8" ht="15" customHeight="1" x14ac:dyDescent="0.3">
      <c r="A16" s="12" t="s">
        <v>31</v>
      </c>
      <c r="B16" s="33">
        <v>1450</v>
      </c>
      <c r="C16" s="34"/>
      <c r="D16" s="34"/>
      <c r="E16" s="12" t="s">
        <v>32</v>
      </c>
      <c r="F16" s="33">
        <v>2300</v>
      </c>
      <c r="G16" s="34"/>
      <c r="H16" s="34"/>
    </row>
    <row r="18" spans="1:8" ht="16.05" customHeight="1" x14ac:dyDescent="0.3">
      <c r="A18" s="40" t="s">
        <v>33</v>
      </c>
      <c r="B18" s="36"/>
      <c r="C18" s="36"/>
      <c r="D18" s="36"/>
      <c r="E18" s="36"/>
      <c r="F18" s="36"/>
      <c r="G18" s="36"/>
      <c r="H18" s="36"/>
    </row>
    <row r="19" spans="1:8" ht="15" customHeight="1" x14ac:dyDescent="0.3">
      <c r="A19" s="12" t="s">
        <v>34</v>
      </c>
      <c r="B19" s="39" t="s">
        <v>35</v>
      </c>
      <c r="C19" s="34"/>
      <c r="D19" s="34"/>
      <c r="E19" s="12" t="s">
        <v>36</v>
      </c>
      <c r="F19" s="39" t="s">
        <v>37</v>
      </c>
      <c r="G19" s="34"/>
      <c r="H19" s="34"/>
    </row>
    <row r="20" spans="1:8" ht="15" customHeight="1" x14ac:dyDescent="0.3">
      <c r="A20" s="12" t="s">
        <v>38</v>
      </c>
      <c r="B20" s="33" t="s">
        <v>39</v>
      </c>
      <c r="C20" s="34"/>
      <c r="D20" s="34"/>
      <c r="E20" s="12" t="s">
        <v>40</v>
      </c>
      <c r="F20" s="33" t="s">
        <v>41</v>
      </c>
      <c r="G20" s="34"/>
      <c r="H20" s="34"/>
    </row>
    <row r="21" spans="1:8" ht="15" customHeight="1" x14ac:dyDescent="0.3">
      <c r="A21" s="12" t="s">
        <v>42</v>
      </c>
      <c r="B21" s="33" t="s">
        <v>43</v>
      </c>
      <c r="C21" s="34"/>
      <c r="D21" s="34"/>
      <c r="E21" s="12" t="s">
        <v>44</v>
      </c>
      <c r="F21" s="33" t="s">
        <v>45</v>
      </c>
      <c r="G21" s="34"/>
      <c r="H21" s="34"/>
    </row>
    <row r="23" spans="1:8" ht="16.05" customHeight="1" x14ac:dyDescent="0.3">
      <c r="A23" s="40" t="s">
        <v>46</v>
      </c>
      <c r="B23" s="36"/>
      <c r="C23" s="36"/>
      <c r="D23" s="36"/>
      <c r="E23" s="36"/>
      <c r="F23" s="36"/>
      <c r="G23" s="36"/>
      <c r="H23" s="36"/>
    </row>
    <row r="24" spans="1:8" ht="15" customHeight="1" x14ac:dyDescent="0.3">
      <c r="A24" s="12" t="s">
        <v>47</v>
      </c>
      <c r="B24" s="33" t="s">
        <v>48</v>
      </c>
      <c r="C24" s="34"/>
      <c r="D24" s="34"/>
      <c r="E24" s="12" t="s">
        <v>49</v>
      </c>
      <c r="F24" s="33" t="s">
        <v>50</v>
      </c>
      <c r="G24" s="34"/>
      <c r="H24" s="34"/>
    </row>
    <row r="25" spans="1:8" ht="15" customHeight="1" x14ac:dyDescent="0.3">
      <c r="A25" s="12" t="s">
        <v>51</v>
      </c>
      <c r="B25" s="33">
        <v>69</v>
      </c>
      <c r="C25" s="34"/>
      <c r="D25" s="34"/>
      <c r="E25" s="12" t="s">
        <v>52</v>
      </c>
      <c r="F25" s="33">
        <v>93</v>
      </c>
      <c r="G25" s="34"/>
      <c r="H25" s="34"/>
    </row>
    <row r="26" spans="1:8" ht="15" customHeight="1" x14ac:dyDescent="0.3">
      <c r="A26" s="12" t="s">
        <v>53</v>
      </c>
      <c r="B26" s="33" t="s">
        <v>54</v>
      </c>
      <c r="C26" s="34"/>
      <c r="D26" s="34"/>
      <c r="E26" s="12" t="s">
        <v>55</v>
      </c>
      <c r="F26" s="33" t="s">
        <v>56</v>
      </c>
      <c r="G26" s="34"/>
      <c r="H26" s="34"/>
    </row>
    <row r="27" spans="1:8" ht="15" customHeight="1" x14ac:dyDescent="0.3">
      <c r="A27" s="12" t="s">
        <v>57</v>
      </c>
      <c r="B27" s="39" t="s">
        <v>58</v>
      </c>
      <c r="C27" s="34"/>
      <c r="D27" s="34"/>
      <c r="E27" s="12" t="s">
        <v>59</v>
      </c>
      <c r="F27" s="39" t="s">
        <v>60</v>
      </c>
      <c r="G27" s="34"/>
      <c r="H27" s="34"/>
    </row>
    <row r="28" spans="1:8" ht="15" customHeight="1" x14ac:dyDescent="0.3">
      <c r="A28" s="12" t="s">
        <v>61</v>
      </c>
      <c r="B28" s="33">
        <v>40</v>
      </c>
      <c r="C28" s="34"/>
      <c r="D28" s="34"/>
      <c r="E28" s="12" t="s">
        <v>62</v>
      </c>
      <c r="F28" s="33">
        <v>25</v>
      </c>
      <c r="G28" s="34"/>
      <c r="H28" s="34"/>
    </row>
    <row r="29" spans="1:8" ht="15" customHeight="1" x14ac:dyDescent="0.3">
      <c r="A29" s="12" t="s">
        <v>63</v>
      </c>
      <c r="B29" s="33" t="s">
        <v>64</v>
      </c>
      <c r="C29" s="34"/>
      <c r="D29" s="34"/>
      <c r="E29" s="12" t="s">
        <v>65</v>
      </c>
      <c r="F29" s="33" t="s">
        <v>66</v>
      </c>
      <c r="G29" s="34"/>
      <c r="H29" s="34"/>
    </row>
    <row r="30" spans="1:8" ht="15" customHeight="1" x14ac:dyDescent="0.3">
      <c r="A30" s="12" t="s">
        <v>67</v>
      </c>
      <c r="B30" s="33" t="s">
        <v>68</v>
      </c>
      <c r="C30" s="34"/>
      <c r="D30" s="34"/>
      <c r="E30" s="12" t="s">
        <v>69</v>
      </c>
      <c r="F30" s="33" t="s">
        <v>70</v>
      </c>
      <c r="G30" s="34"/>
      <c r="H30" s="34"/>
    </row>
    <row r="31" spans="1:8" ht="15" customHeight="1" x14ac:dyDescent="0.3">
      <c r="A31" s="12" t="s">
        <v>71</v>
      </c>
      <c r="B31" s="39" t="s">
        <v>72</v>
      </c>
      <c r="C31" s="34"/>
      <c r="D31" s="34"/>
      <c r="E31" s="12" t="s">
        <v>73</v>
      </c>
      <c r="F31" s="39" t="s">
        <v>74</v>
      </c>
      <c r="G31" s="34"/>
      <c r="H31" s="34"/>
    </row>
    <row r="33" spans="1:8" ht="16.05" customHeight="1" x14ac:dyDescent="0.3">
      <c r="A33" s="40" t="s">
        <v>75</v>
      </c>
      <c r="B33" s="36"/>
      <c r="C33" s="36"/>
      <c r="D33" s="36"/>
      <c r="E33" s="36"/>
      <c r="F33" s="36"/>
      <c r="G33" s="36"/>
      <c r="H33" s="36"/>
    </row>
    <row r="34" spans="1:8" ht="15" customHeight="1" x14ac:dyDescent="0.3">
      <c r="A34" s="12" t="s">
        <v>76</v>
      </c>
      <c r="B34" s="33" t="s">
        <v>77</v>
      </c>
      <c r="C34" s="34"/>
      <c r="D34" s="34"/>
      <c r="E34" s="37"/>
      <c r="F34" s="34"/>
      <c r="G34" s="34"/>
      <c r="H34" s="34"/>
    </row>
    <row r="35" spans="1:8" ht="15" customHeight="1" x14ac:dyDescent="0.3">
      <c r="A35" s="12" t="s">
        <v>78</v>
      </c>
      <c r="B35" s="33" t="s">
        <v>79</v>
      </c>
      <c r="C35" s="34"/>
      <c r="D35" s="34"/>
      <c r="E35" s="37"/>
      <c r="F35" s="34"/>
      <c r="G35" s="34"/>
      <c r="H35" s="34"/>
    </row>
    <row r="36" spans="1:8" ht="15" customHeight="1" x14ac:dyDescent="0.3">
      <c r="A36" s="12" t="s">
        <v>80</v>
      </c>
      <c r="B36" s="33" t="s">
        <v>81</v>
      </c>
      <c r="C36" s="34"/>
      <c r="D36" s="34"/>
      <c r="E36" s="37"/>
      <c r="F36" s="34"/>
      <c r="G36" s="34"/>
      <c r="H36" s="34"/>
    </row>
    <row r="37" spans="1:8" ht="15" customHeight="1" x14ac:dyDescent="0.3">
      <c r="A37" s="12" t="s">
        <v>82</v>
      </c>
      <c r="B37" s="33" t="s">
        <v>83</v>
      </c>
      <c r="C37" s="34"/>
      <c r="D37" s="34"/>
      <c r="E37" s="37"/>
      <c r="F37" s="34"/>
      <c r="G37" s="34"/>
      <c r="H37" s="34"/>
    </row>
    <row r="38" spans="1:8" ht="15" customHeight="1" x14ac:dyDescent="0.3">
      <c r="A38" s="12" t="s">
        <v>84</v>
      </c>
      <c r="B38" s="33" t="s">
        <v>85</v>
      </c>
      <c r="C38" s="34"/>
      <c r="D38" s="34"/>
      <c r="E38" s="37"/>
      <c r="F38" s="34"/>
      <c r="G38" s="34"/>
      <c r="H38" s="34"/>
    </row>
    <row r="39" spans="1:8" ht="15" customHeight="1" x14ac:dyDescent="0.3">
      <c r="A39" s="12" t="s">
        <v>86</v>
      </c>
      <c r="B39" s="33" t="s">
        <v>87</v>
      </c>
      <c r="C39" s="34"/>
      <c r="D39" s="34"/>
      <c r="E39" s="37"/>
      <c r="F39" s="34"/>
      <c r="G39" s="34"/>
      <c r="H39" s="34"/>
    </row>
    <row r="40" spans="1:8" ht="15" customHeight="1" x14ac:dyDescent="0.3">
      <c r="A40" s="12" t="s">
        <v>88</v>
      </c>
      <c r="B40" s="33" t="s">
        <v>89</v>
      </c>
      <c r="C40" s="34"/>
      <c r="D40" s="34"/>
      <c r="E40" s="37"/>
      <c r="F40" s="34"/>
      <c r="G40" s="34"/>
      <c r="H40" s="34"/>
    </row>
    <row r="41" spans="1:8" ht="15" customHeight="1" x14ac:dyDescent="0.3">
      <c r="A41" s="12" t="s">
        <v>90</v>
      </c>
      <c r="B41" s="33" t="s">
        <v>91</v>
      </c>
      <c r="C41" s="34"/>
      <c r="D41" s="34"/>
      <c r="E41" s="37"/>
      <c r="F41" s="34"/>
      <c r="G41" s="34"/>
      <c r="H41" s="34"/>
    </row>
    <row r="42" spans="1:8" ht="15" customHeight="1" x14ac:dyDescent="0.3">
      <c r="A42" s="12" t="s">
        <v>92</v>
      </c>
      <c r="B42" s="33" t="s">
        <v>93</v>
      </c>
      <c r="C42" s="34"/>
      <c r="D42" s="34"/>
      <c r="E42" s="37"/>
      <c r="F42" s="34"/>
      <c r="G42" s="34"/>
      <c r="H42" s="34"/>
    </row>
    <row r="44" spans="1:8" x14ac:dyDescent="0.3">
      <c r="A44" s="43" t="s">
        <v>94</v>
      </c>
      <c r="B44" s="36"/>
      <c r="C44" s="36"/>
      <c r="D44" s="36"/>
      <c r="E44" s="36"/>
      <c r="F44" s="36"/>
      <c r="G44" s="36"/>
      <c r="H44" s="36"/>
    </row>
    <row r="45" spans="1:8" x14ac:dyDescent="0.3">
      <c r="A45" s="36"/>
      <c r="B45" s="36"/>
      <c r="C45" s="36"/>
      <c r="D45" s="36"/>
      <c r="E45" s="36"/>
      <c r="F45" s="36"/>
      <c r="G45" s="36"/>
      <c r="H45" s="36"/>
    </row>
    <row r="46" spans="1:8" x14ac:dyDescent="0.3">
      <c r="A46" s="36"/>
      <c r="B46" s="36"/>
      <c r="C46" s="36"/>
      <c r="D46" s="36"/>
      <c r="E46" s="36"/>
      <c r="F46" s="36"/>
      <c r="G46" s="36"/>
      <c r="H46" s="36"/>
    </row>
  </sheetData>
  <mergeCells count="67">
    <mergeCell ref="A44:H46"/>
    <mergeCell ref="F24:H24"/>
    <mergeCell ref="E36:H36"/>
    <mergeCell ref="A2:H2"/>
    <mergeCell ref="B35:D35"/>
    <mergeCell ref="E35:H35"/>
    <mergeCell ref="B26:D26"/>
    <mergeCell ref="E38:H38"/>
    <mergeCell ref="A33:H33"/>
    <mergeCell ref="A5:H5"/>
    <mergeCell ref="A23:H23"/>
    <mergeCell ref="B25:D25"/>
    <mergeCell ref="A8:H8"/>
    <mergeCell ref="F11:H11"/>
    <mergeCell ref="B16:D16"/>
    <mergeCell ref="F29:H29"/>
    <mergeCell ref="F25:H25"/>
    <mergeCell ref="A4:H4"/>
    <mergeCell ref="F10:H10"/>
    <mergeCell ref="A3:H3"/>
    <mergeCell ref="B36:D36"/>
    <mergeCell ref="E39:H39"/>
    <mergeCell ref="F14:H14"/>
    <mergeCell ref="B41:D41"/>
    <mergeCell ref="F16:H16"/>
    <mergeCell ref="E40:H40"/>
    <mergeCell ref="F19:H19"/>
    <mergeCell ref="B31:D31"/>
    <mergeCell ref="E34:H34"/>
    <mergeCell ref="B27:D27"/>
    <mergeCell ref="B21:D21"/>
    <mergeCell ref="F12:H12"/>
    <mergeCell ref="F30:H30"/>
    <mergeCell ref="B12:D12"/>
    <mergeCell ref="B39:D39"/>
    <mergeCell ref="B9:D9"/>
    <mergeCell ref="B30:D30"/>
    <mergeCell ref="F9:H9"/>
    <mergeCell ref="B15:D15"/>
    <mergeCell ref="B24:D24"/>
    <mergeCell ref="B20:D20"/>
    <mergeCell ref="A18:H18"/>
    <mergeCell ref="F15:H15"/>
    <mergeCell ref="A1:H1"/>
    <mergeCell ref="B29:D29"/>
    <mergeCell ref="E41:H41"/>
    <mergeCell ref="B38:D38"/>
    <mergeCell ref="A6:H6"/>
    <mergeCell ref="B34:D34"/>
    <mergeCell ref="E37:H37"/>
    <mergeCell ref="B10:D10"/>
    <mergeCell ref="B28:D28"/>
    <mergeCell ref="B19:D19"/>
    <mergeCell ref="B37:D37"/>
    <mergeCell ref="F28:H28"/>
    <mergeCell ref="F13:H13"/>
    <mergeCell ref="F31:H31"/>
    <mergeCell ref="F27:H27"/>
    <mergeCell ref="B40:D40"/>
    <mergeCell ref="F20:H20"/>
    <mergeCell ref="B11:D11"/>
    <mergeCell ref="B42:D42"/>
    <mergeCell ref="B14:D14"/>
    <mergeCell ref="F21:H21"/>
    <mergeCell ref="B13:D13"/>
    <mergeCell ref="F26:H26"/>
    <mergeCell ref="E42:H4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35"/>
  <sheetViews>
    <sheetView showGridLines="0" zoomScaleNormal="100" workbookViewId="0">
      <pane ySplit="6" topLeftCell="A27" activePane="bottomLeft" state="frozen"/>
      <selection pane="bottomLeft" activeCell="B9" sqref="B9:D9"/>
    </sheetView>
  </sheetViews>
  <sheetFormatPr baseColWidth="10" defaultColWidth="8.6640625" defaultRowHeight="14.4" x14ac:dyDescent="0.3"/>
  <cols>
    <col min="1" max="1" width="38" customWidth="1"/>
    <col min="2" max="4" width="16" customWidth="1"/>
    <col min="5" max="5" width="24" customWidth="1"/>
    <col min="6" max="8" width="14" customWidth="1"/>
  </cols>
  <sheetData>
    <row r="1" spans="1:8" ht="21.75" customHeight="1" x14ac:dyDescent="0.3">
      <c r="A1" s="50" t="s">
        <v>95</v>
      </c>
      <c r="B1" s="36"/>
      <c r="C1" s="36"/>
      <c r="D1" s="36"/>
      <c r="E1" s="36"/>
      <c r="F1" s="36"/>
      <c r="G1" s="36"/>
      <c r="H1" s="36"/>
    </row>
    <row r="2" spans="1:8" ht="18" customHeight="1" x14ac:dyDescent="0.3">
      <c r="A2" s="53" t="s">
        <v>96</v>
      </c>
      <c r="B2" s="36"/>
      <c r="C2" s="36"/>
      <c r="D2" s="36"/>
      <c r="E2" s="36"/>
      <c r="F2" s="36"/>
      <c r="G2" s="36"/>
      <c r="H2" s="36"/>
    </row>
    <row r="3" spans="1:8" ht="30" customHeight="1" x14ac:dyDescent="0.3">
      <c r="A3" s="53" t="s">
        <v>97</v>
      </c>
      <c r="B3" s="36"/>
      <c r="C3" s="36"/>
      <c r="D3" s="36"/>
      <c r="E3" s="36"/>
      <c r="F3" s="36"/>
      <c r="G3" s="36"/>
      <c r="H3" s="36"/>
    </row>
    <row r="4" spans="1:8" ht="27.75" customHeight="1" x14ac:dyDescent="0.3">
      <c r="A4" s="55" t="s">
        <v>98</v>
      </c>
      <c r="B4" s="36"/>
      <c r="C4" s="36"/>
      <c r="D4" s="36"/>
      <c r="E4" s="36"/>
      <c r="F4" s="36"/>
      <c r="G4" s="36"/>
      <c r="H4" s="36"/>
    </row>
    <row r="5" spans="1:8" ht="27.75" customHeight="1" x14ac:dyDescent="0.3">
      <c r="A5" s="54" t="s">
        <v>99</v>
      </c>
      <c r="B5" s="36"/>
      <c r="C5" s="36"/>
      <c r="D5" s="36"/>
      <c r="E5" s="36"/>
      <c r="F5" s="36"/>
      <c r="G5" s="36"/>
      <c r="H5" s="36"/>
    </row>
    <row r="6" spans="1:8" ht="24" customHeight="1" x14ac:dyDescent="0.3">
      <c r="A6" s="51" t="s">
        <v>100</v>
      </c>
      <c r="B6" s="36"/>
      <c r="C6" s="36"/>
      <c r="D6" s="36"/>
      <c r="E6" s="36"/>
      <c r="F6" s="36"/>
      <c r="G6" s="36"/>
      <c r="H6" s="36"/>
    </row>
    <row r="7" spans="1:8" ht="21.75" customHeight="1" x14ac:dyDescent="0.3">
      <c r="A7" s="52" t="s">
        <v>101</v>
      </c>
      <c r="B7" s="36"/>
      <c r="C7" s="36"/>
      <c r="D7" s="36"/>
      <c r="E7" s="36"/>
      <c r="F7" s="36"/>
      <c r="G7" s="36"/>
      <c r="H7" s="36"/>
    </row>
    <row r="8" spans="1:8" ht="19.5" customHeight="1" x14ac:dyDescent="0.3">
      <c r="A8" s="1" t="s">
        <v>102</v>
      </c>
      <c r="B8" s="48">
        <v>46245</v>
      </c>
      <c r="C8" s="45"/>
      <c r="D8" s="46"/>
      <c r="E8" s="1" t="s">
        <v>103</v>
      </c>
      <c r="F8" s="47" t="s">
        <v>104</v>
      </c>
      <c r="G8" s="45"/>
      <c r="H8" s="46"/>
    </row>
    <row r="9" spans="1:8" ht="19.5" customHeight="1" x14ac:dyDescent="0.3">
      <c r="A9" s="1" t="s">
        <v>105</v>
      </c>
      <c r="B9" s="47" t="s">
        <v>35</v>
      </c>
      <c r="C9" s="45"/>
      <c r="D9" s="46"/>
      <c r="E9" s="1" t="s">
        <v>106</v>
      </c>
      <c r="F9" s="47" t="s">
        <v>107</v>
      </c>
      <c r="G9" s="45"/>
      <c r="H9" s="46"/>
    </row>
    <row r="10" spans="1:8" ht="19.5" customHeight="1" x14ac:dyDescent="0.3">
      <c r="A10" s="1" t="s">
        <v>108</v>
      </c>
      <c r="B10" s="47" t="s">
        <v>8</v>
      </c>
      <c r="C10" s="45"/>
      <c r="D10" s="46"/>
      <c r="E10" s="1" t="s">
        <v>109</v>
      </c>
      <c r="F10" s="44" t="str">
        <f>IFERROR(VLOOKUP($B$10,tbl_Bloques,2,FALSE()),"")</f>
        <v>C1076-Q9586</v>
      </c>
      <c r="G10" s="45"/>
      <c r="H10" s="46"/>
    </row>
    <row r="11" spans="1:8" ht="19.5" customHeight="1" x14ac:dyDescent="0.3">
      <c r="A11" s="1" t="s">
        <v>110</v>
      </c>
      <c r="B11" s="44" t="str">
        <f>IFERROR(VLOOKUP($B$10,tbl_Bloques,3,FALSE()),"")</f>
        <v>Huancabamba</v>
      </c>
      <c r="C11" s="45"/>
      <c r="D11" s="46"/>
      <c r="E11" s="1" t="s">
        <v>111</v>
      </c>
      <c r="F11" s="44" t="str">
        <f>IFERROR(VLOOKUP($B$10,tbl_Bloques,4,FALSE()),"")</f>
        <v>San Miguel de El Faique</v>
      </c>
      <c r="G11" s="45"/>
      <c r="H11" s="46"/>
    </row>
    <row r="12" spans="1:8" ht="19.5" customHeight="1" x14ac:dyDescent="0.3">
      <c r="A12" s="1" t="s">
        <v>112</v>
      </c>
      <c r="B12" s="44" t="str">
        <f>IFERROR(VLOOKUP($B$10,tbl_Bloques,5,FALSE()),"")</f>
        <v>Z12</v>
      </c>
      <c r="C12" s="45"/>
      <c r="D12" s="46"/>
      <c r="E12" s="1" t="s">
        <v>113</v>
      </c>
      <c r="F12" s="44">
        <f>IFERROR(VLOOKUP($B$10,tbl_Bloques,8,FALSE()),"")</f>
        <v>109.86</v>
      </c>
      <c r="G12" s="45"/>
      <c r="H12" s="46"/>
    </row>
    <row r="13" spans="1:8" ht="19.5" customHeight="1" x14ac:dyDescent="0.3">
      <c r="A13" s="1" t="s">
        <v>114</v>
      </c>
      <c r="B13" s="49" t="s">
        <v>104</v>
      </c>
      <c r="C13" s="45"/>
      <c r="D13" s="46"/>
      <c r="E13" s="1" t="s">
        <v>115</v>
      </c>
      <c r="F13" s="49" t="s">
        <v>104</v>
      </c>
      <c r="G13" s="45"/>
      <c r="H13" s="46"/>
    </row>
    <row r="14" spans="1:8" ht="19.5" customHeight="1" x14ac:dyDescent="0.3">
      <c r="A14" s="1" t="s">
        <v>116</v>
      </c>
      <c r="B14" s="47">
        <v>1896.5</v>
      </c>
      <c r="C14" s="45"/>
      <c r="D14" s="46"/>
      <c r="E14" s="1" t="s">
        <v>117</v>
      </c>
      <c r="F14" s="47" t="s">
        <v>118</v>
      </c>
      <c r="G14" s="45"/>
      <c r="H14" s="46"/>
    </row>
    <row r="15" spans="1:8" ht="19.5" customHeight="1" x14ac:dyDescent="0.3">
      <c r="A15" s="1" t="s">
        <v>119</v>
      </c>
      <c r="B15" s="47"/>
      <c r="C15" s="45"/>
      <c r="D15" s="45"/>
      <c r="E15" s="45"/>
      <c r="F15" s="45"/>
      <c r="G15" s="45"/>
      <c r="H15" s="46"/>
    </row>
    <row r="17" spans="1:8" ht="21.75" customHeight="1" x14ac:dyDescent="0.3">
      <c r="A17" s="52" t="s">
        <v>120</v>
      </c>
      <c r="B17" s="36"/>
      <c r="C17" s="36"/>
      <c r="D17" s="36"/>
      <c r="E17" s="36"/>
      <c r="F17" s="36"/>
      <c r="G17" s="36"/>
      <c r="H17" s="36"/>
    </row>
    <row r="18" spans="1:8" ht="19.5" customHeight="1" x14ac:dyDescent="0.3">
      <c r="A18" s="1" t="s">
        <v>121</v>
      </c>
      <c r="B18" s="47" t="s">
        <v>48</v>
      </c>
      <c r="C18" s="45"/>
      <c r="D18" s="45"/>
      <c r="E18" s="45"/>
      <c r="F18" s="45"/>
      <c r="G18" s="45"/>
      <c r="H18" s="46"/>
    </row>
    <row r="19" spans="1:8" ht="19.5" customHeight="1" x14ac:dyDescent="0.3">
      <c r="A19" s="1" t="s">
        <v>122</v>
      </c>
      <c r="B19" s="47" t="s">
        <v>50</v>
      </c>
      <c r="C19" s="45"/>
      <c r="D19" s="45"/>
      <c r="E19" s="45"/>
      <c r="F19" s="45"/>
      <c r="G19" s="45"/>
      <c r="H19" s="46"/>
    </row>
    <row r="20" spans="1:8" ht="19.5" customHeight="1" x14ac:dyDescent="0.3">
      <c r="A20" s="1" t="s">
        <v>123</v>
      </c>
      <c r="B20" s="47" t="s">
        <v>124</v>
      </c>
      <c r="C20" s="45"/>
      <c r="D20" s="45"/>
      <c r="E20" s="45"/>
      <c r="F20" s="45"/>
      <c r="G20" s="45"/>
      <c r="H20" s="46"/>
    </row>
    <row r="21" spans="1:8" ht="19.5" customHeight="1" x14ac:dyDescent="0.3">
      <c r="A21" s="1" t="s">
        <v>125</v>
      </c>
      <c r="B21" s="47" t="s">
        <v>126</v>
      </c>
      <c r="C21" s="45"/>
      <c r="D21" s="45"/>
      <c r="E21" s="45"/>
      <c r="F21" s="45"/>
      <c r="G21" s="45"/>
      <c r="H21" s="46"/>
    </row>
    <row r="22" spans="1:8" ht="19.5" customHeight="1" x14ac:dyDescent="0.3">
      <c r="A22" s="1" t="s">
        <v>127</v>
      </c>
      <c r="B22" s="47" t="s">
        <v>128</v>
      </c>
      <c r="C22" s="45"/>
      <c r="D22" s="45"/>
      <c r="E22" s="45"/>
      <c r="F22" s="45"/>
      <c r="G22" s="45"/>
      <c r="H22" s="46"/>
    </row>
    <row r="23" spans="1:8" ht="19.5" customHeight="1" x14ac:dyDescent="0.3">
      <c r="A23" s="1" t="s">
        <v>129</v>
      </c>
      <c r="B23" s="47" t="s">
        <v>130</v>
      </c>
      <c r="C23" s="45"/>
      <c r="D23" s="45"/>
      <c r="E23" s="45"/>
      <c r="F23" s="45"/>
      <c r="G23" s="45"/>
      <c r="H23" s="46"/>
    </row>
    <row r="25" spans="1:8" ht="21.75" customHeight="1" x14ac:dyDescent="0.3">
      <c r="A25" s="52" t="s">
        <v>131</v>
      </c>
      <c r="B25" s="36"/>
      <c r="C25" s="36"/>
      <c r="D25" s="36"/>
      <c r="E25" s="36"/>
      <c r="F25" s="36"/>
      <c r="G25" s="36"/>
      <c r="H25" s="36"/>
    </row>
    <row r="26" spans="1:8" ht="19.5" customHeight="1" x14ac:dyDescent="0.3">
      <c r="A26" s="1" t="s">
        <v>132</v>
      </c>
      <c r="B26" s="47" t="s">
        <v>133</v>
      </c>
      <c r="C26" s="45"/>
      <c r="D26" s="45"/>
      <c r="E26" s="45"/>
      <c r="F26" s="45"/>
      <c r="G26" s="45"/>
      <c r="H26" s="46"/>
    </row>
    <row r="27" spans="1:8" ht="19.5" customHeight="1" x14ac:dyDescent="0.3">
      <c r="A27" s="1" t="s">
        <v>134</v>
      </c>
      <c r="B27" s="47" t="s">
        <v>135</v>
      </c>
      <c r="C27" s="45"/>
      <c r="D27" s="45"/>
      <c r="E27" s="45"/>
      <c r="F27" s="45"/>
      <c r="G27" s="45"/>
      <c r="H27" s="46"/>
    </row>
    <row r="28" spans="1:8" ht="19.5" customHeight="1" x14ac:dyDescent="0.3">
      <c r="A28" s="1" t="s">
        <v>136</v>
      </c>
      <c r="B28" s="47" t="s">
        <v>135</v>
      </c>
      <c r="C28" s="45"/>
      <c r="D28" s="45"/>
      <c r="E28" s="45"/>
      <c r="F28" s="45"/>
      <c r="G28" s="45"/>
      <c r="H28" s="46"/>
    </row>
    <row r="29" spans="1:8" ht="19.5" customHeight="1" x14ac:dyDescent="0.3">
      <c r="A29" s="1" t="s">
        <v>137</v>
      </c>
      <c r="B29" s="47" t="s">
        <v>135</v>
      </c>
      <c r="C29" s="45"/>
      <c r="D29" s="45"/>
      <c r="E29" s="45"/>
      <c r="F29" s="45"/>
      <c r="G29" s="45"/>
      <c r="H29" s="46"/>
    </row>
    <row r="30" spans="1:8" ht="19.5" customHeight="1" x14ac:dyDescent="0.3">
      <c r="A30" s="1" t="s">
        <v>138</v>
      </c>
      <c r="B30" s="47" t="s">
        <v>135</v>
      </c>
      <c r="C30" s="45"/>
      <c r="D30" s="45"/>
      <c r="E30" s="45"/>
      <c r="F30" s="45"/>
      <c r="G30" s="45"/>
      <c r="H30" s="46"/>
    </row>
    <row r="32" spans="1:8" ht="21.75" customHeight="1" x14ac:dyDescent="0.3">
      <c r="A32" s="52" t="s">
        <v>139</v>
      </c>
      <c r="B32" s="36"/>
      <c r="C32" s="36"/>
      <c r="D32" s="36"/>
      <c r="E32" s="36"/>
      <c r="F32" s="36"/>
      <c r="G32" s="36"/>
      <c r="H32" s="36"/>
    </row>
    <row r="33" spans="1:8" ht="27.75" customHeight="1" x14ac:dyDescent="0.3">
      <c r="A33" s="56" t="s">
        <v>140</v>
      </c>
      <c r="B33" s="57"/>
      <c r="C33" s="57"/>
      <c r="D33" s="57"/>
      <c r="E33" s="57"/>
      <c r="F33" s="57"/>
      <c r="G33" s="57"/>
      <c r="H33" s="58"/>
    </row>
    <row r="34" spans="1:8" ht="27.75" customHeight="1" x14ac:dyDescent="0.3">
      <c r="A34" s="59"/>
      <c r="B34" s="36"/>
      <c r="C34" s="36"/>
      <c r="D34" s="36"/>
      <c r="E34" s="36"/>
      <c r="F34" s="36"/>
      <c r="G34" s="36"/>
      <c r="H34" s="60"/>
    </row>
    <row r="35" spans="1:8" ht="27.75" customHeight="1" x14ac:dyDescent="0.3">
      <c r="A35" s="61"/>
      <c r="B35" s="62"/>
      <c r="C35" s="62"/>
      <c r="D35" s="62"/>
      <c r="E35" s="62"/>
      <c r="F35" s="62"/>
      <c r="G35" s="62"/>
      <c r="H35" s="63"/>
    </row>
  </sheetData>
  <mergeCells count="37">
    <mergeCell ref="A4:H4"/>
    <mergeCell ref="F10:H10"/>
    <mergeCell ref="A33:H35"/>
    <mergeCell ref="B29:H29"/>
    <mergeCell ref="F12:H12"/>
    <mergeCell ref="B12:D12"/>
    <mergeCell ref="B19:H19"/>
    <mergeCell ref="B28:H28"/>
    <mergeCell ref="A5:H5"/>
    <mergeCell ref="A32:H32"/>
    <mergeCell ref="F11:H11"/>
    <mergeCell ref="A17:H17"/>
    <mergeCell ref="B23:H23"/>
    <mergeCell ref="A1:H1"/>
    <mergeCell ref="B20:H20"/>
    <mergeCell ref="A6:H6"/>
    <mergeCell ref="B10:D10"/>
    <mergeCell ref="B26:H26"/>
    <mergeCell ref="A7:H7"/>
    <mergeCell ref="F13:H13"/>
    <mergeCell ref="A25:H25"/>
    <mergeCell ref="B9:D9"/>
    <mergeCell ref="F9:H9"/>
    <mergeCell ref="B22:H22"/>
    <mergeCell ref="A3:H3"/>
    <mergeCell ref="F14:H14"/>
    <mergeCell ref="B18:H18"/>
    <mergeCell ref="B21:H21"/>
    <mergeCell ref="A2:H2"/>
    <mergeCell ref="B11:D11"/>
    <mergeCell ref="B14:D14"/>
    <mergeCell ref="B8:D8"/>
    <mergeCell ref="F8:H8"/>
    <mergeCell ref="B30:H30"/>
    <mergeCell ref="B13:D13"/>
    <mergeCell ref="B15:H15"/>
    <mergeCell ref="B27:H27"/>
  </mergeCells>
  <dataValidations count="11">
    <dataValidation type="list" allowBlank="1" errorTitle="Valor no válido" error="Seleccione un valor de la lista desplegable." promptTitle="Código de Bloque" prompt="Elija una opción de la lista." sqref="B10" xr:uid="{00000000-0002-0000-0100-000000000000}">
      <formula1>lst_CodigoBloque</formula1>
      <formula2>0</formula2>
    </dataValidation>
    <dataValidation type="list" allowBlank="1" errorTitle="Valor no válido" error="Seleccione un valor de la lista desplegable." promptTitle="Forma predominante del terreno" prompt="Elija una opción de la lista." sqref="B18" xr:uid="{00000000-0002-0000-0100-000001000000}">
      <formula1>lst_FormaTerreno</formula1>
      <formula2>0</formula2>
    </dataValidation>
    <dataValidation type="list" allowBlank="1" errorTitle="Valor no válido" error="Seleccione un valor de la lista desplegable." promptTitle="Rango de pendiente dominante *" prompt="Elija una opción de la lista." sqref="B19" xr:uid="{00000000-0002-0000-0100-000002000000}">
      <formula1>lst_RangoPendiente</formula1>
      <formula2>0</formula2>
    </dataValidation>
    <dataValidation type="list" allowBlank="1" errorTitle="Valor no válido" error="Seleccione un valor de la lista desplegable." promptTitle="Posición fisiográfica *" prompt="Elija una opción de la lista." sqref="B20" xr:uid="{00000000-0002-0000-0100-000003000000}">
      <formula1>lst_PosicionFisio</formula1>
      <formula2>0</formula2>
    </dataValidation>
    <dataValidation type="list" allowBlank="1" errorTitle="Valor no válido" error="Seleccione un valor de la lista desplegable." promptTitle="Exposición / Orientación domin" prompt="Elija una opción de la lista." sqref="B21" xr:uid="{00000000-0002-0000-0100-000004000000}">
      <formula1>lst_Exposicion</formula1>
      <formula2>0</formula2>
    </dataValidation>
    <dataValidation type="list" allowBlank="1" errorTitle="Valor no válido" error="Seleccione un valor de la lista desplegable." promptTitle="Rango altitudinal del bloque *" prompt="Elija una opción de la lista." sqref="B22" xr:uid="{00000000-0002-0000-0100-000005000000}">
      <formula1>lst_RangoAltitud</formula1>
      <formula2>0</formula2>
    </dataValidation>
    <dataValidation type="list" allowBlank="1" errorTitle="Valor no válido" error="Seleccione un valor de la lista desplegable." promptTitle="Presencia de afloramientos roc" prompt="Elija una opción de la lista." sqref="B26" xr:uid="{00000000-0002-0000-0100-000006000000}">
      <formula1>lst_SiNo</formula1>
      <formula2>0</formula2>
    </dataValidation>
    <dataValidation type="list" allowBlank="1" errorTitle="Valor no válido" error="Seleccione un valor de la lista desplegable." promptTitle="Presencia de escarpes activos " prompt="Elija una opción de la lista." sqref="B27" xr:uid="{00000000-0002-0000-0100-000007000000}">
      <formula1>lst_SiNo</formula1>
      <formula2>0</formula2>
    </dataValidation>
    <dataValidation type="list" allowBlank="1" errorTitle="Valor no válido" error="Seleccione un valor de la lista desplegable." promptTitle="¿Reptación de suelo observada?" prompt="Elija una opción de la lista." sqref="B28" xr:uid="{00000000-0002-0000-0100-000008000000}">
      <formula1>lst_SiNo</formula1>
      <formula2>0</formula2>
    </dataValidation>
    <dataValidation type="list" allowBlank="1" errorTitle="Valor no válido" error="Seleccione un valor de la lista desplegable." promptTitle="¿Deslizamientos antiguos obser" prompt="Elija una opción de la lista." sqref="B29" xr:uid="{00000000-0002-0000-0100-000009000000}">
      <formula1>lst_SiNo</formula1>
      <formula2>0</formula2>
    </dataValidation>
    <dataValidation type="list" allowBlank="1" errorTitle="Valor no válido" error="Seleccione un valor de la lista desplegable." promptTitle="¿Remociones en masa activas? *" prompt="Elija una opción de la lista." sqref="B30" xr:uid="{00000000-0002-0000-0100-00000A000000}">
      <formula1>lst_SiNo</formula1>
      <formula2>0</formula2>
    </dataValidation>
  </dataValidations>
  <printOptions horizontalCentered="1"/>
  <pageMargins left="0.4" right="0.4" top="0.5" bottom="0.5" header="0.2" footer="0.2"/>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44"/>
  <sheetViews>
    <sheetView showGridLines="0" zoomScaleNormal="100" workbookViewId="0">
      <pane ySplit="6" topLeftCell="A16" activePane="bottomLeft" state="frozen"/>
      <selection pane="bottomLeft" activeCell="J9" sqref="J9:L9"/>
    </sheetView>
  </sheetViews>
  <sheetFormatPr baseColWidth="10" defaultColWidth="8.6640625" defaultRowHeight="14.4" x14ac:dyDescent="0.3"/>
  <cols>
    <col min="1" max="1" width="10" customWidth="1"/>
    <col min="2" max="2" width="26" customWidth="1"/>
    <col min="3" max="3" width="11" customWidth="1"/>
    <col min="4" max="4" width="12" customWidth="1"/>
    <col min="5" max="5" width="11" customWidth="1"/>
    <col min="6" max="6" width="12" customWidth="1"/>
    <col min="7" max="9" width="9" customWidth="1"/>
    <col min="10" max="10" width="18" customWidth="1"/>
    <col min="11" max="11" width="22" customWidth="1"/>
    <col min="12" max="12" width="14" customWidth="1"/>
  </cols>
  <sheetData>
    <row r="1" spans="1:12" ht="21.75" customHeight="1" x14ac:dyDescent="0.3">
      <c r="A1" s="50" t="s">
        <v>95</v>
      </c>
      <c r="B1" s="36"/>
      <c r="C1" s="36"/>
      <c r="D1" s="36"/>
      <c r="E1" s="36"/>
      <c r="F1" s="36"/>
      <c r="G1" s="36"/>
      <c r="H1" s="36"/>
      <c r="I1" s="36"/>
      <c r="J1" s="36"/>
      <c r="K1" s="36"/>
      <c r="L1" s="36"/>
    </row>
    <row r="2" spans="1:12" ht="18" customHeight="1" x14ac:dyDescent="0.3">
      <c r="A2" s="53" t="s">
        <v>96</v>
      </c>
      <c r="B2" s="36"/>
      <c r="C2" s="36"/>
      <c r="D2" s="36"/>
      <c r="E2" s="36"/>
      <c r="F2" s="36"/>
      <c r="G2" s="36"/>
      <c r="H2" s="36"/>
      <c r="I2" s="36"/>
      <c r="J2" s="36"/>
      <c r="K2" s="36"/>
      <c r="L2" s="36"/>
    </row>
    <row r="3" spans="1:12" ht="30" customHeight="1" x14ac:dyDescent="0.3">
      <c r="A3" s="53" t="s">
        <v>97</v>
      </c>
      <c r="B3" s="36"/>
      <c r="C3" s="36"/>
      <c r="D3" s="36"/>
      <c r="E3" s="36"/>
      <c r="F3" s="36"/>
      <c r="G3" s="36"/>
      <c r="H3" s="36"/>
      <c r="I3" s="36"/>
      <c r="J3" s="36"/>
      <c r="K3" s="36"/>
      <c r="L3" s="36"/>
    </row>
    <row r="4" spans="1:12" ht="27.75" customHeight="1" x14ac:dyDescent="0.3">
      <c r="A4" s="55" t="s">
        <v>141</v>
      </c>
      <c r="B4" s="36"/>
      <c r="C4" s="36"/>
      <c r="D4" s="36"/>
      <c r="E4" s="36"/>
      <c r="F4" s="36"/>
      <c r="G4" s="36"/>
      <c r="H4" s="36"/>
      <c r="I4" s="36"/>
      <c r="J4" s="36"/>
      <c r="K4" s="36"/>
      <c r="L4" s="36"/>
    </row>
    <row r="5" spans="1:12" ht="27.75" customHeight="1" x14ac:dyDescent="0.3">
      <c r="A5" s="54" t="s">
        <v>142</v>
      </c>
      <c r="B5" s="36"/>
      <c r="C5" s="36"/>
      <c r="D5" s="36"/>
      <c r="E5" s="36"/>
      <c r="F5" s="36"/>
      <c r="G5" s="36"/>
      <c r="H5" s="36"/>
      <c r="I5" s="36"/>
      <c r="J5" s="36"/>
      <c r="K5" s="36"/>
      <c r="L5" s="36"/>
    </row>
    <row r="6" spans="1:12" ht="24" customHeight="1" x14ac:dyDescent="0.3">
      <c r="A6" s="51" t="s">
        <v>100</v>
      </c>
      <c r="B6" s="36"/>
      <c r="C6" s="36"/>
      <c r="D6" s="36"/>
      <c r="E6" s="36"/>
      <c r="F6" s="36"/>
      <c r="G6" s="36"/>
      <c r="H6" s="36"/>
      <c r="I6" s="36"/>
      <c r="J6" s="36"/>
      <c r="K6" s="36"/>
      <c r="L6" s="36"/>
    </row>
    <row r="7" spans="1:12" ht="21.75" customHeight="1" x14ac:dyDescent="0.3">
      <c r="A7" s="52" t="s">
        <v>143</v>
      </c>
      <c r="B7" s="36"/>
      <c r="C7" s="36"/>
      <c r="D7" s="36"/>
      <c r="E7" s="36"/>
      <c r="F7" s="36"/>
      <c r="G7" s="36"/>
      <c r="H7" s="36"/>
      <c r="I7" s="36"/>
      <c r="J7" s="36"/>
      <c r="K7" s="36"/>
      <c r="L7" s="36"/>
    </row>
    <row r="8" spans="1:12" ht="19.5" customHeight="1" x14ac:dyDescent="0.3">
      <c r="A8" s="64" t="s">
        <v>102</v>
      </c>
      <c r="B8" s="45"/>
      <c r="C8" s="46"/>
      <c r="D8" s="48">
        <v>46245</v>
      </c>
      <c r="E8" s="45"/>
      <c r="F8" s="46"/>
      <c r="G8" s="64" t="s">
        <v>144</v>
      </c>
      <c r="H8" s="45"/>
      <c r="I8" s="46"/>
      <c r="J8" s="47" t="s">
        <v>35</v>
      </c>
      <c r="K8" s="45"/>
      <c r="L8" s="46"/>
    </row>
    <row r="9" spans="1:12" ht="19.5" customHeight="1" x14ac:dyDescent="0.3">
      <c r="A9" s="64" t="s">
        <v>108</v>
      </c>
      <c r="B9" s="45"/>
      <c r="C9" s="46"/>
      <c r="D9" s="47" t="s">
        <v>8</v>
      </c>
      <c r="E9" s="45"/>
      <c r="F9" s="46"/>
      <c r="G9" s="64" t="s">
        <v>145</v>
      </c>
      <c r="H9" s="45"/>
      <c r="I9" s="46"/>
      <c r="J9" s="44" t="str">
        <f>IFERROR(VLOOKUP($D$9,tbl_Bloques,2,FALSE()),"")</f>
        <v>C1076-Q9586</v>
      </c>
      <c r="K9" s="45"/>
      <c r="L9" s="46"/>
    </row>
    <row r="10" spans="1:12" ht="19.5" customHeight="1" x14ac:dyDescent="0.3">
      <c r="A10" s="64" t="s">
        <v>111</v>
      </c>
      <c r="B10" s="45"/>
      <c r="C10" s="46"/>
      <c r="D10" s="44" t="str">
        <f>IFERROR(VLOOKUP($D$9,tbl_Bloques,4,FALSE()),"")</f>
        <v>San Miguel de El Faique</v>
      </c>
      <c r="E10" s="45"/>
      <c r="F10" s="46"/>
      <c r="G10" s="64" t="s">
        <v>146</v>
      </c>
      <c r="H10" s="45"/>
      <c r="I10" s="46"/>
      <c r="J10" s="47">
        <v>1896.5</v>
      </c>
      <c r="K10" s="45"/>
      <c r="L10" s="46"/>
    </row>
    <row r="11" spans="1:12" ht="19.5" customHeight="1" x14ac:dyDescent="0.3">
      <c r="A11" s="64" t="s">
        <v>147</v>
      </c>
      <c r="B11" s="45"/>
      <c r="C11" s="46"/>
      <c r="D11" s="49" t="s">
        <v>104</v>
      </c>
      <c r="E11" s="45"/>
      <c r="F11" s="46"/>
      <c r="G11" s="64" t="s">
        <v>148</v>
      </c>
      <c r="H11" s="45"/>
      <c r="I11" s="46"/>
      <c r="J11" s="49" t="s">
        <v>104</v>
      </c>
      <c r="K11" s="45"/>
      <c r="L11" s="46"/>
    </row>
    <row r="13" spans="1:12" ht="21.75" customHeight="1" x14ac:dyDescent="0.3">
      <c r="A13" s="52" t="s">
        <v>149</v>
      </c>
      <c r="B13" s="36"/>
      <c r="C13" s="36"/>
      <c r="D13" s="36"/>
      <c r="E13" s="36"/>
      <c r="F13" s="36"/>
      <c r="G13" s="36"/>
      <c r="H13" s="36"/>
      <c r="I13" s="36"/>
      <c r="J13" s="36"/>
      <c r="K13" s="36"/>
      <c r="L13" s="36"/>
    </row>
    <row r="14" spans="1:12" ht="19.5" customHeight="1" x14ac:dyDescent="0.3">
      <c r="A14" s="64" t="s">
        <v>150</v>
      </c>
      <c r="B14" s="45"/>
      <c r="C14" s="46"/>
      <c r="D14" s="47" t="s">
        <v>135</v>
      </c>
      <c r="E14" s="45"/>
      <c r="F14" s="45"/>
      <c r="G14" s="45"/>
      <c r="H14" s="45"/>
      <c r="I14" s="45"/>
      <c r="J14" s="45"/>
      <c r="K14" s="45"/>
      <c r="L14" s="46"/>
    </row>
    <row r="15" spans="1:12" ht="19.5" customHeight="1" x14ac:dyDescent="0.3">
      <c r="A15" s="64" t="s">
        <v>151</v>
      </c>
      <c r="B15" s="45"/>
      <c r="C15" s="46"/>
      <c r="D15" s="47" t="s">
        <v>133</v>
      </c>
      <c r="E15" s="45"/>
      <c r="F15" s="45"/>
      <c r="G15" s="45"/>
      <c r="H15" s="45"/>
      <c r="I15" s="45"/>
      <c r="J15" s="45"/>
      <c r="K15" s="45"/>
      <c r="L15" s="46"/>
    </row>
    <row r="16" spans="1:12" ht="19.5" customHeight="1" x14ac:dyDescent="0.3">
      <c r="A16" s="64" t="s">
        <v>152</v>
      </c>
      <c r="B16" s="45"/>
      <c r="C16" s="46"/>
      <c r="D16" s="47" t="s">
        <v>133</v>
      </c>
      <c r="E16" s="45"/>
      <c r="F16" s="45"/>
      <c r="G16" s="45"/>
      <c r="H16" s="45"/>
      <c r="I16" s="45"/>
      <c r="J16" s="45"/>
      <c r="K16" s="45"/>
      <c r="L16" s="46"/>
    </row>
    <row r="17" spans="1:12" ht="19.5" customHeight="1" x14ac:dyDescent="0.3">
      <c r="A17" s="64" t="s">
        <v>153</v>
      </c>
      <c r="B17" s="45"/>
      <c r="C17" s="46"/>
      <c r="D17" s="47" t="s">
        <v>68</v>
      </c>
      <c r="E17" s="45"/>
      <c r="F17" s="45"/>
      <c r="G17" s="45"/>
      <c r="H17" s="45"/>
      <c r="I17" s="45"/>
      <c r="J17" s="45"/>
      <c r="K17" s="45"/>
      <c r="L17" s="46"/>
    </row>
    <row r="19" spans="1:12" ht="21.75" customHeight="1" x14ac:dyDescent="0.3">
      <c r="A19" s="52" t="s">
        <v>154</v>
      </c>
      <c r="B19" s="36"/>
      <c r="C19" s="36"/>
      <c r="D19" s="36"/>
      <c r="E19" s="36"/>
      <c r="F19" s="36"/>
      <c r="G19" s="36"/>
      <c r="H19" s="36"/>
      <c r="I19" s="36"/>
      <c r="J19" s="36"/>
      <c r="K19" s="36"/>
      <c r="L19" s="36"/>
    </row>
    <row r="20" spans="1:12" ht="25.5" customHeight="1" x14ac:dyDescent="0.3">
      <c r="A20" s="65" t="s">
        <v>155</v>
      </c>
      <c r="B20" s="45"/>
      <c r="C20" s="45"/>
      <c r="D20" s="45"/>
      <c r="E20" s="45"/>
      <c r="F20" s="45"/>
      <c r="G20" s="45"/>
      <c r="H20" s="45"/>
      <c r="I20" s="45"/>
      <c r="J20" s="45"/>
      <c r="K20" s="45"/>
      <c r="L20" s="46"/>
    </row>
    <row r="21" spans="1:12" ht="31.5" customHeight="1" x14ac:dyDescent="0.3">
      <c r="A21" s="2" t="s">
        <v>156</v>
      </c>
      <c r="B21" s="2" t="s">
        <v>157</v>
      </c>
      <c r="C21" s="2" t="s">
        <v>158</v>
      </c>
      <c r="D21" s="2" t="s">
        <v>159</v>
      </c>
      <c r="E21" s="2" t="s">
        <v>160</v>
      </c>
      <c r="F21" s="2" t="s">
        <v>161</v>
      </c>
      <c r="G21" s="2" t="s">
        <v>162</v>
      </c>
      <c r="H21" s="2" t="s">
        <v>163</v>
      </c>
      <c r="I21" s="2" t="s">
        <v>164</v>
      </c>
      <c r="J21" s="2" t="s">
        <v>165</v>
      </c>
      <c r="K21" s="2" t="s">
        <v>166</v>
      </c>
      <c r="L21" s="2" t="s">
        <v>167</v>
      </c>
    </row>
    <row r="22" spans="1:12" ht="19.5" customHeight="1" x14ac:dyDescent="0.3">
      <c r="A22" s="3"/>
      <c r="B22" s="3"/>
      <c r="C22" s="3"/>
      <c r="D22" s="3"/>
      <c r="E22" s="3"/>
      <c r="F22" s="3"/>
      <c r="G22" s="3"/>
      <c r="H22" s="3"/>
      <c r="I22" s="3"/>
      <c r="J22" s="3"/>
      <c r="K22" s="4"/>
      <c r="L22" s="3"/>
    </row>
    <row r="23" spans="1:12" ht="19.5" customHeight="1" x14ac:dyDescent="0.3">
      <c r="A23" s="3"/>
      <c r="B23" s="3"/>
      <c r="C23" s="3"/>
      <c r="D23" s="3"/>
      <c r="E23" s="3"/>
      <c r="F23" s="3"/>
      <c r="G23" s="3"/>
      <c r="H23" s="3"/>
      <c r="I23" s="3"/>
      <c r="J23" s="3"/>
      <c r="K23" s="4"/>
      <c r="L23" s="3"/>
    </row>
    <row r="24" spans="1:12" ht="19.5" customHeight="1" x14ac:dyDescent="0.3">
      <c r="A24" s="3"/>
      <c r="B24" s="3"/>
      <c r="C24" s="3"/>
      <c r="D24" s="3"/>
      <c r="E24" s="3"/>
      <c r="F24" s="3"/>
      <c r="G24" s="3"/>
      <c r="H24" s="3"/>
      <c r="I24" s="3"/>
      <c r="J24" s="3"/>
      <c r="K24" s="4"/>
      <c r="L24" s="3"/>
    </row>
    <row r="25" spans="1:12" ht="19.5" customHeight="1" x14ac:dyDescent="0.3">
      <c r="A25" s="3"/>
      <c r="B25" s="3"/>
      <c r="C25" s="3"/>
      <c r="D25" s="3"/>
      <c r="E25" s="3"/>
      <c r="F25" s="3"/>
      <c r="G25" s="3"/>
      <c r="H25" s="3"/>
      <c r="I25" s="3"/>
      <c r="J25" s="3"/>
      <c r="K25" s="4"/>
      <c r="L25" s="3"/>
    </row>
    <row r="26" spans="1:12" ht="19.5" customHeight="1" x14ac:dyDescent="0.3">
      <c r="A26" s="3"/>
      <c r="B26" s="3"/>
      <c r="C26" s="3"/>
      <c r="D26" s="3"/>
      <c r="E26" s="3"/>
      <c r="F26" s="3"/>
      <c r="G26" s="3"/>
      <c r="H26" s="3"/>
      <c r="I26" s="3"/>
      <c r="J26" s="3"/>
      <c r="K26" s="4"/>
      <c r="L26" s="3"/>
    </row>
    <row r="27" spans="1:12" ht="19.5" customHeight="1" x14ac:dyDescent="0.3">
      <c r="A27" s="3"/>
      <c r="B27" s="3"/>
      <c r="C27" s="3"/>
      <c r="D27" s="3"/>
      <c r="E27" s="3"/>
      <c r="F27" s="3"/>
      <c r="G27" s="3"/>
      <c r="H27" s="3"/>
      <c r="I27" s="3"/>
      <c r="J27" s="3"/>
      <c r="K27" s="4"/>
      <c r="L27" s="3"/>
    </row>
    <row r="28" spans="1:12" ht="19.5" customHeight="1" x14ac:dyDescent="0.3">
      <c r="A28" s="3"/>
      <c r="B28" s="3"/>
      <c r="C28" s="3"/>
      <c r="D28" s="3"/>
      <c r="E28" s="3"/>
      <c r="F28" s="3"/>
      <c r="G28" s="3"/>
      <c r="H28" s="3"/>
      <c r="I28" s="3"/>
      <c r="J28" s="3"/>
      <c r="K28" s="4"/>
      <c r="L28" s="3"/>
    </row>
    <row r="29" spans="1:12" ht="19.5" customHeight="1" x14ac:dyDescent="0.3">
      <c r="A29" s="3"/>
      <c r="B29" s="3"/>
      <c r="C29" s="3"/>
      <c r="D29" s="3"/>
      <c r="E29" s="3"/>
      <c r="F29" s="3"/>
      <c r="G29" s="3"/>
      <c r="H29" s="3"/>
      <c r="I29" s="3"/>
      <c r="J29" s="3"/>
      <c r="K29" s="4"/>
      <c r="L29" s="3"/>
    </row>
    <row r="30" spans="1:12" ht="19.5" customHeight="1" x14ac:dyDescent="0.3">
      <c r="A30" s="3"/>
      <c r="B30" s="3"/>
      <c r="C30" s="3"/>
      <c r="D30" s="3"/>
      <c r="E30" s="3"/>
      <c r="F30" s="3"/>
      <c r="G30" s="3"/>
      <c r="H30" s="3"/>
      <c r="I30" s="3"/>
      <c r="J30" s="3"/>
      <c r="K30" s="4"/>
      <c r="L30" s="3"/>
    </row>
    <row r="31" spans="1:12" ht="19.5" customHeight="1" x14ac:dyDescent="0.3">
      <c r="A31" s="3"/>
      <c r="B31" s="3"/>
      <c r="C31" s="3"/>
      <c r="D31" s="3"/>
      <c r="E31" s="3"/>
      <c r="F31" s="3"/>
      <c r="G31" s="3"/>
      <c r="H31" s="3"/>
      <c r="I31" s="3"/>
      <c r="J31" s="3"/>
      <c r="K31" s="4"/>
      <c r="L31" s="3"/>
    </row>
    <row r="33" spans="1:12" ht="21.75" customHeight="1" x14ac:dyDescent="0.3">
      <c r="A33" s="52" t="s">
        <v>168</v>
      </c>
      <c r="B33" s="36"/>
      <c r="C33" s="36"/>
      <c r="D33" s="36"/>
      <c r="E33" s="36"/>
      <c r="F33" s="36"/>
      <c r="G33" s="36"/>
      <c r="H33" s="36"/>
      <c r="I33" s="36"/>
      <c r="J33" s="36"/>
      <c r="K33" s="36"/>
      <c r="L33" s="36"/>
    </row>
    <row r="34" spans="1:12" ht="19.5" customHeight="1" x14ac:dyDescent="0.3">
      <c r="A34" s="64" t="s">
        <v>169</v>
      </c>
      <c r="B34" s="45"/>
      <c r="C34" s="46"/>
      <c r="D34" s="47" t="s">
        <v>68</v>
      </c>
      <c r="E34" s="45"/>
      <c r="F34" s="45"/>
      <c r="G34" s="45"/>
      <c r="H34" s="45"/>
      <c r="I34" s="45"/>
      <c r="J34" s="45"/>
      <c r="K34" s="45"/>
      <c r="L34" s="46"/>
    </row>
    <row r="35" spans="1:12" ht="19.5" customHeight="1" x14ac:dyDescent="0.3">
      <c r="A35" s="64" t="s">
        <v>170</v>
      </c>
      <c r="B35" s="45"/>
      <c r="C35" s="46"/>
      <c r="D35" s="47">
        <v>0</v>
      </c>
      <c r="E35" s="45"/>
      <c r="F35" s="46"/>
      <c r="G35" s="64" t="s">
        <v>171</v>
      </c>
      <c r="H35" s="45"/>
      <c r="I35" s="46"/>
      <c r="J35" s="47">
        <v>0</v>
      </c>
      <c r="K35" s="45"/>
      <c r="L35" s="46"/>
    </row>
    <row r="36" spans="1:12" ht="19.5" customHeight="1" x14ac:dyDescent="0.3">
      <c r="A36" s="64" t="s">
        <v>172</v>
      </c>
      <c r="B36" s="45"/>
      <c r="C36" s="46"/>
      <c r="D36" s="47">
        <v>0</v>
      </c>
      <c r="E36" s="45"/>
      <c r="F36" s="46"/>
      <c r="G36" s="64" t="s">
        <v>173</v>
      </c>
      <c r="H36" s="45"/>
      <c r="I36" s="46"/>
      <c r="J36" s="47">
        <v>15</v>
      </c>
      <c r="K36" s="45"/>
      <c r="L36" s="46"/>
    </row>
    <row r="37" spans="1:12" ht="19.5" customHeight="1" x14ac:dyDescent="0.3">
      <c r="A37" s="64" t="s">
        <v>174</v>
      </c>
      <c r="B37" s="45"/>
      <c r="C37" s="46"/>
      <c r="D37" s="47" t="s">
        <v>175</v>
      </c>
      <c r="E37" s="45"/>
      <c r="F37" s="45"/>
      <c r="G37" s="45"/>
      <c r="H37" s="45"/>
      <c r="I37" s="45"/>
      <c r="J37" s="45"/>
      <c r="K37" s="45"/>
      <c r="L37" s="46"/>
    </row>
    <row r="38" spans="1:12" ht="19.5" customHeight="1" x14ac:dyDescent="0.3">
      <c r="A38" s="64" t="s">
        <v>176</v>
      </c>
      <c r="B38" s="45"/>
      <c r="C38" s="46"/>
      <c r="D38" s="47" t="s">
        <v>135</v>
      </c>
      <c r="E38" s="45"/>
      <c r="F38" s="45"/>
      <c r="G38" s="45"/>
      <c r="H38" s="45"/>
      <c r="I38" s="45"/>
      <c r="J38" s="45"/>
      <c r="K38" s="45"/>
      <c r="L38" s="46"/>
    </row>
    <row r="39" spans="1:12" ht="19.5" customHeight="1" x14ac:dyDescent="0.3">
      <c r="A39" s="64" t="s">
        <v>177</v>
      </c>
      <c r="B39" s="45"/>
      <c r="C39" s="46"/>
      <c r="D39" s="47" t="s">
        <v>70</v>
      </c>
      <c r="E39" s="45"/>
      <c r="F39" s="45"/>
      <c r="G39" s="45"/>
      <c r="H39" s="45"/>
      <c r="I39" s="45"/>
      <c r="J39" s="45"/>
      <c r="K39" s="45"/>
      <c r="L39" s="46"/>
    </row>
    <row r="41" spans="1:12" ht="21.75" customHeight="1" x14ac:dyDescent="0.3">
      <c r="A41" s="52" t="s">
        <v>139</v>
      </c>
      <c r="B41" s="36"/>
      <c r="C41" s="36"/>
      <c r="D41" s="36"/>
      <c r="E41" s="36"/>
      <c r="F41" s="36"/>
      <c r="G41" s="36"/>
      <c r="H41" s="36"/>
      <c r="I41" s="36"/>
      <c r="J41" s="36"/>
      <c r="K41" s="36"/>
      <c r="L41" s="36"/>
    </row>
    <row r="42" spans="1:12" ht="27.75" customHeight="1" x14ac:dyDescent="0.3">
      <c r="A42" s="56" t="s">
        <v>178</v>
      </c>
      <c r="B42" s="57"/>
      <c r="C42" s="57"/>
      <c r="D42" s="57"/>
      <c r="E42" s="57"/>
      <c r="F42" s="57"/>
      <c r="G42" s="57"/>
      <c r="H42" s="57"/>
      <c r="I42" s="57"/>
      <c r="J42" s="57"/>
      <c r="K42" s="57"/>
      <c r="L42" s="58"/>
    </row>
    <row r="43" spans="1:12" ht="27.75" customHeight="1" x14ac:dyDescent="0.3">
      <c r="A43" s="59"/>
      <c r="B43" s="36"/>
      <c r="C43" s="36"/>
      <c r="D43" s="36"/>
      <c r="E43" s="36"/>
      <c r="F43" s="36"/>
      <c r="G43" s="36"/>
      <c r="H43" s="36"/>
      <c r="I43" s="36"/>
      <c r="J43" s="36"/>
      <c r="K43" s="36"/>
      <c r="L43" s="60"/>
    </row>
    <row r="44" spans="1:12" ht="27.75" customHeight="1" x14ac:dyDescent="0.3">
      <c r="A44" s="61"/>
      <c r="B44" s="62"/>
      <c r="C44" s="62"/>
      <c r="D44" s="62"/>
      <c r="E44" s="62"/>
      <c r="F44" s="62"/>
      <c r="G44" s="62"/>
      <c r="H44" s="62"/>
      <c r="I44" s="62"/>
      <c r="J44" s="62"/>
      <c r="K44" s="62"/>
      <c r="L44" s="63"/>
    </row>
  </sheetData>
  <mergeCells count="53">
    <mergeCell ref="A1:L1"/>
    <mergeCell ref="G8:I8"/>
    <mergeCell ref="D36:F36"/>
    <mergeCell ref="A6:L6"/>
    <mergeCell ref="J9:L9"/>
    <mergeCell ref="A16:C16"/>
    <mergeCell ref="A42:L44"/>
    <mergeCell ref="A8:C8"/>
    <mergeCell ref="A5:L5"/>
    <mergeCell ref="A14:C14"/>
    <mergeCell ref="A17:C17"/>
    <mergeCell ref="G35:I35"/>
    <mergeCell ref="D9:F9"/>
    <mergeCell ref="A35:C35"/>
    <mergeCell ref="D8:F8"/>
    <mergeCell ref="D39:L39"/>
    <mergeCell ref="A38:C38"/>
    <mergeCell ref="A10:C10"/>
    <mergeCell ref="A20:L20"/>
    <mergeCell ref="D15:L15"/>
    <mergeCell ref="A19:L19"/>
    <mergeCell ref="D38:L38"/>
    <mergeCell ref="A3:L3"/>
    <mergeCell ref="D16:L16"/>
    <mergeCell ref="J11:L11"/>
    <mergeCell ref="A2:L2"/>
    <mergeCell ref="A33:L33"/>
    <mergeCell ref="A4:L4"/>
    <mergeCell ref="D14:L14"/>
    <mergeCell ref="A13:L13"/>
    <mergeCell ref="A9:C9"/>
    <mergeCell ref="G9:I9"/>
    <mergeCell ref="J8:L8"/>
    <mergeCell ref="A15:C15"/>
    <mergeCell ref="D10:F10"/>
    <mergeCell ref="G11:I11"/>
    <mergeCell ref="A11:C11"/>
    <mergeCell ref="J10:L10"/>
    <mergeCell ref="D11:F11"/>
    <mergeCell ref="G10:I10"/>
    <mergeCell ref="A7:L7"/>
    <mergeCell ref="A41:L41"/>
    <mergeCell ref="A37:C37"/>
    <mergeCell ref="J36:L36"/>
    <mergeCell ref="D17:L17"/>
    <mergeCell ref="J35:L35"/>
    <mergeCell ref="D37:L37"/>
    <mergeCell ref="D35:F35"/>
    <mergeCell ref="A39:C39"/>
    <mergeCell ref="A34:C34"/>
    <mergeCell ref="A36:C36"/>
    <mergeCell ref="D34:L34"/>
    <mergeCell ref="G36:I36"/>
  </mergeCells>
  <dataValidations count="12">
    <dataValidation type="list" allowBlank="1" errorTitle="Valor no válido" error="Seleccione un valor de la lista desplegable." promptTitle="Código de Bloque" prompt="Elija una opción de la lista." sqref="D9" xr:uid="{00000000-0002-0000-0200-000000000000}">
      <formula1>lst_CodigoBloque</formula1>
      <formula2>0</formula2>
    </dataValidation>
    <dataValidation type="list" allowBlank="1" errorTitle="Valor no válido" error="Seleccione un valor de la lista desplegable." promptTitle="Sellamiento / Costra superfici" prompt="Elija una opción de la lista." sqref="D14" xr:uid="{00000000-0002-0000-0200-000001000000}">
      <formula1>lst_SiNo</formula1>
      <formula2>0</formula2>
    </dataValidation>
    <dataValidation type="list" allowBlank="1" errorTitle="Valor no válido" error="Seleccione un valor de la lista desplegable." promptTitle="¿Compactación por pisoteo de g" prompt="Elija una opción de la lista." sqref="D15" xr:uid="{00000000-0002-0000-0200-000002000000}">
      <formula1>lst_SiNo</formula1>
      <formula2>0</formula2>
    </dataValidation>
    <dataValidation type="list" allowBlank="1" errorTitle="Valor no válido" error="Seleccione un valor de la lista desplegable." promptTitle="¿Raíces expuestas en superfici" prompt="Elija una opción de la lista." sqref="D16" xr:uid="{00000000-0002-0000-0200-000003000000}">
      <formula1>lst_SiNo</formula1>
      <formula2>0</formula2>
    </dataValidation>
    <dataValidation type="list" allowBlank="1" errorTitle="Valor no válido" error="Seleccione un valor de la lista desplegable." promptTitle="Nivel general de erosión obser" prompt="Elija una opción de la lista." sqref="D17" xr:uid="{00000000-0002-0000-0200-000004000000}">
      <formula1>lst_NivelErosion</formula1>
      <formula2>0</formula2>
    </dataValidation>
    <dataValidation type="list" allowBlank="1" errorTitle="Valor no válido" error="Seleccione un valor de la lista desplegable." promptTitle="Tipo de cárcava" prompt="Elija una opción de la lista." sqref="B22:B31" xr:uid="{00000000-0002-0000-0200-000005000000}">
      <formula1>lst_TipoCarcava</formula1>
      <formula2>0</formula2>
    </dataValidation>
    <dataValidation type="list" allowBlank="1" errorTitle="Valor no válido" error="Seleccione un valor de la lista desplegable." promptTitle="Estado / Actividad" prompt="Elija una opción de la lista." sqref="J22:J31" xr:uid="{00000000-0002-0000-0200-000006000000}">
      <formula1>lst_EstadoCarcava</formula1>
      <formula2>0</formula2>
    </dataValidation>
    <dataValidation type="list" allowBlank="1" errorTitle="Valor no válido" error="Seleccione un valor de la lista desplegable." promptTitle="Causa principal" prompt="Elija una opción de la lista." sqref="K22:K31" xr:uid="{00000000-0002-0000-0200-000007000000}">
      <formula1>lst_CausaCarcava</formula1>
      <formula2>0</formula2>
    </dataValidation>
    <dataValidation type="list" allowBlank="1" errorTitle="Valor no válido" error="Seleccione un valor de la lista desplegable." promptTitle="Nivel general de erosión (sínt" prompt="Elija una opción de la lista." sqref="D34" xr:uid="{00000000-0002-0000-0200-000008000000}">
      <formula1>lst_NivelErosion</formula1>
      <formula2>0</formula2>
    </dataValidation>
    <dataValidation type="list" allowBlank="1" errorTitle="Valor no válido" error="Seleccione un valor de la lista desplegable." promptTitle="Patrón de cárcavas dominante" prompt="Elija una opción de la lista." sqref="D37" xr:uid="{00000000-0002-0000-0200-000009000000}">
      <formula1>lst_PatronCarcavas</formula1>
      <formula2>0</formula2>
    </dataValidation>
    <dataValidation type="list" allowBlank="1" errorTitle="Valor no válido" error="Seleccione un valor de la lista desplegable." promptTitle="Presencia de socavamiento de c" prompt="Elija una opción de la lista." sqref="D38" xr:uid="{00000000-0002-0000-0200-00000A000000}">
      <formula1>lst_SiNo</formula1>
      <formula2>0</formula2>
    </dataValidation>
    <dataValidation type="list" allowBlank="1" errorTitle="Valor no válido" error="Seleccione un valor de la lista desplegable." promptTitle="Urgencia de control" prompt="Elija una opción de la lista." sqref="D39" xr:uid="{00000000-0002-0000-0200-00000B000000}">
      <formula1>lst_Urgencia</formula1>
      <formula2>0</formula2>
    </dataValidation>
  </dataValidations>
  <printOptions horizontalCentered="1"/>
  <pageMargins left="0.4" right="0.4" top="0.5" bottom="0.5" header="0.2" footer="0.2"/>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67"/>
  <sheetViews>
    <sheetView showGridLines="0" zoomScaleNormal="100" workbookViewId="0">
      <pane ySplit="6" topLeftCell="A52" activePane="bottomLeft" state="frozen"/>
      <selection pane="bottomLeft" activeCell="D53" sqref="D53:D57"/>
    </sheetView>
  </sheetViews>
  <sheetFormatPr baseColWidth="10" defaultColWidth="8.6640625" defaultRowHeight="14.4" x14ac:dyDescent="0.3"/>
  <cols>
    <col min="1" max="1" width="8" customWidth="1"/>
    <col min="2" max="2" width="26" customWidth="1"/>
    <col min="3" max="3" width="24" customWidth="1"/>
    <col min="4" max="4" width="18" customWidth="1"/>
    <col min="5" max="5" width="22" customWidth="1"/>
    <col min="6" max="6" width="14" customWidth="1"/>
    <col min="7" max="7" width="17" customWidth="1"/>
    <col min="8" max="8" width="13" customWidth="1"/>
    <col min="9" max="9" width="12" customWidth="1"/>
    <col min="10" max="10" width="30" customWidth="1"/>
  </cols>
  <sheetData>
    <row r="1" spans="1:9" ht="21.75" customHeight="1" x14ac:dyDescent="0.3">
      <c r="A1" s="50" t="s">
        <v>95</v>
      </c>
      <c r="B1" s="36"/>
      <c r="C1" s="36"/>
      <c r="D1" s="36"/>
      <c r="E1" s="36"/>
      <c r="F1" s="36"/>
      <c r="G1" s="36"/>
      <c r="H1" s="36"/>
      <c r="I1" s="36"/>
    </row>
    <row r="2" spans="1:9" ht="18" customHeight="1" x14ac:dyDescent="0.3">
      <c r="A2" s="53" t="s">
        <v>96</v>
      </c>
      <c r="B2" s="36"/>
      <c r="C2" s="36"/>
      <c r="D2" s="36"/>
      <c r="E2" s="36"/>
      <c r="F2" s="36"/>
      <c r="G2" s="36"/>
      <c r="H2" s="36"/>
      <c r="I2" s="36"/>
    </row>
    <row r="3" spans="1:9" ht="30" customHeight="1" x14ac:dyDescent="0.3">
      <c r="A3" s="53" t="s">
        <v>97</v>
      </c>
      <c r="B3" s="36"/>
      <c r="C3" s="36"/>
      <c r="D3" s="36"/>
      <c r="E3" s="36"/>
      <c r="F3" s="36"/>
      <c r="G3" s="36"/>
      <c r="H3" s="36"/>
      <c r="I3" s="36"/>
    </row>
    <row r="4" spans="1:9" ht="27.75" customHeight="1" x14ac:dyDescent="0.3">
      <c r="A4" s="55" t="s">
        <v>179</v>
      </c>
      <c r="B4" s="36"/>
      <c r="C4" s="36"/>
      <c r="D4" s="36"/>
      <c r="E4" s="36"/>
      <c r="F4" s="36"/>
      <c r="G4" s="36"/>
      <c r="H4" s="36"/>
      <c r="I4" s="36"/>
    </row>
    <row r="5" spans="1:9" ht="27.75" customHeight="1" x14ac:dyDescent="0.3">
      <c r="A5" s="54" t="s">
        <v>180</v>
      </c>
      <c r="B5" s="36"/>
      <c r="C5" s="36"/>
      <c r="D5" s="36"/>
      <c r="E5" s="36"/>
      <c r="F5" s="36"/>
      <c r="G5" s="36"/>
      <c r="H5" s="36"/>
      <c r="I5" s="36"/>
    </row>
    <row r="6" spans="1:9" ht="24" customHeight="1" x14ac:dyDescent="0.3">
      <c r="A6" s="51" t="s">
        <v>100</v>
      </c>
      <c r="B6" s="36"/>
      <c r="C6" s="36"/>
      <c r="D6" s="36"/>
      <c r="E6" s="36"/>
      <c r="F6" s="36"/>
      <c r="G6" s="36"/>
      <c r="H6" s="36"/>
      <c r="I6" s="36"/>
    </row>
    <row r="7" spans="1:9" ht="21.75" customHeight="1" x14ac:dyDescent="0.3">
      <c r="A7" s="52" t="s">
        <v>143</v>
      </c>
      <c r="B7" s="36"/>
      <c r="C7" s="36"/>
      <c r="D7" s="36"/>
      <c r="E7" s="36"/>
      <c r="F7" s="36"/>
      <c r="G7" s="36"/>
      <c r="H7" s="36"/>
      <c r="I7" s="36"/>
    </row>
    <row r="8" spans="1:9" ht="19.5" customHeight="1" x14ac:dyDescent="0.3">
      <c r="A8" s="64" t="s">
        <v>181</v>
      </c>
      <c r="B8" s="46"/>
      <c r="C8" s="48">
        <v>46245</v>
      </c>
      <c r="D8" s="46"/>
      <c r="E8" s="64" t="s">
        <v>144</v>
      </c>
      <c r="F8" s="46"/>
      <c r="G8" s="47" t="s">
        <v>35</v>
      </c>
      <c r="H8" s="45"/>
      <c r="I8" s="46"/>
    </row>
    <row r="9" spans="1:9" ht="19.5" customHeight="1" x14ac:dyDescent="0.3">
      <c r="A9" s="64" t="s">
        <v>108</v>
      </c>
      <c r="B9" s="46"/>
      <c r="C9" s="47" t="s">
        <v>8</v>
      </c>
      <c r="D9" s="46"/>
      <c r="E9" s="64" t="s">
        <v>182</v>
      </c>
      <c r="F9" s="46"/>
      <c r="G9" s="44" t="str">
        <f>IFERROR(VLOOKUP($C$9,tbl_Bloques,2,FALSE()),"")</f>
        <v>C1076-Q9586</v>
      </c>
      <c r="H9" s="45"/>
      <c r="I9" s="46"/>
    </row>
    <row r="10" spans="1:9" ht="19.5" customHeight="1" x14ac:dyDescent="0.3">
      <c r="A10" s="64" t="s">
        <v>111</v>
      </c>
      <c r="B10" s="46"/>
      <c r="C10" s="44" t="str">
        <f>IFERROR(VLOOKUP($C$9,tbl_Bloques,4,FALSE()),"")</f>
        <v>San Miguel de El Faique</v>
      </c>
      <c r="D10" s="46"/>
      <c r="E10" s="64" t="s">
        <v>44</v>
      </c>
      <c r="F10" s="46"/>
      <c r="G10" s="47" t="s">
        <v>183</v>
      </c>
      <c r="H10" s="45"/>
      <c r="I10" s="46"/>
    </row>
    <row r="11" spans="1:9" ht="19.5" customHeight="1" x14ac:dyDescent="0.3">
      <c r="A11" s="64" t="s">
        <v>184</v>
      </c>
      <c r="B11" s="46"/>
      <c r="C11" s="47" t="s">
        <v>185</v>
      </c>
      <c r="D11" s="46"/>
      <c r="E11" s="64" t="s">
        <v>146</v>
      </c>
      <c r="F11" s="46"/>
      <c r="G11" s="47">
        <v>1896.5</v>
      </c>
      <c r="H11" s="45"/>
      <c r="I11" s="46"/>
    </row>
    <row r="12" spans="1:9" ht="19.5" customHeight="1" x14ac:dyDescent="0.3">
      <c r="A12" s="64" t="s">
        <v>186</v>
      </c>
      <c r="B12" s="46"/>
      <c r="C12" s="47">
        <v>69</v>
      </c>
      <c r="D12" s="46"/>
      <c r="E12" s="64" t="s">
        <v>187</v>
      </c>
      <c r="F12" s="46"/>
      <c r="G12" s="47">
        <v>40</v>
      </c>
      <c r="H12" s="45"/>
      <c r="I12" s="46"/>
    </row>
    <row r="13" spans="1:9" ht="19.5" customHeight="1" x14ac:dyDescent="0.3">
      <c r="A13" s="64" t="s">
        <v>188</v>
      </c>
      <c r="B13" s="46"/>
      <c r="C13" s="49" t="s">
        <v>104</v>
      </c>
      <c r="D13" s="46"/>
      <c r="E13" s="64" t="s">
        <v>189</v>
      </c>
      <c r="F13" s="46"/>
      <c r="G13" s="49" t="s">
        <v>104</v>
      </c>
      <c r="H13" s="45"/>
      <c r="I13" s="46"/>
    </row>
    <row r="15" spans="1:9" ht="21.75" customHeight="1" x14ac:dyDescent="0.3">
      <c r="A15" s="52" t="s">
        <v>190</v>
      </c>
      <c r="B15" s="36"/>
      <c r="C15" s="36"/>
      <c r="D15" s="36"/>
      <c r="E15" s="36"/>
      <c r="F15" s="36"/>
      <c r="G15" s="36"/>
      <c r="H15" s="36"/>
      <c r="I15" s="36"/>
    </row>
    <row r="16" spans="1:9" ht="19.5" customHeight="1" x14ac:dyDescent="0.3">
      <c r="A16" s="64" t="s">
        <v>191</v>
      </c>
      <c r="B16" s="46"/>
      <c r="C16" s="47" t="s">
        <v>54</v>
      </c>
      <c r="D16" s="45"/>
      <c r="E16" s="45"/>
      <c r="F16" s="45"/>
      <c r="G16" s="45"/>
      <c r="H16" s="45"/>
      <c r="I16" s="46"/>
    </row>
    <row r="17" spans="1:9" ht="19.5" customHeight="1" x14ac:dyDescent="0.3">
      <c r="A17" s="64" t="s">
        <v>192</v>
      </c>
      <c r="B17" s="46"/>
      <c r="C17" s="47">
        <v>109.861</v>
      </c>
      <c r="D17" s="45"/>
      <c r="E17" s="45"/>
      <c r="F17" s="45"/>
      <c r="G17" s="45"/>
      <c r="H17" s="45"/>
      <c r="I17" s="46"/>
    </row>
    <row r="18" spans="1:9" ht="19.5" customHeight="1" x14ac:dyDescent="0.3">
      <c r="A18" s="64" t="s">
        <v>193</v>
      </c>
      <c r="B18" s="46"/>
      <c r="C18" s="47" t="s">
        <v>56</v>
      </c>
      <c r="D18" s="45"/>
      <c r="E18" s="45"/>
      <c r="F18" s="45"/>
      <c r="G18" s="45"/>
      <c r="H18" s="45"/>
      <c r="I18" s="46"/>
    </row>
    <row r="19" spans="1:9" ht="19.5" customHeight="1" x14ac:dyDescent="0.3">
      <c r="A19" s="64" t="s">
        <v>194</v>
      </c>
      <c r="B19" s="46"/>
      <c r="C19" s="47" t="s">
        <v>195</v>
      </c>
      <c r="D19" s="45"/>
      <c r="E19" s="45"/>
      <c r="F19" s="45"/>
      <c r="G19" s="45"/>
      <c r="H19" s="45"/>
      <c r="I19" s="46"/>
    </row>
    <row r="21" spans="1:9" ht="21.75" customHeight="1" x14ac:dyDescent="0.3">
      <c r="A21" s="52" t="s">
        <v>196</v>
      </c>
      <c r="B21" s="36"/>
      <c r="C21" s="36"/>
      <c r="D21" s="36"/>
      <c r="E21" s="36"/>
      <c r="F21" s="36"/>
      <c r="G21" s="36"/>
      <c r="H21" s="36"/>
      <c r="I21" s="36"/>
    </row>
    <row r="22" spans="1:9" ht="19.5" customHeight="1" x14ac:dyDescent="0.3">
      <c r="A22" s="64" t="s">
        <v>197</v>
      </c>
      <c r="B22" s="46"/>
      <c r="C22" s="47">
        <v>30</v>
      </c>
      <c r="D22" s="46"/>
      <c r="E22" s="64" t="s">
        <v>198</v>
      </c>
      <c r="F22" s="46"/>
      <c r="G22" s="47">
        <v>20</v>
      </c>
      <c r="H22" s="45"/>
      <c r="I22" s="46"/>
    </row>
    <row r="23" spans="1:9" ht="19.5" customHeight="1" x14ac:dyDescent="0.3">
      <c r="A23" s="64" t="s">
        <v>199</v>
      </c>
      <c r="B23" s="46"/>
      <c r="C23" s="47">
        <v>15</v>
      </c>
      <c r="D23" s="46"/>
      <c r="E23" s="64" t="s">
        <v>200</v>
      </c>
      <c r="F23" s="46"/>
      <c r="G23" s="47">
        <v>10</v>
      </c>
      <c r="H23" s="45"/>
      <c r="I23" s="46"/>
    </row>
    <row r="24" spans="1:9" ht="19.5" customHeight="1" x14ac:dyDescent="0.3">
      <c r="A24" s="64" t="s">
        <v>201</v>
      </c>
      <c r="B24" s="46"/>
      <c r="C24" s="47">
        <v>25</v>
      </c>
      <c r="D24" s="46"/>
      <c r="E24" s="64" t="s">
        <v>202</v>
      </c>
      <c r="F24" s="46"/>
      <c r="G24" s="47">
        <v>8</v>
      </c>
      <c r="H24" s="45"/>
      <c r="I24" s="46"/>
    </row>
    <row r="25" spans="1:9" ht="19.5" customHeight="1" x14ac:dyDescent="0.3">
      <c r="A25" s="64" t="s">
        <v>203</v>
      </c>
      <c r="B25" s="46"/>
      <c r="C25" s="47">
        <v>12</v>
      </c>
      <c r="D25" s="46"/>
      <c r="E25" s="64" t="s">
        <v>204</v>
      </c>
      <c r="F25" s="46"/>
      <c r="G25" s="47">
        <v>15</v>
      </c>
      <c r="H25" s="45"/>
      <c r="I25" s="46"/>
    </row>
    <row r="26" spans="1:9" ht="19.5" customHeight="1" x14ac:dyDescent="0.3">
      <c r="A26" s="64" t="s">
        <v>205</v>
      </c>
      <c r="B26" s="46"/>
      <c r="C26" s="47" t="s">
        <v>206</v>
      </c>
      <c r="D26" s="45"/>
      <c r="E26" s="45"/>
      <c r="F26" s="45"/>
      <c r="G26" s="45"/>
      <c r="H26" s="45"/>
      <c r="I26" s="46"/>
    </row>
    <row r="27" spans="1:9" ht="19.5" customHeight="1" x14ac:dyDescent="0.3">
      <c r="A27" s="64" t="s">
        <v>207</v>
      </c>
      <c r="B27" s="46"/>
      <c r="C27" s="47" t="s">
        <v>208</v>
      </c>
      <c r="D27" s="45"/>
      <c r="E27" s="45"/>
      <c r="F27" s="45"/>
      <c r="G27" s="45"/>
      <c r="H27" s="45"/>
      <c r="I27" s="46"/>
    </row>
    <row r="28" spans="1:9" ht="19.5" customHeight="1" x14ac:dyDescent="0.3">
      <c r="A28" s="64" t="s">
        <v>209</v>
      </c>
      <c r="B28" s="46"/>
      <c r="C28" s="47" t="s">
        <v>210</v>
      </c>
      <c r="D28" s="45"/>
      <c r="E28" s="45"/>
      <c r="F28" s="45"/>
      <c r="G28" s="45"/>
      <c r="H28" s="45"/>
      <c r="I28" s="46"/>
    </row>
    <row r="29" spans="1:9" ht="19.5" customHeight="1" x14ac:dyDescent="0.3">
      <c r="A29" s="64" t="s">
        <v>211</v>
      </c>
      <c r="B29" s="46"/>
      <c r="C29" s="47" t="s">
        <v>212</v>
      </c>
      <c r="D29" s="45"/>
      <c r="E29" s="45"/>
      <c r="F29" s="45"/>
      <c r="G29" s="45"/>
      <c r="H29" s="45"/>
      <c r="I29" s="46"/>
    </row>
    <row r="30" spans="1:9" ht="19.5" customHeight="1" x14ac:dyDescent="0.3">
      <c r="A30" s="64" t="s">
        <v>213</v>
      </c>
      <c r="B30" s="46"/>
      <c r="C30" s="47" t="s">
        <v>214</v>
      </c>
      <c r="D30" s="45"/>
      <c r="E30" s="45"/>
      <c r="F30" s="45"/>
      <c r="G30" s="45"/>
      <c r="H30" s="45"/>
      <c r="I30" s="46"/>
    </row>
    <row r="32" spans="1:9" ht="21.75" customHeight="1" x14ac:dyDescent="0.3">
      <c r="A32" s="52" t="s">
        <v>215</v>
      </c>
      <c r="B32" s="36"/>
      <c r="C32" s="36"/>
      <c r="D32" s="36"/>
      <c r="E32" s="36"/>
      <c r="F32" s="36"/>
      <c r="G32" s="36"/>
      <c r="H32" s="36"/>
      <c r="I32" s="36"/>
    </row>
    <row r="33" spans="1:10" ht="43.5" customHeight="1" x14ac:dyDescent="0.3">
      <c r="A33" s="65" t="s">
        <v>216</v>
      </c>
      <c r="B33" s="45"/>
      <c r="C33" s="45"/>
      <c r="D33" s="45"/>
      <c r="E33" s="45"/>
      <c r="F33" s="45"/>
      <c r="G33" s="45"/>
      <c r="H33" s="45"/>
      <c r="I33" s="46"/>
    </row>
    <row r="34" spans="1:10" ht="31.5" customHeight="1" x14ac:dyDescent="0.3">
      <c r="A34" s="2" t="s">
        <v>217</v>
      </c>
      <c r="B34" s="2" t="s">
        <v>218</v>
      </c>
      <c r="C34" s="2" t="s">
        <v>219</v>
      </c>
      <c r="D34" s="2" t="s">
        <v>220</v>
      </c>
      <c r="E34" s="2" t="s">
        <v>221</v>
      </c>
      <c r="F34" s="2" t="s">
        <v>222</v>
      </c>
      <c r="G34" s="2" t="s">
        <v>223</v>
      </c>
      <c r="H34" s="2" t="s">
        <v>224</v>
      </c>
      <c r="I34" s="2" t="s">
        <v>225</v>
      </c>
      <c r="J34" s="13" t="s">
        <v>226</v>
      </c>
    </row>
    <row r="35" spans="1:10" ht="18" customHeight="1" x14ac:dyDescent="0.3">
      <c r="A35" s="5">
        <v>1</v>
      </c>
      <c r="B35" s="14" t="s">
        <v>227</v>
      </c>
      <c r="C35" s="14" t="s">
        <v>228</v>
      </c>
      <c r="D35" s="14" t="s">
        <v>229</v>
      </c>
      <c r="E35" s="14" t="s">
        <v>230</v>
      </c>
      <c r="F35" s="15" t="s">
        <v>231</v>
      </c>
      <c r="G35" s="15"/>
      <c r="H35" s="15"/>
      <c r="I35" s="15"/>
      <c r="J35" s="16" t="s">
        <v>232</v>
      </c>
    </row>
    <row r="36" spans="1:10" ht="18" customHeight="1" x14ac:dyDescent="0.3">
      <c r="A36" s="5">
        <v>2</v>
      </c>
      <c r="B36" s="14" t="s">
        <v>233</v>
      </c>
      <c r="C36" s="14" t="s">
        <v>234</v>
      </c>
      <c r="D36" s="14" t="s">
        <v>235</v>
      </c>
      <c r="E36" s="14" t="s">
        <v>230</v>
      </c>
      <c r="F36" s="15" t="s">
        <v>236</v>
      </c>
      <c r="G36" s="15"/>
      <c r="H36" s="15"/>
      <c r="I36" s="15"/>
      <c r="J36" s="16" t="s">
        <v>232</v>
      </c>
    </row>
    <row r="37" spans="1:10" ht="18" customHeight="1" x14ac:dyDescent="0.3">
      <c r="A37" s="5">
        <v>3</v>
      </c>
      <c r="B37" s="14" t="s">
        <v>237</v>
      </c>
      <c r="C37" s="14" t="s">
        <v>238</v>
      </c>
      <c r="D37" s="14" t="s">
        <v>239</v>
      </c>
      <c r="E37" s="14" t="s">
        <v>240</v>
      </c>
      <c r="F37" s="15" t="s">
        <v>231</v>
      </c>
      <c r="G37" s="15"/>
      <c r="H37" s="15"/>
      <c r="I37" s="15"/>
      <c r="J37" s="16" t="s">
        <v>232</v>
      </c>
    </row>
    <row r="38" spans="1:10" ht="18" customHeight="1" x14ac:dyDescent="0.3">
      <c r="A38" s="5">
        <v>4</v>
      </c>
      <c r="B38" s="14" t="s">
        <v>241</v>
      </c>
      <c r="C38" s="14" t="s">
        <v>242</v>
      </c>
      <c r="D38" s="14" t="s">
        <v>243</v>
      </c>
      <c r="E38" s="14" t="s">
        <v>240</v>
      </c>
      <c r="F38" s="15" t="s">
        <v>236</v>
      </c>
      <c r="G38" s="15"/>
      <c r="H38" s="15"/>
      <c r="I38" s="15"/>
      <c r="J38" s="16" t="s">
        <v>232</v>
      </c>
    </row>
    <row r="39" spans="1:10" ht="18" customHeight="1" x14ac:dyDescent="0.3">
      <c r="A39" s="5">
        <v>5</v>
      </c>
      <c r="B39" s="14" t="s">
        <v>244</v>
      </c>
      <c r="C39" s="14" t="s">
        <v>245</v>
      </c>
      <c r="D39" s="14" t="s">
        <v>246</v>
      </c>
      <c r="E39" s="14" t="s">
        <v>240</v>
      </c>
      <c r="F39" s="15" t="s">
        <v>236</v>
      </c>
      <c r="G39" s="15"/>
      <c r="H39" s="15"/>
      <c r="I39" s="15"/>
      <c r="J39" s="16" t="s">
        <v>232</v>
      </c>
    </row>
    <row r="40" spans="1:10" ht="18" customHeight="1" x14ac:dyDescent="0.3">
      <c r="A40" s="5">
        <v>6</v>
      </c>
      <c r="B40" s="14" t="s">
        <v>247</v>
      </c>
      <c r="C40" s="14" t="s">
        <v>248</v>
      </c>
      <c r="D40" s="14" t="s">
        <v>243</v>
      </c>
      <c r="E40" s="14" t="s">
        <v>249</v>
      </c>
      <c r="F40" s="15" t="s">
        <v>236</v>
      </c>
      <c r="G40" s="15" t="s">
        <v>250</v>
      </c>
      <c r="H40" s="15"/>
      <c r="I40" s="15"/>
      <c r="J40" s="17" t="s">
        <v>251</v>
      </c>
    </row>
    <row r="41" spans="1:10" ht="18" customHeight="1" x14ac:dyDescent="0.3">
      <c r="A41" s="5">
        <v>7</v>
      </c>
      <c r="B41" s="14" t="s">
        <v>252</v>
      </c>
      <c r="C41" s="14" t="s">
        <v>253</v>
      </c>
      <c r="D41" s="14" t="s">
        <v>254</v>
      </c>
      <c r="E41" s="14" t="s">
        <v>255</v>
      </c>
      <c r="F41" s="15" t="s">
        <v>236</v>
      </c>
      <c r="G41" s="15"/>
      <c r="H41" s="15"/>
      <c r="I41" s="15"/>
      <c r="J41" s="16" t="s">
        <v>232</v>
      </c>
    </row>
    <row r="42" spans="1:10" ht="18" customHeight="1" x14ac:dyDescent="0.3">
      <c r="A42" s="5">
        <v>8</v>
      </c>
      <c r="B42" s="14" t="s">
        <v>256</v>
      </c>
      <c r="C42" s="14" t="s">
        <v>257</v>
      </c>
      <c r="D42" s="14" t="s">
        <v>258</v>
      </c>
      <c r="E42" s="14" t="s">
        <v>255</v>
      </c>
      <c r="F42" s="15" t="s">
        <v>231</v>
      </c>
      <c r="G42" s="15"/>
      <c r="H42" s="15"/>
      <c r="I42" s="15"/>
      <c r="J42" s="16" t="s">
        <v>232</v>
      </c>
    </row>
    <row r="43" spans="1:10" ht="18" customHeight="1" x14ac:dyDescent="0.3">
      <c r="A43" s="5">
        <v>9</v>
      </c>
      <c r="B43" s="14" t="s">
        <v>259</v>
      </c>
      <c r="C43" s="14" t="s">
        <v>260</v>
      </c>
      <c r="D43" s="14" t="s">
        <v>261</v>
      </c>
      <c r="E43" s="14" t="s">
        <v>255</v>
      </c>
      <c r="F43" s="15" t="s">
        <v>231</v>
      </c>
      <c r="G43" s="15"/>
      <c r="H43" s="15"/>
      <c r="I43" s="15"/>
      <c r="J43" s="16" t="s">
        <v>232</v>
      </c>
    </row>
    <row r="44" spans="1:10" ht="18" customHeight="1" x14ac:dyDescent="0.3">
      <c r="A44" s="5">
        <v>10</v>
      </c>
      <c r="B44" s="14" t="s">
        <v>262</v>
      </c>
      <c r="C44" s="14" t="s">
        <v>263</v>
      </c>
      <c r="D44" s="14" t="s">
        <v>246</v>
      </c>
      <c r="E44" s="14" t="s">
        <v>264</v>
      </c>
      <c r="F44" s="15" t="s">
        <v>231</v>
      </c>
      <c r="G44" s="15"/>
      <c r="H44" s="15"/>
      <c r="I44" s="15"/>
      <c r="J44" s="16" t="s">
        <v>232</v>
      </c>
    </row>
    <row r="45" spans="1:10" ht="18" customHeight="1" x14ac:dyDescent="0.3">
      <c r="A45" s="5">
        <v>11</v>
      </c>
      <c r="B45" s="14" t="s">
        <v>265</v>
      </c>
      <c r="C45" s="14" t="s">
        <v>266</v>
      </c>
      <c r="D45" s="14" t="s">
        <v>246</v>
      </c>
      <c r="E45" s="14" t="s">
        <v>264</v>
      </c>
      <c r="F45" s="15" t="s">
        <v>231</v>
      </c>
      <c r="G45" s="15"/>
      <c r="H45" s="15"/>
      <c r="I45" s="15"/>
      <c r="J45" s="16" t="s">
        <v>232</v>
      </c>
    </row>
    <row r="46" spans="1:10" ht="18" customHeight="1" x14ac:dyDescent="0.3">
      <c r="A46" s="5">
        <v>12</v>
      </c>
      <c r="B46" s="4"/>
      <c r="C46" s="4"/>
      <c r="D46" s="4"/>
      <c r="E46" s="3"/>
      <c r="F46" s="3"/>
      <c r="G46" s="3"/>
      <c r="H46" s="3"/>
      <c r="I46" s="3"/>
    </row>
    <row r="47" spans="1:10" ht="18" customHeight="1" x14ac:dyDescent="0.3">
      <c r="A47" s="5">
        <v>13</v>
      </c>
      <c r="B47" s="4"/>
      <c r="C47" s="4"/>
      <c r="D47" s="4"/>
      <c r="E47" s="3"/>
      <c r="F47" s="3"/>
      <c r="G47" s="3"/>
      <c r="H47" s="3"/>
      <c r="I47" s="3"/>
    </row>
    <row r="48" spans="1:10" ht="18" customHeight="1" x14ac:dyDescent="0.3">
      <c r="A48" s="5">
        <v>14</v>
      </c>
      <c r="B48" s="4"/>
      <c r="C48" s="4"/>
      <c r="D48" s="4"/>
      <c r="E48" s="3"/>
      <c r="F48" s="3"/>
      <c r="G48" s="3"/>
      <c r="H48" s="3"/>
      <c r="I48" s="3"/>
    </row>
    <row r="49" spans="1:9" ht="18" customHeight="1" x14ac:dyDescent="0.3">
      <c r="A49" s="5">
        <v>15</v>
      </c>
      <c r="B49" s="4"/>
      <c r="C49" s="4"/>
      <c r="D49" s="4"/>
      <c r="E49" s="3"/>
      <c r="F49" s="3"/>
      <c r="G49" s="3"/>
      <c r="H49" s="3"/>
      <c r="I49" s="3"/>
    </row>
    <row r="51" spans="1:9" ht="21.75" customHeight="1" x14ac:dyDescent="0.3">
      <c r="A51" s="52" t="s">
        <v>267</v>
      </c>
      <c r="B51" s="36"/>
      <c r="C51" s="36"/>
      <c r="D51" s="36"/>
      <c r="E51" s="36"/>
      <c r="F51" s="36"/>
      <c r="G51" s="36"/>
      <c r="H51" s="36"/>
      <c r="I51" s="36"/>
    </row>
    <row r="52" spans="1:9" ht="30" customHeight="1" x14ac:dyDescent="0.3">
      <c r="A52" s="2" t="s">
        <v>217</v>
      </c>
      <c r="B52" s="2" t="s">
        <v>268</v>
      </c>
      <c r="C52" s="2" t="s">
        <v>269</v>
      </c>
      <c r="D52" s="2" t="s">
        <v>270</v>
      </c>
      <c r="E52" s="2" t="s">
        <v>271</v>
      </c>
      <c r="F52" s="2" t="s">
        <v>272</v>
      </c>
      <c r="G52" s="2" t="s">
        <v>273</v>
      </c>
      <c r="H52" s="2" t="s">
        <v>274</v>
      </c>
      <c r="I52" s="2" t="s">
        <v>275</v>
      </c>
    </row>
    <row r="53" spans="1:9" ht="18" customHeight="1" x14ac:dyDescent="0.3">
      <c r="A53" s="5">
        <v>1</v>
      </c>
      <c r="B53" s="14" t="s">
        <v>276</v>
      </c>
      <c r="C53" s="14" t="s">
        <v>277</v>
      </c>
      <c r="D53" s="14" t="s">
        <v>175</v>
      </c>
      <c r="E53" s="3"/>
      <c r="F53" s="3"/>
      <c r="G53" s="15"/>
      <c r="H53" s="15"/>
      <c r="I53" s="14" t="s">
        <v>278</v>
      </c>
    </row>
    <row r="54" spans="1:9" ht="18" customHeight="1" x14ac:dyDescent="0.3">
      <c r="A54" s="5">
        <v>2</v>
      </c>
      <c r="B54" s="14" t="s">
        <v>279</v>
      </c>
      <c r="C54" s="14" t="s">
        <v>277</v>
      </c>
      <c r="D54" s="14" t="s">
        <v>280</v>
      </c>
      <c r="E54" s="3"/>
      <c r="F54" s="3"/>
      <c r="G54" s="15"/>
      <c r="H54" s="15"/>
      <c r="I54" s="14" t="s">
        <v>281</v>
      </c>
    </row>
    <row r="55" spans="1:9" ht="18" customHeight="1" x14ac:dyDescent="0.3">
      <c r="A55" s="5">
        <v>3</v>
      </c>
      <c r="B55" s="14" t="s">
        <v>282</v>
      </c>
      <c r="C55" s="14" t="s">
        <v>283</v>
      </c>
      <c r="D55" s="14" t="s">
        <v>175</v>
      </c>
      <c r="E55" s="3"/>
      <c r="F55" s="3"/>
      <c r="G55" s="15"/>
      <c r="H55" s="15"/>
      <c r="I55" s="14" t="s">
        <v>284</v>
      </c>
    </row>
    <row r="56" spans="1:9" ht="18" customHeight="1" x14ac:dyDescent="0.3">
      <c r="A56" s="5">
        <v>4</v>
      </c>
      <c r="B56" s="14" t="s">
        <v>285</v>
      </c>
      <c r="C56" s="14" t="s">
        <v>286</v>
      </c>
      <c r="D56" s="14" t="s">
        <v>280</v>
      </c>
      <c r="E56" s="3"/>
      <c r="F56" s="3"/>
      <c r="G56" s="15"/>
      <c r="H56" s="15"/>
      <c r="I56" s="14" t="s">
        <v>287</v>
      </c>
    </row>
    <row r="57" spans="1:9" ht="18" customHeight="1" x14ac:dyDescent="0.3">
      <c r="A57" s="5">
        <v>5</v>
      </c>
      <c r="B57" s="14" t="s">
        <v>288</v>
      </c>
      <c r="C57" s="14" t="s">
        <v>286</v>
      </c>
      <c r="D57" s="14" t="s">
        <v>175</v>
      </c>
      <c r="E57" s="3"/>
      <c r="F57" s="3"/>
      <c r="G57" s="15"/>
      <c r="H57" s="15"/>
      <c r="I57" s="14" t="s">
        <v>289</v>
      </c>
    </row>
    <row r="58" spans="1:9" ht="18" customHeight="1" x14ac:dyDescent="0.3">
      <c r="A58" s="5">
        <v>6</v>
      </c>
      <c r="B58" s="4"/>
      <c r="C58" s="4"/>
      <c r="D58" s="4"/>
      <c r="E58" s="3"/>
      <c r="F58" s="3"/>
      <c r="G58" s="3"/>
      <c r="H58" s="3"/>
      <c r="I58" s="4"/>
    </row>
    <row r="59" spans="1:9" ht="18" customHeight="1" x14ac:dyDescent="0.3">
      <c r="A59" s="5">
        <v>7</v>
      </c>
      <c r="B59" s="4"/>
      <c r="C59" s="4"/>
      <c r="D59" s="4"/>
      <c r="E59" s="3"/>
      <c r="F59" s="3"/>
      <c r="G59" s="3"/>
      <c r="H59" s="3"/>
      <c r="I59" s="4"/>
    </row>
    <row r="60" spans="1:9" ht="18" customHeight="1" x14ac:dyDescent="0.3">
      <c r="A60" s="5">
        <v>8</v>
      </c>
      <c r="B60" s="4"/>
      <c r="C60" s="4"/>
      <c r="D60" s="4"/>
      <c r="E60" s="3"/>
      <c r="F60" s="3"/>
      <c r="G60" s="3"/>
      <c r="H60" s="3"/>
      <c r="I60" s="4"/>
    </row>
    <row r="61" spans="1:9" ht="18" customHeight="1" x14ac:dyDescent="0.3">
      <c r="A61" s="5">
        <v>9</v>
      </c>
      <c r="B61" s="4"/>
      <c r="C61" s="4"/>
      <c r="D61" s="4"/>
      <c r="E61" s="3"/>
      <c r="F61" s="3"/>
      <c r="G61" s="3"/>
      <c r="H61" s="3"/>
      <c r="I61" s="4"/>
    </row>
    <row r="62" spans="1:9" ht="18" customHeight="1" x14ac:dyDescent="0.3">
      <c r="A62" s="5">
        <v>10</v>
      </c>
      <c r="B62" s="4"/>
      <c r="C62" s="4"/>
      <c r="D62" s="4"/>
      <c r="E62" s="3"/>
      <c r="F62" s="3"/>
      <c r="G62" s="3"/>
      <c r="H62" s="3"/>
      <c r="I62" s="4"/>
    </row>
    <row r="64" spans="1:9" ht="21.75" customHeight="1" x14ac:dyDescent="0.3">
      <c r="A64" s="52" t="s">
        <v>139</v>
      </c>
      <c r="B64" s="36"/>
      <c r="C64" s="36"/>
      <c r="D64" s="36"/>
      <c r="E64" s="36"/>
      <c r="F64" s="36"/>
      <c r="G64" s="36"/>
      <c r="H64" s="36"/>
      <c r="I64" s="36"/>
    </row>
    <row r="65" spans="1:9" ht="90" customHeight="1" x14ac:dyDescent="0.3">
      <c r="A65" s="66" t="s">
        <v>290</v>
      </c>
      <c r="B65" s="57"/>
      <c r="C65" s="57"/>
      <c r="D65" s="57"/>
      <c r="E65" s="57"/>
      <c r="F65" s="57"/>
      <c r="G65" s="57"/>
      <c r="H65" s="57"/>
      <c r="I65" s="58"/>
    </row>
    <row r="66" spans="1:9" ht="27.75" customHeight="1" x14ac:dyDescent="0.3">
      <c r="A66" s="59"/>
      <c r="B66" s="36"/>
      <c r="C66" s="36"/>
      <c r="D66" s="36"/>
      <c r="E66" s="36"/>
      <c r="F66" s="36"/>
      <c r="G66" s="36"/>
      <c r="H66" s="36"/>
      <c r="I66" s="60"/>
    </row>
    <row r="67" spans="1:9" ht="27.75" customHeight="1" x14ac:dyDescent="0.3">
      <c r="A67" s="61"/>
      <c r="B67" s="62"/>
      <c r="C67" s="62"/>
      <c r="D67" s="62"/>
      <c r="E67" s="62"/>
      <c r="F67" s="62"/>
      <c r="G67" s="62"/>
      <c r="H67" s="62"/>
      <c r="I67" s="63"/>
    </row>
  </sheetData>
  <mergeCells count="72">
    <mergeCell ref="A1:I1"/>
    <mergeCell ref="G8:I8"/>
    <mergeCell ref="A13:B13"/>
    <mergeCell ref="A28:B28"/>
    <mergeCell ref="E22:F22"/>
    <mergeCell ref="C13:D13"/>
    <mergeCell ref="A6:I6"/>
    <mergeCell ref="A9:B9"/>
    <mergeCell ref="C27:I27"/>
    <mergeCell ref="A64:I64"/>
    <mergeCell ref="A15:I15"/>
    <mergeCell ref="A29:B29"/>
    <mergeCell ref="A51:I51"/>
    <mergeCell ref="E25:F25"/>
    <mergeCell ref="A19:B19"/>
    <mergeCell ref="G23:I23"/>
    <mergeCell ref="A2:I2"/>
    <mergeCell ref="C10:D10"/>
    <mergeCell ref="C18:I18"/>
    <mergeCell ref="A25:B25"/>
    <mergeCell ref="A5:I5"/>
    <mergeCell ref="E10:F10"/>
    <mergeCell ref="C25:D25"/>
    <mergeCell ref="E13:F13"/>
    <mergeCell ref="C22:D22"/>
    <mergeCell ref="C9:D9"/>
    <mergeCell ref="A18:B18"/>
    <mergeCell ref="E9:F9"/>
    <mergeCell ref="A4:I4"/>
    <mergeCell ref="A12:B12"/>
    <mergeCell ref="G25:I25"/>
    <mergeCell ref="C12:D12"/>
    <mergeCell ref="A3:I3"/>
    <mergeCell ref="E8:F8"/>
    <mergeCell ref="A21:I21"/>
    <mergeCell ref="C19:I19"/>
    <mergeCell ref="G24:I24"/>
    <mergeCell ref="A16:B16"/>
    <mergeCell ref="G22:I22"/>
    <mergeCell ref="C11:D11"/>
    <mergeCell ref="E11:F11"/>
    <mergeCell ref="G9:I9"/>
    <mergeCell ref="G12:I12"/>
    <mergeCell ref="C16:I16"/>
    <mergeCell ref="A17:B17"/>
    <mergeCell ref="A23:B23"/>
    <mergeCell ref="A8:B8"/>
    <mergeCell ref="C23:D23"/>
    <mergeCell ref="A65:I67"/>
    <mergeCell ref="G13:I13"/>
    <mergeCell ref="C17:I17"/>
    <mergeCell ref="E24:F24"/>
    <mergeCell ref="A11:B11"/>
    <mergeCell ref="E23:F23"/>
    <mergeCell ref="C28:I28"/>
    <mergeCell ref="A32:I32"/>
    <mergeCell ref="A33:I33"/>
    <mergeCell ref="C30:I30"/>
    <mergeCell ref="A27:B27"/>
    <mergeCell ref="A26:B26"/>
    <mergeCell ref="C26:I26"/>
    <mergeCell ref="C29:I29"/>
    <mergeCell ref="A22:B22"/>
    <mergeCell ref="G11:I11"/>
    <mergeCell ref="A7:I7"/>
    <mergeCell ref="E12:F12"/>
    <mergeCell ref="A24:B24"/>
    <mergeCell ref="A30:B30"/>
    <mergeCell ref="G10:I10"/>
    <mergeCell ref="C24:D24"/>
    <mergeCell ref="C8:D8"/>
    <mergeCell ref="A10:B10"/>
  </mergeCells>
  <dataValidations count="14">
    <dataValidation type="list" allowBlank="1" errorTitle="Valor no válido" error="Seleccione un valor de la lista desplegable." promptTitle="Código de Bloque" prompt="Elija una opción de la lista." sqref="C9" xr:uid="{00000000-0002-0000-0300-000000000000}">
      <formula1>lst_CodigoBloque</formula1>
      <formula2>0</formula2>
    </dataValidation>
    <dataValidation type="list" allowBlank="1" errorTitle="Valor no válido" error="Seleccione un valor de la lista desplegable." promptTitle="Tipo de ecosistema MINAM (domi" prompt="Elija una opción de la lista." sqref="C16" xr:uid="{00000000-0002-0000-0300-000001000000}">
      <formula1>lst_TipoEcosistema</formula1>
      <formula2>0</formula2>
    </dataValidation>
    <dataValidation type="list" allowBlank="1" errorTitle="Valor no válido" error="Seleccione un valor de la lista desplegable." promptTitle="Estado de conservación general" prompt="Elija una opción de la lista." sqref="C18" xr:uid="{00000000-0002-0000-0300-000002000000}">
      <formula1>lst_EstadoConservacion</formula1>
      <formula2>0</formula2>
    </dataValidation>
    <dataValidation type="list" allowBlank="1" errorTitle="Valor no válido" error="Seleccione un valor de la lista desplegable." promptTitle="Uso actual dominante del suelo" prompt="Elija una opción de la lista." sqref="C19" xr:uid="{00000000-0002-0000-0300-000003000000}">
      <formula1>lst_UsoSueloDom</formula1>
      <formula2>0</formula2>
    </dataValidation>
    <dataValidation type="list" allowBlank="1" errorTitle="Valor no válido" error="Seleccione un valor de la lista desplegable." promptTitle="Regeneración natural observada" prompt="Elija una opción de la lista." sqref="C26" xr:uid="{00000000-0002-0000-0300-000004000000}">
      <formula1>lst_Regeneracion</formula1>
      <formula2>0</formula2>
    </dataValidation>
    <dataValidation type="list" allowBlank="1" errorTitle="Valor no válido" error="Seleccione un valor de la lista desplegable." promptTitle="Estado sanitario general del d" prompt="Elija una opción de la lista." sqref="C27" xr:uid="{00000000-0002-0000-0300-000005000000}">
      <formula1>lst_EstadoSanitario</formula1>
      <formula2>0</formula2>
    </dataValidation>
    <dataValidation type="list" allowBlank="1" errorTitle="Valor no válido" error="Seleccione un valor de la lista desplegable." promptTitle="Presencia de epífitas (cualita" prompt="Elija una opción de la lista." sqref="C28" xr:uid="{00000000-0002-0000-0300-000006000000}">
      <formula1>lst_SiNo</formula1>
      <formula2>0</formula2>
    </dataValidation>
    <dataValidation type="list" allowBlank="1" errorTitle="Valor no válido" error="Seleccione un valor de la lista desplegable." promptTitle="Fenología dominante (época de " prompt="Elija una opción de la lista." sqref="C29" xr:uid="{00000000-0002-0000-0300-000007000000}">
      <formula1>lst_Fenologia</formula1>
      <formula2>0</formula2>
    </dataValidation>
    <dataValidation type="list" allowBlank="1" errorTitle="Valor no válido" error="Seleccione un valor de la lista desplegable." promptTitle="Tipo de cobertura vegetal domi" prompt="Elija una opción de la lista." sqref="C30" xr:uid="{00000000-0002-0000-0300-000008000000}">
      <formula1>lst_TipoCobertura</formula1>
      <formula2>0</formula2>
    </dataValidation>
    <dataValidation type="list" allowBlank="1" errorTitle="Valor no válido" error="Seleccione un valor de la lista desplegable." promptTitle="Estrato" prompt="Elija una opción de la lista." sqref="E35:E49" xr:uid="{00000000-0002-0000-0300-000009000000}">
      <formula1>lst_Estrato</formula1>
      <formula2>0</formula2>
    </dataValidation>
    <dataValidation type="list" allowBlank="1" errorTitle="Valor no válido" error="Seleccione un valor de la lista desplegable." promptTitle="Origen" prompt="Elija una opción de la lista." sqref="F35:F49" xr:uid="{00000000-0002-0000-0300-00000A000000}">
      <formula1>lst_Origen</formula1>
      <formula2>0</formula2>
    </dataValidation>
    <dataValidation type="list" allowBlank="1" errorTitle="Valor no válido" error="Seleccione un valor de la lista desplegable." promptTitle="Abundancia" prompt="Elija una opción de la lista." sqref="G35:G49" xr:uid="{00000000-0002-0000-0300-00000B000000}">
      <formula1>lst_Abundancia</formula1>
      <formula2>0</formula2>
    </dataValidation>
    <dataValidation type="list" allowBlank="1" errorTitle="Valor no válido" error="Seleccione un valor de la lista desplegable." promptTitle="Categoría" prompt="Elija una opción de la lista." sqref="C53:C62" xr:uid="{00000000-0002-0000-0300-00000C000000}">
      <formula1>lst_CategoriaIndicadora</formula1>
      <formula2>0</formula2>
    </dataValidation>
    <dataValidation type="list" allowBlank="1" errorTitle="Valor no válido" error="Seleccione un valor de la lista desplegable." promptTitle="Estado UICN / D.S. 043" prompt="Elija una opción de la lista." sqref="D53:D62" xr:uid="{00000000-0002-0000-0300-00000D000000}">
      <formula1>lst_EstadoUICN</formula1>
      <formula2>0</formula2>
    </dataValidation>
  </dataValidations>
  <printOptions horizontalCentered="1"/>
  <pageMargins left="0.4" right="0.4" top="0.5" bottom="0.5" header="0.2" footer="0.2"/>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G54"/>
  <sheetViews>
    <sheetView showGridLines="0" zoomScaleNormal="100" workbookViewId="0">
      <pane ySplit="6" topLeftCell="A34" activePane="bottomLeft" state="frozen"/>
      <selection pane="bottomLeft" activeCell="D35" sqref="D35:G42"/>
    </sheetView>
  </sheetViews>
  <sheetFormatPr baseColWidth="10" defaultColWidth="8.6640625" defaultRowHeight="14.4" x14ac:dyDescent="0.3"/>
  <cols>
    <col min="1" max="1" width="6" customWidth="1"/>
    <col min="2" max="2" width="32" customWidth="1"/>
    <col min="3" max="3" width="13" customWidth="1"/>
    <col min="4" max="4" width="14" customWidth="1"/>
    <col min="5" max="5" width="13" customWidth="1"/>
    <col min="6" max="6" width="14" customWidth="1"/>
    <col min="7" max="7" width="32" customWidth="1"/>
  </cols>
  <sheetData>
    <row r="1" spans="1:7" ht="21.75" customHeight="1" x14ac:dyDescent="0.3">
      <c r="A1" s="50" t="s">
        <v>95</v>
      </c>
      <c r="B1" s="36"/>
      <c r="C1" s="36"/>
      <c r="D1" s="36"/>
      <c r="E1" s="36"/>
      <c r="F1" s="36"/>
      <c r="G1" s="36"/>
    </row>
    <row r="2" spans="1:7" ht="18" customHeight="1" x14ac:dyDescent="0.3">
      <c r="A2" s="53" t="s">
        <v>96</v>
      </c>
      <c r="B2" s="36"/>
      <c r="C2" s="36"/>
      <c r="D2" s="36"/>
      <c r="E2" s="36"/>
      <c r="F2" s="36"/>
      <c r="G2" s="36"/>
    </row>
    <row r="3" spans="1:7" ht="30" customHeight="1" x14ac:dyDescent="0.3">
      <c r="A3" s="53" t="s">
        <v>97</v>
      </c>
      <c r="B3" s="36"/>
      <c r="C3" s="36"/>
      <c r="D3" s="36"/>
      <c r="E3" s="36"/>
      <c r="F3" s="36"/>
      <c r="G3" s="36"/>
    </row>
    <row r="4" spans="1:7" ht="27.75" customHeight="1" x14ac:dyDescent="0.3">
      <c r="A4" s="55" t="s">
        <v>291</v>
      </c>
      <c r="B4" s="36"/>
      <c r="C4" s="36"/>
      <c r="D4" s="36"/>
      <c r="E4" s="36"/>
      <c r="F4" s="36"/>
      <c r="G4" s="36"/>
    </row>
    <row r="5" spans="1:7" ht="27.75" customHeight="1" x14ac:dyDescent="0.3">
      <c r="A5" s="54" t="s">
        <v>292</v>
      </c>
      <c r="B5" s="36"/>
      <c r="C5" s="36"/>
      <c r="D5" s="36"/>
      <c r="E5" s="36"/>
      <c r="F5" s="36"/>
      <c r="G5" s="36"/>
    </row>
    <row r="6" spans="1:7" ht="24" customHeight="1" x14ac:dyDescent="0.3">
      <c r="A6" s="51" t="s">
        <v>100</v>
      </c>
      <c r="B6" s="36"/>
      <c r="C6" s="36"/>
      <c r="D6" s="36"/>
      <c r="E6" s="36"/>
      <c r="F6" s="36"/>
      <c r="G6" s="36"/>
    </row>
    <row r="7" spans="1:7" ht="21.75" customHeight="1" x14ac:dyDescent="0.3">
      <c r="A7" s="52" t="s">
        <v>143</v>
      </c>
      <c r="B7" s="36"/>
      <c r="C7" s="36"/>
      <c r="D7" s="36"/>
      <c r="E7" s="36"/>
      <c r="F7" s="36"/>
      <c r="G7" s="36"/>
    </row>
    <row r="8" spans="1:7" ht="19.5" customHeight="1" x14ac:dyDescent="0.3">
      <c r="A8" s="64" t="s">
        <v>181</v>
      </c>
      <c r="B8" s="46"/>
      <c r="C8" s="48">
        <v>46245</v>
      </c>
      <c r="D8" s="45"/>
      <c r="E8" s="45"/>
      <c r="F8" s="45"/>
      <c r="G8" s="46"/>
    </row>
    <row r="9" spans="1:7" ht="19.5" customHeight="1" x14ac:dyDescent="0.3">
      <c r="A9" s="64" t="s">
        <v>144</v>
      </c>
      <c r="B9" s="46"/>
      <c r="C9" s="47" t="s">
        <v>35</v>
      </c>
      <c r="D9" s="45"/>
      <c r="E9" s="45"/>
      <c r="F9" s="45"/>
      <c r="G9" s="46"/>
    </row>
    <row r="10" spans="1:7" ht="19.5" customHeight="1" x14ac:dyDescent="0.3">
      <c r="A10" s="64" t="s">
        <v>108</v>
      </c>
      <c r="B10" s="46"/>
      <c r="C10" s="47" t="s">
        <v>8</v>
      </c>
      <c r="D10" s="45"/>
      <c r="E10" s="45"/>
      <c r="F10" s="45"/>
      <c r="G10" s="46"/>
    </row>
    <row r="11" spans="1:7" ht="19.5" customHeight="1" x14ac:dyDescent="0.3">
      <c r="A11" s="64" t="s">
        <v>182</v>
      </c>
      <c r="B11" s="46"/>
      <c r="C11" s="44" t="str">
        <f>IFERROR(VLOOKUP($C$10,tbl_Bloques,2,FALSE()),"")</f>
        <v>C1076-Q9586</v>
      </c>
      <c r="D11" s="45"/>
      <c r="E11" s="45"/>
      <c r="F11" s="45"/>
      <c r="G11" s="46"/>
    </row>
    <row r="12" spans="1:7" ht="21.75" customHeight="1" x14ac:dyDescent="0.3">
      <c r="A12" s="6" t="s">
        <v>293</v>
      </c>
      <c r="B12" s="11"/>
      <c r="C12" s="46"/>
      <c r="D12" s="45"/>
      <c r="E12" s="45"/>
      <c r="F12" s="45"/>
      <c r="G12" s="46"/>
    </row>
    <row r="13" spans="1:7" ht="27.75" customHeight="1" x14ac:dyDescent="0.3">
      <c r="A13" s="65" t="s">
        <v>294</v>
      </c>
      <c r="B13" s="46"/>
      <c r="C13" s="67"/>
      <c r="D13" s="45"/>
      <c r="E13" s="45"/>
      <c r="F13" s="45"/>
      <c r="G13" s="46"/>
    </row>
    <row r="14" spans="1:7" ht="31.5" customHeight="1" x14ac:dyDescent="0.3">
      <c r="A14" s="2" t="s">
        <v>217</v>
      </c>
      <c r="B14" s="2" t="s">
        <v>295</v>
      </c>
      <c r="C14" s="2" t="s">
        <v>296</v>
      </c>
      <c r="D14" s="2" t="s">
        <v>297</v>
      </c>
      <c r="E14" s="2" t="s">
        <v>298</v>
      </c>
      <c r="F14" s="2" t="s">
        <v>299</v>
      </c>
      <c r="G14" s="2" t="s">
        <v>300</v>
      </c>
    </row>
    <row r="15" spans="1:7" ht="18" customHeight="1" x14ac:dyDescent="0.3">
      <c r="A15" s="5">
        <v>1</v>
      </c>
      <c r="B15" s="7" t="s">
        <v>301</v>
      </c>
      <c r="C15" s="3" t="s">
        <v>133</v>
      </c>
      <c r="D15" s="3" t="s">
        <v>302</v>
      </c>
      <c r="E15" s="3">
        <v>30</v>
      </c>
      <c r="F15" s="3">
        <v>15</v>
      </c>
      <c r="G15" s="4" t="s">
        <v>303</v>
      </c>
    </row>
    <row r="16" spans="1:7" ht="18" customHeight="1" x14ac:dyDescent="0.3">
      <c r="A16" s="5">
        <v>2</v>
      </c>
      <c r="B16" s="7" t="s">
        <v>304</v>
      </c>
      <c r="C16" s="3"/>
      <c r="D16" s="3"/>
      <c r="E16" s="3"/>
      <c r="F16" s="3"/>
      <c r="G16" s="4"/>
    </row>
    <row r="17" spans="1:7" ht="18" customHeight="1" x14ac:dyDescent="0.3">
      <c r="A17" s="5">
        <v>3</v>
      </c>
      <c r="B17" s="7" t="s">
        <v>305</v>
      </c>
      <c r="C17" s="3"/>
      <c r="D17" s="3"/>
      <c r="E17" s="3"/>
      <c r="F17" s="3"/>
      <c r="G17" s="4"/>
    </row>
    <row r="18" spans="1:7" ht="18" customHeight="1" x14ac:dyDescent="0.3">
      <c r="A18" s="5">
        <v>4</v>
      </c>
      <c r="B18" s="7" t="s">
        <v>306</v>
      </c>
      <c r="C18" s="3"/>
      <c r="D18" s="3"/>
      <c r="E18" s="3"/>
      <c r="F18" s="3"/>
      <c r="G18" s="4"/>
    </row>
    <row r="19" spans="1:7" ht="18" customHeight="1" x14ac:dyDescent="0.3">
      <c r="A19" s="5">
        <v>5</v>
      </c>
      <c r="B19" s="7" t="s">
        <v>307</v>
      </c>
      <c r="C19" s="3"/>
      <c r="D19" s="3"/>
      <c r="E19" s="3"/>
      <c r="F19" s="3"/>
      <c r="G19" s="4"/>
    </row>
    <row r="20" spans="1:7" ht="18" customHeight="1" x14ac:dyDescent="0.3">
      <c r="A20" s="5">
        <v>6</v>
      </c>
      <c r="B20" s="7" t="s">
        <v>308</v>
      </c>
      <c r="C20" s="3"/>
      <c r="D20" s="3"/>
      <c r="E20" s="3"/>
      <c r="F20" s="3"/>
      <c r="G20" s="4"/>
    </row>
    <row r="21" spans="1:7" ht="18" customHeight="1" x14ac:dyDescent="0.3">
      <c r="A21" s="5">
        <v>7</v>
      </c>
      <c r="B21" s="7" t="s">
        <v>309</v>
      </c>
      <c r="C21" s="3" t="s">
        <v>133</v>
      </c>
      <c r="D21" s="3" t="s">
        <v>302</v>
      </c>
      <c r="E21" s="3">
        <v>60</v>
      </c>
      <c r="F21" s="3">
        <v>20</v>
      </c>
      <c r="G21" s="4" t="s">
        <v>310</v>
      </c>
    </row>
    <row r="22" spans="1:7" ht="18" customHeight="1" x14ac:dyDescent="0.3">
      <c r="A22" s="5">
        <v>8</v>
      </c>
      <c r="B22" s="7" t="s">
        <v>311</v>
      </c>
      <c r="C22" s="3"/>
      <c r="D22" s="3"/>
      <c r="E22" s="3"/>
      <c r="F22" s="3"/>
      <c r="G22" s="4"/>
    </row>
    <row r="23" spans="1:7" ht="18" customHeight="1" x14ac:dyDescent="0.3">
      <c r="A23" s="5">
        <v>9</v>
      </c>
      <c r="B23" s="7" t="s">
        <v>312</v>
      </c>
      <c r="C23" s="3"/>
      <c r="D23" s="3"/>
      <c r="E23" s="3"/>
      <c r="F23" s="3"/>
      <c r="G23" s="4"/>
    </row>
    <row r="24" spans="1:7" ht="18" customHeight="1" x14ac:dyDescent="0.3">
      <c r="A24" s="5">
        <v>10</v>
      </c>
      <c r="B24" s="7" t="s">
        <v>313</v>
      </c>
      <c r="C24" s="3"/>
      <c r="D24" s="3"/>
      <c r="E24" s="3"/>
      <c r="F24" s="3"/>
      <c r="G24" s="4"/>
    </row>
    <row r="25" spans="1:7" ht="18" customHeight="1" x14ac:dyDescent="0.3">
      <c r="A25" s="5">
        <v>11</v>
      </c>
      <c r="B25" s="7" t="s">
        <v>314</v>
      </c>
      <c r="C25" s="3"/>
      <c r="D25" s="3"/>
      <c r="E25" s="3"/>
      <c r="F25" s="3"/>
      <c r="G25" s="4"/>
    </row>
    <row r="26" spans="1:7" ht="18" customHeight="1" x14ac:dyDescent="0.3">
      <c r="A26" s="5">
        <v>12</v>
      </c>
      <c r="B26" s="7" t="s">
        <v>315</v>
      </c>
      <c r="C26" s="3"/>
      <c r="D26" s="3"/>
      <c r="E26" s="3"/>
      <c r="F26" s="3"/>
      <c r="G26" s="4"/>
    </row>
    <row r="27" spans="1:7" ht="18" customHeight="1" x14ac:dyDescent="0.3">
      <c r="A27" s="5">
        <v>13</v>
      </c>
      <c r="B27" s="7" t="s">
        <v>316</v>
      </c>
      <c r="C27" s="3"/>
      <c r="D27" s="3"/>
      <c r="E27" s="3"/>
      <c r="F27" s="3"/>
      <c r="G27" s="4"/>
    </row>
    <row r="28" spans="1:7" ht="18" customHeight="1" x14ac:dyDescent="0.3">
      <c r="A28" s="5">
        <v>14</v>
      </c>
      <c r="B28" s="7" t="s">
        <v>317</v>
      </c>
      <c r="C28" s="3"/>
      <c r="D28" s="3"/>
      <c r="E28" s="3"/>
      <c r="F28" s="3"/>
      <c r="G28" s="4"/>
    </row>
    <row r="29" spans="1:7" ht="18" customHeight="1" x14ac:dyDescent="0.3">
      <c r="A29" s="5">
        <v>15</v>
      </c>
      <c r="B29" s="7" t="s">
        <v>318</v>
      </c>
      <c r="C29" s="3"/>
      <c r="D29" s="3"/>
      <c r="E29" s="3"/>
      <c r="F29" s="3"/>
      <c r="G29" s="4"/>
    </row>
    <row r="30" spans="1:7" ht="18" customHeight="1" x14ac:dyDescent="0.3">
      <c r="A30" s="5">
        <v>16</v>
      </c>
      <c r="B30" s="7" t="s">
        <v>319</v>
      </c>
      <c r="C30" s="3"/>
      <c r="D30" s="3"/>
      <c r="E30" s="3"/>
      <c r="F30" s="3"/>
      <c r="G30" s="4"/>
    </row>
    <row r="32" spans="1:7" ht="21.75" customHeight="1" x14ac:dyDescent="0.3">
      <c r="A32" s="52" t="s">
        <v>320</v>
      </c>
      <c r="B32" s="36"/>
      <c r="C32" s="36"/>
      <c r="D32" s="36"/>
      <c r="E32" s="36"/>
      <c r="F32" s="36"/>
      <c r="G32" s="36"/>
    </row>
    <row r="33" spans="1:7" ht="25.5" customHeight="1" x14ac:dyDescent="0.3">
      <c r="A33" s="65" t="s">
        <v>321</v>
      </c>
      <c r="B33" s="45"/>
      <c r="C33" s="45"/>
      <c r="D33" s="45"/>
      <c r="E33" s="45"/>
      <c r="F33" s="45"/>
      <c r="G33" s="46"/>
    </row>
    <row r="34" spans="1:7" ht="27.75" customHeight="1" x14ac:dyDescent="0.3">
      <c r="A34" s="2" t="s">
        <v>217</v>
      </c>
      <c r="B34" s="2" t="s">
        <v>322</v>
      </c>
      <c r="C34" s="2" t="s">
        <v>323</v>
      </c>
      <c r="D34" s="2" t="s">
        <v>324</v>
      </c>
      <c r="E34" s="2" t="s">
        <v>325</v>
      </c>
      <c r="F34" s="2" t="s">
        <v>326</v>
      </c>
      <c r="G34" s="2" t="s">
        <v>327</v>
      </c>
    </row>
    <row r="35" spans="1:7" ht="21.75" customHeight="1" x14ac:dyDescent="0.3">
      <c r="A35" s="5">
        <v>1</v>
      </c>
      <c r="B35" s="7" t="s">
        <v>328</v>
      </c>
      <c r="C35" s="5" t="s">
        <v>329</v>
      </c>
      <c r="D35" s="3">
        <v>40</v>
      </c>
      <c r="E35" s="4" t="s">
        <v>330</v>
      </c>
      <c r="F35" s="7" t="s">
        <v>331</v>
      </c>
      <c r="G35" s="3" t="s">
        <v>332</v>
      </c>
    </row>
    <row r="36" spans="1:7" ht="21.75" customHeight="1" x14ac:dyDescent="0.3">
      <c r="A36" s="5">
        <v>2</v>
      </c>
      <c r="B36" s="7" t="s">
        <v>333</v>
      </c>
      <c r="C36" s="5" t="s">
        <v>329</v>
      </c>
      <c r="D36" s="3">
        <v>25</v>
      </c>
      <c r="E36" s="4" t="s">
        <v>334</v>
      </c>
      <c r="F36" s="7" t="s">
        <v>335</v>
      </c>
      <c r="G36" s="3" t="s">
        <v>332</v>
      </c>
    </row>
    <row r="37" spans="1:7" ht="21.75" customHeight="1" x14ac:dyDescent="0.3">
      <c r="A37" s="5">
        <v>3</v>
      </c>
      <c r="B37" s="7" t="s">
        <v>336</v>
      </c>
      <c r="C37" s="5" t="s">
        <v>337</v>
      </c>
      <c r="D37" s="3">
        <v>0</v>
      </c>
      <c r="E37" s="4" t="s">
        <v>338</v>
      </c>
      <c r="F37" s="7" t="s">
        <v>339</v>
      </c>
      <c r="G37" s="3" t="s">
        <v>340</v>
      </c>
    </row>
    <row r="38" spans="1:7" ht="21.75" customHeight="1" x14ac:dyDescent="0.3">
      <c r="A38" s="5">
        <v>4</v>
      </c>
      <c r="B38" s="7" t="s">
        <v>341</v>
      </c>
      <c r="C38" s="5" t="s">
        <v>342</v>
      </c>
      <c r="D38" s="3"/>
      <c r="E38" s="4"/>
      <c r="F38" s="7" t="s">
        <v>343</v>
      </c>
      <c r="G38" s="3"/>
    </row>
    <row r="39" spans="1:7" ht="21.75" customHeight="1" x14ac:dyDescent="0.3">
      <c r="A39" s="5">
        <v>5</v>
      </c>
      <c r="B39" s="7" t="s">
        <v>344</v>
      </c>
      <c r="C39" s="5" t="s">
        <v>345</v>
      </c>
      <c r="D39" s="3"/>
      <c r="E39" s="4"/>
      <c r="F39" s="7" t="s">
        <v>346</v>
      </c>
      <c r="G39" s="3"/>
    </row>
    <row r="40" spans="1:7" ht="21.75" customHeight="1" x14ac:dyDescent="0.3">
      <c r="A40" s="5">
        <v>6</v>
      </c>
      <c r="B40" s="7" t="s">
        <v>347</v>
      </c>
      <c r="C40" s="5" t="s">
        <v>217</v>
      </c>
      <c r="D40" s="3"/>
      <c r="E40" s="4"/>
      <c r="F40" s="7" t="s">
        <v>348</v>
      </c>
      <c r="G40" s="3"/>
    </row>
    <row r="41" spans="1:7" ht="21.75" customHeight="1" x14ac:dyDescent="0.3">
      <c r="A41" s="5">
        <v>7</v>
      </c>
      <c r="B41" s="7" t="s">
        <v>349</v>
      </c>
      <c r="C41" s="5" t="s">
        <v>329</v>
      </c>
      <c r="D41" s="3">
        <v>93</v>
      </c>
      <c r="E41" s="4" t="s">
        <v>350</v>
      </c>
      <c r="F41" s="7" t="s">
        <v>351</v>
      </c>
      <c r="G41" s="3" t="s">
        <v>352</v>
      </c>
    </row>
    <row r="42" spans="1:7" ht="21.75" customHeight="1" x14ac:dyDescent="0.3">
      <c r="A42" s="5">
        <v>8</v>
      </c>
      <c r="B42" s="7" t="s">
        <v>353</v>
      </c>
      <c r="C42" s="5" t="s">
        <v>354</v>
      </c>
      <c r="D42" s="3" t="s">
        <v>355</v>
      </c>
      <c r="E42" s="4" t="s">
        <v>356</v>
      </c>
      <c r="F42" s="7" t="s">
        <v>357</v>
      </c>
      <c r="G42" s="3" t="s">
        <v>358</v>
      </c>
    </row>
    <row r="44" spans="1:7" ht="21.75" customHeight="1" x14ac:dyDescent="0.3">
      <c r="A44" s="52" t="s">
        <v>359</v>
      </c>
      <c r="B44" s="36"/>
      <c r="C44" s="36"/>
      <c r="D44" s="36"/>
      <c r="E44" s="36"/>
      <c r="F44" s="36"/>
      <c r="G44" s="36"/>
    </row>
    <row r="45" spans="1:7" ht="19.5" customHeight="1" x14ac:dyDescent="0.3">
      <c r="A45" s="64" t="s">
        <v>360</v>
      </c>
      <c r="B45" s="46"/>
      <c r="C45" s="47" t="s">
        <v>361</v>
      </c>
      <c r="D45" s="45"/>
      <c r="E45" s="45"/>
      <c r="F45" s="45"/>
      <c r="G45" s="46"/>
    </row>
    <row r="46" spans="1:7" ht="19.5" customHeight="1" x14ac:dyDescent="0.3">
      <c r="A46" s="64" t="s">
        <v>362</v>
      </c>
      <c r="B46" s="46"/>
      <c r="C46" s="47" t="s">
        <v>363</v>
      </c>
      <c r="D46" s="45"/>
      <c r="E46" s="45"/>
      <c r="F46" s="45"/>
      <c r="G46" s="46"/>
    </row>
    <row r="47" spans="1:7" ht="19.5" customHeight="1" x14ac:dyDescent="0.3">
      <c r="A47" s="64" t="s">
        <v>364</v>
      </c>
      <c r="B47" s="46"/>
      <c r="C47" s="47" t="s">
        <v>302</v>
      </c>
      <c r="D47" s="45"/>
      <c r="E47" s="45"/>
      <c r="F47" s="45"/>
      <c r="G47" s="46"/>
    </row>
    <row r="48" spans="1:7" ht="19.5" customHeight="1" x14ac:dyDescent="0.3">
      <c r="A48" s="64" t="s">
        <v>365</v>
      </c>
      <c r="B48" s="46"/>
      <c r="C48" s="47" t="s">
        <v>366</v>
      </c>
      <c r="D48" s="45"/>
      <c r="E48" s="45"/>
      <c r="F48" s="45"/>
      <c r="G48" s="46"/>
    </row>
    <row r="49" spans="1:7" ht="19.5" customHeight="1" x14ac:dyDescent="0.3">
      <c r="A49" s="64" t="s">
        <v>69</v>
      </c>
      <c r="B49" s="46"/>
      <c r="C49" s="47" t="s">
        <v>70</v>
      </c>
      <c r="D49" s="45"/>
      <c r="E49" s="45"/>
      <c r="F49" s="45"/>
      <c r="G49" s="46"/>
    </row>
    <row r="51" spans="1:7" ht="21.75" customHeight="1" x14ac:dyDescent="0.3">
      <c r="A51" s="52" t="s">
        <v>139</v>
      </c>
      <c r="B51" s="36"/>
      <c r="C51" s="36"/>
      <c r="D51" s="36"/>
      <c r="E51" s="36"/>
      <c r="F51" s="36"/>
      <c r="G51" s="36"/>
    </row>
    <row r="52" spans="1:7" ht="27.75" customHeight="1" x14ac:dyDescent="0.3">
      <c r="A52" s="56" t="s">
        <v>367</v>
      </c>
      <c r="B52" s="57"/>
      <c r="C52" s="57"/>
      <c r="D52" s="57"/>
      <c r="E52" s="57"/>
      <c r="F52" s="57"/>
      <c r="G52" s="58"/>
    </row>
    <row r="53" spans="1:7" ht="27.75" customHeight="1" x14ac:dyDescent="0.3">
      <c r="A53" s="59"/>
      <c r="B53" s="36"/>
      <c r="C53" s="36"/>
      <c r="D53" s="36"/>
      <c r="E53" s="36"/>
      <c r="F53" s="36"/>
      <c r="G53" s="60"/>
    </row>
    <row r="54" spans="1:7" ht="27.75" customHeight="1" x14ac:dyDescent="0.3">
      <c r="A54" s="61"/>
      <c r="B54" s="62"/>
      <c r="C54" s="62"/>
      <c r="D54" s="62"/>
      <c r="E54" s="62"/>
      <c r="F54" s="62"/>
      <c r="G54" s="63"/>
    </row>
  </sheetData>
  <mergeCells count="33">
    <mergeCell ref="A2:G2"/>
    <mergeCell ref="A9:B9"/>
    <mergeCell ref="C13:G13"/>
    <mergeCell ref="A33:G33"/>
    <mergeCell ref="A5:G5"/>
    <mergeCell ref="A52:G54"/>
    <mergeCell ref="A46:B46"/>
    <mergeCell ref="A51:G51"/>
    <mergeCell ref="C9:G9"/>
    <mergeCell ref="A1:G1"/>
    <mergeCell ref="C12:G12"/>
    <mergeCell ref="C46:G46"/>
    <mergeCell ref="A6:G6"/>
    <mergeCell ref="A47:B47"/>
    <mergeCell ref="C11:G11"/>
    <mergeCell ref="A7:G7"/>
    <mergeCell ref="C8:G8"/>
    <mergeCell ref="A8:B8"/>
    <mergeCell ref="C48:G48"/>
    <mergeCell ref="A3:G3"/>
    <mergeCell ref="A10:B10"/>
    <mergeCell ref="A4:G4"/>
    <mergeCell ref="A45:B45"/>
    <mergeCell ref="C45:G45"/>
    <mergeCell ref="A44:G44"/>
    <mergeCell ref="C10:G10"/>
    <mergeCell ref="A13:B13"/>
    <mergeCell ref="A32:G32"/>
    <mergeCell ref="A48:B48"/>
    <mergeCell ref="C49:G49"/>
    <mergeCell ref="A11:B11"/>
    <mergeCell ref="A49:B49"/>
    <mergeCell ref="C47:G47"/>
  </mergeCells>
  <dataValidations count="7">
    <dataValidation type="list" allowBlank="1" errorTitle="Valor no válido" error="Seleccione un valor de la lista desplegable." promptTitle="Código de Bloque" prompt="Elija una opción de la lista." sqref="C10" xr:uid="{00000000-0002-0000-0400-000000000000}">
      <formula1>lst_CodigoBloque</formula1>
      <formula2>0</formula2>
    </dataValidation>
    <dataValidation type="list" allowBlank="1" errorTitle="Valor no válido" error="Seleccione un valor de la lista desplegable." promptTitle="Presencia" prompt="Elija una opción de la lista." sqref="C15:C30" xr:uid="{00000000-0002-0000-0400-000001000000}">
      <formula1>lst_SiNo</formula1>
      <formula2>0</formula2>
    </dataValidation>
    <dataValidation type="list" allowBlank="1" errorTitle="Valor no válido" error="Seleccione un valor de la lista desplegable." promptTitle="Intensidad" prompt="Elija una opción de la lista." sqref="D15:D30" xr:uid="{00000000-0002-0000-0400-000002000000}">
      <formula1>lst_Intensidad</formula1>
      <formula2>0</formula2>
    </dataValidation>
    <dataValidation type="list" allowBlank="1" errorTitle="Valor no válido" error="Seleccione un valor de la lista desplegable." promptTitle="Nivel" prompt="Elija una opción de la lista." sqref="G35:G42" xr:uid="{00000000-0002-0000-0400-000003000000}">
      <formula1>lst_NivelInd</formula1>
      <formula2>0</formula2>
    </dataValidation>
    <dataValidation type="list" allowBlank="1" errorTitle="Valor no válido" error="Seleccione un valor de la lista desplegable." promptTitle="Velocidad de degradación perci" prompt="Elija una opción de la lista." sqref="C47" xr:uid="{00000000-0002-0000-0400-000004000000}">
      <formula1>lst_Velocidad</formula1>
      <formula2>0</formula2>
    </dataValidation>
    <dataValidation type="list" allowBlank="1" errorTitle="Valor no válido" error="Seleccione un valor de la lista desplegable." promptTitle="Reversibilidad técnica" prompt="Elija una opción de la lista." sqref="C48" xr:uid="{00000000-0002-0000-0400-000005000000}">
      <formula1>lst_Reversibilidad</formula1>
      <formula2>0</formula2>
    </dataValidation>
    <dataValidation type="list" allowBlank="1" errorTitle="Valor no válido" error="Seleccione un valor de la lista desplegable." promptTitle="Urgencia de intervención" prompt="Elija una opción de la lista." sqref="C49" xr:uid="{00000000-0002-0000-0400-000006000000}">
      <formula1>lst_Urgencia</formula1>
      <formula2>0</formula2>
    </dataValidation>
  </dataValidations>
  <printOptions horizontalCentered="1"/>
  <pageMargins left="0.4" right="0.4" top="0.5" bottom="0.5" header="0.2" footer="0.2"/>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51"/>
  <sheetViews>
    <sheetView showGridLines="0" tabSelected="1" zoomScaleNormal="100" workbookViewId="0">
      <pane ySplit="6" topLeftCell="A44" activePane="bottomLeft" state="frozen"/>
      <selection activeCell="B9" sqref="B9:D9"/>
      <selection pane="bottomLeft" activeCell="A9" sqref="A9:D9"/>
    </sheetView>
  </sheetViews>
  <sheetFormatPr baseColWidth="10" defaultColWidth="8.6640625" defaultRowHeight="14.4" x14ac:dyDescent="0.3"/>
  <cols>
    <col min="1" max="1" width="8" customWidth="1"/>
    <col min="2" max="2" width="28" customWidth="1"/>
    <col min="3" max="4" width="12" customWidth="1"/>
    <col min="5" max="5" width="18" customWidth="1"/>
    <col min="6" max="6" width="24" customWidth="1"/>
    <col min="7" max="7" width="14" customWidth="1"/>
    <col min="8" max="8" width="26" customWidth="1"/>
  </cols>
  <sheetData>
    <row r="1" spans="1:8" ht="21.75" customHeight="1" x14ac:dyDescent="0.3">
      <c r="A1" s="50" t="s">
        <v>95</v>
      </c>
      <c r="B1" s="36"/>
      <c r="C1" s="36"/>
      <c r="D1" s="36"/>
      <c r="E1" s="36"/>
      <c r="F1" s="36"/>
      <c r="G1" s="36"/>
      <c r="H1" s="36"/>
    </row>
    <row r="2" spans="1:8" ht="18" customHeight="1" x14ac:dyDescent="0.3">
      <c r="A2" s="53" t="s">
        <v>96</v>
      </c>
      <c r="B2" s="36"/>
      <c r="C2" s="36"/>
      <c r="D2" s="36"/>
      <c r="E2" s="36"/>
      <c r="F2" s="36"/>
      <c r="G2" s="36"/>
      <c r="H2" s="36"/>
    </row>
    <row r="3" spans="1:8" ht="30" customHeight="1" x14ac:dyDescent="0.3">
      <c r="A3" s="53" t="s">
        <v>97</v>
      </c>
      <c r="B3" s="36"/>
      <c r="C3" s="36"/>
      <c r="D3" s="36"/>
      <c r="E3" s="36"/>
      <c r="F3" s="36"/>
      <c r="G3" s="36"/>
      <c r="H3" s="36"/>
    </row>
    <row r="4" spans="1:8" ht="27.75" customHeight="1" x14ac:dyDescent="0.3">
      <c r="A4" s="55" t="s">
        <v>368</v>
      </c>
      <c r="B4" s="36"/>
      <c r="C4" s="36"/>
      <c r="D4" s="36"/>
      <c r="E4" s="36"/>
      <c r="F4" s="36"/>
      <c r="G4" s="36"/>
      <c r="H4" s="36"/>
    </row>
    <row r="5" spans="1:8" ht="27.75" customHeight="1" x14ac:dyDescent="0.3">
      <c r="A5" s="54" t="s">
        <v>369</v>
      </c>
      <c r="B5" s="36"/>
      <c r="C5" s="36"/>
      <c r="D5" s="36"/>
      <c r="E5" s="36"/>
      <c r="F5" s="36"/>
      <c r="G5" s="36"/>
      <c r="H5" s="36"/>
    </row>
    <row r="6" spans="1:8" ht="24" customHeight="1" x14ac:dyDescent="0.3">
      <c r="A6" s="51" t="s">
        <v>100</v>
      </c>
      <c r="B6" s="36"/>
      <c r="C6" s="36"/>
      <c r="D6" s="36"/>
      <c r="E6" s="36"/>
      <c r="F6" s="36"/>
      <c r="G6" s="36"/>
      <c r="H6" s="36"/>
    </row>
    <row r="7" spans="1:8" ht="21.75" customHeight="1" x14ac:dyDescent="0.3">
      <c r="A7" s="52" t="s">
        <v>143</v>
      </c>
      <c r="B7" s="36"/>
      <c r="C7" s="36"/>
      <c r="D7" s="36"/>
      <c r="E7" s="36"/>
      <c r="F7" s="36"/>
      <c r="G7" s="36"/>
      <c r="H7" s="36"/>
    </row>
    <row r="8" spans="1:8" ht="19.5" customHeight="1" x14ac:dyDescent="0.3">
      <c r="A8" s="64" t="s">
        <v>102</v>
      </c>
      <c r="B8" s="46"/>
      <c r="C8" s="48">
        <v>46245</v>
      </c>
      <c r="D8" s="46"/>
      <c r="E8" s="64" t="s">
        <v>144</v>
      </c>
      <c r="F8" s="46"/>
      <c r="G8" s="47" t="s">
        <v>35</v>
      </c>
      <c r="H8" s="46"/>
    </row>
    <row r="9" spans="1:8" ht="19.5" customHeight="1" x14ac:dyDescent="0.3">
      <c r="A9" s="64" t="s">
        <v>108</v>
      </c>
      <c r="B9" s="46"/>
      <c r="C9" s="47" t="s">
        <v>8</v>
      </c>
      <c r="D9" s="46"/>
      <c r="E9" s="64" t="s">
        <v>182</v>
      </c>
      <c r="F9" s="46"/>
      <c r="G9" s="44" t="str">
        <f>IFERROR(VLOOKUP($C$9,tbl_Bloques,2,FALSE()),"")</f>
        <v>C1076-Q9586</v>
      </c>
      <c r="H9" s="46"/>
    </row>
    <row r="10" spans="1:8" ht="19.5" customHeight="1" x14ac:dyDescent="0.3">
      <c r="A10" s="64" t="s">
        <v>111</v>
      </c>
      <c r="B10" s="46"/>
      <c r="C10" s="44" t="str">
        <f>IFERROR(VLOOKUP($C$9,tbl_Bloques,4,FALSE()),"")</f>
        <v>San Miguel de El Faique</v>
      </c>
      <c r="D10" s="46"/>
      <c r="E10" s="64" t="s">
        <v>110</v>
      </c>
      <c r="F10" s="46"/>
      <c r="G10" s="44" t="str">
        <f>IFERROR(VLOOKUP($C$9,tbl_Bloques,3,FALSE()),"")</f>
        <v>Huancabamba</v>
      </c>
      <c r="H10" s="46"/>
    </row>
    <row r="12" spans="1:8" ht="21.75" customHeight="1" x14ac:dyDescent="0.3">
      <c r="A12" s="52" t="s">
        <v>370</v>
      </c>
      <c r="B12" s="36"/>
      <c r="C12" s="36"/>
      <c r="D12" s="36"/>
      <c r="E12" s="36"/>
      <c r="F12" s="36"/>
      <c r="G12" s="36"/>
      <c r="H12" s="36"/>
    </row>
    <row r="13" spans="1:8" ht="27.75" customHeight="1" x14ac:dyDescent="0.3">
      <c r="A13" s="65" t="s">
        <v>371</v>
      </c>
      <c r="B13" s="45"/>
      <c r="C13" s="45"/>
      <c r="D13" s="45"/>
      <c r="E13" s="45"/>
      <c r="F13" s="45"/>
      <c r="G13" s="45"/>
      <c r="H13" s="46"/>
    </row>
    <row r="14" spans="1:8" ht="30" customHeight="1" x14ac:dyDescent="0.3">
      <c r="A14" s="2" t="s">
        <v>217</v>
      </c>
      <c r="B14" s="2" t="s">
        <v>372</v>
      </c>
      <c r="C14" s="2" t="s">
        <v>271</v>
      </c>
      <c r="D14" s="2" t="s">
        <v>272</v>
      </c>
      <c r="E14" s="2" t="s">
        <v>373</v>
      </c>
      <c r="F14" s="2" t="s">
        <v>374</v>
      </c>
      <c r="G14" s="2" t="s">
        <v>375</v>
      </c>
      <c r="H14" s="2" t="s">
        <v>376</v>
      </c>
    </row>
    <row r="15" spans="1:8" ht="19.5" customHeight="1" x14ac:dyDescent="0.3">
      <c r="A15" s="5">
        <v>1</v>
      </c>
      <c r="B15" s="3"/>
      <c r="C15" s="3"/>
      <c r="D15" s="3"/>
      <c r="E15" s="3"/>
      <c r="F15" s="3"/>
      <c r="G15" s="3"/>
      <c r="H15" s="4"/>
    </row>
    <row r="16" spans="1:8" ht="19.5" customHeight="1" x14ac:dyDescent="0.3">
      <c r="A16" s="5">
        <v>2</v>
      </c>
      <c r="B16" s="3"/>
      <c r="C16" s="3"/>
      <c r="D16" s="3"/>
      <c r="E16" s="3"/>
      <c r="F16" s="3"/>
      <c r="G16" s="3"/>
      <c r="H16" s="4"/>
    </row>
    <row r="17" spans="1:8" ht="19.5" customHeight="1" x14ac:dyDescent="0.3">
      <c r="A17" s="5">
        <v>3</v>
      </c>
      <c r="B17" s="3"/>
      <c r="C17" s="3"/>
      <c r="D17" s="3"/>
      <c r="E17" s="3"/>
      <c r="F17" s="3"/>
      <c r="G17" s="3"/>
      <c r="H17" s="4"/>
    </row>
    <row r="18" spans="1:8" ht="19.5" customHeight="1" x14ac:dyDescent="0.3">
      <c r="A18" s="5">
        <v>4</v>
      </c>
      <c r="B18" s="3"/>
      <c r="C18" s="3"/>
      <c r="D18" s="3"/>
      <c r="E18" s="3"/>
      <c r="F18" s="3"/>
      <c r="G18" s="3"/>
      <c r="H18" s="4"/>
    </row>
    <row r="19" spans="1:8" ht="19.5" customHeight="1" x14ac:dyDescent="0.3">
      <c r="A19" s="5">
        <v>5</v>
      </c>
      <c r="B19" s="3"/>
      <c r="C19" s="3"/>
      <c r="D19" s="3"/>
      <c r="E19" s="3"/>
      <c r="F19" s="3"/>
      <c r="G19" s="3"/>
      <c r="H19" s="4"/>
    </row>
    <row r="20" spans="1:8" ht="19.5" customHeight="1" x14ac:dyDescent="0.3">
      <c r="A20" s="5">
        <v>6</v>
      </c>
      <c r="B20" s="3"/>
      <c r="C20" s="3"/>
      <c r="D20" s="3"/>
      <c r="E20" s="3"/>
      <c r="F20" s="3"/>
      <c r="G20" s="3"/>
      <c r="H20" s="4"/>
    </row>
    <row r="21" spans="1:8" ht="19.5" customHeight="1" x14ac:dyDescent="0.3">
      <c r="A21" s="5">
        <v>7</v>
      </c>
      <c r="B21" s="3"/>
      <c r="C21" s="3"/>
      <c r="D21" s="3"/>
      <c r="E21" s="3"/>
      <c r="F21" s="3"/>
      <c r="G21" s="3"/>
      <c r="H21" s="4"/>
    </row>
    <row r="22" spans="1:8" ht="19.5" customHeight="1" x14ac:dyDescent="0.3">
      <c r="A22" s="5">
        <v>8</v>
      </c>
      <c r="B22" s="3"/>
      <c r="C22" s="3"/>
      <c r="D22" s="3"/>
      <c r="E22" s="3"/>
      <c r="F22" s="3"/>
      <c r="G22" s="3"/>
      <c r="H22" s="4"/>
    </row>
    <row r="23" spans="1:8" ht="19.5" customHeight="1" x14ac:dyDescent="0.3">
      <c r="A23" s="5">
        <v>9</v>
      </c>
      <c r="B23" s="3"/>
      <c r="C23" s="3"/>
      <c r="D23" s="3"/>
      <c r="E23" s="3"/>
      <c r="F23" s="3"/>
      <c r="G23" s="3"/>
      <c r="H23" s="4"/>
    </row>
    <row r="24" spans="1:8" ht="19.5" customHeight="1" x14ac:dyDescent="0.3">
      <c r="A24" s="5">
        <v>10</v>
      </c>
      <c r="B24" s="3"/>
      <c r="C24" s="3"/>
      <c r="D24" s="3"/>
      <c r="E24" s="3"/>
      <c r="F24" s="3"/>
      <c r="G24" s="3"/>
      <c r="H24" s="4"/>
    </row>
    <row r="26" spans="1:8" ht="21.75" customHeight="1" x14ac:dyDescent="0.3">
      <c r="A26" s="52" t="s">
        <v>377</v>
      </c>
      <c r="B26" s="36"/>
      <c r="C26" s="36"/>
      <c r="D26" s="36"/>
      <c r="E26" s="36"/>
      <c r="F26" s="36"/>
      <c r="G26" s="36"/>
      <c r="H26" s="36"/>
    </row>
    <row r="27" spans="1:8" ht="19.5" customHeight="1" x14ac:dyDescent="0.3">
      <c r="A27" s="64" t="s">
        <v>378</v>
      </c>
      <c r="B27" s="46"/>
      <c r="C27" s="47" t="s">
        <v>133</v>
      </c>
      <c r="D27" s="45"/>
      <c r="E27" s="45"/>
      <c r="F27" s="45"/>
      <c r="G27" s="45"/>
      <c r="H27" s="46"/>
    </row>
    <row r="28" spans="1:8" ht="19.5" customHeight="1" x14ac:dyDescent="0.3">
      <c r="A28" s="64" t="s">
        <v>379</v>
      </c>
      <c r="B28" s="46"/>
      <c r="C28" s="47" t="s">
        <v>135</v>
      </c>
      <c r="D28" s="45"/>
      <c r="E28" s="45"/>
      <c r="F28" s="45"/>
      <c r="G28" s="45"/>
      <c r="H28" s="46"/>
    </row>
    <row r="29" spans="1:8" ht="19.5" customHeight="1" x14ac:dyDescent="0.3">
      <c r="A29" s="64" t="s">
        <v>380</v>
      </c>
      <c r="B29" s="46"/>
      <c r="C29" s="47" t="s">
        <v>133</v>
      </c>
      <c r="D29" s="45"/>
      <c r="E29" s="45"/>
      <c r="F29" s="45"/>
      <c r="G29" s="45"/>
      <c r="H29" s="46"/>
    </row>
    <row r="30" spans="1:8" ht="19.5" customHeight="1" x14ac:dyDescent="0.3">
      <c r="A30" s="64" t="s">
        <v>381</v>
      </c>
      <c r="B30" s="46"/>
      <c r="C30" s="47">
        <v>1500</v>
      </c>
      <c r="D30" s="45"/>
      <c r="E30" s="45"/>
      <c r="F30" s="45"/>
      <c r="G30" s="45"/>
      <c r="H30" s="46"/>
    </row>
    <row r="31" spans="1:8" ht="19.5" customHeight="1" x14ac:dyDescent="0.3">
      <c r="A31" s="64" t="s">
        <v>382</v>
      </c>
      <c r="B31" s="46"/>
      <c r="C31" s="47" t="s">
        <v>383</v>
      </c>
      <c r="D31" s="45"/>
      <c r="E31" s="45"/>
      <c r="F31" s="45"/>
      <c r="G31" s="45"/>
      <c r="H31" s="46"/>
    </row>
    <row r="32" spans="1:8" ht="19.5" customHeight="1" x14ac:dyDescent="0.3">
      <c r="A32" s="64" t="s">
        <v>384</v>
      </c>
      <c r="B32" s="46"/>
      <c r="C32" s="47" t="s">
        <v>135</v>
      </c>
      <c r="D32" s="45"/>
      <c r="E32" s="45"/>
      <c r="F32" s="45"/>
      <c r="G32" s="45"/>
      <c r="H32" s="46"/>
    </row>
    <row r="33" spans="1:8" ht="19.5" customHeight="1" x14ac:dyDescent="0.3">
      <c r="A33" s="64" t="s">
        <v>385</v>
      </c>
      <c r="B33" s="46"/>
      <c r="C33" s="47" t="s">
        <v>175</v>
      </c>
      <c r="D33" s="45"/>
      <c r="E33" s="45"/>
      <c r="F33" s="45"/>
      <c r="G33" s="45"/>
      <c r="H33" s="46"/>
    </row>
    <row r="35" spans="1:8" ht="21.75" customHeight="1" x14ac:dyDescent="0.3">
      <c r="A35" s="52" t="s">
        <v>386</v>
      </c>
      <c r="B35" s="36"/>
      <c r="C35" s="36"/>
      <c r="D35" s="36"/>
      <c r="E35" s="36"/>
      <c r="F35" s="36"/>
      <c r="G35" s="36"/>
      <c r="H35" s="36"/>
    </row>
    <row r="36" spans="1:8" ht="19.5" customHeight="1" x14ac:dyDescent="0.3">
      <c r="A36" s="64" t="s">
        <v>387</v>
      </c>
      <c r="B36" s="46"/>
      <c r="C36" s="47" t="s">
        <v>388</v>
      </c>
      <c r="D36" s="45"/>
      <c r="E36" s="45"/>
      <c r="F36" s="45"/>
      <c r="G36" s="45"/>
      <c r="H36" s="46"/>
    </row>
    <row r="37" spans="1:8" ht="19.5" customHeight="1" x14ac:dyDescent="0.3">
      <c r="A37" s="64" t="s">
        <v>389</v>
      </c>
      <c r="B37" s="46"/>
      <c r="C37" s="47" t="s">
        <v>390</v>
      </c>
      <c r="D37" s="45"/>
      <c r="E37" s="45"/>
      <c r="F37" s="45"/>
      <c r="G37" s="45"/>
      <c r="H37" s="46"/>
    </row>
    <row r="38" spans="1:8" ht="19.5" customHeight="1" x14ac:dyDescent="0.3">
      <c r="A38" s="64" t="s">
        <v>391</v>
      </c>
      <c r="B38" s="46"/>
      <c r="C38" s="47" t="s">
        <v>392</v>
      </c>
      <c r="D38" s="45"/>
      <c r="E38" s="45"/>
      <c r="F38" s="45"/>
      <c r="G38" s="45"/>
      <c r="H38" s="46"/>
    </row>
    <row r="39" spans="1:8" ht="19.5" customHeight="1" x14ac:dyDescent="0.3">
      <c r="A39" s="64" t="s">
        <v>393</v>
      </c>
      <c r="B39" s="46"/>
      <c r="C39" s="47" t="s">
        <v>352</v>
      </c>
      <c r="D39" s="45"/>
      <c r="E39" s="45"/>
      <c r="F39" s="45"/>
      <c r="G39" s="45"/>
      <c r="H39" s="46"/>
    </row>
    <row r="40" spans="1:8" ht="19.5" customHeight="1" x14ac:dyDescent="0.3">
      <c r="A40" s="64" t="s">
        <v>394</v>
      </c>
      <c r="B40" s="46"/>
      <c r="C40" s="47" t="s">
        <v>340</v>
      </c>
      <c r="D40" s="45"/>
      <c r="E40" s="45"/>
      <c r="F40" s="45"/>
      <c r="G40" s="45"/>
      <c r="H40" s="46"/>
    </row>
    <row r="41" spans="1:8" ht="19.5" customHeight="1" x14ac:dyDescent="0.3">
      <c r="A41" s="64" t="s">
        <v>395</v>
      </c>
      <c r="B41" s="46"/>
      <c r="C41" s="47">
        <v>45</v>
      </c>
      <c r="D41" s="46"/>
      <c r="E41" s="64" t="s">
        <v>396</v>
      </c>
      <c r="F41" s="46"/>
      <c r="G41" s="47">
        <v>120</v>
      </c>
      <c r="H41" s="46"/>
    </row>
    <row r="42" spans="1:8" ht="19.5" customHeight="1" x14ac:dyDescent="0.3">
      <c r="A42" s="64" t="s">
        <v>397</v>
      </c>
      <c r="B42" s="46"/>
      <c r="C42" s="47" t="s">
        <v>398</v>
      </c>
      <c r="D42" s="45"/>
      <c r="E42" s="45"/>
      <c r="F42" s="45"/>
      <c r="G42" s="45"/>
      <c r="H42" s="46"/>
    </row>
    <row r="43" spans="1:8" ht="19.5" customHeight="1" x14ac:dyDescent="0.3">
      <c r="A43" s="64" t="s">
        <v>399</v>
      </c>
      <c r="B43" s="46"/>
      <c r="C43" s="47" t="s">
        <v>400</v>
      </c>
      <c r="D43" s="45"/>
      <c r="E43" s="45"/>
      <c r="F43" s="45"/>
      <c r="G43" s="45"/>
      <c r="H43" s="46"/>
    </row>
    <row r="44" spans="1:8" ht="19.5" customHeight="1" x14ac:dyDescent="0.3">
      <c r="A44" s="64" t="s">
        <v>401</v>
      </c>
      <c r="B44" s="46"/>
      <c r="C44" s="47" t="s">
        <v>135</v>
      </c>
      <c r="D44" s="45"/>
      <c r="E44" s="45"/>
      <c r="F44" s="45"/>
      <c r="G44" s="45"/>
      <c r="H44" s="46"/>
    </row>
    <row r="45" spans="1:8" ht="19.5" customHeight="1" x14ac:dyDescent="0.3">
      <c r="A45" s="64" t="s">
        <v>402</v>
      </c>
      <c r="B45" s="46"/>
      <c r="C45" s="47" t="s">
        <v>133</v>
      </c>
      <c r="D45" s="45"/>
      <c r="E45" s="45"/>
      <c r="F45" s="45"/>
      <c r="G45" s="45"/>
      <c r="H45" s="46"/>
    </row>
    <row r="46" spans="1:8" ht="19.5" customHeight="1" x14ac:dyDescent="0.3">
      <c r="A46" s="64" t="s">
        <v>403</v>
      </c>
      <c r="B46" s="46"/>
      <c r="C46" s="47" t="s">
        <v>404</v>
      </c>
      <c r="D46" s="45"/>
      <c r="E46" s="45"/>
      <c r="F46" s="45"/>
      <c r="G46" s="45"/>
      <c r="H46" s="46"/>
    </row>
    <row r="48" spans="1:8" ht="21.75" customHeight="1" x14ac:dyDescent="0.3">
      <c r="A48" s="52" t="s">
        <v>139</v>
      </c>
      <c r="B48" s="36"/>
      <c r="C48" s="36"/>
      <c r="D48" s="36"/>
      <c r="E48" s="36"/>
      <c r="F48" s="36"/>
      <c r="G48" s="36"/>
      <c r="H48" s="36"/>
    </row>
    <row r="49" spans="1:8" ht="27.75" customHeight="1" x14ac:dyDescent="0.3">
      <c r="A49" s="56" t="s">
        <v>405</v>
      </c>
      <c r="B49" s="57"/>
      <c r="C49" s="57"/>
      <c r="D49" s="57"/>
      <c r="E49" s="57"/>
      <c r="F49" s="57"/>
      <c r="G49" s="57"/>
      <c r="H49" s="58"/>
    </row>
    <row r="50" spans="1:8" ht="27.75" customHeight="1" x14ac:dyDescent="0.3">
      <c r="A50" s="59"/>
      <c r="B50" s="36"/>
      <c r="C50" s="36"/>
      <c r="D50" s="36"/>
      <c r="E50" s="36"/>
      <c r="F50" s="36"/>
      <c r="G50" s="36"/>
      <c r="H50" s="60"/>
    </row>
    <row r="51" spans="1:8" ht="27.75" customHeight="1" x14ac:dyDescent="0.3">
      <c r="A51" s="61"/>
      <c r="B51" s="62"/>
      <c r="C51" s="62"/>
      <c r="D51" s="62"/>
      <c r="E51" s="62"/>
      <c r="F51" s="62"/>
      <c r="G51" s="62"/>
      <c r="H51" s="63"/>
    </row>
  </sheetData>
  <mergeCells count="63">
    <mergeCell ref="A2:H2"/>
    <mergeCell ref="C37:H37"/>
    <mergeCell ref="A42:B42"/>
    <mergeCell ref="A32:B32"/>
    <mergeCell ref="A5:H5"/>
    <mergeCell ref="A8:B8"/>
    <mergeCell ref="C30:H30"/>
    <mergeCell ref="C8:D8"/>
    <mergeCell ref="C33:H33"/>
    <mergeCell ref="A4:H4"/>
    <mergeCell ref="A38:B38"/>
    <mergeCell ref="C42:H42"/>
    <mergeCell ref="A29:B29"/>
    <mergeCell ref="A35:H35"/>
    <mergeCell ref="E41:F41"/>
    <mergeCell ref="A10:B10"/>
    <mergeCell ref="A3:H3"/>
    <mergeCell ref="A26:H26"/>
    <mergeCell ref="C38:H38"/>
    <mergeCell ref="C28:H28"/>
    <mergeCell ref="A33:B33"/>
    <mergeCell ref="A28:B28"/>
    <mergeCell ref="A13:H13"/>
    <mergeCell ref="A9:B9"/>
    <mergeCell ref="G9:H9"/>
    <mergeCell ref="A31:B31"/>
    <mergeCell ref="C29:H29"/>
    <mergeCell ref="C9:D9"/>
    <mergeCell ref="A27:B27"/>
    <mergeCell ref="E9:F9"/>
    <mergeCell ref="A12:H12"/>
    <mergeCell ref="C32:H32"/>
    <mergeCell ref="A49:H51"/>
    <mergeCell ref="C43:H43"/>
    <mergeCell ref="A1:H1"/>
    <mergeCell ref="G8:H8"/>
    <mergeCell ref="E8:F8"/>
    <mergeCell ref="A6:H6"/>
    <mergeCell ref="C46:H46"/>
    <mergeCell ref="C10:D10"/>
    <mergeCell ref="C36:H36"/>
    <mergeCell ref="A7:H7"/>
    <mergeCell ref="E10:F10"/>
    <mergeCell ref="C27:H27"/>
    <mergeCell ref="A41:B41"/>
    <mergeCell ref="G10:H10"/>
    <mergeCell ref="C41:D41"/>
    <mergeCell ref="A37:B37"/>
    <mergeCell ref="A48:H48"/>
    <mergeCell ref="A30:B30"/>
    <mergeCell ref="C44:H44"/>
    <mergeCell ref="C40:H40"/>
    <mergeCell ref="C31:H31"/>
    <mergeCell ref="A45:B45"/>
    <mergeCell ref="A36:B36"/>
    <mergeCell ref="A46:B46"/>
    <mergeCell ref="C39:H39"/>
    <mergeCell ref="A43:B43"/>
    <mergeCell ref="G41:H41"/>
    <mergeCell ref="C45:H45"/>
    <mergeCell ref="A44:B44"/>
    <mergeCell ref="A40:B40"/>
    <mergeCell ref="A39:B39"/>
  </mergeCells>
  <dataValidations count="15">
    <dataValidation type="list" allowBlank="1" errorTitle="Valor no válido" error="Seleccione un valor de la lista desplegable." promptTitle="Código de Bloque" prompt="Elija una opción de la lista." sqref="C9" xr:uid="{00000000-0002-0000-0500-000000000000}">
      <formula1>lst_CodigoBloque</formula1>
      <formula2>0</formula2>
    </dataValidation>
    <dataValidation type="list" allowBlank="1" errorTitle="Valor no válido" error="Seleccione un valor de la lista desplegable." promptTitle="Tipo de fuente" prompt="Elija una opción de la lista." sqref="B15:B24" xr:uid="{00000000-0002-0000-0500-000001000000}">
      <formula1>lst_TipoFuente</formula1>
      <formula2>0</formula2>
    </dataValidation>
    <dataValidation type="list" allowBlank="1" errorTitle="Valor no válido" error="Seleccione un valor de la lista desplegable." promptTitle="Régimen" prompt="Elija una opción de la lista." sqref="E15:E24" xr:uid="{00000000-0002-0000-0500-000002000000}">
      <formula1>lst_RegimenHidrico</formula1>
      <formula2>0</formula2>
    </dataValidation>
    <dataValidation type="list" allowBlank="1" errorTitle="Valor no válido" error="Seleccione un valor de la lista desplegable." promptTitle="Calidad aparente" prompt="Elija una opción de la lista." sqref="F15:F24" xr:uid="{00000000-0002-0000-0500-000003000000}">
      <formula1>lst_CalidadAgua</formula1>
      <formula2>0</formula2>
    </dataValidation>
    <dataValidation type="list" allowBlank="1" errorTitle="Valor no válido" error="Seleccione un valor de la lista desplegable." promptTitle="¿Bloque en zona de recarga híd" prompt="Elija una opción de la lista." sqref="C27" xr:uid="{00000000-0002-0000-0500-000004000000}">
      <formula1>lst_SiNo</formula1>
      <formula2>0</formula2>
    </dataValidation>
    <dataValidation type="list" allowBlank="1" errorTitle="Valor no válido" error="Seleccione un valor de la lista desplegable." promptTitle="¿Zonas de humedad persistente " prompt="Elija una opción de la lista." sqref="C28" xr:uid="{00000000-0002-0000-0500-000005000000}">
      <formula1>lst_SiNo</formula1>
      <formula2>0</formula2>
    </dataValidation>
    <dataValidation type="list" allowBlank="1" errorTitle="Valor no válido" error="Seleccione un valor de la lista desplegable." promptTitle="¿Escorrentía concentrada obser" prompt="Elija una opción de la lista." sqref="C29" xr:uid="{00000000-0002-0000-0500-000006000000}">
      <formula1>lst_SiNo</formula1>
      <formula2>0</formula2>
    </dataValidation>
    <dataValidation type="list" allowBlank="1" errorTitle="Valor no válido" error="Seleccione un valor de la lista desplegable." promptTitle="¿Interferencia con obras de ri" prompt="Elija una opción de la lista." sqref="C32" xr:uid="{00000000-0002-0000-0500-000007000000}">
      <formula1>lst_SiNo</formula1>
      <formula2>0</formula2>
    </dataValidation>
    <dataValidation type="list" allowBlank="1" errorTitle="Valor no válido" error="Seleccione un valor de la lista desplegable." promptTitle="Modalidad de acceso al bloque " prompt="Elija una opción de la lista." sqref="C36" xr:uid="{00000000-0002-0000-0500-000008000000}">
      <formula1>lst_ModalidadAcceso</formula1>
      <formula2>0</formula2>
    </dataValidation>
    <dataValidation type="list" allowBlank="1" errorTitle="Valor no válido" error="Seleccione un valor de la lista desplegable." promptTitle="Tipo de vía final" prompt="Elija una opción de la lista." sqref="C38" xr:uid="{00000000-0002-0000-0500-000009000000}">
      <formula1>lst_TipoVia</formula1>
      <formula2>0</formula2>
    </dataValidation>
    <dataValidation type="list" allowBlank="1" errorTitle="Valor no válido" error="Seleccione un valor de la lista desplegable." promptTitle="Estado transitabilidad — época" prompt="Elija una opción de la lista." sqref="C39:C40" xr:uid="{00000000-0002-0000-0500-00000A000000}">
      <formula1>lst_NivelTransitabilidad</formula1>
      <formula2>0</formula2>
    </dataValidation>
    <dataValidation type="list" allowBlank="1" errorTitle="Valor no válido" error="Seleccione un valor de la lista desplegable." promptTitle="Señal celular" prompt="Elija una opción de la lista." sqref="C42" xr:uid="{00000000-0002-0000-0500-00000B000000}">
      <formula1>lst_SenalCelular</formula1>
      <formula2>0</formula2>
    </dataValidation>
    <dataValidation type="list" allowBlank="1" errorTitle="Valor no válido" error="Seleccione un valor de la lista desplegable." promptTitle="Operador celular dominante" prompt="Elija una opción de la lista." sqref="C43" xr:uid="{00000000-0002-0000-0500-00000C000000}">
      <formula1>lst_Operador</formula1>
      <formula2>0</formula2>
    </dataValidation>
    <dataValidation type="list" allowBlank="1" errorTitle="Valor no válido" error="Seleccione un valor de la lista desplegable." promptTitle="Alojamiento rural disponible" prompt="Elija una opción de la lista." sqref="C44" xr:uid="{00000000-0002-0000-0500-00000D000000}">
      <formula1>lst_SiNo</formula1>
      <formula2>0</formula2>
    </dataValidation>
    <dataValidation type="list" allowBlank="1" errorTitle="Valor no válido" error="Seleccione un valor de la lista desplegable." promptTitle="¿Requiere autorización de Rond" prompt="Elija una opción de la lista." sqref="C45" xr:uid="{00000000-0002-0000-0500-00000E000000}">
      <formula1>lst_SiNo</formula1>
      <formula2>0</formula2>
    </dataValidation>
  </dataValidations>
  <printOptions horizontalCentered="1"/>
  <pageMargins left="0.4" right="0.4" top="0.5" bottom="0.5" header="0.2" footer="0.2"/>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2"/>
  <sheetViews>
    <sheetView showGridLines="0" workbookViewId="0">
      <pane ySplit="6" topLeftCell="A7" activePane="bottomLeft" state="frozen"/>
      <selection pane="bottomLeft"/>
    </sheetView>
  </sheetViews>
  <sheetFormatPr baseColWidth="10" defaultColWidth="8.88671875" defaultRowHeight="14.4" x14ac:dyDescent="0.3"/>
  <cols>
    <col min="1" max="1" width="30" customWidth="1"/>
    <col min="2" max="2" width="14" customWidth="1"/>
    <col min="3" max="3" width="16" customWidth="1"/>
    <col min="4" max="4" width="30" customWidth="1"/>
    <col min="5" max="5" width="8" customWidth="1"/>
    <col min="6" max="6" width="30" customWidth="1"/>
    <col min="7" max="7" width="14" customWidth="1"/>
    <col min="8" max="8" width="16" customWidth="1"/>
  </cols>
  <sheetData>
    <row r="1" spans="1:8" ht="18" customHeight="1" x14ac:dyDescent="0.3">
      <c r="A1" s="35" t="s">
        <v>0</v>
      </c>
      <c r="B1" s="36"/>
      <c r="C1" s="36"/>
      <c r="D1" s="36"/>
      <c r="E1" s="36"/>
      <c r="F1" s="36"/>
      <c r="G1" s="36"/>
      <c r="H1" s="36"/>
    </row>
    <row r="2" spans="1:8" ht="13.05" customHeight="1" x14ac:dyDescent="0.3">
      <c r="A2" s="41" t="s">
        <v>1</v>
      </c>
      <c r="B2" s="36"/>
      <c r="C2" s="36"/>
      <c r="D2" s="36"/>
      <c r="E2" s="36"/>
      <c r="F2" s="36"/>
      <c r="G2" s="36"/>
      <c r="H2" s="36"/>
    </row>
    <row r="3" spans="1:8" ht="13.05" customHeight="1" x14ac:dyDescent="0.3">
      <c r="A3" s="41" t="s">
        <v>2</v>
      </c>
      <c r="B3" s="36"/>
      <c r="C3" s="36"/>
      <c r="D3" s="36"/>
      <c r="E3" s="36"/>
      <c r="F3" s="36"/>
      <c r="G3" s="36"/>
      <c r="H3" s="36"/>
    </row>
    <row r="4" spans="1:8" ht="13.05" customHeight="1" x14ac:dyDescent="0.3">
      <c r="A4" s="41" t="s">
        <v>3</v>
      </c>
      <c r="B4" s="36"/>
      <c r="C4" s="36"/>
      <c r="D4" s="36"/>
      <c r="E4" s="36"/>
      <c r="F4" s="36"/>
      <c r="G4" s="36"/>
      <c r="H4" s="36"/>
    </row>
    <row r="5" spans="1:8" ht="19.95" customHeight="1" x14ac:dyDescent="0.3">
      <c r="A5" s="42" t="s">
        <v>406</v>
      </c>
      <c r="B5" s="36"/>
      <c r="C5" s="36"/>
      <c r="D5" s="36"/>
      <c r="E5" s="36"/>
      <c r="F5" s="36"/>
      <c r="G5" s="36"/>
      <c r="H5" s="36"/>
    </row>
    <row r="6" spans="1:8" ht="25.95" customHeight="1" x14ac:dyDescent="0.3">
      <c r="A6" s="38" t="s">
        <v>407</v>
      </c>
      <c r="B6" s="36"/>
      <c r="C6" s="36"/>
      <c r="D6" s="36"/>
      <c r="E6" s="36"/>
      <c r="F6" s="36"/>
      <c r="G6" s="36"/>
      <c r="H6" s="36"/>
    </row>
    <row r="8" spans="1:8" x14ac:dyDescent="0.3">
      <c r="A8" s="68" t="s">
        <v>408</v>
      </c>
      <c r="B8" s="36"/>
      <c r="C8" s="36"/>
      <c r="F8" s="68" t="s">
        <v>409</v>
      </c>
      <c r="G8" s="36"/>
      <c r="H8" s="36"/>
    </row>
    <row r="9" spans="1:8" x14ac:dyDescent="0.3">
      <c r="A9" s="18" t="s">
        <v>410</v>
      </c>
      <c r="B9" s="18" t="s">
        <v>411</v>
      </c>
      <c r="C9" s="18" t="s">
        <v>412</v>
      </c>
      <c r="F9" s="18" t="s">
        <v>410</v>
      </c>
      <c r="G9" s="18" t="s">
        <v>411</v>
      </c>
      <c r="H9" s="18" t="s">
        <v>412</v>
      </c>
    </row>
    <row r="10" spans="1:8" x14ac:dyDescent="0.3">
      <c r="A10" s="19" t="s">
        <v>413</v>
      </c>
      <c r="B10" s="20">
        <v>0</v>
      </c>
      <c r="C10" s="21">
        <f>B10/100*109.86</f>
        <v>0</v>
      </c>
      <c r="F10" s="19" t="s">
        <v>414</v>
      </c>
      <c r="G10" s="20">
        <v>0</v>
      </c>
      <c r="H10" s="21">
        <f>G10/100*109.86</f>
        <v>0</v>
      </c>
    </row>
    <row r="11" spans="1:8" x14ac:dyDescent="0.3">
      <c r="A11" s="22" t="s">
        <v>415</v>
      </c>
      <c r="B11" s="23">
        <v>2</v>
      </c>
      <c r="C11" s="24">
        <f>B11/100*109.86</f>
        <v>2.1972</v>
      </c>
      <c r="F11" s="22" t="s">
        <v>416</v>
      </c>
      <c r="G11" s="23">
        <v>0</v>
      </c>
      <c r="H11" s="24">
        <f>G11/100*109.86</f>
        <v>0</v>
      </c>
    </row>
    <row r="12" spans="1:8" x14ac:dyDescent="0.3">
      <c r="A12" s="19" t="s">
        <v>417</v>
      </c>
      <c r="B12" s="20">
        <v>18</v>
      </c>
      <c r="C12" s="21">
        <f>B12/100*109.86</f>
        <v>19.774799999999999</v>
      </c>
      <c r="F12" s="19" t="s">
        <v>418</v>
      </c>
      <c r="G12" s="20">
        <v>0.5</v>
      </c>
      <c r="H12" s="21">
        <f>G12/100*109.86</f>
        <v>0.54930000000000001</v>
      </c>
    </row>
    <row r="13" spans="1:8" x14ac:dyDescent="0.3">
      <c r="A13" s="22" t="s">
        <v>64</v>
      </c>
      <c r="B13" s="23">
        <v>55</v>
      </c>
      <c r="C13" s="24">
        <f>B13/100*109.86</f>
        <v>60.423000000000002</v>
      </c>
      <c r="F13" s="22" t="s">
        <v>419</v>
      </c>
      <c r="G13" s="23">
        <v>8</v>
      </c>
      <c r="H13" s="24">
        <f>G13/100*109.86</f>
        <v>8.7888000000000002</v>
      </c>
    </row>
    <row r="14" spans="1:8" x14ac:dyDescent="0.3">
      <c r="A14" s="19" t="s">
        <v>420</v>
      </c>
      <c r="B14" s="20">
        <v>25</v>
      </c>
      <c r="C14" s="21">
        <f>B14/100*109.86</f>
        <v>27.465</v>
      </c>
      <c r="F14" s="19" t="s">
        <v>66</v>
      </c>
      <c r="G14" s="20">
        <v>91.5</v>
      </c>
      <c r="H14" s="21">
        <f>G14/100*109.86</f>
        <v>100.5219</v>
      </c>
    </row>
    <row r="15" spans="1:8" x14ac:dyDescent="0.3">
      <c r="A15" s="25" t="s">
        <v>421</v>
      </c>
      <c r="B15" s="26">
        <f>SUM(B10:B14)</f>
        <v>100</v>
      </c>
      <c r="C15" s="27">
        <f>SUM(C10:C14)</f>
        <v>109.86</v>
      </c>
      <c r="F15" s="25" t="s">
        <v>421</v>
      </c>
      <c r="G15" s="26">
        <f>SUM(G10:G14)</f>
        <v>100</v>
      </c>
      <c r="H15" s="27">
        <f>SUM(H10:H14)</f>
        <v>109.86</v>
      </c>
    </row>
    <row r="17" spans="1:8" ht="16.05" customHeight="1" x14ac:dyDescent="0.3">
      <c r="A17" s="40" t="s">
        <v>422</v>
      </c>
      <c r="B17" s="36"/>
      <c r="C17" s="36"/>
      <c r="D17" s="36"/>
      <c r="E17" s="36"/>
      <c r="F17" s="36"/>
      <c r="G17" s="36"/>
      <c r="H17" s="36"/>
    </row>
    <row r="18" spans="1:8" x14ac:dyDescent="0.3">
      <c r="A18" s="69" t="s">
        <v>423</v>
      </c>
      <c r="B18" s="36"/>
      <c r="C18" s="36"/>
      <c r="D18" s="36"/>
      <c r="E18" s="36"/>
      <c r="F18" s="36"/>
      <c r="G18" s="36"/>
      <c r="H18" s="36"/>
    </row>
    <row r="19" spans="1:8" x14ac:dyDescent="0.3">
      <c r="A19" s="36"/>
      <c r="B19" s="36"/>
      <c r="C19" s="36"/>
      <c r="D19" s="36"/>
      <c r="E19" s="36"/>
      <c r="F19" s="36"/>
      <c r="G19" s="36"/>
      <c r="H19" s="36"/>
    </row>
    <row r="20" spans="1:8" x14ac:dyDescent="0.3">
      <c r="A20" s="36"/>
      <c r="B20" s="36"/>
      <c r="C20" s="36"/>
      <c r="D20" s="36"/>
      <c r="E20" s="36"/>
      <c r="F20" s="36"/>
      <c r="G20" s="36"/>
      <c r="H20" s="36"/>
    </row>
    <row r="21" spans="1:8" x14ac:dyDescent="0.3">
      <c r="A21" s="36"/>
      <c r="B21" s="36"/>
      <c r="C21" s="36"/>
      <c r="D21" s="36"/>
      <c r="E21" s="36"/>
      <c r="F21" s="36"/>
      <c r="G21" s="36"/>
      <c r="H21" s="36"/>
    </row>
    <row r="22" spans="1:8" x14ac:dyDescent="0.3">
      <c r="A22" s="36"/>
      <c r="B22" s="36"/>
      <c r="C22" s="36"/>
      <c r="D22" s="36"/>
      <c r="E22" s="36"/>
      <c r="F22" s="36"/>
      <c r="G22" s="36"/>
      <c r="H22" s="36"/>
    </row>
  </sheetData>
  <mergeCells count="10">
    <mergeCell ref="A18:H22"/>
    <mergeCell ref="A6:H6"/>
    <mergeCell ref="A17:H17"/>
    <mergeCell ref="A1:H1"/>
    <mergeCell ref="A4:H4"/>
    <mergeCell ref="A3:H3"/>
    <mergeCell ref="A2:H2"/>
    <mergeCell ref="A8:C8"/>
    <mergeCell ref="F8:H8"/>
    <mergeCell ref="A5:H5"/>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6"/>
  <sheetViews>
    <sheetView showGridLines="0" workbookViewId="0">
      <pane ySplit="8" topLeftCell="A9" activePane="bottomLeft" state="frozen"/>
      <selection pane="bottomLeft"/>
    </sheetView>
  </sheetViews>
  <sheetFormatPr baseColWidth="10" defaultColWidth="8.88671875" defaultRowHeight="14.4" x14ac:dyDescent="0.3"/>
  <cols>
    <col min="1" max="1" width="8" customWidth="1"/>
    <col min="2" max="2" width="26" customWidth="1"/>
    <col min="3" max="3" width="52" customWidth="1"/>
    <col min="4" max="4" width="15" customWidth="1"/>
    <col min="5" max="5" width="52" customWidth="1"/>
  </cols>
  <sheetData>
    <row r="1" spans="1:8" ht="18" customHeight="1" x14ac:dyDescent="0.3">
      <c r="A1" s="35" t="s">
        <v>0</v>
      </c>
      <c r="B1" s="36"/>
      <c r="C1" s="36"/>
      <c r="D1" s="36"/>
      <c r="E1" s="36"/>
      <c r="F1" s="36"/>
      <c r="G1" s="36"/>
      <c r="H1" s="36"/>
    </row>
    <row r="2" spans="1:8" ht="13.05" customHeight="1" x14ac:dyDescent="0.3">
      <c r="A2" s="41" t="s">
        <v>1</v>
      </c>
      <c r="B2" s="36"/>
      <c r="C2" s="36"/>
      <c r="D2" s="36"/>
      <c r="E2" s="36"/>
      <c r="F2" s="36"/>
      <c r="G2" s="36"/>
      <c r="H2" s="36"/>
    </row>
    <row r="3" spans="1:8" ht="13.05" customHeight="1" x14ac:dyDescent="0.3">
      <c r="A3" s="41" t="s">
        <v>2</v>
      </c>
      <c r="B3" s="36"/>
      <c r="C3" s="36"/>
      <c r="D3" s="36"/>
      <c r="E3" s="36"/>
      <c r="F3" s="36"/>
      <c r="G3" s="36"/>
      <c r="H3" s="36"/>
    </row>
    <row r="4" spans="1:8" ht="13.05" customHeight="1" x14ac:dyDescent="0.3">
      <c r="A4" s="41" t="s">
        <v>3</v>
      </c>
      <c r="B4" s="36"/>
      <c r="C4" s="36"/>
      <c r="D4" s="36"/>
      <c r="E4" s="36"/>
      <c r="F4" s="36"/>
      <c r="G4" s="36"/>
      <c r="H4" s="36"/>
    </row>
    <row r="5" spans="1:8" ht="19.95" customHeight="1" x14ac:dyDescent="0.3">
      <c r="A5" s="42" t="s">
        <v>424</v>
      </c>
      <c r="B5" s="36"/>
      <c r="C5" s="36"/>
      <c r="D5" s="36"/>
      <c r="E5" s="36"/>
      <c r="F5" s="36"/>
      <c r="G5" s="36"/>
      <c r="H5" s="36"/>
    </row>
    <row r="6" spans="1:8" ht="25.95" customHeight="1" x14ac:dyDescent="0.3">
      <c r="A6" s="38" t="s">
        <v>425</v>
      </c>
      <c r="B6" s="36"/>
      <c r="C6" s="36"/>
      <c r="D6" s="36"/>
      <c r="E6" s="36"/>
      <c r="F6" s="36"/>
      <c r="G6" s="36"/>
      <c r="H6" s="36"/>
    </row>
    <row r="8" spans="1:8" ht="18" customHeight="1" x14ac:dyDescent="0.3">
      <c r="A8" s="13" t="s">
        <v>426</v>
      </c>
      <c r="B8" s="13" t="s">
        <v>427</v>
      </c>
      <c r="C8" s="13" t="s">
        <v>428</v>
      </c>
      <c r="D8" s="13" t="s">
        <v>429</v>
      </c>
      <c r="E8" s="13" t="s">
        <v>430</v>
      </c>
    </row>
    <row r="9" spans="1:8" ht="46.05" customHeight="1" x14ac:dyDescent="0.3">
      <c r="A9" s="28" t="s">
        <v>431</v>
      </c>
      <c r="B9" s="29" t="s">
        <v>432</v>
      </c>
      <c r="C9" s="29" t="s">
        <v>433</v>
      </c>
      <c r="D9" s="28" t="s">
        <v>434</v>
      </c>
      <c r="E9" s="29" t="s">
        <v>435</v>
      </c>
    </row>
    <row r="10" spans="1:8" ht="46.05" customHeight="1" x14ac:dyDescent="0.3">
      <c r="A10" s="30" t="s">
        <v>436</v>
      </c>
      <c r="B10" s="31" t="s">
        <v>437</v>
      </c>
      <c r="C10" s="31" t="s">
        <v>438</v>
      </c>
      <c r="D10" s="30" t="s">
        <v>434</v>
      </c>
      <c r="E10" s="31" t="s">
        <v>439</v>
      </c>
    </row>
    <row r="11" spans="1:8" ht="46.05" customHeight="1" x14ac:dyDescent="0.3">
      <c r="A11" s="28" t="s">
        <v>440</v>
      </c>
      <c r="B11" s="29" t="s">
        <v>441</v>
      </c>
      <c r="C11" s="29" t="s">
        <v>442</v>
      </c>
      <c r="D11" s="32" t="s">
        <v>443</v>
      </c>
      <c r="E11" s="29" t="s">
        <v>444</v>
      </c>
    </row>
    <row r="12" spans="1:8" ht="46.05" customHeight="1" x14ac:dyDescent="0.3">
      <c r="A12" s="30" t="s">
        <v>445</v>
      </c>
      <c r="B12" s="31" t="s">
        <v>446</v>
      </c>
      <c r="C12" s="31" t="s">
        <v>447</v>
      </c>
      <c r="D12" s="32" t="s">
        <v>443</v>
      </c>
      <c r="E12" s="31" t="s">
        <v>448</v>
      </c>
    </row>
    <row r="13" spans="1:8" ht="46.05" customHeight="1" x14ac:dyDescent="0.3">
      <c r="A13" s="28" t="s">
        <v>449</v>
      </c>
      <c r="B13" s="29" t="s">
        <v>328</v>
      </c>
      <c r="C13" s="29" t="s">
        <v>450</v>
      </c>
      <c r="D13" s="32" t="s">
        <v>443</v>
      </c>
      <c r="E13" s="29" t="s">
        <v>451</v>
      </c>
    </row>
    <row r="14" spans="1:8" ht="46.05" customHeight="1" x14ac:dyDescent="0.3">
      <c r="A14" s="30" t="s">
        <v>452</v>
      </c>
      <c r="B14" s="31" t="s">
        <v>453</v>
      </c>
      <c r="C14" s="31" t="s">
        <v>454</v>
      </c>
      <c r="D14" s="30" t="s">
        <v>455</v>
      </c>
      <c r="E14" s="31" t="s">
        <v>456</v>
      </c>
    </row>
    <row r="15" spans="1:8" ht="46.05" customHeight="1" x14ac:dyDescent="0.3">
      <c r="A15" s="28" t="s">
        <v>457</v>
      </c>
      <c r="B15" s="29" t="s">
        <v>458</v>
      </c>
      <c r="C15" s="29" t="s">
        <v>459</v>
      </c>
      <c r="D15" s="32" t="s">
        <v>443</v>
      </c>
      <c r="E15" s="29" t="s">
        <v>460</v>
      </c>
    </row>
    <row r="16" spans="1:8" ht="46.05" customHeight="1" x14ac:dyDescent="0.3">
      <c r="A16" s="30" t="s">
        <v>461</v>
      </c>
      <c r="B16" s="31" t="s">
        <v>462</v>
      </c>
      <c r="C16" s="31" t="s">
        <v>463</v>
      </c>
      <c r="D16" s="32" t="s">
        <v>443</v>
      </c>
      <c r="E16" s="31" t="s">
        <v>464</v>
      </c>
    </row>
  </sheetData>
  <mergeCells count="6">
    <mergeCell ref="A6:H6"/>
    <mergeCell ref="A1:H1"/>
    <mergeCell ref="A4:H4"/>
    <mergeCell ref="A3:H3"/>
    <mergeCell ref="A2:H2"/>
    <mergeCell ref="A5:H5"/>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H133"/>
  <sheetViews>
    <sheetView zoomScaleNormal="100" workbookViewId="0">
      <pane ySplit="1" topLeftCell="A2" activePane="bottomLeft" state="frozen"/>
      <selection pane="bottomLeft"/>
    </sheetView>
  </sheetViews>
  <sheetFormatPr baseColWidth="10" defaultColWidth="8.6640625" defaultRowHeight="14.4" x14ac:dyDescent="0.3"/>
  <cols>
    <col min="1" max="1" width="10" customWidth="1"/>
    <col min="2" max="3" width="16" customWidth="1"/>
    <col min="4" max="4" width="24" customWidth="1"/>
    <col min="5" max="5" width="8" customWidth="1"/>
    <col min="6" max="7" width="12" customWidth="1"/>
    <col min="8" max="8" width="11" customWidth="1"/>
  </cols>
  <sheetData>
    <row r="1" spans="1:8" ht="15" customHeight="1" x14ac:dyDescent="0.3">
      <c r="A1" s="2" t="s">
        <v>465</v>
      </c>
      <c r="B1" s="2" t="s">
        <v>466</v>
      </c>
      <c r="C1" s="2" t="s">
        <v>467</v>
      </c>
      <c r="D1" s="2" t="s">
        <v>468</v>
      </c>
      <c r="E1" s="2" t="s">
        <v>469</v>
      </c>
      <c r="F1" s="2" t="s">
        <v>470</v>
      </c>
      <c r="G1" s="2" t="s">
        <v>471</v>
      </c>
      <c r="H1" s="2" t="s">
        <v>472</v>
      </c>
    </row>
    <row r="2" spans="1:8" ht="15" customHeight="1" x14ac:dyDescent="0.3">
      <c r="A2" s="8" t="s">
        <v>473</v>
      </c>
      <c r="B2" s="8" t="s">
        <v>474</v>
      </c>
      <c r="C2" s="8" t="s">
        <v>475</v>
      </c>
      <c r="D2" s="8" t="s">
        <v>476</v>
      </c>
      <c r="E2" s="8" t="s">
        <v>477</v>
      </c>
      <c r="F2" s="9">
        <v>595552</v>
      </c>
      <c r="G2" s="9">
        <v>9451222</v>
      </c>
      <c r="H2" s="10">
        <v>355.36</v>
      </c>
    </row>
    <row r="3" spans="1:8" ht="15" customHeight="1" x14ac:dyDescent="0.3">
      <c r="A3" s="8" t="s">
        <v>478</v>
      </c>
      <c r="B3" s="8" t="s">
        <v>479</v>
      </c>
      <c r="C3" s="8" t="s">
        <v>475</v>
      </c>
      <c r="D3" s="8" t="s">
        <v>476</v>
      </c>
      <c r="E3" s="8" t="s">
        <v>477</v>
      </c>
      <c r="F3" s="9">
        <v>596773</v>
      </c>
      <c r="G3" s="9">
        <v>9448273</v>
      </c>
      <c r="H3" s="10">
        <v>68.89</v>
      </c>
    </row>
    <row r="4" spans="1:8" ht="15" customHeight="1" x14ac:dyDescent="0.3">
      <c r="A4" s="8" t="s">
        <v>480</v>
      </c>
      <c r="B4" s="8" t="s">
        <v>479</v>
      </c>
      <c r="C4" s="8" t="s">
        <v>475</v>
      </c>
      <c r="D4" s="8" t="s">
        <v>476</v>
      </c>
      <c r="E4" s="8" t="s">
        <v>477</v>
      </c>
      <c r="F4" s="9">
        <v>596578</v>
      </c>
      <c r="G4" s="9">
        <v>9442453</v>
      </c>
      <c r="H4" s="10">
        <v>53.48</v>
      </c>
    </row>
    <row r="5" spans="1:8" ht="15" customHeight="1" x14ac:dyDescent="0.3">
      <c r="A5" s="8" t="s">
        <v>481</v>
      </c>
      <c r="B5" s="8" t="s">
        <v>482</v>
      </c>
      <c r="C5" s="8" t="s">
        <v>475</v>
      </c>
      <c r="D5" s="8" t="s">
        <v>476</v>
      </c>
      <c r="E5" s="8" t="s">
        <v>477</v>
      </c>
      <c r="F5" s="9">
        <v>599927</v>
      </c>
      <c r="G5" s="9">
        <v>9442604</v>
      </c>
      <c r="H5" s="10">
        <v>35.83</v>
      </c>
    </row>
    <row r="6" spans="1:8" ht="15" customHeight="1" x14ac:dyDescent="0.3">
      <c r="A6" s="8" t="s">
        <v>483</v>
      </c>
      <c r="B6" s="8" t="s">
        <v>482</v>
      </c>
      <c r="C6" s="8" t="s">
        <v>475</v>
      </c>
      <c r="D6" s="8" t="s">
        <v>476</v>
      </c>
      <c r="E6" s="8" t="s">
        <v>477</v>
      </c>
      <c r="F6" s="9">
        <v>601122</v>
      </c>
      <c r="G6" s="9">
        <v>9443651</v>
      </c>
      <c r="H6" s="10">
        <v>79.33</v>
      </c>
    </row>
    <row r="7" spans="1:8" ht="15" customHeight="1" x14ac:dyDescent="0.3">
      <c r="A7" s="8" t="s">
        <v>484</v>
      </c>
      <c r="B7" s="8" t="s">
        <v>482</v>
      </c>
      <c r="C7" s="8" t="s">
        <v>475</v>
      </c>
      <c r="D7" s="8" t="s">
        <v>476</v>
      </c>
      <c r="E7" s="8" t="s">
        <v>477</v>
      </c>
      <c r="F7" s="9">
        <v>600644</v>
      </c>
      <c r="G7" s="9">
        <v>9440436</v>
      </c>
      <c r="H7" s="10">
        <v>42.45</v>
      </c>
    </row>
    <row r="8" spans="1:8" ht="15" customHeight="1" x14ac:dyDescent="0.3">
      <c r="A8" s="8" t="s">
        <v>485</v>
      </c>
      <c r="B8" s="8" t="s">
        <v>486</v>
      </c>
      <c r="C8" s="8" t="s">
        <v>475</v>
      </c>
      <c r="D8" s="8" t="s">
        <v>476</v>
      </c>
      <c r="E8" s="8" t="s">
        <v>477</v>
      </c>
      <c r="F8" s="9">
        <v>603653</v>
      </c>
      <c r="G8" s="9">
        <v>9439351</v>
      </c>
      <c r="H8" s="10">
        <v>330.6</v>
      </c>
    </row>
    <row r="9" spans="1:8" ht="15" customHeight="1" x14ac:dyDescent="0.3">
      <c r="A9" s="8" t="s">
        <v>487</v>
      </c>
      <c r="B9" s="8" t="s">
        <v>482</v>
      </c>
      <c r="C9" s="8" t="s">
        <v>475</v>
      </c>
      <c r="D9" s="8" t="s">
        <v>476</v>
      </c>
      <c r="E9" s="8" t="s">
        <v>477</v>
      </c>
      <c r="F9" s="9">
        <v>604926</v>
      </c>
      <c r="G9" s="9">
        <v>9444327</v>
      </c>
      <c r="H9" s="10">
        <v>124.71</v>
      </c>
    </row>
    <row r="10" spans="1:8" ht="15" customHeight="1" x14ac:dyDescent="0.3">
      <c r="A10" s="8" t="s">
        <v>488</v>
      </c>
      <c r="B10" s="8" t="s">
        <v>489</v>
      </c>
      <c r="C10" s="8" t="s">
        <v>475</v>
      </c>
      <c r="D10" s="8" t="s">
        <v>476</v>
      </c>
      <c r="E10" s="8" t="s">
        <v>477</v>
      </c>
      <c r="F10" s="9">
        <v>593246</v>
      </c>
      <c r="G10" s="9">
        <v>9430139</v>
      </c>
      <c r="H10" s="10">
        <v>448.8</v>
      </c>
    </row>
    <row r="11" spans="1:8" ht="15" customHeight="1" x14ac:dyDescent="0.3">
      <c r="A11" s="8" t="s">
        <v>490</v>
      </c>
      <c r="B11" s="8" t="s">
        <v>474</v>
      </c>
      <c r="C11" s="8" t="s">
        <v>491</v>
      </c>
      <c r="D11" s="8" t="s">
        <v>492</v>
      </c>
      <c r="E11" s="8" t="s">
        <v>493</v>
      </c>
      <c r="F11" s="9">
        <v>606816</v>
      </c>
      <c r="G11" s="9">
        <v>9458469</v>
      </c>
      <c r="H11" s="10">
        <v>459.29</v>
      </c>
    </row>
    <row r="12" spans="1:8" ht="15" customHeight="1" x14ac:dyDescent="0.3">
      <c r="A12" s="8" t="s">
        <v>494</v>
      </c>
      <c r="B12" s="8" t="s">
        <v>479</v>
      </c>
      <c r="C12" s="8" t="s">
        <v>491</v>
      </c>
      <c r="D12" s="8" t="s">
        <v>492</v>
      </c>
      <c r="E12" s="8" t="s">
        <v>493</v>
      </c>
      <c r="F12" s="9">
        <v>605636</v>
      </c>
      <c r="G12" s="9">
        <v>9455269</v>
      </c>
      <c r="H12" s="10">
        <v>168.41</v>
      </c>
    </row>
    <row r="13" spans="1:8" ht="15" customHeight="1" x14ac:dyDescent="0.3">
      <c r="A13" s="8" t="s">
        <v>495</v>
      </c>
      <c r="B13" s="8" t="s">
        <v>479</v>
      </c>
      <c r="C13" s="8" t="s">
        <v>491</v>
      </c>
      <c r="D13" s="8" t="s">
        <v>492</v>
      </c>
      <c r="E13" s="8" t="s">
        <v>493</v>
      </c>
      <c r="F13" s="9">
        <v>606468</v>
      </c>
      <c r="G13" s="9">
        <v>9454689</v>
      </c>
      <c r="H13" s="10">
        <v>24.84</v>
      </c>
    </row>
    <row r="14" spans="1:8" ht="15" customHeight="1" x14ac:dyDescent="0.3">
      <c r="A14" s="8" t="s">
        <v>496</v>
      </c>
      <c r="B14" s="8" t="s">
        <v>482</v>
      </c>
      <c r="C14" s="8" t="s">
        <v>491</v>
      </c>
      <c r="D14" s="8" t="s">
        <v>492</v>
      </c>
      <c r="E14" s="8" t="s">
        <v>493</v>
      </c>
      <c r="F14" s="9">
        <v>608472</v>
      </c>
      <c r="G14" s="9">
        <v>9448056</v>
      </c>
      <c r="H14" s="10">
        <v>258.83999999999997</v>
      </c>
    </row>
    <row r="15" spans="1:8" ht="15" customHeight="1" x14ac:dyDescent="0.3">
      <c r="A15" s="8" t="s">
        <v>497</v>
      </c>
      <c r="B15" s="8" t="s">
        <v>482</v>
      </c>
      <c r="C15" s="8" t="s">
        <v>491</v>
      </c>
      <c r="D15" s="8" t="s">
        <v>492</v>
      </c>
      <c r="E15" s="8" t="s">
        <v>493</v>
      </c>
      <c r="F15" s="9">
        <v>607036</v>
      </c>
      <c r="G15" s="9">
        <v>9446211</v>
      </c>
      <c r="H15" s="10">
        <v>106.54</v>
      </c>
    </row>
    <row r="16" spans="1:8" ht="15" customHeight="1" x14ac:dyDescent="0.3">
      <c r="A16" s="8" t="s">
        <v>498</v>
      </c>
      <c r="B16" s="8" t="s">
        <v>482</v>
      </c>
      <c r="C16" s="8" t="s">
        <v>491</v>
      </c>
      <c r="D16" s="8" t="s">
        <v>492</v>
      </c>
      <c r="E16" s="8" t="s">
        <v>493</v>
      </c>
      <c r="F16" s="9">
        <v>606173</v>
      </c>
      <c r="G16" s="9">
        <v>9447361</v>
      </c>
      <c r="H16" s="10">
        <v>75.36</v>
      </c>
    </row>
    <row r="17" spans="1:8" ht="15" customHeight="1" x14ac:dyDescent="0.3">
      <c r="A17" s="8" t="s">
        <v>499</v>
      </c>
      <c r="B17" s="8" t="s">
        <v>482</v>
      </c>
      <c r="C17" s="8" t="s">
        <v>491</v>
      </c>
      <c r="D17" s="8" t="s">
        <v>492</v>
      </c>
      <c r="E17" s="8" t="s">
        <v>493</v>
      </c>
      <c r="F17" s="9">
        <v>608800</v>
      </c>
      <c r="G17" s="9">
        <v>9445585</v>
      </c>
      <c r="H17" s="10">
        <v>74.03</v>
      </c>
    </row>
    <row r="18" spans="1:8" ht="15" customHeight="1" x14ac:dyDescent="0.3">
      <c r="A18" s="8" t="s">
        <v>500</v>
      </c>
      <c r="B18" s="8" t="s">
        <v>482</v>
      </c>
      <c r="C18" s="8" t="s">
        <v>491</v>
      </c>
      <c r="D18" s="8" t="s">
        <v>492</v>
      </c>
      <c r="E18" s="8" t="s">
        <v>493</v>
      </c>
      <c r="F18" s="9">
        <v>613302</v>
      </c>
      <c r="G18" s="9">
        <v>9450231</v>
      </c>
      <c r="H18" s="10">
        <v>78.150000000000006</v>
      </c>
    </row>
    <row r="19" spans="1:8" ht="15" customHeight="1" x14ac:dyDescent="0.3">
      <c r="A19" s="8" t="s">
        <v>501</v>
      </c>
      <c r="B19" s="8" t="s">
        <v>502</v>
      </c>
      <c r="C19" s="8" t="s">
        <v>491</v>
      </c>
      <c r="D19" s="8" t="s">
        <v>492</v>
      </c>
      <c r="E19" s="8" t="s">
        <v>493</v>
      </c>
      <c r="F19" s="9">
        <v>618523</v>
      </c>
      <c r="G19" s="9">
        <v>9448918</v>
      </c>
      <c r="H19" s="10">
        <v>68.569999999999993</v>
      </c>
    </row>
    <row r="20" spans="1:8" ht="15" customHeight="1" x14ac:dyDescent="0.3">
      <c r="A20" s="8" t="s">
        <v>503</v>
      </c>
      <c r="B20" s="8" t="s">
        <v>502</v>
      </c>
      <c r="C20" s="8" t="s">
        <v>491</v>
      </c>
      <c r="D20" s="8" t="s">
        <v>492</v>
      </c>
      <c r="E20" s="8" t="s">
        <v>493</v>
      </c>
      <c r="F20" s="9">
        <v>631723</v>
      </c>
      <c r="G20" s="9">
        <v>9439702</v>
      </c>
      <c r="H20" s="10">
        <v>77.67</v>
      </c>
    </row>
    <row r="21" spans="1:8" ht="15" customHeight="1" x14ac:dyDescent="0.3">
      <c r="A21" s="8" t="s">
        <v>504</v>
      </c>
      <c r="B21" s="8" t="s">
        <v>505</v>
      </c>
      <c r="C21" s="8" t="s">
        <v>475</v>
      </c>
      <c r="D21" s="8" t="s">
        <v>506</v>
      </c>
      <c r="E21" s="8" t="s">
        <v>507</v>
      </c>
      <c r="F21" s="9">
        <v>625419</v>
      </c>
      <c r="G21" s="9">
        <v>9444932</v>
      </c>
      <c r="H21" s="10">
        <v>119.54</v>
      </c>
    </row>
    <row r="22" spans="1:8" ht="15" customHeight="1" x14ac:dyDescent="0.3">
      <c r="A22" s="8" t="s">
        <v>508</v>
      </c>
      <c r="B22" s="8" t="s">
        <v>505</v>
      </c>
      <c r="C22" s="8" t="s">
        <v>475</v>
      </c>
      <c r="D22" s="8" t="s">
        <v>506</v>
      </c>
      <c r="E22" s="8" t="s">
        <v>507</v>
      </c>
      <c r="F22" s="9">
        <v>621452</v>
      </c>
      <c r="G22" s="9">
        <v>9443855</v>
      </c>
      <c r="H22" s="10">
        <v>35.659999999999997</v>
      </c>
    </row>
    <row r="23" spans="1:8" ht="15" customHeight="1" x14ac:dyDescent="0.3">
      <c r="A23" s="8" t="s">
        <v>509</v>
      </c>
      <c r="B23" s="8" t="s">
        <v>502</v>
      </c>
      <c r="C23" s="8" t="s">
        <v>475</v>
      </c>
      <c r="D23" s="8" t="s">
        <v>506</v>
      </c>
      <c r="E23" s="8" t="s">
        <v>507</v>
      </c>
      <c r="F23" s="9">
        <v>620263</v>
      </c>
      <c r="G23" s="9">
        <v>9442343</v>
      </c>
      <c r="H23" s="10">
        <v>100.51</v>
      </c>
    </row>
    <row r="24" spans="1:8" ht="15" customHeight="1" x14ac:dyDescent="0.3">
      <c r="A24" s="8" t="s">
        <v>510</v>
      </c>
      <c r="B24" s="8" t="s">
        <v>505</v>
      </c>
      <c r="C24" s="8" t="s">
        <v>475</v>
      </c>
      <c r="D24" s="8" t="s">
        <v>506</v>
      </c>
      <c r="E24" s="8" t="s">
        <v>507</v>
      </c>
      <c r="F24" s="9">
        <v>619630</v>
      </c>
      <c r="G24" s="9">
        <v>9440043</v>
      </c>
      <c r="H24" s="10">
        <v>35.1</v>
      </c>
    </row>
    <row r="25" spans="1:8" ht="15" customHeight="1" x14ac:dyDescent="0.3">
      <c r="A25" s="8" t="s">
        <v>511</v>
      </c>
      <c r="B25" s="8" t="s">
        <v>505</v>
      </c>
      <c r="C25" s="8" t="s">
        <v>475</v>
      </c>
      <c r="D25" s="8" t="s">
        <v>506</v>
      </c>
      <c r="E25" s="8" t="s">
        <v>507</v>
      </c>
      <c r="F25" s="9">
        <v>620759</v>
      </c>
      <c r="G25" s="9">
        <v>9439988</v>
      </c>
      <c r="H25" s="10">
        <v>103.95</v>
      </c>
    </row>
    <row r="26" spans="1:8" ht="15" customHeight="1" x14ac:dyDescent="0.3">
      <c r="A26" s="8" t="s">
        <v>512</v>
      </c>
      <c r="B26" s="8" t="s">
        <v>505</v>
      </c>
      <c r="C26" s="8" t="s">
        <v>475</v>
      </c>
      <c r="D26" s="8" t="s">
        <v>506</v>
      </c>
      <c r="E26" s="8" t="s">
        <v>507</v>
      </c>
      <c r="F26" s="9">
        <v>619939</v>
      </c>
      <c r="G26" s="9">
        <v>9438544</v>
      </c>
      <c r="H26" s="10">
        <v>81.78</v>
      </c>
    </row>
    <row r="27" spans="1:8" ht="15" customHeight="1" x14ac:dyDescent="0.3">
      <c r="A27" s="8" t="s">
        <v>513</v>
      </c>
      <c r="B27" s="8" t="s">
        <v>505</v>
      </c>
      <c r="C27" s="8" t="s">
        <v>475</v>
      </c>
      <c r="D27" s="8" t="s">
        <v>506</v>
      </c>
      <c r="E27" s="8" t="s">
        <v>507</v>
      </c>
      <c r="F27" s="9">
        <v>620200</v>
      </c>
      <c r="G27" s="9">
        <v>9437862</v>
      </c>
      <c r="H27" s="10">
        <v>86.15</v>
      </c>
    </row>
    <row r="28" spans="1:8" ht="15" customHeight="1" x14ac:dyDescent="0.3">
      <c r="A28" s="8" t="s">
        <v>514</v>
      </c>
      <c r="B28" s="8" t="s">
        <v>505</v>
      </c>
      <c r="C28" s="8" t="s">
        <v>475</v>
      </c>
      <c r="D28" s="8" t="s">
        <v>506</v>
      </c>
      <c r="E28" s="8" t="s">
        <v>507</v>
      </c>
      <c r="F28" s="9">
        <v>620770</v>
      </c>
      <c r="G28" s="9">
        <v>9436562</v>
      </c>
      <c r="H28" s="10">
        <v>34.17</v>
      </c>
    </row>
    <row r="29" spans="1:8" ht="15" customHeight="1" x14ac:dyDescent="0.3">
      <c r="A29" s="8" t="s">
        <v>515</v>
      </c>
      <c r="B29" s="8" t="s">
        <v>505</v>
      </c>
      <c r="C29" s="8" t="s">
        <v>475</v>
      </c>
      <c r="D29" s="8" t="s">
        <v>506</v>
      </c>
      <c r="E29" s="8" t="s">
        <v>507</v>
      </c>
      <c r="F29" s="9">
        <v>618661</v>
      </c>
      <c r="G29" s="9">
        <v>9438267</v>
      </c>
      <c r="H29" s="10">
        <v>96.08</v>
      </c>
    </row>
    <row r="30" spans="1:8" ht="15" customHeight="1" x14ac:dyDescent="0.3">
      <c r="A30" s="8" t="s">
        <v>516</v>
      </c>
      <c r="B30" s="8" t="s">
        <v>486</v>
      </c>
      <c r="C30" s="8" t="s">
        <v>475</v>
      </c>
      <c r="D30" s="8" t="s">
        <v>506</v>
      </c>
      <c r="E30" s="8" t="s">
        <v>507</v>
      </c>
      <c r="F30" s="9">
        <v>617596</v>
      </c>
      <c r="G30" s="9">
        <v>9436227</v>
      </c>
      <c r="H30" s="10">
        <v>35.35</v>
      </c>
    </row>
    <row r="31" spans="1:8" ht="15" customHeight="1" x14ac:dyDescent="0.3">
      <c r="A31" s="8" t="s">
        <v>517</v>
      </c>
      <c r="B31" s="8" t="s">
        <v>518</v>
      </c>
      <c r="C31" s="8" t="s">
        <v>475</v>
      </c>
      <c r="D31" s="8" t="s">
        <v>519</v>
      </c>
      <c r="E31" s="8" t="s">
        <v>520</v>
      </c>
      <c r="F31" s="9">
        <v>631195</v>
      </c>
      <c r="G31" s="9">
        <v>9441777</v>
      </c>
      <c r="H31" s="10">
        <v>25.67</v>
      </c>
    </row>
    <row r="32" spans="1:8" ht="15" customHeight="1" x14ac:dyDescent="0.3">
      <c r="A32" s="8" t="s">
        <v>521</v>
      </c>
      <c r="B32" s="8" t="s">
        <v>505</v>
      </c>
      <c r="C32" s="8" t="s">
        <v>475</v>
      </c>
      <c r="D32" s="8" t="s">
        <v>519</v>
      </c>
      <c r="E32" s="8" t="s">
        <v>520</v>
      </c>
      <c r="F32" s="9">
        <v>631195</v>
      </c>
      <c r="G32" s="9">
        <v>9441777</v>
      </c>
      <c r="H32" s="10">
        <v>13.55</v>
      </c>
    </row>
    <row r="33" spans="1:8" ht="15" customHeight="1" x14ac:dyDescent="0.3">
      <c r="A33" s="8" t="s">
        <v>522</v>
      </c>
      <c r="B33" s="8" t="s">
        <v>518</v>
      </c>
      <c r="C33" s="8" t="s">
        <v>475</v>
      </c>
      <c r="D33" s="8" t="s">
        <v>523</v>
      </c>
      <c r="E33" s="8" t="s">
        <v>520</v>
      </c>
      <c r="F33" s="9">
        <v>626438</v>
      </c>
      <c r="G33" s="9">
        <v>9435060</v>
      </c>
      <c r="H33" s="10">
        <v>28.19</v>
      </c>
    </row>
    <row r="34" spans="1:8" ht="15" customHeight="1" x14ac:dyDescent="0.3">
      <c r="A34" s="8" t="s">
        <v>524</v>
      </c>
      <c r="B34" s="8" t="s">
        <v>505</v>
      </c>
      <c r="C34" s="8" t="s">
        <v>475</v>
      </c>
      <c r="D34" s="8" t="s">
        <v>523</v>
      </c>
      <c r="E34" s="8" t="s">
        <v>520</v>
      </c>
      <c r="F34" s="9">
        <v>625152</v>
      </c>
      <c r="G34" s="9">
        <v>9435011</v>
      </c>
      <c r="H34" s="10">
        <v>80.62</v>
      </c>
    </row>
    <row r="35" spans="1:8" ht="15" customHeight="1" x14ac:dyDescent="0.3">
      <c r="A35" s="8" t="s">
        <v>525</v>
      </c>
      <c r="B35" s="8" t="s">
        <v>505</v>
      </c>
      <c r="C35" s="8" t="s">
        <v>475</v>
      </c>
      <c r="D35" s="8" t="s">
        <v>523</v>
      </c>
      <c r="E35" s="8" t="s">
        <v>520</v>
      </c>
      <c r="F35" s="9">
        <v>624397</v>
      </c>
      <c r="G35" s="9">
        <v>9437085</v>
      </c>
      <c r="H35" s="10">
        <v>92.9</v>
      </c>
    </row>
    <row r="36" spans="1:8" ht="15" customHeight="1" x14ac:dyDescent="0.3">
      <c r="A36" s="8" t="s">
        <v>526</v>
      </c>
      <c r="B36" s="8" t="s">
        <v>527</v>
      </c>
      <c r="C36" s="8" t="s">
        <v>475</v>
      </c>
      <c r="D36" s="8" t="s">
        <v>523</v>
      </c>
      <c r="E36" s="8" t="s">
        <v>520</v>
      </c>
      <c r="F36" s="9">
        <v>619094</v>
      </c>
      <c r="G36" s="9">
        <v>9426406</v>
      </c>
      <c r="H36" s="10">
        <v>11.47</v>
      </c>
    </row>
    <row r="37" spans="1:8" ht="15" customHeight="1" x14ac:dyDescent="0.3">
      <c r="A37" s="8" t="s">
        <v>528</v>
      </c>
      <c r="B37" s="8" t="s">
        <v>505</v>
      </c>
      <c r="C37" s="8" t="s">
        <v>475</v>
      </c>
      <c r="D37" s="8" t="s">
        <v>475</v>
      </c>
      <c r="E37" s="8" t="s">
        <v>529</v>
      </c>
      <c r="F37" s="9">
        <v>617715</v>
      </c>
      <c r="G37" s="9">
        <v>9427284</v>
      </c>
      <c r="H37" s="10">
        <v>74.37</v>
      </c>
    </row>
    <row r="38" spans="1:8" ht="15" customHeight="1" x14ac:dyDescent="0.3">
      <c r="A38" s="8" t="s">
        <v>530</v>
      </c>
      <c r="B38" s="8" t="s">
        <v>527</v>
      </c>
      <c r="C38" s="8" t="s">
        <v>475</v>
      </c>
      <c r="D38" s="8" t="s">
        <v>475</v>
      </c>
      <c r="E38" s="8" t="s">
        <v>529</v>
      </c>
      <c r="F38" s="9">
        <v>618248</v>
      </c>
      <c r="G38" s="9">
        <v>9426493</v>
      </c>
      <c r="H38" s="10">
        <v>50.97</v>
      </c>
    </row>
    <row r="39" spans="1:8" ht="15" customHeight="1" x14ac:dyDescent="0.3">
      <c r="A39" s="8" t="s">
        <v>531</v>
      </c>
      <c r="B39" s="8" t="s">
        <v>532</v>
      </c>
      <c r="C39" s="8" t="s">
        <v>475</v>
      </c>
      <c r="D39" s="8" t="s">
        <v>533</v>
      </c>
      <c r="E39" s="8" t="s">
        <v>534</v>
      </c>
      <c r="F39" s="9">
        <v>618299</v>
      </c>
      <c r="G39" s="9">
        <v>9423119</v>
      </c>
      <c r="H39" s="10">
        <v>249.89</v>
      </c>
    </row>
    <row r="40" spans="1:8" ht="15" customHeight="1" x14ac:dyDescent="0.3">
      <c r="A40" s="8" t="s">
        <v>535</v>
      </c>
      <c r="B40" s="8" t="s">
        <v>532</v>
      </c>
      <c r="C40" s="8" t="s">
        <v>475</v>
      </c>
      <c r="D40" s="8" t="s">
        <v>533</v>
      </c>
      <c r="E40" s="8" t="s">
        <v>534</v>
      </c>
      <c r="F40" s="9">
        <v>611305</v>
      </c>
      <c r="G40" s="9">
        <v>9419274</v>
      </c>
      <c r="H40" s="10">
        <v>160.97999999999999</v>
      </c>
    </row>
    <row r="41" spans="1:8" ht="15" customHeight="1" x14ac:dyDescent="0.3">
      <c r="A41" s="8" t="s">
        <v>536</v>
      </c>
      <c r="B41" s="8" t="s">
        <v>532</v>
      </c>
      <c r="C41" s="8" t="s">
        <v>475</v>
      </c>
      <c r="D41" s="8" t="s">
        <v>533</v>
      </c>
      <c r="E41" s="8" t="s">
        <v>534</v>
      </c>
      <c r="F41" s="9">
        <v>611196</v>
      </c>
      <c r="G41" s="9">
        <v>9416725</v>
      </c>
      <c r="H41" s="10">
        <v>333.01</v>
      </c>
    </row>
    <row r="42" spans="1:8" ht="15" customHeight="1" x14ac:dyDescent="0.3">
      <c r="A42" s="8" t="s">
        <v>537</v>
      </c>
      <c r="B42" s="8" t="s">
        <v>532</v>
      </c>
      <c r="C42" s="8" t="s">
        <v>475</v>
      </c>
      <c r="D42" s="8" t="s">
        <v>533</v>
      </c>
      <c r="E42" s="8" t="s">
        <v>534</v>
      </c>
      <c r="F42" s="9">
        <v>612864</v>
      </c>
      <c r="G42" s="9">
        <v>9413345</v>
      </c>
      <c r="H42" s="10">
        <v>514.36</v>
      </c>
    </row>
    <row r="43" spans="1:8" ht="15" customHeight="1" x14ac:dyDescent="0.3">
      <c r="A43" s="8" t="s">
        <v>538</v>
      </c>
      <c r="B43" s="8" t="s">
        <v>532</v>
      </c>
      <c r="C43" s="8" t="s">
        <v>475</v>
      </c>
      <c r="D43" s="8" t="s">
        <v>533</v>
      </c>
      <c r="E43" s="8" t="s">
        <v>534</v>
      </c>
      <c r="F43" s="9">
        <v>617860</v>
      </c>
      <c r="G43" s="9">
        <v>9413182</v>
      </c>
      <c r="H43" s="10">
        <v>295.73</v>
      </c>
    </row>
    <row r="44" spans="1:8" ht="15" customHeight="1" x14ac:dyDescent="0.3">
      <c r="A44" s="8" t="s">
        <v>539</v>
      </c>
      <c r="B44" s="8" t="s">
        <v>540</v>
      </c>
      <c r="C44" s="8" t="s">
        <v>475</v>
      </c>
      <c r="D44" s="8" t="s">
        <v>533</v>
      </c>
      <c r="E44" s="8" t="s">
        <v>534</v>
      </c>
      <c r="F44" s="9">
        <v>617695</v>
      </c>
      <c r="G44" s="9">
        <v>9409136</v>
      </c>
      <c r="H44" s="10">
        <v>188.8</v>
      </c>
    </row>
    <row r="45" spans="1:8" ht="15" customHeight="1" x14ac:dyDescent="0.3">
      <c r="A45" s="8" t="s">
        <v>541</v>
      </c>
      <c r="B45" s="8" t="s">
        <v>542</v>
      </c>
      <c r="C45" s="8" t="s">
        <v>475</v>
      </c>
      <c r="D45" s="8" t="s">
        <v>533</v>
      </c>
      <c r="E45" s="8" t="s">
        <v>534</v>
      </c>
      <c r="F45" s="9">
        <v>621058</v>
      </c>
      <c r="G45" s="9">
        <v>9410427</v>
      </c>
      <c r="H45" s="10">
        <v>160.36000000000001</v>
      </c>
    </row>
    <row r="46" spans="1:8" ht="15" customHeight="1" x14ac:dyDescent="0.3">
      <c r="A46" s="8" t="s">
        <v>543</v>
      </c>
      <c r="B46" s="8" t="s">
        <v>544</v>
      </c>
      <c r="C46" s="8" t="s">
        <v>475</v>
      </c>
      <c r="D46" s="8" t="s">
        <v>545</v>
      </c>
      <c r="E46" s="8" t="s">
        <v>546</v>
      </c>
      <c r="F46" s="9">
        <v>629338</v>
      </c>
      <c r="G46" s="9">
        <v>9413305</v>
      </c>
      <c r="H46" s="10">
        <v>294.2</v>
      </c>
    </row>
    <row r="47" spans="1:8" ht="15" customHeight="1" x14ac:dyDescent="0.3">
      <c r="A47" s="8" t="s">
        <v>547</v>
      </c>
      <c r="B47" s="8" t="s">
        <v>544</v>
      </c>
      <c r="C47" s="8" t="s">
        <v>475</v>
      </c>
      <c r="D47" s="8" t="s">
        <v>545</v>
      </c>
      <c r="E47" s="8" t="s">
        <v>546</v>
      </c>
      <c r="F47" s="9">
        <v>630685</v>
      </c>
      <c r="G47" s="9">
        <v>9410800</v>
      </c>
      <c r="H47" s="10">
        <v>80.98</v>
      </c>
    </row>
    <row r="48" spans="1:8" ht="15" customHeight="1" x14ac:dyDescent="0.3">
      <c r="A48" s="8" t="s">
        <v>548</v>
      </c>
      <c r="B48" s="8" t="s">
        <v>549</v>
      </c>
      <c r="C48" s="8" t="s">
        <v>475</v>
      </c>
      <c r="D48" s="8" t="s">
        <v>545</v>
      </c>
      <c r="E48" s="8" t="s">
        <v>546</v>
      </c>
      <c r="F48" s="9">
        <v>629006</v>
      </c>
      <c r="G48" s="9">
        <v>9407536</v>
      </c>
      <c r="H48" s="10">
        <v>130.43</v>
      </c>
    </row>
    <row r="49" spans="1:8" ht="15" customHeight="1" x14ac:dyDescent="0.3">
      <c r="A49" s="8" t="s">
        <v>550</v>
      </c>
      <c r="B49" s="8" t="s">
        <v>549</v>
      </c>
      <c r="C49" s="8" t="s">
        <v>475</v>
      </c>
      <c r="D49" s="8" t="s">
        <v>545</v>
      </c>
      <c r="E49" s="8" t="s">
        <v>546</v>
      </c>
      <c r="F49" s="9">
        <v>631438</v>
      </c>
      <c r="G49" s="9">
        <v>9403547</v>
      </c>
      <c r="H49" s="10">
        <v>115.38</v>
      </c>
    </row>
    <row r="50" spans="1:8" ht="15" customHeight="1" x14ac:dyDescent="0.3">
      <c r="A50" s="8" t="s">
        <v>551</v>
      </c>
      <c r="B50" s="8" t="s">
        <v>549</v>
      </c>
      <c r="C50" s="8" t="s">
        <v>475</v>
      </c>
      <c r="D50" s="8" t="s">
        <v>545</v>
      </c>
      <c r="E50" s="8" t="s">
        <v>546</v>
      </c>
      <c r="F50" s="9">
        <v>633232</v>
      </c>
      <c r="G50" s="9">
        <v>9401227</v>
      </c>
      <c r="H50" s="10">
        <v>65.739999999999995</v>
      </c>
    </row>
    <row r="51" spans="1:8" ht="15" customHeight="1" x14ac:dyDescent="0.3">
      <c r="A51" s="8" t="s">
        <v>552</v>
      </c>
      <c r="B51" s="8" t="s">
        <v>549</v>
      </c>
      <c r="C51" s="8" t="s">
        <v>475</v>
      </c>
      <c r="D51" s="8" t="s">
        <v>545</v>
      </c>
      <c r="E51" s="8" t="s">
        <v>546</v>
      </c>
      <c r="F51" s="9">
        <v>635110</v>
      </c>
      <c r="G51" s="9">
        <v>9399092</v>
      </c>
      <c r="H51" s="10">
        <v>91.29</v>
      </c>
    </row>
    <row r="52" spans="1:8" ht="15" customHeight="1" x14ac:dyDescent="0.3">
      <c r="A52" s="8" t="s">
        <v>553</v>
      </c>
      <c r="B52" s="8" t="s">
        <v>554</v>
      </c>
      <c r="C52" s="8" t="s">
        <v>475</v>
      </c>
      <c r="D52" s="8" t="s">
        <v>545</v>
      </c>
      <c r="E52" s="8" t="s">
        <v>546</v>
      </c>
      <c r="F52" s="9">
        <v>635876</v>
      </c>
      <c r="G52" s="9">
        <v>9397941</v>
      </c>
      <c r="H52" s="10">
        <v>81.790000000000006</v>
      </c>
    </row>
    <row r="53" spans="1:8" ht="15" customHeight="1" x14ac:dyDescent="0.3">
      <c r="A53" s="8" t="s">
        <v>555</v>
      </c>
      <c r="B53" s="8" t="s">
        <v>554</v>
      </c>
      <c r="C53" s="8" t="s">
        <v>475</v>
      </c>
      <c r="D53" s="8" t="s">
        <v>545</v>
      </c>
      <c r="E53" s="8" t="s">
        <v>546</v>
      </c>
      <c r="F53" s="9">
        <v>639728</v>
      </c>
      <c r="G53" s="9">
        <v>9396836</v>
      </c>
      <c r="H53" s="10">
        <v>173.43</v>
      </c>
    </row>
    <row r="54" spans="1:8" ht="15" customHeight="1" x14ac:dyDescent="0.3">
      <c r="A54" s="8" t="s">
        <v>556</v>
      </c>
      <c r="B54" s="8" t="s">
        <v>554</v>
      </c>
      <c r="C54" s="8" t="s">
        <v>475</v>
      </c>
      <c r="D54" s="8" t="s">
        <v>545</v>
      </c>
      <c r="E54" s="8" t="s">
        <v>546</v>
      </c>
      <c r="F54" s="9">
        <v>639987</v>
      </c>
      <c r="G54" s="9">
        <v>9394392</v>
      </c>
      <c r="H54" s="10">
        <v>30.91</v>
      </c>
    </row>
    <row r="55" spans="1:8" ht="15" customHeight="1" x14ac:dyDescent="0.3">
      <c r="A55" s="8" t="s">
        <v>557</v>
      </c>
      <c r="B55" s="8" t="s">
        <v>554</v>
      </c>
      <c r="C55" s="8" t="s">
        <v>475</v>
      </c>
      <c r="D55" s="8" t="s">
        <v>545</v>
      </c>
      <c r="E55" s="8" t="s">
        <v>546</v>
      </c>
      <c r="F55" s="9">
        <v>645575</v>
      </c>
      <c r="G55" s="9">
        <v>9393500</v>
      </c>
      <c r="H55" s="10">
        <v>1370.96</v>
      </c>
    </row>
    <row r="56" spans="1:8" ht="15" customHeight="1" x14ac:dyDescent="0.3">
      <c r="A56" s="8" t="s">
        <v>558</v>
      </c>
      <c r="B56" s="8" t="s">
        <v>542</v>
      </c>
      <c r="C56" s="8" t="s">
        <v>475</v>
      </c>
      <c r="D56" s="8" t="s">
        <v>545</v>
      </c>
      <c r="E56" s="8" t="s">
        <v>546</v>
      </c>
      <c r="F56" s="9">
        <v>625311</v>
      </c>
      <c r="G56" s="9">
        <v>9412195</v>
      </c>
      <c r="H56" s="10">
        <v>373.81</v>
      </c>
    </row>
    <row r="57" spans="1:8" ht="15" customHeight="1" x14ac:dyDescent="0.3">
      <c r="A57" s="8" t="s">
        <v>559</v>
      </c>
      <c r="B57" s="8" t="s">
        <v>542</v>
      </c>
      <c r="C57" s="8" t="s">
        <v>475</v>
      </c>
      <c r="D57" s="8" t="s">
        <v>545</v>
      </c>
      <c r="E57" s="8" t="s">
        <v>546</v>
      </c>
      <c r="F57" s="9">
        <v>621551</v>
      </c>
      <c r="G57" s="9">
        <v>9412989</v>
      </c>
      <c r="H57" s="10">
        <v>197.35</v>
      </c>
    </row>
    <row r="58" spans="1:8" ht="15" customHeight="1" x14ac:dyDescent="0.3">
      <c r="A58" s="8" t="s">
        <v>560</v>
      </c>
      <c r="B58" s="8" t="s">
        <v>544</v>
      </c>
      <c r="C58" s="8" t="s">
        <v>475</v>
      </c>
      <c r="D58" s="8" t="s">
        <v>561</v>
      </c>
      <c r="E58" s="8" t="s">
        <v>562</v>
      </c>
      <c r="F58" s="9">
        <v>638309</v>
      </c>
      <c r="G58" s="9">
        <v>9415217</v>
      </c>
      <c r="H58" s="10">
        <v>122.95</v>
      </c>
    </row>
    <row r="59" spans="1:8" ht="15" customHeight="1" x14ac:dyDescent="0.3">
      <c r="A59" s="8" t="s">
        <v>563</v>
      </c>
      <c r="B59" s="8" t="s">
        <v>544</v>
      </c>
      <c r="C59" s="8" t="s">
        <v>475</v>
      </c>
      <c r="D59" s="8" t="s">
        <v>561</v>
      </c>
      <c r="E59" s="8" t="s">
        <v>562</v>
      </c>
      <c r="F59" s="9">
        <v>637918</v>
      </c>
      <c r="G59" s="9">
        <v>9412134</v>
      </c>
      <c r="H59" s="10">
        <v>60.35</v>
      </c>
    </row>
    <row r="60" spans="1:8" ht="15" customHeight="1" x14ac:dyDescent="0.3">
      <c r="A60" s="8" t="s">
        <v>564</v>
      </c>
      <c r="B60" s="8" t="s">
        <v>565</v>
      </c>
      <c r="C60" s="8" t="s">
        <v>475</v>
      </c>
      <c r="D60" s="8" t="s">
        <v>561</v>
      </c>
      <c r="E60" s="8" t="s">
        <v>562</v>
      </c>
      <c r="F60" s="9">
        <v>638648</v>
      </c>
      <c r="G60" s="9">
        <v>9411370</v>
      </c>
      <c r="H60" s="10">
        <v>17.82</v>
      </c>
    </row>
    <row r="61" spans="1:8" ht="15" customHeight="1" x14ac:dyDescent="0.3">
      <c r="A61" s="8" t="s">
        <v>566</v>
      </c>
      <c r="B61" s="8" t="s">
        <v>544</v>
      </c>
      <c r="C61" s="8" t="s">
        <v>475</v>
      </c>
      <c r="D61" s="8" t="s">
        <v>561</v>
      </c>
      <c r="E61" s="8" t="s">
        <v>562</v>
      </c>
      <c r="F61" s="9">
        <v>635887</v>
      </c>
      <c r="G61" s="9">
        <v>9411738</v>
      </c>
      <c r="H61" s="10">
        <v>52.74</v>
      </c>
    </row>
    <row r="62" spans="1:8" ht="15" customHeight="1" x14ac:dyDescent="0.3">
      <c r="A62" s="8" t="s">
        <v>567</v>
      </c>
      <c r="B62" s="8" t="s">
        <v>544</v>
      </c>
      <c r="C62" s="8" t="s">
        <v>475</v>
      </c>
      <c r="D62" s="8" t="s">
        <v>561</v>
      </c>
      <c r="E62" s="8" t="s">
        <v>562</v>
      </c>
      <c r="F62" s="9">
        <v>633015</v>
      </c>
      <c r="G62" s="9">
        <v>9411483</v>
      </c>
      <c r="H62" s="10">
        <v>84.82</v>
      </c>
    </row>
    <row r="63" spans="1:8" ht="15" customHeight="1" x14ac:dyDescent="0.3">
      <c r="A63" s="8" t="s">
        <v>568</v>
      </c>
      <c r="B63" s="8" t="s">
        <v>544</v>
      </c>
      <c r="C63" s="8" t="s">
        <v>475</v>
      </c>
      <c r="D63" s="8" t="s">
        <v>561</v>
      </c>
      <c r="E63" s="8" t="s">
        <v>562</v>
      </c>
      <c r="F63" s="9">
        <v>632119</v>
      </c>
      <c r="G63" s="9">
        <v>9415141</v>
      </c>
      <c r="H63" s="10">
        <v>565.58000000000004</v>
      </c>
    </row>
    <row r="64" spans="1:8" ht="15" customHeight="1" x14ac:dyDescent="0.3">
      <c r="A64" s="8" t="s">
        <v>569</v>
      </c>
      <c r="B64" s="8" t="s">
        <v>565</v>
      </c>
      <c r="C64" s="8" t="s">
        <v>475</v>
      </c>
      <c r="D64" s="8" t="s">
        <v>561</v>
      </c>
      <c r="E64" s="8" t="s">
        <v>562</v>
      </c>
      <c r="F64" s="9">
        <v>642079</v>
      </c>
      <c r="G64" s="9">
        <v>9413823</v>
      </c>
      <c r="H64" s="10">
        <v>106.03</v>
      </c>
    </row>
    <row r="65" spans="1:8" ht="15" customHeight="1" x14ac:dyDescent="0.3">
      <c r="A65" s="8" t="s">
        <v>570</v>
      </c>
      <c r="B65" s="8" t="s">
        <v>571</v>
      </c>
      <c r="C65" s="8" t="s">
        <v>475</v>
      </c>
      <c r="D65" s="8" t="s">
        <v>572</v>
      </c>
      <c r="E65" s="8" t="s">
        <v>573</v>
      </c>
      <c r="F65" s="9">
        <v>642690</v>
      </c>
      <c r="G65" s="9">
        <v>9438409</v>
      </c>
      <c r="H65" s="10">
        <v>0.86</v>
      </c>
    </row>
    <row r="66" spans="1:8" ht="15" customHeight="1" x14ac:dyDescent="0.3">
      <c r="A66" s="8" t="s">
        <v>574</v>
      </c>
      <c r="B66" s="8" t="s">
        <v>571</v>
      </c>
      <c r="C66" s="8" t="s">
        <v>475</v>
      </c>
      <c r="D66" s="8" t="s">
        <v>572</v>
      </c>
      <c r="E66" s="8" t="s">
        <v>573</v>
      </c>
      <c r="F66" s="9">
        <v>642334</v>
      </c>
      <c r="G66" s="9">
        <v>9438263</v>
      </c>
      <c r="H66" s="10">
        <v>15.84</v>
      </c>
    </row>
    <row r="67" spans="1:8" ht="15" customHeight="1" x14ac:dyDescent="0.3">
      <c r="A67" s="8" t="s">
        <v>575</v>
      </c>
      <c r="B67" s="8" t="s">
        <v>571</v>
      </c>
      <c r="C67" s="8" t="s">
        <v>475</v>
      </c>
      <c r="D67" s="8" t="s">
        <v>572</v>
      </c>
      <c r="E67" s="8" t="s">
        <v>573</v>
      </c>
      <c r="F67" s="9">
        <v>641522</v>
      </c>
      <c r="G67" s="9">
        <v>9438064</v>
      </c>
      <c r="H67" s="10">
        <v>11.06</v>
      </c>
    </row>
    <row r="68" spans="1:8" ht="15" customHeight="1" x14ac:dyDescent="0.3">
      <c r="A68" s="8" t="s">
        <v>576</v>
      </c>
      <c r="B68" s="8" t="s">
        <v>571</v>
      </c>
      <c r="C68" s="8" t="s">
        <v>475</v>
      </c>
      <c r="D68" s="8" t="s">
        <v>572</v>
      </c>
      <c r="E68" s="8" t="s">
        <v>573</v>
      </c>
      <c r="F68" s="9">
        <v>639496</v>
      </c>
      <c r="G68" s="9">
        <v>9433679</v>
      </c>
      <c r="H68" s="10">
        <v>5.75</v>
      </c>
    </row>
    <row r="69" spans="1:8" ht="15" customHeight="1" x14ac:dyDescent="0.3">
      <c r="A69" s="8" t="s">
        <v>577</v>
      </c>
      <c r="B69" s="8" t="s">
        <v>571</v>
      </c>
      <c r="C69" s="8" t="s">
        <v>475</v>
      </c>
      <c r="D69" s="8" t="s">
        <v>572</v>
      </c>
      <c r="E69" s="8" t="s">
        <v>573</v>
      </c>
      <c r="F69" s="9">
        <v>638751</v>
      </c>
      <c r="G69" s="9">
        <v>9433236</v>
      </c>
      <c r="H69" s="10">
        <v>18.87</v>
      </c>
    </row>
    <row r="70" spans="1:8" ht="15" customHeight="1" x14ac:dyDescent="0.3">
      <c r="A70" s="8" t="s">
        <v>578</v>
      </c>
      <c r="B70" s="8" t="s">
        <v>571</v>
      </c>
      <c r="C70" s="8" t="s">
        <v>475</v>
      </c>
      <c r="D70" s="8" t="s">
        <v>572</v>
      </c>
      <c r="E70" s="8" t="s">
        <v>573</v>
      </c>
      <c r="F70" s="9">
        <v>636249</v>
      </c>
      <c r="G70" s="9">
        <v>9425665</v>
      </c>
      <c r="H70" s="10">
        <v>90.2</v>
      </c>
    </row>
    <row r="71" spans="1:8" ht="15" customHeight="1" x14ac:dyDescent="0.3">
      <c r="A71" s="8" t="s">
        <v>579</v>
      </c>
      <c r="B71" s="8" t="s">
        <v>571</v>
      </c>
      <c r="C71" s="8" t="s">
        <v>475</v>
      </c>
      <c r="D71" s="8" t="s">
        <v>572</v>
      </c>
      <c r="E71" s="8" t="s">
        <v>573</v>
      </c>
      <c r="F71" s="9">
        <v>634061</v>
      </c>
      <c r="G71" s="9">
        <v>9426778</v>
      </c>
      <c r="H71" s="10">
        <v>58.29</v>
      </c>
    </row>
    <row r="72" spans="1:8" ht="15" customHeight="1" x14ac:dyDescent="0.3">
      <c r="A72" s="8" t="s">
        <v>580</v>
      </c>
      <c r="B72" s="8" t="s">
        <v>571</v>
      </c>
      <c r="C72" s="8" t="s">
        <v>475</v>
      </c>
      <c r="D72" s="8" t="s">
        <v>572</v>
      </c>
      <c r="E72" s="8" t="s">
        <v>573</v>
      </c>
      <c r="F72" s="9">
        <v>626078</v>
      </c>
      <c r="G72" s="9">
        <v>9427110</v>
      </c>
      <c r="H72" s="10">
        <v>283.43</v>
      </c>
    </row>
    <row r="73" spans="1:8" ht="15" customHeight="1" x14ac:dyDescent="0.3">
      <c r="A73" s="8" t="s">
        <v>581</v>
      </c>
      <c r="B73" s="8" t="s">
        <v>582</v>
      </c>
      <c r="C73" s="8" t="s">
        <v>18</v>
      </c>
      <c r="D73" s="8" t="s">
        <v>583</v>
      </c>
      <c r="E73" s="8" t="s">
        <v>584</v>
      </c>
      <c r="F73" s="9">
        <v>646466</v>
      </c>
      <c r="G73" s="9">
        <v>9431126</v>
      </c>
      <c r="H73" s="10">
        <v>29.68</v>
      </c>
    </row>
    <row r="74" spans="1:8" ht="15" customHeight="1" x14ac:dyDescent="0.3">
      <c r="A74" s="8" t="s">
        <v>585</v>
      </c>
      <c r="B74" s="8" t="s">
        <v>582</v>
      </c>
      <c r="C74" s="8" t="s">
        <v>18</v>
      </c>
      <c r="D74" s="8" t="s">
        <v>583</v>
      </c>
      <c r="E74" s="8" t="s">
        <v>584</v>
      </c>
      <c r="F74" s="9">
        <v>647123</v>
      </c>
      <c r="G74" s="9">
        <v>9427602</v>
      </c>
      <c r="H74" s="10">
        <v>44.2</v>
      </c>
    </row>
    <row r="75" spans="1:8" ht="15" customHeight="1" x14ac:dyDescent="0.3">
      <c r="A75" s="8" t="s">
        <v>586</v>
      </c>
      <c r="B75" s="8" t="s">
        <v>582</v>
      </c>
      <c r="C75" s="8" t="s">
        <v>18</v>
      </c>
      <c r="D75" s="8" t="s">
        <v>583</v>
      </c>
      <c r="E75" s="8" t="s">
        <v>584</v>
      </c>
      <c r="F75" s="9">
        <v>647350</v>
      </c>
      <c r="G75" s="9">
        <v>9427252</v>
      </c>
      <c r="H75" s="10">
        <v>19.27</v>
      </c>
    </row>
    <row r="76" spans="1:8" ht="15" customHeight="1" x14ac:dyDescent="0.3">
      <c r="A76" s="8" t="s">
        <v>587</v>
      </c>
      <c r="B76" s="8" t="s">
        <v>582</v>
      </c>
      <c r="C76" s="8" t="s">
        <v>18</v>
      </c>
      <c r="D76" s="8" t="s">
        <v>583</v>
      </c>
      <c r="E76" s="8" t="s">
        <v>584</v>
      </c>
      <c r="F76" s="9">
        <v>646483</v>
      </c>
      <c r="G76" s="9">
        <v>9426305</v>
      </c>
      <c r="H76" s="10">
        <v>28.45</v>
      </c>
    </row>
    <row r="77" spans="1:8" ht="15" customHeight="1" x14ac:dyDescent="0.3">
      <c r="A77" s="8" t="s">
        <v>588</v>
      </c>
      <c r="B77" s="8" t="s">
        <v>582</v>
      </c>
      <c r="C77" s="8" t="s">
        <v>18</v>
      </c>
      <c r="D77" s="8" t="s">
        <v>583</v>
      </c>
      <c r="E77" s="8" t="s">
        <v>584</v>
      </c>
      <c r="F77" s="9">
        <v>646236</v>
      </c>
      <c r="G77" s="9">
        <v>9425052</v>
      </c>
      <c r="H77" s="10">
        <v>26.83</v>
      </c>
    </row>
    <row r="78" spans="1:8" ht="15" customHeight="1" x14ac:dyDescent="0.3">
      <c r="A78" s="8" t="s">
        <v>589</v>
      </c>
      <c r="B78" s="8" t="s">
        <v>590</v>
      </c>
      <c r="C78" s="8" t="s">
        <v>18</v>
      </c>
      <c r="D78" s="8" t="s">
        <v>583</v>
      </c>
      <c r="E78" s="8" t="s">
        <v>584</v>
      </c>
      <c r="F78" s="9">
        <v>649081</v>
      </c>
      <c r="G78" s="9">
        <v>9424506</v>
      </c>
      <c r="H78" s="10">
        <v>35.49</v>
      </c>
    </row>
    <row r="79" spans="1:8" ht="15" customHeight="1" x14ac:dyDescent="0.3">
      <c r="A79" s="8" t="s">
        <v>591</v>
      </c>
      <c r="B79" s="8" t="s">
        <v>590</v>
      </c>
      <c r="C79" s="8" t="s">
        <v>18</v>
      </c>
      <c r="D79" s="8" t="s">
        <v>583</v>
      </c>
      <c r="E79" s="8" t="s">
        <v>584</v>
      </c>
      <c r="F79" s="9">
        <v>649472</v>
      </c>
      <c r="G79" s="9">
        <v>9425705</v>
      </c>
      <c r="H79" s="10">
        <v>46.96</v>
      </c>
    </row>
    <row r="80" spans="1:8" ht="15" customHeight="1" x14ac:dyDescent="0.3">
      <c r="A80" s="8" t="s">
        <v>592</v>
      </c>
      <c r="B80" s="8" t="s">
        <v>590</v>
      </c>
      <c r="C80" s="8" t="s">
        <v>18</v>
      </c>
      <c r="D80" s="8" t="s">
        <v>18</v>
      </c>
      <c r="E80" s="8" t="s">
        <v>593</v>
      </c>
      <c r="F80" s="9">
        <v>657819</v>
      </c>
      <c r="G80" s="9">
        <v>9428541</v>
      </c>
      <c r="H80" s="10">
        <v>35.770000000000003</v>
      </c>
    </row>
    <row r="81" spans="1:8" ht="22.35" customHeight="1" x14ac:dyDescent="0.3">
      <c r="A81" s="8" t="s">
        <v>594</v>
      </c>
      <c r="B81" s="8" t="s">
        <v>595</v>
      </c>
      <c r="C81" s="8" t="s">
        <v>18</v>
      </c>
      <c r="D81" s="8" t="s">
        <v>18</v>
      </c>
      <c r="E81" s="8" t="s">
        <v>593</v>
      </c>
      <c r="F81" s="9">
        <v>656897</v>
      </c>
      <c r="G81" s="9">
        <v>9426033</v>
      </c>
      <c r="H81" s="10">
        <v>40.26</v>
      </c>
    </row>
    <row r="82" spans="1:8" ht="15" customHeight="1" x14ac:dyDescent="0.3">
      <c r="A82" s="8" t="s">
        <v>596</v>
      </c>
      <c r="B82" s="8" t="s">
        <v>590</v>
      </c>
      <c r="C82" s="8" t="s">
        <v>18</v>
      </c>
      <c r="D82" s="8" t="s">
        <v>18</v>
      </c>
      <c r="E82" s="8" t="s">
        <v>593</v>
      </c>
      <c r="F82" s="9">
        <v>655263</v>
      </c>
      <c r="G82" s="9">
        <v>9427340</v>
      </c>
      <c r="H82" s="10">
        <v>90.9</v>
      </c>
    </row>
    <row r="83" spans="1:8" ht="15" customHeight="1" x14ac:dyDescent="0.3">
      <c r="A83" s="8" t="s">
        <v>597</v>
      </c>
      <c r="B83" s="8" t="s">
        <v>590</v>
      </c>
      <c r="C83" s="8" t="s">
        <v>18</v>
      </c>
      <c r="D83" s="8" t="s">
        <v>598</v>
      </c>
      <c r="E83" s="8" t="s">
        <v>593</v>
      </c>
      <c r="F83" s="9">
        <v>653850</v>
      </c>
      <c r="G83" s="9">
        <v>9426236</v>
      </c>
      <c r="H83" s="10">
        <v>40.130000000000003</v>
      </c>
    </row>
    <row r="84" spans="1:8" ht="15" customHeight="1" x14ac:dyDescent="0.3">
      <c r="A84" s="8" t="s">
        <v>599</v>
      </c>
      <c r="B84" s="8" t="s">
        <v>590</v>
      </c>
      <c r="C84" s="8" t="s">
        <v>18</v>
      </c>
      <c r="D84" s="8" t="s">
        <v>598</v>
      </c>
      <c r="E84" s="8" t="s">
        <v>593</v>
      </c>
      <c r="F84" s="9">
        <v>654137</v>
      </c>
      <c r="G84" s="9">
        <v>9424425</v>
      </c>
      <c r="H84" s="10">
        <v>28.52</v>
      </c>
    </row>
    <row r="85" spans="1:8" ht="15" customHeight="1" x14ac:dyDescent="0.3">
      <c r="A85" s="8" t="s">
        <v>600</v>
      </c>
      <c r="B85" s="8" t="s">
        <v>590</v>
      </c>
      <c r="C85" s="8" t="s">
        <v>18</v>
      </c>
      <c r="D85" s="8" t="s">
        <v>598</v>
      </c>
      <c r="E85" s="8" t="s">
        <v>593</v>
      </c>
      <c r="F85" s="9">
        <v>652758</v>
      </c>
      <c r="G85" s="9">
        <v>9424380</v>
      </c>
      <c r="H85" s="10">
        <v>34.869999999999997</v>
      </c>
    </row>
    <row r="86" spans="1:8" ht="15" customHeight="1" x14ac:dyDescent="0.3">
      <c r="A86" s="8" t="s">
        <v>601</v>
      </c>
      <c r="B86" s="8" t="s">
        <v>590</v>
      </c>
      <c r="C86" s="8" t="s">
        <v>18</v>
      </c>
      <c r="D86" s="8" t="s">
        <v>598</v>
      </c>
      <c r="E86" s="8" t="s">
        <v>593</v>
      </c>
      <c r="F86" s="9">
        <v>654188</v>
      </c>
      <c r="G86" s="9">
        <v>9422849</v>
      </c>
      <c r="H86" s="10">
        <v>52.97</v>
      </c>
    </row>
    <row r="87" spans="1:8" ht="15" customHeight="1" x14ac:dyDescent="0.3">
      <c r="A87" s="8" t="s">
        <v>602</v>
      </c>
      <c r="B87" s="8" t="s">
        <v>590</v>
      </c>
      <c r="C87" s="8" t="s">
        <v>18</v>
      </c>
      <c r="D87" s="8" t="s">
        <v>598</v>
      </c>
      <c r="E87" s="8" t="s">
        <v>593</v>
      </c>
      <c r="F87" s="9">
        <v>655046</v>
      </c>
      <c r="G87" s="9">
        <v>9420450</v>
      </c>
      <c r="H87" s="10">
        <v>73.819999999999993</v>
      </c>
    </row>
    <row r="88" spans="1:8" ht="22.35" customHeight="1" x14ac:dyDescent="0.3">
      <c r="A88" s="8" t="s">
        <v>603</v>
      </c>
      <c r="B88" s="8" t="s">
        <v>595</v>
      </c>
      <c r="C88" s="8" t="s">
        <v>18</v>
      </c>
      <c r="D88" s="8" t="s">
        <v>598</v>
      </c>
      <c r="E88" s="8" t="s">
        <v>593</v>
      </c>
      <c r="F88" s="9">
        <v>657541</v>
      </c>
      <c r="G88" s="9">
        <v>9421083</v>
      </c>
      <c r="H88" s="10">
        <v>53.93</v>
      </c>
    </row>
    <row r="89" spans="1:8" ht="15" customHeight="1" x14ac:dyDescent="0.3">
      <c r="A89" s="8" t="s">
        <v>604</v>
      </c>
      <c r="B89" s="8" t="s">
        <v>590</v>
      </c>
      <c r="C89" s="8" t="s">
        <v>18</v>
      </c>
      <c r="D89" s="8" t="s">
        <v>598</v>
      </c>
      <c r="E89" s="8" t="s">
        <v>593</v>
      </c>
      <c r="F89" s="9">
        <v>654604</v>
      </c>
      <c r="G89" s="9">
        <v>9417736</v>
      </c>
      <c r="H89" s="10">
        <v>84.23</v>
      </c>
    </row>
    <row r="90" spans="1:8" ht="15" customHeight="1" x14ac:dyDescent="0.3">
      <c r="A90" s="8" t="s">
        <v>605</v>
      </c>
      <c r="B90" s="8" t="s">
        <v>590</v>
      </c>
      <c r="C90" s="8" t="s">
        <v>18</v>
      </c>
      <c r="D90" s="8" t="s">
        <v>598</v>
      </c>
      <c r="E90" s="8" t="s">
        <v>593</v>
      </c>
      <c r="F90" s="9">
        <v>652566</v>
      </c>
      <c r="G90" s="9">
        <v>9417311</v>
      </c>
      <c r="H90" s="10">
        <v>102.34</v>
      </c>
    </row>
    <row r="91" spans="1:8" ht="15" customHeight="1" x14ac:dyDescent="0.3">
      <c r="A91" s="8" t="s">
        <v>606</v>
      </c>
      <c r="B91" s="8" t="s">
        <v>565</v>
      </c>
      <c r="C91" s="8" t="s">
        <v>18</v>
      </c>
      <c r="D91" s="8" t="s">
        <v>598</v>
      </c>
      <c r="E91" s="8" t="s">
        <v>593</v>
      </c>
      <c r="F91" s="9">
        <v>652191</v>
      </c>
      <c r="G91" s="9">
        <v>9414358</v>
      </c>
      <c r="H91" s="10">
        <v>90.16</v>
      </c>
    </row>
    <row r="92" spans="1:8" ht="15" customHeight="1" x14ac:dyDescent="0.3">
      <c r="A92" s="8" t="s">
        <v>607</v>
      </c>
      <c r="B92" s="8" t="s">
        <v>565</v>
      </c>
      <c r="C92" s="8" t="s">
        <v>18</v>
      </c>
      <c r="D92" s="8" t="s">
        <v>598</v>
      </c>
      <c r="E92" s="8" t="s">
        <v>593</v>
      </c>
      <c r="F92" s="9">
        <v>655059</v>
      </c>
      <c r="G92" s="9">
        <v>9413845</v>
      </c>
      <c r="H92" s="10">
        <v>50.46</v>
      </c>
    </row>
    <row r="93" spans="1:8" ht="15" customHeight="1" x14ac:dyDescent="0.3">
      <c r="A93" s="8" t="s">
        <v>608</v>
      </c>
      <c r="B93" s="8" t="s">
        <v>609</v>
      </c>
      <c r="C93" s="8" t="s">
        <v>18</v>
      </c>
      <c r="D93" s="8" t="s">
        <v>598</v>
      </c>
      <c r="E93" s="8" t="s">
        <v>593</v>
      </c>
      <c r="F93" s="9">
        <v>650305</v>
      </c>
      <c r="G93" s="9">
        <v>9402785</v>
      </c>
      <c r="H93" s="10">
        <v>94.81</v>
      </c>
    </row>
    <row r="94" spans="1:8" ht="15" customHeight="1" x14ac:dyDescent="0.3">
      <c r="A94" s="8" t="s">
        <v>610</v>
      </c>
      <c r="B94" s="8" t="s">
        <v>611</v>
      </c>
      <c r="C94" s="8" t="s">
        <v>18</v>
      </c>
      <c r="D94" s="8" t="s">
        <v>598</v>
      </c>
      <c r="E94" s="8" t="s">
        <v>593</v>
      </c>
      <c r="F94" s="9">
        <v>641538</v>
      </c>
      <c r="G94" s="9">
        <v>9401360</v>
      </c>
      <c r="H94" s="10">
        <v>8.93</v>
      </c>
    </row>
    <row r="95" spans="1:8" ht="15" customHeight="1" x14ac:dyDescent="0.3">
      <c r="A95" s="8" t="s">
        <v>612</v>
      </c>
      <c r="B95" s="8" t="s">
        <v>12</v>
      </c>
      <c r="C95" s="8" t="s">
        <v>18</v>
      </c>
      <c r="D95" s="8" t="s">
        <v>20</v>
      </c>
      <c r="E95" s="8" t="s">
        <v>14</v>
      </c>
      <c r="F95" s="9">
        <v>664082</v>
      </c>
      <c r="G95" s="9">
        <v>9404172</v>
      </c>
      <c r="H95" s="10">
        <v>55.17</v>
      </c>
    </row>
    <row r="96" spans="1:8" ht="15" customHeight="1" x14ac:dyDescent="0.3">
      <c r="A96" s="8" t="s">
        <v>613</v>
      </c>
      <c r="B96" s="8" t="s">
        <v>12</v>
      </c>
      <c r="C96" s="8" t="s">
        <v>18</v>
      </c>
      <c r="D96" s="8" t="s">
        <v>20</v>
      </c>
      <c r="E96" s="8" t="s">
        <v>14</v>
      </c>
      <c r="F96" s="9">
        <v>663637</v>
      </c>
      <c r="G96" s="9">
        <v>9400618</v>
      </c>
      <c r="H96" s="10">
        <v>28.23</v>
      </c>
    </row>
    <row r="97" spans="1:8" ht="15" customHeight="1" x14ac:dyDescent="0.3">
      <c r="A97" s="8" t="s">
        <v>614</v>
      </c>
      <c r="B97" s="8" t="s">
        <v>12</v>
      </c>
      <c r="C97" s="8" t="s">
        <v>18</v>
      </c>
      <c r="D97" s="8" t="s">
        <v>20</v>
      </c>
      <c r="E97" s="8" t="s">
        <v>14</v>
      </c>
      <c r="F97" s="9">
        <v>659649</v>
      </c>
      <c r="G97" s="9">
        <v>9401436</v>
      </c>
      <c r="H97" s="10">
        <v>13.55</v>
      </c>
    </row>
    <row r="98" spans="1:8" ht="15" customHeight="1" x14ac:dyDescent="0.3">
      <c r="A98" s="8" t="s">
        <v>615</v>
      </c>
      <c r="B98" s="8" t="s">
        <v>609</v>
      </c>
      <c r="C98" s="8" t="s">
        <v>18</v>
      </c>
      <c r="D98" s="8" t="s">
        <v>20</v>
      </c>
      <c r="E98" s="8" t="s">
        <v>14</v>
      </c>
      <c r="F98" s="9">
        <v>657722</v>
      </c>
      <c r="G98" s="9">
        <v>9401669</v>
      </c>
      <c r="H98" s="10">
        <v>15.18</v>
      </c>
    </row>
    <row r="99" spans="1:8" ht="15" customHeight="1" x14ac:dyDescent="0.3">
      <c r="A99" s="8" t="s">
        <v>8</v>
      </c>
      <c r="B99" s="8" t="s">
        <v>12</v>
      </c>
      <c r="C99" s="8" t="s">
        <v>18</v>
      </c>
      <c r="D99" s="8" t="s">
        <v>20</v>
      </c>
      <c r="E99" s="8" t="s">
        <v>14</v>
      </c>
      <c r="F99" s="9">
        <v>656578</v>
      </c>
      <c r="G99" s="9">
        <v>9397762</v>
      </c>
      <c r="H99" s="10">
        <v>109.86</v>
      </c>
    </row>
    <row r="100" spans="1:8" ht="15" customHeight="1" x14ac:dyDescent="0.3">
      <c r="A100" s="8" t="s">
        <v>616</v>
      </c>
      <c r="B100" s="8" t="s">
        <v>12</v>
      </c>
      <c r="C100" s="8" t="s">
        <v>18</v>
      </c>
      <c r="D100" s="8" t="s">
        <v>20</v>
      </c>
      <c r="E100" s="8" t="s">
        <v>14</v>
      </c>
      <c r="F100" s="9">
        <v>656489</v>
      </c>
      <c r="G100" s="9">
        <v>9395403</v>
      </c>
      <c r="H100" s="10">
        <v>23.17</v>
      </c>
    </row>
    <row r="101" spans="1:8" ht="15" customHeight="1" x14ac:dyDescent="0.3">
      <c r="A101" s="8" t="s">
        <v>617</v>
      </c>
      <c r="B101" s="8" t="s">
        <v>12</v>
      </c>
      <c r="C101" s="8" t="s">
        <v>18</v>
      </c>
      <c r="D101" s="8" t="s">
        <v>20</v>
      </c>
      <c r="E101" s="8" t="s">
        <v>14</v>
      </c>
      <c r="F101" s="9">
        <v>654607</v>
      </c>
      <c r="G101" s="9">
        <v>9395038</v>
      </c>
      <c r="H101" s="10">
        <v>30.8</v>
      </c>
    </row>
    <row r="102" spans="1:8" ht="15" customHeight="1" x14ac:dyDescent="0.3">
      <c r="A102" s="8" t="s">
        <v>618</v>
      </c>
      <c r="B102" s="8" t="s">
        <v>12</v>
      </c>
      <c r="C102" s="8" t="s">
        <v>18</v>
      </c>
      <c r="D102" s="8" t="s">
        <v>20</v>
      </c>
      <c r="E102" s="8" t="s">
        <v>14</v>
      </c>
      <c r="F102" s="9">
        <v>654207</v>
      </c>
      <c r="G102" s="9">
        <v>9394210</v>
      </c>
      <c r="H102" s="10">
        <v>13.18</v>
      </c>
    </row>
    <row r="103" spans="1:8" ht="15" customHeight="1" x14ac:dyDescent="0.3">
      <c r="A103" s="8" t="s">
        <v>619</v>
      </c>
      <c r="B103" s="8" t="s">
        <v>611</v>
      </c>
      <c r="C103" s="8" t="s">
        <v>18</v>
      </c>
      <c r="D103" s="8" t="s">
        <v>20</v>
      </c>
      <c r="E103" s="8" t="s">
        <v>14</v>
      </c>
      <c r="F103" s="9">
        <v>641196</v>
      </c>
      <c r="G103" s="9">
        <v>9398710</v>
      </c>
      <c r="H103" s="10">
        <v>279.68</v>
      </c>
    </row>
    <row r="104" spans="1:8" ht="15" customHeight="1" x14ac:dyDescent="0.3">
      <c r="A104" s="8" t="s">
        <v>620</v>
      </c>
      <c r="B104" s="8" t="s">
        <v>554</v>
      </c>
      <c r="C104" s="8" t="s">
        <v>18</v>
      </c>
      <c r="D104" s="8" t="s">
        <v>20</v>
      </c>
      <c r="E104" s="8" t="s">
        <v>14</v>
      </c>
      <c r="F104" s="9">
        <v>639059</v>
      </c>
      <c r="G104" s="9">
        <v>9398295</v>
      </c>
      <c r="H104" s="10">
        <v>116.1</v>
      </c>
    </row>
    <row r="105" spans="1:8" ht="15" customHeight="1" x14ac:dyDescent="0.3">
      <c r="A105" s="8" t="s">
        <v>621</v>
      </c>
      <c r="B105" s="8" t="s">
        <v>622</v>
      </c>
      <c r="C105" s="8" t="s">
        <v>18</v>
      </c>
      <c r="D105" s="8" t="s">
        <v>623</v>
      </c>
      <c r="E105" s="8" t="s">
        <v>624</v>
      </c>
      <c r="F105" s="9">
        <v>662123</v>
      </c>
      <c r="G105" s="9">
        <v>9397575</v>
      </c>
      <c r="H105" s="10">
        <v>40.1</v>
      </c>
    </row>
    <row r="106" spans="1:8" ht="15" customHeight="1" x14ac:dyDescent="0.3">
      <c r="A106" s="8" t="s">
        <v>625</v>
      </c>
      <c r="B106" s="8" t="s">
        <v>622</v>
      </c>
      <c r="C106" s="8" t="s">
        <v>18</v>
      </c>
      <c r="D106" s="8" t="s">
        <v>623</v>
      </c>
      <c r="E106" s="8" t="s">
        <v>624</v>
      </c>
      <c r="F106" s="9">
        <v>664225</v>
      </c>
      <c r="G106" s="9">
        <v>9396339</v>
      </c>
      <c r="H106" s="10">
        <v>21.29</v>
      </c>
    </row>
    <row r="107" spans="1:8" ht="15" customHeight="1" x14ac:dyDescent="0.3">
      <c r="A107" s="8" t="s">
        <v>626</v>
      </c>
      <c r="B107" s="8" t="s">
        <v>622</v>
      </c>
      <c r="C107" s="8" t="s">
        <v>18</v>
      </c>
      <c r="D107" s="8" t="s">
        <v>623</v>
      </c>
      <c r="E107" s="8" t="s">
        <v>624</v>
      </c>
      <c r="F107" s="9">
        <v>666537</v>
      </c>
      <c r="G107" s="9">
        <v>9395918</v>
      </c>
      <c r="H107" s="10">
        <v>13.06</v>
      </c>
    </row>
    <row r="108" spans="1:8" ht="15" customHeight="1" x14ac:dyDescent="0.3">
      <c r="A108" s="8" t="s">
        <v>627</v>
      </c>
      <c r="B108" s="8" t="s">
        <v>622</v>
      </c>
      <c r="C108" s="8" t="s">
        <v>18</v>
      </c>
      <c r="D108" s="8" t="s">
        <v>623</v>
      </c>
      <c r="E108" s="8" t="s">
        <v>624</v>
      </c>
      <c r="F108" s="9">
        <v>666781</v>
      </c>
      <c r="G108" s="9">
        <v>9395573</v>
      </c>
      <c r="H108" s="10">
        <v>22.39</v>
      </c>
    </row>
    <row r="109" spans="1:8" ht="15" customHeight="1" x14ac:dyDescent="0.3">
      <c r="A109" s="8" t="s">
        <v>628</v>
      </c>
      <c r="B109" s="8" t="s">
        <v>622</v>
      </c>
      <c r="C109" s="8" t="s">
        <v>18</v>
      </c>
      <c r="D109" s="8" t="s">
        <v>623</v>
      </c>
      <c r="E109" s="8" t="s">
        <v>624</v>
      </c>
      <c r="F109" s="9">
        <v>663334</v>
      </c>
      <c r="G109" s="9">
        <v>9392820</v>
      </c>
      <c r="H109" s="10">
        <v>47.58</v>
      </c>
    </row>
    <row r="110" spans="1:8" ht="15" customHeight="1" x14ac:dyDescent="0.3">
      <c r="A110" s="8" t="s">
        <v>629</v>
      </c>
      <c r="B110" s="8" t="s">
        <v>622</v>
      </c>
      <c r="C110" s="8" t="s">
        <v>18</v>
      </c>
      <c r="D110" s="8" t="s">
        <v>623</v>
      </c>
      <c r="E110" s="8" t="s">
        <v>624</v>
      </c>
      <c r="F110" s="9">
        <v>663291</v>
      </c>
      <c r="G110" s="9">
        <v>9392332</v>
      </c>
      <c r="H110" s="10">
        <v>19.43</v>
      </c>
    </row>
    <row r="111" spans="1:8" ht="15" customHeight="1" x14ac:dyDescent="0.3">
      <c r="A111" s="8" t="s">
        <v>630</v>
      </c>
      <c r="B111" s="8" t="s">
        <v>622</v>
      </c>
      <c r="C111" s="8" t="s">
        <v>18</v>
      </c>
      <c r="D111" s="8" t="s">
        <v>623</v>
      </c>
      <c r="E111" s="8" t="s">
        <v>624</v>
      </c>
      <c r="F111" s="9">
        <v>662236</v>
      </c>
      <c r="G111" s="9">
        <v>9391211</v>
      </c>
      <c r="H111" s="10">
        <v>12.4</v>
      </c>
    </row>
    <row r="112" spans="1:8" ht="15" customHeight="1" x14ac:dyDescent="0.3">
      <c r="A112" s="8" t="s">
        <v>631</v>
      </c>
      <c r="B112" s="8" t="s">
        <v>622</v>
      </c>
      <c r="C112" s="8" t="s">
        <v>18</v>
      </c>
      <c r="D112" s="8" t="s">
        <v>623</v>
      </c>
      <c r="E112" s="8" t="s">
        <v>624</v>
      </c>
      <c r="F112" s="9">
        <v>660525</v>
      </c>
      <c r="G112" s="9">
        <v>9394327</v>
      </c>
      <c r="H112" s="10">
        <v>64.92</v>
      </c>
    </row>
    <row r="113" spans="1:8" ht="15" customHeight="1" x14ac:dyDescent="0.3">
      <c r="A113" s="8" t="s">
        <v>632</v>
      </c>
      <c r="B113" s="8" t="s">
        <v>622</v>
      </c>
      <c r="C113" s="8" t="s">
        <v>18</v>
      </c>
      <c r="D113" s="8" t="s">
        <v>623</v>
      </c>
      <c r="E113" s="8" t="s">
        <v>624</v>
      </c>
      <c r="F113" s="9">
        <v>658547</v>
      </c>
      <c r="G113" s="9">
        <v>9395594</v>
      </c>
      <c r="H113" s="10">
        <v>54.29</v>
      </c>
    </row>
    <row r="114" spans="1:8" ht="15" customHeight="1" x14ac:dyDescent="0.3">
      <c r="A114" s="8" t="s">
        <v>633</v>
      </c>
      <c r="B114" s="8" t="s">
        <v>622</v>
      </c>
      <c r="C114" s="8" t="s">
        <v>18</v>
      </c>
      <c r="D114" s="8" t="s">
        <v>623</v>
      </c>
      <c r="E114" s="8" t="s">
        <v>624</v>
      </c>
      <c r="F114" s="9">
        <v>656445</v>
      </c>
      <c r="G114" s="9">
        <v>9393180</v>
      </c>
      <c r="H114" s="10">
        <v>103.62</v>
      </c>
    </row>
    <row r="115" spans="1:8" ht="15" customHeight="1" x14ac:dyDescent="0.3">
      <c r="A115" s="8" t="s">
        <v>634</v>
      </c>
      <c r="B115" s="8" t="s">
        <v>635</v>
      </c>
      <c r="C115" s="8" t="s">
        <v>18</v>
      </c>
      <c r="D115" s="8" t="s">
        <v>623</v>
      </c>
      <c r="E115" s="8" t="s">
        <v>624</v>
      </c>
      <c r="F115" s="9">
        <v>652449</v>
      </c>
      <c r="G115" s="9">
        <v>9389179</v>
      </c>
      <c r="H115" s="10">
        <v>29.23</v>
      </c>
    </row>
    <row r="116" spans="1:8" ht="15" customHeight="1" x14ac:dyDescent="0.3">
      <c r="A116" s="8" t="s">
        <v>636</v>
      </c>
      <c r="B116" s="8" t="s">
        <v>635</v>
      </c>
      <c r="C116" s="8" t="s">
        <v>18</v>
      </c>
      <c r="D116" s="8" t="s">
        <v>623</v>
      </c>
      <c r="E116" s="8" t="s">
        <v>624</v>
      </c>
      <c r="F116" s="9">
        <v>644546</v>
      </c>
      <c r="G116" s="9">
        <v>9389106</v>
      </c>
      <c r="H116" s="10">
        <v>268.39</v>
      </c>
    </row>
    <row r="117" spans="1:8" ht="15" customHeight="1" x14ac:dyDescent="0.3">
      <c r="A117" s="8" t="s">
        <v>637</v>
      </c>
      <c r="B117" s="8" t="s">
        <v>622</v>
      </c>
      <c r="C117" s="8" t="s">
        <v>18</v>
      </c>
      <c r="D117" s="8" t="s">
        <v>623</v>
      </c>
      <c r="E117" s="8" t="s">
        <v>624</v>
      </c>
      <c r="F117" s="9">
        <v>665942</v>
      </c>
      <c r="G117" s="9">
        <v>9391144</v>
      </c>
      <c r="H117" s="10">
        <v>82.09</v>
      </c>
    </row>
    <row r="118" spans="1:8" ht="15" customHeight="1" x14ac:dyDescent="0.3">
      <c r="A118" s="8" t="s">
        <v>638</v>
      </c>
      <c r="B118" s="8" t="s">
        <v>639</v>
      </c>
      <c r="C118" s="8" t="s">
        <v>18</v>
      </c>
      <c r="D118" s="8" t="s">
        <v>623</v>
      </c>
      <c r="E118" s="8" t="s">
        <v>640</v>
      </c>
      <c r="F118" s="9">
        <v>642775</v>
      </c>
      <c r="G118" s="9">
        <v>9388574</v>
      </c>
      <c r="H118" s="10">
        <v>289.91000000000003</v>
      </c>
    </row>
    <row r="119" spans="1:8" ht="15" customHeight="1" x14ac:dyDescent="0.3">
      <c r="A119" s="8" t="s">
        <v>641</v>
      </c>
      <c r="B119" s="8" t="s">
        <v>639</v>
      </c>
      <c r="C119" s="8" t="s">
        <v>18</v>
      </c>
      <c r="D119" s="8" t="s">
        <v>623</v>
      </c>
      <c r="E119" s="8" t="s">
        <v>640</v>
      </c>
      <c r="F119" s="9">
        <v>643474</v>
      </c>
      <c r="G119" s="9">
        <v>9385620</v>
      </c>
      <c r="H119" s="10">
        <v>234.07</v>
      </c>
    </row>
    <row r="120" spans="1:8" ht="15" customHeight="1" x14ac:dyDescent="0.3">
      <c r="A120" s="8" t="s">
        <v>642</v>
      </c>
      <c r="B120" s="8" t="s">
        <v>643</v>
      </c>
      <c r="C120" s="8" t="s">
        <v>18</v>
      </c>
      <c r="D120" s="8" t="s">
        <v>623</v>
      </c>
      <c r="E120" s="8" t="s">
        <v>640</v>
      </c>
      <c r="F120" s="9">
        <v>650830</v>
      </c>
      <c r="G120" s="9">
        <v>9382303</v>
      </c>
      <c r="H120" s="10">
        <v>150.21</v>
      </c>
    </row>
    <row r="121" spans="1:8" ht="15" customHeight="1" x14ac:dyDescent="0.3">
      <c r="A121" s="8" t="s">
        <v>644</v>
      </c>
      <c r="B121" s="8" t="s">
        <v>643</v>
      </c>
      <c r="C121" s="8" t="s">
        <v>18</v>
      </c>
      <c r="D121" s="8" t="s">
        <v>623</v>
      </c>
      <c r="E121" s="8" t="s">
        <v>640</v>
      </c>
      <c r="F121" s="9">
        <v>652939</v>
      </c>
      <c r="G121" s="9">
        <v>9382105</v>
      </c>
      <c r="H121" s="10">
        <v>83.33</v>
      </c>
    </row>
    <row r="122" spans="1:8" ht="15" customHeight="1" x14ac:dyDescent="0.3">
      <c r="A122" s="8" t="s">
        <v>645</v>
      </c>
      <c r="B122" s="8" t="s">
        <v>635</v>
      </c>
      <c r="C122" s="8" t="s">
        <v>18</v>
      </c>
      <c r="D122" s="8" t="s">
        <v>623</v>
      </c>
      <c r="E122" s="8" t="s">
        <v>640</v>
      </c>
      <c r="F122" s="9">
        <v>656549</v>
      </c>
      <c r="G122" s="9">
        <v>9382009</v>
      </c>
      <c r="H122" s="10">
        <v>230.1</v>
      </c>
    </row>
    <row r="123" spans="1:8" ht="15" customHeight="1" x14ac:dyDescent="0.3">
      <c r="A123" s="8" t="s">
        <v>646</v>
      </c>
      <c r="B123" s="8" t="s">
        <v>643</v>
      </c>
      <c r="C123" s="8" t="s">
        <v>18</v>
      </c>
      <c r="D123" s="8" t="s">
        <v>623</v>
      </c>
      <c r="E123" s="8" t="s">
        <v>640</v>
      </c>
      <c r="F123" s="9">
        <v>656291</v>
      </c>
      <c r="G123" s="9">
        <v>9379096</v>
      </c>
      <c r="H123" s="10">
        <v>22.93</v>
      </c>
    </row>
    <row r="124" spans="1:8" ht="15" customHeight="1" x14ac:dyDescent="0.3">
      <c r="A124" s="8" t="s">
        <v>647</v>
      </c>
      <c r="B124" s="8" t="s">
        <v>643</v>
      </c>
      <c r="C124" s="8" t="s">
        <v>18</v>
      </c>
      <c r="D124" s="8" t="s">
        <v>623</v>
      </c>
      <c r="E124" s="8" t="s">
        <v>640</v>
      </c>
      <c r="F124" s="9">
        <v>657922</v>
      </c>
      <c r="G124" s="9">
        <v>9377477</v>
      </c>
      <c r="H124" s="10">
        <v>19.62</v>
      </c>
    </row>
    <row r="125" spans="1:8" ht="15" customHeight="1" x14ac:dyDescent="0.3">
      <c r="A125" s="8" t="s">
        <v>648</v>
      </c>
      <c r="B125" s="8" t="s">
        <v>643</v>
      </c>
      <c r="C125" s="8" t="s">
        <v>18</v>
      </c>
      <c r="D125" s="8" t="s">
        <v>623</v>
      </c>
      <c r="E125" s="8" t="s">
        <v>640</v>
      </c>
      <c r="F125" s="9">
        <v>657160</v>
      </c>
      <c r="G125" s="9">
        <v>9373050</v>
      </c>
      <c r="H125" s="10">
        <v>28.83</v>
      </c>
    </row>
    <row r="126" spans="1:8" ht="15" customHeight="1" x14ac:dyDescent="0.3">
      <c r="A126" s="8" t="s">
        <v>649</v>
      </c>
      <c r="B126" s="8" t="s">
        <v>643</v>
      </c>
      <c r="C126" s="8" t="s">
        <v>18</v>
      </c>
      <c r="D126" s="8" t="s">
        <v>623</v>
      </c>
      <c r="E126" s="8" t="s">
        <v>640</v>
      </c>
      <c r="F126" s="9">
        <v>652104</v>
      </c>
      <c r="G126" s="9">
        <v>9373045</v>
      </c>
      <c r="H126" s="10">
        <v>10.67</v>
      </c>
    </row>
    <row r="127" spans="1:8" ht="15" customHeight="1" x14ac:dyDescent="0.3">
      <c r="A127" s="8" t="s">
        <v>650</v>
      </c>
      <c r="B127" s="8" t="s">
        <v>643</v>
      </c>
      <c r="C127" s="8" t="s">
        <v>18</v>
      </c>
      <c r="D127" s="8" t="s">
        <v>623</v>
      </c>
      <c r="E127" s="8" t="s">
        <v>640</v>
      </c>
      <c r="F127" s="9">
        <v>651673</v>
      </c>
      <c r="G127" s="9">
        <v>9373383</v>
      </c>
      <c r="H127" s="10">
        <v>126.95</v>
      </c>
    </row>
    <row r="128" spans="1:8" ht="15" customHeight="1" x14ac:dyDescent="0.3">
      <c r="A128" s="8" t="s">
        <v>651</v>
      </c>
      <c r="B128" s="8" t="s">
        <v>643</v>
      </c>
      <c r="C128" s="8" t="s">
        <v>18</v>
      </c>
      <c r="D128" s="8" t="s">
        <v>623</v>
      </c>
      <c r="E128" s="8" t="s">
        <v>640</v>
      </c>
      <c r="F128" s="9">
        <v>649847</v>
      </c>
      <c r="G128" s="9">
        <v>9376260</v>
      </c>
      <c r="H128" s="10">
        <v>81.33</v>
      </c>
    </row>
    <row r="129" spans="1:8" x14ac:dyDescent="0.3">
      <c r="A129" t="s">
        <v>652</v>
      </c>
      <c r="B129" t="s">
        <v>565</v>
      </c>
      <c r="C129" t="s">
        <v>475</v>
      </c>
      <c r="D129" t="s">
        <v>561</v>
      </c>
      <c r="E129" t="s">
        <v>562</v>
      </c>
      <c r="F129">
        <v>639720</v>
      </c>
      <c r="G129">
        <v>9410622</v>
      </c>
      <c r="H129">
        <v>24.344000000000001</v>
      </c>
    </row>
    <row r="130" spans="1:8" x14ac:dyDescent="0.3">
      <c r="A130" t="s">
        <v>653</v>
      </c>
      <c r="B130" t="s">
        <v>565</v>
      </c>
      <c r="C130" t="s">
        <v>475</v>
      </c>
      <c r="D130" t="s">
        <v>561</v>
      </c>
      <c r="E130" t="s">
        <v>562</v>
      </c>
      <c r="F130">
        <v>640237</v>
      </c>
      <c r="G130">
        <v>9410714</v>
      </c>
      <c r="H130">
        <v>5.0970000000000004</v>
      </c>
    </row>
    <row r="131" spans="1:8" x14ac:dyDescent="0.3">
      <c r="A131" t="s">
        <v>654</v>
      </c>
      <c r="B131" t="s">
        <v>565</v>
      </c>
      <c r="C131" t="s">
        <v>475</v>
      </c>
      <c r="D131" t="s">
        <v>561</v>
      </c>
      <c r="E131" t="s">
        <v>562</v>
      </c>
      <c r="F131">
        <v>642200</v>
      </c>
      <c r="G131">
        <v>9411072</v>
      </c>
      <c r="H131">
        <v>11.906000000000001</v>
      </c>
    </row>
    <row r="132" spans="1:8" x14ac:dyDescent="0.3">
      <c r="A132" t="s">
        <v>655</v>
      </c>
      <c r="B132" t="s">
        <v>565</v>
      </c>
      <c r="C132" t="s">
        <v>475</v>
      </c>
      <c r="D132" t="s">
        <v>561</v>
      </c>
      <c r="E132" t="s">
        <v>562</v>
      </c>
      <c r="F132">
        <v>642415</v>
      </c>
      <c r="G132">
        <v>9410216</v>
      </c>
      <c r="H132">
        <v>30.001000000000001</v>
      </c>
    </row>
    <row r="133" spans="1:8" x14ac:dyDescent="0.3">
      <c r="A133" t="s">
        <v>656</v>
      </c>
      <c r="B133" t="s">
        <v>565</v>
      </c>
      <c r="C133" t="s">
        <v>475</v>
      </c>
      <c r="D133" t="s">
        <v>561</v>
      </c>
      <c r="E133" t="s">
        <v>562</v>
      </c>
      <c r="F133">
        <v>642882</v>
      </c>
      <c r="G133">
        <v>9411123</v>
      </c>
      <c r="H133">
        <v>62.219000000000001</v>
      </c>
    </row>
  </sheetData>
  <pageMargins left="0.75" right="0.75" top="1" bottom="1" header="0.511811023622047" footer="0.511811023622047"/>
  <pageSetup paperSize="9"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K16"/>
  <sheetViews>
    <sheetView zoomScaleNormal="100" workbookViewId="0">
      <pane ySplit="3" topLeftCell="A4" activePane="bottomLeft" state="frozen"/>
      <selection pane="bottomLeft"/>
    </sheetView>
  </sheetViews>
  <sheetFormatPr baseColWidth="10" defaultColWidth="8.6640625" defaultRowHeight="14.4" x14ac:dyDescent="0.3"/>
  <cols>
    <col min="1" max="1" width="22" customWidth="1"/>
    <col min="2" max="2" width="29" customWidth="1"/>
    <col min="3" max="4" width="22" customWidth="1"/>
    <col min="5" max="5" width="29" customWidth="1"/>
    <col min="6" max="7" width="31" customWidth="1"/>
    <col min="8" max="8" width="29" customWidth="1"/>
    <col min="9" max="9" width="38" customWidth="1"/>
    <col min="10" max="11" width="22" customWidth="1"/>
    <col min="12" max="12" width="53" customWidth="1"/>
    <col min="13" max="13" width="40" customWidth="1"/>
    <col min="14" max="14" width="31" customWidth="1"/>
    <col min="15" max="15" width="27" customWidth="1"/>
    <col min="16" max="16" width="22" customWidth="1"/>
    <col min="17" max="17" width="28" customWidth="1"/>
    <col min="18" max="18" width="22" customWidth="1"/>
    <col min="19" max="19" width="28" customWidth="1"/>
    <col min="20" max="21" width="22" customWidth="1"/>
    <col min="22" max="22" width="30" customWidth="1"/>
    <col min="23" max="23" width="34" customWidth="1"/>
    <col min="24" max="26" width="22" customWidth="1"/>
    <col min="27" max="27" width="25" customWidth="1"/>
    <col min="28" max="28" width="26" customWidth="1"/>
    <col min="29" max="29" width="22" customWidth="1"/>
    <col min="30" max="30" width="47" customWidth="1"/>
    <col min="31" max="31" width="33" customWidth="1"/>
    <col min="32" max="32" width="25" customWidth="1"/>
    <col min="33" max="37" width="22" customWidth="1"/>
  </cols>
  <sheetData>
    <row r="1" spans="1:37" ht="15" customHeight="1" x14ac:dyDescent="0.3">
      <c r="A1" s="70" t="s">
        <v>657</v>
      </c>
      <c r="B1" s="36"/>
      <c r="C1" s="36"/>
      <c r="D1" s="36"/>
      <c r="E1" s="36"/>
      <c r="F1" s="36"/>
      <c r="G1" s="36"/>
      <c r="H1" s="36"/>
    </row>
    <row r="3" spans="1:37" ht="15" customHeight="1" x14ac:dyDescent="0.3">
      <c r="A3" s="2" t="s">
        <v>658</v>
      </c>
      <c r="B3" s="2" t="s">
        <v>659</v>
      </c>
      <c r="C3" s="2" t="s">
        <v>660</v>
      </c>
      <c r="D3" s="2" t="s">
        <v>661</v>
      </c>
      <c r="E3" s="2" t="s">
        <v>662</v>
      </c>
      <c r="F3" s="2" t="s">
        <v>663</v>
      </c>
      <c r="G3" s="2" t="s">
        <v>664</v>
      </c>
      <c r="H3" s="2" t="s">
        <v>665</v>
      </c>
      <c r="I3" s="2" t="s">
        <v>666</v>
      </c>
      <c r="J3" s="2" t="s">
        <v>667</v>
      </c>
      <c r="K3" s="2" t="s">
        <v>668</v>
      </c>
      <c r="L3" s="2" t="s">
        <v>669</v>
      </c>
      <c r="M3" s="2" t="s">
        <v>670</v>
      </c>
      <c r="N3" s="2" t="s">
        <v>671</v>
      </c>
      <c r="O3" s="2" t="s">
        <v>672</v>
      </c>
      <c r="P3" s="2" t="s">
        <v>673</v>
      </c>
      <c r="Q3" s="2" t="s">
        <v>674</v>
      </c>
      <c r="R3" s="2" t="s">
        <v>675</v>
      </c>
      <c r="S3" s="2" t="s">
        <v>676</v>
      </c>
      <c r="T3" s="2" t="s">
        <v>677</v>
      </c>
      <c r="U3" s="2" t="s">
        <v>678</v>
      </c>
      <c r="V3" s="2" t="s">
        <v>679</v>
      </c>
      <c r="W3" s="2" t="s">
        <v>680</v>
      </c>
      <c r="X3" s="2" t="s">
        <v>681</v>
      </c>
      <c r="Y3" s="2" t="s">
        <v>682</v>
      </c>
      <c r="Z3" s="2" t="s">
        <v>683</v>
      </c>
      <c r="AA3" s="2" t="s">
        <v>684</v>
      </c>
      <c r="AB3" s="2" t="s">
        <v>685</v>
      </c>
      <c r="AC3" s="2" t="s">
        <v>686</v>
      </c>
      <c r="AD3" s="2" t="s">
        <v>687</v>
      </c>
      <c r="AE3" s="2" t="s">
        <v>688</v>
      </c>
      <c r="AF3" s="2" t="s">
        <v>689</v>
      </c>
      <c r="AG3" s="2" t="s">
        <v>690</v>
      </c>
      <c r="AH3" s="2" t="s">
        <v>691</v>
      </c>
      <c r="AI3" s="2" t="s">
        <v>692</v>
      </c>
      <c r="AJ3" s="2" t="s">
        <v>693</v>
      </c>
      <c r="AK3" s="2" t="s">
        <v>694</v>
      </c>
    </row>
    <row r="4" spans="1:37" ht="15" customHeight="1" x14ac:dyDescent="0.3">
      <c r="A4" s="8" t="s">
        <v>695</v>
      </c>
      <c r="B4" s="8" t="s">
        <v>696</v>
      </c>
      <c r="C4" s="8" t="s">
        <v>697</v>
      </c>
      <c r="D4" s="8" t="s">
        <v>698</v>
      </c>
      <c r="E4" s="8" t="s">
        <v>699</v>
      </c>
      <c r="F4" s="8" t="s">
        <v>700</v>
      </c>
      <c r="G4" s="8" t="s">
        <v>701</v>
      </c>
      <c r="H4" s="8" t="s">
        <v>702</v>
      </c>
      <c r="I4" s="8" t="s">
        <v>703</v>
      </c>
      <c r="J4" s="8" t="s">
        <v>704</v>
      </c>
      <c r="K4" s="8" t="s">
        <v>705</v>
      </c>
      <c r="L4" s="8" t="s">
        <v>706</v>
      </c>
      <c r="M4" s="8" t="s">
        <v>707</v>
      </c>
      <c r="N4" s="8" t="s">
        <v>708</v>
      </c>
      <c r="O4" s="8" t="s">
        <v>709</v>
      </c>
      <c r="P4" s="8" t="s">
        <v>208</v>
      </c>
      <c r="Q4" s="8" t="s">
        <v>212</v>
      </c>
      <c r="R4" s="8" t="s">
        <v>710</v>
      </c>
      <c r="S4" s="8" t="s">
        <v>230</v>
      </c>
      <c r="T4" s="8" t="s">
        <v>236</v>
      </c>
      <c r="U4" s="8" t="s">
        <v>711</v>
      </c>
      <c r="V4" s="8" t="s">
        <v>277</v>
      </c>
      <c r="W4" s="8" t="s">
        <v>712</v>
      </c>
      <c r="X4" s="8" t="s">
        <v>700</v>
      </c>
      <c r="Y4" s="8" t="s">
        <v>352</v>
      </c>
      <c r="Z4" s="8" t="s">
        <v>713</v>
      </c>
      <c r="AA4" s="8" t="s">
        <v>714</v>
      </c>
      <c r="AB4" s="8" t="s">
        <v>715</v>
      </c>
      <c r="AC4" s="8" t="s">
        <v>716</v>
      </c>
      <c r="AD4" s="8" t="s">
        <v>717</v>
      </c>
      <c r="AE4" s="8" t="s">
        <v>718</v>
      </c>
      <c r="AF4" s="8" t="s">
        <v>719</v>
      </c>
      <c r="AG4" s="8" t="s">
        <v>352</v>
      </c>
      <c r="AH4" s="8" t="s">
        <v>720</v>
      </c>
      <c r="AI4" s="8" t="s">
        <v>400</v>
      </c>
      <c r="AJ4" s="8" t="s">
        <v>133</v>
      </c>
      <c r="AK4" s="8" t="s">
        <v>133</v>
      </c>
    </row>
    <row r="5" spans="1:37" ht="15" customHeight="1" x14ac:dyDescent="0.3">
      <c r="A5" s="8" t="s">
        <v>721</v>
      </c>
      <c r="B5" s="8" t="s">
        <v>722</v>
      </c>
      <c r="C5" s="8" t="s">
        <v>723</v>
      </c>
      <c r="D5" s="8" t="s">
        <v>724</v>
      </c>
      <c r="E5" s="8" t="s">
        <v>725</v>
      </c>
      <c r="F5" s="8" t="s">
        <v>726</v>
      </c>
      <c r="G5" s="8" t="s">
        <v>727</v>
      </c>
      <c r="H5" s="8" t="s">
        <v>728</v>
      </c>
      <c r="I5" s="8" t="s">
        <v>729</v>
      </c>
      <c r="J5" s="8" t="s">
        <v>730</v>
      </c>
      <c r="K5" s="8" t="s">
        <v>70</v>
      </c>
      <c r="L5" s="8" t="s">
        <v>731</v>
      </c>
      <c r="M5" s="8" t="s">
        <v>732</v>
      </c>
      <c r="N5" s="8" t="s">
        <v>733</v>
      </c>
      <c r="O5" s="8" t="s">
        <v>734</v>
      </c>
      <c r="P5" s="8" t="s">
        <v>735</v>
      </c>
      <c r="Q5" s="8" t="s">
        <v>736</v>
      </c>
      <c r="R5" s="8" t="s">
        <v>737</v>
      </c>
      <c r="S5" s="8" t="s">
        <v>240</v>
      </c>
      <c r="T5" s="8" t="s">
        <v>738</v>
      </c>
      <c r="U5" s="8" t="s">
        <v>739</v>
      </c>
      <c r="V5" s="8" t="s">
        <v>286</v>
      </c>
      <c r="W5" s="8" t="s">
        <v>740</v>
      </c>
      <c r="X5" s="8" t="s">
        <v>741</v>
      </c>
      <c r="Y5" s="8" t="s">
        <v>332</v>
      </c>
      <c r="Z5" s="8" t="s">
        <v>742</v>
      </c>
      <c r="AA5" s="8" t="s">
        <v>366</v>
      </c>
      <c r="AB5" s="8" t="s">
        <v>743</v>
      </c>
      <c r="AC5" s="8" t="s">
        <v>744</v>
      </c>
      <c r="AD5" s="8" t="s">
        <v>745</v>
      </c>
      <c r="AE5" s="8" t="s">
        <v>746</v>
      </c>
      <c r="AF5" s="8" t="s">
        <v>747</v>
      </c>
      <c r="AG5" s="8" t="s">
        <v>332</v>
      </c>
      <c r="AH5" s="8" t="s">
        <v>398</v>
      </c>
      <c r="AI5" s="8" t="s">
        <v>748</v>
      </c>
      <c r="AJ5" s="8" t="s">
        <v>135</v>
      </c>
      <c r="AK5" s="8" t="s">
        <v>135</v>
      </c>
    </row>
    <row r="6" spans="1:37" ht="15" customHeight="1" x14ac:dyDescent="0.3">
      <c r="A6" s="8" t="s">
        <v>749</v>
      </c>
      <c r="B6" s="8" t="s">
        <v>750</v>
      </c>
      <c r="C6" s="8" t="s">
        <v>124</v>
      </c>
      <c r="D6" s="8" t="s">
        <v>751</v>
      </c>
      <c r="E6" s="8" t="s">
        <v>128</v>
      </c>
      <c r="F6" s="8" t="s">
        <v>68</v>
      </c>
      <c r="G6" s="8" t="s">
        <v>752</v>
      </c>
      <c r="H6" s="8" t="s">
        <v>753</v>
      </c>
      <c r="I6" s="8" t="s">
        <v>754</v>
      </c>
      <c r="J6" s="8" t="s">
        <v>755</v>
      </c>
      <c r="K6" s="8" t="s">
        <v>756</v>
      </c>
      <c r="L6" s="8" t="s">
        <v>757</v>
      </c>
      <c r="M6" s="8" t="s">
        <v>56</v>
      </c>
      <c r="N6" s="8" t="s">
        <v>758</v>
      </c>
      <c r="O6" s="8" t="s">
        <v>206</v>
      </c>
      <c r="P6" s="8" t="s">
        <v>759</v>
      </c>
      <c r="Q6" s="8" t="s">
        <v>760</v>
      </c>
      <c r="R6" s="8" t="s">
        <v>761</v>
      </c>
      <c r="S6" s="8" t="s">
        <v>249</v>
      </c>
      <c r="T6" s="8" t="s">
        <v>231</v>
      </c>
      <c r="U6" s="8" t="s">
        <v>250</v>
      </c>
      <c r="V6" s="8" t="s">
        <v>762</v>
      </c>
      <c r="W6" s="8" t="s">
        <v>763</v>
      </c>
      <c r="X6" s="8" t="s">
        <v>302</v>
      </c>
      <c r="Y6" s="8" t="s">
        <v>340</v>
      </c>
      <c r="Z6" s="8" t="s">
        <v>302</v>
      </c>
      <c r="AA6" s="8" t="s">
        <v>764</v>
      </c>
      <c r="AB6" s="8" t="s">
        <v>765</v>
      </c>
      <c r="AC6" s="8" t="s">
        <v>766</v>
      </c>
      <c r="AD6" s="8" t="s">
        <v>767</v>
      </c>
      <c r="AE6" s="8" t="s">
        <v>388</v>
      </c>
      <c r="AF6" s="8" t="s">
        <v>768</v>
      </c>
      <c r="AG6" s="8" t="s">
        <v>340</v>
      </c>
      <c r="AH6" s="8" t="s">
        <v>766</v>
      </c>
      <c r="AI6" s="8" t="s">
        <v>769</v>
      </c>
      <c r="AK6" s="8" t="s">
        <v>175</v>
      </c>
    </row>
    <row r="7" spans="1:37" ht="15" customHeight="1" x14ac:dyDescent="0.3">
      <c r="A7" s="8" t="s">
        <v>48</v>
      </c>
      <c r="B7" s="8" t="s">
        <v>770</v>
      </c>
      <c r="C7" s="8" t="s">
        <v>771</v>
      </c>
      <c r="D7" s="8" t="s">
        <v>772</v>
      </c>
      <c r="E7" s="8" t="s">
        <v>773</v>
      </c>
      <c r="F7" s="8" t="s">
        <v>774</v>
      </c>
      <c r="G7" s="8" t="s">
        <v>775</v>
      </c>
      <c r="H7" s="8" t="s">
        <v>776</v>
      </c>
      <c r="I7" s="8" t="s">
        <v>777</v>
      </c>
      <c r="J7" s="8" t="s">
        <v>778</v>
      </c>
      <c r="K7" s="8" t="s">
        <v>779</v>
      </c>
      <c r="L7" s="8" t="s">
        <v>780</v>
      </c>
      <c r="M7" s="8" t="s">
        <v>781</v>
      </c>
      <c r="N7" s="8" t="s">
        <v>782</v>
      </c>
      <c r="O7" s="8" t="s">
        <v>783</v>
      </c>
      <c r="P7" s="8" t="s">
        <v>784</v>
      </c>
      <c r="Q7" s="8" t="s">
        <v>785</v>
      </c>
      <c r="R7" s="8" t="s">
        <v>214</v>
      </c>
      <c r="S7" s="8" t="s">
        <v>255</v>
      </c>
      <c r="T7" s="8" t="s">
        <v>786</v>
      </c>
      <c r="U7" s="8" t="s">
        <v>787</v>
      </c>
      <c r="V7" s="8" t="s">
        <v>788</v>
      </c>
      <c r="W7" s="8" t="s">
        <v>789</v>
      </c>
      <c r="X7" s="8" t="s">
        <v>790</v>
      </c>
      <c r="Z7" s="8" t="s">
        <v>791</v>
      </c>
      <c r="AA7" s="8" t="s">
        <v>792</v>
      </c>
      <c r="AB7" s="8" t="s">
        <v>793</v>
      </c>
      <c r="AC7" s="8" t="s">
        <v>794</v>
      </c>
      <c r="AD7" s="8" t="s">
        <v>795</v>
      </c>
      <c r="AE7" s="8" t="s">
        <v>796</v>
      </c>
      <c r="AF7" s="8" t="s">
        <v>390</v>
      </c>
      <c r="AH7" s="8" t="s">
        <v>797</v>
      </c>
      <c r="AI7" s="8" t="s">
        <v>798</v>
      </c>
    </row>
    <row r="8" spans="1:37" ht="15" customHeight="1" x14ac:dyDescent="0.3">
      <c r="A8" s="8" t="s">
        <v>799</v>
      </c>
      <c r="B8" s="8" t="s">
        <v>50</v>
      </c>
      <c r="C8" s="8" t="s">
        <v>800</v>
      </c>
      <c r="D8" s="8" t="s">
        <v>801</v>
      </c>
      <c r="E8" s="8" t="s">
        <v>802</v>
      </c>
      <c r="F8" s="8" t="s">
        <v>803</v>
      </c>
      <c r="G8" s="8" t="s">
        <v>804</v>
      </c>
      <c r="H8" s="8" t="s">
        <v>805</v>
      </c>
      <c r="I8" s="8" t="s">
        <v>806</v>
      </c>
      <c r="J8" s="8" t="s">
        <v>807</v>
      </c>
      <c r="L8" s="8" t="s">
        <v>808</v>
      </c>
      <c r="M8" s="8" t="s">
        <v>809</v>
      </c>
      <c r="N8" s="8" t="s">
        <v>195</v>
      </c>
      <c r="P8" s="8" t="s">
        <v>810</v>
      </c>
      <c r="Q8" s="8" t="s">
        <v>811</v>
      </c>
      <c r="R8" s="8" t="s">
        <v>812</v>
      </c>
      <c r="S8" s="8" t="s">
        <v>813</v>
      </c>
      <c r="U8" s="8" t="s">
        <v>814</v>
      </c>
      <c r="V8" s="8" t="s">
        <v>815</v>
      </c>
      <c r="W8" s="8" t="s">
        <v>816</v>
      </c>
      <c r="X8" s="8" t="s">
        <v>817</v>
      </c>
      <c r="Z8" s="8" t="s">
        <v>818</v>
      </c>
      <c r="AB8" s="8" t="s">
        <v>819</v>
      </c>
      <c r="AC8" s="8" t="s">
        <v>783</v>
      </c>
      <c r="AD8" s="8" t="s">
        <v>820</v>
      </c>
      <c r="AE8" s="8" t="s">
        <v>821</v>
      </c>
      <c r="AF8" s="8" t="s">
        <v>822</v>
      </c>
      <c r="AI8" s="8" t="s">
        <v>319</v>
      </c>
    </row>
    <row r="9" spans="1:37" ht="15" customHeight="1" x14ac:dyDescent="0.3">
      <c r="B9" s="8" t="s">
        <v>823</v>
      </c>
      <c r="C9" s="8" t="s">
        <v>824</v>
      </c>
      <c r="D9" s="8" t="s">
        <v>825</v>
      </c>
      <c r="E9" s="8" t="s">
        <v>826</v>
      </c>
      <c r="F9" s="8" t="s">
        <v>827</v>
      </c>
      <c r="I9" s="8" t="s">
        <v>828</v>
      </c>
      <c r="L9" s="8" t="s">
        <v>829</v>
      </c>
      <c r="M9" s="8" t="s">
        <v>830</v>
      </c>
      <c r="N9" s="8" t="s">
        <v>831</v>
      </c>
      <c r="P9" s="8" t="s">
        <v>832</v>
      </c>
      <c r="R9" s="8" t="s">
        <v>833</v>
      </c>
      <c r="S9" s="8" t="s">
        <v>264</v>
      </c>
      <c r="V9" s="8" t="s">
        <v>283</v>
      </c>
      <c r="W9" s="8" t="s">
        <v>834</v>
      </c>
      <c r="AB9" s="8" t="s">
        <v>835</v>
      </c>
      <c r="AE9" s="8" t="s">
        <v>836</v>
      </c>
      <c r="AF9" s="8" t="s">
        <v>837</v>
      </c>
      <c r="AI9" s="8" t="s">
        <v>797</v>
      </c>
    </row>
    <row r="10" spans="1:37" ht="15" customHeight="1" x14ac:dyDescent="0.3">
      <c r="C10" s="8" t="s">
        <v>838</v>
      </c>
      <c r="D10" s="8" t="s">
        <v>839</v>
      </c>
      <c r="E10" s="8" t="s">
        <v>840</v>
      </c>
      <c r="I10" s="8" t="s">
        <v>841</v>
      </c>
      <c r="L10" s="8" t="s">
        <v>842</v>
      </c>
      <c r="N10" s="8" t="s">
        <v>843</v>
      </c>
      <c r="R10" s="8" t="s">
        <v>844</v>
      </c>
      <c r="S10" s="8" t="s">
        <v>845</v>
      </c>
      <c r="W10" s="8" t="s">
        <v>846</v>
      </c>
      <c r="AB10" s="8" t="s">
        <v>847</v>
      </c>
      <c r="AF10" s="8" t="s">
        <v>392</v>
      </c>
    </row>
    <row r="11" spans="1:37" ht="15" customHeight="1" x14ac:dyDescent="0.3">
      <c r="C11" s="8" t="s">
        <v>848</v>
      </c>
      <c r="D11" s="8" t="s">
        <v>849</v>
      </c>
      <c r="I11" s="8" t="s">
        <v>850</v>
      </c>
      <c r="L11" s="8" t="s">
        <v>54</v>
      </c>
      <c r="N11" s="8" t="s">
        <v>851</v>
      </c>
      <c r="R11" s="8" t="s">
        <v>852</v>
      </c>
      <c r="S11" s="8" t="s">
        <v>853</v>
      </c>
      <c r="W11" s="8" t="s">
        <v>854</v>
      </c>
      <c r="AB11" s="8" t="s">
        <v>855</v>
      </c>
    </row>
    <row r="12" spans="1:37" ht="15" customHeight="1" x14ac:dyDescent="0.3">
      <c r="C12" s="8" t="s">
        <v>856</v>
      </c>
      <c r="D12" s="8" t="s">
        <v>126</v>
      </c>
      <c r="I12" s="8" t="s">
        <v>319</v>
      </c>
      <c r="L12" s="8" t="s">
        <v>857</v>
      </c>
      <c r="N12" s="8" t="s">
        <v>319</v>
      </c>
      <c r="R12" s="8" t="s">
        <v>858</v>
      </c>
      <c r="W12" s="8" t="s">
        <v>280</v>
      </c>
      <c r="AB12" s="8" t="s">
        <v>859</v>
      </c>
    </row>
    <row r="13" spans="1:37" ht="15" customHeight="1" x14ac:dyDescent="0.3">
      <c r="L13" s="8" t="s">
        <v>860</v>
      </c>
      <c r="R13" s="8" t="s">
        <v>861</v>
      </c>
      <c r="W13" s="8" t="s">
        <v>175</v>
      </c>
      <c r="AB13" s="8" t="s">
        <v>319</v>
      </c>
    </row>
    <row r="14" spans="1:37" ht="15" customHeight="1" x14ac:dyDescent="0.3">
      <c r="L14" s="8" t="s">
        <v>862</v>
      </c>
      <c r="R14" s="8" t="s">
        <v>863</v>
      </c>
    </row>
    <row r="15" spans="1:37" ht="15" customHeight="1" x14ac:dyDescent="0.3">
      <c r="L15" s="8" t="s">
        <v>864</v>
      </c>
    </row>
    <row r="16" spans="1:37" ht="15" customHeight="1" x14ac:dyDescent="0.3">
      <c r="L16" s="8" t="s">
        <v>319</v>
      </c>
    </row>
  </sheetData>
  <mergeCells count="1">
    <mergeCell ref="A1:H1"/>
  </mergeCells>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44</vt:i4>
      </vt:variant>
    </vt:vector>
  </HeadingPairs>
  <TitlesOfParts>
    <vt:vector size="54" baseType="lpstr">
      <vt:lpstr>Resumen</vt:lpstr>
      <vt:lpstr>F-DT-01</vt:lpstr>
      <vt:lpstr>F-DT-02</vt:lpstr>
      <vt:lpstr>F-DT-03</vt:lpstr>
      <vt:lpstr>F-DT-04</vt:lpstr>
      <vt:lpstr>F-DT-05</vt:lpstr>
      <vt:lpstr>Cobertura MSAVI-NDVI</vt:lpstr>
      <vt:lpstr>Control de consistencia</vt:lpstr>
      <vt:lpstr>Bloques V4</vt:lpstr>
      <vt:lpstr>_Listas</vt:lpstr>
      <vt:lpstr>lst_Abundancia</vt:lpstr>
      <vt:lpstr>lst_CalidadAgua</vt:lpstr>
      <vt:lpstr>lst_CategoriaIndicadora</vt:lpstr>
      <vt:lpstr>lst_CausaCarcava</vt:lpstr>
      <vt:lpstr>lst_CodigoBloque</vt:lpstr>
      <vt:lpstr>lst_EstadoCarcava</vt:lpstr>
      <vt:lpstr>lst_EstadoConservacion</vt:lpstr>
      <vt:lpstr>lst_EstadoSanitario</vt:lpstr>
      <vt:lpstr>lst_EstadoUICN</vt:lpstr>
      <vt:lpstr>lst_Estrato</vt:lpstr>
      <vt:lpstr>lst_Exposicion</vt:lpstr>
      <vt:lpstr>lst_Fenologia</vt:lpstr>
      <vt:lpstr>lst_FormaTerreno</vt:lpstr>
      <vt:lpstr>lst_Intensidad</vt:lpstr>
      <vt:lpstr>lst_ModalidadAcceso</vt:lpstr>
      <vt:lpstr>lst_NivelErosion</vt:lpstr>
      <vt:lpstr>lst_NivelInd</vt:lpstr>
      <vt:lpstr>lst_NivelTransitabilidad</vt:lpstr>
      <vt:lpstr>lst_Operador</vt:lpstr>
      <vt:lpstr>lst_Origen</vt:lpstr>
      <vt:lpstr>lst_PatronCarcavas</vt:lpstr>
      <vt:lpstr>lst_PosicionFisio</vt:lpstr>
      <vt:lpstr>lst_RangoAltitud</vt:lpstr>
      <vt:lpstr>lst_RangoPendiente</vt:lpstr>
      <vt:lpstr>lst_Regeneracion</vt:lpstr>
      <vt:lpstr>lst_RegimenHidrico</vt:lpstr>
      <vt:lpstr>lst_Reversibilidad</vt:lpstr>
      <vt:lpstr>lst_SenalCelular</vt:lpstr>
      <vt:lpstr>lst_SiNo</vt:lpstr>
      <vt:lpstr>lst_SiNoNA</vt:lpstr>
      <vt:lpstr>lst_TipoCarcava</vt:lpstr>
      <vt:lpstr>lst_TipoCobertura</vt:lpstr>
      <vt:lpstr>lst_TipoEcosistema</vt:lpstr>
      <vt:lpstr>lst_TipoFuente</vt:lpstr>
      <vt:lpstr>lst_TipoVia</vt:lpstr>
      <vt:lpstr>lst_Urgencia</vt:lpstr>
      <vt:lpstr>lst_UsoSueloDom</vt:lpstr>
      <vt:lpstr>lst_Velocidad</vt:lpstr>
      <vt:lpstr>tbl_Bloques</vt:lpstr>
      <vt:lpstr>'F-DT-01'!Títulos_a_imprimir</vt:lpstr>
      <vt:lpstr>'F-DT-02'!Títulos_a_imprimir</vt:lpstr>
      <vt:lpstr>'F-DT-03'!Títulos_a_imprimir</vt:lpstr>
      <vt:lpstr>'F-DT-04'!Títulos_a_imprimir</vt:lpstr>
      <vt:lpstr>'F-DT-05'!Títulos_a_imprimir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Hector Salomón Cahuas Miller</cp:lastModifiedBy>
  <cp:revision>0</cp:revision>
  <dcterms:created xsi:type="dcterms:W3CDTF">2026-05-08T03:16:44Z</dcterms:created>
  <dcterms:modified xsi:type="dcterms:W3CDTF">2026-09-07T04:39:13Z</dcterms:modified>
  <dc:language>en-US</dc:language>
</cp:coreProperties>
</file>