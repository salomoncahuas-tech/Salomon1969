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3E68887-A8E2-4847-802E-D5F560D4F58D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3" authorId="0" shapeId="0" xr:uid="{00000000-0006-0000-0000-000001000000}">
      <text>
        <r>
          <rPr>
            <sz val="10"/>
            <rFont val="Arial"/>
            <family val="2"/>
          </rPr>
          <t>Punto de observación externa del bloque (Fig. 2, índice 216) desde el entorno del C.P. Putagas. No se accedió al interior del bloque el 24/06/2026 (mal estado de trocha y fuerte pendiente).</t>
        </r>
      </text>
    </comment>
    <comment ref="B14" authorId="0" shapeId="0" xr:uid="{00000000-0006-0000-0000-000002000000}">
      <text>
        <r>
          <rPr>
            <sz val="10"/>
            <rFont val="Arial"/>
            <family val="2"/>
          </rPr>
          <t>GPS puntual no registrado en overlays. Rango altitudinal del bloque 2 374–2 746 msnm; altitud media ≈ 2 500 msnm (centroide).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0" authorId="0" shapeId="0" xr:uid="{00000000-0006-0000-0100-000003000000}">
      <text>
        <r>
          <rPr>
            <sz val="10"/>
            <rFont val="Arial"/>
            <family val="2"/>
          </rPr>
          <t>Franja de aproximación ≈ 2 374 msnm (cota mínima del perfil, entorno del poblado); GPS puntual no registrado.</t>
        </r>
      </text>
    </comment>
    <comment ref="D11" authorId="0" shapeId="0" xr:uid="{00000000-0006-0000-0100-000001000000}">
      <text>
        <r>
          <rPr>
            <sz val="10"/>
            <rFont val="Arial"/>
            <family val="2"/>
          </rPr>
          <t>Punto representativo de la franja de aproximación (trocha), entorno del C.P. Putagas. Rasgos erosivos levantados en el borde/observación externa; sin acceso al interior.</t>
        </r>
      </text>
    </comment>
    <comment ref="D35" authorId="0" shapeId="0" xr:uid="{00000000-0006-0000-0100-000002000000}">
      <text>
        <r>
          <rPr>
            <sz val="10"/>
            <rFont val="Arial"/>
            <family val="2"/>
          </rPr>
          <t>Rasgos erosivos representativos registrados en la franja de acceso (no exhaustivo).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2" authorId="0" shapeId="0" xr:uid="{00000000-0006-0000-0200-000003000000}">
      <text>
        <r>
          <rPr>
            <sz val="10"/>
            <rFont val="Arial"/>
            <family val="2"/>
          </rPr>
          <t>Cobertura densa (MSAVI 2024 = 0,678, vigor alto); % no cuantificado en campo.</t>
        </r>
      </text>
    </comment>
    <comment ref="C27" authorId="0" shapeId="0" xr:uid="{00000000-0006-0000-0200-000001000000}">
      <text>
        <r>
          <rPr>
            <sz val="10"/>
            <rFont val="Arial"/>
            <family val="2"/>
          </rPr>
          <t>Inferido del alto vigor MSAVI (0,678) y observación externa del dosel; no inspeccionado en el interior.</t>
        </r>
      </text>
    </comment>
    <comment ref="C28" authorId="0" shapeId="0" xr:uid="{00000000-0006-0000-0200-000002000000}">
      <text>
        <r>
          <rPr>
            <sz val="10"/>
            <rFont val="Arial"/>
            <family val="2"/>
          </rPr>
          <t>Bromelia epífita observada en el entorno (Fig. 7, Índ. 208); epífitas indicadoras de humedad.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8" authorId="0" shapeId="0" xr:uid="{00000000-0006-0000-0400-000001000000}">
      <text>
        <r>
          <rPr>
            <sz val="10"/>
            <rFont val="Arial"/>
            <family val="2"/>
          </rPr>
          <t>Condiciones de bosque montano de neblina (epífitas, helechos, alto MSAVI) indican régimen de humedad favorable.</t>
        </r>
      </text>
    </comment>
    <comment ref="C36" authorId="0" shapeId="0" xr:uid="{00000000-0006-0000-0400-000002000000}">
      <text>
        <r>
          <rPr>
            <sz val="10"/>
            <rFont val="Arial"/>
            <family val="2"/>
          </rPr>
          <t>Acceso al interior NO logrado el 24/06/2026 (trocha en mal estado + fuerte pendiente); caracterización desde el entorno del C.P. Putagas. Ascenso ≈ 1 km por ladera.</t>
        </r>
      </text>
    </comment>
    <comment ref="C39" authorId="0" shapeId="0" xr:uid="{00000000-0006-0000-0400-000003000000}">
      <text>
        <r>
          <rPr>
            <sz val="10"/>
            <rFont val="Arial"/>
            <family val="2"/>
          </rPr>
          <t>Reportado 'Baja-Media' (trocha erosionada); acceso al interior no logrado en época seca.</t>
        </r>
      </text>
    </comment>
  </commentList>
</comments>
</file>

<file path=xl/sharedStrings.xml><?xml version="1.0" encoding="utf-8"?>
<sst xmlns="http://schemas.openxmlformats.org/spreadsheetml/2006/main" count="1279" uniqueCount="693">
  <si>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</si>
  <si>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</si>
  <si>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</si>
  <si>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</si>
  <si>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</si>
  <si>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</si>
  <si>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</si>
  <si>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</si>
  <si>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24-06-2026</t>
  </si>
  <si>
    <t>Hora de registro</t>
  </si>
  <si>
    <t>09:41–10:05 a. m.</t>
  </si>
  <si>
    <t>Brigada / Responsable *</t>
  </si>
  <si>
    <t>SESDI — DIME — ANIN</t>
  </si>
  <si>
    <t>Ficha N° (correlativo)</t>
  </si>
  <si>
    <t>Código del Bloque *</t>
  </si>
  <si>
    <t>56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</si>
  <si>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</si>
  <si>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</si>
  <si>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</si>
  <si>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</si>
  <si>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</si>
  <si>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</si>
  <si>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</si>
  <si>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</si>
  <si>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Por determinar</t>
  </si>
  <si>
    <t>Centro poblado más cercano</t>
  </si>
  <si>
    <t>Putagas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</si>
  <si>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</si>
  <si>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</si>
  <si>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</si>
  <si>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</si>
  <si>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</si>
  <si>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</si>
  <si>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</si>
  <si>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</si>
  <si>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</si>
  <si>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Noreste</t>
  </si>
  <si>
    <t>Rango altitudinal del bloque *</t>
  </si>
  <si>
    <t>2500-3000 m (Suni)</t>
  </si>
  <si>
    <t>Paisaje dominante (descripción libre)</t>
  </si>
  <si>
    <t>Mosaico de ladera de montaña: bosque relicto montano en las partes altas del cerro tutelar y zona agrícola/pastizal en la franja media-baja próxima al C.P. Putagas. Cerro tutelar prominente con estructura (cruz/hito) en la cima.</t>
  </si>
  <si>
    <t>3. INDICIOS DE REMOCIÓN EN MASA E INESTABILIDAD</t>
  </si>
  <si>
    <t>Presencia de afloramientos rocosos</t>
  </si>
  <si>
    <t>Presencia de escarpes activos *</t>
  </si>
  <si>
    <t>Sí</t>
  </si>
  <si>
    <t>¿Reptación de suelo observada? *</t>
  </si>
  <si>
    <t>¿Deslizamientos antiguos observados?</t>
  </si>
  <si>
    <t>¿Remociones en masa activas? *</t>
  </si>
  <si>
    <t>Caracterización por observación externa/perimetral desde el entorno del C.P. Putagas; NO se accedió al interior del bloque el 24/06/2026 (mal estado de trocha y fuerte pendiente). Escarpes activos en taludes de corte de la trocha de aproximación (franja perimetral). Remociones en masa activas no observadas desde el exterior; por verificar en interior. Reptación, deslizamientos antiguos y afloramientos rocosos no evaluados (sin acceso interno). Antecedente referido: reubicación de un centro poblado por deslizamientos en temporada de lluvias (CP y fecha por precisar). Centroide del bloque: 621 613 E · 9 452 884 N (UTM 17S, Centroides_V5). Centros poblados asociados: Putagas (300 hab.) y Banda de la Cruz (75 hab.). Pendiente media del acceso 32,5 % (máx. 61,7 %); rango altitudinal 2 374–2 746 msnm (media ≈ 2 500). MSAVI 2024 = 0,678 (vigor alto).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</si>
  <si>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</si>
  <si>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</si>
  <si>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</si>
  <si>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</si>
  <si>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</si>
  <si>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</si>
  <si>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</si>
  <si>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</si>
  <si>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</si>
  <si>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</si>
  <si>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</si>
  <si>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</si>
  <si>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</si>
  <si>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Severa (cárcavas activas)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</si>
  <si>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</si>
  <si>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</si>
  <si>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</si>
  <si>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</si>
  <si>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</si>
  <si>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</si>
  <si>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</si>
  <si>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</si>
  <si>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</si>
  <si>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</si>
  <si>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</si>
  <si>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</si>
  <si>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</si>
  <si>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</si>
  <si>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E-01</t>
  </si>
  <si>
    <t>Activa</t>
  </si>
  <si>
    <t>Concentración natural de escorrentía</t>
  </si>
  <si>
    <t>Índ. 220</t>
  </si>
  <si>
    <t>E-02</t>
  </si>
  <si>
    <t>Surco (&lt;30 cm)</t>
  </si>
  <si>
    <t>Índ. 219</t>
  </si>
  <si>
    <t>E-03</t>
  </si>
  <si>
    <t>Otro</t>
  </si>
  <si>
    <t>Índ. 223</t>
  </si>
  <si>
    <t>E-04</t>
  </si>
  <si>
    <t>Índ. 224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</si>
  <si>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</si>
  <si>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</si>
  <si>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</si>
  <si>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</si>
  <si>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</si>
  <si>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</si>
  <si>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</si>
  <si>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</si>
  <si>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</si>
  <si>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OBSERVACIONES</t>
  </si>
  <si>
    <t>Inventario de rasgos erosivos levantado en la franja de aproximación (trocha carrozable y entorno del C.P. Putagas); no se accedió al interior del bloque (24/06/2026). Dimensiones instrumentales (longitud, profundidad, ancho), longitud total acumulada, % del bloque afectado y densidad de cárcavas por hectárea PENDIENTES de levantamiento en el interior. Erosión severa observada en la franja vial: cárcava activa con incisión profunda (Índ. 220), surcos/regueros (Índ. 219), taludes de corte con desprendimiento (Índ. 223, 224). Nivel de erosión interno del bloque por verificar (susceptibilidad estimada moderada a alta). Patrón de cárcavas, socavamiento de cauce y urgencia de control por determinar.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</si>
  <si>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</si>
  <si>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</si>
  <si>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</si>
  <si>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</si>
  <si>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</si>
  <si>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No instalada — caracterización referencial de gabinete (sin acceso al interior, 24/06/2026)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</si>
  <si>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</si>
  <si>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</si>
  <si>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</si>
  <si>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</si>
  <si>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</si>
  <si>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</si>
  <si>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</si>
  <si>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Relicto Montano V. Occidental (BMVO)</t>
  </si>
  <si>
    <t>Superficie del ecosistema en el bloque (ha)</t>
  </si>
  <si>
    <t>Estado de conservación general *</t>
  </si>
  <si>
    <t>Levemente alterado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</si>
  <si>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</si>
  <si>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</si>
  <si>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</si>
  <si>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</si>
  <si>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</si>
  <si>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</si>
  <si>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</si>
  <si>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</si>
  <si>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</si>
  <si>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</si>
  <si>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</si>
  <si>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</si>
  <si>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Estado sanitario general del dosel *</t>
  </si>
  <si>
    <t>Sano</t>
  </si>
  <si>
    <t>Presencia de epífitas (cualitativa)</t>
  </si>
  <si>
    <t>Fenología dominante (época de visita)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</si>
  <si>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</si>
  <si>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</si>
  <si>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</si>
  <si>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</si>
  <si>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</si>
  <si>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</si>
  <si>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</si>
  <si>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</si>
  <si>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</si>
  <si>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</si>
  <si>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</si>
  <si>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</si>
  <si>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</si>
  <si>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</si>
  <si>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</si>
  <si>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</si>
  <si>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</si>
  <si>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</si>
  <si>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</si>
  <si>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</si>
  <si>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</si>
  <si>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</si>
  <si>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Cinchona sp. (Cascarilla / Quina)</t>
  </si>
  <si>
    <t>Clave cultural</t>
  </si>
  <si>
    <t>Indicadora de bosque montano; emblemática nacional (quina). Presencia esperada, por confirmar por colección botánica.</t>
  </si>
  <si>
    <t>Podocarpus sp. (Romerillo)</t>
  </si>
  <si>
    <t>Amenazada (D.S. 043-2006-AG)</t>
  </si>
  <si>
    <t>VU — Vulnerable</t>
  </si>
  <si>
    <t>Género protegido (D.S. 043-2006-AG); presencia esperada, por confirmar.</t>
  </si>
  <si>
    <t>Ceroxylon sp. (palma de cera)</t>
  </si>
  <si>
    <t>Indicadora de buen estado</t>
  </si>
  <si>
    <t>Alto valor ecológico; indicadora de bosque montano húmedo; por confirmar.</t>
  </si>
  <si>
    <t>Weinmannia sp. / Ficus sp.</t>
  </si>
  <si>
    <t>Componentes estructurales de relictos montanos; indicadoras de buen estado.</t>
  </si>
  <si>
    <t>Bromeliáceas / Orquídeas (epífitas)</t>
  </si>
  <si>
    <t>Fig. 7 (Índ. 208)</t>
  </si>
  <si>
    <t>Indicadoras de humedad; bromelia epífita observada en el entorno del bloque.</t>
  </si>
  <si>
    <t>Caracterización ecológica REFERENCIAL de gabinete (Reporte de Ecosistemas por Bloques_V5 — MINAM, MSAVI 2024 Sentinel-2 y observación externa); no se accedió al interior el 24/06/2026, por lo que NO se instaló parcela de muestreo (composición florística de la Sección 4 no levantada). Composición por ecosistema: Bosque relicto montano de vertiente occidental (Br-mvoc) 41,85 ha (53,9 %) y Zona agrícola (Agri) 35,82 ha (46,1 %); total 77,67 ha. MSAVI 2024 del bloque = 0,678 (vigor alto), coherente con cobertura densa y bosque en buen estado. Composición florística referencial del bosque montano (familia/género): Lauráceas (Persea/Ocotea/Nectandra), Cunoniáceas (Weinmannia), Podocarpáceas (Podocarpus), Cecropiáceas (Cecropia), Mirtáceas (Myrcianthes), Moráceas (Ficus), Rubiáceas (Cinchona), Bignoniáceas (Tabebuia), Arecáceas (Ceroxylon — palma de cera), helechos arborescentes (Nephelea); estrato arbustivo (Miconia, Munnozia, Baccharis, Senna, Colignonia, Gaiadendron, Oreopanax); epífitas y lianas (Bromeliaceae, Orchidaceae, Heliconia, Araceae, musgos). Determinación a nivel de especie y categorías de conservación por colección botánica formal. Erythrina sp. en floración observada (Fig. 7).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</si>
  <si>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</si>
  <si>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</si>
  <si>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</si>
  <si>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</si>
  <si>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</si>
  <si>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</si>
  <si>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</si>
  <si>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</si>
  <si>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</si>
  <si>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</si>
  <si>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</si>
  <si>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Pastizales en laderas (Índ. 218); carga ganadera por verificar. Intensidad por verificar.</t>
  </si>
  <si>
    <t>Tala para leña</t>
  </si>
  <si>
    <t>Tala para carbón</t>
  </si>
  <si>
    <t>Tala para madera</t>
  </si>
  <si>
    <t>Quema (renovación de pastos)</t>
  </si>
  <si>
    <t>Quema accidental / Incendio</t>
  </si>
  <si>
    <t>Cambio de uso a agricultura</t>
  </si>
  <si>
    <t>Moderada</t>
  </si>
  <si>
    <t>Parcelas de maíz protegidas con malla junto al poblado (Índ. 207); zona agrícola 35,82 ha (46,1 % del bloque).</t>
  </si>
  <si>
    <t>Cambio de uso a pastoreo</t>
  </si>
  <si>
    <t>Expansión urbana / vial</t>
  </si>
  <si>
    <t>Expansión vial: taludes de corte inestables y desprendimientos en la trocha de acceso (Índ. 223, 224).</t>
  </si>
  <si>
    <t>Minería informal</t>
  </si>
  <si>
    <t>Extracción de áridos (cauces)</t>
  </si>
  <si>
    <t>Especies invasoras</t>
  </si>
  <si>
    <t>Erosión natural severa</t>
  </si>
  <si>
    <t>Erosión hídrica concentrada (Moderada-Alta): cárcava activa con incisión profunda y surcos en la franja vial (Índ. 220, 219); material residual expuesto y disponible al arrastre. Interior por verificar.</t>
  </si>
  <si>
    <t>Sequía prolongada / CC</t>
  </si>
  <si>
    <t>Plagas o enfermedades forestales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</si>
  <si>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</si>
  <si>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</si>
  <si>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</si>
  <si>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</si>
  <si>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</si>
  <si>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</si>
  <si>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</si>
  <si>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</si>
  <si>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</si>
  <si>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</si>
  <si>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MSAVI 2024 (Sentinel-2) / Reporte Ecosistemas_V5</t>
  </si>
  <si>
    <t>&gt;60% bueno; 30-60% medio; &lt;30% malo</t>
  </si>
  <si>
    <t>Alto</t>
  </si>
  <si>
    <t>Porcentaje de suelo desnudo</t>
  </si>
  <si>
    <t>&lt;10% bueno; 10-30% medio; &gt;30% malo</t>
  </si>
  <si>
    <t>Densidad de cárcavas</t>
  </si>
  <si>
    <t>N°/ha</t>
  </si>
  <si>
    <t>Pendiente de levantamiento interno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</si>
  <si>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</si>
  <si>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</si>
  <si>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</si>
  <si>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</si>
  <si>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</si>
  <si>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</si>
  <si>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Por verificar</t>
  </si>
  <si>
    <t>Según tipo de ecosistema</t>
  </si>
  <si>
    <t>Frecuencia de quemas últimos 5 años</t>
  </si>
  <si>
    <t>0 nulo; 1-2 medio; &gt;2 alto</t>
  </si>
  <si>
    <t>% área con pendiente &gt;50%</t>
  </si>
  <si>
    <t>Perfil Google Earth (media 32,5 %, máx. 61,7 %)</t>
  </si>
  <si>
    <t>Factor de susceptibilidad</t>
  </si>
  <si>
    <t>Distancia a vía vecinal más cercana</t>
  </si>
  <si>
    <t>m</t>
  </si>
  <si>
    <t>A menor distancia → mayor presión</t>
  </si>
  <si>
    <t>4. SÍNTESIS DIAGNÓSTICA DE LA DEGRADACIÓN</t>
  </si>
  <si>
    <t>Principales causas directas (texto libre)</t>
  </si>
  <si>
    <t>Cambio de uso a zona agrícola (parcelas de maíz, 46,1 % del bloque); sobrepastoreo en laderas; expansión vial con taludes de corte inestables; erosión hídrica concentrada (cárcavas y surcos) en la franja vial. Antecedente de movimientos en masa: reubicación de un centro poblado por deslizamientos en temporada de lluvias (referido; CP y fecha por precisar).</t>
  </si>
  <si>
    <t>Principal causa subyacente (motor)</t>
  </si>
  <si>
    <t>Presión agropecuaria sobre laderas de fuerte pendiente y desestabilización asociada a la trocha de acceso, en contexto de suelos residuales y escorrentía concentrada en la temporada de lluvias.</t>
  </si>
  <si>
    <t>Velocidad de degradación percibida</t>
  </si>
  <si>
    <t>Reversibilidad técnica</t>
  </si>
  <si>
    <t>Urgencia de intervención</t>
  </si>
  <si>
    <t>Matriz de causas levantada por observación externa/perimetral y gabinete (24/06/2026; sin acceso al interior). Indicadores cuantitativos (densidad de cárcavas N°/ha, carga ganadera UA/ha, frecuencia de quemas, % de área con pendiente &gt;50 %) PENDIENTES de cuantificación en levantamiento detallado. Indicadores de estado documentados (Cuadro 9): MSAVI 2024 = 0,678 (Alto); cobertura de bosque montano relicto 41,85 ha / 53,9 % (Alto); superficie agrícola/pastizal 35,82 ha / 46,1 % (Medio); pendiente media del acceso 32,5 % máx. 61,7 % (Alto); erosión en franja vial activa (Medio-Alto). Antecedente crítico: reubicación de un centro poblado por deslizamientos en temporada de lluvias (referido; CP y fecha por precisar). Peligro integrado preliminar Medio-Alto (PMM Medio-Alto, EPH Medio-Alto, PGI Medio). Reversibilidad técnica y urgencia de intervención por determinar en la priorización.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</si>
  <si>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</si>
  <si>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</si>
  <si>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</si>
  <si>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</si>
  <si>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</si>
  <si>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</si>
  <si>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</si>
  <si>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</si>
  <si>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</si>
  <si>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</si>
  <si>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</si>
  <si>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</si>
  <si>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</si>
  <si>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</si>
  <si>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</si>
  <si>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</si>
  <si>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</si>
  <si>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</si>
  <si>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</si>
  <si>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30-90 min</t>
  </si>
  <si>
    <t>Vía principal de acceso (PE-/PI-/trocha) *</t>
  </si>
  <si>
    <t>Frías → C.P. Putagas (trocha carrozable) → ascenso por ladera ≈ 1 km</t>
  </si>
  <si>
    <t>Tipo de vía final</t>
  </si>
  <si>
    <t>Trocha carrozable</t>
  </si>
  <si>
    <t>Estado transitabilidad — época seca</t>
  </si>
  <si>
    <t>Bajo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</si>
  <si>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</si>
  <si>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</si>
  <si>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</si>
  <si>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</si>
  <si>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</si>
  <si>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</si>
  <si>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</si>
  <si>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</si>
  <si>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Bloque en zona de origen y recarga de la microcuenca C1096-Q9564. Condiciones de bosque montano de neblina (epífitas, helechos, alto MSAVI) indican régimen de humedad favorable a la regulación hídrica. Referencia de la Catarata Putagas (SO del bloque) confirma presencia de cursos de agua; quebradas de la microcuenca C1096-Q9564. No se identificaron desde el exterior manantiales ni captaciones internas (sin acceso al interior, 24/06/2026). Distancia a captación poblacional, nombre de la JASS y restricción/contacto de la Ronda Campesina: por verificar. Acceso al interior NO logrado el 24/06/2026 (trocha en mal estado + fuerte pendiente); caracterización desde el entorno del C.P. Putagas. Ruta: Frías → C.P. Putagas (trocha carrozable) → ascenso por ladera ≈ 1 km. Transitabilidad: época seca Baja-Media (trocha erosionada), época lluviosa Baja (riesgo de deslizamientos y cárcavas).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</si>
  <si>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</si>
  <si>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</si>
  <si>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</si>
  <si>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</si>
  <si>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</si>
  <si>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</si>
  <si>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</si>
  <si>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</si>
  <si>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</si>
  <si>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</si>
  <si>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</si>
  <si>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</si>
  <si>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</si>
  <si>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</si>
  <si>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</si>
  <si>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</si>
  <si>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</si>
  <si>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</si>
  <si>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</si>
  <si>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</si>
  <si>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</si>
  <si>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</si>
  <si>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</si>
  <si>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</si>
  <si>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</si>
  <si>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</si>
  <si>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</si>
  <si>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</si>
  <si>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</si>
  <si>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</si>
  <si>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</si>
  <si>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</si>
  <si>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</si>
  <si>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</si>
  <si>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</si>
  <si>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</si>
  <si>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</si>
  <si>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</si>
  <si>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</si>
  <si>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</si>
  <si>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</si>
  <si>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</si>
  <si>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</si>
  <si>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</si>
  <si>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</si>
  <si>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</si>
  <si>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</si>
  <si>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</si>
  <si>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</si>
  <si>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</si>
  <si>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</si>
  <si>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</si>
  <si>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</si>
  <si>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</si>
  <si>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</si>
  <si>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</si>
  <si>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</si>
  <si>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</si>
  <si>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</si>
  <si>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</si>
  <si>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</si>
  <si>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</si>
  <si>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</si>
  <si>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</si>
  <si>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</si>
  <si>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</si>
  <si>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</si>
  <si>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</si>
  <si>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</si>
  <si>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</si>
  <si>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</si>
  <si>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</si>
  <si>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</si>
  <si>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</si>
  <si>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</si>
  <si>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</si>
  <si>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</si>
  <si>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</si>
  <si>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</si>
  <si>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</si>
  <si>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</si>
  <si>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</si>
  <si>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</si>
  <si>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</si>
  <si>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</si>
  <si>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</si>
  <si>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</si>
  <si>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</si>
  <si>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</si>
  <si>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</si>
  <si>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</si>
  <si>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</si>
  <si>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</si>
  <si>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</si>
  <si>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</si>
  <si>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</si>
  <si>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</si>
  <si>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</si>
  <si>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</si>
  <si>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</si>
  <si>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</si>
  <si>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</si>
  <si>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</si>
  <si>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</si>
  <si>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</si>
  <si>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</si>
  <si>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</si>
  <si>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</si>
  <si>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</si>
  <si>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</si>
  <si>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</si>
  <si>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</si>
  <si>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</si>
  <si>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</si>
  <si>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</si>
  <si>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</si>
  <si>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</si>
  <si>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</si>
  <si>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</si>
  <si>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</si>
  <si>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</si>
  <si>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</si>
  <si>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</si>
  <si>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</si>
  <si>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</si>
  <si>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</si>
  <si>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</si>
  <si>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</si>
  <si>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</si>
  <si>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</si>
  <si>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</si>
  <si>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</si>
  <si>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</si>
  <si>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</si>
  <si>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</si>
  <si>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</si>
  <si>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</si>
  <si>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</si>
  <si>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</si>
  <si>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</si>
  <si>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</si>
  <si>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</si>
  <si>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</si>
  <si>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</si>
  <si>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</si>
  <si>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</si>
  <si>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</si>
  <si>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</si>
  <si>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</si>
  <si>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</si>
  <si>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</si>
  <si>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</si>
  <si>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</si>
  <si>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</si>
  <si>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</si>
  <si>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</si>
  <si>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</si>
  <si>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</si>
  <si>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</si>
  <si>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</si>
  <si>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</si>
  <si>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</si>
  <si>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</si>
  <si>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</si>
  <si>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</si>
  <si>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</si>
  <si>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</si>
  <si>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</si>
  <si>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</si>
  <si>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</si>
  <si>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</si>
  <si>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</si>
  <si>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</si>
  <si>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</si>
  <si>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</si>
  <si>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</si>
  <si>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</si>
  <si>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</si>
  <si>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</si>
  <si>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</si>
  <si>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</si>
  <si>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</si>
  <si>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</si>
  <si>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</si>
  <si>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</si>
  <si>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</si>
  <si>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</si>
  <si>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</si>
  <si>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</si>
  <si>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</si>
  <si>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</si>
  <si>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</si>
  <si>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</si>
  <si>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</si>
  <si>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</si>
  <si>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</si>
  <si>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</si>
  <si>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</si>
  <si>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</si>
  <si>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</si>
  <si>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</si>
  <si>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</si>
  <si>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</si>
  <si>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</si>
  <si>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</si>
  <si>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</si>
  <si>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</si>
  <si>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</si>
  <si>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</si>
  <si>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</si>
  <si>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</si>
  <si>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</si>
  <si>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</si>
  <si>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</si>
  <si>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</si>
  <si>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</si>
  <si>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</si>
  <si>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</si>
  <si>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</si>
  <si>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</si>
  <si>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</si>
  <si>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</si>
  <si>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</si>
  <si>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</si>
  <si>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</si>
  <si>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</si>
  <si>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</si>
  <si>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</si>
  <si>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</si>
  <si>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</si>
  <si>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</si>
  <si>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</si>
  <si>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</si>
  <si>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</si>
  <si>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</si>
  <si>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</si>
  <si>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</si>
  <si>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</si>
  <si>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</si>
  <si>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</si>
  <si>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</si>
  <si>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</si>
  <si>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Vegetativo</t>
  </si>
  <si>
    <t>Bosque denso (&gt;70%)</t>
  </si>
  <si>
    <t>Arbóreo superior (&gt;15 m)</t>
  </si>
  <si>
    <t>Nativa</t>
  </si>
  <si>
    <t>Dominante (&gt;40%)</t>
  </si>
  <si>
    <t>EX — Extinto</t>
  </si>
  <si>
    <t>Muy rápida</t>
  </si>
  <si>
    <t>Totalmente reversible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</si>
  <si>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</si>
  <si>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</si>
  <si>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</si>
  <si>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</si>
  <si>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</si>
  <si>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</si>
  <si>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</si>
  <si>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</si>
  <si>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</si>
  <si>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</si>
  <si>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</si>
  <si>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</si>
  <si>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</si>
  <si>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Cárcava incipiente (30-50 cm)</t>
  </si>
  <si>
    <t>Semi-activa</t>
  </si>
  <si>
    <t>Tala / pérdida de cobertura</t>
  </si>
  <si>
    <t>Paralelo</t>
  </si>
  <si>
    <t>Alta</t>
  </si>
  <si>
    <t>Forestal producción</t>
  </si>
  <si>
    <t>Regular (10-50 pl./100m²)</t>
  </si>
  <si>
    <t>Enfermo (plaga)</t>
  </si>
  <si>
    <t>Floración</t>
  </si>
  <si>
    <t>Bosque ralo (30-70%)</t>
  </si>
  <si>
    <t>Arbóreo medio (8-15 m)</t>
  </si>
  <si>
    <t>Endémica</t>
  </si>
  <si>
    <t>Abundante (20-40%)</t>
  </si>
  <si>
    <t>Indicadora de perturbación</t>
  </si>
  <si>
    <t>EW — Extinto en Estado Silvestre</t>
  </si>
  <si>
    <t>Ligera</t>
  </si>
  <si>
    <t>Medio</t>
  </si>
  <si>
    <t>Rápida</t>
  </si>
  <si>
    <t>Parcialmente reversible</t>
  </si>
  <si>
    <t>Quebrada permanente</t>
  </si>
  <si>
    <t>Estacional (lluvias)</t>
  </si>
  <si>
    <t>Regular (ligeramente turbia o con sedimentos)</t>
  </si>
  <si>
    <t>Vehicular + caminata &lt;30 min</t>
  </si>
  <si>
    <t>Nacional afirmada</t>
  </si>
  <si>
    <t>Parcial</t>
  </si>
  <si>
    <t>Claro</t>
  </si>
  <si>
    <t>No</t>
  </si>
  <si>
    <t>Colinoso</t>
  </si>
  <si>
    <t>15-25% (Fuert. inclinado)</t>
  </si>
  <si>
    <t>Este</t>
  </si>
  <si>
    <t>1500-2000 m (Quechua media)</t>
  </si>
  <si>
    <t>Moderada (surcos)</t>
  </si>
  <si>
    <t>Cárcava somera (0.5-2 m)</t>
  </si>
  <si>
    <t>Estabilizada con vegetación</t>
  </si>
  <si>
    <t>Quema</t>
  </si>
  <si>
    <t>Lineal</t>
  </si>
  <si>
    <t>Media</t>
  </si>
  <si>
    <t>Bosque Estacionalmente Seco Colina/Montaña (Bes-cm)</t>
  </si>
  <si>
    <t>Medianamente alterado</t>
  </si>
  <si>
    <t>Pastoreo extensivo</t>
  </si>
  <si>
    <t>Escasa (&lt;10 pl./100m²)</t>
  </si>
  <si>
    <t>Enfermo (hongo)</t>
  </si>
  <si>
    <t>Fructificación</t>
  </si>
  <si>
    <t>Matorral denso</t>
  </si>
  <si>
    <t>Arbóreo bajo (4-8 m)</t>
  </si>
  <si>
    <t>Introducida</t>
  </si>
  <si>
    <t>Frecuente (5-20%)</t>
  </si>
  <si>
    <t>Endémica del Perú</t>
  </si>
  <si>
    <t>CR — En Peligro Crítico</t>
  </si>
  <si>
    <t>Difícilmente reversible</t>
  </si>
  <si>
    <t>Quebrada estacional</t>
  </si>
  <si>
    <t>Intermitente</t>
  </si>
  <si>
    <t>Mala (turbia, con olor o color)</t>
  </si>
  <si>
    <t>Departamental asfaltada</t>
  </si>
  <si>
    <t>Entel</t>
  </si>
  <si>
    <t>No aplica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</si>
  <si>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</si>
  <si>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</si>
  <si>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</si>
  <si>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</si>
  <si>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</si>
  <si>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</si>
  <si>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</si>
  <si>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</si>
  <si>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</si>
  <si>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</si>
  <si>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</si>
  <si>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</si>
  <si>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</si>
  <si>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</si>
  <si>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</si>
  <si>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</si>
  <si>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Arbustivo alto (1.5-4 m)</t>
  </si>
  <si>
    <t>Invasora</t>
  </si>
  <si>
    <t>Ocasional (1-5%)</t>
  </si>
  <si>
    <t>Endémica norte / Piura</t>
  </si>
  <si>
    <t>EN — En Peligro</t>
  </si>
  <si>
    <t>Fuerte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</si>
  <si>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</si>
  <si>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</si>
  <si>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</si>
  <si>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</si>
  <si>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</si>
  <si>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</si>
  <si>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</si>
  <si>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</si>
  <si>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</si>
  <si>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</si>
  <si>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</si>
  <si>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</si>
  <si>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</si>
  <si>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</si>
  <si>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</si>
  <si>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</si>
  <si>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</si>
  <si>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</si>
  <si>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</si>
  <si>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</si>
  <si>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</si>
  <si>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</si>
  <si>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</si>
  <si>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Rara (&lt;1%)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</si>
  <si>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</si>
  <si>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</si>
  <si>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</si>
  <si>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</si>
  <si>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</si>
  <si>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</si>
  <si>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</si>
  <si>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</si>
  <si>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</si>
  <si>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</si>
  <si>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</si>
  <si>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</si>
  <si>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</si>
  <si>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</si>
  <si>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</si>
  <si>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</si>
  <si>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</si>
  <si>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NT — Casi Amenazado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</si>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</sst>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sz val="10"/>
      <name val="Arial"/>
      <family val="2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1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3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4" activePane="bottomLeft" state="frozen"/>
      <selection pane="bottomLeft" activeCell="A32" sqref="A32:H32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/>
      <c r="G9" s="7"/>
      <c r="H9" s="7"/>
    </row>
    <row r="10" spans="1:8" ht="19.5" customHeight="1" x14ac:dyDescent="0.3">
      <c r="A10" s="15" t="s">
        <v>14</v>
      </c>
      <c r="B10" s="6" t="s">
        <v>15</v>
      </c>
      <c r="C10" s="6"/>
      <c r="D10" s="6"/>
      <c r="E10" s="15" t="s">
        <v>16</v>
      </c>
      <c r="F10" s="5" t="str">
        <f>IFERROR(VLOOKUP($B$10,tbl_Bloques,2,FALSE()),"")</f>
        <v>C1096-Q9564</v>
      </c>
      <c r="G10" s="5"/>
      <c r="H10" s="5"/>
    </row>
    <row r="11" spans="1:8" ht="19.5" customHeight="1" x14ac:dyDescent="0.3">
      <c r="A11" s="15" t="s">
        <v>17</v>
      </c>
      <c r="B11" s="5" t="str">
        <f>IFERROR(VLOOKUP($B$10,tbl_Bloques,3,FALSE()),"")</f>
        <v>Ayabaca</v>
      </c>
      <c r="C11" s="5"/>
      <c r="D11" s="5"/>
      <c r="E11" s="15" t="s">
        <v>18</v>
      </c>
      <c r="F11" s="5" t="str">
        <f>IFERROR(VLOOKUP($B$10,tbl_Bloques,4,FALSE()),"")</f>
        <v>Frias</v>
      </c>
      <c r="G11" s="5"/>
      <c r="H11" s="5"/>
    </row>
    <row r="12" spans="1:8" ht="19.5" customHeight="1" x14ac:dyDescent="0.3">
      <c r="A12" s="15" t="s">
        <v>19</v>
      </c>
      <c r="B12" s="5" t="str">
        <f>IFERROR(VLOOKUP($B$10,tbl_Bloques,5,FALSE()),"")</f>
        <v>Z02</v>
      </c>
      <c r="C12" s="5"/>
      <c r="D12" s="5"/>
      <c r="E12" s="15" t="s">
        <v>20</v>
      </c>
      <c r="F12" s="5">
        <f>IFERROR(VLOOKUP($B$10,tbl_Bloques,8,FALSE()),"")</f>
        <v>77.67</v>
      </c>
      <c r="G12" s="5"/>
      <c r="H12" s="5"/>
    </row>
    <row r="13" spans="1:8" ht="19.5" customHeight="1" x14ac:dyDescent="0.3">
      <c r="A13" s="15" t="s">
        <v>21</v>
      </c>
      <c r="B13" s="7">
        <v>620561</v>
      </c>
      <c r="C13" s="7"/>
      <c r="D13" s="7"/>
      <c r="E13" s="15" t="s">
        <v>22</v>
      </c>
      <c r="F13" s="7">
        <v>9451722</v>
      </c>
      <c r="G13" s="7"/>
      <c r="H13" s="7"/>
    </row>
    <row r="14" spans="1:8" ht="19.5" customHeight="1" x14ac:dyDescent="0.3">
      <c r="A14" s="15" t="s">
        <v>23</v>
      </c>
      <c r="B14" s="7" t="s">
        <v>24</v>
      </c>
      <c r="C14" s="7"/>
      <c r="D14" s="7"/>
      <c r="E14" s="15" t="s">
        <v>25</v>
      </c>
      <c r="F14" s="7" t="s">
        <v>26</v>
      </c>
      <c r="G14" s="7"/>
      <c r="H14" s="7"/>
    </row>
    <row r="15" spans="1:8" ht="19.5" customHeight="1" x14ac:dyDescent="0.3">
      <c r="A15" s="15" t="s">
        <v>27</v>
      </c>
      <c r="B15" s="7"/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28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29</v>
      </c>
      <c r="B18" s="7" t="s">
        <v>30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31</v>
      </c>
      <c r="B19" s="7" t="s">
        <v>32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33</v>
      </c>
      <c r="B20" s="7" t="s">
        <v>34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35</v>
      </c>
      <c r="B21" s="7" t="s">
        <v>36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37</v>
      </c>
      <c r="B22" s="7" t="s">
        <v>38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39</v>
      </c>
      <c r="B23" s="7" t="s">
        <v>40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41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42</v>
      </c>
      <c r="B26" s="7"/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43</v>
      </c>
      <c r="B27" s="7" t="s">
        <v>44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45</v>
      </c>
      <c r="B28" s="7"/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46</v>
      </c>
      <c r="B29" s="7"/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47</v>
      </c>
      <c r="B30" s="7"/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48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1"/>
      <c r="B33" s="1"/>
      <c r="C33" s="1"/>
      <c r="D33" s="1"/>
      <c r="E33" s="1"/>
      <c r="F33" s="1"/>
      <c r="G33" s="1"/>
      <c r="H33" s="1"/>
    </row>
    <row r="34" spans="1:8" ht="27.75" customHeight="1" x14ac:dyDescent="0.3">
      <c r="A34" s="1"/>
      <c r="B34" s="1"/>
      <c r="C34" s="1"/>
      <c r="D34" s="1"/>
      <c r="E34" s="1"/>
      <c r="F34" s="1"/>
      <c r="G34" s="1"/>
      <c r="H34" s="1"/>
    </row>
    <row r="35" spans="1:8" ht="27.75" customHeight="1" x14ac:dyDescent="0.3">
      <c r="A35" s="1"/>
      <c r="B35" s="1"/>
      <c r="C35" s="1"/>
      <c r="D35" s="1"/>
      <c r="E35" s="1"/>
      <c r="F35" s="1"/>
      <c r="G35" s="1"/>
      <c r="H35" s="1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30" activePane="bottomLeft" state="frozen"/>
      <selection pane="bottomLeft" activeCell="A42" sqref="A42:L4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49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52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14</v>
      </c>
      <c r="B9" s="8"/>
      <c r="C9" s="8"/>
      <c r="D9" s="6" t="s">
        <v>15</v>
      </c>
      <c r="E9" s="6"/>
      <c r="F9" s="6"/>
      <c r="G9" s="8" t="s">
        <v>53</v>
      </c>
      <c r="H9" s="8"/>
      <c r="I9" s="8"/>
      <c r="J9" s="5" t="str">
        <f>IFERROR(VLOOKUP($D$9,tbl_Bloques,2,FALSE()),"")</f>
        <v>C1096-Q9564</v>
      </c>
      <c r="K9" s="5"/>
      <c r="L9" s="5"/>
    </row>
    <row r="10" spans="1:12" ht="19.5" customHeight="1" x14ac:dyDescent="0.3">
      <c r="A10" s="8" t="s">
        <v>18</v>
      </c>
      <c r="B10" s="8"/>
      <c r="C10" s="8"/>
      <c r="D10" s="5" t="str">
        <f>IFERROR(VLOOKUP($D$9,tbl_Bloques,4,FALSE()),"")</f>
        <v>Frias</v>
      </c>
      <c r="E10" s="5"/>
      <c r="F10" s="5"/>
      <c r="G10" s="8" t="s">
        <v>54</v>
      </c>
      <c r="H10" s="8"/>
      <c r="I10" s="8"/>
      <c r="J10" s="7" t="s">
        <v>24</v>
      </c>
      <c r="K10" s="7"/>
      <c r="L10" s="7"/>
    </row>
    <row r="11" spans="1:12" ht="19.5" customHeight="1" x14ac:dyDescent="0.3">
      <c r="A11" s="8" t="s">
        <v>55</v>
      </c>
      <c r="B11" s="8"/>
      <c r="C11" s="8"/>
      <c r="D11" s="7">
        <v>620598</v>
      </c>
      <c r="E11" s="7"/>
      <c r="F11" s="7"/>
      <c r="G11" s="8" t="s">
        <v>56</v>
      </c>
      <c r="H11" s="8"/>
      <c r="I11" s="8"/>
      <c r="J11" s="7">
        <v>9451513</v>
      </c>
      <c r="K11" s="7"/>
      <c r="L11" s="7"/>
    </row>
    <row r="13" spans="1:12" ht="21.75" customHeight="1" x14ac:dyDescent="0.3">
      <c r="A13" s="9" t="s">
        <v>57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58</v>
      </c>
      <c r="B14" s="8"/>
      <c r="C14" s="8"/>
      <c r="D14" s="7"/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59</v>
      </c>
      <c r="B15" s="8"/>
      <c r="C15" s="8"/>
      <c r="D15" s="7"/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61</v>
      </c>
      <c r="B17" s="8"/>
      <c r="C17" s="8"/>
      <c r="D17" s="7" t="s">
        <v>62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3" t="s">
        <v>64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31.5" customHeight="1" x14ac:dyDescent="0.3">
      <c r="A21" s="16" t="s">
        <v>65</v>
      </c>
      <c r="B21" s="16" t="s">
        <v>66</v>
      </c>
      <c r="C21" s="16" t="s">
        <v>67</v>
      </c>
      <c r="D21" s="16" t="s">
        <v>68</v>
      </c>
      <c r="E21" s="16" t="s">
        <v>69</v>
      </c>
      <c r="F21" s="16" t="s">
        <v>70</v>
      </c>
      <c r="G21" s="16" t="s">
        <v>71</v>
      </c>
      <c r="H21" s="16" t="s">
        <v>72</v>
      </c>
      <c r="I21" s="16" t="s">
        <v>73</v>
      </c>
      <c r="J21" s="16" t="s">
        <v>74</v>
      </c>
      <c r="K21" s="16" t="s">
        <v>75</v>
      </c>
      <c r="L21" s="16" t="s">
        <v>76</v>
      </c>
    </row>
    <row r="22" spans="1:12" ht="19.5" customHeight="1" x14ac:dyDescent="0.3">
      <c r="A22" s="17" t="s">
        <v>77</v>
      </c>
      <c r="B22" s="17"/>
      <c r="C22" s="17">
        <v>620598</v>
      </c>
      <c r="D22" s="17">
        <v>9451513</v>
      </c>
      <c r="E22" s="17"/>
      <c r="F22" s="17"/>
      <c r="G22" s="17"/>
      <c r="H22" s="17"/>
      <c r="I22" s="17"/>
      <c r="J22" s="17" t="s">
        <v>78</v>
      </c>
      <c r="K22" s="18" t="s">
        <v>79</v>
      </c>
      <c r="L22" s="17" t="s">
        <v>80</v>
      </c>
    </row>
    <row r="23" spans="1:12" ht="19.5" customHeight="1" x14ac:dyDescent="0.3">
      <c r="A23" s="17" t="s">
        <v>81</v>
      </c>
      <c r="B23" s="17" t="s">
        <v>82</v>
      </c>
      <c r="C23" s="17">
        <v>620593</v>
      </c>
      <c r="D23" s="17">
        <v>9451503</v>
      </c>
      <c r="E23" s="17"/>
      <c r="F23" s="17"/>
      <c r="G23" s="17"/>
      <c r="H23" s="17"/>
      <c r="I23" s="17"/>
      <c r="J23" s="17" t="s">
        <v>78</v>
      </c>
      <c r="K23" s="18" t="s">
        <v>79</v>
      </c>
      <c r="L23" s="17" t="s">
        <v>83</v>
      </c>
    </row>
    <row r="24" spans="1:12" ht="19.5" customHeight="1" x14ac:dyDescent="0.3">
      <c r="A24" s="17" t="s">
        <v>84</v>
      </c>
      <c r="B24" s="17"/>
      <c r="C24" s="17">
        <v>620600</v>
      </c>
      <c r="D24" s="17">
        <v>9451512</v>
      </c>
      <c r="E24" s="17"/>
      <c r="F24" s="17"/>
      <c r="G24" s="17"/>
      <c r="H24" s="17"/>
      <c r="I24" s="17"/>
      <c r="J24" s="17" t="s">
        <v>78</v>
      </c>
      <c r="K24" s="18" t="s">
        <v>85</v>
      </c>
      <c r="L24" s="17" t="s">
        <v>86</v>
      </c>
    </row>
    <row r="25" spans="1:12" ht="19.5" customHeight="1" x14ac:dyDescent="0.3">
      <c r="A25" s="17" t="s">
        <v>87</v>
      </c>
      <c r="B25" s="17" t="s">
        <v>82</v>
      </c>
      <c r="C25" s="17">
        <v>620588</v>
      </c>
      <c r="D25" s="17">
        <v>9451502</v>
      </c>
      <c r="E25" s="17"/>
      <c r="F25" s="17"/>
      <c r="G25" s="17"/>
      <c r="H25" s="17"/>
      <c r="I25" s="17"/>
      <c r="J25" s="17" t="s">
        <v>78</v>
      </c>
      <c r="K25" s="18" t="s">
        <v>79</v>
      </c>
      <c r="L25" s="17" t="s">
        <v>88</v>
      </c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89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90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91</v>
      </c>
      <c r="B35" s="8"/>
      <c r="C35" s="8"/>
      <c r="D35" s="7">
        <v>4</v>
      </c>
      <c r="E35" s="7"/>
      <c r="F35" s="7"/>
      <c r="G35" s="8" t="s">
        <v>92</v>
      </c>
      <c r="H35" s="8"/>
      <c r="I35" s="8"/>
      <c r="J35" s="7" t="s">
        <v>24</v>
      </c>
      <c r="K35" s="7"/>
      <c r="L35" s="7"/>
    </row>
    <row r="36" spans="1:12" ht="19.5" customHeight="1" x14ac:dyDescent="0.3">
      <c r="A36" s="8" t="s">
        <v>93</v>
      </c>
      <c r="B36" s="8"/>
      <c r="C36" s="8"/>
      <c r="D36" s="7" t="s">
        <v>24</v>
      </c>
      <c r="E36" s="7"/>
      <c r="F36" s="7"/>
      <c r="G36" s="8" t="s">
        <v>94</v>
      </c>
      <c r="H36" s="8"/>
      <c r="I36" s="8"/>
      <c r="J36" s="7" t="s">
        <v>24</v>
      </c>
      <c r="K36" s="7"/>
      <c r="L36" s="7"/>
    </row>
    <row r="37" spans="1:12" ht="19.5" customHeight="1" x14ac:dyDescent="0.3">
      <c r="A37" s="8" t="s">
        <v>95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96</v>
      </c>
      <c r="B38" s="8"/>
      <c r="C38" s="8"/>
      <c r="D38" s="7"/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97</v>
      </c>
      <c r="B39" s="8"/>
      <c r="C39" s="8"/>
      <c r="D39" s="7"/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98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1" t="s">
        <v>99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7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7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7" activePane="bottomLeft" state="frozen"/>
      <selection pane="bottomLeft" activeCell="A65" sqref="A65:I67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100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101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102</v>
      </c>
      <c r="B8" s="8"/>
      <c r="C8" s="7" t="s">
        <v>8</v>
      </c>
      <c r="D8" s="7"/>
      <c r="E8" s="8" t="s">
        <v>52</v>
      </c>
      <c r="F8" s="8"/>
      <c r="G8" s="7" t="s">
        <v>12</v>
      </c>
      <c r="H8" s="7"/>
      <c r="I8" s="7"/>
    </row>
    <row r="9" spans="1:9" ht="19.5" customHeight="1" x14ac:dyDescent="0.3">
      <c r="A9" s="8" t="s">
        <v>14</v>
      </c>
      <c r="B9" s="8"/>
      <c r="C9" s="6" t="s">
        <v>15</v>
      </c>
      <c r="D9" s="6"/>
      <c r="E9" s="8" t="s">
        <v>103</v>
      </c>
      <c r="F9" s="8"/>
      <c r="G9" s="5" t="str">
        <f>IFERROR(VLOOKUP($C$9,tbl_Bloques,2,FALSE()),"")</f>
        <v>C1096-Q9564</v>
      </c>
      <c r="H9" s="5"/>
      <c r="I9" s="5"/>
    </row>
    <row r="10" spans="1:9" ht="19.5" customHeight="1" x14ac:dyDescent="0.3">
      <c r="A10" s="8" t="s">
        <v>18</v>
      </c>
      <c r="B10" s="8"/>
      <c r="C10" s="5" t="str">
        <f>IFERROR(VLOOKUP($C$9,tbl_Bloques,4,FALSE()),"")</f>
        <v>Frias</v>
      </c>
      <c r="D10" s="5"/>
      <c r="E10" s="8" t="s">
        <v>104</v>
      </c>
      <c r="F10" s="8"/>
      <c r="G10" s="7" t="s">
        <v>105</v>
      </c>
      <c r="H10" s="7"/>
      <c r="I10" s="7"/>
    </row>
    <row r="11" spans="1:9" ht="19.5" customHeight="1" x14ac:dyDescent="0.3">
      <c r="A11" s="8" t="s">
        <v>106</v>
      </c>
      <c r="B11" s="8"/>
      <c r="C11" s="7"/>
      <c r="D11" s="7"/>
      <c r="E11" s="8" t="s">
        <v>54</v>
      </c>
      <c r="F11" s="8"/>
      <c r="G11" s="7"/>
      <c r="H11" s="7"/>
      <c r="I11" s="7"/>
    </row>
    <row r="12" spans="1:9" ht="19.5" customHeight="1" x14ac:dyDescent="0.3">
      <c r="A12" s="8" t="s">
        <v>107</v>
      </c>
      <c r="B12" s="8"/>
      <c r="C12" s="7"/>
      <c r="D12" s="7"/>
      <c r="E12" s="8" t="s">
        <v>108</v>
      </c>
      <c r="F12" s="8"/>
      <c r="G12" s="7" t="s">
        <v>24</v>
      </c>
      <c r="H12" s="7"/>
      <c r="I12" s="7"/>
    </row>
    <row r="13" spans="1:9" ht="19.5" customHeight="1" x14ac:dyDescent="0.3">
      <c r="A13" s="8" t="s">
        <v>109</v>
      </c>
      <c r="B13" s="8"/>
      <c r="C13" s="7"/>
      <c r="D13" s="7"/>
      <c r="E13" s="8" t="s">
        <v>110</v>
      </c>
      <c r="F13" s="8"/>
      <c r="G13" s="7"/>
      <c r="H13" s="7"/>
      <c r="I13" s="7"/>
    </row>
    <row r="15" spans="1:9" ht="21.75" customHeight="1" x14ac:dyDescent="0.3">
      <c r="A15" s="9" t="s">
        <v>111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112</v>
      </c>
      <c r="B16" s="8"/>
      <c r="C16" s="7" t="s">
        <v>113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114</v>
      </c>
      <c r="B17" s="8"/>
      <c r="C17" s="7">
        <v>41.85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115</v>
      </c>
      <c r="B18" s="8"/>
      <c r="C18" s="7" t="s">
        <v>116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117</v>
      </c>
      <c r="B19" s="8"/>
      <c r="C19" s="7" t="s">
        <v>118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119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120</v>
      </c>
      <c r="B22" s="8"/>
      <c r="C22" s="7"/>
      <c r="D22" s="7"/>
      <c r="E22" s="8" t="s">
        <v>121</v>
      </c>
      <c r="F22" s="8"/>
      <c r="G22" s="7"/>
      <c r="H22" s="7"/>
      <c r="I22" s="7"/>
    </row>
    <row r="23" spans="1:9" ht="19.5" customHeight="1" x14ac:dyDescent="0.3">
      <c r="A23" s="8" t="s">
        <v>122</v>
      </c>
      <c r="B23" s="8"/>
      <c r="C23" s="7"/>
      <c r="D23" s="7"/>
      <c r="E23" s="8" t="s">
        <v>123</v>
      </c>
      <c r="F23" s="8"/>
      <c r="G23" s="7"/>
      <c r="H23" s="7"/>
      <c r="I23" s="7"/>
    </row>
    <row r="24" spans="1:9" ht="19.5" customHeight="1" x14ac:dyDescent="0.3">
      <c r="A24" s="8" t="s">
        <v>124</v>
      </c>
      <c r="B24" s="8"/>
      <c r="C24" s="7"/>
      <c r="D24" s="7"/>
      <c r="E24" s="8" t="s">
        <v>125</v>
      </c>
      <c r="F24" s="8"/>
      <c r="G24" s="7"/>
      <c r="H24" s="7"/>
      <c r="I24" s="7"/>
    </row>
    <row r="25" spans="1:9" ht="19.5" customHeight="1" x14ac:dyDescent="0.3">
      <c r="A25" s="8" t="s">
        <v>126</v>
      </c>
      <c r="B25" s="8"/>
      <c r="C25" s="7"/>
      <c r="D25" s="7"/>
      <c r="E25" s="8" t="s">
        <v>127</v>
      </c>
      <c r="F25" s="8"/>
      <c r="G25" s="7"/>
      <c r="H25" s="7"/>
      <c r="I25" s="7"/>
    </row>
    <row r="26" spans="1:9" ht="19.5" customHeight="1" x14ac:dyDescent="0.3">
      <c r="A26" s="8" t="s">
        <v>128</v>
      </c>
      <c r="B26" s="8"/>
      <c r="C26" s="7"/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129</v>
      </c>
      <c r="B27" s="8"/>
      <c r="C27" s="7" t="s">
        <v>130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131</v>
      </c>
      <c r="B28" s="8"/>
      <c r="C28" s="7" t="s">
        <v>44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132</v>
      </c>
      <c r="B29" s="8"/>
      <c r="C29" s="7"/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133</v>
      </c>
      <c r="B30" s="8"/>
      <c r="C30" s="7" t="s">
        <v>134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135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3" t="s">
        <v>136</v>
      </c>
      <c r="B33" s="3"/>
      <c r="C33" s="3"/>
      <c r="D33" s="3"/>
      <c r="E33" s="3"/>
      <c r="F33" s="3"/>
      <c r="G33" s="3"/>
      <c r="H33" s="3"/>
      <c r="I33" s="3"/>
    </row>
    <row r="34" spans="1:9" ht="31.5" customHeight="1" x14ac:dyDescent="0.3">
      <c r="A34" s="16" t="s">
        <v>137</v>
      </c>
      <c r="B34" s="16" t="s">
        <v>138</v>
      </c>
      <c r="C34" s="16" t="s">
        <v>139</v>
      </c>
      <c r="D34" s="16" t="s">
        <v>140</v>
      </c>
      <c r="E34" s="16" t="s">
        <v>141</v>
      </c>
      <c r="F34" s="16" t="s">
        <v>142</v>
      </c>
      <c r="G34" s="16" t="s">
        <v>143</v>
      </c>
      <c r="H34" s="16" t="s">
        <v>144</v>
      </c>
      <c r="I34" s="16" t="s">
        <v>145</v>
      </c>
    </row>
    <row r="35" spans="1:9" ht="18" customHeight="1" x14ac:dyDescent="0.3">
      <c r="A35" s="19">
        <v>1</v>
      </c>
      <c r="B35" s="18"/>
      <c r="C35" s="18"/>
      <c r="D35" s="18"/>
      <c r="E35" s="17"/>
      <c r="F35" s="17"/>
      <c r="G35" s="17"/>
      <c r="H35" s="17"/>
      <c r="I35" s="17"/>
    </row>
    <row r="36" spans="1:9" ht="18" customHeight="1" x14ac:dyDescent="0.3">
      <c r="A36" s="19">
        <v>2</v>
      </c>
      <c r="B36" s="18"/>
      <c r="C36" s="18"/>
      <c r="D36" s="18"/>
      <c r="E36" s="17"/>
      <c r="F36" s="17"/>
      <c r="G36" s="17"/>
      <c r="H36" s="17"/>
      <c r="I36" s="17"/>
    </row>
    <row r="37" spans="1:9" ht="18" customHeight="1" x14ac:dyDescent="0.3">
      <c r="A37" s="19">
        <v>3</v>
      </c>
      <c r="B37" s="18"/>
      <c r="C37" s="18"/>
      <c r="D37" s="18"/>
      <c r="E37" s="17"/>
      <c r="F37" s="17"/>
      <c r="G37" s="17"/>
      <c r="H37" s="17"/>
      <c r="I37" s="17"/>
    </row>
    <row r="38" spans="1:9" ht="18" customHeight="1" x14ac:dyDescent="0.3">
      <c r="A38" s="19">
        <v>4</v>
      </c>
      <c r="B38" s="18"/>
      <c r="C38" s="18"/>
      <c r="D38" s="18"/>
      <c r="E38" s="17"/>
      <c r="F38" s="17"/>
      <c r="G38" s="17"/>
      <c r="H38" s="17"/>
      <c r="I38" s="17"/>
    </row>
    <row r="39" spans="1:9" ht="18" customHeight="1" x14ac:dyDescent="0.3">
      <c r="A39" s="19">
        <v>5</v>
      </c>
      <c r="B39" s="18"/>
      <c r="C39" s="18"/>
      <c r="D39" s="18"/>
      <c r="E39" s="17"/>
      <c r="F39" s="17"/>
      <c r="G39" s="17"/>
      <c r="H39" s="17"/>
      <c r="I39" s="17"/>
    </row>
    <row r="40" spans="1:9" ht="18" customHeight="1" x14ac:dyDescent="0.3">
      <c r="A40" s="19">
        <v>6</v>
      </c>
      <c r="B40" s="18"/>
      <c r="C40" s="18"/>
      <c r="D40" s="18"/>
      <c r="E40" s="17"/>
      <c r="F40" s="17"/>
      <c r="G40" s="17"/>
      <c r="H40" s="17"/>
      <c r="I40" s="17"/>
    </row>
    <row r="41" spans="1:9" ht="18" customHeight="1" x14ac:dyDescent="0.3">
      <c r="A41" s="19">
        <v>7</v>
      </c>
      <c r="B41" s="18"/>
      <c r="C41" s="18"/>
      <c r="D41" s="18"/>
      <c r="E41" s="17"/>
      <c r="F41" s="17"/>
      <c r="G41" s="17"/>
      <c r="H41" s="17"/>
      <c r="I41" s="17"/>
    </row>
    <row r="42" spans="1:9" ht="18" customHeight="1" x14ac:dyDescent="0.3">
      <c r="A42" s="19">
        <v>8</v>
      </c>
      <c r="B42" s="18"/>
      <c r="C42" s="18"/>
      <c r="D42" s="18"/>
      <c r="E42" s="17"/>
      <c r="F42" s="17"/>
      <c r="G42" s="17"/>
      <c r="H42" s="17"/>
      <c r="I42" s="17"/>
    </row>
    <row r="43" spans="1:9" ht="18" customHeight="1" x14ac:dyDescent="0.3">
      <c r="A43" s="19">
        <v>9</v>
      </c>
      <c r="B43" s="18"/>
      <c r="C43" s="18"/>
      <c r="D43" s="18"/>
      <c r="E43" s="17"/>
      <c r="F43" s="17"/>
      <c r="G43" s="17"/>
      <c r="H43" s="17"/>
      <c r="I43" s="17"/>
    </row>
    <row r="44" spans="1:9" ht="18" customHeight="1" x14ac:dyDescent="0.3">
      <c r="A44" s="19">
        <v>10</v>
      </c>
      <c r="B44" s="18"/>
      <c r="C44" s="18"/>
      <c r="D44" s="18"/>
      <c r="E44" s="17"/>
      <c r="F44" s="17"/>
      <c r="G44" s="17"/>
      <c r="H44" s="17"/>
      <c r="I44" s="17"/>
    </row>
    <row r="45" spans="1:9" ht="18" customHeight="1" x14ac:dyDescent="0.3">
      <c r="A45" s="19">
        <v>11</v>
      </c>
      <c r="B45" s="18"/>
      <c r="C45" s="18"/>
      <c r="D45" s="18"/>
      <c r="E45" s="17"/>
      <c r="F45" s="17"/>
      <c r="G45" s="17"/>
      <c r="H45" s="17"/>
      <c r="I45" s="17"/>
    </row>
    <row r="46" spans="1:9" ht="18" customHeight="1" x14ac:dyDescent="0.3">
      <c r="A46" s="19">
        <v>12</v>
      </c>
      <c r="B46" s="18"/>
      <c r="C46" s="18"/>
      <c r="D46" s="18"/>
      <c r="E46" s="17"/>
      <c r="F46" s="17"/>
      <c r="G46" s="17"/>
      <c r="H46" s="17"/>
      <c r="I46" s="17"/>
    </row>
    <row r="47" spans="1:9" ht="18" customHeight="1" x14ac:dyDescent="0.3">
      <c r="A47" s="19">
        <v>13</v>
      </c>
      <c r="B47" s="18"/>
      <c r="C47" s="18"/>
      <c r="D47" s="18"/>
      <c r="E47" s="17"/>
      <c r="F47" s="17"/>
      <c r="G47" s="17"/>
      <c r="H47" s="17"/>
      <c r="I47" s="17"/>
    </row>
    <row r="48" spans="1:9" ht="18" customHeight="1" x14ac:dyDescent="0.3">
      <c r="A48" s="19">
        <v>14</v>
      </c>
      <c r="B48" s="18"/>
      <c r="C48" s="18"/>
      <c r="D48" s="18"/>
      <c r="E48" s="17"/>
      <c r="F48" s="17"/>
      <c r="G48" s="17"/>
      <c r="H48" s="17"/>
      <c r="I48" s="17"/>
    </row>
    <row r="49" spans="1:9" ht="18" customHeight="1" x14ac:dyDescent="0.3">
      <c r="A49" s="19">
        <v>15</v>
      </c>
      <c r="B49" s="18"/>
      <c r="C49" s="18"/>
      <c r="D49" s="18"/>
      <c r="E49" s="17"/>
      <c r="F49" s="17"/>
      <c r="G49" s="17"/>
      <c r="H49" s="17"/>
      <c r="I49" s="17"/>
    </row>
    <row r="51" spans="1:9" ht="21.75" customHeight="1" x14ac:dyDescent="0.3">
      <c r="A51" s="9" t="s">
        <v>146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137</v>
      </c>
      <c r="B52" s="16" t="s">
        <v>147</v>
      </c>
      <c r="C52" s="16" t="s">
        <v>148</v>
      </c>
      <c r="D52" s="16" t="s">
        <v>149</v>
      </c>
      <c r="E52" s="16" t="s">
        <v>150</v>
      </c>
      <c r="F52" s="16" t="s">
        <v>151</v>
      </c>
      <c r="G52" s="16" t="s">
        <v>152</v>
      </c>
      <c r="H52" s="16" t="s">
        <v>153</v>
      </c>
      <c r="I52" s="16" t="s">
        <v>154</v>
      </c>
    </row>
    <row r="53" spans="1:9" ht="18" customHeight="1" x14ac:dyDescent="0.3">
      <c r="A53" s="19">
        <v>1</v>
      </c>
      <c r="B53" s="18" t="s">
        <v>155</v>
      </c>
      <c r="C53" s="18" t="s">
        <v>156</v>
      </c>
      <c r="D53" s="18"/>
      <c r="E53" s="17"/>
      <c r="F53" s="17"/>
      <c r="G53" s="17"/>
      <c r="H53" s="17"/>
      <c r="I53" s="18" t="s">
        <v>157</v>
      </c>
    </row>
    <row r="54" spans="1:9" ht="18" customHeight="1" x14ac:dyDescent="0.3">
      <c r="A54" s="19">
        <v>2</v>
      </c>
      <c r="B54" s="18" t="s">
        <v>158</v>
      </c>
      <c r="C54" s="18" t="s">
        <v>159</v>
      </c>
      <c r="D54" s="18" t="s">
        <v>160</v>
      </c>
      <c r="E54" s="17"/>
      <c r="F54" s="17"/>
      <c r="G54" s="17"/>
      <c r="H54" s="17"/>
      <c r="I54" s="18" t="s">
        <v>161</v>
      </c>
    </row>
    <row r="55" spans="1:9" ht="18" customHeight="1" x14ac:dyDescent="0.3">
      <c r="A55" s="19">
        <v>3</v>
      </c>
      <c r="B55" s="18" t="s">
        <v>162</v>
      </c>
      <c r="C55" s="18" t="s">
        <v>163</v>
      </c>
      <c r="D55" s="18"/>
      <c r="E55" s="17"/>
      <c r="F55" s="17"/>
      <c r="G55" s="17"/>
      <c r="H55" s="17"/>
      <c r="I55" s="18" t="s">
        <v>164</v>
      </c>
    </row>
    <row r="56" spans="1:9" ht="18" customHeight="1" x14ac:dyDescent="0.3">
      <c r="A56" s="19">
        <v>4</v>
      </c>
      <c r="B56" s="18" t="s">
        <v>165</v>
      </c>
      <c r="C56" s="18" t="s">
        <v>163</v>
      </c>
      <c r="D56" s="18"/>
      <c r="E56" s="17"/>
      <c r="F56" s="17"/>
      <c r="G56" s="17"/>
      <c r="H56" s="17"/>
      <c r="I56" s="18" t="s">
        <v>166</v>
      </c>
    </row>
    <row r="57" spans="1:9" ht="18" customHeight="1" x14ac:dyDescent="0.3">
      <c r="A57" s="19">
        <v>5</v>
      </c>
      <c r="B57" s="18" t="s">
        <v>167</v>
      </c>
      <c r="C57" s="18" t="s">
        <v>163</v>
      </c>
      <c r="D57" s="18"/>
      <c r="E57" s="17"/>
      <c r="F57" s="17"/>
      <c r="G57" s="17"/>
      <c r="H57" s="17" t="s">
        <v>168</v>
      </c>
      <c r="I57" s="18" t="s">
        <v>169</v>
      </c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98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1" t="s">
        <v>170</v>
      </c>
      <c r="B65" s="1"/>
      <c r="C65" s="1"/>
      <c r="D65" s="1"/>
      <c r="E65" s="1"/>
      <c r="F65" s="1"/>
      <c r="G65" s="1"/>
      <c r="H65" s="1"/>
      <c r="I65" s="1"/>
    </row>
    <row r="66" spans="1:9" ht="27.75" customHeight="1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ht="27.75" customHeight="1" x14ac:dyDescent="0.3">
      <c r="A67" s="1"/>
      <c r="B67" s="1"/>
      <c r="C67" s="1"/>
      <c r="D67" s="1"/>
      <c r="E67" s="1"/>
      <c r="F67" s="1"/>
      <c r="G67" s="1"/>
      <c r="H67" s="1"/>
      <c r="I67" s="1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2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171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172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51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102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52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14</v>
      </c>
      <c r="B10" s="8"/>
      <c r="C10" s="6" t="s">
        <v>15</v>
      </c>
      <c r="D10" s="6"/>
      <c r="E10" s="6"/>
      <c r="F10" s="6"/>
      <c r="G10" s="6"/>
    </row>
    <row r="11" spans="1:7" ht="19.5" customHeight="1" x14ac:dyDescent="0.3">
      <c r="A11" s="8" t="s">
        <v>103</v>
      </c>
      <c r="B11" s="8"/>
      <c r="C11" s="5" t="str">
        <f>IFERROR(VLOOKUP($C$10,tbl_Bloques,2,FALSE()),"")</f>
        <v>C1096-Q9564</v>
      </c>
      <c r="D11" s="5"/>
      <c r="E11" s="5"/>
      <c r="F11" s="5"/>
      <c r="G11" s="5"/>
    </row>
    <row r="12" spans="1:7" ht="21.75" customHeight="1" x14ac:dyDescent="0.3">
      <c r="A12" s="20" t="s">
        <v>173</v>
      </c>
      <c r="B12" s="21"/>
      <c r="C12" s="4"/>
      <c r="D12" s="4"/>
      <c r="E12" s="4"/>
      <c r="F12" s="4"/>
      <c r="G12" s="4"/>
    </row>
    <row r="13" spans="1:7" ht="27.75" customHeight="1" x14ac:dyDescent="0.3">
      <c r="A13" s="3" t="s">
        <v>174</v>
      </c>
      <c r="B13" s="3"/>
      <c r="C13" s="2"/>
      <c r="D13" s="2"/>
      <c r="E13" s="2"/>
      <c r="F13" s="2"/>
      <c r="G13" s="2"/>
    </row>
    <row r="14" spans="1:7" ht="31.5" customHeight="1" x14ac:dyDescent="0.3">
      <c r="A14" s="16" t="s">
        <v>137</v>
      </c>
      <c r="B14" s="16" t="s">
        <v>175</v>
      </c>
      <c r="C14" s="16" t="s">
        <v>176</v>
      </c>
      <c r="D14" s="16" t="s">
        <v>177</v>
      </c>
      <c r="E14" s="16" t="s">
        <v>178</v>
      </c>
      <c r="F14" s="16" t="s">
        <v>179</v>
      </c>
      <c r="G14" s="16" t="s">
        <v>180</v>
      </c>
    </row>
    <row r="15" spans="1:7" ht="18" customHeight="1" x14ac:dyDescent="0.3">
      <c r="A15" s="19">
        <v>1</v>
      </c>
      <c r="B15" s="22" t="s">
        <v>181</v>
      </c>
      <c r="C15" s="17" t="s">
        <v>44</v>
      </c>
      <c r="D15" s="17"/>
      <c r="E15" s="17"/>
      <c r="F15" s="17"/>
      <c r="G15" s="18" t="s">
        <v>182</v>
      </c>
    </row>
    <row r="16" spans="1:7" ht="18" customHeight="1" x14ac:dyDescent="0.3">
      <c r="A16" s="19">
        <v>2</v>
      </c>
      <c r="B16" s="22" t="s">
        <v>183</v>
      </c>
      <c r="C16" s="17"/>
      <c r="D16" s="17"/>
      <c r="E16" s="17"/>
      <c r="F16" s="17"/>
      <c r="G16" s="18"/>
    </row>
    <row r="17" spans="1:7" ht="18" customHeight="1" x14ac:dyDescent="0.3">
      <c r="A17" s="19">
        <v>3</v>
      </c>
      <c r="B17" s="22" t="s">
        <v>184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185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186</v>
      </c>
      <c r="C19" s="17"/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187</v>
      </c>
      <c r="C20" s="17"/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188</v>
      </c>
      <c r="C21" s="17" t="s">
        <v>44</v>
      </c>
      <c r="D21" s="17" t="s">
        <v>189</v>
      </c>
      <c r="E21" s="17">
        <v>46</v>
      </c>
      <c r="F21" s="17"/>
      <c r="G21" s="18" t="s">
        <v>190</v>
      </c>
    </row>
    <row r="22" spans="1:7" ht="18" customHeight="1" x14ac:dyDescent="0.3">
      <c r="A22" s="19">
        <v>8</v>
      </c>
      <c r="B22" s="22" t="s">
        <v>191</v>
      </c>
      <c r="C22" s="17"/>
      <c r="D22" s="17"/>
      <c r="E22" s="17"/>
      <c r="F22" s="17"/>
      <c r="G22" s="18"/>
    </row>
    <row r="23" spans="1:7" ht="18" customHeight="1" x14ac:dyDescent="0.3">
      <c r="A23" s="19">
        <v>9</v>
      </c>
      <c r="B23" s="22" t="s">
        <v>192</v>
      </c>
      <c r="C23" s="17" t="s">
        <v>44</v>
      </c>
      <c r="D23" s="17" t="s">
        <v>189</v>
      </c>
      <c r="E23" s="17"/>
      <c r="F23" s="17"/>
      <c r="G23" s="18" t="s">
        <v>193</v>
      </c>
    </row>
    <row r="24" spans="1:7" ht="18" customHeight="1" x14ac:dyDescent="0.3">
      <c r="A24" s="19">
        <v>10</v>
      </c>
      <c r="B24" s="22" t="s">
        <v>194</v>
      </c>
      <c r="C24" s="17"/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195</v>
      </c>
      <c r="C25" s="17"/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196</v>
      </c>
      <c r="C26" s="17"/>
      <c r="D26" s="17"/>
      <c r="E26" s="17"/>
      <c r="F26" s="17"/>
      <c r="G26" s="18"/>
    </row>
    <row r="27" spans="1:7" ht="18" customHeight="1" x14ac:dyDescent="0.3">
      <c r="A27" s="19">
        <v>13</v>
      </c>
      <c r="B27" s="22" t="s">
        <v>197</v>
      </c>
      <c r="C27" s="17" t="s">
        <v>44</v>
      </c>
      <c r="D27" s="17" t="s">
        <v>189</v>
      </c>
      <c r="E27" s="17"/>
      <c r="F27" s="17"/>
      <c r="G27" s="18" t="s">
        <v>198</v>
      </c>
    </row>
    <row r="28" spans="1:7" ht="18" customHeight="1" x14ac:dyDescent="0.3">
      <c r="A28" s="19">
        <v>14</v>
      </c>
      <c r="B28" s="22" t="s">
        <v>199</v>
      </c>
      <c r="C28" s="17"/>
      <c r="D28" s="17"/>
      <c r="E28" s="17"/>
      <c r="F28" s="17"/>
      <c r="G28" s="18"/>
    </row>
    <row r="29" spans="1:7" ht="18" customHeight="1" x14ac:dyDescent="0.3">
      <c r="A29" s="19">
        <v>15</v>
      </c>
      <c r="B29" s="22" t="s">
        <v>200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85</v>
      </c>
      <c r="C30" s="17"/>
      <c r="D30" s="17"/>
      <c r="E30" s="17"/>
      <c r="F30" s="17"/>
      <c r="G30" s="18"/>
    </row>
    <row r="32" spans="1:7" ht="21.75" customHeight="1" x14ac:dyDescent="0.3">
      <c r="A32" s="9" t="s">
        <v>201</v>
      </c>
      <c r="B32" s="9"/>
      <c r="C32" s="9"/>
      <c r="D32" s="9"/>
      <c r="E32" s="9"/>
      <c r="F32" s="9"/>
      <c r="G32" s="9"/>
    </row>
    <row r="33" spans="1:7" ht="25.5" customHeight="1" x14ac:dyDescent="0.3">
      <c r="A33" s="3" t="s">
        <v>202</v>
      </c>
      <c r="B33" s="3"/>
      <c r="C33" s="3"/>
      <c r="D33" s="3"/>
      <c r="E33" s="3"/>
      <c r="F33" s="3"/>
      <c r="G33" s="3"/>
    </row>
    <row r="34" spans="1:7" ht="27.75" customHeight="1" x14ac:dyDescent="0.3">
      <c r="A34" s="16" t="s">
        <v>137</v>
      </c>
      <c r="B34" s="16" t="s">
        <v>203</v>
      </c>
      <c r="C34" s="16" t="s">
        <v>204</v>
      </c>
      <c r="D34" s="16" t="s">
        <v>205</v>
      </c>
      <c r="E34" s="16" t="s">
        <v>206</v>
      </c>
      <c r="F34" s="16" t="s">
        <v>207</v>
      </c>
      <c r="G34" s="16" t="s">
        <v>208</v>
      </c>
    </row>
    <row r="35" spans="1:7" ht="21.75" customHeight="1" x14ac:dyDescent="0.3">
      <c r="A35" s="19">
        <v>1</v>
      </c>
      <c r="B35" s="22" t="s">
        <v>209</v>
      </c>
      <c r="C35" s="19" t="s">
        <v>210</v>
      </c>
      <c r="D35" s="17"/>
      <c r="E35" s="18" t="s">
        <v>211</v>
      </c>
      <c r="F35" s="22" t="s">
        <v>212</v>
      </c>
      <c r="G35" s="17" t="s">
        <v>213</v>
      </c>
    </row>
    <row r="36" spans="1:7" ht="21.75" customHeight="1" x14ac:dyDescent="0.3">
      <c r="A36" s="19">
        <v>2</v>
      </c>
      <c r="B36" s="22" t="s">
        <v>214</v>
      </c>
      <c r="C36" s="19" t="s">
        <v>210</v>
      </c>
      <c r="D36" s="17"/>
      <c r="E36" s="18"/>
      <c r="F36" s="22" t="s">
        <v>215</v>
      </c>
      <c r="G36" s="17"/>
    </row>
    <row r="37" spans="1:7" ht="21.75" customHeight="1" x14ac:dyDescent="0.3">
      <c r="A37" s="19">
        <v>3</v>
      </c>
      <c r="B37" s="22" t="s">
        <v>216</v>
      </c>
      <c r="C37" s="19" t="s">
        <v>217</v>
      </c>
      <c r="D37" s="17" t="s">
        <v>24</v>
      </c>
      <c r="E37" s="18" t="s">
        <v>218</v>
      </c>
      <c r="F37" s="22" t="s">
        <v>219</v>
      </c>
      <c r="G37" s="17"/>
    </row>
    <row r="38" spans="1:7" ht="21.75" customHeight="1" x14ac:dyDescent="0.3">
      <c r="A38" s="19">
        <v>4</v>
      </c>
      <c r="B38" s="22" t="s">
        <v>220</v>
      </c>
      <c r="C38" s="19" t="s">
        <v>221</v>
      </c>
      <c r="D38" s="17"/>
      <c r="E38" s="18"/>
      <c r="F38" s="22" t="s">
        <v>222</v>
      </c>
      <c r="G38" s="17"/>
    </row>
    <row r="39" spans="1:7" ht="21.75" customHeight="1" x14ac:dyDescent="0.3">
      <c r="A39" s="19">
        <v>5</v>
      </c>
      <c r="B39" s="22" t="s">
        <v>223</v>
      </c>
      <c r="C39" s="19" t="s">
        <v>224</v>
      </c>
      <c r="D39" s="17" t="s">
        <v>225</v>
      </c>
      <c r="E39" s="18"/>
      <c r="F39" s="22" t="s">
        <v>226</v>
      </c>
      <c r="G39" s="17"/>
    </row>
    <row r="40" spans="1:7" ht="21.75" customHeight="1" x14ac:dyDescent="0.3">
      <c r="A40" s="19">
        <v>6</v>
      </c>
      <c r="B40" s="22" t="s">
        <v>227</v>
      </c>
      <c r="C40" s="19" t="s">
        <v>137</v>
      </c>
      <c r="D40" s="17" t="s">
        <v>225</v>
      </c>
      <c r="E40" s="18"/>
      <c r="F40" s="22" t="s">
        <v>228</v>
      </c>
      <c r="G40" s="17"/>
    </row>
    <row r="41" spans="1:7" ht="21.75" customHeight="1" x14ac:dyDescent="0.3">
      <c r="A41" s="19">
        <v>7</v>
      </c>
      <c r="B41" s="22" t="s">
        <v>229</v>
      </c>
      <c r="C41" s="19" t="s">
        <v>210</v>
      </c>
      <c r="D41" s="17" t="s">
        <v>24</v>
      </c>
      <c r="E41" s="18" t="s">
        <v>230</v>
      </c>
      <c r="F41" s="22" t="s">
        <v>231</v>
      </c>
      <c r="G41" s="17"/>
    </row>
    <row r="42" spans="1:7" ht="21.75" customHeight="1" x14ac:dyDescent="0.3">
      <c r="A42" s="19">
        <v>8</v>
      </c>
      <c r="B42" s="22" t="s">
        <v>232</v>
      </c>
      <c r="C42" s="19" t="s">
        <v>233</v>
      </c>
      <c r="D42" s="17"/>
      <c r="E42" s="18"/>
      <c r="F42" s="22" t="s">
        <v>234</v>
      </c>
      <c r="G42" s="17"/>
    </row>
    <row r="44" spans="1:7" ht="21.75" customHeight="1" x14ac:dyDescent="0.3">
      <c r="A44" s="9" t="s">
        <v>235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236</v>
      </c>
      <c r="B45" s="8"/>
      <c r="C45" s="7" t="s">
        <v>237</v>
      </c>
      <c r="D45" s="7"/>
      <c r="E45" s="7"/>
      <c r="F45" s="7"/>
      <c r="G45" s="7"/>
    </row>
    <row r="46" spans="1:7" ht="19.5" customHeight="1" x14ac:dyDescent="0.3">
      <c r="A46" s="8" t="s">
        <v>238</v>
      </c>
      <c r="B46" s="8"/>
      <c r="C46" s="7" t="s">
        <v>239</v>
      </c>
      <c r="D46" s="7"/>
      <c r="E46" s="7"/>
      <c r="F46" s="7"/>
      <c r="G46" s="7"/>
    </row>
    <row r="47" spans="1:7" ht="19.5" customHeight="1" x14ac:dyDescent="0.3">
      <c r="A47" s="8" t="s">
        <v>240</v>
      </c>
      <c r="B47" s="8"/>
      <c r="C47" s="7" t="s">
        <v>189</v>
      </c>
      <c r="D47" s="7"/>
      <c r="E47" s="7"/>
      <c r="F47" s="7"/>
      <c r="G47" s="7"/>
    </row>
    <row r="48" spans="1:7" ht="19.5" customHeight="1" x14ac:dyDescent="0.3">
      <c r="A48" s="8" t="s">
        <v>241</v>
      </c>
      <c r="B48" s="8"/>
      <c r="C48" s="7"/>
      <c r="D48" s="7"/>
      <c r="E48" s="7"/>
      <c r="F48" s="7"/>
      <c r="G48" s="7"/>
    </row>
    <row r="49" spans="1:7" ht="19.5" customHeight="1" x14ac:dyDescent="0.3">
      <c r="A49" s="8" t="s">
        <v>242</v>
      </c>
      <c r="B49" s="8"/>
      <c r="C49" s="7"/>
      <c r="D49" s="7"/>
      <c r="E49" s="7"/>
      <c r="F49" s="7"/>
      <c r="G49" s="7"/>
    </row>
    <row r="51" spans="1:7" ht="21.75" customHeight="1" x14ac:dyDescent="0.3">
      <c r="A51" s="9" t="s">
        <v>98</v>
      </c>
      <c r="B51" s="9"/>
      <c r="C51" s="9"/>
      <c r="D51" s="9"/>
      <c r="E51" s="9"/>
      <c r="F51" s="9"/>
      <c r="G51" s="9"/>
    </row>
    <row r="52" spans="1:7" ht="27.75" customHeight="1" x14ac:dyDescent="0.3">
      <c r="A52" s="1" t="s">
        <v>243</v>
      </c>
      <c r="B52" s="1"/>
      <c r="C52" s="1"/>
      <c r="D52" s="1"/>
      <c r="E52" s="1"/>
      <c r="F52" s="1"/>
      <c r="G52" s="1"/>
    </row>
    <row r="53" spans="1:7" ht="27.75" customHeight="1" x14ac:dyDescent="0.3">
      <c r="A53" s="1"/>
      <c r="B53" s="1"/>
      <c r="C53" s="1"/>
      <c r="D53" s="1"/>
      <c r="E53" s="1"/>
      <c r="F53" s="1"/>
      <c r="G53" s="1"/>
    </row>
    <row r="54" spans="1:7" ht="27.75" customHeight="1" x14ac:dyDescent="0.3">
      <c r="A54" s="1"/>
      <c r="B54" s="1"/>
      <c r="C54" s="1"/>
      <c r="D54" s="1"/>
      <c r="E54" s="1"/>
      <c r="F54" s="1"/>
      <c r="G54" s="1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9" activePane="bottomLeft" state="frozen"/>
      <selection pane="bottomLeft" activeCell="E21" sqref="E21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244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245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52</v>
      </c>
      <c r="F8" s="8"/>
      <c r="G8" s="7" t="s">
        <v>12</v>
      </c>
      <c r="H8" s="7"/>
    </row>
    <row r="9" spans="1:8" ht="19.5" customHeight="1" x14ac:dyDescent="0.3">
      <c r="A9" s="8" t="s">
        <v>14</v>
      </c>
      <c r="B9" s="8"/>
      <c r="C9" s="6" t="s">
        <v>15</v>
      </c>
      <c r="D9" s="6"/>
      <c r="E9" s="8" t="s">
        <v>103</v>
      </c>
      <c r="F9" s="8"/>
      <c r="G9" s="5" t="str">
        <f>IFERROR(VLOOKUP($C$9,tbl_Bloques,2,FALSE()),"")</f>
        <v>C1096-Q9564</v>
      </c>
      <c r="H9" s="5"/>
    </row>
    <row r="10" spans="1:8" ht="19.5" customHeight="1" x14ac:dyDescent="0.3">
      <c r="A10" s="8" t="s">
        <v>18</v>
      </c>
      <c r="B10" s="8"/>
      <c r="C10" s="5" t="str">
        <f>IFERROR(VLOOKUP($C$9,tbl_Bloques,4,FALSE()),"")</f>
        <v>Frias</v>
      </c>
      <c r="D10" s="5"/>
      <c r="E10" s="8" t="s">
        <v>17</v>
      </c>
      <c r="F10" s="8"/>
      <c r="G10" s="5" t="str">
        <f>IFERROR(VLOOKUP($C$9,tbl_Bloques,3,FALSE()),"")</f>
        <v>Ayabaca</v>
      </c>
      <c r="H10" s="5"/>
    </row>
    <row r="12" spans="1:8" ht="21.75" customHeight="1" x14ac:dyDescent="0.3">
      <c r="A12" s="9" t="s">
        <v>246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3" t="s">
        <v>247</v>
      </c>
      <c r="B13" s="3"/>
      <c r="C13" s="3"/>
      <c r="D13" s="3"/>
      <c r="E13" s="3"/>
      <c r="F13" s="3"/>
      <c r="G13" s="3"/>
      <c r="H13" s="3"/>
    </row>
    <row r="14" spans="1:8" ht="30" customHeight="1" x14ac:dyDescent="0.3">
      <c r="A14" s="16" t="s">
        <v>137</v>
      </c>
      <c r="B14" s="16" t="s">
        <v>248</v>
      </c>
      <c r="C14" s="16" t="s">
        <v>150</v>
      </c>
      <c r="D14" s="16" t="s">
        <v>151</v>
      </c>
      <c r="E14" s="16" t="s">
        <v>249</v>
      </c>
      <c r="F14" s="16" t="s">
        <v>250</v>
      </c>
      <c r="G14" s="16" t="s">
        <v>251</v>
      </c>
      <c r="H14" s="16" t="s">
        <v>252</v>
      </c>
    </row>
    <row r="15" spans="1:8" ht="19.5" customHeight="1" x14ac:dyDescent="0.3">
      <c r="A15" s="19">
        <v>1</v>
      </c>
      <c r="B15" s="17"/>
      <c r="C15" s="17"/>
      <c r="D15" s="17"/>
      <c r="E15" s="17"/>
      <c r="F15" s="17"/>
      <c r="G15" s="17"/>
      <c r="H15" s="18"/>
    </row>
    <row r="16" spans="1:8" ht="19.5" customHeight="1" x14ac:dyDescent="0.3">
      <c r="A16" s="19">
        <v>2</v>
      </c>
      <c r="B16" s="17"/>
      <c r="C16" s="17"/>
      <c r="D16" s="17"/>
      <c r="E16" s="17"/>
      <c r="F16" s="17"/>
      <c r="G16" s="17"/>
      <c r="H16" s="18"/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253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254</v>
      </c>
      <c r="B27" s="8"/>
      <c r="C27" s="7" t="s">
        <v>44</v>
      </c>
      <c r="D27" s="7"/>
      <c r="E27" s="7"/>
      <c r="F27" s="7"/>
      <c r="G27" s="7"/>
      <c r="H27" s="7"/>
    </row>
    <row r="28" spans="1:8" ht="19.5" customHeight="1" x14ac:dyDescent="0.3">
      <c r="A28" s="8" t="s">
        <v>255</v>
      </c>
      <c r="B28" s="8"/>
      <c r="C28" s="7" t="s">
        <v>44</v>
      </c>
      <c r="D28" s="7"/>
      <c r="E28" s="7"/>
      <c r="F28" s="7"/>
      <c r="G28" s="7"/>
      <c r="H28" s="7"/>
    </row>
    <row r="29" spans="1:8" ht="19.5" customHeight="1" x14ac:dyDescent="0.3">
      <c r="A29" s="8" t="s">
        <v>256</v>
      </c>
      <c r="B29" s="8"/>
      <c r="C29" s="7" t="s">
        <v>44</v>
      </c>
      <c r="D29" s="7"/>
      <c r="E29" s="7"/>
      <c r="F29" s="7"/>
      <c r="G29" s="7"/>
      <c r="H29" s="7"/>
    </row>
    <row r="30" spans="1:8" ht="19.5" customHeight="1" x14ac:dyDescent="0.3">
      <c r="A30" s="8" t="s">
        <v>257</v>
      </c>
      <c r="B30" s="8"/>
      <c r="C30" s="7" t="s">
        <v>225</v>
      </c>
      <c r="D30" s="7"/>
      <c r="E30" s="7"/>
      <c r="F30" s="7"/>
      <c r="G30" s="7"/>
      <c r="H30" s="7"/>
    </row>
    <row r="31" spans="1:8" ht="19.5" customHeight="1" x14ac:dyDescent="0.3">
      <c r="A31" s="8" t="s">
        <v>258</v>
      </c>
      <c r="B31" s="8"/>
      <c r="C31" s="7" t="s">
        <v>225</v>
      </c>
      <c r="D31" s="7"/>
      <c r="E31" s="7"/>
      <c r="F31" s="7"/>
      <c r="G31" s="7"/>
      <c r="H31" s="7"/>
    </row>
    <row r="32" spans="1:8" ht="19.5" customHeight="1" x14ac:dyDescent="0.3">
      <c r="A32" s="8" t="s">
        <v>259</v>
      </c>
      <c r="B32" s="8"/>
      <c r="C32" s="7"/>
      <c r="D32" s="7"/>
      <c r="E32" s="7"/>
      <c r="F32" s="7"/>
      <c r="G32" s="7"/>
      <c r="H32" s="7"/>
    </row>
    <row r="33" spans="1:8" ht="19.5" customHeight="1" x14ac:dyDescent="0.3">
      <c r="A33" s="8" t="s">
        <v>260</v>
      </c>
      <c r="B33" s="8"/>
      <c r="C33" s="7"/>
      <c r="D33" s="7"/>
      <c r="E33" s="7"/>
      <c r="F33" s="7"/>
      <c r="G33" s="7"/>
      <c r="H33" s="7"/>
    </row>
    <row r="35" spans="1:8" ht="21.75" customHeight="1" x14ac:dyDescent="0.3">
      <c r="A35" s="9" t="s">
        <v>261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262</v>
      </c>
      <c r="B36" s="8"/>
      <c r="C36" s="7" t="s">
        <v>263</v>
      </c>
      <c r="D36" s="7"/>
      <c r="E36" s="7"/>
      <c r="F36" s="7"/>
      <c r="G36" s="7"/>
      <c r="H36" s="7"/>
    </row>
    <row r="37" spans="1:8" ht="19.5" customHeight="1" x14ac:dyDescent="0.3">
      <c r="A37" s="8" t="s">
        <v>264</v>
      </c>
      <c r="B37" s="8"/>
      <c r="C37" s="7" t="s">
        <v>265</v>
      </c>
      <c r="D37" s="7"/>
      <c r="E37" s="7"/>
      <c r="F37" s="7"/>
      <c r="G37" s="7"/>
      <c r="H37" s="7"/>
    </row>
    <row r="38" spans="1:8" ht="19.5" customHeight="1" x14ac:dyDescent="0.3">
      <c r="A38" s="8" t="s">
        <v>266</v>
      </c>
      <c r="B38" s="8"/>
      <c r="C38" s="7" t="s">
        <v>267</v>
      </c>
      <c r="D38" s="7"/>
      <c r="E38" s="7"/>
      <c r="F38" s="7"/>
      <c r="G38" s="7"/>
      <c r="H38" s="7"/>
    </row>
    <row r="39" spans="1:8" ht="19.5" customHeight="1" x14ac:dyDescent="0.3">
      <c r="A39" s="8" t="s">
        <v>268</v>
      </c>
      <c r="B39" s="8"/>
      <c r="C39" s="7" t="s">
        <v>269</v>
      </c>
      <c r="D39" s="7"/>
      <c r="E39" s="7"/>
      <c r="F39" s="7"/>
      <c r="G39" s="7"/>
      <c r="H39" s="7"/>
    </row>
    <row r="40" spans="1:8" ht="19.5" customHeight="1" x14ac:dyDescent="0.3">
      <c r="A40" s="8" t="s">
        <v>270</v>
      </c>
      <c r="B40" s="8"/>
      <c r="C40" s="7" t="s">
        <v>269</v>
      </c>
      <c r="D40" s="7"/>
      <c r="E40" s="7"/>
      <c r="F40" s="7"/>
      <c r="G40" s="7"/>
      <c r="H40" s="7"/>
    </row>
    <row r="41" spans="1:8" ht="19.5" customHeight="1" x14ac:dyDescent="0.3">
      <c r="A41" s="8" t="s">
        <v>271</v>
      </c>
      <c r="B41" s="8"/>
      <c r="C41" s="7" t="s">
        <v>225</v>
      </c>
      <c r="D41" s="7"/>
      <c r="E41" s="8" t="s">
        <v>272</v>
      </c>
      <c r="F41" s="8"/>
      <c r="G41" s="7" t="s">
        <v>225</v>
      </c>
      <c r="H41" s="7"/>
    </row>
    <row r="42" spans="1:8" ht="19.5" customHeight="1" x14ac:dyDescent="0.3">
      <c r="A42" s="8" t="s">
        <v>273</v>
      </c>
      <c r="B42" s="8"/>
      <c r="C42" s="7"/>
      <c r="D42" s="7"/>
      <c r="E42" s="7"/>
      <c r="F42" s="7"/>
      <c r="G42" s="7"/>
      <c r="H42" s="7"/>
    </row>
    <row r="43" spans="1:8" ht="19.5" customHeight="1" x14ac:dyDescent="0.3">
      <c r="A43" s="8" t="s">
        <v>274</v>
      </c>
      <c r="B43" s="8"/>
      <c r="C43" s="7"/>
      <c r="D43" s="7"/>
      <c r="E43" s="7"/>
      <c r="F43" s="7"/>
      <c r="G43" s="7"/>
      <c r="H43" s="7"/>
    </row>
    <row r="44" spans="1:8" ht="19.5" customHeight="1" x14ac:dyDescent="0.3">
      <c r="A44" s="8" t="s">
        <v>275</v>
      </c>
      <c r="B44" s="8"/>
      <c r="C44" s="7"/>
      <c r="D44" s="7"/>
      <c r="E44" s="7"/>
      <c r="F44" s="7"/>
      <c r="G44" s="7"/>
      <c r="H44" s="7"/>
    </row>
    <row r="45" spans="1:8" ht="19.5" customHeight="1" x14ac:dyDescent="0.3">
      <c r="A45" s="8" t="s">
        <v>276</v>
      </c>
      <c r="B45" s="8"/>
      <c r="C45" s="7"/>
      <c r="D45" s="7"/>
      <c r="E45" s="7"/>
      <c r="F45" s="7"/>
      <c r="G45" s="7"/>
      <c r="H45" s="7"/>
    </row>
    <row r="46" spans="1:8" ht="19.5" customHeight="1" x14ac:dyDescent="0.3">
      <c r="A46" s="8" t="s">
        <v>277</v>
      </c>
      <c r="B46" s="8"/>
      <c r="C46" s="7" t="s">
        <v>225</v>
      </c>
      <c r="D46" s="7"/>
      <c r="E46" s="7"/>
      <c r="F46" s="7"/>
      <c r="G46" s="7"/>
      <c r="H46" s="7"/>
    </row>
    <row r="48" spans="1:8" ht="21.75" customHeight="1" x14ac:dyDescent="0.3">
      <c r="A48" s="9" t="s">
        <v>98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1" t="s">
        <v>278</v>
      </c>
      <c r="B49" s="1"/>
      <c r="C49" s="1"/>
      <c r="D49" s="1"/>
      <c r="E49" s="1"/>
      <c r="F49" s="1"/>
      <c r="G49" s="1"/>
      <c r="H49" s="1"/>
    </row>
    <row r="50" spans="1:8" ht="27.75" customHeight="1" x14ac:dyDescent="0.3">
      <c r="A50" s="1"/>
      <c r="B50" s="1"/>
      <c r="C50" s="1"/>
      <c r="D50" s="1"/>
      <c r="E50" s="1"/>
      <c r="F50" s="1"/>
      <c r="G50" s="1"/>
      <c r="H50" s="1"/>
    </row>
    <row r="51" spans="1:8" ht="27.75" customHeight="1" x14ac:dyDescent="0.3">
      <c r="A51" s="1"/>
      <c r="B51" s="1"/>
      <c r="C51" s="1"/>
      <c r="D51" s="1"/>
      <c r="E51" s="1"/>
      <c r="F51" s="1"/>
      <c r="G51" s="1"/>
      <c r="H51" s="1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279</v>
      </c>
      <c r="B1" s="16" t="s">
        <v>280</v>
      </c>
      <c r="C1" s="16" t="s">
        <v>281</v>
      </c>
      <c r="D1" s="16" t="s">
        <v>282</v>
      </c>
      <c r="E1" s="16" t="s">
        <v>283</v>
      </c>
      <c r="F1" s="16" t="s">
        <v>284</v>
      </c>
      <c r="G1" s="16" t="s">
        <v>285</v>
      </c>
      <c r="H1" s="16" t="s">
        <v>286</v>
      </c>
    </row>
    <row r="2" spans="1:8" ht="15" customHeight="1" x14ac:dyDescent="0.3">
      <c r="A2" s="23" t="s">
        <v>287</v>
      </c>
      <c r="B2" s="23" t="s">
        <v>288</v>
      </c>
      <c r="C2" s="23" t="s">
        <v>289</v>
      </c>
      <c r="D2" s="23" t="s">
        <v>290</v>
      </c>
      <c r="E2" s="23" t="s">
        <v>291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292</v>
      </c>
      <c r="B3" s="23" t="s">
        <v>293</v>
      </c>
      <c r="C3" s="23" t="s">
        <v>289</v>
      </c>
      <c r="D3" s="23" t="s">
        <v>290</v>
      </c>
      <c r="E3" s="23" t="s">
        <v>291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294</v>
      </c>
      <c r="B4" s="23" t="s">
        <v>293</v>
      </c>
      <c r="C4" s="23" t="s">
        <v>289</v>
      </c>
      <c r="D4" s="23" t="s">
        <v>290</v>
      </c>
      <c r="E4" s="23" t="s">
        <v>291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295</v>
      </c>
      <c r="B5" s="23" t="s">
        <v>296</v>
      </c>
      <c r="C5" s="23" t="s">
        <v>289</v>
      </c>
      <c r="D5" s="23" t="s">
        <v>290</v>
      </c>
      <c r="E5" s="23" t="s">
        <v>291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297</v>
      </c>
      <c r="B6" s="23" t="s">
        <v>296</v>
      </c>
      <c r="C6" s="23" t="s">
        <v>289</v>
      </c>
      <c r="D6" s="23" t="s">
        <v>290</v>
      </c>
      <c r="E6" s="23" t="s">
        <v>291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298</v>
      </c>
      <c r="B7" s="23" t="s">
        <v>296</v>
      </c>
      <c r="C7" s="23" t="s">
        <v>289</v>
      </c>
      <c r="D7" s="23" t="s">
        <v>290</v>
      </c>
      <c r="E7" s="23" t="s">
        <v>291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299</v>
      </c>
      <c r="B8" s="23" t="s">
        <v>300</v>
      </c>
      <c r="C8" s="23" t="s">
        <v>289</v>
      </c>
      <c r="D8" s="23" t="s">
        <v>290</v>
      </c>
      <c r="E8" s="23" t="s">
        <v>291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301</v>
      </c>
      <c r="B9" s="23" t="s">
        <v>296</v>
      </c>
      <c r="C9" s="23" t="s">
        <v>289</v>
      </c>
      <c r="D9" s="23" t="s">
        <v>290</v>
      </c>
      <c r="E9" s="23" t="s">
        <v>291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302</v>
      </c>
      <c r="B10" s="23" t="s">
        <v>303</v>
      </c>
      <c r="C10" s="23" t="s">
        <v>289</v>
      </c>
      <c r="D10" s="23" t="s">
        <v>290</v>
      </c>
      <c r="E10" s="23" t="s">
        <v>291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304</v>
      </c>
      <c r="B11" s="23" t="s">
        <v>288</v>
      </c>
      <c r="C11" s="23" t="s">
        <v>305</v>
      </c>
      <c r="D11" s="23" t="s">
        <v>306</v>
      </c>
      <c r="E11" s="23" t="s">
        <v>307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308</v>
      </c>
      <c r="B12" s="23" t="s">
        <v>293</v>
      </c>
      <c r="C12" s="23" t="s">
        <v>305</v>
      </c>
      <c r="D12" s="23" t="s">
        <v>306</v>
      </c>
      <c r="E12" s="23" t="s">
        <v>307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309</v>
      </c>
      <c r="B13" s="23" t="s">
        <v>293</v>
      </c>
      <c r="C13" s="23" t="s">
        <v>305</v>
      </c>
      <c r="D13" s="23" t="s">
        <v>306</v>
      </c>
      <c r="E13" s="23" t="s">
        <v>307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310</v>
      </c>
      <c r="B14" s="23" t="s">
        <v>296</v>
      </c>
      <c r="C14" s="23" t="s">
        <v>305</v>
      </c>
      <c r="D14" s="23" t="s">
        <v>306</v>
      </c>
      <c r="E14" s="23" t="s">
        <v>307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311</v>
      </c>
      <c r="B15" s="23" t="s">
        <v>296</v>
      </c>
      <c r="C15" s="23" t="s">
        <v>305</v>
      </c>
      <c r="D15" s="23" t="s">
        <v>306</v>
      </c>
      <c r="E15" s="23" t="s">
        <v>307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312</v>
      </c>
      <c r="B16" s="23" t="s">
        <v>296</v>
      </c>
      <c r="C16" s="23" t="s">
        <v>305</v>
      </c>
      <c r="D16" s="23" t="s">
        <v>306</v>
      </c>
      <c r="E16" s="23" t="s">
        <v>307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313</v>
      </c>
      <c r="B17" s="23" t="s">
        <v>296</v>
      </c>
      <c r="C17" s="23" t="s">
        <v>305</v>
      </c>
      <c r="D17" s="23" t="s">
        <v>306</v>
      </c>
      <c r="E17" s="23" t="s">
        <v>307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314</v>
      </c>
      <c r="B18" s="23" t="s">
        <v>296</v>
      </c>
      <c r="C18" s="23" t="s">
        <v>305</v>
      </c>
      <c r="D18" s="23" t="s">
        <v>306</v>
      </c>
      <c r="E18" s="23" t="s">
        <v>307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315</v>
      </c>
      <c r="B19" s="23" t="s">
        <v>316</v>
      </c>
      <c r="C19" s="23" t="s">
        <v>305</v>
      </c>
      <c r="D19" s="23" t="s">
        <v>306</v>
      </c>
      <c r="E19" s="23" t="s">
        <v>307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15</v>
      </c>
      <c r="B20" s="23" t="s">
        <v>316</v>
      </c>
      <c r="C20" s="23" t="s">
        <v>305</v>
      </c>
      <c r="D20" s="23" t="s">
        <v>306</v>
      </c>
      <c r="E20" s="23" t="s">
        <v>307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317</v>
      </c>
      <c r="B21" s="23" t="s">
        <v>318</v>
      </c>
      <c r="C21" s="23" t="s">
        <v>289</v>
      </c>
      <c r="D21" s="23" t="s">
        <v>319</v>
      </c>
      <c r="E21" s="23" t="s">
        <v>320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321</v>
      </c>
      <c r="B22" s="23" t="s">
        <v>318</v>
      </c>
      <c r="C22" s="23" t="s">
        <v>289</v>
      </c>
      <c r="D22" s="23" t="s">
        <v>319</v>
      </c>
      <c r="E22" s="23" t="s">
        <v>320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322</v>
      </c>
      <c r="B23" s="23" t="s">
        <v>316</v>
      </c>
      <c r="C23" s="23" t="s">
        <v>289</v>
      </c>
      <c r="D23" s="23" t="s">
        <v>319</v>
      </c>
      <c r="E23" s="23" t="s">
        <v>320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323</v>
      </c>
      <c r="B24" s="23" t="s">
        <v>318</v>
      </c>
      <c r="C24" s="23" t="s">
        <v>289</v>
      </c>
      <c r="D24" s="23" t="s">
        <v>319</v>
      </c>
      <c r="E24" s="23" t="s">
        <v>320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324</v>
      </c>
      <c r="B25" s="23" t="s">
        <v>318</v>
      </c>
      <c r="C25" s="23" t="s">
        <v>289</v>
      </c>
      <c r="D25" s="23" t="s">
        <v>319</v>
      </c>
      <c r="E25" s="23" t="s">
        <v>320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325</v>
      </c>
      <c r="B26" s="23" t="s">
        <v>318</v>
      </c>
      <c r="C26" s="23" t="s">
        <v>289</v>
      </c>
      <c r="D26" s="23" t="s">
        <v>319</v>
      </c>
      <c r="E26" s="23" t="s">
        <v>320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326</v>
      </c>
      <c r="B27" s="23" t="s">
        <v>318</v>
      </c>
      <c r="C27" s="23" t="s">
        <v>289</v>
      </c>
      <c r="D27" s="23" t="s">
        <v>319</v>
      </c>
      <c r="E27" s="23" t="s">
        <v>320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327</v>
      </c>
      <c r="B28" s="23" t="s">
        <v>318</v>
      </c>
      <c r="C28" s="23" t="s">
        <v>289</v>
      </c>
      <c r="D28" s="23" t="s">
        <v>319</v>
      </c>
      <c r="E28" s="23" t="s">
        <v>320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328</v>
      </c>
      <c r="B29" s="23" t="s">
        <v>318</v>
      </c>
      <c r="C29" s="23" t="s">
        <v>289</v>
      </c>
      <c r="D29" s="23" t="s">
        <v>319</v>
      </c>
      <c r="E29" s="23" t="s">
        <v>320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329</v>
      </c>
      <c r="B30" s="23" t="s">
        <v>300</v>
      </c>
      <c r="C30" s="23" t="s">
        <v>289</v>
      </c>
      <c r="D30" s="23" t="s">
        <v>319</v>
      </c>
      <c r="E30" s="23" t="s">
        <v>320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330</v>
      </c>
      <c r="B31" s="23" t="s">
        <v>331</v>
      </c>
      <c r="C31" s="23" t="s">
        <v>289</v>
      </c>
      <c r="D31" s="23" t="s">
        <v>332</v>
      </c>
      <c r="E31" s="23" t="s">
        <v>333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334</v>
      </c>
      <c r="B32" s="23" t="s">
        <v>318</v>
      </c>
      <c r="C32" s="23" t="s">
        <v>289</v>
      </c>
      <c r="D32" s="23" t="s">
        <v>332</v>
      </c>
      <c r="E32" s="23" t="s">
        <v>333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335</v>
      </c>
      <c r="B33" s="23" t="s">
        <v>331</v>
      </c>
      <c r="C33" s="23" t="s">
        <v>289</v>
      </c>
      <c r="D33" s="23" t="s">
        <v>336</v>
      </c>
      <c r="E33" s="23" t="s">
        <v>333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337</v>
      </c>
      <c r="B34" s="23" t="s">
        <v>318</v>
      </c>
      <c r="C34" s="23" t="s">
        <v>289</v>
      </c>
      <c r="D34" s="23" t="s">
        <v>336</v>
      </c>
      <c r="E34" s="23" t="s">
        <v>333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338</v>
      </c>
      <c r="B35" s="23" t="s">
        <v>318</v>
      </c>
      <c r="C35" s="23" t="s">
        <v>289</v>
      </c>
      <c r="D35" s="23" t="s">
        <v>336</v>
      </c>
      <c r="E35" s="23" t="s">
        <v>333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339</v>
      </c>
      <c r="B36" s="23" t="s">
        <v>340</v>
      </c>
      <c r="C36" s="23" t="s">
        <v>289</v>
      </c>
      <c r="D36" s="23" t="s">
        <v>336</v>
      </c>
      <c r="E36" s="23" t="s">
        <v>333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341</v>
      </c>
      <c r="B37" s="23" t="s">
        <v>318</v>
      </c>
      <c r="C37" s="23" t="s">
        <v>289</v>
      </c>
      <c r="D37" s="23" t="s">
        <v>289</v>
      </c>
      <c r="E37" s="23" t="s">
        <v>342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343</v>
      </c>
      <c r="B38" s="23" t="s">
        <v>340</v>
      </c>
      <c r="C38" s="23" t="s">
        <v>289</v>
      </c>
      <c r="D38" s="23" t="s">
        <v>289</v>
      </c>
      <c r="E38" s="23" t="s">
        <v>342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344</v>
      </c>
      <c r="B39" s="23" t="s">
        <v>345</v>
      </c>
      <c r="C39" s="23" t="s">
        <v>289</v>
      </c>
      <c r="D39" s="23" t="s">
        <v>346</v>
      </c>
      <c r="E39" s="23" t="s">
        <v>347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348</v>
      </c>
      <c r="B40" s="23" t="s">
        <v>345</v>
      </c>
      <c r="C40" s="23" t="s">
        <v>289</v>
      </c>
      <c r="D40" s="23" t="s">
        <v>346</v>
      </c>
      <c r="E40" s="23" t="s">
        <v>347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349</v>
      </c>
      <c r="B41" s="23" t="s">
        <v>345</v>
      </c>
      <c r="C41" s="23" t="s">
        <v>289</v>
      </c>
      <c r="D41" s="23" t="s">
        <v>346</v>
      </c>
      <c r="E41" s="23" t="s">
        <v>347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350</v>
      </c>
      <c r="B42" s="23" t="s">
        <v>345</v>
      </c>
      <c r="C42" s="23" t="s">
        <v>289</v>
      </c>
      <c r="D42" s="23" t="s">
        <v>346</v>
      </c>
      <c r="E42" s="23" t="s">
        <v>347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351</v>
      </c>
      <c r="B43" s="23" t="s">
        <v>345</v>
      </c>
      <c r="C43" s="23" t="s">
        <v>289</v>
      </c>
      <c r="D43" s="23" t="s">
        <v>346</v>
      </c>
      <c r="E43" s="23" t="s">
        <v>347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352</v>
      </c>
      <c r="B44" s="23" t="s">
        <v>353</v>
      </c>
      <c r="C44" s="23" t="s">
        <v>289</v>
      </c>
      <c r="D44" s="23" t="s">
        <v>346</v>
      </c>
      <c r="E44" s="23" t="s">
        <v>347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354</v>
      </c>
      <c r="B45" s="23" t="s">
        <v>355</v>
      </c>
      <c r="C45" s="23" t="s">
        <v>289</v>
      </c>
      <c r="D45" s="23" t="s">
        <v>346</v>
      </c>
      <c r="E45" s="23" t="s">
        <v>347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356</v>
      </c>
      <c r="B46" s="23" t="s">
        <v>357</v>
      </c>
      <c r="C46" s="23" t="s">
        <v>289</v>
      </c>
      <c r="D46" s="23" t="s">
        <v>358</v>
      </c>
      <c r="E46" s="23" t="s">
        <v>359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360</v>
      </c>
      <c r="B47" s="23" t="s">
        <v>357</v>
      </c>
      <c r="C47" s="23" t="s">
        <v>289</v>
      </c>
      <c r="D47" s="23" t="s">
        <v>358</v>
      </c>
      <c r="E47" s="23" t="s">
        <v>359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361</v>
      </c>
      <c r="B48" s="23" t="s">
        <v>362</v>
      </c>
      <c r="C48" s="23" t="s">
        <v>289</v>
      </c>
      <c r="D48" s="23" t="s">
        <v>358</v>
      </c>
      <c r="E48" s="23" t="s">
        <v>359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363</v>
      </c>
      <c r="B49" s="23" t="s">
        <v>362</v>
      </c>
      <c r="C49" s="23" t="s">
        <v>289</v>
      </c>
      <c r="D49" s="23" t="s">
        <v>358</v>
      </c>
      <c r="E49" s="23" t="s">
        <v>359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364</v>
      </c>
      <c r="B50" s="23" t="s">
        <v>362</v>
      </c>
      <c r="C50" s="23" t="s">
        <v>289</v>
      </c>
      <c r="D50" s="23" t="s">
        <v>358</v>
      </c>
      <c r="E50" s="23" t="s">
        <v>359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365</v>
      </c>
      <c r="B51" s="23" t="s">
        <v>362</v>
      </c>
      <c r="C51" s="23" t="s">
        <v>289</v>
      </c>
      <c r="D51" s="23" t="s">
        <v>358</v>
      </c>
      <c r="E51" s="23" t="s">
        <v>359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366</v>
      </c>
      <c r="B52" s="23" t="s">
        <v>367</v>
      </c>
      <c r="C52" s="23" t="s">
        <v>289</v>
      </c>
      <c r="D52" s="23" t="s">
        <v>358</v>
      </c>
      <c r="E52" s="23" t="s">
        <v>359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368</v>
      </c>
      <c r="B53" s="23" t="s">
        <v>367</v>
      </c>
      <c r="C53" s="23" t="s">
        <v>289</v>
      </c>
      <c r="D53" s="23" t="s">
        <v>358</v>
      </c>
      <c r="E53" s="23" t="s">
        <v>359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369</v>
      </c>
      <c r="B54" s="23" t="s">
        <v>367</v>
      </c>
      <c r="C54" s="23" t="s">
        <v>289</v>
      </c>
      <c r="D54" s="23" t="s">
        <v>358</v>
      </c>
      <c r="E54" s="23" t="s">
        <v>359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370</v>
      </c>
      <c r="B55" s="23" t="s">
        <v>367</v>
      </c>
      <c r="C55" s="23" t="s">
        <v>289</v>
      </c>
      <c r="D55" s="23" t="s">
        <v>358</v>
      </c>
      <c r="E55" s="23" t="s">
        <v>359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371</v>
      </c>
      <c r="B56" s="23" t="s">
        <v>355</v>
      </c>
      <c r="C56" s="23" t="s">
        <v>289</v>
      </c>
      <c r="D56" s="23" t="s">
        <v>358</v>
      </c>
      <c r="E56" s="23" t="s">
        <v>359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372</v>
      </c>
      <c r="B57" s="23" t="s">
        <v>355</v>
      </c>
      <c r="C57" s="23" t="s">
        <v>289</v>
      </c>
      <c r="D57" s="23" t="s">
        <v>358</v>
      </c>
      <c r="E57" s="23" t="s">
        <v>359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373</v>
      </c>
      <c r="B58" s="23" t="s">
        <v>357</v>
      </c>
      <c r="C58" s="23" t="s">
        <v>289</v>
      </c>
      <c r="D58" s="23" t="s">
        <v>374</v>
      </c>
      <c r="E58" s="23" t="s">
        <v>375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376</v>
      </c>
      <c r="B59" s="23" t="s">
        <v>357</v>
      </c>
      <c r="C59" s="23" t="s">
        <v>289</v>
      </c>
      <c r="D59" s="23" t="s">
        <v>374</v>
      </c>
      <c r="E59" s="23" t="s">
        <v>375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377</v>
      </c>
      <c r="B60" s="23" t="s">
        <v>378</v>
      </c>
      <c r="C60" s="23" t="s">
        <v>289</v>
      </c>
      <c r="D60" s="23" t="s">
        <v>374</v>
      </c>
      <c r="E60" s="23" t="s">
        <v>375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379</v>
      </c>
      <c r="B61" s="23" t="s">
        <v>357</v>
      </c>
      <c r="C61" s="23" t="s">
        <v>289</v>
      </c>
      <c r="D61" s="23" t="s">
        <v>374</v>
      </c>
      <c r="E61" s="23" t="s">
        <v>375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380</v>
      </c>
      <c r="B62" s="23" t="s">
        <v>357</v>
      </c>
      <c r="C62" s="23" t="s">
        <v>289</v>
      </c>
      <c r="D62" s="23" t="s">
        <v>374</v>
      </c>
      <c r="E62" s="23" t="s">
        <v>375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381</v>
      </c>
      <c r="B63" s="23" t="s">
        <v>357</v>
      </c>
      <c r="C63" s="23" t="s">
        <v>289</v>
      </c>
      <c r="D63" s="23" t="s">
        <v>374</v>
      </c>
      <c r="E63" s="23" t="s">
        <v>375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382</v>
      </c>
      <c r="B64" s="23" t="s">
        <v>378</v>
      </c>
      <c r="C64" s="23" t="s">
        <v>289</v>
      </c>
      <c r="D64" s="23" t="s">
        <v>374</v>
      </c>
      <c r="E64" s="23" t="s">
        <v>375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383</v>
      </c>
      <c r="B65" s="23" t="s">
        <v>384</v>
      </c>
      <c r="C65" s="23" t="s">
        <v>289</v>
      </c>
      <c r="D65" s="23" t="s">
        <v>385</v>
      </c>
      <c r="E65" s="23" t="s">
        <v>386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387</v>
      </c>
      <c r="B66" s="23" t="s">
        <v>384</v>
      </c>
      <c r="C66" s="23" t="s">
        <v>289</v>
      </c>
      <c r="D66" s="23" t="s">
        <v>385</v>
      </c>
      <c r="E66" s="23" t="s">
        <v>386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388</v>
      </c>
      <c r="B67" s="23" t="s">
        <v>384</v>
      </c>
      <c r="C67" s="23" t="s">
        <v>289</v>
      </c>
      <c r="D67" s="23" t="s">
        <v>385</v>
      </c>
      <c r="E67" s="23" t="s">
        <v>386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389</v>
      </c>
      <c r="B68" s="23" t="s">
        <v>384</v>
      </c>
      <c r="C68" s="23" t="s">
        <v>289</v>
      </c>
      <c r="D68" s="23" t="s">
        <v>385</v>
      </c>
      <c r="E68" s="23" t="s">
        <v>386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390</v>
      </c>
      <c r="B69" s="23" t="s">
        <v>384</v>
      </c>
      <c r="C69" s="23" t="s">
        <v>289</v>
      </c>
      <c r="D69" s="23" t="s">
        <v>385</v>
      </c>
      <c r="E69" s="23" t="s">
        <v>386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391</v>
      </c>
      <c r="B70" s="23" t="s">
        <v>384</v>
      </c>
      <c r="C70" s="23" t="s">
        <v>289</v>
      </c>
      <c r="D70" s="23" t="s">
        <v>385</v>
      </c>
      <c r="E70" s="23" t="s">
        <v>386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392</v>
      </c>
      <c r="B71" s="23" t="s">
        <v>384</v>
      </c>
      <c r="C71" s="23" t="s">
        <v>289</v>
      </c>
      <c r="D71" s="23" t="s">
        <v>385</v>
      </c>
      <c r="E71" s="23" t="s">
        <v>386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393</v>
      </c>
      <c r="B72" s="23" t="s">
        <v>384</v>
      </c>
      <c r="C72" s="23" t="s">
        <v>289</v>
      </c>
      <c r="D72" s="23" t="s">
        <v>385</v>
      </c>
      <c r="E72" s="23" t="s">
        <v>386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394</v>
      </c>
      <c r="B73" s="23" t="s">
        <v>395</v>
      </c>
      <c r="C73" s="23" t="s">
        <v>396</v>
      </c>
      <c r="D73" s="23" t="s">
        <v>397</v>
      </c>
      <c r="E73" s="23" t="s">
        <v>398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399</v>
      </c>
      <c r="B74" s="23" t="s">
        <v>395</v>
      </c>
      <c r="C74" s="23" t="s">
        <v>396</v>
      </c>
      <c r="D74" s="23" t="s">
        <v>397</v>
      </c>
      <c r="E74" s="23" t="s">
        <v>398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400</v>
      </c>
      <c r="B75" s="23" t="s">
        <v>395</v>
      </c>
      <c r="C75" s="23" t="s">
        <v>396</v>
      </c>
      <c r="D75" s="23" t="s">
        <v>397</v>
      </c>
      <c r="E75" s="23" t="s">
        <v>398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401</v>
      </c>
      <c r="B76" s="23" t="s">
        <v>395</v>
      </c>
      <c r="C76" s="23" t="s">
        <v>396</v>
      </c>
      <c r="D76" s="23" t="s">
        <v>397</v>
      </c>
      <c r="E76" s="23" t="s">
        <v>398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402</v>
      </c>
      <c r="B77" s="23" t="s">
        <v>395</v>
      </c>
      <c r="C77" s="23" t="s">
        <v>396</v>
      </c>
      <c r="D77" s="23" t="s">
        <v>397</v>
      </c>
      <c r="E77" s="23" t="s">
        <v>398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403</v>
      </c>
      <c r="B78" s="23" t="s">
        <v>404</v>
      </c>
      <c r="C78" s="23" t="s">
        <v>396</v>
      </c>
      <c r="D78" s="23" t="s">
        <v>397</v>
      </c>
      <c r="E78" s="23" t="s">
        <v>398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405</v>
      </c>
      <c r="B79" s="23" t="s">
        <v>404</v>
      </c>
      <c r="C79" s="23" t="s">
        <v>396</v>
      </c>
      <c r="D79" s="23" t="s">
        <v>397</v>
      </c>
      <c r="E79" s="23" t="s">
        <v>398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406</v>
      </c>
      <c r="B80" s="23" t="s">
        <v>404</v>
      </c>
      <c r="C80" s="23" t="s">
        <v>396</v>
      </c>
      <c r="D80" s="23" t="s">
        <v>396</v>
      </c>
      <c r="E80" s="23" t="s">
        <v>407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408</v>
      </c>
      <c r="B81" s="23" t="s">
        <v>409</v>
      </c>
      <c r="C81" s="23" t="s">
        <v>396</v>
      </c>
      <c r="D81" s="23" t="s">
        <v>396</v>
      </c>
      <c r="E81" s="23" t="s">
        <v>407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410</v>
      </c>
      <c r="B82" s="23" t="s">
        <v>404</v>
      </c>
      <c r="C82" s="23" t="s">
        <v>396</v>
      </c>
      <c r="D82" s="23" t="s">
        <v>396</v>
      </c>
      <c r="E82" s="23" t="s">
        <v>407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411</v>
      </c>
      <c r="B83" s="23" t="s">
        <v>404</v>
      </c>
      <c r="C83" s="23" t="s">
        <v>396</v>
      </c>
      <c r="D83" s="23" t="s">
        <v>412</v>
      </c>
      <c r="E83" s="23" t="s">
        <v>407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413</v>
      </c>
      <c r="B84" s="23" t="s">
        <v>404</v>
      </c>
      <c r="C84" s="23" t="s">
        <v>396</v>
      </c>
      <c r="D84" s="23" t="s">
        <v>412</v>
      </c>
      <c r="E84" s="23" t="s">
        <v>407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414</v>
      </c>
      <c r="B85" s="23" t="s">
        <v>404</v>
      </c>
      <c r="C85" s="23" t="s">
        <v>396</v>
      </c>
      <c r="D85" s="23" t="s">
        <v>412</v>
      </c>
      <c r="E85" s="23" t="s">
        <v>407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415</v>
      </c>
      <c r="B86" s="23" t="s">
        <v>404</v>
      </c>
      <c r="C86" s="23" t="s">
        <v>396</v>
      </c>
      <c r="D86" s="23" t="s">
        <v>412</v>
      </c>
      <c r="E86" s="23" t="s">
        <v>407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416</v>
      </c>
      <c r="B87" s="23" t="s">
        <v>404</v>
      </c>
      <c r="C87" s="23" t="s">
        <v>396</v>
      </c>
      <c r="D87" s="23" t="s">
        <v>412</v>
      </c>
      <c r="E87" s="23" t="s">
        <v>407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417</v>
      </c>
      <c r="B88" s="23" t="s">
        <v>409</v>
      </c>
      <c r="C88" s="23" t="s">
        <v>396</v>
      </c>
      <c r="D88" s="23" t="s">
        <v>412</v>
      </c>
      <c r="E88" s="23" t="s">
        <v>407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418</v>
      </c>
      <c r="B89" s="23" t="s">
        <v>404</v>
      </c>
      <c r="C89" s="23" t="s">
        <v>396</v>
      </c>
      <c r="D89" s="23" t="s">
        <v>412</v>
      </c>
      <c r="E89" s="23" t="s">
        <v>407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419</v>
      </c>
      <c r="B90" s="23" t="s">
        <v>404</v>
      </c>
      <c r="C90" s="23" t="s">
        <v>396</v>
      </c>
      <c r="D90" s="23" t="s">
        <v>412</v>
      </c>
      <c r="E90" s="23" t="s">
        <v>407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420</v>
      </c>
      <c r="B91" s="23" t="s">
        <v>378</v>
      </c>
      <c r="C91" s="23" t="s">
        <v>396</v>
      </c>
      <c r="D91" s="23" t="s">
        <v>412</v>
      </c>
      <c r="E91" s="23" t="s">
        <v>407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421</v>
      </c>
      <c r="B92" s="23" t="s">
        <v>378</v>
      </c>
      <c r="C92" s="23" t="s">
        <v>396</v>
      </c>
      <c r="D92" s="23" t="s">
        <v>412</v>
      </c>
      <c r="E92" s="23" t="s">
        <v>407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422</v>
      </c>
      <c r="B93" s="23" t="s">
        <v>423</v>
      </c>
      <c r="C93" s="23" t="s">
        <v>396</v>
      </c>
      <c r="D93" s="23" t="s">
        <v>412</v>
      </c>
      <c r="E93" s="23" t="s">
        <v>407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424</v>
      </c>
      <c r="B94" s="23" t="s">
        <v>425</v>
      </c>
      <c r="C94" s="23" t="s">
        <v>396</v>
      </c>
      <c r="D94" s="23" t="s">
        <v>412</v>
      </c>
      <c r="E94" s="23" t="s">
        <v>407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426</v>
      </c>
      <c r="B95" s="23" t="s">
        <v>427</v>
      </c>
      <c r="C95" s="23" t="s">
        <v>396</v>
      </c>
      <c r="D95" s="23" t="s">
        <v>428</v>
      </c>
      <c r="E95" s="23" t="s">
        <v>429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430</v>
      </c>
      <c r="B96" s="23" t="s">
        <v>427</v>
      </c>
      <c r="C96" s="23" t="s">
        <v>396</v>
      </c>
      <c r="D96" s="23" t="s">
        <v>428</v>
      </c>
      <c r="E96" s="23" t="s">
        <v>429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431</v>
      </c>
      <c r="B97" s="23" t="s">
        <v>427</v>
      </c>
      <c r="C97" s="23" t="s">
        <v>396</v>
      </c>
      <c r="D97" s="23" t="s">
        <v>428</v>
      </c>
      <c r="E97" s="23" t="s">
        <v>429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432</v>
      </c>
      <c r="B98" s="23" t="s">
        <v>423</v>
      </c>
      <c r="C98" s="23" t="s">
        <v>396</v>
      </c>
      <c r="D98" s="23" t="s">
        <v>428</v>
      </c>
      <c r="E98" s="23" t="s">
        <v>429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433</v>
      </c>
      <c r="B99" s="23" t="s">
        <v>427</v>
      </c>
      <c r="C99" s="23" t="s">
        <v>396</v>
      </c>
      <c r="D99" s="23" t="s">
        <v>428</v>
      </c>
      <c r="E99" s="23" t="s">
        <v>429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434</v>
      </c>
      <c r="B100" s="23" t="s">
        <v>427</v>
      </c>
      <c r="C100" s="23" t="s">
        <v>396</v>
      </c>
      <c r="D100" s="23" t="s">
        <v>428</v>
      </c>
      <c r="E100" s="23" t="s">
        <v>429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435</v>
      </c>
      <c r="B101" s="23" t="s">
        <v>427</v>
      </c>
      <c r="C101" s="23" t="s">
        <v>396</v>
      </c>
      <c r="D101" s="23" t="s">
        <v>428</v>
      </c>
      <c r="E101" s="23" t="s">
        <v>429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436</v>
      </c>
      <c r="B102" s="23" t="s">
        <v>427</v>
      </c>
      <c r="C102" s="23" t="s">
        <v>396</v>
      </c>
      <c r="D102" s="23" t="s">
        <v>428</v>
      </c>
      <c r="E102" s="23" t="s">
        <v>429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437</v>
      </c>
      <c r="B103" s="23" t="s">
        <v>425</v>
      </c>
      <c r="C103" s="23" t="s">
        <v>396</v>
      </c>
      <c r="D103" s="23" t="s">
        <v>428</v>
      </c>
      <c r="E103" s="23" t="s">
        <v>429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438</v>
      </c>
      <c r="B104" s="23" t="s">
        <v>367</v>
      </c>
      <c r="C104" s="23" t="s">
        <v>396</v>
      </c>
      <c r="D104" s="23" t="s">
        <v>428</v>
      </c>
      <c r="E104" s="23" t="s">
        <v>429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439</v>
      </c>
      <c r="B105" s="23" t="s">
        <v>440</v>
      </c>
      <c r="C105" s="23" t="s">
        <v>396</v>
      </c>
      <c r="D105" s="23" t="s">
        <v>441</v>
      </c>
      <c r="E105" s="23" t="s">
        <v>442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443</v>
      </c>
      <c r="B106" s="23" t="s">
        <v>440</v>
      </c>
      <c r="C106" s="23" t="s">
        <v>396</v>
      </c>
      <c r="D106" s="23" t="s">
        <v>441</v>
      </c>
      <c r="E106" s="23" t="s">
        <v>442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444</v>
      </c>
      <c r="B107" s="23" t="s">
        <v>440</v>
      </c>
      <c r="C107" s="23" t="s">
        <v>396</v>
      </c>
      <c r="D107" s="23" t="s">
        <v>441</v>
      </c>
      <c r="E107" s="23" t="s">
        <v>442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445</v>
      </c>
      <c r="B108" s="23" t="s">
        <v>440</v>
      </c>
      <c r="C108" s="23" t="s">
        <v>396</v>
      </c>
      <c r="D108" s="23" t="s">
        <v>441</v>
      </c>
      <c r="E108" s="23" t="s">
        <v>442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446</v>
      </c>
      <c r="B109" s="23" t="s">
        <v>440</v>
      </c>
      <c r="C109" s="23" t="s">
        <v>396</v>
      </c>
      <c r="D109" s="23" t="s">
        <v>441</v>
      </c>
      <c r="E109" s="23" t="s">
        <v>442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447</v>
      </c>
      <c r="B110" s="23" t="s">
        <v>440</v>
      </c>
      <c r="C110" s="23" t="s">
        <v>396</v>
      </c>
      <c r="D110" s="23" t="s">
        <v>441</v>
      </c>
      <c r="E110" s="23" t="s">
        <v>442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448</v>
      </c>
      <c r="B111" s="23" t="s">
        <v>440</v>
      </c>
      <c r="C111" s="23" t="s">
        <v>396</v>
      </c>
      <c r="D111" s="23" t="s">
        <v>441</v>
      </c>
      <c r="E111" s="23" t="s">
        <v>442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449</v>
      </c>
      <c r="B112" s="23" t="s">
        <v>440</v>
      </c>
      <c r="C112" s="23" t="s">
        <v>396</v>
      </c>
      <c r="D112" s="23" t="s">
        <v>441</v>
      </c>
      <c r="E112" s="23" t="s">
        <v>442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450</v>
      </c>
      <c r="B113" s="23" t="s">
        <v>440</v>
      </c>
      <c r="C113" s="23" t="s">
        <v>396</v>
      </c>
      <c r="D113" s="23" t="s">
        <v>441</v>
      </c>
      <c r="E113" s="23" t="s">
        <v>442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451</v>
      </c>
      <c r="B114" s="23" t="s">
        <v>440</v>
      </c>
      <c r="C114" s="23" t="s">
        <v>396</v>
      </c>
      <c r="D114" s="23" t="s">
        <v>441</v>
      </c>
      <c r="E114" s="23" t="s">
        <v>442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452</v>
      </c>
      <c r="B115" s="23" t="s">
        <v>453</v>
      </c>
      <c r="C115" s="23" t="s">
        <v>396</v>
      </c>
      <c r="D115" s="23" t="s">
        <v>441</v>
      </c>
      <c r="E115" s="23" t="s">
        <v>442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454</v>
      </c>
      <c r="B116" s="23" t="s">
        <v>453</v>
      </c>
      <c r="C116" s="23" t="s">
        <v>396</v>
      </c>
      <c r="D116" s="23" t="s">
        <v>441</v>
      </c>
      <c r="E116" s="23" t="s">
        <v>442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455</v>
      </c>
      <c r="B117" s="23" t="s">
        <v>440</v>
      </c>
      <c r="C117" s="23" t="s">
        <v>396</v>
      </c>
      <c r="D117" s="23" t="s">
        <v>441</v>
      </c>
      <c r="E117" s="23" t="s">
        <v>442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456</v>
      </c>
      <c r="B118" s="23" t="s">
        <v>457</v>
      </c>
      <c r="C118" s="23" t="s">
        <v>396</v>
      </c>
      <c r="D118" s="23" t="s">
        <v>441</v>
      </c>
      <c r="E118" s="23" t="s">
        <v>458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459</v>
      </c>
      <c r="B119" s="23" t="s">
        <v>457</v>
      </c>
      <c r="C119" s="23" t="s">
        <v>396</v>
      </c>
      <c r="D119" s="23" t="s">
        <v>441</v>
      </c>
      <c r="E119" s="23" t="s">
        <v>458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460</v>
      </c>
      <c r="B120" s="23" t="s">
        <v>461</v>
      </c>
      <c r="C120" s="23" t="s">
        <v>396</v>
      </c>
      <c r="D120" s="23" t="s">
        <v>441</v>
      </c>
      <c r="E120" s="23" t="s">
        <v>458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462</v>
      </c>
      <c r="B121" s="23" t="s">
        <v>461</v>
      </c>
      <c r="C121" s="23" t="s">
        <v>396</v>
      </c>
      <c r="D121" s="23" t="s">
        <v>441</v>
      </c>
      <c r="E121" s="23" t="s">
        <v>458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463</v>
      </c>
      <c r="B122" s="23" t="s">
        <v>453</v>
      </c>
      <c r="C122" s="23" t="s">
        <v>396</v>
      </c>
      <c r="D122" s="23" t="s">
        <v>441</v>
      </c>
      <c r="E122" s="23" t="s">
        <v>458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464</v>
      </c>
      <c r="B123" s="23" t="s">
        <v>461</v>
      </c>
      <c r="C123" s="23" t="s">
        <v>396</v>
      </c>
      <c r="D123" s="23" t="s">
        <v>441</v>
      </c>
      <c r="E123" s="23" t="s">
        <v>458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465</v>
      </c>
      <c r="B124" s="23" t="s">
        <v>461</v>
      </c>
      <c r="C124" s="23" t="s">
        <v>396</v>
      </c>
      <c r="D124" s="23" t="s">
        <v>441</v>
      </c>
      <c r="E124" s="23" t="s">
        <v>458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466</v>
      </c>
      <c r="B125" s="23" t="s">
        <v>461</v>
      </c>
      <c r="C125" s="23" t="s">
        <v>396</v>
      </c>
      <c r="D125" s="23" t="s">
        <v>441</v>
      </c>
      <c r="E125" s="23" t="s">
        <v>458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467</v>
      </c>
      <c r="B126" s="23" t="s">
        <v>461</v>
      </c>
      <c r="C126" s="23" t="s">
        <v>396</v>
      </c>
      <c r="D126" s="23" t="s">
        <v>441</v>
      </c>
      <c r="E126" s="23" t="s">
        <v>458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468</v>
      </c>
      <c r="B127" s="23" t="s">
        <v>461</v>
      </c>
      <c r="C127" s="23" t="s">
        <v>396</v>
      </c>
      <c r="D127" s="23" t="s">
        <v>441</v>
      </c>
      <c r="E127" s="23" t="s">
        <v>458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469</v>
      </c>
      <c r="B128" s="23" t="s">
        <v>461</v>
      </c>
      <c r="C128" s="23" t="s">
        <v>396</v>
      </c>
      <c r="D128" s="23" t="s">
        <v>441</v>
      </c>
      <c r="E128" s="23" t="s">
        <v>458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6" t="s">
        <v>470</v>
      </c>
      <c r="B1" s="26"/>
      <c r="C1" s="26"/>
      <c r="D1" s="26"/>
      <c r="E1" s="26"/>
      <c r="F1" s="26"/>
      <c r="G1" s="26"/>
      <c r="H1" s="26"/>
    </row>
    <row r="3" spans="1:37" ht="15" customHeight="1" x14ac:dyDescent="0.3">
      <c r="A3" s="16" t="s">
        <v>471</v>
      </c>
      <c r="B3" s="16" t="s">
        <v>472</v>
      </c>
      <c r="C3" s="16" t="s">
        <v>473</v>
      </c>
      <c r="D3" s="16" t="s">
        <v>474</v>
      </c>
      <c r="E3" s="16" t="s">
        <v>475</v>
      </c>
      <c r="F3" s="16" t="s">
        <v>476</v>
      </c>
      <c r="G3" s="16" t="s">
        <v>477</v>
      </c>
      <c r="H3" s="16" t="s">
        <v>478</v>
      </c>
      <c r="I3" s="16" t="s">
        <v>479</v>
      </c>
      <c r="J3" s="16" t="s">
        <v>480</v>
      </c>
      <c r="K3" s="16" t="s">
        <v>481</v>
      </c>
      <c r="L3" s="16" t="s">
        <v>482</v>
      </c>
      <c r="M3" s="16" t="s">
        <v>483</v>
      </c>
      <c r="N3" s="16" t="s">
        <v>484</v>
      </c>
      <c r="O3" s="16" t="s">
        <v>485</v>
      </c>
      <c r="P3" s="16" t="s">
        <v>486</v>
      </c>
      <c r="Q3" s="16" t="s">
        <v>487</v>
      </c>
      <c r="R3" s="16" t="s">
        <v>488</v>
      </c>
      <c r="S3" s="16" t="s">
        <v>489</v>
      </c>
      <c r="T3" s="16" t="s">
        <v>490</v>
      </c>
      <c r="U3" s="16" t="s">
        <v>491</v>
      </c>
      <c r="V3" s="16" t="s">
        <v>492</v>
      </c>
      <c r="W3" s="16" t="s">
        <v>493</v>
      </c>
      <c r="X3" s="16" t="s">
        <v>494</v>
      </c>
      <c r="Y3" s="16" t="s">
        <v>495</v>
      </c>
      <c r="Z3" s="16" t="s">
        <v>496</v>
      </c>
      <c r="AA3" s="16" t="s">
        <v>497</v>
      </c>
      <c r="AB3" s="16" t="s">
        <v>498</v>
      </c>
      <c r="AC3" s="16" t="s">
        <v>499</v>
      </c>
      <c r="AD3" s="16" t="s">
        <v>500</v>
      </c>
      <c r="AE3" s="16" t="s">
        <v>501</v>
      </c>
      <c r="AF3" s="16" t="s">
        <v>502</v>
      </c>
      <c r="AG3" s="16" t="s">
        <v>503</v>
      </c>
      <c r="AH3" s="16" t="s">
        <v>504</v>
      </c>
      <c r="AI3" s="16" t="s">
        <v>505</v>
      </c>
      <c r="AJ3" s="16" t="s">
        <v>506</v>
      </c>
      <c r="AK3" s="16" t="s">
        <v>507</v>
      </c>
    </row>
    <row r="4" spans="1:37" ht="15" customHeight="1" x14ac:dyDescent="0.3">
      <c r="A4" s="23" t="s">
        <v>508</v>
      </c>
      <c r="B4" s="23" t="s">
        <v>509</v>
      </c>
      <c r="C4" s="23" t="s">
        <v>510</v>
      </c>
      <c r="D4" s="23" t="s">
        <v>511</v>
      </c>
      <c r="E4" s="23" t="s">
        <v>512</v>
      </c>
      <c r="F4" s="23" t="s">
        <v>513</v>
      </c>
      <c r="G4" s="23" t="s">
        <v>82</v>
      </c>
      <c r="H4" s="23" t="s">
        <v>78</v>
      </c>
      <c r="I4" s="23" t="s">
        <v>514</v>
      </c>
      <c r="J4" s="23" t="s">
        <v>515</v>
      </c>
      <c r="K4" s="23" t="s">
        <v>516</v>
      </c>
      <c r="L4" s="23" t="s">
        <v>517</v>
      </c>
      <c r="M4" s="23" t="s">
        <v>518</v>
      </c>
      <c r="N4" s="23" t="s">
        <v>519</v>
      </c>
      <c r="O4" s="23" t="s">
        <v>520</v>
      </c>
      <c r="P4" s="23" t="s">
        <v>130</v>
      </c>
      <c r="Q4" s="23" t="s">
        <v>521</v>
      </c>
      <c r="R4" s="23" t="s">
        <v>522</v>
      </c>
      <c r="S4" s="23" t="s">
        <v>523</v>
      </c>
      <c r="T4" s="23" t="s">
        <v>524</v>
      </c>
      <c r="U4" s="23" t="s">
        <v>525</v>
      </c>
      <c r="V4" s="23" t="s">
        <v>163</v>
      </c>
      <c r="W4" s="23" t="s">
        <v>526</v>
      </c>
      <c r="X4" s="23" t="s">
        <v>513</v>
      </c>
      <c r="Y4" s="23" t="s">
        <v>213</v>
      </c>
      <c r="Z4" s="23" t="s">
        <v>527</v>
      </c>
      <c r="AA4" s="23" t="s">
        <v>528</v>
      </c>
      <c r="AB4" s="23" t="s">
        <v>529</v>
      </c>
      <c r="AC4" s="23" t="s">
        <v>530</v>
      </c>
      <c r="AD4" s="23" t="s">
        <v>531</v>
      </c>
      <c r="AE4" s="23" t="s">
        <v>532</v>
      </c>
      <c r="AF4" s="23" t="s">
        <v>533</v>
      </c>
      <c r="AG4" s="23" t="s">
        <v>213</v>
      </c>
      <c r="AH4" s="23" t="s">
        <v>534</v>
      </c>
      <c r="AI4" s="23" t="s">
        <v>535</v>
      </c>
      <c r="AJ4" s="23" t="s">
        <v>44</v>
      </c>
      <c r="AK4" s="23" t="s">
        <v>44</v>
      </c>
    </row>
    <row r="5" spans="1:37" ht="15" customHeight="1" x14ac:dyDescent="0.3">
      <c r="A5" s="23" t="s">
        <v>536</v>
      </c>
      <c r="B5" s="23" t="s">
        <v>537</v>
      </c>
      <c r="C5" s="23" t="s">
        <v>538</v>
      </c>
      <c r="D5" s="23" t="s">
        <v>539</v>
      </c>
      <c r="E5" s="23" t="s">
        <v>540</v>
      </c>
      <c r="F5" s="23" t="s">
        <v>541</v>
      </c>
      <c r="G5" s="23" t="s">
        <v>542</v>
      </c>
      <c r="H5" s="23" t="s">
        <v>543</v>
      </c>
      <c r="I5" s="23" t="s">
        <v>544</v>
      </c>
      <c r="J5" s="23" t="s">
        <v>545</v>
      </c>
      <c r="K5" s="23" t="s">
        <v>546</v>
      </c>
      <c r="L5" s="23" t="s">
        <v>113</v>
      </c>
      <c r="M5" s="23" t="s">
        <v>116</v>
      </c>
      <c r="N5" s="23" t="s">
        <v>547</v>
      </c>
      <c r="O5" s="23" t="s">
        <v>548</v>
      </c>
      <c r="P5" s="23" t="s">
        <v>549</v>
      </c>
      <c r="Q5" s="23" t="s">
        <v>550</v>
      </c>
      <c r="R5" s="23" t="s">
        <v>551</v>
      </c>
      <c r="S5" s="23" t="s">
        <v>552</v>
      </c>
      <c r="T5" s="23" t="s">
        <v>553</v>
      </c>
      <c r="U5" s="23" t="s">
        <v>554</v>
      </c>
      <c r="V5" s="23" t="s">
        <v>555</v>
      </c>
      <c r="W5" s="23" t="s">
        <v>556</v>
      </c>
      <c r="X5" s="23" t="s">
        <v>557</v>
      </c>
      <c r="Y5" s="23" t="s">
        <v>558</v>
      </c>
      <c r="Z5" s="23" t="s">
        <v>559</v>
      </c>
      <c r="AA5" s="23" t="s">
        <v>560</v>
      </c>
      <c r="AB5" s="23" t="s">
        <v>561</v>
      </c>
      <c r="AC5" s="23" t="s">
        <v>562</v>
      </c>
      <c r="AD5" s="23" t="s">
        <v>563</v>
      </c>
      <c r="AE5" s="23" t="s">
        <v>564</v>
      </c>
      <c r="AF5" s="23" t="s">
        <v>565</v>
      </c>
      <c r="AG5" s="23" t="s">
        <v>558</v>
      </c>
      <c r="AH5" s="23" t="s">
        <v>566</v>
      </c>
      <c r="AI5" s="23" t="s">
        <v>567</v>
      </c>
      <c r="AJ5" s="23" t="s">
        <v>568</v>
      </c>
      <c r="AK5" s="23" t="s">
        <v>568</v>
      </c>
    </row>
    <row r="6" spans="1:37" ht="15" customHeight="1" x14ac:dyDescent="0.3">
      <c r="A6" s="23" t="s">
        <v>569</v>
      </c>
      <c r="B6" s="23" t="s">
        <v>570</v>
      </c>
      <c r="C6" s="23" t="s">
        <v>34</v>
      </c>
      <c r="D6" s="23" t="s">
        <v>571</v>
      </c>
      <c r="E6" s="23" t="s">
        <v>572</v>
      </c>
      <c r="F6" s="23" t="s">
        <v>573</v>
      </c>
      <c r="G6" s="23" t="s">
        <v>574</v>
      </c>
      <c r="H6" s="23" t="s">
        <v>575</v>
      </c>
      <c r="I6" s="23" t="s">
        <v>576</v>
      </c>
      <c r="J6" s="23" t="s">
        <v>577</v>
      </c>
      <c r="K6" s="23" t="s">
        <v>578</v>
      </c>
      <c r="L6" s="23" t="s">
        <v>579</v>
      </c>
      <c r="M6" s="23" t="s">
        <v>580</v>
      </c>
      <c r="N6" s="23" t="s">
        <v>581</v>
      </c>
      <c r="O6" s="23" t="s">
        <v>582</v>
      </c>
      <c r="P6" s="23" t="s">
        <v>583</v>
      </c>
      <c r="Q6" s="23" t="s">
        <v>584</v>
      </c>
      <c r="R6" s="23" t="s">
        <v>585</v>
      </c>
      <c r="S6" s="23" t="s">
        <v>586</v>
      </c>
      <c r="T6" s="23" t="s">
        <v>587</v>
      </c>
      <c r="U6" s="23" t="s">
        <v>588</v>
      </c>
      <c r="V6" s="23" t="s">
        <v>589</v>
      </c>
      <c r="W6" s="23" t="s">
        <v>590</v>
      </c>
      <c r="X6" s="23" t="s">
        <v>189</v>
      </c>
      <c r="Y6" s="23" t="s">
        <v>269</v>
      </c>
      <c r="Z6" s="23" t="s">
        <v>189</v>
      </c>
      <c r="AA6" s="23" t="s">
        <v>591</v>
      </c>
      <c r="AB6" s="23" t="s">
        <v>592</v>
      </c>
      <c r="AC6" s="23" t="s">
        <v>593</v>
      </c>
      <c r="AD6" s="23" t="s">
        <v>594</v>
      </c>
      <c r="AE6" s="23" t="s">
        <v>263</v>
      </c>
      <c r="AF6" s="23" t="s">
        <v>595</v>
      </c>
      <c r="AG6" s="23" t="s">
        <v>269</v>
      </c>
      <c r="AH6" s="23" t="s">
        <v>593</v>
      </c>
      <c r="AI6" s="23" t="s">
        <v>596</v>
      </c>
      <c r="AK6" s="23" t="s">
        <v>597</v>
      </c>
    </row>
    <row r="7" spans="1:37" ht="15" customHeight="1" x14ac:dyDescent="0.3">
      <c r="A7" s="23" t="s">
        <v>30</v>
      </c>
      <c r="B7" s="23" t="s">
        <v>32</v>
      </c>
      <c r="C7" s="23" t="s">
        <v>598</v>
      </c>
      <c r="D7" s="23" t="s">
        <v>599</v>
      </c>
      <c r="E7" s="23" t="s">
        <v>600</v>
      </c>
      <c r="F7" s="23" t="s">
        <v>601</v>
      </c>
      <c r="G7" s="23" t="s">
        <v>602</v>
      </c>
      <c r="H7" s="23" t="s">
        <v>603</v>
      </c>
      <c r="I7" s="23" t="s">
        <v>604</v>
      </c>
      <c r="J7" s="23" t="s">
        <v>605</v>
      </c>
      <c r="K7" s="23" t="s">
        <v>606</v>
      </c>
      <c r="L7" s="23" t="s">
        <v>607</v>
      </c>
      <c r="M7" s="23" t="s">
        <v>608</v>
      </c>
      <c r="N7" s="23" t="s">
        <v>609</v>
      </c>
      <c r="O7" s="23" t="s">
        <v>610</v>
      </c>
      <c r="P7" s="23" t="s">
        <v>611</v>
      </c>
      <c r="Q7" s="23" t="s">
        <v>612</v>
      </c>
      <c r="R7" s="23" t="s">
        <v>613</v>
      </c>
      <c r="S7" s="23" t="s">
        <v>614</v>
      </c>
      <c r="T7" s="23" t="s">
        <v>615</v>
      </c>
      <c r="U7" s="23" t="s">
        <v>616</v>
      </c>
      <c r="V7" s="23" t="s">
        <v>617</v>
      </c>
      <c r="W7" s="23" t="s">
        <v>618</v>
      </c>
      <c r="X7" s="23" t="s">
        <v>619</v>
      </c>
      <c r="Z7" s="23" t="s">
        <v>620</v>
      </c>
      <c r="AA7" s="23" t="s">
        <v>621</v>
      </c>
      <c r="AB7" s="23" t="s">
        <v>622</v>
      </c>
      <c r="AC7" s="23" t="s">
        <v>623</v>
      </c>
      <c r="AD7" s="23" t="s">
        <v>624</v>
      </c>
      <c r="AE7" s="23" t="s">
        <v>625</v>
      </c>
      <c r="AF7" s="23" t="s">
        <v>626</v>
      </c>
      <c r="AH7" s="23" t="s">
        <v>627</v>
      </c>
      <c r="AI7" s="23" t="s">
        <v>628</v>
      </c>
    </row>
    <row r="8" spans="1:37" ht="15" customHeight="1" x14ac:dyDescent="0.3">
      <c r="A8" s="23" t="s">
        <v>629</v>
      </c>
      <c r="B8" s="23" t="s">
        <v>630</v>
      </c>
      <c r="C8" s="23" t="s">
        <v>631</v>
      </c>
      <c r="D8" s="23" t="s">
        <v>36</v>
      </c>
      <c r="E8" s="23" t="s">
        <v>38</v>
      </c>
      <c r="F8" s="23" t="s">
        <v>62</v>
      </c>
      <c r="G8" s="23" t="s">
        <v>632</v>
      </c>
      <c r="H8" s="23" t="s">
        <v>633</v>
      </c>
      <c r="I8" s="23" t="s">
        <v>634</v>
      </c>
      <c r="J8" s="23" t="s">
        <v>635</v>
      </c>
      <c r="L8" s="23" t="s">
        <v>636</v>
      </c>
      <c r="M8" s="23" t="s">
        <v>637</v>
      </c>
      <c r="N8" s="23" t="s">
        <v>638</v>
      </c>
      <c r="P8" s="23" t="s">
        <v>639</v>
      </c>
      <c r="Q8" s="23" t="s">
        <v>640</v>
      </c>
      <c r="R8" s="23" t="s">
        <v>641</v>
      </c>
      <c r="S8" s="23" t="s">
        <v>642</v>
      </c>
      <c r="U8" s="23" t="s">
        <v>643</v>
      </c>
      <c r="V8" s="23" t="s">
        <v>159</v>
      </c>
      <c r="W8" s="23" t="s">
        <v>160</v>
      </c>
      <c r="X8" s="23" t="s">
        <v>644</v>
      </c>
      <c r="Z8" s="23" t="s">
        <v>645</v>
      </c>
      <c r="AB8" s="23" t="s">
        <v>646</v>
      </c>
      <c r="AC8" s="23" t="s">
        <v>610</v>
      </c>
      <c r="AD8" s="23" t="s">
        <v>647</v>
      </c>
      <c r="AE8" s="23" t="s">
        <v>648</v>
      </c>
      <c r="AF8" s="23" t="s">
        <v>649</v>
      </c>
      <c r="AI8" s="23" t="s">
        <v>85</v>
      </c>
    </row>
    <row r="9" spans="1:37" ht="15" customHeight="1" x14ac:dyDescent="0.3">
      <c r="B9" s="23" t="s">
        <v>650</v>
      </c>
      <c r="C9" s="23" t="s">
        <v>651</v>
      </c>
      <c r="D9" s="23" t="s">
        <v>652</v>
      </c>
      <c r="E9" s="23" t="s">
        <v>653</v>
      </c>
      <c r="F9" s="23" t="s">
        <v>654</v>
      </c>
      <c r="I9" s="23" t="s">
        <v>79</v>
      </c>
      <c r="L9" s="23" t="s">
        <v>655</v>
      </c>
      <c r="M9" s="23" t="s">
        <v>656</v>
      </c>
      <c r="N9" s="23" t="s">
        <v>657</v>
      </c>
      <c r="P9" s="23" t="s">
        <v>658</v>
      </c>
      <c r="R9" s="23" t="s">
        <v>659</v>
      </c>
      <c r="S9" s="23" t="s">
        <v>660</v>
      </c>
      <c r="V9" s="23" t="s">
        <v>156</v>
      </c>
      <c r="W9" s="23" t="s">
        <v>661</v>
      </c>
      <c r="AB9" s="23" t="s">
        <v>662</v>
      </c>
      <c r="AE9" s="23" t="s">
        <v>663</v>
      </c>
      <c r="AF9" s="23" t="s">
        <v>267</v>
      </c>
      <c r="AI9" s="23" t="s">
        <v>627</v>
      </c>
    </row>
    <row r="10" spans="1:37" ht="15" customHeight="1" x14ac:dyDescent="0.3">
      <c r="C10" s="23" t="s">
        <v>664</v>
      </c>
      <c r="D10" s="23" t="s">
        <v>665</v>
      </c>
      <c r="E10" s="23" t="s">
        <v>666</v>
      </c>
      <c r="I10" s="23" t="s">
        <v>667</v>
      </c>
      <c r="L10" s="23" t="s">
        <v>668</v>
      </c>
      <c r="N10" s="23" t="s">
        <v>669</v>
      </c>
      <c r="R10" s="23" t="s">
        <v>670</v>
      </c>
      <c r="S10" s="23" t="s">
        <v>671</v>
      </c>
      <c r="W10" s="23" t="s">
        <v>672</v>
      </c>
      <c r="AB10" s="23" t="s">
        <v>673</v>
      </c>
      <c r="AF10" s="23" t="s">
        <v>674</v>
      </c>
    </row>
    <row r="11" spans="1:37" ht="15" customHeight="1" x14ac:dyDescent="0.3">
      <c r="C11" s="23" t="s">
        <v>675</v>
      </c>
      <c r="D11" s="23" t="s">
        <v>676</v>
      </c>
      <c r="I11" s="23" t="s">
        <v>677</v>
      </c>
      <c r="L11" s="23" t="s">
        <v>678</v>
      </c>
      <c r="N11" s="23" t="s">
        <v>118</v>
      </c>
      <c r="R11" s="23" t="s">
        <v>679</v>
      </c>
      <c r="S11" s="23" t="s">
        <v>680</v>
      </c>
      <c r="W11" s="23" t="s">
        <v>681</v>
      </c>
      <c r="AB11" s="23" t="s">
        <v>682</v>
      </c>
    </row>
    <row r="12" spans="1:37" ht="15" customHeight="1" x14ac:dyDescent="0.3">
      <c r="C12" s="23" t="s">
        <v>683</v>
      </c>
      <c r="D12" s="23" t="s">
        <v>684</v>
      </c>
      <c r="I12" s="23" t="s">
        <v>85</v>
      </c>
      <c r="L12" s="23" t="s">
        <v>685</v>
      </c>
      <c r="N12" s="23" t="s">
        <v>85</v>
      </c>
      <c r="R12" s="23" t="s">
        <v>686</v>
      </c>
      <c r="W12" s="23" t="s">
        <v>687</v>
      </c>
      <c r="AB12" s="23" t="s">
        <v>688</v>
      </c>
    </row>
    <row r="13" spans="1:37" ht="15" customHeight="1" x14ac:dyDescent="0.3">
      <c r="L13" s="23" t="s">
        <v>689</v>
      </c>
      <c r="R13" s="23" t="s">
        <v>690</v>
      </c>
      <c r="W13" s="23" t="s">
        <v>597</v>
      </c>
      <c r="AB13" s="23" t="s">
        <v>85</v>
      </c>
    </row>
    <row r="14" spans="1:37" ht="15" customHeight="1" x14ac:dyDescent="0.3">
      <c r="L14" s="23" t="s">
        <v>691</v>
      </c>
      <c r="R14" s="23" t="s">
        <v>134</v>
      </c>
    </row>
    <row r="15" spans="1:37" ht="15" customHeight="1" x14ac:dyDescent="0.3">
      <c r="L15" s="23" t="s">
        <v>692</v>
      </c>
    </row>
    <row r="16" spans="1:37" ht="15" customHeight="1" x14ac:dyDescent="0.3">
      <c r="L16" s="23" t="s">
        <v>85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2026-07-20T01:03:29Z</dcterms:modified>
  <dc:language>en-US</dc:language>
</cp:coreProperties>
</file>