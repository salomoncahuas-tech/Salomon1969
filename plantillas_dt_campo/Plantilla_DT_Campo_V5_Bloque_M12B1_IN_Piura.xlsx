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3" autoFilterDateGrouping="1"/>
  </bookViews>
  <sheets>
    <sheet xmlns:r="http://schemas.openxmlformats.org/officeDocument/2006/relationships" name="Resumen M12B1" sheetId="1" state="visible" r:id="rId1"/>
    <sheet xmlns:r="http://schemas.openxmlformats.org/officeDocument/2006/relationships" name="F-DT-01" sheetId="2" state="visible" r:id="rId2"/>
    <sheet xmlns:r="http://schemas.openxmlformats.org/officeDocument/2006/relationships" name="F-DT-02" sheetId="3" state="visible" r:id="rId3"/>
    <sheet xmlns:r="http://schemas.openxmlformats.org/officeDocument/2006/relationships" name="F-DT-03" sheetId="4" state="visible" r:id="rId4"/>
    <sheet xmlns:r="http://schemas.openxmlformats.org/officeDocument/2006/relationships" name="F-DT-04" sheetId="5" state="visible" r:id="rId5"/>
    <sheet xmlns:r="http://schemas.openxmlformats.org/officeDocument/2006/relationships" name="F-DT-05" sheetId="6" state="visible" r:id="rId6"/>
    <sheet xmlns:r="http://schemas.openxmlformats.org/officeDocument/2006/relationships" name="Bloques V4" sheetId="7" state="visible" r:id="rId7"/>
    <sheet xmlns:r="http://schemas.openxmlformats.org/officeDocument/2006/relationships" name="_Listas" sheetId="8" state="hidden" r:id="rId8"/>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1">'F-DT-01'!$1:$6</definedName>
    <definedName name="_xlnm.Print_Titles" localSheetId="2">'F-DT-02'!$1:$6</definedName>
    <definedName name="_xlnm.Print_Titles" localSheetId="3">'F-DT-03'!$1:$6</definedName>
    <definedName name="_xlnm.Print_Titles" localSheetId="4">'F-DT-04'!$1:$6</definedName>
    <definedName name="_xlnm.Print_Titles" localSheetId="5">'F-DT-05'!$1:$6</definedName>
  </definedNames>
  <calcPr calcId="191029" fullCalcOnLoad="1"/>
</workbook>
</file>

<file path=xl/styles.xml><?xml version="1.0" encoding="utf-8"?>
<styleSheet xmlns="http://schemas.openxmlformats.org/spreadsheetml/2006/main">
  <numFmts count="0"/>
  <fonts count="21">
    <font>
      <name val="Calibri"/>
      <charset val="1"/>
      <family val="2"/>
      <color theme="1"/>
      <sz val="11"/>
    </font>
    <font>
      <name val="Arial"/>
      <charset val="1"/>
      <b val="1"/>
      <color rgb="FFFFFFFF"/>
      <sz val="12"/>
    </font>
    <font>
      <name val="Arial"/>
      <charset val="1"/>
      <b val="1"/>
      <color rgb="FFFFFFFF"/>
      <sz val="10"/>
    </font>
    <font>
      <name val="Arial"/>
      <charset val="1"/>
      <b val="1"/>
      <color rgb="FFFFFFFF"/>
      <sz val="14"/>
    </font>
    <font>
      <name val="Arial"/>
      <charset val="1"/>
      <i val="1"/>
      <color rgb="FF555555"/>
      <sz val="9"/>
    </font>
    <font>
      <name val="Arial"/>
      <charset val="1"/>
      <i val="1"/>
      <color rgb="FF666666"/>
      <sz val="8"/>
    </font>
    <font>
      <name val="Arial"/>
      <charset val="1"/>
      <b val="1"/>
      <color rgb="FFFFFFFF"/>
      <sz val="11"/>
    </font>
    <font>
      <name val="Arial"/>
      <charset val="1"/>
      <b val="1"/>
      <color rgb="FF000000"/>
      <sz val="10"/>
    </font>
    <font>
      <name val="Arial"/>
      <charset val="1"/>
      <color rgb="FF000000"/>
      <sz val="10"/>
    </font>
    <font>
      <name val="Arial"/>
      <charset val="1"/>
      <i val="1"/>
      <color rgb="FF333333"/>
      <sz val="10"/>
    </font>
    <font>
      <name val="Arial"/>
      <charset val="1"/>
      <i val="1"/>
      <color rgb="FF555555"/>
      <sz val="8"/>
    </font>
    <font>
      <name val="Arial"/>
      <charset val="1"/>
      <b val="1"/>
      <color rgb="FFFFFFFF"/>
      <sz val="9"/>
    </font>
    <font>
      <name val="Arial"/>
      <charset val="1"/>
      <color rgb="FF000000"/>
      <sz val="9"/>
    </font>
    <font>
      <name val="Arial"/>
      <charset val="1"/>
      <b val="1"/>
      <color rgb="FF1B4D2E"/>
      <sz val="11"/>
    </font>
    <font>
      <name val="Arial"/>
      <b val="1"/>
      <color rgb="00FFFFFF"/>
      <sz val="10"/>
    </font>
    <font>
      <name val="Arial"/>
      <b val="1"/>
      <color rgb="00FFFFFF"/>
      <sz val="8"/>
    </font>
    <font>
      <name val="Arial"/>
      <b val="1"/>
      <color rgb="001B4D2E"/>
      <sz val="12"/>
    </font>
    <font>
      <name val="Arial"/>
      <b val="1"/>
      <color rgb="00FFFFFF"/>
      <sz val="11"/>
    </font>
    <font>
      <name val="Arial"/>
      <b val="1"/>
      <sz val="9"/>
    </font>
    <font>
      <name val="Arial"/>
      <sz val="9"/>
    </font>
    <font>
      <name val="Arial"/>
      <i val="1"/>
      <sz val="9"/>
    </font>
  </fonts>
  <fills count="11">
    <fill>
      <patternFill/>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
      <patternFill patternType="solid">
        <fgColor rgb="001B4D2E"/>
      </patternFill>
    </fill>
    <fill>
      <patternFill patternType="solid">
        <fgColor rgb="00F2F2F2"/>
      </patternFill>
    </fill>
    <fill>
      <patternFill patternType="solid">
        <fgColor rgb="00FFF2CC"/>
      </patternFill>
    </fill>
  </fills>
  <borders count="12">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7" fillId="4" borderId="1" applyAlignment="1" pivotButton="0" quotePrefix="0" xfId="0">
      <alignment horizontal="left" vertical="center" wrapText="1"/>
    </xf>
    <xf numFmtId="0" fontId="11" fillId="3" borderId="1" applyAlignment="1" pivotButton="0" quotePrefix="0" xfId="0">
      <alignment horizontal="center" vertical="center" wrapText="1"/>
    </xf>
    <xf numFmtId="0" fontId="12" fillId="5" borderId="1" applyAlignment="1" pivotButton="0" quotePrefix="0" xfId="0">
      <alignment horizontal="center" vertical="center" wrapText="1"/>
    </xf>
    <xf numFmtId="0" fontId="12" fillId="5" borderId="1" applyAlignment="1" pivotButton="0" quotePrefix="0" xfId="0">
      <alignment horizontal="left" vertical="center" wrapText="1"/>
    </xf>
    <xf numFmtId="0" fontId="12" fillId="4" borderId="1" applyAlignment="1" pivotButton="0" quotePrefix="0" xfId="0">
      <alignment horizontal="center" vertical="center" wrapText="1"/>
    </xf>
    <xf numFmtId="0" fontId="6" fillId="2" borderId="1" applyAlignment="1" pivotButton="0" quotePrefix="0" xfId="0">
      <alignment horizontal="center" vertical="center" wrapText="1"/>
    </xf>
    <xf numFmtId="0" fontId="12" fillId="4" borderId="1" applyAlignment="1" pivotButton="0" quotePrefix="0" xfId="0">
      <alignment horizontal="left" vertical="center" wrapText="1"/>
    </xf>
    <xf numFmtId="0" fontId="12" fillId="0" borderId="1" applyAlignment="1" pivotButton="0" quotePrefix="0" xfId="0">
      <alignment horizontal="left" vertical="center" wrapText="1"/>
    </xf>
    <xf numFmtId="3" fontId="12" fillId="0" borderId="1" applyAlignment="1" pivotButton="0" quotePrefix="0" xfId="0">
      <alignment horizontal="center" vertical="center" wrapText="1"/>
    </xf>
    <xf numFmtId="4" fontId="12" fillId="0" borderId="1" applyAlignment="1" pivotButton="0" quotePrefix="0" xfId="0">
      <alignment horizontal="center" vertical="center" wrapText="1"/>
    </xf>
    <xf numFmtId="0" fontId="0" fillId="0" borderId="4" pivotButton="0" quotePrefix="0" xfId="0"/>
    <xf numFmtId="0" fontId="9" fillId="6" borderId="1" applyAlignment="1" pivotButton="0" quotePrefix="0" xfId="0">
      <alignment horizontal="left" vertical="center" wrapText="1"/>
    </xf>
    <xf numFmtId="0" fontId="0" fillId="0" borderId="4" pivotButton="0" quotePrefix="0" xfId="0"/>
    <xf numFmtId="0" fontId="0" fillId="0" borderId="5" pivotButton="0" quotePrefix="0" xfId="0"/>
    <xf numFmtId="0" fontId="8" fillId="5" borderId="1" applyAlignment="1" pivotButton="0" quotePrefix="0" xfId="0">
      <alignment horizontal="left" vertical="center" wrapText="1"/>
    </xf>
    <xf numFmtId="0" fontId="1" fillId="2" borderId="0" applyAlignment="1" pivotButton="0" quotePrefix="0" xfId="0">
      <alignment horizontal="center" vertical="center" wrapText="1"/>
    </xf>
    <xf numFmtId="0" fontId="0" fillId="0" borderId="0" pivotButton="0" quotePrefix="0" xfId="0"/>
    <xf numFmtId="0" fontId="5" fillId="0" borderId="0"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4" fillId="0" borderId="0" applyAlignment="1" pivotButton="0" quotePrefix="0" xfId="0">
      <alignment horizontal="center" vertical="center" wrapText="1"/>
    </xf>
    <xf numFmtId="0" fontId="3" fillId="3" borderId="0" applyAlignment="1" pivotButton="0" quotePrefix="0" xfId="0">
      <alignment horizontal="center" vertical="center" wrapText="1"/>
    </xf>
    <xf numFmtId="0" fontId="8" fillId="5" borderId="1" applyAlignment="1" pivotButton="0" quotePrefix="0" xfId="0">
      <alignment horizontal="left" vertical="top" wrapText="1"/>
    </xf>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7" fillId="4" borderId="1" applyAlignment="1" pivotButton="0" quotePrefix="0" xfId="0">
      <alignment horizontal="left" vertical="center" wrapText="1"/>
    </xf>
    <xf numFmtId="0" fontId="10" fillId="7" borderId="1" applyAlignment="1" pivotButton="0" quotePrefix="0" xfId="0">
      <alignment horizontal="left" vertical="center" wrapText="1"/>
    </xf>
    <xf numFmtId="0" fontId="0" fillId="0" borderId="1" pivotButton="0" quotePrefix="0" xfId="0"/>
    <xf numFmtId="0" fontId="13" fillId="0" borderId="0" pivotButton="0" quotePrefix="0" xfId="0"/>
    <xf numFmtId="0" fontId="14" fillId="8" borderId="0" applyAlignment="1" pivotButton="0" quotePrefix="0" xfId="0">
      <alignment horizontal="center" vertical="center"/>
    </xf>
    <xf numFmtId="0" fontId="15" fillId="8" borderId="0" applyAlignment="1" pivotButton="0" quotePrefix="0" xfId="0">
      <alignment horizontal="center" vertical="center"/>
    </xf>
    <xf numFmtId="0" fontId="16" fillId="0" borderId="0" applyAlignment="1" pivotButton="0" quotePrefix="0" xfId="0">
      <alignment horizontal="center"/>
    </xf>
    <xf numFmtId="0" fontId="17" fillId="8" borderId="0" applyAlignment="1" pivotButton="0" quotePrefix="0" xfId="0">
      <alignment horizontal="center" vertical="center"/>
    </xf>
    <xf numFmtId="0" fontId="18" fillId="9" borderId="11" pivotButton="0" quotePrefix="0" xfId="0"/>
    <xf numFmtId="0" fontId="19" fillId="0" borderId="11" applyAlignment="1" pivotButton="0" quotePrefix="0" xfId="0">
      <alignment vertical="top" wrapText="1"/>
    </xf>
    <xf numFmtId="0" fontId="0" fillId="0" borderId="11" pivotButton="0" quotePrefix="0" xfId="0"/>
    <xf numFmtId="0" fontId="20" fillId="1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001B4D2E"/>
    <outlinePr summaryBelow="1" summaryRight="1"/>
    <pageSetUpPr/>
  </sheetPr>
  <dimension ref="B2:D5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 customWidth="1" style="17" min="1" max="1"/>
    <col width="42" customWidth="1" style="17" min="2" max="2"/>
    <col width="62" customWidth="1" style="17" min="3" max="3"/>
    <col width="30" customWidth="1" style="17" min="4" max="4"/>
  </cols>
  <sheetData>
    <row r="2">
      <c r="B2" s="35" t="inlineStr">
        <is>
          <t>AUTORIDAD NACIONAL DE INFRAESTRUCTURA — ANIN</t>
        </is>
      </c>
    </row>
    <row r="3">
      <c r="B3" s="36" t="inlineStr">
        <is>
          <t>DIRECCIÓN DE INTERVENCIONES MULTISECTORIALES Y DE EMERGENCIA — DIME</t>
        </is>
      </c>
    </row>
    <row r="4">
      <c r="B4" s="36" t="inlineStr">
        <is>
          <t>SUBDIRECCIÓN DE ESTUDIOS DE INVERSIÓN — SESDI</t>
        </is>
      </c>
    </row>
    <row r="5" ht="24" customHeight="1" s="17">
      <c r="B5" s="37" t="inlineStr">
        <is>
          <t>DIAGNÓSTICO TERRITORIAL — BLOQUE M12B1  ·  Proyecto IN Piura · CUI 2669244</t>
        </is>
      </c>
    </row>
    <row r="7" ht="20" customHeight="1" s="17">
      <c r="B7" s="38" t="inlineStr">
        <is>
          <t>1. IDENTIFICACIÓN Y PARÁMETROS DE GABINETE</t>
        </is>
      </c>
    </row>
    <row r="8">
      <c r="B8" s="39" t="inlineStr">
        <is>
          <t>Código del bloque</t>
        </is>
      </c>
      <c r="C8" s="40" t="inlineStr">
        <is>
          <t>M12B1</t>
        </is>
      </c>
      <c r="D8" s="41" t="n"/>
    </row>
    <row r="9">
      <c r="B9" s="39" t="inlineStr">
        <is>
          <t>Microcuenca</t>
        </is>
      </c>
      <c r="C9" s="40" t="inlineStr">
        <is>
          <t>C1076-Q9588</t>
        </is>
      </c>
      <c r="D9" s="41" t="n"/>
    </row>
    <row r="10">
      <c r="B10" s="39" t="inlineStr">
        <is>
          <t>Departamento / Provincia / Distrito</t>
        </is>
      </c>
      <c r="C10" s="40" t="inlineStr">
        <is>
          <t>Piura / Huancabamba / Huarmaca</t>
        </is>
      </c>
      <c r="D10" s="41" t="n"/>
    </row>
    <row r="11">
      <c r="B11" s="39" t="inlineStr">
        <is>
          <t>Zona de planificación</t>
        </is>
      </c>
      <c r="C11" s="40" t="inlineStr">
        <is>
          <t>Z13</t>
        </is>
      </c>
      <c r="D11" s="41" t="n"/>
    </row>
    <row r="12">
      <c r="B12" s="39" t="inlineStr">
        <is>
          <t>Superficie oficial (Bloques V5)</t>
        </is>
      </c>
      <c r="C12" s="40" t="inlineStr">
        <is>
          <t>268.393 ha</t>
        </is>
      </c>
      <c r="D12" s="41" t="n"/>
    </row>
    <row r="13">
      <c r="B13" s="39" t="inlineStr">
        <is>
          <t>Centroide (UTM WGS84 17S)</t>
        </is>
      </c>
      <c r="C13" s="40" t="inlineStr">
        <is>
          <t>644 546 m E · 9 389 106 m N</t>
        </is>
      </c>
      <c r="D13" s="41" t="n"/>
    </row>
    <row r="14">
      <c r="B14" s="39" t="inlineStr">
        <is>
          <t>Rango altitudinal (MDE)</t>
        </is>
      </c>
      <c r="C14" s="40" t="inlineStr">
        <is>
          <t>333 – 821 msnm (amplitud 488 m)</t>
        </is>
      </c>
      <c r="D14" s="41" t="n"/>
    </row>
    <row r="15">
      <c r="B15" s="39" t="inlineStr">
        <is>
          <t>Pendiente promedio (MDE)</t>
        </is>
      </c>
      <c r="C15" s="40" t="inlineStr">
        <is>
          <t>18.18 %</t>
        </is>
      </c>
      <c r="D15" s="41" t="n"/>
    </row>
    <row r="16">
      <c r="B16" s="39" t="inlineStr">
        <is>
          <t>MSAVI 2024 (media zonal)</t>
        </is>
      </c>
      <c r="C16" s="40" t="inlineStr">
        <is>
          <t>0.3475</t>
        </is>
      </c>
      <c r="D16" s="41" t="n"/>
    </row>
    <row r="17">
      <c r="B17" s="39" t="inlineStr">
        <is>
          <t>Centro(s) poblado(s) asociado(s)</t>
        </is>
      </c>
      <c r="C17" s="40" t="inlineStr">
        <is>
          <t>Nueva Esperanza de Los Molinos y Faicalito</t>
        </is>
      </c>
      <c r="D17" s="41" t="n"/>
    </row>
    <row r="18">
      <c r="B18" s="39" t="inlineStr">
        <is>
          <t>Ecosistema (UP)</t>
        </is>
      </c>
      <c r="C18" s="40" t="inlineStr">
        <is>
          <t>Bosque Estacionalmente Seco de Colina y Montaña (Bes-cm)</t>
        </is>
      </c>
      <c r="D18" s="41" t="n"/>
    </row>
    <row r="20" ht="20" customHeight="1" s="17">
      <c r="B20" s="38" t="inlineStr">
        <is>
          <t>2. VERIFICACIÓN DE CAMPO</t>
        </is>
      </c>
    </row>
    <row r="21">
      <c r="B21" s="39" t="inlineStr">
        <is>
          <t>Fuente del levantamiento</t>
        </is>
      </c>
      <c r="C21" s="40" t="inlineStr">
        <is>
          <t>Segundo Entregable — OS N° 0002841-2026 (Ing. Juan C. Domínguez V.)</t>
        </is>
      </c>
      <c r="D21" s="41" t="n"/>
    </row>
    <row r="22">
      <c r="B22" s="39" t="inlineStr">
        <is>
          <t>Ficha F-DT en el ANEXO 01</t>
        </is>
      </c>
      <c r="C22" s="40" t="inlineStr">
        <is>
          <t>Sí — F-DT-01, F-DT-03 y F-DT-04</t>
        </is>
      </c>
      <c r="D22" s="41" t="n"/>
    </row>
    <row r="23">
      <c r="B23" s="39" t="inlineStr">
        <is>
          <t>Fecha de evaluación</t>
        </is>
      </c>
      <c r="C23" s="40" t="inlineStr">
        <is>
          <t>10-08-2026</t>
        </is>
      </c>
      <c r="D23" s="41" t="n"/>
    </row>
    <row r="24">
      <c r="B24" s="39" t="inlineStr">
        <is>
          <t>Hora de registro</t>
        </is>
      </c>
      <c r="C24" s="40" t="inlineStr">
        <is>
          <t>11:46</t>
        </is>
      </c>
      <c r="D24" s="41" t="n"/>
    </row>
    <row r="25">
      <c r="B25" s="39" t="inlineStr">
        <is>
          <t>Responsable de brigada</t>
        </is>
      </c>
      <c r="C25" s="40" t="inlineStr">
        <is>
          <t>Ing. Juan Domínguez</t>
        </is>
      </c>
      <c r="D25" s="41" t="n"/>
    </row>
    <row r="26">
      <c r="B26" s="39" t="inlineStr">
        <is>
          <t>Punto de muestreo (UTM 17S)</t>
        </is>
      </c>
      <c r="C26" s="40" t="inlineStr">
        <is>
          <t>643 508 m E · 9 389 713 m N</t>
        </is>
      </c>
      <c r="D26" s="41" t="n"/>
    </row>
    <row r="27">
      <c r="B27" s="39" t="inlineStr">
        <is>
          <t>Distancia punto de muestreo – centroide</t>
        </is>
      </c>
      <c r="C27" s="40" t="inlineStr">
        <is>
          <t>1 202 m</t>
        </is>
      </c>
      <c r="D27" s="41" t="n"/>
    </row>
    <row r="28">
      <c r="B28" s="39" t="inlineStr">
        <is>
          <t>Altitud GPS</t>
        </is>
      </c>
      <c r="C28" s="40" t="inlineStr">
        <is>
          <t>340.0 msnm</t>
        </is>
      </c>
      <c r="D28" s="41" t="n"/>
    </row>
    <row r="29">
      <c r="B29" s="39" t="inlineStr">
        <is>
          <t>Sistema de referencia</t>
        </is>
      </c>
      <c r="C29" s="40" t="inlineStr">
        <is>
          <t>UTM WGS 84 Zona 17 S (EPSG:32717)</t>
        </is>
      </c>
      <c r="D29" s="41" t="n"/>
    </row>
    <row r="31" ht="20" customHeight="1" s="17">
      <c r="B31" s="38" t="inlineStr">
        <is>
          <t>3. SÍNTESIS DEL DIAGNÓSTICO</t>
        </is>
      </c>
    </row>
    <row r="32">
      <c r="B32" s="39" t="inlineStr">
        <is>
          <t>Estado de conservación</t>
        </is>
      </c>
      <c r="C32" s="40" t="inlineStr">
        <is>
          <t>Medianamente alterado</t>
        </is>
      </c>
      <c r="D32" s="41" t="n"/>
    </row>
    <row r="33">
      <c r="B33" s="39" t="inlineStr">
        <is>
          <t>Uso actual dominante</t>
        </is>
      </c>
      <c r="C33" s="40" t="inlineStr">
        <is>
          <t>Pastoreo extensivo</t>
        </is>
      </c>
      <c r="D33" s="41" t="n"/>
    </row>
    <row r="34">
      <c r="B34" s="39" t="inlineStr">
        <is>
          <t>Cobertura vegetal total (campo)</t>
        </is>
      </c>
      <c r="C34" s="40" t="inlineStr">
        <is>
          <t>70 %</t>
        </is>
      </c>
      <c r="D34" s="41" t="n"/>
    </row>
    <row r="35">
      <c r="B35" s="39" t="inlineStr">
        <is>
          <t>Nivel general de erosión</t>
        </is>
      </c>
      <c r="C35" s="40" t="inlineStr">
        <is>
          <t>Moderada (surcos)</t>
        </is>
      </c>
      <c r="D35" s="41" t="n"/>
    </row>
    <row r="36">
      <c r="B36" s="39" t="inlineStr">
        <is>
          <t>Cárcavas desarrolladas</t>
        </is>
      </c>
      <c r="C36" s="40" t="inlineStr">
        <is>
          <t>No se identifican cárcavas desarrolladas dentro del bloque</t>
        </is>
      </c>
      <c r="D36" s="41" t="n"/>
    </row>
    <row r="37">
      <c r="B37" s="39" t="inlineStr">
        <is>
          <t>Velocidad de degradación</t>
        </is>
      </c>
      <c r="C37" s="40" t="inlineStr">
        <is>
          <t>Lenta</t>
        </is>
      </c>
      <c r="D37" s="41" t="n"/>
    </row>
    <row r="38">
      <c r="B38" s="39" t="inlineStr">
        <is>
          <t>Reversibilidad técnica</t>
        </is>
      </c>
      <c r="C38" s="40" t="inlineStr">
        <is>
          <t>Totalmente reversible</t>
        </is>
      </c>
      <c r="D38" s="41" t="n"/>
    </row>
    <row r="39">
      <c r="B39" s="39" t="inlineStr">
        <is>
          <t>Urgencia de intervención (campo)</t>
        </is>
      </c>
      <c r="C39" s="40" t="inlineStr">
        <is>
          <t>Baja</t>
        </is>
      </c>
      <c r="D39" s="41" t="n"/>
    </row>
    <row r="41" ht="20" customHeight="1" s="17">
      <c r="B41" s="38" t="inlineStr">
        <is>
          <t>4. LECTURA DE TELEDETECCIÓN Y PELIGROS (GdR-CCC)</t>
        </is>
      </c>
    </row>
    <row r="42" ht="58" customHeight="1" s="17">
      <c r="B42" s="39" t="inlineStr">
        <is>
          <t>MSAVI 2024 — distribución</t>
        </is>
      </c>
      <c r="C42" s="40" t="inlineStr">
        <is>
          <t>Clase 0.2650–0.3813 (naranja) dominante, con núcleos extensos y continuos de la clase ≤ 0.2650 (rojo) a lo largo de todo el flanco nororiental del polígono —el que mira al río Huarmaca y al CP Nueva Esperanza de Los Molinos— y en el sector norte. Parches de 0.3813–0.4976 en el interior y de 0.4976–0.6139 en fondos de vaguada.</t>
        </is>
      </c>
      <c r="D42" s="41" t="n"/>
    </row>
    <row r="43" ht="58" customHeight="1" s="17">
      <c r="B43" s="39" t="inlineStr">
        <is>
          <t>NDVI mediana 2025 — distribución</t>
        </is>
      </c>
      <c r="C43" s="40" t="inlineStr">
        <is>
          <t>Mosaico de «Vegetación mediana» y «Vegetación ligera», con núcleos de «Vegetación alta» en las vaguadas del sector central y meridional, y píxeles de «Tierra desnuda» (naranja) alineados a lo largo del borde oriental, coincidentes con los núcleos rojos del MSAVI.</t>
        </is>
      </c>
      <c r="D43" s="41" t="n"/>
    </row>
    <row r="44" ht="58" customHeight="1" s="17">
      <c r="B44" s="39" t="inlineStr">
        <is>
          <t>Contraste campo / teledetección</t>
        </is>
      </c>
      <c r="C44" s="40" t="inlineStr">
        <is>
          <t>MSAVI de 0.3475, en el tercio inferior del catálogo, frente a una cobertura declarada del 70 %. Además del efecto fenológico, aquí ambos índices coinciden en señalar degradación real y espacialmente concentrada en el flanco nororiental, contiguo al centro poblado y a la vía. Los píxeles de tierra desnuda del NDVI 2025 son evidencia independiente de que la pérdida de cobertura en esa franja no es solo estacional.</t>
        </is>
      </c>
      <c r="D44" s="41" t="n"/>
    </row>
    <row r="45" ht="15" customHeight="1" s="17">
      <c r="B45" s="39" t="inlineStr">
        <is>
          <t>Peligro por movimientos en masa (PMM)</t>
        </is>
      </c>
      <c r="C45" s="40" t="inlineStr">
        <is>
          <t>Bajo</t>
        </is>
      </c>
      <c r="D45" s="41" t="n"/>
    </row>
    <row r="46" ht="15" customHeight="1" s="17">
      <c r="B46" s="39" t="inlineStr">
        <is>
          <t>Erosión potencial hídrica (EPH)</t>
        </is>
      </c>
      <c r="C46" s="40" t="inlineStr">
        <is>
          <t>Medio</t>
        </is>
      </c>
      <c r="D46" s="41" t="n"/>
    </row>
    <row r="47" ht="15" customHeight="1" s="17">
      <c r="B47" s="39" t="inlineStr">
        <is>
          <t>Peligro generador de inundaciones (PGI)</t>
        </is>
      </c>
      <c r="C47" s="40" t="inlineStr">
        <is>
          <t>Medio</t>
        </is>
      </c>
      <c r="D47" s="41" t="n"/>
    </row>
    <row r="48" ht="15" customHeight="1" s="17">
      <c r="B48" s="39" t="inlineStr">
        <is>
          <t>Peligro integrado (PI) — preliminar</t>
        </is>
      </c>
      <c r="C48" s="40" t="inlineStr">
        <is>
          <t>Medio</t>
        </is>
      </c>
      <c r="D48" s="41" t="n"/>
    </row>
    <row r="49" ht="15" customHeight="1" s="17">
      <c r="B49" s="39" t="inlineStr">
        <is>
          <t>Prioridad propuesta (SESDI)</t>
        </is>
      </c>
      <c r="C49" s="40" t="inlineStr">
        <is>
          <t>Alta</t>
        </is>
      </c>
      <c r="D49" s="41" t="n"/>
    </row>
    <row r="50" ht="58" customHeight="1" s="17">
      <c r="B50" s="39" t="inlineStr">
        <is>
          <t>Sustento de la prioridad</t>
        </is>
      </c>
      <c r="C50" s="40" t="inlineStr">
        <is>
          <t>Bloque de gran superficie (268.39 ha) con un MSAVI en el tramo bajo del catálogo (0.3475), degradación confirmada por dos índices independientes y espacialmente delimitada en el flanco nororiental, y el mayor porcentaje de superficie con pendiente superior al 50 %. La conjunción de extensión, degradación verificable y susceptibilidad topográfica lo sitúa por encima de la urgencia «Baja» registrada en campo.</t>
        </is>
      </c>
      <c r="D50" s="41" t="n"/>
    </row>
    <row r="52" ht="20" customHeight="1" s="17">
      <c r="B52" s="38" t="inlineStr">
        <is>
          <t>5. ADVERTENCIA DE ALCANCE</t>
        </is>
      </c>
    </row>
    <row r="53">
      <c r="B53" s="42" t="inlineStr">
        <is>
          <t>Las fichas F-DT-02 (suelos y cárcavas) y F-DT-05 (recursos hídricos y accesibilidad) NO fueron levantadas en campo para ninguno de los seis bloques. Los campos de esas hojas que aparecen llenos derivan de las observaciones de las fichas F-DT-01/03/04 y de la narrativa del Segundo Entregable; los campos vacíos quedan POR COMPLETAR y se detallan en el informe técnico asociado. No se instalaron parcelas de muestreo, ni se efectuó colecta botánica ni medición instrumental de cárcavas, DAP o alturas.</t>
        </is>
      </c>
    </row>
    <row r="54"/>
    <row r="55"/>
    <row r="56"/>
  </sheetData>
  <mergeCells count="47">
    <mergeCell ref="C34:D34"/>
    <mergeCell ref="C24:D24"/>
    <mergeCell ref="C15:D15"/>
    <mergeCell ref="C33:D33"/>
    <mergeCell ref="C42:D42"/>
    <mergeCell ref="C14:D14"/>
    <mergeCell ref="C45:D45"/>
    <mergeCell ref="C26:D26"/>
    <mergeCell ref="C35:D35"/>
    <mergeCell ref="C29:D29"/>
    <mergeCell ref="C10:D10"/>
    <mergeCell ref="C16:D16"/>
    <mergeCell ref="C47:D47"/>
    <mergeCell ref="C25:D25"/>
    <mergeCell ref="C50:D50"/>
    <mergeCell ref="C44:D44"/>
    <mergeCell ref="C22:D22"/>
    <mergeCell ref="C9:D9"/>
    <mergeCell ref="B20:D20"/>
    <mergeCell ref="C43:D43"/>
    <mergeCell ref="C12:D12"/>
    <mergeCell ref="B5:D5"/>
    <mergeCell ref="C46:D46"/>
    <mergeCell ref="C21:D21"/>
    <mergeCell ref="B41:D41"/>
    <mergeCell ref="C11:D11"/>
    <mergeCell ref="C27:D27"/>
    <mergeCell ref="B4:D4"/>
    <mergeCell ref="C36:D36"/>
    <mergeCell ref="B7:D7"/>
    <mergeCell ref="C17:D17"/>
    <mergeCell ref="C23:D23"/>
    <mergeCell ref="C39:D39"/>
    <mergeCell ref="C8:D8"/>
    <mergeCell ref="C48:D48"/>
    <mergeCell ref="B3:D3"/>
    <mergeCell ref="C32:D32"/>
    <mergeCell ref="C38:D38"/>
    <mergeCell ref="B31:D31"/>
    <mergeCell ref="B53:D56"/>
    <mergeCell ref="C37:D37"/>
    <mergeCell ref="C28:D28"/>
    <mergeCell ref="B52:D52"/>
    <mergeCell ref="C13:D13"/>
    <mergeCell ref="C18:D18"/>
    <mergeCell ref="B2:D2"/>
    <mergeCell ref="C49:D49"/>
  </mergeCells>
  <pageMargins left="0.75" right="0.75" top="1" bottom="1" header="0.5" footer="0.5"/>
</worksheet>
</file>

<file path=xl/worksheets/sheet2.xml><?xml version="1.0" encoding="utf-8"?>
<worksheet xmlns="http://schemas.openxmlformats.org/spreadsheetml/2006/main">
  <sheetPr>
    <tabColor rgb="007F9F7F"/>
    <outlinePr summaryBelow="1" summaryRight="1"/>
    <pageSetUpPr fitToPage="1"/>
  </sheetPr>
  <dimension ref="A1:H35"/>
  <sheetViews>
    <sheetView showGridLines="0" zoomScaleNormal="100" workbookViewId="0">
      <pane ySplit="6" topLeftCell="A20" activePane="bottomLeft" state="frozen"/>
      <selection pane="bottomLeft" activeCell="B26" sqref="B26:H26"/>
    </sheetView>
  </sheetViews>
  <sheetFormatPr baseColWidth="10" defaultColWidth="8.6640625" defaultRowHeight="14.4"/>
  <cols>
    <col width="38" customWidth="1" style="17" min="1" max="1"/>
    <col width="16" customWidth="1" style="17" min="2" max="4"/>
    <col width="24" customWidth="1" style="17" min="5" max="5"/>
    <col width="14" customWidth="1" style="17" min="6" max="8"/>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F-DT-01: DATOS GENERALES Y FISIOGRAFÍA DEL BLOQUE</t>
        </is>
      </c>
    </row>
    <row r="5" ht="27.75" customHeight="1" s="17">
      <c r="A5" s="21" t="inlineStr">
        <is>
          <t>Identificación del bloque e inventario rápido de parámetros fisiográficos observados a escala del bloque. Base para todos los formatos F-DT siguientes.</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 Y LOCALIZACIÓN</t>
        </is>
      </c>
    </row>
    <row r="8" ht="19.5" customHeight="1" s="17">
      <c r="A8" s="31" t="inlineStr">
        <is>
          <t>Fecha (dd-mm-aaaa) *</t>
        </is>
      </c>
      <c r="B8" s="15" t="inlineStr">
        <is>
          <t>10-08-2026</t>
        </is>
      </c>
      <c r="C8" s="13" t="n"/>
      <c r="D8" s="14" t="n"/>
      <c r="E8" s="31" t="inlineStr">
        <is>
          <t>Hora de registro</t>
        </is>
      </c>
      <c r="F8" s="15" t="inlineStr">
        <is>
          <t>11:46</t>
        </is>
      </c>
      <c r="G8" s="13" t="n"/>
      <c r="H8" s="14" t="n"/>
    </row>
    <row r="9" ht="19.5" customHeight="1" s="17">
      <c r="A9" s="31" t="inlineStr">
        <is>
          <t>Brigada / Responsable *</t>
        </is>
      </c>
      <c r="B9" s="15" t="inlineStr">
        <is>
          <t>Ing. Juan Domínguez</t>
        </is>
      </c>
      <c r="C9" s="13" t="n"/>
      <c r="D9" s="14" t="n"/>
      <c r="E9" s="31" t="inlineStr">
        <is>
          <t>Ficha N° (correlativo)</t>
        </is>
      </c>
      <c r="F9" s="15" t="inlineStr">
        <is>
          <t>01</t>
        </is>
      </c>
      <c r="G9" s="13" t="n"/>
      <c r="H9" s="14" t="n"/>
    </row>
    <row r="10" ht="19.5" customHeight="1" s="17">
      <c r="A10" s="31" t="inlineStr">
        <is>
          <t>Código del Bloque *</t>
        </is>
      </c>
      <c r="B10" s="15" t="inlineStr">
        <is>
          <t>M12B1</t>
        </is>
      </c>
      <c r="C10" s="13" t="n"/>
      <c r="D10" s="14" t="n"/>
      <c r="E10" s="31" t="inlineStr">
        <is>
          <t>Código de Microcuenca</t>
        </is>
      </c>
      <c r="F10" s="12">
        <f>IFERROR(VLOOKUP($B$10,tbl_Bloques,2,FALSE()),"")</f>
        <v/>
      </c>
      <c r="G10" s="13" t="n"/>
      <c r="H10" s="14" t="n"/>
    </row>
    <row r="11" ht="19.5" customHeight="1" s="17">
      <c r="A11" s="31" t="inlineStr">
        <is>
          <t>Provincia (auto)</t>
        </is>
      </c>
      <c r="B11" s="12">
        <f>IFERROR(VLOOKUP($B$10,tbl_Bloques,3,FALSE()),"")</f>
        <v/>
      </c>
      <c r="C11" s="13" t="n"/>
      <c r="D11" s="14" t="n"/>
      <c r="E11" s="31" t="inlineStr">
        <is>
          <t>Distrito (auto)</t>
        </is>
      </c>
      <c r="F11" s="12">
        <f>IFERROR(VLOOKUP($B$10,tbl_Bloques,4,FALSE()),"")</f>
        <v/>
      </c>
      <c r="G11" s="13" t="n"/>
      <c r="H11" s="14" t="n"/>
    </row>
    <row r="12" ht="19.5" customHeight="1" s="17">
      <c r="A12" s="31" t="inlineStr">
        <is>
          <t>Zona del bloque (auto)</t>
        </is>
      </c>
      <c r="B12" s="12">
        <f>IFERROR(VLOOKUP($B$10,tbl_Bloques,5,FALSE()),"")</f>
        <v/>
      </c>
      <c r="C12" s="13" t="n"/>
      <c r="D12" s="14" t="n"/>
      <c r="E12" s="31" t="inlineStr">
        <is>
          <t>Área del bloque (ha) — auto</t>
        </is>
      </c>
      <c r="F12" s="12">
        <f>IFERROR(VLOOKUP($B$10,tbl_Bloques,8,FALSE()),"")</f>
        <v/>
      </c>
      <c r="G12" s="13" t="n"/>
      <c r="H12" s="14" t="n"/>
    </row>
    <row r="13" ht="19.5" customHeight="1" s="17">
      <c r="A13" s="31" t="inlineStr">
        <is>
          <t>UTM ESTE punto de muestreo (m) *</t>
        </is>
      </c>
      <c r="B13" s="15" t="n">
        <v>643508</v>
      </c>
      <c r="C13" s="13" t="n"/>
      <c r="D13" s="14" t="n"/>
      <c r="E13" s="31" t="inlineStr">
        <is>
          <t>UTM NORTE punto de muestreo (m) *</t>
        </is>
      </c>
      <c r="F13" s="15" t="n">
        <v>9389713</v>
      </c>
      <c r="G13" s="13" t="n"/>
      <c r="H13" s="14" t="n"/>
    </row>
    <row r="14" ht="19.5" customHeight="1" s="17">
      <c r="A14" s="31" t="inlineStr">
        <is>
          <t>Altitud GPS (msnm) *</t>
        </is>
      </c>
      <c r="B14" s="15" t="n">
        <v>340</v>
      </c>
      <c r="C14" s="13" t="n"/>
      <c r="D14" s="14" t="n"/>
      <c r="E14" s="31" t="inlineStr">
        <is>
          <t>Centro poblado más cercano</t>
        </is>
      </c>
      <c r="F14" s="15" t="inlineStr">
        <is>
          <t>Nueva Esperanza de Los Molinos y Faicalito</t>
        </is>
      </c>
      <c r="G14" s="13" t="n"/>
      <c r="H14" s="14" t="n"/>
    </row>
    <row r="15" ht="19.5" customHeight="1" s="17">
      <c r="A15" s="31" t="inlineStr">
        <is>
          <t>Comunidad Campesina (si aplica)</t>
        </is>
      </c>
      <c r="B15" s="15" t="inlineStr">
        <is>
          <t>—</t>
        </is>
      </c>
      <c r="C15" s="13" t="n"/>
      <c r="D15" s="13" t="n"/>
      <c r="E15" s="13" t="n"/>
      <c r="F15" s="13" t="n"/>
      <c r="G15" s="13" t="n"/>
      <c r="H15" s="14" t="n"/>
    </row>
    <row r="17" ht="21.75" customHeight="1" s="17">
      <c r="A17" s="19" t="inlineStr">
        <is>
          <t>2. CARACTERIZACIÓN FISIOGRÁFICA DEL BLOQUE</t>
        </is>
      </c>
    </row>
    <row r="18" ht="19.5" customHeight="1" s="17">
      <c r="A18" s="31" t="inlineStr">
        <is>
          <t>Forma predominante del terreno *</t>
        </is>
      </c>
      <c r="B18" s="15" t="inlineStr">
        <is>
          <t>Colinoso</t>
        </is>
      </c>
      <c r="C18" s="13" t="n"/>
      <c r="D18" s="13" t="n"/>
      <c r="E18" s="13" t="n"/>
      <c r="F18" s="13" t="n"/>
      <c r="G18" s="13" t="n"/>
      <c r="H18" s="14" t="n"/>
    </row>
    <row r="19" ht="19.5" customHeight="1" s="17">
      <c r="A19" s="31" t="inlineStr">
        <is>
          <t>Rango de pendiente dominante *</t>
        </is>
      </c>
      <c r="B19" s="15" t="inlineStr">
        <is>
          <t>25-50% (Mod. escarpado)</t>
        </is>
      </c>
      <c r="C19" s="13" t="n"/>
      <c r="D19" s="13" t="n"/>
      <c r="E19" s="13" t="n"/>
      <c r="F19" s="13" t="n"/>
      <c r="G19" s="13" t="n"/>
      <c r="H19" s="14" t="n"/>
    </row>
    <row r="20" ht="19.5" customHeight="1" s="17">
      <c r="A20" s="31" t="inlineStr">
        <is>
          <t>Posición fisiográfica *</t>
        </is>
      </c>
      <c r="B20" s="15" t="inlineStr">
        <is>
          <t>Ladera baja</t>
        </is>
      </c>
      <c r="C20" s="13" t="n"/>
      <c r="D20" s="13" t="n"/>
      <c r="E20" s="13" t="n"/>
      <c r="F20" s="13" t="n"/>
      <c r="G20" s="13" t="n"/>
      <c r="H20" s="14" t="n"/>
    </row>
    <row r="21" ht="19.5" customHeight="1" s="17">
      <c r="A21" s="31" t="inlineStr">
        <is>
          <t>Exposición / Orientación dominante *</t>
        </is>
      </c>
      <c r="B21" s="15" t="inlineStr">
        <is>
          <t>Norte</t>
        </is>
      </c>
      <c r="C21" s="13" t="n"/>
      <c r="D21" s="13" t="n"/>
      <c r="E21" s="13" t="n"/>
      <c r="F21" s="13" t="n"/>
      <c r="G21" s="13" t="n"/>
      <c r="H21" s="14" t="n"/>
    </row>
    <row r="22" ht="19.5" customHeight="1" s="17">
      <c r="A22" s="31" t="inlineStr">
        <is>
          <t>Rango altitudinal del bloque *</t>
        </is>
      </c>
      <c r="B22" s="15" t="inlineStr">
        <is>
          <t>&lt;1000 m (Yunga)</t>
        </is>
      </c>
      <c r="C22" s="13" t="n"/>
      <c r="D22" s="13" t="n"/>
      <c r="E22" s="13" t="n"/>
      <c r="F22" s="13" t="n"/>
      <c r="G22" s="13" t="n"/>
      <c r="H22" s="14" t="n"/>
    </row>
    <row r="23" ht="19.5" customHeight="1" s="17">
      <c r="A23" s="31" t="inlineStr">
        <is>
          <t>Paisaje dominante (descripción libre)</t>
        </is>
      </c>
      <c r="B23" s="15" t="inlineStr">
        <is>
          <t>Sistema de laderas convexo-cóncavas tributarias de la quebrada Q9588 (microcuenca C1076), con altitudes de 320 a 700 msnm y desniveles internos. Paisaje de colina media, dominado por bosque estacionalmente seco de colina y montaña y zona agrícola.</t>
        </is>
      </c>
      <c r="C23" s="13" t="n"/>
      <c r="D23" s="13" t="n"/>
      <c r="E23" s="13" t="n"/>
      <c r="F23" s="13" t="n"/>
      <c r="G23" s="13" t="n"/>
      <c r="H23" s="14" t="n"/>
    </row>
    <row r="25" ht="21.75" customHeight="1" s="17">
      <c r="A25" s="19" t="inlineStr">
        <is>
          <t>3. INDICIOS DE REMOCIÓN EN MASA E INESTABILIDAD</t>
        </is>
      </c>
    </row>
    <row r="26" ht="19.5" customHeight="1" s="17">
      <c r="A26" s="31" t="inlineStr">
        <is>
          <t>Presencia de afloramientos rocosos</t>
        </is>
      </c>
      <c r="B26" s="15" t="inlineStr">
        <is>
          <t>No</t>
        </is>
      </c>
      <c r="C26" s="13" t="n"/>
      <c r="D26" s="13" t="n"/>
      <c r="E26" s="13" t="n"/>
      <c r="F26" s="13" t="n"/>
      <c r="G26" s="13" t="n"/>
      <c r="H26" s="14" t="n"/>
    </row>
    <row r="27" ht="19.5" customHeight="1" s="17">
      <c r="A27" s="31" t="inlineStr">
        <is>
          <t>Presencia de escarpes activos *</t>
        </is>
      </c>
      <c r="B27" s="15" t="inlineStr">
        <is>
          <t>No</t>
        </is>
      </c>
      <c r="C27" s="13" t="n"/>
      <c r="D27" s="13" t="n"/>
      <c r="E27" s="13" t="n"/>
      <c r="F27" s="13" t="n"/>
      <c r="G27" s="13" t="n"/>
      <c r="H27" s="14" t="n"/>
    </row>
    <row r="28" ht="19.5" customHeight="1" s="17">
      <c r="A28" s="31" t="inlineStr">
        <is>
          <t>¿Reptación de suelo observada? *</t>
        </is>
      </c>
      <c r="B28" s="15" t="inlineStr">
        <is>
          <t>No</t>
        </is>
      </c>
      <c r="C28" s="13" t="n"/>
      <c r="D28" s="13" t="n"/>
      <c r="E28" s="13" t="n"/>
      <c r="F28" s="13" t="n"/>
      <c r="G28" s="13" t="n"/>
      <c r="H28" s="14" t="n"/>
    </row>
    <row r="29" ht="19.5" customHeight="1" s="17">
      <c r="A29" s="31" t="inlineStr">
        <is>
          <t>¿Deslizamientos antiguos observados?</t>
        </is>
      </c>
      <c r="B29" s="15" t="inlineStr">
        <is>
          <t>No</t>
        </is>
      </c>
      <c r="C29" s="13" t="n"/>
      <c r="D29" s="13" t="n"/>
      <c r="E29" s="13" t="n"/>
      <c r="F29" s="13" t="n"/>
      <c r="G29" s="13" t="n"/>
      <c r="H29" s="14" t="n"/>
    </row>
    <row r="30" ht="19.5" customHeight="1" s="17">
      <c r="A30" s="31" t="inlineStr">
        <is>
          <t>¿Remociones en masa activas? *</t>
        </is>
      </c>
      <c r="B30" s="15" t="inlineStr">
        <is>
          <t>No</t>
        </is>
      </c>
      <c r="C30" s="13" t="n"/>
      <c r="D30" s="13" t="n"/>
      <c r="E30" s="13" t="n"/>
      <c r="F30" s="13" t="n"/>
      <c r="G30" s="13" t="n"/>
      <c r="H30" s="14" t="n"/>
    </row>
    <row r="32" ht="21.75" customHeight="1" s="17">
      <c r="A32" s="19" t="inlineStr">
        <is>
          <t>OBSERVACIONES</t>
        </is>
      </c>
    </row>
    <row r="33" ht="27.75" customHeight="1" s="17">
      <c r="A33" s="23" t="inlineStr">
        <is>
          <t>El bloque se ubica en una ladera de colina alta. Presenta una pendiente menor a 60 %. El terreno se inclina más conforme se asciende. Se encuentra a una altitud de 380 msnm aprox. Presenta afloramiento rocoso, rocas semienterradas y piedras medianas a grandes dispersas en el área. Se tienen zonas con cobertura vegetal remanente. Esta ladera es empleada para el pastoreo extensivo de ganado caprino que pertenece al centro poblado próximo al bloque. También se ha evidenciado leña apilada en viviendas próximas al bloque.
El suelo del bloque presenta erosión eólica. En la ladera se observan estrías y surcos dejados por el tránsito habitual del ganado. Existen caminos de herradura dentro del bloque y áreas de suelo desprovistas de vegetación y expuestas a lluvia. El bloque se encuentra próximo a una vía afirmada y medios de vida.
INCONSISTENCIA INTERNA: la sección 3 de la ficha responde «No» a la presencia de afloramientos rocosos, mientras que estas mismas observaciones afirman que «presenta afloramiento rocoso». Ver discrepancia D-04.</t>
        </is>
      </c>
      <c r="B33" s="24" t="n"/>
      <c r="C33" s="24" t="n"/>
      <c r="D33" s="24" t="n"/>
      <c r="E33" s="24" t="n"/>
      <c r="F33" s="24" t="n"/>
      <c r="G33" s="24" t="n"/>
      <c r="H33" s="25" t="n"/>
    </row>
    <row r="34" ht="27.75" customHeight="1" s="17">
      <c r="A34" s="26" t="n"/>
      <c r="H34" s="27" t="n"/>
    </row>
    <row r="35" ht="27.75" customHeight="1" s="17">
      <c r="A35" s="28" t="n"/>
      <c r="B35" s="29" t="n"/>
      <c r="C35" s="29" t="n"/>
      <c r="D35" s="29" t="n"/>
      <c r="E35" s="29" t="n"/>
      <c r="F35" s="29" t="n"/>
      <c r="G35" s="29" t="n"/>
      <c r="H35" s="30" t="n"/>
    </row>
  </sheetData>
  <mergeCells count="37">
    <mergeCell ref="B11:D11"/>
    <mergeCell ref="B14:D14"/>
    <mergeCell ref="B8:D8"/>
    <mergeCell ref="F8:H8"/>
    <mergeCell ref="B30:H30"/>
    <mergeCell ref="B13:D13"/>
    <mergeCell ref="B15:H15"/>
    <mergeCell ref="A1:H1"/>
    <mergeCell ref="B20:H20"/>
    <mergeCell ref="A6:H6"/>
    <mergeCell ref="B10:D10"/>
    <mergeCell ref="B26:H26"/>
    <mergeCell ref="A7:H7"/>
    <mergeCell ref="F13:H13"/>
    <mergeCell ref="A25:H25"/>
    <mergeCell ref="B9:D9"/>
    <mergeCell ref="F9:H9"/>
    <mergeCell ref="B22:H22"/>
    <mergeCell ref="A3:H3"/>
    <mergeCell ref="B27:H27"/>
    <mergeCell ref="F14:H14"/>
    <mergeCell ref="B18:H18"/>
    <mergeCell ref="B21:H21"/>
    <mergeCell ref="A2:H2"/>
    <mergeCell ref="A5:H5"/>
    <mergeCell ref="A32:H32"/>
    <mergeCell ref="F11:H11"/>
    <mergeCell ref="B23:H23"/>
    <mergeCell ref="A17:H17"/>
    <mergeCell ref="A4:H4"/>
    <mergeCell ref="F10:H10"/>
    <mergeCell ref="A33:H35"/>
    <mergeCell ref="B29:H29"/>
    <mergeCell ref="F12:H12"/>
    <mergeCell ref="B12:D12"/>
    <mergeCell ref="B19:H19"/>
    <mergeCell ref="B28:H28"/>
  </mergeCells>
  <dataValidations count="11">
    <dataValidation sqref="B10"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B18" showDropDown="0" showInputMessage="0" showErrorMessage="0" allowBlank="1" errorTitle="Valor no válido" error="Seleccione un valor de la lista desplegable." promptTitle="Forma predominante del terreno" prompt="Elija una opción de la lista." type="list">
      <formula1>lst_FormaTerreno</formula1>
      <formula2>0</formula2>
    </dataValidation>
    <dataValidation sqref="B19" showDropDown="0" showInputMessage="0" showErrorMessage="0" allowBlank="1" errorTitle="Valor no válido" error="Seleccione un valor de la lista desplegable." promptTitle="Rango de pendiente dominante *" prompt="Elija una opción de la lista." type="list">
      <formula1>lst_RangoPendiente</formula1>
      <formula2>0</formula2>
    </dataValidation>
    <dataValidation sqref="B20" showDropDown="0" showInputMessage="0" showErrorMessage="0" allowBlank="1" errorTitle="Valor no válido" error="Seleccione un valor de la lista desplegable." promptTitle="Posición fisiográfica *" prompt="Elija una opción de la lista." type="list">
      <formula1>lst_PosicionFisio</formula1>
      <formula2>0</formula2>
    </dataValidation>
    <dataValidation sqref="B21" showDropDown="0" showInputMessage="0" showErrorMessage="0" allowBlank="1" errorTitle="Valor no válido" error="Seleccione un valor de la lista desplegable." promptTitle="Exposición / Orientación domin" prompt="Elija una opción de la lista." type="list">
      <formula1>lst_Exposicion</formula1>
      <formula2>0</formula2>
    </dataValidation>
    <dataValidation sqref="B22" showDropDown="0" showInputMessage="0" showErrorMessage="0" allowBlank="1" errorTitle="Valor no válido" error="Seleccione un valor de la lista desplegable." promptTitle="Rango altitudinal del bloque *" prompt="Elija una opción de la lista." type="list">
      <formula1>lst_RangoAltitud</formula1>
      <formula2>0</formula2>
    </dataValidation>
    <dataValidation sqref="B26" showDropDown="0" showInputMessage="0" showErrorMessage="0" allowBlank="1" errorTitle="Valor no válido" error="Seleccione un valor de la lista desplegable." promptTitle="Presencia de afloramientos roc" prompt="Elija una opción de la lista." type="list">
      <formula1>lst_SiNo</formula1>
      <formula2>0</formula2>
    </dataValidation>
    <dataValidation sqref="B27" showDropDown="0" showInputMessage="0" showErrorMessage="0" allowBlank="1" errorTitle="Valor no válido" error="Seleccione un valor de la lista desplegable." promptTitle="Presencia de escarpes activos " prompt="Elija una opción de la lista." type="list">
      <formula1>lst_SiNo</formula1>
      <formula2>0</formula2>
    </dataValidation>
    <dataValidation sqref="B28" showDropDown="0" showInputMessage="0" showErrorMessage="0" allowBlank="1" errorTitle="Valor no válido" error="Seleccione un valor de la lista desplegable." promptTitle="¿Reptación de suelo observada?" prompt="Elija una opción de la lista." type="list">
      <formula1>lst_SiNo</formula1>
      <formula2>0</formula2>
    </dataValidation>
    <dataValidation sqref="B29" showDropDown="0" showInputMessage="0" showErrorMessage="0" allowBlank="1" errorTitle="Valor no válido" error="Seleccione un valor de la lista desplegable." promptTitle="¿Deslizamientos antiguos obser" prompt="Elija una opción de la lista." type="list">
      <formula1>lst_SiNo</formula1>
      <formula2>0</formula2>
    </dataValidation>
    <dataValidation sqref="B30" showDropDown="0" showInputMessage="0" showErrorMessage="0" allowBlank="1" errorTitle="Valor no válido" error="Seleccione un valor de la lista desplegable." promptTitle="¿Remociones en masa activas? *" prompt="Elija una opción de la lista." type="list">
      <formula1>lst_SiNo</formula1>
      <formula2>0</formula2>
    </dataValidation>
  </dataValidations>
  <printOptions horizontalCentered="1"/>
  <pageMargins left="0.4" right="0.4" top="0.5" bottom="0.5" header="0.2" footer="0.2"/>
  <pageSetup orientation="landscape" paperSize="9" fitToHeight="0" horizontalDpi="300" verticalDpi="300"/>
</worksheet>
</file>

<file path=xl/worksheets/sheet3.xml><?xml version="1.0" encoding="utf-8"?>
<worksheet xmlns="http://schemas.openxmlformats.org/spreadsheetml/2006/main">
  <sheetPr>
    <tabColor rgb="007F9F7F"/>
    <outlinePr summaryBelow="1" summaryRight="1"/>
    <pageSetUpPr fitToPage="1"/>
  </sheetPr>
  <dimension ref="A1:L44"/>
  <sheetViews>
    <sheetView showGridLines="0" zoomScaleNormal="100" workbookViewId="0">
      <pane ySplit="6" topLeftCell="A7" activePane="bottomLeft" state="frozen"/>
      <selection pane="bottomLeft" activeCell="D14" sqref="D14:L14"/>
    </sheetView>
  </sheetViews>
  <sheetFormatPr baseColWidth="10" defaultColWidth="8.6640625" defaultRowHeight="14.4"/>
  <cols>
    <col width="10" customWidth="1" style="17" min="1" max="1"/>
    <col width="26" customWidth="1" style="17" min="2" max="2"/>
    <col width="11" customWidth="1" style="17" min="3" max="3"/>
    <col width="12" customWidth="1" style="17" min="4" max="4"/>
    <col width="11" customWidth="1" style="17" min="5" max="5"/>
    <col width="12" customWidth="1" style="17" min="6" max="6"/>
    <col width="9" customWidth="1" style="17" min="7" max="9"/>
    <col width="18" customWidth="1" style="17" min="10" max="10"/>
    <col width="22" customWidth="1" style="17" min="11" max="11"/>
    <col width="14" customWidth="1" style="17" min="12" max="12"/>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F-DT-02: SUELO Y PROCESOS EROSIVOS (INCL. INVENTARIO DE CÁRCAVAS)</t>
        </is>
      </c>
    </row>
    <row r="5" ht="27.75" customHeight="1" s="17">
      <c r="A5" s="21" t="inlineStr">
        <is>
          <t>Caracterización de procesos erosivos del suelo a escala de bloque + inventario georreferenciado de cárcavas/surcos. Insumo para diseño de obras de control de erosión.</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(dd-mm-aaaa) *</t>
        </is>
      </c>
      <c r="B8" s="13" t="n"/>
      <c r="C8" s="14" t="n"/>
      <c r="D8" s="15" t="inlineStr">
        <is>
          <t>10-08-2026</t>
        </is>
      </c>
      <c r="E8" s="13" t="n"/>
      <c r="F8" s="14" t="n"/>
      <c r="G8" s="31" t="inlineStr">
        <is>
          <t>Responsable *</t>
        </is>
      </c>
      <c r="H8" s="13" t="n"/>
      <c r="I8" s="14" t="n"/>
      <c r="J8" s="15" t="inlineStr">
        <is>
          <t>Ing. Juan Domínguez</t>
        </is>
      </c>
      <c r="K8" s="13" t="n"/>
      <c r="L8" s="14" t="n"/>
    </row>
    <row r="9" ht="19.5" customHeight="1" s="17">
      <c r="A9" s="31" t="inlineStr">
        <is>
          <t>Código del Bloque *</t>
        </is>
      </c>
      <c r="B9" s="13" t="n"/>
      <c r="C9" s="14" t="n"/>
      <c r="D9" s="15" t="inlineStr">
        <is>
          <t>M12B1</t>
        </is>
      </c>
      <c r="E9" s="13" t="n"/>
      <c r="F9" s="14" t="n"/>
      <c r="G9" s="31" t="inlineStr">
        <is>
          <t>Código de Microcuenca (auto)</t>
        </is>
      </c>
      <c r="H9" s="13" t="n"/>
      <c r="I9" s="14" t="n"/>
      <c r="J9" s="12">
        <f>IFERROR(VLOOKUP($D$9,tbl_Bloques,2,FALSE()),"")</f>
        <v/>
      </c>
      <c r="K9" s="13" t="n"/>
      <c r="L9" s="14" t="n"/>
    </row>
    <row r="10" ht="19.5" customHeight="1" s="17">
      <c r="A10" s="31" t="inlineStr">
        <is>
          <t>Distrito (auto)</t>
        </is>
      </c>
      <c r="B10" s="13" t="n"/>
      <c r="C10" s="14" t="n"/>
      <c r="D10" s="12">
        <f>IFERROR(VLOOKUP($D$9,tbl_Bloques,4,FALSE()),"")</f>
        <v/>
      </c>
      <c r="E10" s="13" t="n"/>
      <c r="F10" s="14" t="n"/>
      <c r="G10" s="31" t="inlineStr">
        <is>
          <t>Altitud (msnm)</t>
        </is>
      </c>
      <c r="H10" s="13" t="n"/>
      <c r="I10" s="14" t="n"/>
      <c r="J10" s="15" t="n">
        <v>340</v>
      </c>
      <c r="K10" s="13" t="n"/>
      <c r="L10" s="14" t="n"/>
    </row>
    <row r="11" ht="19.5" customHeight="1" s="17">
      <c r="A11" s="31" t="inlineStr">
        <is>
          <t>UTM ESTE punto de muestreo *</t>
        </is>
      </c>
      <c r="B11" s="13" t="n"/>
      <c r="C11" s="14" t="n"/>
      <c r="D11" s="15" t="n">
        <v>643508</v>
      </c>
      <c r="E11" s="13" t="n"/>
      <c r="F11" s="14" t="n"/>
      <c r="G11" s="31" t="inlineStr">
        <is>
          <t>UTM NORTE punto de muestreo *</t>
        </is>
      </c>
      <c r="H11" s="13" t="n"/>
      <c r="I11" s="14" t="n"/>
      <c r="J11" s="15" t="n">
        <v>9389713</v>
      </c>
      <c r="K11" s="13" t="n"/>
      <c r="L11" s="14" t="n"/>
    </row>
    <row r="13" ht="21.75" customHeight="1" s="17">
      <c r="A13" s="19" t="inlineStr">
        <is>
          <t>2. DESCRIPCIÓN DE PROCESOS EROSIVOS DEL SUELO</t>
        </is>
      </c>
    </row>
    <row r="14" ht="19.5" customHeight="1" s="17">
      <c r="A14" s="31" t="inlineStr">
        <is>
          <t>Sellamiento / Costra superficial</t>
        </is>
      </c>
      <c r="B14" s="13" t="n"/>
      <c r="C14" s="14" t="n"/>
      <c r="D14" s="15" t="n"/>
      <c r="E14" s="13" t="n"/>
      <c r="F14" s="13" t="n"/>
      <c r="G14" s="13" t="n"/>
      <c r="H14" s="13" t="n"/>
      <c r="I14" s="13" t="n"/>
      <c r="J14" s="13" t="n"/>
      <c r="K14" s="13" t="n"/>
      <c r="L14" s="14" t="n"/>
    </row>
    <row r="15" ht="19.5" customHeight="1" s="17">
      <c r="A15" s="31" t="inlineStr">
        <is>
          <t>¿Compactación por pisoteo de ganado?</t>
        </is>
      </c>
      <c r="B15" s="13" t="n"/>
      <c r="C15" s="14" t="n"/>
      <c r="D15" s="15" t="inlineStr">
        <is>
          <t>Sí</t>
        </is>
      </c>
      <c r="E15" s="13" t="n"/>
      <c r="F15" s="13" t="n"/>
      <c r="G15" s="13" t="n"/>
      <c r="H15" s="13" t="n"/>
      <c r="I15" s="13" t="n"/>
      <c r="J15" s="13" t="n"/>
      <c r="K15" s="13" t="n"/>
      <c r="L15" s="14" t="n"/>
    </row>
    <row r="16" ht="19.5" customHeight="1" s="17">
      <c r="A16" s="31" t="inlineStr">
        <is>
          <t>¿Raíces expuestas en superficie?</t>
        </is>
      </c>
      <c r="B16" s="13" t="n"/>
      <c r="C16" s="14" t="n"/>
      <c r="D16" s="15" t="n"/>
      <c r="E16" s="13" t="n"/>
      <c r="F16" s="13" t="n"/>
      <c r="G16" s="13" t="n"/>
      <c r="H16" s="13" t="n"/>
      <c r="I16" s="13" t="n"/>
      <c r="J16" s="13" t="n"/>
      <c r="K16" s="13" t="n"/>
      <c r="L16" s="14" t="n"/>
    </row>
    <row r="17" ht="19.5" customHeight="1" s="17">
      <c r="A17" s="31" t="inlineStr">
        <is>
          <t>Nivel general de erosión observado *</t>
        </is>
      </c>
      <c r="B17" s="13" t="n"/>
      <c r="C17" s="14" t="n"/>
      <c r="D17" s="15" t="inlineStr">
        <is>
          <t>Moderada (surcos)</t>
        </is>
      </c>
      <c r="E17" s="13" t="n"/>
      <c r="F17" s="13" t="n"/>
      <c r="G17" s="13" t="n"/>
      <c r="H17" s="13" t="n"/>
      <c r="I17" s="13" t="n"/>
      <c r="J17" s="13" t="n"/>
      <c r="K17" s="13" t="n"/>
      <c r="L17" s="14" t="n"/>
    </row>
    <row r="19" ht="21.75" customHeight="1" s="17">
      <c r="A19" s="19" t="inlineStr">
        <is>
          <t>3. INVENTARIO GEORREFERENCIADO DE CÁRCAVAS / SURCOS</t>
        </is>
      </c>
    </row>
    <row r="20" ht="25.5" customHeight="1" s="17">
      <c r="A20" s="32" t="inlineStr">
        <is>
          <t>Registre una fila por cárcava o grupo de surcos homogéneos. Use los desplegables en columnas Tipo, Estado y Causa principal.</t>
        </is>
      </c>
      <c r="B20" s="13" t="n"/>
      <c r="C20" s="13" t="n"/>
      <c r="D20" s="13" t="n"/>
      <c r="E20" s="13" t="n"/>
      <c r="F20" s="13" t="n"/>
      <c r="G20" s="13" t="n"/>
      <c r="H20" s="13" t="n"/>
      <c r="I20" s="13" t="n"/>
      <c r="J20" s="13" t="n"/>
      <c r="K20" s="13" t="n"/>
      <c r="L20" s="14" t="n"/>
    </row>
    <row r="21" ht="31.5" customHeight="1" s="17">
      <c r="A21" s="2" t="inlineStr">
        <is>
          <t>Código
cárcava</t>
        </is>
      </c>
      <c r="B21" s="2" t="inlineStr">
        <is>
          <t>Tipo</t>
        </is>
      </c>
      <c r="C21" s="2" t="inlineStr">
        <is>
          <t>UTM ESTE
(inicio)</t>
        </is>
      </c>
      <c r="D21" s="2" t="inlineStr">
        <is>
          <t>UTM NORTE
(inicio)</t>
        </is>
      </c>
      <c r="E21" s="2" t="inlineStr">
        <is>
          <t>UTM ESTE
(fin)</t>
        </is>
      </c>
      <c r="F21" s="2" t="inlineStr">
        <is>
          <t>UTM NORTE
(fin)</t>
        </is>
      </c>
      <c r="G21" s="2" t="inlineStr">
        <is>
          <t>Long.
(m)</t>
        </is>
      </c>
      <c r="H21" s="2" t="inlineStr">
        <is>
          <t>Prof.
med. (m)</t>
        </is>
      </c>
      <c r="I21" s="2" t="inlineStr">
        <is>
          <t>Ancho
med. (m)</t>
        </is>
      </c>
      <c r="J21" s="2" t="inlineStr">
        <is>
          <t>Estado /
Actividad</t>
        </is>
      </c>
      <c r="K21" s="2" t="inlineStr">
        <is>
          <t>Causa
principal</t>
        </is>
      </c>
      <c r="L21" s="2" t="inlineStr">
        <is>
          <t>Cód.
Fotografía</t>
        </is>
      </c>
    </row>
    <row r="22" ht="19.5" customHeight="1" s="17">
      <c r="A22" s="3" t="n"/>
      <c r="B22" s="3" t="n"/>
      <c r="C22" s="3" t="n"/>
      <c r="D22" s="3" t="n"/>
      <c r="E22" s="3" t="n"/>
      <c r="F22" s="3" t="n"/>
      <c r="G22" s="3" t="n"/>
      <c r="H22" s="3" t="n"/>
      <c r="I22" s="3" t="n"/>
      <c r="J22" s="3" t="n"/>
      <c r="K22" s="4" t="n"/>
      <c r="L22" s="3" t="n"/>
    </row>
    <row r="23" ht="19.5" customHeight="1" s="17">
      <c r="A23" s="3" t="n"/>
      <c r="B23" s="3" t="n"/>
      <c r="C23" s="3" t="n"/>
      <c r="D23" s="3" t="n"/>
      <c r="E23" s="3" t="n"/>
      <c r="F23" s="3" t="n"/>
      <c r="G23" s="3" t="n"/>
      <c r="H23" s="3" t="n"/>
      <c r="I23" s="3" t="n"/>
      <c r="J23" s="3" t="n"/>
      <c r="K23" s="4" t="n"/>
      <c r="L23" s="3" t="n"/>
    </row>
    <row r="24" ht="19.5" customHeight="1" s="17">
      <c r="A24" s="3" t="n"/>
      <c r="B24" s="3" t="n"/>
      <c r="C24" s="3" t="n"/>
      <c r="D24" s="3" t="n"/>
      <c r="E24" s="3" t="n"/>
      <c r="F24" s="3" t="n"/>
      <c r="G24" s="3" t="n"/>
      <c r="H24" s="3" t="n"/>
      <c r="I24" s="3" t="n"/>
      <c r="J24" s="3" t="n"/>
      <c r="K24" s="4" t="n"/>
      <c r="L24" s="3" t="n"/>
    </row>
    <row r="25" ht="19.5" customHeight="1" s="17">
      <c r="A25" s="3" t="n"/>
      <c r="B25" s="3" t="n"/>
      <c r="C25" s="3" t="n"/>
      <c r="D25" s="3" t="n"/>
      <c r="E25" s="3" t="n"/>
      <c r="F25" s="3" t="n"/>
      <c r="G25" s="3" t="n"/>
      <c r="H25" s="3" t="n"/>
      <c r="I25" s="3" t="n"/>
      <c r="J25" s="3" t="n"/>
      <c r="K25" s="4" t="n"/>
      <c r="L25" s="3" t="n"/>
    </row>
    <row r="26" ht="19.5" customHeight="1" s="17">
      <c r="A26" s="3" t="n"/>
      <c r="B26" s="3" t="n"/>
      <c r="C26" s="3" t="n"/>
      <c r="D26" s="3" t="n"/>
      <c r="E26" s="3" t="n"/>
      <c r="F26" s="3" t="n"/>
      <c r="G26" s="3" t="n"/>
      <c r="H26" s="3" t="n"/>
      <c r="I26" s="3" t="n"/>
      <c r="J26" s="3" t="n"/>
      <c r="K26" s="4" t="n"/>
      <c r="L26" s="3" t="n"/>
    </row>
    <row r="27" ht="19.5" customHeight="1" s="17">
      <c r="A27" s="3" t="n"/>
      <c r="B27" s="3" t="n"/>
      <c r="C27" s="3" t="n"/>
      <c r="D27" s="3" t="n"/>
      <c r="E27" s="3" t="n"/>
      <c r="F27" s="3" t="n"/>
      <c r="G27" s="3" t="n"/>
      <c r="H27" s="3" t="n"/>
      <c r="I27" s="3" t="n"/>
      <c r="J27" s="3" t="n"/>
      <c r="K27" s="4" t="n"/>
      <c r="L27" s="3" t="n"/>
    </row>
    <row r="28" ht="19.5" customHeight="1" s="17">
      <c r="A28" s="3" t="n"/>
      <c r="B28" s="3" t="n"/>
      <c r="C28" s="3" t="n"/>
      <c r="D28" s="3" t="n"/>
      <c r="E28" s="3" t="n"/>
      <c r="F28" s="3" t="n"/>
      <c r="G28" s="3" t="n"/>
      <c r="H28" s="3" t="n"/>
      <c r="I28" s="3" t="n"/>
      <c r="J28" s="3" t="n"/>
      <c r="K28" s="4" t="n"/>
      <c r="L28" s="3" t="n"/>
    </row>
    <row r="29" ht="19.5" customHeight="1" s="17">
      <c r="A29" s="3" t="n"/>
      <c r="B29" s="3" t="n"/>
      <c r="C29" s="3" t="n"/>
      <c r="D29" s="3" t="n"/>
      <c r="E29" s="3" t="n"/>
      <c r="F29" s="3" t="n"/>
      <c r="G29" s="3" t="n"/>
      <c r="H29" s="3" t="n"/>
      <c r="I29" s="3" t="n"/>
      <c r="J29" s="3" t="n"/>
      <c r="K29" s="4" t="n"/>
      <c r="L29" s="3" t="n"/>
    </row>
    <row r="30" ht="19.5" customHeight="1" s="17">
      <c r="A30" s="3" t="n"/>
      <c r="B30" s="3" t="n"/>
      <c r="C30" s="3" t="n"/>
      <c r="D30" s="3" t="n"/>
      <c r="E30" s="3" t="n"/>
      <c r="F30" s="3" t="n"/>
      <c r="G30" s="3" t="n"/>
      <c r="H30" s="3" t="n"/>
      <c r="I30" s="3" t="n"/>
      <c r="J30" s="3" t="n"/>
      <c r="K30" s="4" t="n"/>
      <c r="L30" s="3" t="n"/>
    </row>
    <row r="31" ht="19.5" customHeight="1" s="17">
      <c r="A31" s="3" t="n"/>
      <c r="B31" s="3" t="n"/>
      <c r="C31" s="3" t="n"/>
      <c r="D31" s="3" t="n"/>
      <c r="E31" s="3" t="n"/>
      <c r="F31" s="3" t="n"/>
      <c r="G31" s="3" t="n"/>
      <c r="H31" s="3" t="n"/>
      <c r="I31" s="3" t="n"/>
      <c r="J31" s="3" t="n"/>
      <c r="K31" s="4" t="n"/>
      <c r="L31" s="3" t="n"/>
    </row>
    <row r="33" ht="21.75" customHeight="1" s="17">
      <c r="A33" s="19" t="inlineStr">
        <is>
          <t>4. SÍNTESIS DE PROCESOS EROSIVOS DEL BLOQUE</t>
        </is>
      </c>
    </row>
    <row r="34" ht="19.5" customHeight="1" s="17">
      <c r="A34" s="31" t="inlineStr">
        <is>
          <t>Nivel general de erosión (síntesis) *</t>
        </is>
      </c>
      <c r="B34" s="13" t="n"/>
      <c r="C34" s="14" t="n"/>
      <c r="D34" s="15" t="inlineStr">
        <is>
          <t>Moderada (surcos)</t>
        </is>
      </c>
      <c r="E34" s="13" t="n"/>
      <c r="F34" s="13" t="n"/>
      <c r="G34" s="13" t="n"/>
      <c r="H34" s="13" t="n"/>
      <c r="I34" s="13" t="n"/>
      <c r="J34" s="13" t="n"/>
      <c r="K34" s="13" t="n"/>
      <c r="L34" s="14" t="n"/>
    </row>
    <row r="35" ht="19.5" customHeight="1" s="17">
      <c r="A35" s="31" t="inlineStr">
        <is>
          <t>N° total de cárcavas registradas</t>
        </is>
      </c>
      <c r="B35" s="13" t="n"/>
      <c r="C35" s="14" t="n"/>
      <c r="D35" s="15" t="n">
        <v>0</v>
      </c>
      <c r="E35" s="13" t="n"/>
      <c r="F35" s="14" t="n"/>
      <c r="G35" s="31" t="inlineStr">
        <is>
          <t>Longitud total de cárcavas (m)</t>
        </is>
      </c>
      <c r="H35" s="13" t="n"/>
      <c r="I35" s="14" t="n"/>
      <c r="J35" s="15" t="n">
        <v>0</v>
      </c>
      <c r="K35" s="13" t="n"/>
      <c r="L35" s="14" t="n"/>
    </row>
    <row r="36" ht="19.5" customHeight="1" s="17">
      <c r="A36" s="31" t="inlineStr">
        <is>
          <t>% del bloque afectado por cárcavas</t>
        </is>
      </c>
      <c r="B36" s="13" t="n"/>
      <c r="C36" s="14" t="n"/>
      <c r="D36" s="15" t="n">
        <v>0</v>
      </c>
      <c r="E36" s="13" t="n"/>
      <c r="F36" s="14" t="n"/>
      <c r="G36" s="31" t="inlineStr">
        <is>
          <t>Erosión laminar observada (%)</t>
        </is>
      </c>
      <c r="H36" s="13" t="n"/>
      <c r="I36" s="14" t="n"/>
      <c r="J36" s="15" t="n"/>
      <c r="K36" s="13" t="n"/>
      <c r="L36" s="14" t="n"/>
    </row>
    <row r="37" ht="19.5" customHeight="1" s="17">
      <c r="A37" s="31" t="inlineStr">
        <is>
          <t>Patrón de cárcavas dominante</t>
        </is>
      </c>
      <c r="B37" s="13" t="n"/>
      <c r="C37" s="14" t="n"/>
      <c r="D37" s="15" t="n"/>
      <c r="E37" s="13" t="n"/>
      <c r="F37" s="13" t="n"/>
      <c r="G37" s="13" t="n"/>
      <c r="H37" s="13" t="n"/>
      <c r="I37" s="13" t="n"/>
      <c r="J37" s="13" t="n"/>
      <c r="K37" s="13" t="n"/>
      <c r="L37" s="14" t="n"/>
    </row>
    <row r="38" ht="19.5" customHeight="1" s="17">
      <c r="A38" s="31" t="inlineStr">
        <is>
          <t>Presencia de socavamiento de cauce</t>
        </is>
      </c>
      <c r="B38" s="13" t="n"/>
      <c r="C38" s="14" t="n"/>
      <c r="D38" s="15" t="inlineStr">
        <is>
          <t>No</t>
        </is>
      </c>
      <c r="E38" s="13" t="n"/>
      <c r="F38" s="13" t="n"/>
      <c r="G38" s="13" t="n"/>
      <c r="H38" s="13" t="n"/>
      <c r="I38" s="13" t="n"/>
      <c r="J38" s="13" t="n"/>
      <c r="K38" s="13" t="n"/>
      <c r="L38" s="14" t="n"/>
    </row>
    <row r="39" ht="19.5" customHeight="1" s="17">
      <c r="A39" s="31" t="inlineStr">
        <is>
          <t>Urgencia de control</t>
        </is>
      </c>
      <c r="B39" s="13" t="n"/>
      <c r="C39" s="14" t="n"/>
      <c r="D39" s="15" t="inlineStr">
        <is>
          <t>Media</t>
        </is>
      </c>
      <c r="E39" s="13" t="n"/>
      <c r="F39" s="13" t="n"/>
      <c r="G39" s="13" t="n"/>
      <c r="H39" s="13" t="n"/>
      <c r="I39" s="13" t="n"/>
      <c r="J39" s="13" t="n"/>
      <c r="K39" s="13" t="n"/>
      <c r="L39" s="14" t="n"/>
    </row>
    <row r="41" ht="21.75" customHeight="1" s="17">
      <c r="A41" s="19" t="inlineStr">
        <is>
          <t>OBSERVACIONES</t>
        </is>
      </c>
    </row>
    <row r="42" ht="27.75" customHeight="1" s="17">
      <c r="A42" s="23" t="inlineStr">
        <is>
          <t>Nivel general de erosión moderado, dominado por erosión eólica. Estrías y surcos en la ladera por tránsito habitual del ganado y áreas de suelo desprovistas de vegetación expuestas a la lluvia. No se identifican cárcavas desarrolladas dentro del bloque. Compactación por pisoteo y piedras dispersas; rocas semienterradas y piedras medianas a grandes.
Sin ficha F-DT-02 firmada en el ANEXO 01; el inventario georreferenciado de cárcavas queda pendiente.</t>
        </is>
      </c>
      <c r="B42" s="24" t="n"/>
      <c r="C42" s="24" t="n"/>
      <c r="D42" s="24" t="n"/>
      <c r="E42" s="24" t="n"/>
      <c r="F42" s="24" t="n"/>
      <c r="G42" s="24" t="n"/>
      <c r="H42" s="24" t="n"/>
      <c r="I42" s="24" t="n"/>
      <c r="J42" s="24" t="n"/>
      <c r="K42" s="24" t="n"/>
      <c r="L42" s="25" t="n"/>
    </row>
    <row r="43" ht="27.75" customHeight="1" s="17">
      <c r="A43" s="26" t="n"/>
      <c r="L43" s="27" t="n"/>
    </row>
    <row r="44" ht="27.75" customHeight="1" s="17">
      <c r="A44" s="28" t="n"/>
      <c r="B44" s="29" t="n"/>
      <c r="C44" s="29" t="n"/>
      <c r="D44" s="29" t="n"/>
      <c r="E44" s="29" t="n"/>
      <c r="F44" s="29" t="n"/>
      <c r="G44" s="29" t="n"/>
      <c r="H44" s="29" t="n"/>
      <c r="I44" s="29" t="n"/>
      <c r="J44" s="29" t="n"/>
      <c r="K44" s="29" t="n"/>
      <c r="L44" s="30" t="n"/>
    </row>
  </sheetData>
  <mergeCells count="53">
    <mergeCell ref="D11:F11"/>
    <mergeCell ref="G10:I10"/>
    <mergeCell ref="A7:L7"/>
    <mergeCell ref="A41:L41"/>
    <mergeCell ref="A37:C37"/>
    <mergeCell ref="J36:L36"/>
    <mergeCell ref="D17:L17"/>
    <mergeCell ref="J35:L35"/>
    <mergeCell ref="A3:L3"/>
    <mergeCell ref="D16:L16"/>
    <mergeCell ref="J11:L11"/>
    <mergeCell ref="A2:L2"/>
    <mergeCell ref="A33:L33"/>
    <mergeCell ref="D37:L37"/>
    <mergeCell ref="A42:L44"/>
    <mergeCell ref="A8:C8"/>
    <mergeCell ref="A5:L5"/>
    <mergeCell ref="A14:C14"/>
    <mergeCell ref="A17:C17"/>
    <mergeCell ref="G35:I35"/>
    <mergeCell ref="D9:F9"/>
    <mergeCell ref="A35:C35"/>
    <mergeCell ref="D39:L39"/>
    <mergeCell ref="D8:F8"/>
    <mergeCell ref="A38:C38"/>
    <mergeCell ref="A4:L4"/>
    <mergeCell ref="A10:C10"/>
    <mergeCell ref="A20:L20"/>
    <mergeCell ref="D15:L15"/>
    <mergeCell ref="A19:L19"/>
    <mergeCell ref="D38:L38"/>
    <mergeCell ref="D14:L14"/>
    <mergeCell ref="A13:L13"/>
    <mergeCell ref="A9:C9"/>
    <mergeCell ref="G9:I9"/>
    <mergeCell ref="J8:L8"/>
    <mergeCell ref="D35:F35"/>
    <mergeCell ref="A39:C39"/>
    <mergeCell ref="A34:C34"/>
    <mergeCell ref="A15:C15"/>
    <mergeCell ref="D10:F10"/>
    <mergeCell ref="G11:I11"/>
    <mergeCell ref="A36:C36"/>
    <mergeCell ref="A11:C11"/>
    <mergeCell ref="D34:L34"/>
    <mergeCell ref="J10:L10"/>
    <mergeCell ref="G36:I36"/>
    <mergeCell ref="A1:L1"/>
    <mergeCell ref="G8:I8"/>
    <mergeCell ref="D36:F36"/>
    <mergeCell ref="A6:L6"/>
    <mergeCell ref="J9:L9"/>
    <mergeCell ref="A16:C16"/>
  </mergeCells>
  <dataValidations count="12">
    <dataValidation sqref="D9"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D14" showDropDown="0" showInputMessage="0" showErrorMessage="0" allowBlank="1" errorTitle="Valor no válido" error="Seleccione un valor de la lista desplegable." promptTitle="Sellamiento / Costra superfici" prompt="Elija una opción de la lista." type="list">
      <formula1>lst_SiNo</formula1>
      <formula2>0</formula2>
    </dataValidation>
    <dataValidation sqref="D15" showDropDown="0" showInputMessage="0" showErrorMessage="0" allowBlank="1" errorTitle="Valor no válido" error="Seleccione un valor de la lista desplegable." promptTitle="¿Compactación por pisoteo de g" prompt="Elija una opción de la lista." type="list">
      <formula1>lst_SiNo</formula1>
      <formula2>0</formula2>
    </dataValidation>
    <dataValidation sqref="D16" showDropDown="0" showInputMessage="0" showErrorMessage="0" allowBlank="1" errorTitle="Valor no válido" error="Seleccione un valor de la lista desplegable." promptTitle="¿Raíces expuestas en superfici" prompt="Elija una opción de la lista." type="list">
      <formula1>lst_SiNo</formula1>
      <formula2>0</formula2>
    </dataValidation>
    <dataValidation sqref="D17" showDropDown="0" showInputMessage="0" showErrorMessage="0" allowBlank="1" errorTitle="Valor no válido" error="Seleccione un valor de la lista desplegable." promptTitle="Nivel general de erosión obser" prompt="Elija una opción de la lista." type="list">
      <formula1>lst_NivelErosion</formula1>
      <formula2>0</formula2>
    </dataValidation>
    <dataValidation sqref="B22:B31" showDropDown="0" showInputMessage="0" showErrorMessage="0" allowBlank="1" errorTitle="Valor no válido" error="Seleccione un valor de la lista desplegable." promptTitle="Tipo de cárcava" prompt="Elija una opción de la lista." type="list">
      <formula1>lst_TipoCarcava</formula1>
      <formula2>0</formula2>
    </dataValidation>
    <dataValidation sqref="J22:J31" showDropDown="0" showInputMessage="0" showErrorMessage="0" allowBlank="1" errorTitle="Valor no válido" error="Seleccione un valor de la lista desplegable." promptTitle="Estado / Actividad" prompt="Elija una opción de la lista." type="list">
      <formula1>lst_EstadoCarcava</formula1>
      <formula2>0</formula2>
    </dataValidation>
    <dataValidation sqref="K22:K31" showDropDown="0" showInputMessage="0" showErrorMessage="0" allowBlank="1" errorTitle="Valor no válido" error="Seleccione un valor de la lista desplegable." promptTitle="Causa principal" prompt="Elija una opción de la lista." type="list">
      <formula1>lst_CausaCarcava</formula1>
      <formula2>0</formula2>
    </dataValidation>
    <dataValidation sqref="D34" showDropDown="0" showInputMessage="0" showErrorMessage="0" allowBlank="1" errorTitle="Valor no válido" error="Seleccione un valor de la lista desplegable." promptTitle="Nivel general de erosión (sínt" prompt="Elija una opción de la lista." type="list">
      <formula1>lst_NivelErosion</formula1>
      <formula2>0</formula2>
    </dataValidation>
    <dataValidation sqref="D37" showDropDown="0" showInputMessage="0" showErrorMessage="0" allowBlank="1" errorTitle="Valor no válido" error="Seleccione un valor de la lista desplegable." promptTitle="Patrón de cárcavas dominante" prompt="Elija una opción de la lista." type="list">
      <formula1>lst_PatronCarcavas</formula1>
      <formula2>0</formula2>
    </dataValidation>
    <dataValidation sqref="D38" showDropDown="0" showInputMessage="0" showErrorMessage="0" allowBlank="1" errorTitle="Valor no válido" error="Seleccione un valor de la lista desplegable." promptTitle="Presencia de socavamiento de c" prompt="Elija una opción de la lista." type="list">
      <formula1>lst_SiNo</formula1>
      <formula2>0</formula2>
    </dataValidation>
    <dataValidation sqref="D39" showDropDown="0" showInputMessage="0" showErrorMessage="0" allowBlank="1" errorTitle="Valor no válido" error="Seleccione un valor de la lista desplegable." promptTitle="Urgencia de control" prompt="Elija una opción de la lista." type="list">
      <formula1>lst_Urgencia</formula1>
      <formula2>0</formula2>
    </dataValidation>
  </dataValidations>
  <printOptions horizontalCentered="1"/>
  <pageMargins left="0.4" right="0.4" top="0.5" bottom="0.5" header="0.2" footer="0.2"/>
  <pageSetup orientation="landscape" paperSize="9" fitToHeight="0" horizontalDpi="300" verticalDpi="300"/>
</worksheet>
</file>

<file path=xl/worksheets/sheet4.xml><?xml version="1.0" encoding="utf-8"?>
<worksheet xmlns="http://schemas.openxmlformats.org/spreadsheetml/2006/main">
  <sheetPr>
    <tabColor rgb="007F9F7F"/>
    <outlinePr summaryBelow="1" summaryRight="1"/>
    <pageSetUpPr fitToPage="1"/>
  </sheetPr>
  <dimension ref="A1:I67"/>
  <sheetViews>
    <sheetView showGridLines="0" zoomScaleNormal="100" workbookViewId="0">
      <pane ySplit="6" topLeftCell="A7" activePane="bottomLeft" state="frozen"/>
      <selection pane="bottomLeft" activeCell="A1" sqref="A1:I1"/>
    </sheetView>
  </sheetViews>
  <sheetFormatPr baseColWidth="10" defaultColWidth="8.6640625" defaultRowHeight="14.4"/>
  <cols>
    <col width="8" customWidth="1" style="17" min="1" max="1"/>
    <col width="26" customWidth="1" style="17" min="2" max="2"/>
    <col width="24" customWidth="1" style="17" min="3" max="3"/>
    <col width="18" customWidth="1" style="17" min="4" max="4"/>
    <col width="22" customWidth="1" style="17" min="5" max="5"/>
    <col width="14" customWidth="1" style="17" min="6" max="6"/>
    <col width="17" customWidth="1" style="17" min="7" max="7"/>
    <col width="13" customWidth="1" style="17" min="8" max="8"/>
    <col width="12" customWidth="1" style="17" min="9" max="9"/>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F-DT-03: ECOSISTEMA: COMPOSICIÓN, ESTRUCTURA Y VALOR ECOLÓGICO</t>
        </is>
      </c>
    </row>
    <row r="5" ht="27.75" customHeight="1" s="17">
      <c r="A5" s="21" t="inlineStr">
        <is>
          <t>Caracterización ecológica del bloque: tipo de ecosistema, estado de conservación, estructura vertical, composición florística rápida y registro de especies clave/indicadoras.</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t>
        </is>
      </c>
      <c r="B8" s="14" t="n"/>
      <c r="C8" s="15" t="inlineStr">
        <is>
          <t>10-08-2026</t>
        </is>
      </c>
      <c r="D8" s="14" t="n"/>
      <c r="E8" s="31" t="inlineStr">
        <is>
          <t>Responsable *</t>
        </is>
      </c>
      <c r="F8" s="14" t="n"/>
      <c r="G8" s="15" t="inlineStr">
        <is>
          <t>Ing. Juan Domínguez</t>
        </is>
      </c>
      <c r="H8" s="13" t="n"/>
      <c r="I8" s="14" t="n"/>
    </row>
    <row r="9" ht="19.5" customHeight="1" s="17">
      <c r="A9" s="31" t="inlineStr">
        <is>
          <t>Código del Bloque *</t>
        </is>
      </c>
      <c r="B9" s="14" t="n"/>
      <c r="C9" s="15" t="inlineStr">
        <is>
          <t>M12B1</t>
        </is>
      </c>
      <c r="D9" s="14" t="n"/>
      <c r="E9" s="31" t="inlineStr">
        <is>
          <t>Microcuenca (auto)</t>
        </is>
      </c>
      <c r="F9" s="14" t="n"/>
      <c r="G9" s="12">
        <f>IFERROR(VLOOKUP($C$9,tbl_Bloques,2,FALSE()),"")</f>
        <v/>
      </c>
      <c r="H9" s="13" t="n"/>
      <c r="I9" s="14" t="n"/>
    </row>
    <row r="10" ht="19.5" customHeight="1" s="17">
      <c r="A10" s="31" t="inlineStr">
        <is>
          <t>Distrito (auto)</t>
        </is>
      </c>
      <c r="B10" s="14" t="n"/>
      <c r="C10" s="12">
        <f>IFERROR(VLOOKUP($C$9,tbl_Bloques,4,FALSE()),"")</f>
        <v/>
      </c>
      <c r="D10" s="14" t="n"/>
      <c r="E10" s="31" t="inlineStr">
        <is>
          <t>Parcela de muestreo</t>
        </is>
      </c>
      <c r="F10" s="14" t="n"/>
      <c r="G10" s="15" t="n"/>
      <c r="H10" s="13" t="n"/>
      <c r="I10" s="14" t="n"/>
    </row>
    <row r="11" ht="19.5" customHeight="1" s="17">
      <c r="A11" s="31" t="inlineStr">
        <is>
          <t>Dimensiones de parcela (m × m)</t>
        </is>
      </c>
      <c r="B11" s="14" t="n"/>
      <c r="C11" s="15" t="n"/>
      <c r="D11" s="14" t="n"/>
      <c r="E11" s="31" t="inlineStr">
        <is>
          <t>Altitud (msnm)</t>
        </is>
      </c>
      <c r="F11" s="14" t="n"/>
      <c r="G11" s="15" t="n">
        <v>340</v>
      </c>
      <c r="H11" s="13" t="n"/>
      <c r="I11" s="14" t="n"/>
    </row>
    <row r="12" ht="19.5" customHeight="1" s="17">
      <c r="A12" s="31" t="inlineStr">
        <is>
          <t>Pendiente promedio de la parcela (%)</t>
        </is>
      </c>
      <c r="B12" s="14" t="n"/>
      <c r="C12" s="15" t="n"/>
      <c r="D12" s="14" t="n"/>
      <c r="E12" s="31" t="inlineStr">
        <is>
          <t>Cobertura vegetal total estimada (%) *</t>
        </is>
      </c>
      <c r="F12" s="14" t="n"/>
      <c r="G12" s="15" t="n">
        <v>70</v>
      </c>
      <c r="H12" s="13" t="n"/>
      <c r="I12" s="14" t="n"/>
    </row>
    <row r="13" ht="19.5" customHeight="1" s="17">
      <c r="A13" s="31" t="inlineStr">
        <is>
          <t>UTM ESTE esquina inferior *</t>
        </is>
      </c>
      <c r="B13" s="14" t="n"/>
      <c r="C13" s="15" t="n">
        <v>643508</v>
      </c>
      <c r="D13" s="14" t="n"/>
      <c r="E13" s="31" t="inlineStr">
        <is>
          <t>UTM NORTE esquina inferior *</t>
        </is>
      </c>
      <c r="F13" s="14" t="n"/>
      <c r="G13" s="15" t="n">
        <v>9389713</v>
      </c>
      <c r="H13" s="13" t="n"/>
      <c r="I13" s="14" t="n"/>
    </row>
    <row r="15" ht="21.75" customHeight="1" s="17">
      <c r="A15" s="19" t="inlineStr">
        <is>
          <t>2. CLASIFICACIÓN DEL ECOSISTEMA (UP)</t>
        </is>
      </c>
    </row>
    <row r="16" ht="19.5" customHeight="1" s="17">
      <c r="A16" s="31" t="inlineStr">
        <is>
          <t>Tipo de ecosistema MINAM (dominante) *</t>
        </is>
      </c>
      <c r="B16" s="14" t="n"/>
      <c r="C16" s="15" t="inlineStr">
        <is>
          <t>Bosque Estacionalmente Seco Colina/Montaña (Bes-cm)</t>
        </is>
      </c>
      <c r="D16" s="13" t="n"/>
      <c r="E16" s="13" t="n"/>
      <c r="F16" s="13" t="n"/>
      <c r="G16" s="13" t="n"/>
      <c r="H16" s="13" t="n"/>
      <c r="I16" s="14" t="n"/>
    </row>
    <row r="17" ht="19.5" customHeight="1" s="17">
      <c r="A17" s="31" t="inlineStr">
        <is>
          <t>Superficie del ecosistema en el bloque (ha)</t>
        </is>
      </c>
      <c r="B17" s="14" t="n"/>
      <c r="C17" s="15" t="n">
        <v>120</v>
      </c>
      <c r="D17" s="13" t="n"/>
      <c r="E17" s="13" t="n"/>
      <c r="F17" s="13" t="n"/>
      <c r="G17" s="13" t="n"/>
      <c r="H17" s="13" t="n"/>
      <c r="I17" s="14" t="n"/>
    </row>
    <row r="18" ht="19.5" customHeight="1" s="17">
      <c r="A18" s="31" t="inlineStr">
        <is>
          <t>Estado de conservación general *</t>
        </is>
      </c>
      <c r="B18" s="14" t="n"/>
      <c r="C18" s="15" t="inlineStr">
        <is>
          <t>Medianamente alterado</t>
        </is>
      </c>
      <c r="D18" s="13" t="n"/>
      <c r="E18" s="13" t="n"/>
      <c r="F18" s="13" t="n"/>
      <c r="G18" s="13" t="n"/>
      <c r="H18" s="13" t="n"/>
      <c r="I18" s="14" t="n"/>
    </row>
    <row r="19" ht="19.5" customHeight="1" s="17">
      <c r="A19" s="31" t="inlineStr">
        <is>
          <t>Uso actual dominante del suelo *</t>
        </is>
      </c>
      <c r="B19" s="14" t="n"/>
      <c r="C19" s="15" t="inlineStr">
        <is>
          <t>Pastoreo extensivo</t>
        </is>
      </c>
      <c r="D19" s="13" t="n"/>
      <c r="E19" s="13" t="n"/>
      <c r="F19" s="13" t="n"/>
      <c r="G19" s="13" t="n"/>
      <c r="H19" s="13" t="n"/>
      <c r="I19" s="14" t="n"/>
    </row>
    <row r="21" ht="21.75" customHeight="1" s="17">
      <c r="A21" s="19" t="inlineStr">
        <is>
          <t>3. ESTRUCTURA DEL ECOSISTEMA</t>
        </is>
      </c>
    </row>
    <row r="22" ht="19.5" customHeight="1" s="17">
      <c r="A22" s="31" t="inlineStr">
        <is>
          <t>Cobertura del dosel arbóreo (%)</t>
        </is>
      </c>
      <c r="B22" s="14" t="n"/>
      <c r="C22" s="15" t="n">
        <v>70</v>
      </c>
      <c r="D22" s="14" t="n"/>
      <c r="E22" s="31" t="inlineStr">
        <is>
          <t>Cobertura arbustiva (%)</t>
        </is>
      </c>
      <c r="F22" s="14" t="n"/>
      <c r="G22" s="15" t="n">
        <v>15</v>
      </c>
      <c r="H22" s="13" t="n"/>
      <c r="I22" s="14" t="n"/>
    </row>
    <row r="23" ht="19.5" customHeight="1" s="17">
      <c r="A23" s="31" t="inlineStr">
        <is>
          <t>Cobertura herbácea-graminoide (%)</t>
        </is>
      </c>
      <c r="B23" s="14" t="n"/>
      <c r="C23" s="15" t="n">
        <v>10</v>
      </c>
      <c r="D23" s="14" t="n"/>
      <c r="E23" s="31" t="inlineStr">
        <is>
          <t>Cobertura de hojarasca (%)</t>
        </is>
      </c>
      <c r="F23" s="14" t="n"/>
      <c r="G23" s="15" t="n">
        <v>5</v>
      </c>
      <c r="H23" s="13" t="n"/>
      <c r="I23" s="14" t="n"/>
    </row>
    <row r="24" ht="19.5" customHeight="1" s="17">
      <c r="A24" s="31" t="inlineStr">
        <is>
          <t>Cobertura de suelo desnudo (%)</t>
        </is>
      </c>
      <c r="B24" s="14" t="n"/>
      <c r="C24" s="15" t="n">
        <v>10</v>
      </c>
      <c r="D24" s="14" t="n"/>
      <c r="E24" s="31" t="inlineStr">
        <is>
          <t>Altura promedio estrato dominante (m)</t>
        </is>
      </c>
      <c r="F24" s="14" t="n"/>
      <c r="G24" s="15" t="n">
        <v>9</v>
      </c>
      <c r="H24" s="13" t="n"/>
      <c r="I24" s="14" t="n"/>
    </row>
    <row r="25" ht="19.5" customHeight="1" s="17">
      <c r="A25" s="31" t="inlineStr">
        <is>
          <t>Altura máxima observada (m)</t>
        </is>
      </c>
      <c r="B25" s="14" t="n"/>
      <c r="C25" s="15" t="n">
        <v>12</v>
      </c>
      <c r="D25" s="14" t="n"/>
      <c r="E25" s="31" t="inlineStr">
        <is>
          <t>DAP promedio árboles DAP≥10 cm (cm)</t>
        </is>
      </c>
      <c r="F25" s="14" t="n"/>
      <c r="G25" s="15" t="n">
        <v>30</v>
      </c>
      <c r="H25" s="13" t="n"/>
      <c r="I25" s="14" t="n"/>
    </row>
    <row r="26" ht="19.5" customHeight="1" s="17">
      <c r="A26" s="31" t="inlineStr">
        <is>
          <t>Regeneración natural observada *</t>
        </is>
      </c>
      <c r="B26" s="14" t="n"/>
      <c r="C26" s="15" t="inlineStr">
        <is>
          <t>Regular (10-50 pl./100m²)</t>
        </is>
      </c>
      <c r="D26" s="13" t="n"/>
      <c r="E26" s="13" t="n"/>
      <c r="F26" s="13" t="n"/>
      <c r="G26" s="13" t="n"/>
      <c r="H26" s="13" t="n"/>
      <c r="I26" s="14" t="n"/>
    </row>
    <row r="27" ht="19.5" customHeight="1" s="17">
      <c r="A27" s="31" t="inlineStr">
        <is>
          <t>Estado sanitario general del dosel *</t>
        </is>
      </c>
      <c r="B27" s="14" t="n"/>
      <c r="C27" s="15" t="inlineStr">
        <is>
          <t>Sano</t>
        </is>
      </c>
      <c r="D27" s="13" t="n"/>
      <c r="E27" s="13" t="n"/>
      <c r="F27" s="13" t="n"/>
      <c r="G27" s="13" t="n"/>
      <c r="H27" s="13" t="n"/>
      <c r="I27" s="14" t="n"/>
    </row>
    <row r="28" ht="19.5" customHeight="1" s="17">
      <c r="A28" s="31" t="inlineStr">
        <is>
          <t>Presencia de epífitas (cualitativa)</t>
        </is>
      </c>
      <c r="B28" s="14" t="n"/>
      <c r="C28" s="15" t="inlineStr">
        <is>
          <t>No</t>
        </is>
      </c>
      <c r="D28" s="13" t="n"/>
      <c r="E28" s="13" t="n"/>
      <c r="F28" s="13" t="n"/>
      <c r="G28" s="13" t="n"/>
      <c r="H28" s="13" t="n"/>
      <c r="I28" s="14" t="n"/>
    </row>
    <row r="29" ht="19.5" customHeight="1" s="17">
      <c r="A29" s="31" t="inlineStr">
        <is>
          <t>Fenología dominante (época de visita)</t>
        </is>
      </c>
      <c r="B29" s="14" t="n"/>
      <c r="C29" s="15" t="inlineStr">
        <is>
          <t>Vegetativo</t>
        </is>
      </c>
      <c r="D29" s="13" t="n"/>
      <c r="E29" s="13" t="n"/>
      <c r="F29" s="13" t="n"/>
      <c r="G29" s="13" t="n"/>
      <c r="H29" s="13" t="n"/>
      <c r="I29" s="14" t="n"/>
    </row>
    <row r="30" ht="19.5" customHeight="1" s="17">
      <c r="A30" s="31" t="inlineStr">
        <is>
          <t>Tipo de cobertura vegetal dominante *</t>
        </is>
      </c>
      <c r="B30" s="14" t="n"/>
      <c r="C30" s="15" t="inlineStr">
        <is>
          <t>Bosque ralo (30-70%)</t>
        </is>
      </c>
      <c r="D30" s="13" t="n"/>
      <c r="E30" s="13" t="n"/>
      <c r="F30" s="13" t="n"/>
      <c r="G30" s="13" t="n"/>
      <c r="H30" s="13" t="n"/>
      <c r="I30" s="14" t="n"/>
    </row>
    <row r="32" ht="21.75" customHeight="1" s="17">
      <c r="A32" s="19" t="inlineStr">
        <is>
          <t>4. COMPOSICIÓN FLORÍSTICA — Registro rápido por estrato (mín. 15 especies)</t>
        </is>
      </c>
    </row>
    <row r="33" ht="43.5" customHeight="1" s="17">
      <c r="A33" s="32" t="inlineStr">
        <is>
          <t>ESTRATO: Arbóreo sup(&gt;15 m) | Arbóreo med(8-15 m) | Arbóreo bajo(4-8 m) | Arbustivo alto(1.5-4 m) | Arbustivo bajo(0.5-1.5 m) | Herbáceo(&lt;0.5 m) | Epífito | Trepador  ——  ORIGEN: Nativa | Endémica | Introducida | Invasora  ——  ABUNDANCIA: Dominante(&gt;40%) | Abundante(20-40%) | Frecuente(5-20%) | Ocasional(1-5%) | Rara(&lt;1%)</t>
        </is>
      </c>
      <c r="B33" s="13" t="n"/>
      <c r="C33" s="13" t="n"/>
      <c r="D33" s="13" t="n"/>
      <c r="E33" s="13" t="n"/>
      <c r="F33" s="13" t="n"/>
      <c r="G33" s="13" t="n"/>
      <c r="H33" s="13" t="n"/>
      <c r="I33" s="14" t="n"/>
    </row>
    <row r="34" ht="31.5" customHeight="1" s="17">
      <c r="A34" s="2" t="inlineStr">
        <is>
          <t>N°</t>
        </is>
      </c>
      <c r="B34" s="2" t="inlineStr">
        <is>
          <t>Nombre común/local</t>
        </is>
      </c>
      <c r="C34" s="2" t="inlineStr">
        <is>
          <t>Nombre científico
(preliminar)</t>
        </is>
      </c>
      <c r="D34" s="2" t="inlineStr">
        <is>
          <t>Familia</t>
        </is>
      </c>
      <c r="E34" s="2" t="inlineStr">
        <is>
          <t>Estrato</t>
        </is>
      </c>
      <c r="F34" s="2" t="inlineStr">
        <is>
          <t>Origen</t>
        </is>
      </c>
      <c r="G34" s="2" t="inlineStr">
        <is>
          <t>Abundancia</t>
        </is>
      </c>
      <c r="H34" s="2" t="inlineStr">
        <is>
          <t>DAP (cm)
[árboles]</t>
        </is>
      </c>
      <c r="I34" s="2" t="inlineStr">
        <is>
          <t>Altura (m)</t>
        </is>
      </c>
    </row>
    <row r="35" ht="18" customHeight="1" s="17">
      <c r="A35" s="5" t="n">
        <v>1</v>
      </c>
      <c r="B35" s="4" t="inlineStr">
        <is>
          <t>Faique</t>
        </is>
      </c>
      <c r="C35" s="4" t="inlineStr">
        <is>
          <t>Vachellia macracantha</t>
        </is>
      </c>
      <c r="D35" s="4" t="inlineStr">
        <is>
          <t>Fabaceae</t>
        </is>
      </c>
      <c r="E35" s="3" t="inlineStr">
        <is>
          <t>Arbóreo bajo (4-8 m)</t>
        </is>
      </c>
      <c r="F35" s="3" t="inlineStr">
        <is>
          <t>Nativa</t>
        </is>
      </c>
      <c r="G35" s="3" t="inlineStr">
        <is>
          <t>Ocasional (1-5%)</t>
        </is>
      </c>
      <c r="H35" s="3" t="n">
        <v>20</v>
      </c>
      <c r="I35" s="3" t="n">
        <v>5</v>
      </c>
    </row>
    <row r="36" ht="18" customHeight="1" s="17">
      <c r="A36" s="5" t="n">
        <v>2</v>
      </c>
      <c r="B36" s="4" t="inlineStr">
        <is>
          <t>Palo santo</t>
        </is>
      </c>
      <c r="C36" s="4" t="inlineStr">
        <is>
          <t>Bursera graveolens</t>
        </is>
      </c>
      <c r="D36" s="4" t="inlineStr">
        <is>
          <t>Burseraceae</t>
        </is>
      </c>
      <c r="E36" s="3" t="inlineStr">
        <is>
          <t>Arbóreo bajo (4-8 m)</t>
        </is>
      </c>
      <c r="F36" s="3" t="inlineStr">
        <is>
          <t>Nativa</t>
        </is>
      </c>
      <c r="G36" s="3" t="inlineStr">
        <is>
          <t>Ocasional (1-5%)</t>
        </is>
      </c>
      <c r="H36" s="3" t="n">
        <v>25</v>
      </c>
      <c r="I36" s="3" t="n">
        <v>7</v>
      </c>
    </row>
    <row r="37" ht="18" customHeight="1" s="17">
      <c r="A37" s="5" t="n">
        <v>3</v>
      </c>
      <c r="B37" s="4" t="inlineStr">
        <is>
          <t>Pasallo</t>
        </is>
      </c>
      <c r="C37" s="4" t="inlineStr">
        <is>
          <t>Eriotheca ruizii</t>
        </is>
      </c>
      <c r="D37" s="4" t="inlineStr">
        <is>
          <t>Malvaceae</t>
        </is>
      </c>
      <c r="E37" s="3" t="inlineStr">
        <is>
          <t>Arbóreo bajo (4-8 m)</t>
        </is>
      </c>
      <c r="F37" s="3" t="inlineStr">
        <is>
          <t>Nativa</t>
        </is>
      </c>
      <c r="G37" s="3" t="inlineStr">
        <is>
          <t>Ocasional (1-5%)</t>
        </is>
      </c>
      <c r="H37" s="3" t="n">
        <v>30</v>
      </c>
      <c r="I37" s="3" t="n">
        <v>6</v>
      </c>
    </row>
    <row r="38" ht="18" customHeight="1" s="17">
      <c r="A38" s="5" t="n">
        <v>4</v>
      </c>
      <c r="B38" s="4" t="inlineStr">
        <is>
          <t>Hualtaco</t>
        </is>
      </c>
      <c r="C38" s="4" t="inlineStr">
        <is>
          <t>Loxopterygium huasango</t>
        </is>
      </c>
      <c r="D38" s="4" t="inlineStr">
        <is>
          <t>Anacardiaceae</t>
        </is>
      </c>
      <c r="E38" s="3" t="inlineStr">
        <is>
          <t>Arbóreo bajo (4-8 m)</t>
        </is>
      </c>
      <c r="F38" s="3" t="inlineStr">
        <is>
          <t>Nativa</t>
        </is>
      </c>
      <c r="G38" s="3" t="inlineStr">
        <is>
          <t>Ocasional (1-5%)</t>
        </is>
      </c>
      <c r="H38" s="3" t="n">
        <v>30</v>
      </c>
      <c r="I38" s="3" t="n">
        <v>8</v>
      </c>
    </row>
    <row r="39" ht="18" customHeight="1" s="17">
      <c r="A39" s="5" t="n">
        <v>5</v>
      </c>
      <c r="B39" s="4" t="inlineStr">
        <is>
          <t>Charán</t>
        </is>
      </c>
      <c r="C39" s="4" t="inlineStr">
        <is>
          <t>Caesalpinia paipai</t>
        </is>
      </c>
      <c r="D39" s="4" t="inlineStr">
        <is>
          <t>Fabaceae</t>
        </is>
      </c>
      <c r="E39" s="3" t="inlineStr">
        <is>
          <t>Arbóreo bajo (4-8 m)</t>
        </is>
      </c>
      <c r="F39" s="3" t="inlineStr">
        <is>
          <t>Nativa</t>
        </is>
      </c>
      <c r="G39" s="3" t="inlineStr">
        <is>
          <t>Ocasional (1-5%)</t>
        </is>
      </c>
      <c r="H39" s="3" t="n">
        <v>20</v>
      </c>
      <c r="I39" s="3" t="n">
        <v>5</v>
      </c>
    </row>
    <row r="40" ht="18" customHeight="1" s="17">
      <c r="A40" s="5" t="n">
        <v>6</v>
      </c>
      <c r="B40" s="4" t="inlineStr">
        <is>
          <t>Overo</t>
        </is>
      </c>
      <c r="C40" s="4" t="inlineStr">
        <is>
          <t>Cordia lutea</t>
        </is>
      </c>
      <c r="D40" s="4" t="inlineStr">
        <is>
          <t>Boraginaceae</t>
        </is>
      </c>
      <c r="E40" s="3" t="inlineStr">
        <is>
          <t>Arbustivo alto (1.5-4 m)</t>
        </is>
      </c>
      <c r="F40" s="3" t="inlineStr">
        <is>
          <t>Nativa</t>
        </is>
      </c>
      <c r="G40" s="3" t="inlineStr">
        <is>
          <t>Frecuente (5-20%)</t>
        </is>
      </c>
      <c r="H40" s="3" t="n">
        <v>15</v>
      </c>
      <c r="I40" s="3" t="n">
        <v>4</v>
      </c>
    </row>
    <row r="41" ht="18" customHeight="1" s="17">
      <c r="A41" s="5" t="n">
        <v>7</v>
      </c>
      <c r="B41" s="4" t="inlineStr">
        <is>
          <t>Ceibo</t>
        </is>
      </c>
      <c r="C41" s="4" t="inlineStr">
        <is>
          <t>Ceiba trichistandra</t>
        </is>
      </c>
      <c r="D41" s="4" t="inlineStr">
        <is>
          <t>Malvaceae</t>
        </is>
      </c>
      <c r="E41" s="3" t="inlineStr">
        <is>
          <t>Arbóreo medio (8-15 m)</t>
        </is>
      </c>
      <c r="F41" s="3" t="inlineStr">
        <is>
          <t>Nativa</t>
        </is>
      </c>
      <c r="G41" s="3" t="inlineStr">
        <is>
          <t>Dominante (&gt;40%)</t>
        </is>
      </c>
      <c r="H41" s="3" t="n">
        <v>40</v>
      </c>
      <c r="I41" s="3" t="n">
        <v>10</v>
      </c>
    </row>
    <row r="42" ht="18" customHeight="1" s="17">
      <c r="A42" s="5" t="n">
        <v>8</v>
      </c>
      <c r="B42" s="4" t="n"/>
      <c r="C42" s="4" t="n"/>
      <c r="D42" s="4" t="n"/>
      <c r="E42" s="3" t="n"/>
      <c r="F42" s="3" t="n"/>
      <c r="G42" s="3" t="n"/>
      <c r="H42" s="3" t="n"/>
      <c r="I42" s="3" t="n"/>
    </row>
    <row r="43" ht="18" customHeight="1" s="17">
      <c r="A43" s="5" t="n">
        <v>9</v>
      </c>
      <c r="B43" s="4" t="n"/>
      <c r="C43" s="4" t="n"/>
      <c r="D43" s="4" t="n"/>
      <c r="E43" s="3" t="n"/>
      <c r="F43" s="3" t="n"/>
      <c r="G43" s="3" t="n"/>
      <c r="H43" s="3" t="n"/>
      <c r="I43" s="3" t="n"/>
    </row>
    <row r="44" ht="18" customHeight="1" s="17">
      <c r="A44" s="5" t="n">
        <v>10</v>
      </c>
      <c r="B44" s="4" t="n"/>
      <c r="C44" s="4" t="n"/>
      <c r="D44" s="4" t="n"/>
      <c r="E44" s="3" t="n"/>
      <c r="F44" s="3" t="n"/>
      <c r="G44" s="3" t="n"/>
      <c r="H44" s="3" t="n"/>
      <c r="I44" s="3" t="n"/>
    </row>
    <row r="45" ht="18" customHeight="1" s="17">
      <c r="A45" s="5" t="n">
        <v>11</v>
      </c>
      <c r="B45" s="4" t="n"/>
      <c r="C45" s="4" t="n"/>
      <c r="D45" s="4" t="n"/>
      <c r="E45" s="3" t="n"/>
      <c r="F45" s="3" t="n"/>
      <c r="G45" s="3" t="n"/>
      <c r="H45" s="3" t="n"/>
      <c r="I45" s="3" t="n"/>
    </row>
    <row r="46" ht="18" customHeight="1" s="17">
      <c r="A46" s="5" t="n">
        <v>12</v>
      </c>
      <c r="B46" s="4" t="n"/>
      <c r="C46" s="4" t="n"/>
      <c r="D46" s="4" t="n"/>
      <c r="E46" s="3" t="n"/>
      <c r="F46" s="3" t="n"/>
      <c r="G46" s="3" t="n"/>
      <c r="H46" s="3" t="n"/>
      <c r="I46" s="3" t="n"/>
    </row>
    <row r="47" ht="18" customHeight="1" s="17">
      <c r="A47" s="5" t="n">
        <v>13</v>
      </c>
      <c r="B47" s="4" t="n"/>
      <c r="C47" s="4" t="n"/>
      <c r="D47" s="4" t="n"/>
      <c r="E47" s="3" t="n"/>
      <c r="F47" s="3" t="n"/>
      <c r="G47" s="3" t="n"/>
      <c r="H47" s="3" t="n"/>
      <c r="I47" s="3" t="n"/>
    </row>
    <row r="48" ht="18" customHeight="1" s="17">
      <c r="A48" s="5" t="n">
        <v>14</v>
      </c>
      <c r="B48" s="4" t="n"/>
      <c r="C48" s="4" t="n"/>
      <c r="D48" s="4" t="n"/>
      <c r="E48" s="3" t="n"/>
      <c r="F48" s="3" t="n"/>
      <c r="G48" s="3" t="n"/>
      <c r="H48" s="3" t="n"/>
      <c r="I48" s="3" t="n"/>
    </row>
    <row r="49" ht="18" customHeight="1" s="17">
      <c r="A49" s="5" t="n">
        <v>15</v>
      </c>
      <c r="B49" s="4" t="n"/>
      <c r="C49" s="4" t="n"/>
      <c r="D49" s="4" t="n"/>
      <c r="E49" s="3" t="n"/>
      <c r="F49" s="3" t="n"/>
      <c r="G49" s="3" t="n"/>
      <c r="H49" s="3" t="n"/>
      <c r="I49" s="3" t="n"/>
    </row>
    <row r="51" ht="21.75" customHeight="1" s="17">
      <c r="A51" s="19" t="inlineStr">
        <is>
          <t>5. ESPECIES CLAVE / INDICADORAS</t>
        </is>
      </c>
    </row>
    <row r="52" ht="30" customHeight="1" s="17">
      <c r="A52" s="2" t="inlineStr">
        <is>
          <t>N°</t>
        </is>
      </c>
      <c r="B52" s="2" t="inlineStr">
        <is>
          <t>Nombre científico o común</t>
        </is>
      </c>
      <c r="C52" s="2" t="inlineStr">
        <is>
          <t>Categoría</t>
        </is>
      </c>
      <c r="D52" s="2" t="inlineStr">
        <is>
          <t>Estado UICN / D.S. 043</t>
        </is>
      </c>
      <c r="E52" s="2" t="inlineStr">
        <is>
          <t>UTM ESTE</t>
        </is>
      </c>
      <c r="F52" s="2" t="inlineStr">
        <is>
          <t>UTM NORTE</t>
        </is>
      </c>
      <c r="G52" s="2" t="inlineStr">
        <is>
          <t>N° indiv.</t>
        </is>
      </c>
      <c r="H52" s="2" t="inlineStr">
        <is>
          <t>Foto N°</t>
        </is>
      </c>
      <c r="I52" s="2" t="inlineStr">
        <is>
          <t>Observación</t>
        </is>
      </c>
    </row>
    <row r="53" ht="18" customHeight="1" s="17">
      <c r="A53" s="5" t="n">
        <v>1</v>
      </c>
      <c r="B53" s="4" t="inlineStr">
        <is>
          <t>Hualtaco (Loxopterygium huasango)</t>
        </is>
      </c>
      <c r="C53" s="4" t="inlineStr">
        <is>
          <t>Amenazada (D.S. 043-2006-AG)</t>
        </is>
      </c>
      <c r="D53" s="4" t="inlineStr">
        <is>
          <t>CR — En Peligro Crítico</t>
        </is>
      </c>
      <c r="E53" s="3" t="n"/>
      <c r="F53" s="3" t="n"/>
      <c r="G53" s="3" t="n"/>
      <c r="H53" s="3" t="n"/>
      <c r="I53" s="4" t="inlineStr">
        <is>
          <t>Registrada en la ficha F-DT-03 como estrato arbóreo. Sin conteo ni georreferenciación individual: POR VERIFICAR.</t>
        </is>
      </c>
    </row>
    <row r="54" ht="18" customHeight="1" s="17">
      <c r="A54" s="5" t="n">
        <v>2</v>
      </c>
      <c r="B54" s="4" t="inlineStr">
        <is>
          <t>Palo santo (Bursera graveolens)</t>
        </is>
      </c>
      <c r="C54" s="4" t="inlineStr">
        <is>
          <t>Amenazada (D.S. 043-2006-AG)</t>
        </is>
      </c>
      <c r="D54" s="4" t="inlineStr">
        <is>
          <t>No aplica</t>
        </is>
      </c>
      <c r="E54" s="3" t="n"/>
      <c r="F54" s="3" t="n"/>
      <c r="G54" s="3" t="n"/>
      <c r="H54" s="3" t="n"/>
      <c r="I54" s="4" t="inlineStr">
        <is>
          <t>Registrada en la ficha F-DT-03. Categoría nacional por confirmar con el estudio de ecosistema.</t>
        </is>
      </c>
    </row>
    <row r="55" ht="18" customHeight="1" s="17">
      <c r="A55" s="5" t="n">
        <v>3</v>
      </c>
      <c r="B55" s="4" t="inlineStr">
        <is>
          <t>Sapote (Colicodendron scabridum)</t>
        </is>
      </c>
      <c r="C55" s="4" t="inlineStr">
        <is>
          <t>Indicadora de buen estado</t>
        </is>
      </c>
      <c r="D55" s="4" t="inlineStr">
        <is>
          <t>No aplica</t>
        </is>
      </c>
      <c r="E55" s="3" t="n"/>
      <c r="F55" s="3" t="n"/>
      <c r="G55" s="3" t="n"/>
      <c r="H55" s="3" t="n"/>
      <c r="I55" s="4" t="inlineStr">
        <is>
          <t>Citada en las observaciones de la ficha y en el 2do Entregable; no incluida en la tabla florística.</t>
        </is>
      </c>
    </row>
    <row r="56" ht="18" customHeight="1" s="17">
      <c r="A56" s="5" t="n">
        <v>4</v>
      </c>
      <c r="B56" s="4" t="n"/>
      <c r="C56" s="4" t="n"/>
      <c r="D56" s="4" t="n"/>
      <c r="E56" s="3" t="n"/>
      <c r="F56" s="3" t="n"/>
      <c r="G56" s="3" t="n"/>
      <c r="H56" s="3" t="n"/>
      <c r="I56" s="4" t="n"/>
    </row>
    <row r="57" ht="18" customHeight="1" s="17">
      <c r="A57" s="5" t="n">
        <v>5</v>
      </c>
      <c r="B57" s="4" t="n"/>
      <c r="C57" s="4" t="n"/>
      <c r="D57" s="4" t="n"/>
      <c r="E57" s="3" t="n"/>
      <c r="F57" s="3" t="n"/>
      <c r="G57" s="3" t="n"/>
      <c r="H57" s="3" t="n"/>
      <c r="I57" s="4" t="n"/>
    </row>
    <row r="58" ht="18" customHeight="1" s="17">
      <c r="A58" s="5" t="n">
        <v>6</v>
      </c>
      <c r="B58" s="4" t="n"/>
      <c r="C58" s="4" t="n"/>
      <c r="D58" s="4" t="n"/>
      <c r="E58" s="3" t="n"/>
      <c r="F58" s="3" t="n"/>
      <c r="G58" s="3" t="n"/>
      <c r="H58" s="3" t="n"/>
      <c r="I58" s="4" t="n"/>
    </row>
    <row r="59" ht="18" customHeight="1" s="17">
      <c r="A59" s="5" t="n">
        <v>7</v>
      </c>
      <c r="B59" s="4" t="n"/>
      <c r="C59" s="4" t="n"/>
      <c r="D59" s="4" t="n"/>
      <c r="E59" s="3" t="n"/>
      <c r="F59" s="3" t="n"/>
      <c r="G59" s="3" t="n"/>
      <c r="H59" s="3" t="n"/>
      <c r="I59" s="4" t="n"/>
    </row>
    <row r="60" ht="18" customHeight="1" s="17">
      <c r="A60" s="5" t="n">
        <v>8</v>
      </c>
      <c r="B60" s="4" t="n"/>
      <c r="C60" s="4" t="n"/>
      <c r="D60" s="4" t="n"/>
      <c r="E60" s="3" t="n"/>
      <c r="F60" s="3" t="n"/>
      <c r="G60" s="3" t="n"/>
      <c r="H60" s="3" t="n"/>
      <c r="I60" s="4" t="n"/>
    </row>
    <row r="61" ht="18" customHeight="1" s="17">
      <c r="A61" s="5" t="n">
        <v>9</v>
      </c>
      <c r="B61" s="4" t="n"/>
      <c r="C61" s="4" t="n"/>
      <c r="D61" s="4" t="n"/>
      <c r="E61" s="3" t="n"/>
      <c r="F61" s="3" t="n"/>
      <c r="G61" s="3" t="n"/>
      <c r="H61" s="3" t="n"/>
      <c r="I61" s="4" t="n"/>
    </row>
    <row r="62" ht="18" customHeight="1" s="17">
      <c r="A62" s="5" t="n">
        <v>10</v>
      </c>
      <c r="B62" s="4" t="n"/>
      <c r="C62" s="4" t="n"/>
      <c r="D62" s="4" t="n"/>
      <c r="E62" s="3" t="n"/>
      <c r="F62" s="3" t="n"/>
      <c r="G62" s="3" t="n"/>
      <c r="H62" s="3" t="n"/>
      <c r="I62" s="4" t="n"/>
    </row>
    <row r="64" ht="21.75" customHeight="1" s="17">
      <c r="A64" s="19" t="inlineStr">
        <is>
          <t>OBSERVACIONES</t>
        </is>
      </c>
    </row>
    <row r="65" ht="27.75" customHeight="1" s="17">
      <c r="A65" s="23" t="inlineStr">
        <is>
          <t>Al momento de la evaluación, la cobertura vegetal del área corresponde a un bosque seco con zonas empobrecidas y con claros próximos a la vía afirmada. La altura promedio de los individuos arbóreos es menor a los 8 m y los diámetros a la altura del pecho, menores a 20 cm.
La parte alta del bloque conserva la vegetación. La eliminación de la vegetación provoca la formación de claros en el bosque, lo que conlleva un empobrecimiento de la cobertura vegetal. Se ha observado presencia de arbustos dispersos, principalmente overo. La vegetación es nativa y la mayoría de los individuos se encuentran en época de defoliación.
Entre las especies arbóreas nativas: ceibo, pasallo, charán, faique, palo santo, hualtaco y sapote. También hay presencia de cardos. El 2do Entregable precisa la determinación de hualtaco (Loxopterygium huasango), sapote (Capparis scabrida) y cardos (Armatocereus cartwrightianus).
INCONSISTENCIA: la altura promedio del estrato dominante de la sección 3 (9 m) y el DAP (30 cm) no coinciden con estas observaciones (&lt;8 m y &lt;20 cm). Ver discrepancia D-05.</t>
        </is>
      </c>
      <c r="B65" s="24" t="n"/>
      <c r="C65" s="24" t="n"/>
      <c r="D65" s="24" t="n"/>
      <c r="E65" s="24" t="n"/>
      <c r="F65" s="24" t="n"/>
      <c r="G65" s="24" t="n"/>
      <c r="H65" s="24" t="n"/>
      <c r="I65" s="25" t="n"/>
    </row>
    <row r="66" ht="27.75" customHeight="1" s="17">
      <c r="A66" s="26" t="n"/>
      <c r="I66" s="27" t="n"/>
    </row>
    <row r="67" ht="27.75" customHeight="1" s="17">
      <c r="A67" s="28" t="n"/>
      <c r="B67" s="29" t="n"/>
      <c r="C67" s="29" t="n"/>
      <c r="D67" s="29" t="n"/>
      <c r="E67" s="29" t="n"/>
      <c r="F67" s="29" t="n"/>
      <c r="G67" s="29" t="n"/>
      <c r="H67" s="29" t="n"/>
      <c r="I67" s="30" t="n"/>
    </row>
  </sheetData>
  <mergeCells count="72">
    <mergeCell ref="A7:I7"/>
    <mergeCell ref="E12:F12"/>
    <mergeCell ref="A24:B24"/>
    <mergeCell ref="A30:B30"/>
    <mergeCell ref="G10:I10"/>
    <mergeCell ref="C24:D24"/>
    <mergeCell ref="A65:I67"/>
    <mergeCell ref="G13:I13"/>
    <mergeCell ref="C17:I17"/>
    <mergeCell ref="E24:F24"/>
    <mergeCell ref="A11:B11"/>
    <mergeCell ref="E23:F23"/>
    <mergeCell ref="A3:I3"/>
    <mergeCell ref="E8:F8"/>
    <mergeCell ref="C19:I19"/>
    <mergeCell ref="A21:I21"/>
    <mergeCell ref="G24:I24"/>
    <mergeCell ref="C28:I28"/>
    <mergeCell ref="A16:B16"/>
    <mergeCell ref="A2:I2"/>
    <mergeCell ref="C10:D10"/>
    <mergeCell ref="C18:I18"/>
    <mergeCell ref="A25:B25"/>
    <mergeCell ref="A5:I5"/>
    <mergeCell ref="E10:F10"/>
    <mergeCell ref="C25:D25"/>
    <mergeCell ref="A32:I32"/>
    <mergeCell ref="A33:I33"/>
    <mergeCell ref="E13:F13"/>
    <mergeCell ref="C22:D22"/>
    <mergeCell ref="C30:I30"/>
    <mergeCell ref="C9:D9"/>
    <mergeCell ref="A18:B18"/>
    <mergeCell ref="A27:B27"/>
    <mergeCell ref="E9:F9"/>
    <mergeCell ref="A4:I4"/>
    <mergeCell ref="A12:B12"/>
    <mergeCell ref="G25:I25"/>
    <mergeCell ref="C12:D12"/>
    <mergeCell ref="A26:B26"/>
    <mergeCell ref="G22:I22"/>
    <mergeCell ref="C26:I26"/>
    <mergeCell ref="C11:D11"/>
    <mergeCell ref="E11:F11"/>
    <mergeCell ref="G9:I9"/>
    <mergeCell ref="C29:I29"/>
    <mergeCell ref="G12:I12"/>
    <mergeCell ref="C16:I16"/>
    <mergeCell ref="A17:B17"/>
    <mergeCell ref="A23:B23"/>
    <mergeCell ref="A8:B8"/>
    <mergeCell ref="C23:D23"/>
    <mergeCell ref="A22:B22"/>
    <mergeCell ref="C8:D8"/>
    <mergeCell ref="G11:I11"/>
    <mergeCell ref="A64:I64"/>
    <mergeCell ref="A15:I15"/>
    <mergeCell ref="A29:B29"/>
    <mergeCell ref="A51:I51"/>
    <mergeCell ref="E25:F25"/>
    <mergeCell ref="A19:B19"/>
    <mergeCell ref="G23:I23"/>
    <mergeCell ref="A28:B28"/>
    <mergeCell ref="A1:I1"/>
    <mergeCell ref="G8:I8"/>
    <mergeCell ref="A13:B13"/>
    <mergeCell ref="A10:B10"/>
    <mergeCell ref="E22:F22"/>
    <mergeCell ref="C13:D13"/>
    <mergeCell ref="A6:I6"/>
    <mergeCell ref="A9:B9"/>
    <mergeCell ref="C27:I27"/>
  </mergeCells>
  <dataValidations count="14">
    <dataValidation sqref="C9"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C16" showDropDown="0" showInputMessage="0" showErrorMessage="0" allowBlank="1" errorTitle="Valor no válido" error="Seleccione un valor de la lista desplegable." promptTitle="Tipo de ecosistema MINAM (domi" prompt="Elija una opción de la lista." type="list">
      <formula1>lst_TipoEcosistema</formula1>
      <formula2>0</formula2>
    </dataValidation>
    <dataValidation sqref="C18" showDropDown="0" showInputMessage="0" showErrorMessage="0" allowBlank="1" errorTitle="Valor no válido" error="Seleccione un valor de la lista desplegable." promptTitle="Estado de conservación general" prompt="Elija una opción de la lista." type="list">
      <formula1>lst_EstadoConservacion</formula1>
      <formula2>0</formula2>
    </dataValidation>
    <dataValidation sqref="C19" showDropDown="0" showInputMessage="0" showErrorMessage="0" allowBlank="1" errorTitle="Valor no válido" error="Seleccione un valor de la lista desplegable." promptTitle="Uso actual dominante del suelo" prompt="Elija una opción de la lista." type="list">
      <formula1>lst_UsoSueloDom</formula1>
      <formula2>0</formula2>
    </dataValidation>
    <dataValidation sqref="C26" showDropDown="0" showInputMessage="0" showErrorMessage="0" allowBlank="1" errorTitle="Valor no válido" error="Seleccione un valor de la lista desplegable." promptTitle="Regeneración natural observada" prompt="Elija una opción de la lista." type="list">
      <formula1>lst_Regeneracion</formula1>
      <formula2>0</formula2>
    </dataValidation>
    <dataValidation sqref="C27" showDropDown="0" showInputMessage="0" showErrorMessage="0" allowBlank="1" errorTitle="Valor no válido" error="Seleccione un valor de la lista desplegable." promptTitle="Estado sanitario general del d" prompt="Elija una opción de la lista." type="list">
      <formula1>lst_EstadoSanitario</formula1>
      <formula2>0</formula2>
    </dataValidation>
    <dataValidation sqref="C28" showDropDown="0" showInputMessage="0" showErrorMessage="0" allowBlank="1" errorTitle="Valor no válido" error="Seleccione un valor de la lista desplegable." promptTitle="Presencia de epífitas (cualita" prompt="Elija una opción de la lista." type="list">
      <formula1>lst_SiNo</formula1>
      <formula2>0</formula2>
    </dataValidation>
    <dataValidation sqref="C29" showDropDown="0" showInputMessage="0" showErrorMessage="0" allowBlank="1" errorTitle="Valor no válido" error="Seleccione un valor de la lista desplegable." promptTitle="Fenología dominante (época de " prompt="Elija una opción de la lista." type="list">
      <formula1>lst_Fenologia</formula1>
      <formula2>0</formula2>
    </dataValidation>
    <dataValidation sqref="C30" showDropDown="0" showInputMessage="0" showErrorMessage="0" allowBlank="1" errorTitle="Valor no válido" error="Seleccione un valor de la lista desplegable." promptTitle="Tipo de cobertura vegetal domi" prompt="Elija una opción de la lista." type="list">
      <formula1>lst_TipoCobertura</formula1>
      <formula2>0</formula2>
    </dataValidation>
    <dataValidation sqref="E35:E49" showDropDown="0" showInputMessage="0" showErrorMessage="0" allowBlank="1" errorTitle="Valor no válido" error="Seleccione un valor de la lista desplegable." promptTitle="Estrato" prompt="Elija una opción de la lista." type="list">
      <formula1>lst_Estrato</formula1>
      <formula2>0</formula2>
    </dataValidation>
    <dataValidation sqref="F35:F49" showDropDown="0" showInputMessage="0" showErrorMessage="0" allowBlank="1" errorTitle="Valor no válido" error="Seleccione un valor de la lista desplegable." promptTitle="Origen" prompt="Elija una opción de la lista." type="list">
      <formula1>lst_Origen</formula1>
      <formula2>0</formula2>
    </dataValidation>
    <dataValidation sqref="G35:G49" showDropDown="0" showInputMessage="0" showErrorMessage="0" allowBlank="1" errorTitle="Valor no válido" error="Seleccione un valor de la lista desplegable." promptTitle="Abundancia" prompt="Elija una opción de la lista." type="list">
      <formula1>lst_Abundancia</formula1>
      <formula2>0</formula2>
    </dataValidation>
    <dataValidation sqref="C53:C62" showDropDown="0" showInputMessage="0" showErrorMessage="0" allowBlank="1" errorTitle="Valor no válido" error="Seleccione un valor de la lista desplegable." promptTitle="Categoría" prompt="Elija una opción de la lista." type="list">
      <formula1>lst_CategoriaIndicadora</formula1>
      <formula2>0</formula2>
    </dataValidation>
    <dataValidation sqref="D53:D62" showDropDown="0" showInputMessage="0" showErrorMessage="0" allowBlank="1" errorTitle="Valor no válido" error="Seleccione un valor de la lista desplegable." promptTitle="Estado UICN / D.S. 043" prompt="Elija una opción de la lista." type="list">
      <formula1>lst_EstadoUICN</formula1>
      <formula2>0</formula2>
    </dataValidation>
  </dataValidations>
  <printOptions horizontalCentered="1"/>
  <pageMargins left="0.4" right="0.4" top="0.5" bottom="0.5" header="0.2" footer="0.2"/>
  <pageSetup orientation="landscape" paperSize="9" fitToHeight="0" horizontalDpi="300" verticalDpi="300"/>
</worksheet>
</file>

<file path=xl/worksheets/sheet5.xml><?xml version="1.0" encoding="utf-8"?>
<worksheet xmlns="http://schemas.openxmlformats.org/spreadsheetml/2006/main">
  <sheetPr>
    <tabColor rgb="007F9F7F"/>
    <outlinePr summaryBelow="1" summaryRight="1"/>
    <pageSetUpPr fitToPage="1"/>
  </sheetPr>
  <dimension ref="A1:G54"/>
  <sheetViews>
    <sheetView showGridLines="0" tabSelected="1" zoomScaleNormal="100" workbookViewId="0">
      <pane ySplit="6" topLeftCell="A7" activePane="bottomLeft" state="frozen"/>
      <selection pane="bottomLeft" activeCell="D15" sqref="D15"/>
    </sheetView>
  </sheetViews>
  <sheetFormatPr baseColWidth="10" defaultColWidth="8.6640625" defaultRowHeight="14.4"/>
  <cols>
    <col width="6" customWidth="1" style="17" min="1" max="1"/>
    <col width="32" customWidth="1" style="17" min="2" max="2"/>
    <col width="13" customWidth="1" style="17" min="3" max="3"/>
    <col width="14" customWidth="1" style="17" min="4" max="4"/>
    <col width="13" customWidth="1" style="17" min="5" max="5"/>
    <col width="14" customWidth="1" style="17" min="6" max="6"/>
    <col width="32" customWidth="1" style="17" min="7" max="7"/>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F-DT-04: CAUSAS E INDICADORES DE DEGRADACIÓN DEL ECOSISTEMA</t>
        </is>
      </c>
    </row>
    <row r="5" ht="27.75" customHeight="1" s="17">
      <c r="A5" s="21" t="inlineStr">
        <is>
          <t>Identificación y ponderación de causas directas de degradación (antrópicas y naturales) y registro de indicadores cuantitativos. Permite priorizar medidas de mitigación y gobernanza.</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t>
        </is>
      </c>
      <c r="B8" s="14" t="n"/>
      <c r="C8" s="15" t="inlineStr">
        <is>
          <t>10-08-2026</t>
        </is>
      </c>
      <c r="D8" s="13" t="n"/>
      <c r="E8" s="13" t="n"/>
      <c r="F8" s="13" t="n"/>
      <c r="G8" s="14" t="n"/>
    </row>
    <row r="9" ht="19.5" customHeight="1" s="17">
      <c r="A9" s="31" t="inlineStr">
        <is>
          <t>Responsable *</t>
        </is>
      </c>
      <c r="B9" s="14" t="n"/>
      <c r="C9" s="15" t="inlineStr">
        <is>
          <t>Ing. Juan Domínguez</t>
        </is>
      </c>
      <c r="D9" s="13" t="n"/>
      <c r="E9" s="13" t="n"/>
      <c r="F9" s="13" t="n"/>
      <c r="G9" s="14" t="n"/>
    </row>
    <row r="10" ht="19.5" customHeight="1" s="17">
      <c r="A10" s="31" t="inlineStr">
        <is>
          <t>Código del Bloque *</t>
        </is>
      </c>
      <c r="B10" s="14" t="n"/>
      <c r="C10" s="15" t="inlineStr">
        <is>
          <t>M12B1</t>
        </is>
      </c>
      <c r="D10" s="13" t="n"/>
      <c r="E10" s="13" t="n"/>
      <c r="F10" s="13" t="n"/>
      <c r="G10" s="14" t="n"/>
    </row>
    <row r="11" ht="19.5" customHeight="1" s="17">
      <c r="A11" s="31" t="inlineStr">
        <is>
          <t>Microcuenca (auto)</t>
        </is>
      </c>
      <c r="B11" s="14" t="n"/>
      <c r="C11" s="12">
        <f>IFERROR(VLOOKUP($C$10,tbl_Bloques,2,FALSE()),"")</f>
        <v/>
      </c>
      <c r="D11" s="13" t="n"/>
      <c r="E11" s="13" t="n"/>
      <c r="F11" s="13" t="n"/>
      <c r="G11" s="14" t="n"/>
    </row>
    <row r="12" ht="21.75" customHeight="1" s="17">
      <c r="A12" s="6" t="inlineStr">
        <is>
          <t>2. MATRIZ DE CAUSAS DE DEGRADACIÓN</t>
        </is>
      </c>
      <c r="B12" s="13" t="n"/>
      <c r="C12" s="14" t="n"/>
      <c r="D12" s="13" t="n"/>
      <c r="E12" s="13" t="n"/>
      <c r="F12" s="13" t="n"/>
      <c r="G12" s="14" t="n"/>
    </row>
    <row r="13" ht="27.75" customHeight="1" s="17">
      <c r="A13" s="32" t="inlineStr">
        <is>
          <t>PRESENCIA: Sí / No  |  INTENSIDAD: Nula / Ligera / Moderada / Fuerte / Muy fuerte  |  EXTENSIÓN: % del bloque afectado  |  ANTIGÜEDAD: años aproximados.</t>
        </is>
      </c>
      <c r="B13" s="14" t="n"/>
      <c r="C13" s="33" t="n"/>
      <c r="D13" s="13" t="n"/>
      <c r="E13" s="13" t="n"/>
      <c r="F13" s="13" t="n"/>
      <c r="G13" s="14" t="n"/>
    </row>
    <row r="14" ht="31.5" customHeight="1" s="17">
      <c r="A14" s="2" t="inlineStr">
        <is>
          <t>N°</t>
        </is>
      </c>
      <c r="B14" s="2" t="inlineStr">
        <is>
          <t>Causa / Factor de degradación</t>
        </is>
      </c>
      <c r="C14" s="2" t="inlineStr">
        <is>
          <t>Presencia</t>
        </is>
      </c>
      <c r="D14" s="2" t="inlineStr">
        <is>
          <t>Intensidad</t>
        </is>
      </c>
      <c r="E14" s="2" t="inlineStr">
        <is>
          <t>Extensión
(% bloque)</t>
        </is>
      </c>
      <c r="F14" s="2" t="inlineStr">
        <is>
          <t>Antigüedad
(años aprox.)</t>
        </is>
      </c>
      <c r="G14" s="2" t="inlineStr">
        <is>
          <t>Evidencia observada / Descripción</t>
        </is>
      </c>
    </row>
    <row r="15" ht="18" customHeight="1" s="17">
      <c r="A15" s="5" t="n">
        <v>1</v>
      </c>
      <c r="B15" s="7" t="inlineStr">
        <is>
          <t>Sobrepastoreo (caprino/vacuno)</t>
        </is>
      </c>
      <c r="C15" s="3" t="inlineStr">
        <is>
          <t>Sí</t>
        </is>
      </c>
      <c r="D15" s="3" t="inlineStr">
        <is>
          <t>Moderada</t>
        </is>
      </c>
      <c r="E15" s="3" t="n">
        <v>70</v>
      </c>
      <c r="F15" s="3" t="n">
        <v>30</v>
      </c>
      <c r="G15" s="4" t="inlineStr">
        <is>
          <t>Se observó presencia de ganado caprino.</t>
        </is>
      </c>
    </row>
    <row r="16" ht="18" customHeight="1" s="17">
      <c r="A16" s="5" t="n">
        <v>2</v>
      </c>
      <c r="B16" s="7" t="inlineStr">
        <is>
          <t>Tala para leña</t>
        </is>
      </c>
      <c r="C16" s="3" t="inlineStr">
        <is>
          <t>Sí</t>
        </is>
      </c>
      <c r="D16" s="3" t="inlineStr">
        <is>
          <t>Moderada</t>
        </is>
      </c>
      <c r="E16" s="3" t="n">
        <v>30</v>
      </c>
      <c r="F16" s="3" t="n">
        <v>30</v>
      </c>
      <c r="G16" s="4" t="inlineStr">
        <is>
          <t>Se observó leña apilada en los patios de las viviendas.</t>
        </is>
      </c>
    </row>
    <row r="17" ht="18" customHeight="1" s="17">
      <c r="A17" s="5" t="n">
        <v>3</v>
      </c>
      <c r="B17" s="7" t="inlineStr">
        <is>
          <t>Tala para carbón</t>
        </is>
      </c>
      <c r="C17" s="3" t="n"/>
      <c r="D17" s="3" t="n"/>
      <c r="E17" s="3" t="n"/>
      <c r="F17" s="3" t="n"/>
      <c r="G17" s="4" t="n"/>
    </row>
    <row r="18" ht="18" customHeight="1" s="17">
      <c r="A18" s="5" t="n">
        <v>4</v>
      </c>
      <c r="B18" s="7" t="inlineStr">
        <is>
          <t>Tala para madera</t>
        </is>
      </c>
      <c r="C18" s="3" t="n"/>
      <c r="D18" s="3" t="n"/>
      <c r="E18" s="3" t="n"/>
      <c r="F18" s="3" t="n"/>
      <c r="G18" s="4" t="n"/>
    </row>
    <row r="19" ht="18" customHeight="1" s="17">
      <c r="A19" s="5" t="n">
        <v>5</v>
      </c>
      <c r="B19" s="7" t="inlineStr">
        <is>
          <t>Quema (renovación de pastos)</t>
        </is>
      </c>
      <c r="C19" s="3" t="n"/>
      <c r="D19" s="3" t="n"/>
      <c r="E19" s="3" t="n"/>
      <c r="F19" s="3" t="n"/>
      <c r="G19" s="4" t="n"/>
    </row>
    <row r="20" ht="18" customHeight="1" s="17">
      <c r="A20" s="5" t="n">
        <v>6</v>
      </c>
      <c r="B20" s="7" t="inlineStr">
        <is>
          <t>Quema accidental / Incendio</t>
        </is>
      </c>
      <c r="C20" s="3" t="n"/>
      <c r="D20" s="3" t="n"/>
      <c r="E20" s="3" t="n"/>
      <c r="F20" s="3" t="n"/>
      <c r="G20" s="4" t="n"/>
    </row>
    <row r="21" ht="18" customHeight="1" s="17">
      <c r="A21" s="5" t="n">
        <v>7</v>
      </c>
      <c r="B21" s="7" t="inlineStr">
        <is>
          <t>Cambio de uso a agricultura</t>
        </is>
      </c>
      <c r="C21" s="3" t="n"/>
      <c r="D21" s="3" t="n"/>
      <c r="E21" s="3" t="n"/>
      <c r="F21" s="3" t="n"/>
      <c r="G21" s="4" t="n"/>
    </row>
    <row r="22" ht="18" customHeight="1" s="17">
      <c r="A22" s="5" t="n">
        <v>8</v>
      </c>
      <c r="B22" s="7" t="inlineStr">
        <is>
          <t>Cambio de uso a pastoreo</t>
        </is>
      </c>
      <c r="C22" s="3" t="inlineStr">
        <is>
          <t>Sí</t>
        </is>
      </c>
      <c r="D22" s="3" t="inlineStr">
        <is>
          <t>Moderada</t>
        </is>
      </c>
      <c r="E22" s="3" t="n">
        <v>70</v>
      </c>
      <c r="F22" s="3" t="n">
        <v>30</v>
      </c>
      <c r="G22" s="4" t="inlineStr">
        <is>
          <t>Se observó presencia de ganado caprino.</t>
        </is>
      </c>
    </row>
    <row r="23" ht="18" customHeight="1" s="17">
      <c r="A23" s="5" t="n">
        <v>9</v>
      </c>
      <c r="B23" s="7" t="inlineStr">
        <is>
          <t>Expansión urbana / vial</t>
        </is>
      </c>
      <c r="C23" s="3" t="n"/>
      <c r="D23" s="3" t="n"/>
      <c r="E23" s="3" t="n"/>
      <c r="F23" s="3" t="n"/>
      <c r="G23" s="4" t="n"/>
    </row>
    <row r="24" ht="18" customHeight="1" s="17">
      <c r="A24" s="5" t="n">
        <v>10</v>
      </c>
      <c r="B24" s="7" t="inlineStr">
        <is>
          <t>Minería informal</t>
        </is>
      </c>
      <c r="C24" s="3" t="n"/>
      <c r="D24" s="3" t="n"/>
      <c r="E24" s="3" t="n"/>
      <c r="F24" s="3" t="n"/>
      <c r="G24" s="4" t="n"/>
    </row>
    <row r="25" ht="18" customHeight="1" s="17">
      <c r="A25" s="5" t="n">
        <v>11</v>
      </c>
      <c r="B25" s="7" t="inlineStr">
        <is>
          <t>Extracción de áridos (cauces)</t>
        </is>
      </c>
      <c r="C25" s="3" t="n"/>
      <c r="D25" s="3" t="n"/>
      <c r="E25" s="3" t="n"/>
      <c r="F25" s="3" t="n"/>
      <c r="G25" s="4" t="n"/>
    </row>
    <row r="26" ht="18" customHeight="1" s="17">
      <c r="A26" s="5" t="n">
        <v>12</v>
      </c>
      <c r="B26" s="7" t="inlineStr">
        <is>
          <t>Especies invasoras</t>
        </is>
      </c>
      <c r="C26" s="3" t="n"/>
      <c r="D26" s="3" t="n"/>
      <c r="E26" s="3" t="n"/>
      <c r="F26" s="3" t="n"/>
      <c r="G26" s="4" t="n"/>
    </row>
    <row r="27" ht="18" customHeight="1" s="17">
      <c r="A27" s="5" t="n">
        <v>13</v>
      </c>
      <c r="B27" s="7" t="inlineStr">
        <is>
          <t>Erosión natural severa</t>
        </is>
      </c>
      <c r="C27" s="3" t="n"/>
      <c r="D27" s="3" t="n"/>
      <c r="E27" s="3" t="n"/>
      <c r="F27" s="3" t="n"/>
      <c r="G27" s="4" t="n"/>
    </row>
    <row r="28" ht="18" customHeight="1" s="17">
      <c r="A28" s="5" t="n">
        <v>14</v>
      </c>
      <c r="B28" s="7" t="inlineStr">
        <is>
          <t>Sequía prolongada / CC</t>
        </is>
      </c>
      <c r="C28" s="3" t="n"/>
      <c r="D28" s="3" t="n"/>
      <c r="E28" s="3" t="n"/>
      <c r="F28" s="3" t="n"/>
      <c r="G28" s="4" t="n"/>
    </row>
    <row r="29" ht="18" customHeight="1" s="17">
      <c r="A29" s="5" t="n">
        <v>15</v>
      </c>
      <c r="B29" s="7" t="inlineStr">
        <is>
          <t>Plagas o enfermedades forestales</t>
        </is>
      </c>
      <c r="C29" s="3" t="n"/>
      <c r="D29" s="3" t="n"/>
      <c r="E29" s="3" t="n"/>
      <c r="F29" s="3" t="n"/>
      <c r="G29" s="4" t="n"/>
    </row>
    <row r="30" ht="18" customHeight="1" s="17">
      <c r="A30" s="5" t="n">
        <v>16</v>
      </c>
      <c r="B30" s="7" t="inlineStr">
        <is>
          <t>Otro</t>
        </is>
      </c>
      <c r="C30" s="3" t="n"/>
      <c r="D30" s="3" t="n"/>
      <c r="E30" s="3" t="n"/>
      <c r="F30" s="3" t="n"/>
      <c r="G30" s="4" t="n"/>
    </row>
    <row r="32" ht="21.75" customHeight="1" s="17">
      <c r="A32" s="19" t="inlineStr">
        <is>
          <t>3. INDICADORES CUANTITATIVOS DE DEGRADACIÓN</t>
        </is>
      </c>
    </row>
    <row r="33" ht="25.5" customHeight="1" s="17">
      <c r="A33" s="32" t="inlineStr">
        <is>
          <t>Combina observación directa con información de gabinete (MSAVI, NDVI, Theil-Sen). NIVEL: Alto / Medio / Bajo según umbrales.</t>
        </is>
      </c>
      <c r="B33" s="13" t="n"/>
      <c r="C33" s="13" t="n"/>
      <c r="D33" s="13" t="n"/>
      <c r="E33" s="13" t="n"/>
      <c r="F33" s="13" t="n"/>
      <c r="G33" s="14" t="n"/>
    </row>
    <row r="34" ht="27.75" customHeight="1" s="17">
      <c r="A34" s="2" t="inlineStr">
        <is>
          <t>N°</t>
        </is>
      </c>
      <c r="B34" s="2" t="inlineStr">
        <is>
          <t>Indicador</t>
        </is>
      </c>
      <c r="C34" s="2" t="inlineStr">
        <is>
          <t>Unidad</t>
        </is>
      </c>
      <c r="D34" s="2" t="inlineStr">
        <is>
          <t>Valor</t>
        </is>
      </c>
      <c r="E34" s="2" t="inlineStr">
        <is>
          <t>Fuente</t>
        </is>
      </c>
      <c r="F34" s="2" t="inlineStr">
        <is>
          <t>Umbral / Referencia</t>
        </is>
      </c>
      <c r="G34" s="2" t="inlineStr">
        <is>
          <t>Nivel</t>
        </is>
      </c>
    </row>
    <row r="35" ht="21.75" customHeight="1" s="17">
      <c r="A35" s="5" t="n">
        <v>1</v>
      </c>
      <c r="B35" s="7" t="inlineStr">
        <is>
          <t>Cobertura vegetal total</t>
        </is>
      </c>
      <c r="C35" s="5" t="inlineStr">
        <is>
          <t>%</t>
        </is>
      </c>
      <c r="D35" s="3" t="n">
        <v>70</v>
      </c>
      <c r="E35" s="4" t="inlineStr">
        <is>
          <t>Estimación visual de campo</t>
        </is>
      </c>
      <c r="F35" s="7" t="inlineStr">
        <is>
          <t>&gt;60% bueno; 30-60% medio; &lt;30% malo</t>
        </is>
      </c>
      <c r="G35" s="3" t="inlineStr">
        <is>
          <t>Alto</t>
        </is>
      </c>
    </row>
    <row r="36" ht="21.75" customHeight="1" s="17">
      <c r="A36" s="5" t="n">
        <v>2</v>
      </c>
      <c r="B36" s="7" t="inlineStr">
        <is>
          <t>Porcentaje de suelo desnudo</t>
        </is>
      </c>
      <c r="C36" s="5" t="inlineStr">
        <is>
          <t>%</t>
        </is>
      </c>
      <c r="D36" s="3" t="n">
        <v>5</v>
      </c>
      <c r="E36" s="4" t="inlineStr">
        <is>
          <t>Estimación visual de campo</t>
        </is>
      </c>
      <c r="F36" s="7" t="inlineStr">
        <is>
          <t>&lt;10% bueno; 10-30% medio; &gt;30% malo</t>
        </is>
      </c>
      <c r="G36" s="3" t="inlineStr">
        <is>
          <t>Bajo</t>
        </is>
      </c>
    </row>
    <row r="37" ht="21.75" customHeight="1" s="17">
      <c r="A37" s="5" t="n">
        <v>3</v>
      </c>
      <c r="B37" s="7" t="inlineStr">
        <is>
          <t>Densidad de cárcavas</t>
        </is>
      </c>
      <c r="C37" s="5" t="inlineStr">
        <is>
          <t>N°/ha</t>
        </is>
      </c>
      <c r="D37" s="3" t="n">
        <v>1</v>
      </c>
      <c r="E37" s="4" t="inlineStr">
        <is>
          <t>Estimación visual de campo</t>
        </is>
      </c>
      <c r="F37" s="7" t="inlineStr">
        <is>
          <t>0 nulo; 1-3 medio; &gt;3 alto</t>
        </is>
      </c>
      <c r="G37" s="3" t="inlineStr">
        <is>
          <t>Bajo</t>
        </is>
      </c>
    </row>
    <row r="38" ht="21.75" customHeight="1" s="17">
      <c r="A38" s="5" t="n">
        <v>4</v>
      </c>
      <c r="B38" s="7" t="inlineStr">
        <is>
          <t>Presencia de especies invasoras</t>
        </is>
      </c>
      <c r="C38" s="5" t="inlineStr">
        <is>
          <t>% área</t>
        </is>
      </c>
      <c r="D38" s="3" t="n">
        <v>0</v>
      </c>
      <c r="E38" s="4" t="inlineStr">
        <is>
          <t>Estimación visual de campo</t>
        </is>
      </c>
      <c r="F38" s="7" t="inlineStr">
        <is>
          <t>&lt;5% bueno; 5-20% medio; &gt;20% alto</t>
        </is>
      </c>
      <c r="G38" s="3" t="inlineStr">
        <is>
          <t>Bajo</t>
        </is>
      </c>
    </row>
    <row r="39" ht="21.75" customHeight="1" s="17">
      <c r="A39" s="5" t="n">
        <v>5</v>
      </c>
      <c r="B39" s="7" t="inlineStr">
        <is>
          <t>Carga ganadera estimada</t>
        </is>
      </c>
      <c r="C39" s="5" t="inlineStr">
        <is>
          <t>UA/ha</t>
        </is>
      </c>
      <c r="D39" s="3" t="n">
        <v>3</v>
      </c>
      <c r="E39" s="4" t="inlineStr">
        <is>
          <t>Estimación visual de campo</t>
        </is>
      </c>
      <c r="F39" s="7" t="inlineStr">
        <is>
          <t>Según tipo de ecosistema</t>
        </is>
      </c>
      <c r="G39" s="3" t="inlineStr">
        <is>
          <t>Medio</t>
        </is>
      </c>
    </row>
    <row r="40" ht="21.75" customHeight="1" s="17">
      <c r="A40" s="5" t="n">
        <v>6</v>
      </c>
      <c r="B40" s="7" t="inlineStr">
        <is>
          <t>Frecuencia de quemas últimos 5 años</t>
        </is>
      </c>
      <c r="C40" s="5" t="inlineStr">
        <is>
          <t>N°</t>
        </is>
      </c>
      <c r="D40" s="3" t="n">
        <v>1</v>
      </c>
      <c r="E40" s="4" t="inlineStr">
        <is>
          <t>Estimación visual de campo</t>
        </is>
      </c>
      <c r="F40" s="7" t="inlineStr">
        <is>
          <t>0 nulo; 1-2 medio; &gt;2 alto</t>
        </is>
      </c>
      <c r="G40" s="3" t="inlineStr">
        <is>
          <t>Medio</t>
        </is>
      </c>
    </row>
    <row r="41" ht="21.75" customHeight="1" s="17">
      <c r="A41" s="5" t="n">
        <v>7</v>
      </c>
      <c r="B41" s="7" t="inlineStr">
        <is>
          <t>% área con pendiente &gt;50%</t>
        </is>
      </c>
      <c r="C41" s="5" t="inlineStr">
        <is>
          <t>%</t>
        </is>
      </c>
      <c r="D41" s="3" t="n">
        <v>35</v>
      </c>
      <c r="E41" s="4" t="inlineStr">
        <is>
          <t>Estimación visual de campo</t>
        </is>
      </c>
      <c r="F41" s="7" t="inlineStr">
        <is>
          <t>Factor de susceptibilidad</t>
        </is>
      </c>
      <c r="G41" s="3" t="inlineStr">
        <is>
          <t>Bajo</t>
        </is>
      </c>
    </row>
    <row r="42" ht="21.75" customHeight="1" s="17">
      <c r="A42" s="5" t="n">
        <v>8</v>
      </c>
      <c r="B42" s="7" t="inlineStr">
        <is>
          <t>Distancia a vía vecinal más cercana</t>
        </is>
      </c>
      <c r="C42" s="5" t="inlineStr">
        <is>
          <t>m</t>
        </is>
      </c>
      <c r="D42" s="3" t="n">
        <v>100</v>
      </c>
      <c r="E42" s="4" t="inlineStr">
        <is>
          <t>Estimación visual de campo</t>
        </is>
      </c>
      <c r="F42" s="7" t="inlineStr">
        <is>
          <t>A menor distancia → mayor presión</t>
        </is>
      </c>
      <c r="G42" s="3" t="inlineStr">
        <is>
          <t>Alto</t>
        </is>
      </c>
    </row>
    <row r="44" ht="21.75" customHeight="1" s="17">
      <c r="A44" s="19" t="inlineStr">
        <is>
          <t>4. SÍNTESIS DIAGNÓSTICA DE LA DEGRADACIÓN</t>
        </is>
      </c>
    </row>
    <row r="45" ht="19.5" customHeight="1" s="17">
      <c r="A45" s="31" t="inlineStr">
        <is>
          <t>Principales causas directas (texto libre)</t>
        </is>
      </c>
      <c r="B45" s="14" t="n"/>
      <c r="C45" s="15" t="inlineStr">
        <is>
          <t>La degradación leve del ecosistema se debe principalmente a las actividades de pastoreo de ganado caprino y a la extracción de leña para uso doméstico.</t>
        </is>
      </c>
      <c r="D45" s="13" t="n"/>
      <c r="E45" s="13" t="n"/>
      <c r="F45" s="13" t="n"/>
      <c r="G45" s="14" t="n"/>
    </row>
    <row r="46" ht="19.5" customHeight="1" s="17">
      <c r="A46" s="31" t="inlineStr">
        <is>
          <t>Principal causa subyacente (motor)</t>
        </is>
      </c>
      <c r="B46" s="14" t="n"/>
      <c r="C46" s="15" t="inlineStr">
        <is>
          <t>—</t>
        </is>
      </c>
      <c r="D46" s="13" t="n"/>
      <c r="E46" s="13" t="n"/>
      <c r="F46" s="13" t="n"/>
      <c r="G46" s="14" t="n"/>
    </row>
    <row r="47" ht="19.5" customHeight="1" s="17">
      <c r="A47" s="31" t="inlineStr">
        <is>
          <t>Velocidad de degradación percibida</t>
        </is>
      </c>
      <c r="B47" s="14" t="n"/>
      <c r="C47" s="15" t="inlineStr">
        <is>
          <t>Lenta</t>
        </is>
      </c>
      <c r="D47" s="13" t="n"/>
      <c r="E47" s="13" t="n"/>
      <c r="F47" s="13" t="n"/>
      <c r="G47" s="14" t="n"/>
    </row>
    <row r="48" ht="19.5" customHeight="1" s="17">
      <c r="A48" s="31" t="inlineStr">
        <is>
          <t>Reversibilidad técnica</t>
        </is>
      </c>
      <c r="B48" s="14" t="n"/>
      <c r="C48" s="15" t="inlineStr">
        <is>
          <t>Totalmente reversible</t>
        </is>
      </c>
      <c r="D48" s="13" t="n"/>
      <c r="E48" s="13" t="n"/>
      <c r="F48" s="13" t="n"/>
      <c r="G48" s="14" t="n"/>
    </row>
    <row r="49" ht="19.5" customHeight="1" s="17">
      <c r="A49" s="31" t="inlineStr">
        <is>
          <t>Urgencia de intervención</t>
        </is>
      </c>
      <c r="B49" s="14" t="n"/>
      <c r="C49" s="15" t="inlineStr">
        <is>
          <t>Baja</t>
        </is>
      </c>
      <c r="D49" s="13" t="n"/>
      <c r="E49" s="13" t="n"/>
      <c r="F49" s="13" t="n"/>
      <c r="G49" s="14" t="n"/>
    </row>
    <row r="51" ht="21.75" customHeight="1" s="17">
      <c r="A51" s="19" t="inlineStr">
        <is>
          <t>OBSERVACIONES</t>
        </is>
      </c>
    </row>
    <row r="52" ht="27.75" customHeight="1" s="17">
      <c r="A52" s="23" t="inlineStr">
        <is>
          <t>Redelimitar el bloque priorizando las áreas próximas a los centros poblados y desestimando las áreas donde el ecosistema se encuentra conservado.
Hay presencia de casas muy próximas al bloque.</t>
        </is>
      </c>
      <c r="B52" s="24" t="n"/>
      <c r="C52" s="24" t="n"/>
      <c r="D52" s="24" t="n"/>
      <c r="E52" s="24" t="n"/>
      <c r="F52" s="24" t="n"/>
      <c r="G52" s="25" t="n"/>
    </row>
    <row r="53" ht="27.75" customHeight="1" s="17">
      <c r="A53" s="26" t="n"/>
      <c r="G53" s="27" t="n"/>
    </row>
    <row r="54" ht="27.75" customHeight="1" s="17">
      <c r="A54" s="28" t="n"/>
      <c r="B54" s="29" t="n"/>
      <c r="C54" s="29" t="n"/>
      <c r="D54" s="29" t="n"/>
      <c r="E54" s="29" t="n"/>
      <c r="F54" s="29" t="n"/>
      <c r="G54" s="30" t="n"/>
    </row>
  </sheetData>
  <mergeCells count="33">
    <mergeCell ref="A32:G32"/>
    <mergeCell ref="A48:B48"/>
    <mergeCell ref="C49:G49"/>
    <mergeCell ref="A11:B11"/>
    <mergeCell ref="A49:B49"/>
    <mergeCell ref="A4:G4"/>
    <mergeCell ref="A45:B45"/>
    <mergeCell ref="C45:G45"/>
    <mergeCell ref="A44:G44"/>
    <mergeCell ref="C10:G10"/>
    <mergeCell ref="C47:G47"/>
    <mergeCell ref="A52:G54"/>
    <mergeCell ref="A46:B46"/>
    <mergeCell ref="A51:G51"/>
    <mergeCell ref="C9:G9"/>
    <mergeCell ref="A1:G1"/>
    <mergeCell ref="C12:G12"/>
    <mergeCell ref="C46:G46"/>
    <mergeCell ref="A6:G6"/>
    <mergeCell ref="A47:B47"/>
    <mergeCell ref="C11:G11"/>
    <mergeCell ref="A7:G7"/>
    <mergeCell ref="C8:G8"/>
    <mergeCell ref="A8:B8"/>
    <mergeCell ref="C48:G48"/>
    <mergeCell ref="A3:G3"/>
    <mergeCell ref="A10:B10"/>
    <mergeCell ref="A13:B13"/>
    <mergeCell ref="A2:G2"/>
    <mergeCell ref="A9:B9"/>
    <mergeCell ref="C13:G13"/>
    <mergeCell ref="A33:G33"/>
    <mergeCell ref="A5:G5"/>
  </mergeCells>
  <dataValidations count="7">
    <dataValidation sqref="C10"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C15:C30" showDropDown="0" showInputMessage="0" showErrorMessage="0" allowBlank="1" errorTitle="Valor no válido" error="Seleccione un valor de la lista desplegable." promptTitle="Presencia" prompt="Elija una opción de la lista." type="list">
      <formula1>lst_SiNo</formula1>
      <formula2>0</formula2>
    </dataValidation>
    <dataValidation sqref="D15:D30" showDropDown="0" showInputMessage="0" showErrorMessage="0" allowBlank="1" errorTitle="Valor no válido" error="Seleccione un valor de la lista desplegable." promptTitle="Intensidad" prompt="Elija una opción de la lista." type="list">
      <formula1>lst_Intensidad</formula1>
      <formula2>0</formula2>
    </dataValidation>
    <dataValidation sqref="G35:G42" showDropDown="0" showInputMessage="0" showErrorMessage="0" allowBlank="1" errorTitle="Valor no válido" error="Seleccione un valor de la lista desplegable." promptTitle="Nivel" prompt="Elija una opción de la lista." type="list">
      <formula1>lst_NivelInd</formula1>
      <formula2>0</formula2>
    </dataValidation>
    <dataValidation sqref="C47" showDropDown="0" showInputMessage="0" showErrorMessage="0" allowBlank="1" errorTitle="Valor no válido" error="Seleccione un valor de la lista desplegable." promptTitle="Velocidad de degradación perci" prompt="Elija una opción de la lista." type="list">
      <formula1>lst_Velocidad</formula1>
      <formula2>0</formula2>
    </dataValidation>
    <dataValidation sqref="C48" showDropDown="0" showInputMessage="0" showErrorMessage="0" allowBlank="1" errorTitle="Valor no válido" error="Seleccione un valor de la lista desplegable." promptTitle="Reversibilidad técnica" prompt="Elija una opción de la lista." type="list">
      <formula1>lst_Reversibilidad</formula1>
      <formula2>0</formula2>
    </dataValidation>
    <dataValidation sqref="C49" showDropDown="0" showInputMessage="0" showErrorMessage="0" allowBlank="1" errorTitle="Valor no válido" error="Seleccione un valor de la lista desplegable." promptTitle="Urgencia de intervención" prompt="Elija una opción de la lista." type="list">
      <formula1>lst_Urgencia</formula1>
      <formula2>0</formula2>
    </dataValidation>
  </dataValidations>
  <printOptions horizontalCentered="1"/>
  <pageMargins left="0.4" right="0.4" top="0.5" bottom="0.5" header="0.2" footer="0.2"/>
  <pageSetup orientation="landscape" paperSize="9" fitToHeight="0" horizontalDpi="300" verticalDpi="300"/>
</worksheet>
</file>

<file path=xl/worksheets/sheet6.xml><?xml version="1.0" encoding="utf-8"?>
<worksheet xmlns="http://schemas.openxmlformats.org/spreadsheetml/2006/main">
  <sheetPr>
    <tabColor rgb="007F9F7F"/>
    <outlinePr summaryBelow="1" summaryRight="1"/>
    <pageSetUpPr fitToPage="1"/>
  </sheetPr>
  <dimension ref="A1:H51"/>
  <sheetViews>
    <sheetView showGridLines="0" zoomScaleNormal="100" workbookViewId="0">
      <pane ySplit="6" topLeftCell="A7" activePane="bottomLeft" state="frozen"/>
      <selection pane="bottomLeft" activeCell="A1" sqref="A1"/>
    </sheetView>
  </sheetViews>
  <sheetFormatPr baseColWidth="10" defaultColWidth="8.6640625" defaultRowHeight="14.4"/>
  <cols>
    <col width="8" customWidth="1" style="17" min="1" max="1"/>
    <col width="28" customWidth="1" style="17" min="2" max="2"/>
    <col width="12" customWidth="1" style="17" min="3" max="4"/>
    <col width="18" customWidth="1" style="17" min="5" max="5"/>
    <col width="24" customWidth="1" style="17" min="6" max="6"/>
    <col width="14" customWidth="1" style="17" min="7" max="7"/>
    <col width="26" customWidth="1" style="17" min="8" max="8"/>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F-DT-05: RECURSOS HÍDRICOS Y ACCESIBILIDAD</t>
        </is>
      </c>
    </row>
    <row r="5" ht="27.75" customHeight="1" s="17">
      <c r="A5" s="21" t="inlineStr">
        <is>
          <t>Inventario rápido de fuentes de agua dentro o colindantes al bloque + condiciones logísticas de acceso y seguridad. Insumo para diseño hidráulico y planificación operativa de campo.</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(dd-mm-aaaa) *</t>
        </is>
      </c>
      <c r="B8" s="14" t="n"/>
      <c r="C8" s="15" t="inlineStr">
        <is>
          <t>10-08-2026</t>
        </is>
      </c>
      <c r="D8" s="14" t="n"/>
      <c r="E8" s="31" t="inlineStr">
        <is>
          <t>Responsable *</t>
        </is>
      </c>
      <c r="F8" s="14" t="n"/>
      <c r="G8" s="15" t="inlineStr">
        <is>
          <t>Ing. Juan Domínguez</t>
        </is>
      </c>
      <c r="H8" s="14" t="n"/>
    </row>
    <row r="9" ht="19.5" customHeight="1" s="17">
      <c r="A9" s="31" t="inlineStr">
        <is>
          <t>Código del Bloque *</t>
        </is>
      </c>
      <c r="B9" s="14" t="n"/>
      <c r="C9" s="15" t="inlineStr">
        <is>
          <t>M12B1</t>
        </is>
      </c>
      <c r="D9" s="14" t="n"/>
      <c r="E9" s="31" t="inlineStr">
        <is>
          <t>Microcuenca (auto)</t>
        </is>
      </c>
      <c r="F9" s="14" t="n"/>
      <c r="G9" s="12">
        <f>IFERROR(VLOOKUP($C$9,tbl_Bloques,2,FALSE()),"")</f>
        <v/>
      </c>
      <c r="H9" s="14" t="n"/>
    </row>
    <row r="10" ht="19.5" customHeight="1" s="17">
      <c r="A10" s="31" t="inlineStr">
        <is>
          <t>Distrito (auto)</t>
        </is>
      </c>
      <c r="B10" s="14" t="n"/>
      <c r="C10" s="12">
        <f>IFERROR(VLOOKUP($C$9,tbl_Bloques,4,FALSE()),"")</f>
        <v/>
      </c>
      <c r="D10" s="14" t="n"/>
      <c r="E10" s="31" t="inlineStr">
        <is>
          <t>Provincia (auto)</t>
        </is>
      </c>
      <c r="F10" s="14" t="n"/>
      <c r="G10" s="12">
        <f>IFERROR(VLOOKUP($C$9,tbl_Bloques,3,FALSE()),"")</f>
        <v/>
      </c>
      <c r="H10" s="14" t="n"/>
    </row>
    <row r="12" ht="21.75" customHeight="1" s="17">
      <c r="A12" s="19" t="inlineStr">
        <is>
          <t>2. INVENTARIO DE FUENTES DE AGUA (dentro o hasta 500 m del bloque)</t>
        </is>
      </c>
    </row>
    <row r="13" ht="27.75" customHeight="1" s="17">
      <c r="A13" s="32" t="inlineStr">
        <is>
          <t>Use los desplegables en columnas Tipo de fuente, Régimen y Calidad aparente. DISTANCIA: medida en metros desde el límite del bloque a la fuente.</t>
        </is>
      </c>
      <c r="B13" s="13" t="n"/>
      <c r="C13" s="13" t="n"/>
      <c r="D13" s="13" t="n"/>
      <c r="E13" s="13" t="n"/>
      <c r="F13" s="13" t="n"/>
      <c r="G13" s="13" t="n"/>
      <c r="H13" s="14" t="n"/>
    </row>
    <row r="14" ht="30" customHeight="1" s="17">
      <c r="A14" s="2" t="inlineStr">
        <is>
          <t>N°</t>
        </is>
      </c>
      <c r="B14" s="2" t="inlineStr">
        <is>
          <t>Tipo de fuente</t>
        </is>
      </c>
      <c r="C14" s="2" t="inlineStr">
        <is>
          <t>UTM ESTE</t>
        </is>
      </c>
      <c r="D14" s="2" t="inlineStr">
        <is>
          <t>UTM NORTE</t>
        </is>
      </c>
      <c r="E14" s="2" t="inlineStr">
        <is>
          <t>Régimen</t>
        </is>
      </c>
      <c r="F14" s="2" t="inlineStr">
        <is>
          <t>Calidad
aparente</t>
        </is>
      </c>
      <c r="G14" s="2" t="inlineStr">
        <is>
          <t>Distancia
bloque (m)</t>
        </is>
      </c>
      <c r="H14" s="2" t="inlineStr">
        <is>
          <t>Uso observado / Observaciones</t>
        </is>
      </c>
    </row>
    <row r="15" ht="19.5" customHeight="1" s="17">
      <c r="A15" s="5" t="n">
        <v>1</v>
      </c>
      <c r="B15" s="3" t="n"/>
      <c r="C15" s="3" t="n"/>
      <c r="D15" s="3" t="n"/>
      <c r="E15" s="3" t="n"/>
      <c r="F15" s="3" t="n"/>
      <c r="G15" s="3" t="n"/>
      <c r="H15" s="4" t="n"/>
    </row>
    <row r="16" ht="19.5" customHeight="1" s="17">
      <c r="A16" s="5" t="n">
        <v>2</v>
      </c>
      <c r="B16" s="3" t="n"/>
      <c r="C16" s="3" t="n"/>
      <c r="D16" s="3" t="n"/>
      <c r="E16" s="3" t="n"/>
      <c r="F16" s="3" t="n"/>
      <c r="G16" s="3" t="n"/>
      <c r="H16" s="4" t="n"/>
    </row>
    <row r="17" ht="19.5" customHeight="1" s="17">
      <c r="A17" s="5" t="n">
        <v>3</v>
      </c>
      <c r="B17" s="3" t="n"/>
      <c r="C17" s="3" t="n"/>
      <c r="D17" s="3" t="n"/>
      <c r="E17" s="3" t="n"/>
      <c r="F17" s="3" t="n"/>
      <c r="G17" s="3" t="n"/>
      <c r="H17" s="4" t="n"/>
    </row>
    <row r="18" ht="19.5" customHeight="1" s="17">
      <c r="A18" s="5" t="n">
        <v>4</v>
      </c>
      <c r="B18" s="3" t="n"/>
      <c r="C18" s="3" t="n"/>
      <c r="D18" s="3" t="n"/>
      <c r="E18" s="3" t="n"/>
      <c r="F18" s="3" t="n"/>
      <c r="G18" s="3" t="n"/>
      <c r="H18" s="4" t="n"/>
    </row>
    <row r="19" ht="19.5" customHeight="1" s="17">
      <c r="A19" s="5" t="n">
        <v>5</v>
      </c>
      <c r="B19" s="3" t="n"/>
      <c r="C19" s="3" t="n"/>
      <c r="D19" s="3" t="n"/>
      <c r="E19" s="3" t="n"/>
      <c r="F19" s="3" t="n"/>
      <c r="G19" s="3" t="n"/>
      <c r="H19" s="4" t="n"/>
    </row>
    <row r="20" ht="19.5" customHeight="1" s="17">
      <c r="A20" s="5" t="n">
        <v>6</v>
      </c>
      <c r="B20" s="3" t="n"/>
      <c r="C20" s="3" t="n"/>
      <c r="D20" s="3" t="n"/>
      <c r="E20" s="3" t="n"/>
      <c r="F20" s="3" t="n"/>
      <c r="G20" s="3" t="n"/>
      <c r="H20" s="4" t="n"/>
    </row>
    <row r="21" ht="19.5" customHeight="1" s="17">
      <c r="A21" s="5" t="n">
        <v>7</v>
      </c>
      <c r="B21" s="3" t="n"/>
      <c r="C21" s="3" t="n"/>
      <c r="D21" s="3" t="n"/>
      <c r="E21" s="3" t="n"/>
      <c r="F21" s="3" t="n"/>
      <c r="G21" s="3" t="n"/>
      <c r="H21" s="4" t="n"/>
    </row>
    <row r="22" ht="19.5" customHeight="1" s="17">
      <c r="A22" s="5" t="n">
        <v>8</v>
      </c>
      <c r="B22" s="3" t="n"/>
      <c r="C22" s="3" t="n"/>
      <c r="D22" s="3" t="n"/>
      <c r="E22" s="3" t="n"/>
      <c r="F22" s="3" t="n"/>
      <c r="G22" s="3" t="n"/>
      <c r="H22" s="4" t="n"/>
    </row>
    <row r="23" ht="19.5" customHeight="1" s="17">
      <c r="A23" s="5" t="n">
        <v>9</v>
      </c>
      <c r="B23" s="3" t="n"/>
      <c r="C23" s="3" t="n"/>
      <c r="D23" s="3" t="n"/>
      <c r="E23" s="3" t="n"/>
      <c r="F23" s="3" t="n"/>
      <c r="G23" s="3" t="n"/>
      <c r="H23" s="4" t="n"/>
    </row>
    <row r="24" ht="19.5" customHeight="1" s="17">
      <c r="A24" s="5" t="n">
        <v>10</v>
      </c>
      <c r="B24" s="3" t="n"/>
      <c r="C24" s="3" t="n"/>
      <c r="D24" s="3" t="n"/>
      <c r="E24" s="3" t="n"/>
      <c r="F24" s="3" t="n"/>
      <c r="G24" s="3" t="n"/>
      <c r="H24" s="4" t="n"/>
    </row>
    <row r="26" ht="21.75" customHeight="1" s="17">
      <c r="A26" s="19" t="inlineStr">
        <is>
          <t>3. ANÁLISIS HÍDRICO PRELIMINAR</t>
        </is>
      </c>
    </row>
    <row r="27" ht="19.5" customHeight="1" s="17">
      <c r="A27" s="31" t="inlineStr">
        <is>
          <t>¿Bloque en zona de recarga hídrica?</t>
        </is>
      </c>
      <c r="B27" s="14" t="n"/>
      <c r="C27" s="15" t="inlineStr">
        <is>
          <t>Sí</t>
        </is>
      </c>
      <c r="D27" s="13" t="n"/>
      <c r="E27" s="13" t="n"/>
      <c r="F27" s="13" t="n"/>
      <c r="G27" s="13" t="n"/>
      <c r="H27" s="14" t="n"/>
    </row>
    <row r="28" ht="19.5" customHeight="1" s="17">
      <c r="A28" s="31" t="inlineStr">
        <is>
          <t>¿Zonas de humedad persistente observadas?</t>
        </is>
      </c>
      <c r="B28" s="14" t="n"/>
      <c r="C28" s="15" t="n"/>
      <c r="D28" s="13" t="n"/>
      <c r="E28" s="13" t="n"/>
      <c r="F28" s="13" t="n"/>
      <c r="G28" s="13" t="n"/>
      <c r="H28" s="14" t="n"/>
    </row>
    <row r="29" ht="19.5" customHeight="1" s="17">
      <c r="A29" s="31" t="inlineStr">
        <is>
          <t>¿Escorrentía concentrada observada?</t>
        </is>
      </c>
      <c r="B29" s="14" t="n"/>
      <c r="C29" s="15" t="inlineStr">
        <is>
          <t>Sí</t>
        </is>
      </c>
      <c r="D29" s="13" t="n"/>
      <c r="E29" s="13" t="n"/>
      <c r="F29" s="13" t="n"/>
      <c r="G29" s="13" t="n"/>
      <c r="H29" s="14" t="n"/>
    </row>
    <row r="30" ht="19.5" customHeight="1" s="17">
      <c r="A30" s="31" t="inlineStr">
        <is>
          <t>Distancia a captación poblacional más cercana (m)</t>
        </is>
      </c>
      <c r="B30" s="14" t="n"/>
      <c r="C30" s="15" t="n"/>
      <c r="D30" s="13" t="n"/>
      <c r="E30" s="13" t="n"/>
      <c r="F30" s="13" t="n"/>
      <c r="G30" s="13" t="n"/>
      <c r="H30" s="14" t="n"/>
    </row>
    <row r="31" ht="19.5" customHeight="1" s="17">
      <c r="A31" s="31" t="inlineStr">
        <is>
          <t>Nombre de la JASS o captación asociada</t>
        </is>
      </c>
      <c r="B31" s="14" t="n"/>
      <c r="C31" s="15" t="n"/>
      <c r="D31" s="13" t="n"/>
      <c r="E31" s="13" t="n"/>
      <c r="F31" s="13" t="n"/>
      <c r="G31" s="13" t="n"/>
      <c r="H31" s="14" t="n"/>
    </row>
    <row r="32" ht="19.5" customHeight="1" s="17">
      <c r="A32" s="31" t="inlineStr">
        <is>
          <t>¿Interferencia con obras de riego?</t>
        </is>
      </c>
      <c r="B32" s="14" t="n"/>
      <c r="C32" s="15" t="n"/>
      <c r="D32" s="13" t="n"/>
      <c r="E32" s="13" t="n"/>
      <c r="F32" s="13" t="n"/>
      <c r="G32" s="13" t="n"/>
      <c r="H32" s="14" t="n"/>
    </row>
    <row r="33" ht="19.5" customHeight="1" s="17">
      <c r="A33" s="31" t="inlineStr">
        <is>
          <t>Nombre del sistema de riego (si aplica)</t>
        </is>
      </c>
      <c r="B33" s="14" t="n"/>
      <c r="C33" s="15" t="n"/>
      <c r="D33" s="13" t="n"/>
      <c r="E33" s="13" t="n"/>
      <c r="F33" s="13" t="n"/>
      <c r="G33" s="13" t="n"/>
      <c r="H33" s="14" t="n"/>
    </row>
    <row r="35" ht="21.75" customHeight="1" s="17">
      <c r="A35" s="19" t="inlineStr">
        <is>
          <t>4. ACCESIBILIDAD Y LOGÍSTICA</t>
        </is>
      </c>
    </row>
    <row r="36" ht="19.5" customHeight="1" s="17">
      <c r="A36" s="31" t="inlineStr">
        <is>
          <t>Modalidad de acceso al bloque *</t>
        </is>
      </c>
      <c r="B36" s="14" t="n"/>
      <c r="C36" s="15" t="inlineStr">
        <is>
          <t>Vehicular + caminata &lt;30 min</t>
        </is>
      </c>
      <c r="D36" s="13" t="n"/>
      <c r="E36" s="13" t="n"/>
      <c r="F36" s="13" t="n"/>
      <c r="G36" s="13" t="n"/>
      <c r="H36" s="14" t="n"/>
    </row>
    <row r="37" ht="19.5" customHeight="1" s="17">
      <c r="A37" s="31" t="inlineStr">
        <is>
          <t>Vía principal de acceso (PE-/PI-/trocha) *</t>
        </is>
      </c>
      <c r="B37" s="14" t="n"/>
      <c r="C37" s="15" t="inlineStr">
        <is>
          <t>Vía afirmada de acceso a Nueva Esperanza de Los Molinos, margen derecha del río Huarmaca</t>
        </is>
      </c>
      <c r="D37" s="13" t="n"/>
      <c r="E37" s="13" t="n"/>
      <c r="F37" s="13" t="n"/>
      <c r="G37" s="13" t="n"/>
      <c r="H37" s="14" t="n"/>
    </row>
    <row r="38" ht="19.5" customHeight="1" s="17">
      <c r="A38" s="31" t="inlineStr">
        <is>
          <t>Tipo de vía final</t>
        </is>
      </c>
      <c r="B38" s="14" t="n"/>
      <c r="C38" s="15" t="inlineStr">
        <is>
          <t>Camino de herradura</t>
        </is>
      </c>
      <c r="D38" s="13" t="n"/>
      <c r="E38" s="13" t="n"/>
      <c r="F38" s="13" t="n"/>
      <c r="G38" s="13" t="n"/>
      <c r="H38" s="14" t="n"/>
    </row>
    <row r="39" ht="19.5" customHeight="1" s="17">
      <c r="A39" s="31" t="inlineStr">
        <is>
          <t>Estado transitabilidad — época seca</t>
        </is>
      </c>
      <c r="B39" s="14" t="n"/>
      <c r="C39" s="15" t="n"/>
      <c r="D39" s="13" t="n"/>
      <c r="E39" s="13" t="n"/>
      <c r="F39" s="13" t="n"/>
      <c r="G39" s="13" t="n"/>
      <c r="H39" s="14" t="n"/>
    </row>
    <row r="40" ht="19.5" customHeight="1" s="17">
      <c r="A40" s="31" t="inlineStr">
        <is>
          <t>Estado transitabilidad — época lluviosa</t>
        </is>
      </c>
      <c r="B40" s="14" t="n"/>
      <c r="C40" s="15" t="n"/>
      <c r="D40" s="13" t="n"/>
      <c r="E40" s="13" t="n"/>
      <c r="F40" s="13" t="n"/>
      <c r="G40" s="13" t="n"/>
      <c r="H40" s="14" t="n"/>
    </row>
    <row r="41" ht="19.5" customHeight="1" s="17">
      <c r="A41" s="31" t="inlineStr">
        <is>
          <t>Tiempo desde capital distrital (min)</t>
        </is>
      </c>
      <c r="B41" s="14" t="n"/>
      <c r="C41" s="15" t="n"/>
      <c r="D41" s="14" t="n"/>
      <c r="E41" s="31" t="inlineStr">
        <is>
          <t>Tiempo desde capital provincial (min)</t>
        </is>
      </c>
      <c r="F41" s="14" t="n"/>
      <c r="G41" s="15" t="n"/>
      <c r="H41" s="14" t="n"/>
    </row>
    <row r="42" ht="19.5" customHeight="1" s="17">
      <c r="A42" s="31" t="inlineStr">
        <is>
          <t>Señal celular</t>
        </is>
      </c>
      <c r="B42" s="14" t="n"/>
      <c r="C42" s="15" t="n"/>
      <c r="D42" s="13" t="n"/>
      <c r="E42" s="13" t="n"/>
      <c r="F42" s="13" t="n"/>
      <c r="G42" s="13" t="n"/>
      <c r="H42" s="14" t="n"/>
    </row>
    <row r="43" ht="19.5" customHeight="1" s="17">
      <c r="A43" s="31" t="inlineStr">
        <is>
          <t>Operador celular dominante</t>
        </is>
      </c>
      <c r="B43" s="14" t="n"/>
      <c r="C43" s="15" t="n"/>
      <c r="D43" s="13" t="n"/>
      <c r="E43" s="13" t="n"/>
      <c r="F43" s="13" t="n"/>
      <c r="G43" s="13" t="n"/>
      <c r="H43" s="14" t="n"/>
    </row>
    <row r="44" ht="19.5" customHeight="1" s="17">
      <c r="A44" s="31" t="inlineStr">
        <is>
          <t>Alojamiento rural disponible</t>
        </is>
      </c>
      <c r="B44" s="14" t="n"/>
      <c r="C44" s="15" t="n"/>
      <c r="D44" s="13" t="n"/>
      <c r="E44" s="13" t="n"/>
      <c r="F44" s="13" t="n"/>
      <c r="G44" s="13" t="n"/>
      <c r="H44" s="14" t="n"/>
    </row>
    <row r="45" ht="19.5" customHeight="1" s="17">
      <c r="A45" s="31" t="inlineStr">
        <is>
          <t>¿Requiere autorización de Ronda Campesina? *</t>
        </is>
      </c>
      <c r="B45" s="14" t="n"/>
      <c r="C45" s="15" t="n"/>
      <c r="D45" s="13" t="n"/>
      <c r="E45" s="13" t="n"/>
      <c r="F45" s="13" t="n"/>
      <c r="G45" s="13" t="n"/>
      <c r="H45" s="14" t="n"/>
    </row>
    <row r="46" ht="19.5" customHeight="1" s="17">
      <c r="A46" s="31" t="inlineStr">
        <is>
          <t>Nombre / Contacto responsable de Ronda</t>
        </is>
      </c>
      <c r="B46" s="14" t="n"/>
      <c r="C46" s="15" t="n"/>
      <c r="D46" s="13" t="n"/>
      <c r="E46" s="13" t="n"/>
      <c r="F46" s="13" t="n"/>
      <c r="G46" s="13" t="n"/>
      <c r="H46" s="14" t="n"/>
    </row>
    <row r="48" ht="21.75" customHeight="1" s="17">
      <c r="A48" s="19" t="inlineStr">
        <is>
          <t>OBSERVACIONES</t>
        </is>
      </c>
    </row>
    <row r="49" ht="27.75" customHeight="1" s="17">
      <c r="A49" s="23" t="inlineStr">
        <is>
          <t>El bloque se encuentra próximo a una vía afirmada y a medios de vida de la población; el desplazamiento interior se realiza a pie por caminos de herradura. Se sitúa en la zona de origen de los peligros de la microcuenca C1076-Q9588, cuyo colector es el río Huarmaca.
POR COMPLETAR: inventario de fuentes de agua, JASS y captación poblacional, tiempos de viaje, señal celular y autorización de Ronda Campesina — sin ficha F-DT-05 en el ANEXO 01.</t>
        </is>
      </c>
      <c r="B49" s="24" t="n"/>
      <c r="C49" s="24" t="n"/>
      <c r="D49" s="24" t="n"/>
      <c r="E49" s="24" t="n"/>
      <c r="F49" s="24" t="n"/>
      <c r="G49" s="24" t="n"/>
      <c r="H49" s="25" t="n"/>
    </row>
    <row r="50" ht="27.75" customHeight="1" s="17">
      <c r="A50" s="26" t="n"/>
      <c r="H50" s="27" t="n"/>
    </row>
    <row r="51" ht="27.75" customHeight="1" s="17">
      <c r="A51" s="28" t="n"/>
      <c r="B51" s="29" t="n"/>
      <c r="C51" s="29" t="n"/>
      <c r="D51" s="29" t="n"/>
      <c r="E51" s="29" t="n"/>
      <c r="F51" s="29" t="n"/>
      <c r="G51" s="29" t="n"/>
      <c r="H51" s="30" t="n"/>
    </row>
  </sheetData>
  <mergeCells count="63">
    <mergeCell ref="A48:H48"/>
    <mergeCell ref="A30:B30"/>
    <mergeCell ref="C44:H44"/>
    <mergeCell ref="C40:H40"/>
    <mergeCell ref="C31:H31"/>
    <mergeCell ref="A45:B45"/>
    <mergeCell ref="A36:B36"/>
    <mergeCell ref="A49:H51"/>
    <mergeCell ref="A1:H1"/>
    <mergeCell ref="C43:H43"/>
    <mergeCell ref="G8:H8"/>
    <mergeCell ref="E8:F8"/>
    <mergeCell ref="A6:H6"/>
    <mergeCell ref="C46:H46"/>
    <mergeCell ref="C10:D10"/>
    <mergeCell ref="C36:H36"/>
    <mergeCell ref="A7:H7"/>
    <mergeCell ref="E10:F10"/>
    <mergeCell ref="C27:H27"/>
    <mergeCell ref="A41:B41"/>
    <mergeCell ref="G10:H10"/>
    <mergeCell ref="C41:D41"/>
    <mergeCell ref="A37:B37"/>
    <mergeCell ref="A46:B46"/>
    <mergeCell ref="C39:H39"/>
    <mergeCell ref="C9:D9"/>
    <mergeCell ref="A27:B27"/>
    <mergeCell ref="E9:F9"/>
    <mergeCell ref="A12:H12"/>
    <mergeCell ref="C32:H32"/>
    <mergeCell ref="A3:H3"/>
    <mergeCell ref="A26:H26"/>
    <mergeCell ref="C38:H38"/>
    <mergeCell ref="C28:H28"/>
    <mergeCell ref="A33:B33"/>
    <mergeCell ref="C37:H37"/>
    <mergeCell ref="A2:H2"/>
    <mergeCell ref="A42:B42"/>
    <mergeCell ref="A32:B32"/>
    <mergeCell ref="A5:H5"/>
    <mergeCell ref="A8:B8"/>
    <mergeCell ref="C30:H30"/>
    <mergeCell ref="C8:D8"/>
    <mergeCell ref="C33:H33"/>
    <mergeCell ref="A4:H4"/>
    <mergeCell ref="A38:B38"/>
    <mergeCell ref="C42:H42"/>
    <mergeCell ref="A29:B29"/>
    <mergeCell ref="A35:H35"/>
    <mergeCell ref="A43:B43"/>
    <mergeCell ref="E41:F41"/>
    <mergeCell ref="A10:B10"/>
    <mergeCell ref="A28:B28"/>
    <mergeCell ref="G41:H41"/>
    <mergeCell ref="C45:H45"/>
    <mergeCell ref="A13:H13"/>
    <mergeCell ref="A44:B44"/>
    <mergeCell ref="A40:B40"/>
    <mergeCell ref="A9:B9"/>
    <mergeCell ref="G9:H9"/>
    <mergeCell ref="A31:B31"/>
    <mergeCell ref="C29:H29"/>
    <mergeCell ref="A39:B39"/>
  </mergeCells>
  <dataValidations count="15">
    <dataValidation sqref="C9"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B15:B24" showDropDown="0" showInputMessage="0" showErrorMessage="0" allowBlank="1" errorTitle="Valor no válido" error="Seleccione un valor de la lista desplegable." promptTitle="Tipo de fuente" prompt="Elija una opción de la lista." type="list">
      <formula1>lst_TipoFuente</formula1>
      <formula2>0</formula2>
    </dataValidation>
    <dataValidation sqref="E15:E24" showDropDown="0" showInputMessage="0" showErrorMessage="0" allowBlank="1" errorTitle="Valor no válido" error="Seleccione un valor de la lista desplegable." promptTitle="Régimen" prompt="Elija una opción de la lista." type="list">
      <formula1>lst_RegimenHidrico</formula1>
      <formula2>0</formula2>
    </dataValidation>
    <dataValidation sqref="F15:F24" showDropDown="0" showInputMessage="0" showErrorMessage="0" allowBlank="1" errorTitle="Valor no válido" error="Seleccione un valor de la lista desplegable." promptTitle="Calidad aparente" prompt="Elija una opción de la lista." type="list">
      <formula1>lst_CalidadAgua</formula1>
      <formula2>0</formula2>
    </dataValidation>
    <dataValidation sqref="C27" showDropDown="0" showInputMessage="0" showErrorMessage="0" allowBlank="1" errorTitle="Valor no válido" error="Seleccione un valor de la lista desplegable." promptTitle="¿Bloque en zona de recarga híd" prompt="Elija una opción de la lista." type="list">
      <formula1>lst_SiNo</formula1>
      <formula2>0</formula2>
    </dataValidation>
    <dataValidation sqref="C28" showDropDown="0" showInputMessage="0" showErrorMessage="0" allowBlank="1" errorTitle="Valor no válido" error="Seleccione un valor de la lista desplegable." promptTitle="¿Zonas de humedad persistente " prompt="Elija una opción de la lista." type="list">
      <formula1>lst_SiNo</formula1>
      <formula2>0</formula2>
    </dataValidation>
    <dataValidation sqref="C29" showDropDown="0" showInputMessage="0" showErrorMessage="0" allowBlank="1" errorTitle="Valor no válido" error="Seleccione un valor de la lista desplegable." promptTitle="¿Escorrentía concentrada obser" prompt="Elija una opción de la lista." type="list">
      <formula1>lst_SiNo</formula1>
      <formula2>0</formula2>
    </dataValidation>
    <dataValidation sqref="C32" showDropDown="0" showInputMessage="0" showErrorMessage="0" allowBlank="1" errorTitle="Valor no válido" error="Seleccione un valor de la lista desplegable." promptTitle="¿Interferencia con obras de ri" prompt="Elija una opción de la lista." type="list">
      <formula1>lst_SiNo</formula1>
      <formula2>0</formula2>
    </dataValidation>
    <dataValidation sqref="C36" showDropDown="0" showInputMessage="0" showErrorMessage="0" allowBlank="1" errorTitle="Valor no válido" error="Seleccione un valor de la lista desplegable." promptTitle="Modalidad de acceso al bloque " prompt="Elija una opción de la lista." type="list">
      <formula1>lst_ModalidadAcceso</formula1>
      <formula2>0</formula2>
    </dataValidation>
    <dataValidation sqref="C38" showDropDown="0" showInputMessage="0" showErrorMessage="0" allowBlank="1" errorTitle="Valor no válido" error="Seleccione un valor de la lista desplegable." promptTitle="Tipo de vía final" prompt="Elija una opción de la lista." type="list">
      <formula1>lst_TipoVia</formula1>
      <formula2>0</formula2>
    </dataValidation>
    <dataValidation sqref="C39:C40" showDropDown="0" showInputMessage="0" showErrorMessage="0" allowBlank="1" errorTitle="Valor no válido" error="Seleccione un valor de la lista desplegable." promptTitle="Estado transitabilidad — época" prompt="Elija una opción de la lista." type="list">
      <formula1>lst_NivelTransitabilidad</formula1>
      <formula2>0</formula2>
    </dataValidation>
    <dataValidation sqref="C42" showDropDown="0" showInputMessage="0" showErrorMessage="0" allowBlank="1" errorTitle="Valor no válido" error="Seleccione un valor de la lista desplegable." promptTitle="Señal celular" prompt="Elija una opción de la lista." type="list">
      <formula1>lst_SenalCelular</formula1>
      <formula2>0</formula2>
    </dataValidation>
    <dataValidation sqref="C43" showDropDown="0" showInputMessage="0" showErrorMessage="0" allowBlank="1" errorTitle="Valor no válido" error="Seleccione un valor de la lista desplegable." promptTitle="Operador celular dominante" prompt="Elija una opción de la lista." type="list">
      <formula1>lst_Operador</formula1>
      <formula2>0</formula2>
    </dataValidation>
    <dataValidation sqref="C44" showDropDown="0" showInputMessage="0" showErrorMessage="0" allowBlank="1" errorTitle="Valor no válido" error="Seleccione un valor de la lista desplegable." promptTitle="Alojamiento rural disponible" prompt="Elija una opción de la lista." type="list">
      <formula1>lst_SiNo</formula1>
      <formula2>0</formula2>
    </dataValidation>
    <dataValidation sqref="C45" showDropDown="0" showInputMessage="0" showErrorMessage="0" allowBlank="1" errorTitle="Valor no válido" error="Seleccione un valor de la lista desplegable." promptTitle="¿Requiere autorización de Rond" prompt="Elija una opción de la lista." type="list">
      <formula1>lst_SiNo</formula1>
      <formula2>0</formula2>
    </dataValidation>
  </dataValidations>
  <printOptions horizontalCentered="1"/>
  <pageMargins left="0.4" right="0.4" top="0.5" bottom="0.5" header="0.2" footer="0.2"/>
  <pageSetup orientation="landscape" paperSize="9" fitToHeight="0" horizontalDpi="300" verticalDpi="300"/>
</worksheet>
</file>

<file path=xl/worksheets/sheet7.xml><?xml version="1.0" encoding="utf-8"?>
<worksheet xmlns="http://schemas.openxmlformats.org/spreadsheetml/2006/main">
  <sheetPr>
    <outlinePr summaryBelow="1" summaryRight="1"/>
    <pageSetUpPr fitToPage="1"/>
  </sheetPr>
  <dimension ref="A1:H128"/>
  <sheetViews>
    <sheetView zoomScaleNormal="100" workbookViewId="0">
      <pane ySplit="1" topLeftCell="A2" activePane="bottomLeft" state="frozen"/>
      <selection pane="bottomLeft" activeCell="A1" sqref="A1"/>
    </sheetView>
  </sheetViews>
  <sheetFormatPr baseColWidth="10" defaultColWidth="8.6640625" defaultRowHeight="14.4"/>
  <cols>
    <col width="10" customWidth="1" style="17" min="1" max="1"/>
    <col width="16" customWidth="1" style="17" min="2" max="3"/>
    <col width="24" customWidth="1" style="17" min="4" max="4"/>
    <col width="8" customWidth="1" style="17" min="5" max="5"/>
    <col width="12" customWidth="1" style="17" min="6" max="7"/>
    <col width="11" customWidth="1" style="17" min="8" max="8"/>
  </cols>
  <sheetData>
    <row r="1" ht="15" customHeight="1" s="17">
      <c r="A1" s="2" t="inlineStr">
        <is>
          <t>codigo</t>
        </is>
      </c>
      <c r="B1" s="2" t="inlineStr">
        <is>
          <t>microcuenca</t>
        </is>
      </c>
      <c r="C1" s="2" t="inlineStr">
        <is>
          <t>provincia</t>
        </is>
      </c>
      <c r="D1" s="2" t="inlineStr">
        <is>
          <t>distrito</t>
        </is>
      </c>
      <c r="E1" s="2" t="inlineStr">
        <is>
          <t>zona</t>
        </is>
      </c>
      <c r="F1" s="2" t="inlineStr">
        <is>
          <t>este_utm</t>
        </is>
      </c>
      <c r="G1" s="2" t="inlineStr">
        <is>
          <t>norte_utm</t>
        </is>
      </c>
      <c r="H1" s="2" t="inlineStr">
        <is>
          <t>area_ha</t>
        </is>
      </c>
    </row>
    <row r="2" ht="15" customHeight="1" s="17">
      <c r="A2" s="8" t="inlineStr">
        <is>
          <t>M9B1</t>
        </is>
      </c>
      <c r="B2" s="8" t="inlineStr">
        <is>
          <t>C1096-Q9545</t>
        </is>
      </c>
      <c r="C2" s="8" t="inlineStr">
        <is>
          <t>Morropon</t>
        </is>
      </c>
      <c r="D2" s="8" t="inlineStr">
        <is>
          <t>Chulucanas</t>
        </is>
      </c>
      <c r="E2" s="8" t="inlineStr">
        <is>
          <t>Z01</t>
        </is>
      </c>
      <c r="F2" s="9" t="n">
        <v>595552</v>
      </c>
      <c r="G2" s="9" t="n">
        <v>9451222</v>
      </c>
      <c r="H2" s="10" t="n">
        <v>355.36</v>
      </c>
    </row>
    <row r="3" ht="15" customHeight="1" s="17">
      <c r="A3" s="8" t="inlineStr">
        <is>
          <t>M10B4</t>
        </is>
      </c>
      <c r="B3" s="8" t="inlineStr">
        <is>
          <t>C1096-Q9547</t>
        </is>
      </c>
      <c r="C3" s="8" t="inlineStr">
        <is>
          <t>Morropon</t>
        </is>
      </c>
      <c r="D3" s="8" t="inlineStr">
        <is>
          <t>Chulucanas</t>
        </is>
      </c>
      <c r="E3" s="8" t="inlineStr">
        <is>
          <t>Z01</t>
        </is>
      </c>
      <c r="F3" s="9" t="n">
        <v>596773</v>
      </c>
      <c r="G3" s="9" t="n">
        <v>9448273</v>
      </c>
      <c r="H3" s="10" t="n">
        <v>68.89</v>
      </c>
    </row>
    <row r="4" ht="15" customHeight="1" s="17">
      <c r="A4" s="8" t="inlineStr">
        <is>
          <t>25</t>
        </is>
      </c>
      <c r="B4" s="8" t="inlineStr">
        <is>
          <t>C1096-Q9547</t>
        </is>
      </c>
      <c r="C4" s="8" t="inlineStr">
        <is>
          <t>Morropon</t>
        </is>
      </c>
      <c r="D4" s="8" t="inlineStr">
        <is>
          <t>Chulucanas</t>
        </is>
      </c>
      <c r="E4" s="8" t="inlineStr">
        <is>
          <t>Z01</t>
        </is>
      </c>
      <c r="F4" s="9" t="n">
        <v>596578</v>
      </c>
      <c r="G4" s="9" t="n">
        <v>9442453</v>
      </c>
      <c r="H4" s="10" t="n">
        <v>53.48</v>
      </c>
    </row>
    <row r="5" ht="15" customHeight="1" s="17">
      <c r="A5" s="8" t="inlineStr">
        <is>
          <t>32</t>
        </is>
      </c>
      <c r="B5" s="8" t="inlineStr">
        <is>
          <t>C1096-Q9556</t>
        </is>
      </c>
      <c r="C5" s="8" t="inlineStr">
        <is>
          <t>Morropon</t>
        </is>
      </c>
      <c r="D5" s="8" t="inlineStr">
        <is>
          <t>Chulucanas</t>
        </is>
      </c>
      <c r="E5" s="8" t="inlineStr">
        <is>
          <t>Z01</t>
        </is>
      </c>
      <c r="F5" s="9" t="n">
        <v>599927</v>
      </c>
      <c r="G5" s="9" t="n">
        <v>9442604</v>
      </c>
      <c r="H5" s="10" t="n">
        <v>35.83</v>
      </c>
    </row>
    <row r="6" ht="15" customHeight="1" s="17">
      <c r="A6" s="8" t="inlineStr">
        <is>
          <t>22</t>
        </is>
      </c>
      <c r="B6" s="8" t="inlineStr">
        <is>
          <t>C1096-Q9556</t>
        </is>
      </c>
      <c r="C6" s="8" t="inlineStr">
        <is>
          <t>Morropon</t>
        </is>
      </c>
      <c r="D6" s="8" t="inlineStr">
        <is>
          <t>Chulucanas</t>
        </is>
      </c>
      <c r="E6" s="8" t="inlineStr">
        <is>
          <t>Z01</t>
        </is>
      </c>
      <c r="F6" s="9" t="n">
        <v>601122</v>
      </c>
      <c r="G6" s="9" t="n">
        <v>9443651</v>
      </c>
      <c r="H6" s="10" t="n">
        <v>79.33</v>
      </c>
    </row>
    <row r="7" ht="15" customHeight="1" s="17">
      <c r="A7" s="8" t="inlineStr">
        <is>
          <t>M17B1</t>
        </is>
      </c>
      <c r="B7" s="8" t="inlineStr">
        <is>
          <t>C1096-Q9556</t>
        </is>
      </c>
      <c r="C7" s="8" t="inlineStr">
        <is>
          <t>Morropon</t>
        </is>
      </c>
      <c r="D7" s="8" t="inlineStr">
        <is>
          <t>Chulucanas</t>
        </is>
      </c>
      <c r="E7" s="8" t="inlineStr">
        <is>
          <t>Z01</t>
        </is>
      </c>
      <c r="F7" s="9" t="n">
        <v>600644</v>
      </c>
      <c r="G7" s="9" t="n">
        <v>9440436</v>
      </c>
      <c r="H7" s="10" t="n">
        <v>42.45</v>
      </c>
    </row>
    <row r="8" ht="15" customHeight="1" s="17">
      <c r="A8" s="8" t="inlineStr">
        <is>
          <t>2</t>
        </is>
      </c>
      <c r="B8" s="8" t="inlineStr">
        <is>
          <t>C1096-Q9558</t>
        </is>
      </c>
      <c r="C8" s="8" t="inlineStr">
        <is>
          <t>Morropon</t>
        </is>
      </c>
      <c r="D8" s="8" t="inlineStr">
        <is>
          <t>Chulucanas</t>
        </is>
      </c>
      <c r="E8" s="8" t="inlineStr">
        <is>
          <t>Z01</t>
        </is>
      </c>
      <c r="F8" s="9" t="n">
        <v>603653</v>
      </c>
      <c r="G8" s="9" t="n">
        <v>9439351</v>
      </c>
      <c r="H8" s="10" t="n">
        <v>330.6</v>
      </c>
    </row>
    <row r="9" ht="15" customHeight="1" s="17">
      <c r="A9" s="8" t="inlineStr">
        <is>
          <t>M17B4</t>
        </is>
      </c>
      <c r="B9" s="8" t="inlineStr">
        <is>
          <t>C1096-Q9556</t>
        </is>
      </c>
      <c r="C9" s="8" t="inlineStr">
        <is>
          <t>Morropon</t>
        </is>
      </c>
      <c r="D9" s="8" t="inlineStr">
        <is>
          <t>Chulucanas</t>
        </is>
      </c>
      <c r="E9" s="8" t="inlineStr">
        <is>
          <t>Z01</t>
        </is>
      </c>
      <c r="F9" s="9" t="n">
        <v>604926</v>
      </c>
      <c r="G9" s="9" t="n">
        <v>9444327</v>
      </c>
      <c r="H9" s="10" t="n">
        <v>124.71</v>
      </c>
    </row>
    <row r="10" ht="15" customHeight="1" s="17">
      <c r="A10" s="8" t="inlineStr">
        <is>
          <t>M27B1</t>
        </is>
      </c>
      <c r="B10" s="8" t="inlineStr">
        <is>
          <t>C1096-Q9557</t>
        </is>
      </c>
      <c r="C10" s="8" t="inlineStr">
        <is>
          <t>Morropon</t>
        </is>
      </c>
      <c r="D10" s="8" t="inlineStr">
        <is>
          <t>Chulucanas</t>
        </is>
      </c>
      <c r="E10" s="8" t="inlineStr">
        <is>
          <t>Z01</t>
        </is>
      </c>
      <c r="F10" s="9" t="n">
        <v>593246</v>
      </c>
      <c r="G10" s="9" t="n">
        <v>9430139</v>
      </c>
      <c r="H10" s="10" t="n">
        <v>448.8</v>
      </c>
    </row>
    <row r="11" ht="15" customHeight="1" s="17">
      <c r="A11" s="8" t="inlineStr">
        <is>
          <t>3</t>
        </is>
      </c>
      <c r="B11" s="8" t="inlineStr">
        <is>
          <t>C1096-Q9545</t>
        </is>
      </c>
      <c r="C11" s="8" t="inlineStr">
        <is>
          <t>Ayabaca</t>
        </is>
      </c>
      <c r="D11" s="8" t="inlineStr">
        <is>
          <t>Frias</t>
        </is>
      </c>
      <c r="E11" s="8" t="inlineStr">
        <is>
          <t>Z02</t>
        </is>
      </c>
      <c r="F11" s="9" t="n">
        <v>606816</v>
      </c>
      <c r="G11" s="9" t="n">
        <v>9458469</v>
      </c>
      <c r="H11" s="10" t="n">
        <v>459.29</v>
      </c>
    </row>
    <row r="12" ht="15" customHeight="1" s="17">
      <c r="A12" s="8" t="inlineStr">
        <is>
          <t>6</t>
        </is>
      </c>
      <c r="B12" s="8" t="inlineStr">
        <is>
          <t>C1096-Q9547</t>
        </is>
      </c>
      <c r="C12" s="8" t="inlineStr">
        <is>
          <t>Ayabaca</t>
        </is>
      </c>
      <c r="D12" s="8" t="inlineStr">
        <is>
          <t>Frias</t>
        </is>
      </c>
      <c r="E12" s="8" t="inlineStr">
        <is>
          <t>Z02</t>
        </is>
      </c>
      <c r="F12" s="9" t="n">
        <v>605636</v>
      </c>
      <c r="G12" s="9" t="n">
        <v>9455269</v>
      </c>
      <c r="H12" s="10" t="n">
        <v>168.41</v>
      </c>
    </row>
    <row r="13" ht="15" customHeight="1" s="17">
      <c r="A13" s="8" t="inlineStr">
        <is>
          <t>36</t>
        </is>
      </c>
      <c r="B13" s="8" t="inlineStr">
        <is>
          <t>C1096-Q9547</t>
        </is>
      </c>
      <c r="C13" s="8" t="inlineStr">
        <is>
          <t>Ayabaca</t>
        </is>
      </c>
      <c r="D13" s="8" t="inlineStr">
        <is>
          <t>Frias</t>
        </is>
      </c>
      <c r="E13" s="8" t="inlineStr">
        <is>
          <t>Z02</t>
        </is>
      </c>
      <c r="F13" s="9" t="n">
        <v>606468</v>
      </c>
      <c r="G13" s="9" t="n">
        <v>9454689</v>
      </c>
      <c r="H13" s="10" t="n">
        <v>24.84</v>
      </c>
    </row>
    <row r="14" ht="15" customHeight="1" s="17">
      <c r="A14" s="8" t="inlineStr">
        <is>
          <t>M17B7</t>
        </is>
      </c>
      <c r="B14" s="8" t="inlineStr">
        <is>
          <t>C1096-Q9556</t>
        </is>
      </c>
      <c r="C14" s="8" t="inlineStr">
        <is>
          <t>Ayabaca</t>
        </is>
      </c>
      <c r="D14" s="8" t="inlineStr">
        <is>
          <t>Frias</t>
        </is>
      </c>
      <c r="E14" s="8" t="inlineStr">
        <is>
          <t>Z02</t>
        </is>
      </c>
      <c r="F14" s="9" t="n">
        <v>608472</v>
      </c>
      <c r="G14" s="9" t="n">
        <v>9448056</v>
      </c>
      <c r="H14" s="10" t="n">
        <v>258.84</v>
      </c>
    </row>
    <row r="15" ht="15" customHeight="1" s="17">
      <c r="A15" s="8" t="inlineStr">
        <is>
          <t>M17B6</t>
        </is>
      </c>
      <c r="B15" s="8" t="inlineStr">
        <is>
          <t>C1096-Q9556</t>
        </is>
      </c>
      <c r="C15" s="8" t="inlineStr">
        <is>
          <t>Ayabaca</t>
        </is>
      </c>
      <c r="D15" s="8" t="inlineStr">
        <is>
          <t>Frias</t>
        </is>
      </c>
      <c r="E15" s="8" t="inlineStr">
        <is>
          <t>Z02</t>
        </is>
      </c>
      <c r="F15" s="9" t="n">
        <v>607036</v>
      </c>
      <c r="G15" s="9" t="n">
        <v>9446211</v>
      </c>
      <c r="H15" s="10" t="n">
        <v>106.54</v>
      </c>
    </row>
    <row r="16" ht="15" customHeight="1" s="17">
      <c r="A16" s="8" t="inlineStr">
        <is>
          <t>M17B10</t>
        </is>
      </c>
      <c r="B16" s="8" t="inlineStr">
        <is>
          <t>C1096-Q9556</t>
        </is>
      </c>
      <c r="C16" s="8" t="inlineStr">
        <is>
          <t>Ayabaca</t>
        </is>
      </c>
      <c r="D16" s="8" t="inlineStr">
        <is>
          <t>Frias</t>
        </is>
      </c>
      <c r="E16" s="8" t="inlineStr">
        <is>
          <t>Z02</t>
        </is>
      </c>
      <c r="F16" s="9" t="n">
        <v>606173</v>
      </c>
      <c r="G16" s="9" t="n">
        <v>9447361</v>
      </c>
      <c r="H16" s="10" t="n">
        <v>75.36</v>
      </c>
    </row>
    <row r="17" ht="15" customHeight="1" s="17">
      <c r="A17" s="8" t="inlineStr">
        <is>
          <t>M17B5</t>
        </is>
      </c>
      <c r="B17" s="8" t="inlineStr">
        <is>
          <t>C1096-Q9556</t>
        </is>
      </c>
      <c r="C17" s="8" t="inlineStr">
        <is>
          <t>Ayabaca</t>
        </is>
      </c>
      <c r="D17" s="8" t="inlineStr">
        <is>
          <t>Frias</t>
        </is>
      </c>
      <c r="E17" s="8" t="inlineStr">
        <is>
          <t>Z02</t>
        </is>
      </c>
      <c r="F17" s="9" t="n">
        <v>608800</v>
      </c>
      <c r="G17" s="9" t="n">
        <v>9445585</v>
      </c>
      <c r="H17" s="10" t="n">
        <v>74.03</v>
      </c>
    </row>
    <row r="18" ht="15" customHeight="1" s="17">
      <c r="A18" s="8" t="inlineStr">
        <is>
          <t>27</t>
        </is>
      </c>
      <c r="B18" s="8" t="inlineStr">
        <is>
          <t>C1096-Q9556</t>
        </is>
      </c>
      <c r="C18" s="8" t="inlineStr">
        <is>
          <t>Ayabaca</t>
        </is>
      </c>
      <c r="D18" s="8" t="inlineStr">
        <is>
          <t>Frias</t>
        </is>
      </c>
      <c r="E18" s="8" t="inlineStr">
        <is>
          <t>Z02</t>
        </is>
      </c>
      <c r="F18" s="9" t="n">
        <v>613302</v>
      </c>
      <c r="G18" s="9" t="n">
        <v>9450231</v>
      </c>
      <c r="H18" s="10" t="n">
        <v>78.15000000000001</v>
      </c>
    </row>
    <row r="19" ht="15" customHeight="1" s="17">
      <c r="A19" s="8" t="inlineStr">
        <is>
          <t>39</t>
        </is>
      </c>
      <c r="B19" s="8" t="inlineStr">
        <is>
          <t>C1096-Q9564</t>
        </is>
      </c>
      <c r="C19" s="8" t="inlineStr">
        <is>
          <t>Ayabaca</t>
        </is>
      </c>
      <c r="D19" s="8" t="inlineStr">
        <is>
          <t>Frias</t>
        </is>
      </c>
      <c r="E19" s="8" t="inlineStr">
        <is>
          <t>Z02</t>
        </is>
      </c>
      <c r="F19" s="9" t="n">
        <v>618523</v>
      </c>
      <c r="G19" s="9" t="n">
        <v>9448918</v>
      </c>
      <c r="H19" s="10" t="n">
        <v>68.56999999999999</v>
      </c>
    </row>
    <row r="20" ht="15" customHeight="1" s="17">
      <c r="A20" s="8" t="inlineStr">
        <is>
          <t>56</t>
        </is>
      </c>
      <c r="B20" s="8" t="inlineStr">
        <is>
          <t>C1096-Q9564</t>
        </is>
      </c>
      <c r="C20" s="8" t="inlineStr">
        <is>
          <t>Ayabaca</t>
        </is>
      </c>
      <c r="D20" s="8" t="inlineStr">
        <is>
          <t>Frias</t>
        </is>
      </c>
      <c r="E20" s="8" t="inlineStr">
        <is>
          <t>Z02</t>
        </is>
      </c>
      <c r="F20" s="9" t="n">
        <v>631723</v>
      </c>
      <c r="G20" s="9" t="n">
        <v>9439702</v>
      </c>
      <c r="H20" s="10" t="n">
        <v>77.67</v>
      </c>
    </row>
    <row r="21" ht="15" customHeight="1" s="17">
      <c r="A21" s="8" t="inlineStr">
        <is>
          <t>12</t>
        </is>
      </c>
      <c r="B21" s="8" t="inlineStr">
        <is>
          <t>C1086-Q9570</t>
        </is>
      </c>
      <c r="C21" s="8" t="inlineStr">
        <is>
          <t>Morropon</t>
        </is>
      </c>
      <c r="D21" s="8" t="inlineStr">
        <is>
          <t>Santo Domingo</t>
        </is>
      </c>
      <c r="E21" s="8" t="inlineStr">
        <is>
          <t>Z03</t>
        </is>
      </c>
      <c r="F21" s="9" t="n">
        <v>625419</v>
      </c>
      <c r="G21" s="9" t="n">
        <v>9444932</v>
      </c>
      <c r="H21" s="10" t="n">
        <v>119.54</v>
      </c>
    </row>
    <row r="22" ht="15" customHeight="1" s="17">
      <c r="A22" s="8" t="inlineStr">
        <is>
          <t>82</t>
        </is>
      </c>
      <c r="B22" s="8" t="inlineStr">
        <is>
          <t>C1086-Q9570</t>
        </is>
      </c>
      <c r="C22" s="8" t="inlineStr">
        <is>
          <t>Morropon</t>
        </is>
      </c>
      <c r="D22" s="8" t="inlineStr">
        <is>
          <t>Santo Domingo</t>
        </is>
      </c>
      <c r="E22" s="8" t="inlineStr">
        <is>
          <t>Z03</t>
        </is>
      </c>
      <c r="F22" s="9" t="n">
        <v>621452</v>
      </c>
      <c r="G22" s="9" t="n">
        <v>9443855</v>
      </c>
      <c r="H22" s="10" t="n">
        <v>35.66</v>
      </c>
    </row>
    <row r="23" ht="15" customHeight="1" s="17">
      <c r="A23" s="8" t="inlineStr">
        <is>
          <t>13</t>
        </is>
      </c>
      <c r="B23" s="8" t="inlineStr">
        <is>
          <t>C1096-Q9564</t>
        </is>
      </c>
      <c r="C23" s="8" t="inlineStr">
        <is>
          <t>Morropon</t>
        </is>
      </c>
      <c r="D23" s="8" t="inlineStr">
        <is>
          <t>Santo Domingo</t>
        </is>
      </c>
      <c r="E23" s="8" t="inlineStr">
        <is>
          <t>Z03</t>
        </is>
      </c>
      <c r="F23" s="9" t="n">
        <v>620263</v>
      </c>
      <c r="G23" s="9" t="n">
        <v>9442343</v>
      </c>
      <c r="H23" s="10" t="n">
        <v>100.51</v>
      </c>
    </row>
    <row r="24" ht="15" customHeight="1" s="17">
      <c r="A24" s="8" t="inlineStr">
        <is>
          <t>78</t>
        </is>
      </c>
      <c r="B24" s="8" t="inlineStr">
        <is>
          <t>C1086-Q9570</t>
        </is>
      </c>
      <c r="C24" s="8" t="inlineStr">
        <is>
          <t>Morropon</t>
        </is>
      </c>
      <c r="D24" s="8" t="inlineStr">
        <is>
          <t>Santo Domingo</t>
        </is>
      </c>
      <c r="E24" s="8" t="inlineStr">
        <is>
          <t>Z03</t>
        </is>
      </c>
      <c r="F24" s="9" t="n">
        <v>619630</v>
      </c>
      <c r="G24" s="9" t="n">
        <v>9440043</v>
      </c>
      <c r="H24" s="10" t="n">
        <v>35.1</v>
      </c>
    </row>
    <row r="25" ht="15" customHeight="1" s="17">
      <c r="A25" s="8" t="inlineStr">
        <is>
          <t>11</t>
        </is>
      </c>
      <c r="B25" s="8" t="inlineStr">
        <is>
          <t>C1086-Q9570</t>
        </is>
      </c>
      <c r="C25" s="8" t="inlineStr">
        <is>
          <t>Morropon</t>
        </is>
      </c>
      <c r="D25" s="8" t="inlineStr">
        <is>
          <t>Santo Domingo</t>
        </is>
      </c>
      <c r="E25" s="8" t="inlineStr">
        <is>
          <t>Z03</t>
        </is>
      </c>
      <c r="F25" s="9" t="n">
        <v>620759</v>
      </c>
      <c r="G25" s="9" t="n">
        <v>9439988</v>
      </c>
      <c r="H25" s="10" t="n">
        <v>103.95</v>
      </c>
    </row>
    <row r="26" ht="15" customHeight="1" s="17">
      <c r="A26" s="8" t="inlineStr">
        <is>
          <t>23</t>
        </is>
      </c>
      <c r="B26" s="8" t="inlineStr">
        <is>
          <t>C1086-Q9570</t>
        </is>
      </c>
      <c r="C26" s="8" t="inlineStr">
        <is>
          <t>Morropon</t>
        </is>
      </c>
      <c r="D26" s="8" t="inlineStr">
        <is>
          <t>Santo Domingo</t>
        </is>
      </c>
      <c r="E26" s="8" t="inlineStr">
        <is>
          <t>Z03</t>
        </is>
      </c>
      <c r="F26" s="9" t="n">
        <v>619939</v>
      </c>
      <c r="G26" s="9" t="n">
        <v>9438544</v>
      </c>
      <c r="H26" s="10" t="n">
        <v>81.78</v>
      </c>
    </row>
    <row r="27" ht="15" customHeight="1" s="17">
      <c r="A27" s="8" t="inlineStr">
        <is>
          <t>15</t>
        </is>
      </c>
      <c r="B27" s="8" t="inlineStr">
        <is>
          <t>C1086-Q9570</t>
        </is>
      </c>
      <c r="C27" s="8" t="inlineStr">
        <is>
          <t>Morropon</t>
        </is>
      </c>
      <c r="D27" s="8" t="inlineStr">
        <is>
          <t>Santo Domingo</t>
        </is>
      </c>
      <c r="E27" s="8" t="inlineStr">
        <is>
          <t>Z03</t>
        </is>
      </c>
      <c r="F27" s="9" t="n">
        <v>620200</v>
      </c>
      <c r="G27" s="9" t="n">
        <v>9437862</v>
      </c>
      <c r="H27" s="10" t="n">
        <v>86.15000000000001</v>
      </c>
    </row>
    <row r="28" ht="15" customHeight="1" s="17">
      <c r="A28" s="8" t="inlineStr">
        <is>
          <t>M19B7</t>
        </is>
      </c>
      <c r="B28" s="8" t="inlineStr">
        <is>
          <t>C1086-Q9570</t>
        </is>
      </c>
      <c r="C28" s="8" t="inlineStr">
        <is>
          <t>Morropon</t>
        </is>
      </c>
      <c r="D28" s="8" t="inlineStr">
        <is>
          <t>Santo Domingo</t>
        </is>
      </c>
      <c r="E28" s="8" t="inlineStr">
        <is>
          <t>Z03</t>
        </is>
      </c>
      <c r="F28" s="9" t="n">
        <v>620770</v>
      </c>
      <c r="G28" s="9" t="n">
        <v>9436562</v>
      </c>
      <c r="H28" s="10" t="n">
        <v>34.17</v>
      </c>
    </row>
    <row r="29" ht="15" customHeight="1" s="17">
      <c r="A29" s="8" t="inlineStr">
        <is>
          <t>17</t>
        </is>
      </c>
      <c r="B29" s="8" t="inlineStr">
        <is>
          <t>C1086-Q9570</t>
        </is>
      </c>
      <c r="C29" s="8" t="inlineStr">
        <is>
          <t>Morropon</t>
        </is>
      </c>
      <c r="D29" s="8" t="inlineStr">
        <is>
          <t>Santo Domingo</t>
        </is>
      </c>
      <c r="E29" s="8" t="inlineStr">
        <is>
          <t>Z03</t>
        </is>
      </c>
      <c r="F29" s="9" t="n">
        <v>618661</v>
      </c>
      <c r="G29" s="9" t="n">
        <v>9438267</v>
      </c>
      <c r="H29" s="10" t="n">
        <v>96.08</v>
      </c>
    </row>
    <row r="30" ht="15" customHeight="1" s="17">
      <c r="A30" s="8" t="inlineStr">
        <is>
          <t>M8B2</t>
        </is>
      </c>
      <c r="B30" s="8" t="inlineStr">
        <is>
          <t>C1096-Q9558</t>
        </is>
      </c>
      <c r="C30" s="8" t="inlineStr">
        <is>
          <t>Morropon</t>
        </is>
      </c>
      <c r="D30" s="8" t="inlineStr">
        <is>
          <t>Santo Domingo</t>
        </is>
      </c>
      <c r="E30" s="8" t="inlineStr">
        <is>
          <t>Z03</t>
        </is>
      </c>
      <c r="F30" s="9" t="n">
        <v>617596</v>
      </c>
      <c r="G30" s="9" t="n">
        <v>9436227</v>
      </c>
      <c r="H30" s="10" t="n">
        <v>35.35</v>
      </c>
    </row>
    <row r="31" ht="15" customHeight="1" s="17">
      <c r="A31" s="8" t="inlineStr">
        <is>
          <t>57</t>
        </is>
      </c>
      <c r="B31" s="8" t="inlineStr">
        <is>
          <t>C1086-Q9576</t>
        </is>
      </c>
      <c r="C31" s="8" t="inlineStr">
        <is>
          <t>Morropon</t>
        </is>
      </c>
      <c r="D31" s="8" t="inlineStr">
        <is>
          <t>Chalaco</t>
        </is>
      </c>
      <c r="E31" s="8" t="inlineStr">
        <is>
          <t>Z04</t>
        </is>
      </c>
      <c r="F31" s="9" t="n">
        <v>631195</v>
      </c>
      <c r="G31" s="9" t="n">
        <v>9441777</v>
      </c>
      <c r="H31" s="10" t="n">
        <v>25.67</v>
      </c>
    </row>
    <row r="32" ht="15" customHeight="1" s="17">
      <c r="A32" s="8" t="inlineStr">
        <is>
          <t>59</t>
        </is>
      </c>
      <c r="B32" s="8" t="inlineStr">
        <is>
          <t>C1086-Q9570</t>
        </is>
      </c>
      <c r="C32" s="8" t="inlineStr">
        <is>
          <t>Morropon</t>
        </is>
      </c>
      <c r="D32" s="8" t="inlineStr">
        <is>
          <t>Chalaco</t>
        </is>
      </c>
      <c r="E32" s="8" t="inlineStr">
        <is>
          <t>Z04</t>
        </is>
      </c>
      <c r="F32" s="9" t="n">
        <v>631195</v>
      </c>
      <c r="G32" s="9" t="n">
        <v>9441777</v>
      </c>
      <c r="H32" s="10" t="n">
        <v>13.55</v>
      </c>
    </row>
    <row r="33" ht="15" customHeight="1" s="17">
      <c r="A33" s="8" t="inlineStr">
        <is>
          <t>M36B2</t>
        </is>
      </c>
      <c r="B33" s="8" t="inlineStr">
        <is>
          <t>C1086-Q9576</t>
        </is>
      </c>
      <c r="C33" s="8" t="inlineStr">
        <is>
          <t>Morropon</t>
        </is>
      </c>
      <c r="D33" s="8" t="inlineStr">
        <is>
          <t>Santa Catalina de Mossa</t>
        </is>
      </c>
      <c r="E33" s="8" t="inlineStr">
        <is>
          <t>Z04</t>
        </is>
      </c>
      <c r="F33" s="9" t="n">
        <v>626438</v>
      </c>
      <c r="G33" s="9" t="n">
        <v>9435060</v>
      </c>
      <c r="H33" s="10" t="n">
        <v>28.19</v>
      </c>
    </row>
    <row r="34" ht="15" customHeight="1" s="17">
      <c r="A34" s="8" t="inlineStr">
        <is>
          <t>42</t>
        </is>
      </c>
      <c r="B34" s="8" t="inlineStr">
        <is>
          <t>C1086-Q9570</t>
        </is>
      </c>
      <c r="C34" s="8" t="inlineStr">
        <is>
          <t>Morropon</t>
        </is>
      </c>
      <c r="D34" s="8" t="inlineStr">
        <is>
          <t>Santa Catalina de Mossa</t>
        </is>
      </c>
      <c r="E34" s="8" t="inlineStr">
        <is>
          <t>Z04</t>
        </is>
      </c>
      <c r="F34" s="9" t="n">
        <v>625152</v>
      </c>
      <c r="G34" s="9" t="n">
        <v>9435011</v>
      </c>
      <c r="H34" s="10" t="n">
        <v>80.62</v>
      </c>
    </row>
    <row r="35" ht="15" customHeight="1" s="17">
      <c r="A35" s="8" t="inlineStr">
        <is>
          <t>14</t>
        </is>
      </c>
      <c r="B35" s="8" t="inlineStr">
        <is>
          <t>C1086-Q9570</t>
        </is>
      </c>
      <c r="C35" s="8" t="inlineStr">
        <is>
          <t>Morropon</t>
        </is>
      </c>
      <c r="D35" s="8" t="inlineStr">
        <is>
          <t>Santa Catalina de Mossa</t>
        </is>
      </c>
      <c r="E35" s="8" t="inlineStr">
        <is>
          <t>Z04</t>
        </is>
      </c>
      <c r="F35" s="9" t="n">
        <v>624397</v>
      </c>
      <c r="G35" s="9" t="n">
        <v>9437085</v>
      </c>
      <c r="H35" s="10" t="n">
        <v>92.90000000000001</v>
      </c>
    </row>
    <row r="36" ht="15" customHeight="1" s="17">
      <c r="A36" s="8" t="inlineStr">
        <is>
          <t>58</t>
        </is>
      </c>
      <c r="B36" s="8" t="inlineStr">
        <is>
          <t>C1086-Q9569</t>
        </is>
      </c>
      <c r="C36" s="8" t="inlineStr">
        <is>
          <t>Morropon</t>
        </is>
      </c>
      <c r="D36" s="8" t="inlineStr">
        <is>
          <t>Santa Catalina de Mossa</t>
        </is>
      </c>
      <c r="E36" s="8" t="inlineStr">
        <is>
          <t>Z04</t>
        </is>
      </c>
      <c r="F36" s="9" t="n">
        <v>619094</v>
      </c>
      <c r="G36" s="9" t="n">
        <v>9426406</v>
      </c>
      <c r="H36" s="10" t="n">
        <v>11.47</v>
      </c>
    </row>
    <row r="37" ht="15" customHeight="1" s="17">
      <c r="A37" s="8" t="inlineStr">
        <is>
          <t>M19B2</t>
        </is>
      </c>
      <c r="B37" s="8" t="inlineStr">
        <is>
          <t>C1086-Q9570</t>
        </is>
      </c>
      <c r="C37" s="8" t="inlineStr">
        <is>
          <t>Morropon</t>
        </is>
      </c>
      <c r="D37" s="8" t="inlineStr">
        <is>
          <t>Morropon</t>
        </is>
      </c>
      <c r="E37" s="8" t="inlineStr">
        <is>
          <t>Z05</t>
        </is>
      </c>
      <c r="F37" s="9" t="n">
        <v>617715</v>
      </c>
      <c r="G37" s="9" t="n">
        <v>9427284</v>
      </c>
      <c r="H37" s="10" t="n">
        <v>74.37</v>
      </c>
    </row>
    <row r="38" ht="15" customHeight="1" s="17">
      <c r="A38" s="8" t="inlineStr">
        <is>
          <t>M32B3</t>
        </is>
      </c>
      <c r="B38" s="8" t="inlineStr">
        <is>
          <t>C1086-Q9569</t>
        </is>
      </c>
      <c r="C38" s="8" t="inlineStr">
        <is>
          <t>Morropon</t>
        </is>
      </c>
      <c r="D38" s="8" t="inlineStr">
        <is>
          <t>Morropon</t>
        </is>
      </c>
      <c r="E38" s="8" t="inlineStr">
        <is>
          <t>Z05</t>
        </is>
      </c>
      <c r="F38" s="9" t="n">
        <v>618248</v>
      </c>
      <c r="G38" s="9" t="n">
        <v>9426493</v>
      </c>
      <c r="H38" s="10" t="n">
        <v>50.97</v>
      </c>
    </row>
    <row r="39" ht="15" customHeight="1" s="17">
      <c r="A39" s="8" t="inlineStr">
        <is>
          <t>M6B10</t>
        </is>
      </c>
      <c r="B39" s="8" t="inlineStr">
        <is>
          <t>C1077-Q9566</t>
        </is>
      </c>
      <c r="C39" s="8" t="inlineStr">
        <is>
          <t>Morropon</t>
        </is>
      </c>
      <c r="D39" s="8" t="inlineStr">
        <is>
          <t>Buenos Aires</t>
        </is>
      </c>
      <c r="E39" s="8" t="inlineStr">
        <is>
          <t>Z06</t>
        </is>
      </c>
      <c r="F39" s="9" t="n">
        <v>618299</v>
      </c>
      <c r="G39" s="9" t="n">
        <v>9423119</v>
      </c>
      <c r="H39" s="10" t="n">
        <v>249.89</v>
      </c>
    </row>
    <row r="40" ht="15" customHeight="1" s="17">
      <c r="A40" s="8" t="inlineStr">
        <is>
          <t>M6B2-3</t>
        </is>
      </c>
      <c r="B40" s="8" t="inlineStr">
        <is>
          <t>C1077-Q9566</t>
        </is>
      </c>
      <c r="C40" s="8" t="inlineStr">
        <is>
          <t>Morropon</t>
        </is>
      </c>
      <c r="D40" s="8" t="inlineStr">
        <is>
          <t>Buenos Aires</t>
        </is>
      </c>
      <c r="E40" s="8" t="inlineStr">
        <is>
          <t>Z06</t>
        </is>
      </c>
      <c r="F40" s="9" t="n">
        <v>611305</v>
      </c>
      <c r="G40" s="9" t="n">
        <v>9419274</v>
      </c>
      <c r="H40" s="10" t="n">
        <v>160.98</v>
      </c>
    </row>
    <row r="41" ht="15" customHeight="1" s="17">
      <c r="A41" s="8" t="inlineStr">
        <is>
          <t>M6B2-2</t>
        </is>
      </c>
      <c r="B41" s="8" t="inlineStr">
        <is>
          <t>C1077-Q9566</t>
        </is>
      </c>
      <c r="C41" s="8" t="inlineStr">
        <is>
          <t>Morropon</t>
        </is>
      </c>
      <c r="D41" s="8" t="inlineStr">
        <is>
          <t>Buenos Aires</t>
        </is>
      </c>
      <c r="E41" s="8" t="inlineStr">
        <is>
          <t>Z06</t>
        </is>
      </c>
      <c r="F41" s="9" t="n">
        <v>611196</v>
      </c>
      <c r="G41" s="9" t="n">
        <v>9416725</v>
      </c>
      <c r="H41" s="10" t="n">
        <v>333.01</v>
      </c>
    </row>
    <row r="42" ht="15" customHeight="1" s="17">
      <c r="A42" s="8" t="inlineStr">
        <is>
          <t>M6B2-1</t>
        </is>
      </c>
      <c r="B42" s="8" t="inlineStr">
        <is>
          <t>C1077-Q9566</t>
        </is>
      </c>
      <c r="C42" s="8" t="inlineStr">
        <is>
          <t>Morropon</t>
        </is>
      </c>
      <c r="D42" s="8" t="inlineStr">
        <is>
          <t>Buenos Aires</t>
        </is>
      </c>
      <c r="E42" s="8" t="inlineStr">
        <is>
          <t>Z06</t>
        </is>
      </c>
      <c r="F42" s="9" t="n">
        <v>612864</v>
      </c>
      <c r="G42" s="9" t="n">
        <v>9413345</v>
      </c>
      <c r="H42" s="10" t="n">
        <v>514.36</v>
      </c>
    </row>
    <row r="43" ht="15" customHeight="1" s="17">
      <c r="A43" s="8" t="inlineStr">
        <is>
          <t>5</t>
        </is>
      </c>
      <c r="B43" s="8" t="inlineStr">
        <is>
          <t>C1077-Q9566</t>
        </is>
      </c>
      <c r="C43" s="8" t="inlineStr">
        <is>
          <t>Morropon</t>
        </is>
      </c>
      <c r="D43" s="8" t="inlineStr">
        <is>
          <t>Buenos Aires</t>
        </is>
      </c>
      <c r="E43" s="8" t="inlineStr">
        <is>
          <t>Z06</t>
        </is>
      </c>
      <c r="F43" s="9" t="n">
        <v>617860</v>
      </c>
      <c r="G43" s="9" t="n">
        <v>9413182</v>
      </c>
      <c r="H43" s="10" t="n">
        <v>295.73</v>
      </c>
    </row>
    <row r="44" ht="15" customHeight="1" s="17">
      <c r="A44" s="8" t="inlineStr">
        <is>
          <t>M1B1</t>
        </is>
      </c>
      <c r="B44" s="8" t="inlineStr">
        <is>
          <t>C1077-Q9580</t>
        </is>
      </c>
      <c r="C44" s="8" t="inlineStr">
        <is>
          <t>Morropon</t>
        </is>
      </c>
      <c r="D44" s="8" t="inlineStr">
        <is>
          <t>Buenos Aires</t>
        </is>
      </c>
      <c r="E44" s="8" t="inlineStr">
        <is>
          <t>Z06</t>
        </is>
      </c>
      <c r="F44" s="9" t="n">
        <v>617695</v>
      </c>
      <c r="G44" s="9" t="n">
        <v>9409136</v>
      </c>
      <c r="H44" s="10" t="n">
        <v>188.8</v>
      </c>
    </row>
    <row r="45" ht="15" customHeight="1" s="17">
      <c r="A45" s="8" t="inlineStr">
        <is>
          <t>M18B1</t>
        </is>
      </c>
      <c r="B45" s="8" t="inlineStr">
        <is>
          <t>C1077-Q9579</t>
        </is>
      </c>
      <c r="C45" s="8" t="inlineStr">
        <is>
          <t>Morropon</t>
        </is>
      </c>
      <c r="D45" s="8" t="inlineStr">
        <is>
          <t>Buenos Aires</t>
        </is>
      </c>
      <c r="E45" s="8" t="inlineStr">
        <is>
          <t>Z06</t>
        </is>
      </c>
      <c r="F45" s="9" t="n">
        <v>621058</v>
      </c>
      <c r="G45" s="9" t="n">
        <v>9410427</v>
      </c>
      <c r="H45" s="10" t="n">
        <v>160.36</v>
      </c>
    </row>
    <row r="46" ht="15" customHeight="1" s="17">
      <c r="A46" s="8" t="inlineStr">
        <is>
          <t>M3B9</t>
        </is>
      </c>
      <c r="B46" s="8" t="inlineStr">
        <is>
          <t>C1081-Q9582</t>
        </is>
      </c>
      <c r="C46" s="8" t="inlineStr">
        <is>
          <t>Morropon</t>
        </is>
      </c>
      <c r="D46" s="8" t="inlineStr">
        <is>
          <t>Salitral</t>
        </is>
      </c>
      <c r="E46" s="8" t="inlineStr">
        <is>
          <t>Z07</t>
        </is>
      </c>
      <c r="F46" s="9" t="n">
        <v>629338</v>
      </c>
      <c r="G46" s="9" t="n">
        <v>9413305</v>
      </c>
      <c r="H46" s="10" t="n">
        <v>294.2</v>
      </c>
    </row>
    <row r="47" ht="15" customHeight="1" s="17">
      <c r="A47" s="8" t="inlineStr">
        <is>
          <t>M3B1</t>
        </is>
      </c>
      <c r="B47" s="8" t="inlineStr">
        <is>
          <t>C1081-Q9582</t>
        </is>
      </c>
      <c r="C47" s="8" t="inlineStr">
        <is>
          <t>Morropon</t>
        </is>
      </c>
      <c r="D47" s="8" t="inlineStr">
        <is>
          <t>Salitral</t>
        </is>
      </c>
      <c r="E47" s="8" t="inlineStr">
        <is>
          <t>Z07</t>
        </is>
      </c>
      <c r="F47" s="9" t="n">
        <v>630685</v>
      </c>
      <c r="G47" s="9" t="n">
        <v>9410800</v>
      </c>
      <c r="H47" s="10" t="n">
        <v>80.98</v>
      </c>
    </row>
    <row r="48" ht="15" customHeight="1" s="17">
      <c r="A48" s="8" t="inlineStr">
        <is>
          <t>M7B1</t>
        </is>
      </c>
      <c r="B48" s="8" t="inlineStr">
        <is>
          <t>C1076-Q9581</t>
        </is>
      </c>
      <c r="C48" s="8" t="inlineStr">
        <is>
          <t>Morropon</t>
        </is>
      </c>
      <c r="D48" s="8" t="inlineStr">
        <is>
          <t>Salitral</t>
        </is>
      </c>
      <c r="E48" s="8" t="inlineStr">
        <is>
          <t>Z07</t>
        </is>
      </c>
      <c r="F48" s="9" t="n">
        <v>629006</v>
      </c>
      <c r="G48" s="9" t="n">
        <v>9407536</v>
      </c>
      <c r="H48" s="10" t="n">
        <v>130.43</v>
      </c>
    </row>
    <row r="49" ht="15" customHeight="1" s="17">
      <c r="A49" s="8" t="inlineStr">
        <is>
          <t>M7B2</t>
        </is>
      </c>
      <c r="B49" s="8" t="inlineStr">
        <is>
          <t>C1076-Q9581</t>
        </is>
      </c>
      <c r="C49" s="8" t="inlineStr">
        <is>
          <t>Morropon</t>
        </is>
      </c>
      <c r="D49" s="8" t="inlineStr">
        <is>
          <t>Salitral</t>
        </is>
      </c>
      <c r="E49" s="8" t="inlineStr">
        <is>
          <t>Z07</t>
        </is>
      </c>
      <c r="F49" s="9" t="n">
        <v>631438</v>
      </c>
      <c r="G49" s="9" t="n">
        <v>9403547</v>
      </c>
      <c r="H49" s="10" t="n">
        <v>115.38</v>
      </c>
    </row>
    <row r="50" ht="15" customHeight="1" s="17">
      <c r="A50" s="8" t="inlineStr">
        <is>
          <t>M7B3</t>
        </is>
      </c>
      <c r="B50" s="8" t="inlineStr">
        <is>
          <t>C1076-Q9581</t>
        </is>
      </c>
      <c r="C50" s="8" t="inlineStr">
        <is>
          <t>Morropon</t>
        </is>
      </c>
      <c r="D50" s="8" t="inlineStr">
        <is>
          <t>Salitral</t>
        </is>
      </c>
      <c r="E50" s="8" t="inlineStr">
        <is>
          <t>Z07</t>
        </is>
      </c>
      <c r="F50" s="9" t="n">
        <v>633232</v>
      </c>
      <c r="G50" s="9" t="n">
        <v>9401227</v>
      </c>
      <c r="H50" s="10" t="n">
        <v>65.73999999999999</v>
      </c>
    </row>
    <row r="51" ht="15" customHeight="1" s="17">
      <c r="A51" s="8" t="inlineStr">
        <is>
          <t>M7B6</t>
        </is>
      </c>
      <c r="B51" s="8" t="inlineStr">
        <is>
          <t>C1076-Q9581</t>
        </is>
      </c>
      <c r="C51" s="8" t="inlineStr">
        <is>
          <t>Morropon</t>
        </is>
      </c>
      <c r="D51" s="8" t="inlineStr">
        <is>
          <t>Salitral</t>
        </is>
      </c>
      <c r="E51" s="8" t="inlineStr">
        <is>
          <t>Z07</t>
        </is>
      </c>
      <c r="F51" s="9" t="n">
        <v>635110</v>
      </c>
      <c r="G51" s="9" t="n">
        <v>9399092</v>
      </c>
      <c r="H51" s="10" t="n">
        <v>91.29000000000001</v>
      </c>
    </row>
    <row r="52" ht="15" customHeight="1" s="17">
      <c r="A52" s="8" t="inlineStr">
        <is>
          <t>M2B1</t>
        </is>
      </c>
      <c r="B52" s="8" t="inlineStr">
        <is>
          <t>C1076-Q9584</t>
        </is>
      </c>
      <c r="C52" s="8" t="inlineStr">
        <is>
          <t>Morropon</t>
        </is>
      </c>
      <c r="D52" s="8" t="inlineStr">
        <is>
          <t>Salitral</t>
        </is>
      </c>
      <c r="E52" s="8" t="inlineStr">
        <is>
          <t>Z07</t>
        </is>
      </c>
      <c r="F52" s="9" t="n">
        <v>635876</v>
      </c>
      <c r="G52" s="9" t="n">
        <v>9397941</v>
      </c>
      <c r="H52" s="10" t="n">
        <v>81.79000000000001</v>
      </c>
    </row>
    <row r="53" ht="15" customHeight="1" s="17">
      <c r="A53" s="8" t="inlineStr">
        <is>
          <t>7</t>
        </is>
      </c>
      <c r="B53" s="8" t="inlineStr">
        <is>
          <t>C1076-Q9584</t>
        </is>
      </c>
      <c r="C53" s="8" t="inlineStr">
        <is>
          <t>Morropon</t>
        </is>
      </c>
      <c r="D53" s="8" t="inlineStr">
        <is>
          <t>Salitral</t>
        </is>
      </c>
      <c r="E53" s="8" t="inlineStr">
        <is>
          <t>Z07</t>
        </is>
      </c>
      <c r="F53" s="9" t="n">
        <v>639728</v>
      </c>
      <c r="G53" s="9" t="n">
        <v>9396836</v>
      </c>
      <c r="H53" s="10" t="n">
        <v>173.43</v>
      </c>
    </row>
    <row r="54" ht="15" customHeight="1" s="17">
      <c r="A54" s="8" t="inlineStr">
        <is>
          <t>M2B5</t>
        </is>
      </c>
      <c r="B54" s="8" t="inlineStr">
        <is>
          <t>C1076-Q9584</t>
        </is>
      </c>
      <c r="C54" s="8" t="inlineStr">
        <is>
          <t>Morropon</t>
        </is>
      </c>
      <c r="D54" s="8" t="inlineStr">
        <is>
          <t>Salitral</t>
        </is>
      </c>
      <c r="E54" s="8" t="inlineStr">
        <is>
          <t>Z07</t>
        </is>
      </c>
      <c r="F54" s="9" t="n">
        <v>639987</v>
      </c>
      <c r="G54" s="9" t="n">
        <v>9394392</v>
      </c>
      <c r="H54" s="10" t="n">
        <v>30.91</v>
      </c>
    </row>
    <row r="55" ht="15" customHeight="1" s="17">
      <c r="A55" s="8" t="inlineStr">
        <is>
          <t>1</t>
        </is>
      </c>
      <c r="B55" s="8" t="inlineStr">
        <is>
          <t>C1076-Q9584</t>
        </is>
      </c>
      <c r="C55" s="8" t="inlineStr">
        <is>
          <t>Morropon</t>
        </is>
      </c>
      <c r="D55" s="8" t="inlineStr">
        <is>
          <t>Salitral</t>
        </is>
      </c>
      <c r="E55" s="8" t="inlineStr">
        <is>
          <t>Z07</t>
        </is>
      </c>
      <c r="F55" s="9" t="n">
        <v>645575</v>
      </c>
      <c r="G55" s="9" t="n">
        <v>9393500</v>
      </c>
      <c r="H55" s="10" t="n">
        <v>1370.96</v>
      </c>
    </row>
    <row r="56" ht="15" customHeight="1" s="17">
      <c r="A56" s="8" t="inlineStr">
        <is>
          <t>M18B3</t>
        </is>
      </c>
      <c r="B56" s="8" t="inlineStr">
        <is>
          <t>C1077-Q9579</t>
        </is>
      </c>
      <c r="C56" s="8" t="inlineStr">
        <is>
          <t>Morropon</t>
        </is>
      </c>
      <c r="D56" s="8" t="inlineStr">
        <is>
          <t>Salitral</t>
        </is>
      </c>
      <c r="E56" s="8" t="inlineStr">
        <is>
          <t>Z07</t>
        </is>
      </c>
      <c r="F56" s="9" t="n">
        <v>625311</v>
      </c>
      <c r="G56" s="9" t="n">
        <v>9412195</v>
      </c>
      <c r="H56" s="10" t="n">
        <v>373.81</v>
      </c>
    </row>
    <row r="57" ht="15" customHeight="1" s="17">
      <c r="A57" s="8" t="inlineStr">
        <is>
          <t>M18B5</t>
        </is>
      </c>
      <c r="B57" s="8" t="inlineStr">
        <is>
          <t>C1077-Q9579</t>
        </is>
      </c>
      <c r="C57" s="8" t="inlineStr">
        <is>
          <t>Morropon</t>
        </is>
      </c>
      <c r="D57" s="8" t="inlineStr">
        <is>
          <t>Salitral</t>
        </is>
      </c>
      <c r="E57" s="8" t="inlineStr">
        <is>
          <t>Z07</t>
        </is>
      </c>
      <c r="F57" s="9" t="n">
        <v>621551</v>
      </c>
      <c r="G57" s="9" t="n">
        <v>9412989</v>
      </c>
      <c r="H57" s="10" t="n">
        <v>197.35</v>
      </c>
    </row>
    <row r="58" ht="15" customHeight="1" s="17">
      <c r="A58" s="8" t="inlineStr">
        <is>
          <t>M3B7</t>
        </is>
      </c>
      <c r="B58" s="8" t="inlineStr">
        <is>
          <t>C1081-Q9582</t>
        </is>
      </c>
      <c r="C58" s="8" t="inlineStr">
        <is>
          <t>Morropon</t>
        </is>
      </c>
      <c r="D58" s="8" t="inlineStr">
        <is>
          <t>San Juan de Bigote</t>
        </is>
      </c>
      <c r="E58" s="8" t="inlineStr">
        <is>
          <t>Z08</t>
        </is>
      </c>
      <c r="F58" s="9" t="n">
        <v>638309</v>
      </c>
      <c r="G58" s="9" t="n">
        <v>9415217</v>
      </c>
      <c r="H58" s="10" t="n">
        <v>122.95</v>
      </c>
    </row>
    <row r="59" ht="15" customHeight="1" s="17">
      <c r="A59" s="8" t="inlineStr">
        <is>
          <t>M3B6</t>
        </is>
      </c>
      <c r="B59" s="8" t="inlineStr">
        <is>
          <t>C1081-Q9582</t>
        </is>
      </c>
      <c r="C59" s="8" t="inlineStr">
        <is>
          <t>Morropon</t>
        </is>
      </c>
      <c r="D59" s="8" t="inlineStr">
        <is>
          <t>San Juan de Bigote</t>
        </is>
      </c>
      <c r="E59" s="8" t="inlineStr">
        <is>
          <t>Z08</t>
        </is>
      </c>
      <c r="F59" s="9" t="n">
        <v>637918</v>
      </c>
      <c r="G59" s="9" t="n">
        <v>9412134</v>
      </c>
      <c r="H59" s="10" t="n">
        <v>60.35</v>
      </c>
    </row>
    <row r="60" ht="15" customHeight="1" s="17">
      <c r="A60" s="8" t="inlineStr">
        <is>
          <t>77</t>
        </is>
      </c>
      <c r="B60" s="8" t="inlineStr">
        <is>
          <t>C1081-Q9583</t>
        </is>
      </c>
      <c r="C60" s="8" t="inlineStr">
        <is>
          <t>Morropon</t>
        </is>
      </c>
      <c r="D60" s="8" t="inlineStr">
        <is>
          <t>San Juan de Bigote</t>
        </is>
      </c>
      <c r="E60" s="8" t="inlineStr">
        <is>
          <t>Z08</t>
        </is>
      </c>
      <c r="F60" s="9" t="n">
        <v>638648</v>
      </c>
      <c r="G60" s="9" t="n">
        <v>9411370</v>
      </c>
      <c r="H60" s="10" t="n">
        <v>17.82</v>
      </c>
    </row>
    <row r="61" ht="15" customHeight="1" s="17">
      <c r="A61" s="8" t="inlineStr">
        <is>
          <t>M3B5</t>
        </is>
      </c>
      <c r="B61" s="8" t="inlineStr">
        <is>
          <t>C1081-Q9582</t>
        </is>
      </c>
      <c r="C61" s="8" t="inlineStr">
        <is>
          <t>Morropon</t>
        </is>
      </c>
      <c r="D61" s="8" t="inlineStr">
        <is>
          <t>San Juan de Bigote</t>
        </is>
      </c>
      <c r="E61" s="8" t="inlineStr">
        <is>
          <t>Z08</t>
        </is>
      </c>
      <c r="F61" s="9" t="n">
        <v>635887</v>
      </c>
      <c r="G61" s="9" t="n">
        <v>9411738</v>
      </c>
      <c r="H61" s="10" t="n">
        <v>52.74</v>
      </c>
    </row>
    <row r="62" ht="15" customHeight="1" s="17">
      <c r="A62" s="8" t="inlineStr">
        <is>
          <t>M3B3</t>
        </is>
      </c>
      <c r="B62" s="8" t="inlineStr">
        <is>
          <t>C1081-Q9582</t>
        </is>
      </c>
      <c r="C62" s="8" t="inlineStr">
        <is>
          <t>Morropon</t>
        </is>
      </c>
      <c r="D62" s="8" t="inlineStr">
        <is>
          <t>San Juan de Bigote</t>
        </is>
      </c>
      <c r="E62" s="8" t="inlineStr">
        <is>
          <t>Z08</t>
        </is>
      </c>
      <c r="F62" s="9" t="n">
        <v>633015</v>
      </c>
      <c r="G62" s="9" t="n">
        <v>9411483</v>
      </c>
      <c r="H62" s="10" t="n">
        <v>84.81999999999999</v>
      </c>
    </row>
    <row r="63" ht="15" customHeight="1" s="17">
      <c r="A63" s="8" t="inlineStr">
        <is>
          <t>M3B8</t>
        </is>
      </c>
      <c r="B63" s="8" t="inlineStr">
        <is>
          <t>C1081-Q9582</t>
        </is>
      </c>
      <c r="C63" s="8" t="inlineStr">
        <is>
          <t>Morropon</t>
        </is>
      </c>
      <c r="D63" s="8" t="inlineStr">
        <is>
          <t>San Juan de Bigote</t>
        </is>
      </c>
      <c r="E63" s="8" t="inlineStr">
        <is>
          <t>Z08</t>
        </is>
      </c>
      <c r="F63" s="9" t="n">
        <v>632119</v>
      </c>
      <c r="G63" s="9" t="n">
        <v>9415141</v>
      </c>
      <c r="H63" s="10" t="n">
        <v>565.58</v>
      </c>
    </row>
    <row r="64" ht="15" customHeight="1" s="17">
      <c r="A64" s="8" t="inlineStr">
        <is>
          <t>M11B3</t>
        </is>
      </c>
      <c r="B64" s="8" t="inlineStr">
        <is>
          <t>C1081-Q9583</t>
        </is>
      </c>
      <c r="C64" s="8" t="inlineStr">
        <is>
          <t>Morropon</t>
        </is>
      </c>
      <c r="D64" s="8" t="inlineStr">
        <is>
          <t>San Juan de Bigote</t>
        </is>
      </c>
      <c r="E64" s="8" t="inlineStr">
        <is>
          <t>Z08</t>
        </is>
      </c>
      <c r="F64" s="9" t="n">
        <v>642079</v>
      </c>
      <c r="G64" s="9" t="n">
        <v>9413823</v>
      </c>
      <c r="H64" s="10" t="n">
        <v>106.03</v>
      </c>
    </row>
    <row r="65" ht="15" customHeight="1" s="17">
      <c r="A65" s="8" t="inlineStr">
        <is>
          <t>55</t>
        </is>
      </c>
      <c r="B65" s="8" t="inlineStr">
        <is>
          <t>C1086-Q9575</t>
        </is>
      </c>
      <c r="C65" s="8" t="inlineStr">
        <is>
          <t>Morropon</t>
        </is>
      </c>
      <c r="D65" s="8" t="inlineStr">
        <is>
          <t>Yamango</t>
        </is>
      </c>
      <c r="E65" s="8" t="inlineStr">
        <is>
          <t>Z09</t>
        </is>
      </c>
      <c r="F65" s="9" t="n">
        <v>642690</v>
      </c>
      <c r="G65" s="9" t="n">
        <v>9438409</v>
      </c>
      <c r="H65" s="10" t="n">
        <v>0.86</v>
      </c>
    </row>
    <row r="66" ht="15" customHeight="1" s="17">
      <c r="A66" s="8" t="inlineStr">
        <is>
          <t>49</t>
        </is>
      </c>
      <c r="B66" s="8" t="inlineStr">
        <is>
          <t>C1086-Q9575</t>
        </is>
      </c>
      <c r="C66" s="8" t="inlineStr">
        <is>
          <t>Morropon</t>
        </is>
      </c>
      <c r="D66" s="8" t="inlineStr">
        <is>
          <t>Yamango</t>
        </is>
      </c>
      <c r="E66" s="8" t="inlineStr">
        <is>
          <t>Z09</t>
        </is>
      </c>
      <c r="F66" s="9" t="n">
        <v>642334</v>
      </c>
      <c r="G66" s="9" t="n">
        <v>9438263</v>
      </c>
      <c r="H66" s="10" t="n">
        <v>15.84</v>
      </c>
    </row>
    <row r="67" ht="15" customHeight="1" s="17">
      <c r="A67" s="8" t="inlineStr">
        <is>
          <t>52</t>
        </is>
      </c>
      <c r="B67" s="8" t="inlineStr">
        <is>
          <t>C1086-Q9575</t>
        </is>
      </c>
      <c r="C67" s="8" t="inlineStr">
        <is>
          <t>Morropon</t>
        </is>
      </c>
      <c r="D67" s="8" t="inlineStr">
        <is>
          <t>Yamango</t>
        </is>
      </c>
      <c r="E67" s="8" t="inlineStr">
        <is>
          <t>Z09</t>
        </is>
      </c>
      <c r="F67" s="9" t="n">
        <v>641522</v>
      </c>
      <c r="G67" s="9" t="n">
        <v>9438064</v>
      </c>
      <c r="H67" s="10" t="n">
        <v>11.06</v>
      </c>
    </row>
    <row r="68" ht="15" customHeight="1" s="17">
      <c r="A68" s="8" t="inlineStr">
        <is>
          <t>48</t>
        </is>
      </c>
      <c r="B68" s="8" t="inlineStr">
        <is>
          <t>C1086-Q9575</t>
        </is>
      </c>
      <c r="C68" s="8" t="inlineStr">
        <is>
          <t>Morropon</t>
        </is>
      </c>
      <c r="D68" s="8" t="inlineStr">
        <is>
          <t>Yamango</t>
        </is>
      </c>
      <c r="E68" s="8" t="inlineStr">
        <is>
          <t>Z09</t>
        </is>
      </c>
      <c r="F68" s="9" t="n">
        <v>639496</v>
      </c>
      <c r="G68" s="9" t="n">
        <v>9433679</v>
      </c>
      <c r="H68" s="10" t="n">
        <v>5.75</v>
      </c>
    </row>
    <row r="69" ht="15" customHeight="1" s="17">
      <c r="A69" s="8" t="inlineStr">
        <is>
          <t>46</t>
        </is>
      </c>
      <c r="B69" s="8" t="inlineStr">
        <is>
          <t>C1086-Q9575</t>
        </is>
      </c>
      <c r="C69" s="8" t="inlineStr">
        <is>
          <t>Morropon</t>
        </is>
      </c>
      <c r="D69" s="8" t="inlineStr">
        <is>
          <t>Yamango</t>
        </is>
      </c>
      <c r="E69" s="8" t="inlineStr">
        <is>
          <t>Z09</t>
        </is>
      </c>
      <c r="F69" s="9" t="n">
        <v>638751</v>
      </c>
      <c r="G69" s="9" t="n">
        <v>9433236</v>
      </c>
      <c r="H69" s="10" t="n">
        <v>18.87</v>
      </c>
    </row>
    <row r="70" ht="15" customHeight="1" s="17">
      <c r="A70" s="8" t="inlineStr">
        <is>
          <t>M28B2</t>
        </is>
      </c>
      <c r="B70" s="8" t="inlineStr">
        <is>
          <t>C1086-Q9575</t>
        </is>
      </c>
      <c r="C70" s="8" t="inlineStr">
        <is>
          <t>Morropon</t>
        </is>
      </c>
      <c r="D70" s="8" t="inlineStr">
        <is>
          <t>Yamango</t>
        </is>
      </c>
      <c r="E70" s="8" t="inlineStr">
        <is>
          <t>Z09</t>
        </is>
      </c>
      <c r="F70" s="9" t="n">
        <v>636249</v>
      </c>
      <c r="G70" s="9" t="n">
        <v>9425665</v>
      </c>
      <c r="H70" s="10" t="n">
        <v>90.2</v>
      </c>
    </row>
    <row r="71" ht="15" customHeight="1" s="17">
      <c r="A71" s="8" t="inlineStr">
        <is>
          <t>M28B3</t>
        </is>
      </c>
      <c r="B71" s="8" t="inlineStr">
        <is>
          <t>C1086-Q9575</t>
        </is>
      </c>
      <c r="C71" s="8" t="inlineStr">
        <is>
          <t>Morropon</t>
        </is>
      </c>
      <c r="D71" s="8" t="inlineStr">
        <is>
          <t>Yamango</t>
        </is>
      </c>
      <c r="E71" s="8" t="inlineStr">
        <is>
          <t>Z09</t>
        </is>
      </c>
      <c r="F71" s="9" t="n">
        <v>634061</v>
      </c>
      <c r="G71" s="9" t="n">
        <v>9426778</v>
      </c>
      <c r="H71" s="10" t="n">
        <v>58.29</v>
      </c>
    </row>
    <row r="72" ht="15" customHeight="1" s="17">
      <c r="A72" s="8" t="inlineStr">
        <is>
          <t>M28B4</t>
        </is>
      </c>
      <c r="B72" s="8" t="inlineStr">
        <is>
          <t>C1086-Q9575</t>
        </is>
      </c>
      <c r="C72" s="8" t="inlineStr">
        <is>
          <t>Morropon</t>
        </is>
      </c>
      <c r="D72" s="8" t="inlineStr">
        <is>
          <t>Yamango</t>
        </is>
      </c>
      <c r="E72" s="8" t="inlineStr">
        <is>
          <t>Z09</t>
        </is>
      </c>
      <c r="F72" s="9" t="n">
        <v>626078</v>
      </c>
      <c r="G72" s="9" t="n">
        <v>9427110</v>
      </c>
      <c r="H72" s="10" t="n">
        <v>283.43</v>
      </c>
    </row>
    <row r="73" ht="15" customHeight="1" s="17">
      <c r="A73" s="8" t="inlineStr">
        <is>
          <t>33</t>
        </is>
      </c>
      <c r="B73" s="8" t="inlineStr">
        <is>
          <t>C1081-Q9590</t>
        </is>
      </c>
      <c r="C73" s="8" t="inlineStr">
        <is>
          <t>Huancabamba</t>
        </is>
      </c>
      <c r="D73" s="8" t="inlineStr">
        <is>
          <t>Lalaquiz</t>
        </is>
      </c>
      <c r="E73" s="8" t="inlineStr">
        <is>
          <t>Z10</t>
        </is>
      </c>
      <c r="F73" s="9" t="n">
        <v>646466</v>
      </c>
      <c r="G73" s="9" t="n">
        <v>9431126</v>
      </c>
      <c r="H73" s="10" t="n">
        <v>29.68</v>
      </c>
    </row>
    <row r="74" ht="15" customHeight="1" s="17">
      <c r="A74" s="8" t="inlineStr">
        <is>
          <t>38</t>
        </is>
      </c>
      <c r="B74" s="8" t="inlineStr">
        <is>
          <t>C1081-Q9590</t>
        </is>
      </c>
      <c r="C74" s="8" t="inlineStr">
        <is>
          <t>Huancabamba</t>
        </is>
      </c>
      <c r="D74" s="8" t="inlineStr">
        <is>
          <t>Lalaquiz</t>
        </is>
      </c>
      <c r="E74" s="8" t="inlineStr">
        <is>
          <t>Z10</t>
        </is>
      </c>
      <c r="F74" s="9" t="n">
        <v>647123</v>
      </c>
      <c r="G74" s="9" t="n">
        <v>9427602</v>
      </c>
      <c r="H74" s="10" t="n">
        <v>44.2</v>
      </c>
    </row>
    <row r="75" ht="15" customHeight="1" s="17">
      <c r="A75" s="8" t="inlineStr">
        <is>
          <t>50</t>
        </is>
      </c>
      <c r="B75" s="8" t="inlineStr">
        <is>
          <t>C1081-Q9590</t>
        </is>
      </c>
      <c r="C75" s="8" t="inlineStr">
        <is>
          <t>Huancabamba</t>
        </is>
      </c>
      <c r="D75" s="8" t="inlineStr">
        <is>
          <t>Lalaquiz</t>
        </is>
      </c>
      <c r="E75" s="8" t="inlineStr">
        <is>
          <t>Z10</t>
        </is>
      </c>
      <c r="F75" s="9" t="n">
        <v>647350</v>
      </c>
      <c r="G75" s="9" t="n">
        <v>9427252</v>
      </c>
      <c r="H75" s="10" t="n">
        <v>19.27</v>
      </c>
    </row>
    <row r="76" ht="15" customHeight="1" s="17">
      <c r="A76" s="8" t="inlineStr">
        <is>
          <t>34</t>
        </is>
      </c>
      <c r="B76" s="8" t="inlineStr">
        <is>
          <t>C1081-Q9590</t>
        </is>
      </c>
      <c r="C76" s="8" t="inlineStr">
        <is>
          <t>Huancabamba</t>
        </is>
      </c>
      <c r="D76" s="8" t="inlineStr">
        <is>
          <t>Lalaquiz</t>
        </is>
      </c>
      <c r="E76" s="8" t="inlineStr">
        <is>
          <t>Z10</t>
        </is>
      </c>
      <c r="F76" s="9" t="n">
        <v>646483</v>
      </c>
      <c r="G76" s="9" t="n">
        <v>9426305</v>
      </c>
      <c r="H76" s="10" t="n">
        <v>28.45</v>
      </c>
    </row>
    <row r="77" ht="15" customHeight="1" s="17">
      <c r="A77" s="8" t="inlineStr">
        <is>
          <t>61</t>
        </is>
      </c>
      <c r="B77" s="8" t="inlineStr">
        <is>
          <t>C1081-Q9590</t>
        </is>
      </c>
      <c r="C77" s="8" t="inlineStr">
        <is>
          <t>Huancabamba</t>
        </is>
      </c>
      <c r="D77" s="8" t="inlineStr">
        <is>
          <t>Lalaquiz</t>
        </is>
      </c>
      <c r="E77" s="8" t="inlineStr">
        <is>
          <t>Z10</t>
        </is>
      </c>
      <c r="F77" s="9" t="n">
        <v>646236</v>
      </c>
      <c r="G77" s="9" t="n">
        <v>9425052</v>
      </c>
      <c r="H77" s="10" t="n">
        <v>26.83</v>
      </c>
    </row>
    <row r="78" ht="15" customHeight="1" s="17">
      <c r="A78" s="8" t="inlineStr">
        <is>
          <t>37</t>
        </is>
      </c>
      <c r="B78" s="8" t="inlineStr">
        <is>
          <t>C1081-Q9591</t>
        </is>
      </c>
      <c r="C78" s="8" t="inlineStr">
        <is>
          <t>Huancabamba</t>
        </is>
      </c>
      <c r="D78" s="8" t="inlineStr">
        <is>
          <t>Lalaquiz</t>
        </is>
      </c>
      <c r="E78" s="8" t="inlineStr">
        <is>
          <t>Z10</t>
        </is>
      </c>
      <c r="F78" s="9" t="n">
        <v>649081</v>
      </c>
      <c r="G78" s="9" t="n">
        <v>9424506</v>
      </c>
      <c r="H78" s="10" t="n">
        <v>35.49</v>
      </c>
    </row>
    <row r="79" ht="15" customHeight="1" s="17">
      <c r="A79" s="8" t="inlineStr">
        <is>
          <t>26</t>
        </is>
      </c>
      <c r="B79" s="8" t="inlineStr">
        <is>
          <t>C1081-Q9591</t>
        </is>
      </c>
      <c r="C79" s="8" t="inlineStr">
        <is>
          <t>Huancabamba</t>
        </is>
      </c>
      <c r="D79" s="8" t="inlineStr">
        <is>
          <t>Lalaquiz</t>
        </is>
      </c>
      <c r="E79" s="8" t="inlineStr">
        <is>
          <t>Z10</t>
        </is>
      </c>
      <c r="F79" s="9" t="n">
        <v>649472</v>
      </c>
      <c r="G79" s="9" t="n">
        <v>9425705</v>
      </c>
      <c r="H79" s="10" t="n">
        <v>46.96</v>
      </c>
    </row>
    <row r="80" ht="15" customHeight="1" s="17">
      <c r="A80" s="8" t="inlineStr">
        <is>
          <t>64</t>
        </is>
      </c>
      <c r="B80" s="8" t="inlineStr">
        <is>
          <t>C1081-Q9591</t>
        </is>
      </c>
      <c r="C80" s="8" t="inlineStr">
        <is>
          <t>Huancabamba</t>
        </is>
      </c>
      <c r="D80" s="8" t="inlineStr">
        <is>
          <t>Huancabamba</t>
        </is>
      </c>
      <c r="E80" s="8" t="inlineStr">
        <is>
          <t>Z11</t>
        </is>
      </c>
      <c r="F80" s="9" t="n">
        <v>657819</v>
      </c>
      <c r="G80" s="9" t="n">
        <v>9428541</v>
      </c>
      <c r="H80" s="10" t="n">
        <v>35.77</v>
      </c>
    </row>
    <row r="81" ht="22.35" customHeight="1" s="17">
      <c r="A81" s="8" t="inlineStr">
        <is>
          <t>54</t>
        </is>
      </c>
      <c r="B81" s="8" t="inlineStr">
        <is>
          <t>C1081-Q9591 (inferida)</t>
        </is>
      </c>
      <c r="C81" s="8" t="inlineStr">
        <is>
          <t>Huancabamba</t>
        </is>
      </c>
      <c r="D81" s="8" t="inlineStr">
        <is>
          <t>Huancabamba</t>
        </is>
      </c>
      <c r="E81" s="8" t="inlineStr">
        <is>
          <t>Z11</t>
        </is>
      </c>
      <c r="F81" s="9" t="n">
        <v>656897</v>
      </c>
      <c r="G81" s="9" t="n">
        <v>9426033</v>
      </c>
      <c r="H81" s="10" t="n">
        <v>40.26</v>
      </c>
    </row>
    <row r="82" ht="15" customHeight="1" s="17">
      <c r="A82" s="8" t="inlineStr">
        <is>
          <t>M30B5</t>
        </is>
      </c>
      <c r="B82" s="8" t="inlineStr">
        <is>
          <t>C1081-Q9591</t>
        </is>
      </c>
      <c r="C82" s="8" t="inlineStr">
        <is>
          <t>Huancabamba</t>
        </is>
      </c>
      <c r="D82" s="8" t="inlineStr">
        <is>
          <t>Huancabamba</t>
        </is>
      </c>
      <c r="E82" s="8" t="inlineStr">
        <is>
          <t>Z11</t>
        </is>
      </c>
      <c r="F82" s="9" t="n">
        <v>655263</v>
      </c>
      <c r="G82" s="9" t="n">
        <v>9427340</v>
      </c>
      <c r="H82" s="10" t="n">
        <v>90.90000000000001</v>
      </c>
    </row>
    <row r="83" ht="15" customHeight="1" s="17">
      <c r="A83" s="8" t="inlineStr">
        <is>
          <t>60</t>
        </is>
      </c>
      <c r="B83" s="8" t="inlineStr">
        <is>
          <t>C1081-Q9591</t>
        </is>
      </c>
      <c r="C83" s="8" t="inlineStr">
        <is>
          <t>Huancabamba</t>
        </is>
      </c>
      <c r="D83" s="8" t="inlineStr">
        <is>
          <t>Canchaque</t>
        </is>
      </c>
      <c r="E83" s="8" t="inlineStr">
        <is>
          <t>Z11</t>
        </is>
      </c>
      <c r="F83" s="9" t="n">
        <v>653850</v>
      </c>
      <c r="G83" s="9" t="n">
        <v>9426236</v>
      </c>
      <c r="H83" s="10" t="n">
        <v>40.13</v>
      </c>
    </row>
    <row r="84" ht="15" customHeight="1" s="17">
      <c r="A84" s="8" t="inlineStr">
        <is>
          <t>40</t>
        </is>
      </c>
      <c r="B84" s="8" t="inlineStr">
        <is>
          <t>C1081-Q9591</t>
        </is>
      </c>
      <c r="C84" s="8" t="inlineStr">
        <is>
          <t>Huancabamba</t>
        </is>
      </c>
      <c r="D84" s="8" t="inlineStr">
        <is>
          <t>Canchaque</t>
        </is>
      </c>
      <c r="E84" s="8" t="inlineStr">
        <is>
          <t>Z11</t>
        </is>
      </c>
      <c r="F84" s="9" t="n">
        <v>654137</v>
      </c>
      <c r="G84" s="9" t="n">
        <v>9424425</v>
      </c>
      <c r="H84" s="10" t="n">
        <v>28.52</v>
      </c>
    </row>
    <row r="85" ht="15" customHeight="1" s="17">
      <c r="A85" s="8" t="inlineStr">
        <is>
          <t>30</t>
        </is>
      </c>
      <c r="B85" s="8" t="inlineStr">
        <is>
          <t>C1081-Q9591</t>
        </is>
      </c>
      <c r="C85" s="8" t="inlineStr">
        <is>
          <t>Huancabamba</t>
        </is>
      </c>
      <c r="D85" s="8" t="inlineStr">
        <is>
          <t>Canchaque</t>
        </is>
      </c>
      <c r="E85" s="8" t="inlineStr">
        <is>
          <t>Z11</t>
        </is>
      </c>
      <c r="F85" s="9" t="n">
        <v>652758</v>
      </c>
      <c r="G85" s="9" t="n">
        <v>9424380</v>
      </c>
      <c r="H85" s="10" t="n">
        <v>34.87</v>
      </c>
    </row>
    <row r="86" ht="15" customHeight="1" s="17">
      <c r="A86" s="8" t="inlineStr">
        <is>
          <t>28</t>
        </is>
      </c>
      <c r="B86" s="8" t="inlineStr">
        <is>
          <t>C1081-Q9591</t>
        </is>
      </c>
      <c r="C86" s="8" t="inlineStr">
        <is>
          <t>Huancabamba</t>
        </is>
      </c>
      <c r="D86" s="8" t="inlineStr">
        <is>
          <t>Canchaque</t>
        </is>
      </c>
      <c r="E86" s="8" t="inlineStr">
        <is>
          <t>Z11</t>
        </is>
      </c>
      <c r="F86" s="9" t="n">
        <v>654188</v>
      </c>
      <c r="G86" s="9" t="n">
        <v>9422849</v>
      </c>
      <c r="H86" s="10" t="n">
        <v>52.97</v>
      </c>
    </row>
    <row r="87" ht="15" customHeight="1" s="17">
      <c r="A87" s="8" t="inlineStr">
        <is>
          <t>62</t>
        </is>
      </c>
      <c r="B87" s="8" t="inlineStr">
        <is>
          <t>C1081-Q9591</t>
        </is>
      </c>
      <c r="C87" s="8" t="inlineStr">
        <is>
          <t>Huancabamba</t>
        </is>
      </c>
      <c r="D87" s="8" t="inlineStr">
        <is>
          <t>Canchaque</t>
        </is>
      </c>
      <c r="E87" s="8" t="inlineStr">
        <is>
          <t>Z11</t>
        </is>
      </c>
      <c r="F87" s="9" t="n">
        <v>655046</v>
      </c>
      <c r="G87" s="9" t="n">
        <v>9420450</v>
      </c>
      <c r="H87" s="10" t="n">
        <v>73.81999999999999</v>
      </c>
    </row>
    <row r="88" ht="22.35" customHeight="1" s="17">
      <c r="A88" s="8" t="inlineStr">
        <is>
          <t>65</t>
        </is>
      </c>
      <c r="B88" s="8" t="inlineStr">
        <is>
          <t>C1081-Q9591 (inferida)</t>
        </is>
      </c>
      <c r="C88" s="8" t="inlineStr">
        <is>
          <t>Huancabamba</t>
        </is>
      </c>
      <c r="D88" s="8" t="inlineStr">
        <is>
          <t>Canchaque</t>
        </is>
      </c>
      <c r="E88" s="8" t="inlineStr">
        <is>
          <t>Z11</t>
        </is>
      </c>
      <c r="F88" s="9" t="n">
        <v>657541</v>
      </c>
      <c r="G88" s="9" t="n">
        <v>9421083</v>
      </c>
      <c r="H88" s="10" t="n">
        <v>53.93</v>
      </c>
    </row>
    <row r="89" ht="15" customHeight="1" s="17">
      <c r="A89" s="8" t="inlineStr">
        <is>
          <t>21</t>
        </is>
      </c>
      <c r="B89" s="8" t="inlineStr">
        <is>
          <t>C1081-Q9591</t>
        </is>
      </c>
      <c r="C89" s="8" t="inlineStr">
        <is>
          <t>Huancabamba</t>
        </is>
      </c>
      <c r="D89" s="8" t="inlineStr">
        <is>
          <t>Canchaque</t>
        </is>
      </c>
      <c r="E89" s="8" t="inlineStr">
        <is>
          <t>Z11</t>
        </is>
      </c>
      <c r="F89" s="9" t="n">
        <v>654604</v>
      </c>
      <c r="G89" s="9" t="n">
        <v>9417736</v>
      </c>
      <c r="H89" s="10" t="n">
        <v>84.23</v>
      </c>
    </row>
    <row r="90" ht="15" customHeight="1" s="17">
      <c r="A90" s="8" t="inlineStr">
        <is>
          <t>66</t>
        </is>
      </c>
      <c r="B90" s="8" t="inlineStr">
        <is>
          <t>C1081-Q9591</t>
        </is>
      </c>
      <c r="C90" s="8" t="inlineStr">
        <is>
          <t>Huancabamba</t>
        </is>
      </c>
      <c r="D90" s="8" t="inlineStr">
        <is>
          <t>Canchaque</t>
        </is>
      </c>
      <c r="E90" s="8" t="inlineStr">
        <is>
          <t>Z11</t>
        </is>
      </c>
      <c r="F90" s="9" t="n">
        <v>652566</v>
      </c>
      <c r="G90" s="9" t="n">
        <v>9417311</v>
      </c>
      <c r="H90" s="10" t="n">
        <v>102.34</v>
      </c>
    </row>
    <row r="91" ht="15" customHeight="1" s="17">
      <c r="A91" s="8" t="inlineStr">
        <is>
          <t>24</t>
        </is>
      </c>
      <c r="B91" s="8" t="inlineStr">
        <is>
          <t>C1081-Q9583</t>
        </is>
      </c>
      <c r="C91" s="8" t="inlineStr">
        <is>
          <t>Huancabamba</t>
        </is>
      </c>
      <c r="D91" s="8" t="inlineStr">
        <is>
          <t>Canchaque</t>
        </is>
      </c>
      <c r="E91" s="8" t="inlineStr">
        <is>
          <t>Z11</t>
        </is>
      </c>
      <c r="F91" s="9" t="n">
        <v>652191</v>
      </c>
      <c r="G91" s="9" t="n">
        <v>9414358</v>
      </c>
      <c r="H91" s="10" t="n">
        <v>90.16</v>
      </c>
    </row>
    <row r="92" ht="15" customHeight="1" s="17">
      <c r="A92" s="8" t="inlineStr">
        <is>
          <t>63</t>
        </is>
      </c>
      <c r="B92" s="8" t="inlineStr">
        <is>
          <t>C1081-Q9583</t>
        </is>
      </c>
      <c r="C92" s="8" t="inlineStr">
        <is>
          <t>Huancabamba</t>
        </is>
      </c>
      <c r="D92" s="8" t="inlineStr">
        <is>
          <t>Canchaque</t>
        </is>
      </c>
      <c r="E92" s="8" t="inlineStr">
        <is>
          <t>Z11</t>
        </is>
      </c>
      <c r="F92" s="9" t="n">
        <v>655059</v>
      </c>
      <c r="G92" s="9" t="n">
        <v>9413845</v>
      </c>
      <c r="H92" s="10" t="n">
        <v>50.46</v>
      </c>
    </row>
    <row r="93" ht="15" customHeight="1" s="17">
      <c r="A93" s="8" t="inlineStr">
        <is>
          <t>79</t>
        </is>
      </c>
      <c r="B93" s="8" t="inlineStr">
        <is>
          <t>C1076-Q9587</t>
        </is>
      </c>
      <c r="C93" s="8" t="inlineStr">
        <is>
          <t>Huancabamba</t>
        </is>
      </c>
      <c r="D93" s="8" t="inlineStr">
        <is>
          <t>Canchaque</t>
        </is>
      </c>
      <c r="E93" s="8" t="inlineStr">
        <is>
          <t>Z11</t>
        </is>
      </c>
      <c r="F93" s="9" t="n">
        <v>650305</v>
      </c>
      <c r="G93" s="9" t="n">
        <v>9402785</v>
      </c>
      <c r="H93" s="10" t="n">
        <v>94.81</v>
      </c>
    </row>
    <row r="94" ht="15" customHeight="1" s="17">
      <c r="A94" s="8" t="inlineStr">
        <is>
          <t>81</t>
        </is>
      </c>
      <c r="B94" s="8" t="inlineStr">
        <is>
          <t>C1076-Q9585</t>
        </is>
      </c>
      <c r="C94" s="8" t="inlineStr">
        <is>
          <t>Huancabamba</t>
        </is>
      </c>
      <c r="D94" s="8" t="inlineStr">
        <is>
          <t>Canchaque</t>
        </is>
      </c>
      <c r="E94" s="8" t="inlineStr">
        <is>
          <t>Z11</t>
        </is>
      </c>
      <c r="F94" s="9" t="n">
        <v>641538</v>
      </c>
      <c r="G94" s="9" t="n">
        <v>9401360</v>
      </c>
      <c r="H94" s="10" t="n">
        <v>8.93</v>
      </c>
    </row>
    <row r="95" ht="15" customHeight="1" s="17">
      <c r="A95" s="8" t="inlineStr">
        <is>
          <t>M22B1</t>
        </is>
      </c>
      <c r="B95" s="8" t="inlineStr">
        <is>
          <t>C1076-Q9586</t>
        </is>
      </c>
      <c r="C95" s="8" t="inlineStr">
        <is>
          <t>Huancabamba</t>
        </is>
      </c>
      <c r="D95" s="8" t="inlineStr">
        <is>
          <t>San Miguel de El Faique</t>
        </is>
      </c>
      <c r="E95" s="8" t="inlineStr">
        <is>
          <t>Z12</t>
        </is>
      </c>
      <c r="F95" s="9" t="n">
        <v>664082</v>
      </c>
      <c r="G95" s="9" t="n">
        <v>9404172</v>
      </c>
      <c r="H95" s="10" t="n">
        <v>55.17</v>
      </c>
    </row>
    <row r="96" ht="15" customHeight="1" s="17">
      <c r="A96" s="8" t="inlineStr">
        <is>
          <t>44</t>
        </is>
      </c>
      <c r="B96" s="8" t="inlineStr">
        <is>
          <t>C1076-Q9586</t>
        </is>
      </c>
      <c r="C96" s="8" t="inlineStr">
        <is>
          <t>Huancabamba</t>
        </is>
      </c>
      <c r="D96" s="8" t="inlineStr">
        <is>
          <t>San Miguel de El Faique</t>
        </is>
      </c>
      <c r="E96" s="8" t="inlineStr">
        <is>
          <t>Z12</t>
        </is>
      </c>
      <c r="F96" s="9" t="n">
        <v>663637</v>
      </c>
      <c r="G96" s="9" t="n">
        <v>9400618</v>
      </c>
      <c r="H96" s="10" t="n">
        <v>28.23</v>
      </c>
    </row>
    <row r="97" ht="15" customHeight="1" s="17">
      <c r="A97" s="8" t="inlineStr">
        <is>
          <t>47</t>
        </is>
      </c>
      <c r="B97" s="8" t="inlineStr">
        <is>
          <t>C1076-Q9586</t>
        </is>
      </c>
      <c r="C97" s="8" t="inlineStr">
        <is>
          <t>Huancabamba</t>
        </is>
      </c>
      <c r="D97" s="8" t="inlineStr">
        <is>
          <t>San Miguel de El Faique</t>
        </is>
      </c>
      <c r="E97" s="8" t="inlineStr">
        <is>
          <t>Z12</t>
        </is>
      </c>
      <c r="F97" s="9" t="n">
        <v>659649</v>
      </c>
      <c r="G97" s="9" t="n">
        <v>9401436</v>
      </c>
      <c r="H97" s="10" t="n">
        <v>13.55</v>
      </c>
    </row>
    <row r="98" ht="15" customHeight="1" s="17">
      <c r="A98" s="8" t="inlineStr">
        <is>
          <t>75</t>
        </is>
      </c>
      <c r="B98" s="8" t="inlineStr">
        <is>
          <t>C1076-Q9587</t>
        </is>
      </c>
      <c r="C98" s="8" t="inlineStr">
        <is>
          <t>Huancabamba</t>
        </is>
      </c>
      <c r="D98" s="8" t="inlineStr">
        <is>
          <t>San Miguel de El Faique</t>
        </is>
      </c>
      <c r="E98" s="8" t="inlineStr">
        <is>
          <t>Z12</t>
        </is>
      </c>
      <c r="F98" s="9" t="n">
        <v>657722</v>
      </c>
      <c r="G98" s="9" t="n">
        <v>9401669</v>
      </c>
      <c r="H98" s="10" t="n">
        <v>15.18</v>
      </c>
    </row>
    <row r="99" ht="15" customHeight="1" s="17">
      <c r="A99" s="8" t="inlineStr">
        <is>
          <t>9</t>
        </is>
      </c>
      <c r="B99" s="8" t="inlineStr">
        <is>
          <t>C1076-Q9586</t>
        </is>
      </c>
      <c r="C99" s="8" t="inlineStr">
        <is>
          <t>Huancabamba</t>
        </is>
      </c>
      <c r="D99" s="8" t="inlineStr">
        <is>
          <t>San Miguel de El Faique</t>
        </is>
      </c>
      <c r="E99" s="8" t="inlineStr">
        <is>
          <t>Z12</t>
        </is>
      </c>
      <c r="F99" s="9" t="n">
        <v>656578</v>
      </c>
      <c r="G99" s="9" t="n">
        <v>9397762</v>
      </c>
      <c r="H99" s="10" t="n">
        <v>109.86</v>
      </c>
    </row>
    <row r="100" ht="15" customHeight="1" s="17">
      <c r="A100" s="8" t="inlineStr">
        <is>
          <t>43</t>
        </is>
      </c>
      <c r="B100" s="8" t="inlineStr">
        <is>
          <t>C1076-Q9586</t>
        </is>
      </c>
      <c r="C100" s="8" t="inlineStr">
        <is>
          <t>Huancabamba</t>
        </is>
      </c>
      <c r="D100" s="8" t="inlineStr">
        <is>
          <t>San Miguel de El Faique</t>
        </is>
      </c>
      <c r="E100" s="8" t="inlineStr">
        <is>
          <t>Z12</t>
        </is>
      </c>
      <c r="F100" s="9" t="n">
        <v>656489</v>
      </c>
      <c r="G100" s="9" t="n">
        <v>9395403</v>
      </c>
      <c r="H100" s="10" t="n">
        <v>23.17</v>
      </c>
    </row>
    <row r="101" ht="15" customHeight="1" s="17">
      <c r="A101" s="8" t="inlineStr">
        <is>
          <t>35</t>
        </is>
      </c>
      <c r="B101" s="8" t="inlineStr">
        <is>
          <t>C1076-Q9586</t>
        </is>
      </c>
      <c r="C101" s="8" t="inlineStr">
        <is>
          <t>Huancabamba</t>
        </is>
      </c>
      <c r="D101" s="8" t="inlineStr">
        <is>
          <t>San Miguel de El Faique</t>
        </is>
      </c>
      <c r="E101" s="8" t="inlineStr">
        <is>
          <t>Z12</t>
        </is>
      </c>
      <c r="F101" s="9" t="n">
        <v>654607</v>
      </c>
      <c r="G101" s="9" t="n">
        <v>9395038</v>
      </c>
      <c r="H101" s="10" t="n">
        <v>30.8</v>
      </c>
    </row>
    <row r="102" ht="15" customHeight="1" s="17">
      <c r="A102" s="8" t="inlineStr">
        <is>
          <t>67</t>
        </is>
      </c>
      <c r="B102" s="8" t="inlineStr">
        <is>
          <t>C1076-Q9586</t>
        </is>
      </c>
      <c r="C102" s="8" t="inlineStr">
        <is>
          <t>Huancabamba</t>
        </is>
      </c>
      <c r="D102" s="8" t="inlineStr">
        <is>
          <t>San Miguel de El Faique</t>
        </is>
      </c>
      <c r="E102" s="8" t="inlineStr">
        <is>
          <t>Z12</t>
        </is>
      </c>
      <c r="F102" s="9" t="n">
        <v>654207</v>
      </c>
      <c r="G102" s="9" t="n">
        <v>9394210</v>
      </c>
      <c r="H102" s="10" t="n">
        <v>13.18</v>
      </c>
    </row>
    <row r="103" ht="15" customHeight="1" s="17">
      <c r="A103" s="8" t="inlineStr">
        <is>
          <t>M20B1</t>
        </is>
      </c>
      <c r="B103" s="8" t="inlineStr">
        <is>
          <t>C1076-Q9585</t>
        </is>
      </c>
      <c r="C103" s="8" t="inlineStr">
        <is>
          <t>Huancabamba</t>
        </is>
      </c>
      <c r="D103" s="8" t="inlineStr">
        <is>
          <t>San Miguel de El Faique</t>
        </is>
      </c>
      <c r="E103" s="8" t="inlineStr">
        <is>
          <t>Z12</t>
        </is>
      </c>
      <c r="F103" s="9" t="n">
        <v>641196</v>
      </c>
      <c r="G103" s="9" t="n">
        <v>9398710</v>
      </c>
      <c r="H103" s="10" t="n">
        <v>279.68</v>
      </c>
    </row>
    <row r="104" ht="15" customHeight="1" s="17">
      <c r="A104" s="8" t="inlineStr">
        <is>
          <t>M2B8</t>
        </is>
      </c>
      <c r="B104" s="8" t="inlineStr">
        <is>
          <t>C1076-Q9584</t>
        </is>
      </c>
      <c r="C104" s="8" t="inlineStr">
        <is>
          <t>Huancabamba</t>
        </is>
      </c>
      <c r="D104" s="8" t="inlineStr">
        <is>
          <t>San Miguel de El Faique</t>
        </is>
      </c>
      <c r="E104" s="8" t="inlineStr">
        <is>
          <t>Z12</t>
        </is>
      </c>
      <c r="F104" s="9" t="n">
        <v>639059</v>
      </c>
      <c r="G104" s="9" t="n">
        <v>9398295</v>
      </c>
      <c r="H104" s="10" t="n">
        <v>116.1</v>
      </c>
    </row>
    <row r="105" ht="15" customHeight="1" s="17">
      <c r="A105" s="8" t="inlineStr">
        <is>
          <t>29</t>
        </is>
      </c>
      <c r="B105" s="8" t="inlineStr">
        <is>
          <t>C1076-Q9592</t>
        </is>
      </c>
      <c r="C105" s="8" t="inlineStr">
        <is>
          <t>Huancabamba</t>
        </is>
      </c>
      <c r="D105" s="8" t="inlineStr">
        <is>
          <t>Huarmaca</t>
        </is>
      </c>
      <c r="E105" s="8" t="inlineStr">
        <is>
          <t>Z13</t>
        </is>
      </c>
      <c r="F105" s="9" t="n">
        <v>662123</v>
      </c>
      <c r="G105" s="9" t="n">
        <v>9397575</v>
      </c>
      <c r="H105" s="10" t="n">
        <v>40.1</v>
      </c>
    </row>
    <row r="106" ht="15" customHeight="1" s="17">
      <c r="A106" s="8" t="inlineStr">
        <is>
          <t>68</t>
        </is>
      </c>
      <c r="B106" s="8" t="inlineStr">
        <is>
          <t>C1076-Q9592</t>
        </is>
      </c>
      <c r="C106" s="8" t="inlineStr">
        <is>
          <t>Huancabamba</t>
        </is>
      </c>
      <c r="D106" s="8" t="inlineStr">
        <is>
          <t>Huarmaca</t>
        </is>
      </c>
      <c r="E106" s="8" t="inlineStr">
        <is>
          <t>Z13</t>
        </is>
      </c>
      <c r="F106" s="9" t="n">
        <v>664225</v>
      </c>
      <c r="G106" s="9" t="n">
        <v>9396339</v>
      </c>
      <c r="H106" s="10" t="n">
        <v>21.29</v>
      </c>
    </row>
    <row r="107" ht="15" customHeight="1" s="17">
      <c r="A107" s="8" t="inlineStr">
        <is>
          <t>53</t>
        </is>
      </c>
      <c r="B107" s="8" t="inlineStr">
        <is>
          <t>C1076-Q9592</t>
        </is>
      </c>
      <c r="C107" s="8" t="inlineStr">
        <is>
          <t>Huancabamba</t>
        </is>
      </c>
      <c r="D107" s="8" t="inlineStr">
        <is>
          <t>Huarmaca</t>
        </is>
      </c>
      <c r="E107" s="8" t="inlineStr">
        <is>
          <t>Z13</t>
        </is>
      </c>
      <c r="F107" s="9" t="n">
        <v>666537</v>
      </c>
      <c r="G107" s="9" t="n">
        <v>9395918</v>
      </c>
      <c r="H107" s="10" t="n">
        <v>13.06</v>
      </c>
    </row>
    <row r="108" ht="15" customHeight="1" s="17">
      <c r="A108" s="8" t="inlineStr">
        <is>
          <t>70</t>
        </is>
      </c>
      <c r="B108" s="8" t="inlineStr">
        <is>
          <t>C1076-Q9592</t>
        </is>
      </c>
      <c r="C108" s="8" t="inlineStr">
        <is>
          <t>Huancabamba</t>
        </is>
      </c>
      <c r="D108" s="8" t="inlineStr">
        <is>
          <t>Huarmaca</t>
        </is>
      </c>
      <c r="E108" s="8" t="inlineStr">
        <is>
          <t>Z13</t>
        </is>
      </c>
      <c r="F108" s="9" t="n">
        <v>666781</v>
      </c>
      <c r="G108" s="9" t="n">
        <v>9395573</v>
      </c>
      <c r="H108" s="10" t="n">
        <v>22.39</v>
      </c>
    </row>
    <row r="109" ht="15" customHeight="1" s="17">
      <c r="A109" s="8" t="inlineStr">
        <is>
          <t>31</t>
        </is>
      </c>
      <c r="B109" s="8" t="inlineStr">
        <is>
          <t>C1076-Q9592</t>
        </is>
      </c>
      <c r="C109" s="8" t="inlineStr">
        <is>
          <t>Huancabamba</t>
        </is>
      </c>
      <c r="D109" s="8" t="inlineStr">
        <is>
          <t>Huarmaca</t>
        </is>
      </c>
      <c r="E109" s="8" t="inlineStr">
        <is>
          <t>Z13</t>
        </is>
      </c>
      <c r="F109" s="9" t="n">
        <v>663334</v>
      </c>
      <c r="G109" s="9" t="n">
        <v>9392820</v>
      </c>
      <c r="H109" s="10" t="n">
        <v>47.58</v>
      </c>
    </row>
    <row r="110" ht="15" customHeight="1" s="17">
      <c r="A110" s="8" t="inlineStr">
        <is>
          <t>69</t>
        </is>
      </c>
      <c r="B110" s="8" t="inlineStr">
        <is>
          <t>C1076-Q9592</t>
        </is>
      </c>
      <c r="C110" s="8" t="inlineStr">
        <is>
          <t>Huancabamba</t>
        </is>
      </c>
      <c r="D110" s="8" t="inlineStr">
        <is>
          <t>Huarmaca</t>
        </is>
      </c>
      <c r="E110" s="8" t="inlineStr">
        <is>
          <t>Z13</t>
        </is>
      </c>
      <c r="F110" s="9" t="n">
        <v>663291</v>
      </c>
      <c r="G110" s="9" t="n">
        <v>9392332</v>
      </c>
      <c r="H110" s="10" t="n">
        <v>19.43</v>
      </c>
    </row>
    <row r="111" ht="15" customHeight="1" s="17">
      <c r="A111" s="8" t="inlineStr">
        <is>
          <t>72</t>
        </is>
      </c>
      <c r="B111" s="8" t="inlineStr">
        <is>
          <t>C1076-Q9592</t>
        </is>
      </c>
      <c r="C111" s="8" t="inlineStr">
        <is>
          <t>Huancabamba</t>
        </is>
      </c>
      <c r="D111" s="8" t="inlineStr">
        <is>
          <t>Huarmaca</t>
        </is>
      </c>
      <c r="E111" s="8" t="inlineStr">
        <is>
          <t>Z13</t>
        </is>
      </c>
      <c r="F111" s="9" t="n">
        <v>662236</v>
      </c>
      <c r="G111" s="9" t="n">
        <v>9391211</v>
      </c>
      <c r="H111" s="10" t="n">
        <v>12.4</v>
      </c>
    </row>
    <row r="112" ht="15" customHeight="1" s="17">
      <c r="A112" s="8" t="inlineStr">
        <is>
          <t>41</t>
        </is>
      </c>
      <c r="B112" s="8" t="inlineStr">
        <is>
          <t>C1076-Q9592</t>
        </is>
      </c>
      <c r="C112" s="8" t="inlineStr">
        <is>
          <t>Huancabamba</t>
        </is>
      </c>
      <c r="D112" s="8" t="inlineStr">
        <is>
          <t>Huarmaca</t>
        </is>
      </c>
      <c r="E112" s="8" t="inlineStr">
        <is>
          <t>Z13</t>
        </is>
      </c>
      <c r="F112" s="9" t="n">
        <v>660525</v>
      </c>
      <c r="G112" s="9" t="n">
        <v>9394327</v>
      </c>
      <c r="H112" s="10" t="n">
        <v>64.92</v>
      </c>
    </row>
    <row r="113" ht="15" customHeight="1" s="17">
      <c r="A113" s="8" t="inlineStr">
        <is>
          <t>73</t>
        </is>
      </c>
      <c r="B113" s="8" t="inlineStr">
        <is>
          <t>C1076-Q9592</t>
        </is>
      </c>
      <c r="C113" s="8" t="inlineStr">
        <is>
          <t>Huancabamba</t>
        </is>
      </c>
      <c r="D113" s="8" t="inlineStr">
        <is>
          <t>Huarmaca</t>
        </is>
      </c>
      <c r="E113" s="8" t="inlineStr">
        <is>
          <t>Z13</t>
        </is>
      </c>
      <c r="F113" s="9" t="n">
        <v>658547</v>
      </c>
      <c r="G113" s="9" t="n">
        <v>9395594</v>
      </c>
      <c r="H113" s="10" t="n">
        <v>54.29</v>
      </c>
    </row>
    <row r="114" ht="15" customHeight="1" s="17">
      <c r="A114" s="8" t="inlineStr">
        <is>
          <t>18</t>
        </is>
      </c>
      <c r="B114" s="8" t="inlineStr">
        <is>
          <t>C1076-Q9592</t>
        </is>
      </c>
      <c r="C114" s="8" t="inlineStr">
        <is>
          <t>Huancabamba</t>
        </is>
      </c>
      <c r="D114" s="8" t="inlineStr">
        <is>
          <t>Huarmaca</t>
        </is>
      </c>
      <c r="E114" s="8" t="inlineStr">
        <is>
          <t>Z13</t>
        </is>
      </c>
      <c r="F114" s="9" t="n">
        <v>656445</v>
      </c>
      <c r="G114" s="9" t="n">
        <v>9393180</v>
      </c>
      <c r="H114" s="10" t="n">
        <v>103.62</v>
      </c>
    </row>
    <row r="115" ht="15" customHeight="1" s="17">
      <c r="A115" s="8" t="inlineStr">
        <is>
          <t>74</t>
        </is>
      </c>
      <c r="B115" s="8" t="inlineStr">
        <is>
          <t>C1076-Q9588</t>
        </is>
      </c>
      <c r="C115" s="8" t="inlineStr">
        <is>
          <t>Huancabamba</t>
        </is>
      </c>
      <c r="D115" s="8" t="inlineStr">
        <is>
          <t>Huarmaca</t>
        </is>
      </c>
      <c r="E115" s="8" t="inlineStr">
        <is>
          <t>Z13</t>
        </is>
      </c>
      <c r="F115" s="9" t="n">
        <v>652449</v>
      </c>
      <c r="G115" s="9" t="n">
        <v>9389179</v>
      </c>
      <c r="H115" s="10" t="n">
        <v>29.23</v>
      </c>
    </row>
    <row r="116" ht="15" customHeight="1" s="17">
      <c r="A116" s="8" t="inlineStr">
        <is>
          <t>M12B1</t>
        </is>
      </c>
      <c r="B116" s="8" t="inlineStr">
        <is>
          <t>C1076-Q9588</t>
        </is>
      </c>
      <c r="C116" s="8" t="inlineStr">
        <is>
          <t>Huancabamba</t>
        </is>
      </c>
      <c r="D116" s="8" t="inlineStr">
        <is>
          <t>Huarmaca</t>
        </is>
      </c>
      <c r="E116" s="8" t="inlineStr">
        <is>
          <t>Z13</t>
        </is>
      </c>
      <c r="F116" s="9" t="n">
        <v>644546</v>
      </c>
      <c r="G116" s="9" t="n">
        <v>9389106</v>
      </c>
      <c r="H116" s="10" t="n">
        <v>268.39</v>
      </c>
    </row>
    <row r="117" ht="15" customHeight="1" s="17">
      <c r="A117" s="8" t="inlineStr">
        <is>
          <t>19</t>
        </is>
      </c>
      <c r="B117" s="8" t="inlineStr">
        <is>
          <t>C1076-Q9592</t>
        </is>
      </c>
      <c r="C117" s="8" t="inlineStr">
        <is>
          <t>Huancabamba</t>
        </is>
      </c>
      <c r="D117" s="8" t="inlineStr">
        <is>
          <t>Huarmaca</t>
        </is>
      </c>
      <c r="E117" s="8" t="inlineStr">
        <is>
          <t>Z13</t>
        </is>
      </c>
      <c r="F117" s="9" t="n">
        <v>665942</v>
      </c>
      <c r="G117" s="9" t="n">
        <v>9391144</v>
      </c>
      <c r="H117" s="10" t="n">
        <v>82.09</v>
      </c>
    </row>
    <row r="118" ht="15" customHeight="1" s="17">
      <c r="A118" s="8" t="inlineStr">
        <is>
          <t>M4B4</t>
        </is>
      </c>
      <c r="B118" s="8" t="inlineStr">
        <is>
          <t>C1076-Q9589</t>
        </is>
      </c>
      <c r="C118" s="8" t="inlineStr">
        <is>
          <t>Huancabamba</t>
        </is>
      </c>
      <c r="D118" s="8" t="inlineStr">
        <is>
          <t>Huarmaca</t>
        </is>
      </c>
      <c r="E118" s="8" t="inlineStr">
        <is>
          <t>Z14</t>
        </is>
      </c>
      <c r="F118" s="9" t="n">
        <v>642775</v>
      </c>
      <c r="G118" s="9" t="n">
        <v>9388574</v>
      </c>
      <c r="H118" s="10" t="n">
        <v>289.91</v>
      </c>
    </row>
    <row r="119" ht="15" customHeight="1" s="17">
      <c r="A119" s="8" t="inlineStr">
        <is>
          <t>M4B3</t>
        </is>
      </c>
      <c r="B119" s="8" t="inlineStr">
        <is>
          <t>C1076-Q9589</t>
        </is>
      </c>
      <c r="C119" s="8" t="inlineStr">
        <is>
          <t>Huancabamba</t>
        </is>
      </c>
      <c r="D119" s="8" t="inlineStr">
        <is>
          <t>Huarmaca</t>
        </is>
      </c>
      <c r="E119" s="8" t="inlineStr">
        <is>
          <t>Z14</t>
        </is>
      </c>
      <c r="F119" s="9" t="n">
        <v>643474</v>
      </c>
      <c r="G119" s="9" t="n">
        <v>9385620</v>
      </c>
      <c r="H119" s="10" t="n">
        <v>234.07</v>
      </c>
    </row>
    <row r="120" ht="15" customHeight="1" s="17">
      <c r="A120" s="8" t="inlineStr">
        <is>
          <t>10</t>
        </is>
      </c>
      <c r="B120" s="8" t="inlineStr">
        <is>
          <t>C1076-Q9593</t>
        </is>
      </c>
      <c r="C120" s="8" t="inlineStr">
        <is>
          <t>Huancabamba</t>
        </is>
      </c>
      <c r="D120" s="8" t="inlineStr">
        <is>
          <t>Huarmaca</t>
        </is>
      </c>
      <c r="E120" s="8" t="inlineStr">
        <is>
          <t>Z14</t>
        </is>
      </c>
      <c r="F120" s="9" t="n">
        <v>650830</v>
      </c>
      <c r="G120" s="9" t="n">
        <v>9382303</v>
      </c>
      <c r="H120" s="10" t="n">
        <v>150.21</v>
      </c>
    </row>
    <row r="121" ht="15" customHeight="1" s="17">
      <c r="A121" s="8" t="inlineStr">
        <is>
          <t>16</t>
        </is>
      </c>
      <c r="B121" s="8" t="inlineStr">
        <is>
          <t>C1076-Q9593</t>
        </is>
      </c>
      <c r="C121" s="8" t="inlineStr">
        <is>
          <t>Huancabamba</t>
        </is>
      </c>
      <c r="D121" s="8" t="inlineStr">
        <is>
          <t>Huarmaca</t>
        </is>
      </c>
      <c r="E121" s="8" t="inlineStr">
        <is>
          <t>Z14</t>
        </is>
      </c>
      <c r="F121" s="9" t="n">
        <v>652939</v>
      </c>
      <c r="G121" s="9" t="n">
        <v>9382105</v>
      </c>
      <c r="H121" s="10" t="n">
        <v>83.33</v>
      </c>
    </row>
    <row r="122" ht="15" customHeight="1" s="17">
      <c r="A122" s="8" t="inlineStr">
        <is>
          <t>4</t>
        </is>
      </c>
      <c r="B122" s="8" t="inlineStr">
        <is>
          <t>C1076-Q9588</t>
        </is>
      </c>
      <c r="C122" s="8" t="inlineStr">
        <is>
          <t>Huancabamba</t>
        </is>
      </c>
      <c r="D122" s="8" t="inlineStr">
        <is>
          <t>Huarmaca</t>
        </is>
      </c>
      <c r="E122" s="8" t="inlineStr">
        <is>
          <t>Z14</t>
        </is>
      </c>
      <c r="F122" s="9" t="n">
        <v>656549</v>
      </c>
      <c r="G122" s="9" t="n">
        <v>9382009</v>
      </c>
      <c r="H122" s="10" t="n">
        <v>230.1</v>
      </c>
    </row>
    <row r="123" ht="15" customHeight="1" s="17">
      <c r="A123" s="8" t="inlineStr">
        <is>
          <t>51</t>
        </is>
      </c>
      <c r="B123" s="8" t="inlineStr">
        <is>
          <t>C1076-Q9593</t>
        </is>
      </c>
      <c r="C123" s="8" t="inlineStr">
        <is>
          <t>Huancabamba</t>
        </is>
      </c>
      <c r="D123" s="8" t="inlineStr">
        <is>
          <t>Huarmaca</t>
        </is>
      </c>
      <c r="E123" s="8" t="inlineStr">
        <is>
          <t>Z14</t>
        </is>
      </c>
      <c r="F123" s="9" t="n">
        <v>656291</v>
      </c>
      <c r="G123" s="9" t="n">
        <v>9379096</v>
      </c>
      <c r="H123" s="10" t="n">
        <v>22.93</v>
      </c>
    </row>
    <row r="124" ht="15" customHeight="1" s="17">
      <c r="A124" s="8" t="inlineStr">
        <is>
          <t>76</t>
        </is>
      </c>
      <c r="B124" s="8" t="inlineStr">
        <is>
          <t>C1076-Q9593</t>
        </is>
      </c>
      <c r="C124" s="8" t="inlineStr">
        <is>
          <t>Huancabamba</t>
        </is>
      </c>
      <c r="D124" s="8" t="inlineStr">
        <is>
          <t>Huarmaca</t>
        </is>
      </c>
      <c r="E124" s="8" t="inlineStr">
        <is>
          <t>Z14</t>
        </is>
      </c>
      <c r="F124" s="9" t="n">
        <v>657922</v>
      </c>
      <c r="G124" s="9" t="n">
        <v>9377477</v>
      </c>
      <c r="H124" s="10" t="n">
        <v>19.62</v>
      </c>
    </row>
    <row r="125" ht="15" customHeight="1" s="17">
      <c r="A125" s="8" t="inlineStr">
        <is>
          <t>80</t>
        </is>
      </c>
      <c r="B125" s="8" t="inlineStr">
        <is>
          <t>C1076-Q9593</t>
        </is>
      </c>
      <c r="C125" s="8" t="inlineStr">
        <is>
          <t>Huancabamba</t>
        </is>
      </c>
      <c r="D125" s="8" t="inlineStr">
        <is>
          <t>Huarmaca</t>
        </is>
      </c>
      <c r="E125" s="8" t="inlineStr">
        <is>
          <t>Z14</t>
        </is>
      </c>
      <c r="F125" s="9" t="n">
        <v>657160</v>
      </c>
      <c r="G125" s="9" t="n">
        <v>9373050</v>
      </c>
      <c r="H125" s="10" t="n">
        <v>28.83</v>
      </c>
    </row>
    <row r="126" ht="15" customHeight="1" s="17">
      <c r="A126" s="8" t="inlineStr">
        <is>
          <t>71</t>
        </is>
      </c>
      <c r="B126" s="8" t="inlineStr">
        <is>
          <t>C1076-Q9593</t>
        </is>
      </c>
      <c r="C126" s="8" t="inlineStr">
        <is>
          <t>Huancabamba</t>
        </is>
      </c>
      <c r="D126" s="8" t="inlineStr">
        <is>
          <t>Huarmaca</t>
        </is>
      </c>
      <c r="E126" s="8" t="inlineStr">
        <is>
          <t>Z14</t>
        </is>
      </c>
      <c r="F126" s="9" t="n">
        <v>652104</v>
      </c>
      <c r="G126" s="9" t="n">
        <v>9373045</v>
      </c>
      <c r="H126" s="10" t="n">
        <v>10.67</v>
      </c>
    </row>
    <row r="127" ht="15" customHeight="1" s="17">
      <c r="A127" s="8" t="inlineStr">
        <is>
          <t>8</t>
        </is>
      </c>
      <c r="B127" s="8" t="inlineStr">
        <is>
          <t>C1076-Q9593</t>
        </is>
      </c>
      <c r="C127" s="8" t="inlineStr">
        <is>
          <t>Huancabamba</t>
        </is>
      </c>
      <c r="D127" s="8" t="inlineStr">
        <is>
          <t>Huarmaca</t>
        </is>
      </c>
      <c r="E127" s="8" t="inlineStr">
        <is>
          <t>Z14</t>
        </is>
      </c>
      <c r="F127" s="9" t="n">
        <v>651673</v>
      </c>
      <c r="G127" s="9" t="n">
        <v>9373383</v>
      </c>
      <c r="H127" s="10" t="n">
        <v>126.95</v>
      </c>
    </row>
    <row r="128" ht="15" customHeight="1" s="17">
      <c r="A128" s="8" t="inlineStr">
        <is>
          <t>20</t>
        </is>
      </c>
      <c r="B128" s="8" t="inlineStr">
        <is>
          <t>C1076-Q9593</t>
        </is>
      </c>
      <c r="C128" s="8" t="inlineStr">
        <is>
          <t>Huancabamba</t>
        </is>
      </c>
      <c r="D128" s="8" t="inlineStr">
        <is>
          <t>Huarmaca</t>
        </is>
      </c>
      <c r="E128" s="8" t="inlineStr">
        <is>
          <t>Z14</t>
        </is>
      </c>
      <c r="F128" s="9" t="n">
        <v>649847</v>
      </c>
      <c r="G128" s="9" t="n">
        <v>9376260</v>
      </c>
      <c r="H128" s="10" t="n">
        <v>81.33</v>
      </c>
    </row>
  </sheetData>
  <pageMargins left="0.75" right="0.75" top="1" bottom="1" header="0.511811023622047" footer="0.511811023622047"/>
  <pageSetup orientation="landscape" paperSize="9" fitToHeight="0" horizontalDpi="300" verticalDpi="300"/>
</worksheet>
</file>

<file path=xl/worksheets/sheet8.xml><?xml version="1.0" encoding="utf-8"?>
<worksheet xmlns="http://schemas.openxmlformats.org/spreadsheetml/2006/main">
  <sheetPr>
    <outlinePr summaryBelow="1" summaryRight="1"/>
    <pageSetUpPr fitToPage="1"/>
  </sheetPr>
  <dimension ref="A1:AK16"/>
  <sheetViews>
    <sheetView zoomScaleNormal="100" workbookViewId="0">
      <pane ySplit="3" topLeftCell="A4" activePane="bottomLeft" state="frozen"/>
      <selection pane="bottomLeft" activeCell="A1" sqref="A1"/>
    </sheetView>
  </sheetViews>
  <sheetFormatPr baseColWidth="10" defaultColWidth="8.6640625" defaultRowHeight="14.4"/>
  <cols>
    <col width="22" customWidth="1" style="17" min="1" max="1"/>
    <col width="29" customWidth="1" style="17" min="2" max="2"/>
    <col width="22" customWidth="1" style="17" min="3" max="4"/>
    <col width="29" customWidth="1" style="17" min="5" max="5"/>
    <col width="31" customWidth="1" style="17" min="6" max="7"/>
    <col width="29" customWidth="1" style="17" min="8" max="8"/>
    <col width="38" customWidth="1" style="17" min="9" max="9"/>
    <col width="22" customWidth="1" style="17" min="10" max="11"/>
    <col width="53" customWidth="1" style="17" min="12" max="12"/>
    <col width="40" customWidth="1" style="17" min="13" max="13"/>
    <col width="31" customWidth="1" style="17" min="14" max="14"/>
    <col width="27" customWidth="1" style="17" min="15" max="15"/>
    <col width="22" customWidth="1" style="17" min="16" max="16"/>
    <col width="28" customWidth="1" style="17" min="17" max="17"/>
    <col width="22" customWidth="1" style="17" min="18" max="18"/>
    <col width="28" customWidth="1" style="17" min="19" max="19"/>
    <col width="22" customWidth="1" style="17" min="20" max="21"/>
    <col width="30" customWidth="1" style="17" min="22" max="22"/>
    <col width="34" customWidth="1" style="17" min="23" max="23"/>
    <col width="22" customWidth="1" style="17" min="24" max="26"/>
    <col width="25" customWidth="1" style="17" min="27" max="27"/>
    <col width="26" customWidth="1" style="17" min="28" max="28"/>
    <col width="22" customWidth="1" style="17" min="29" max="29"/>
    <col width="47" customWidth="1" style="17" min="30" max="30"/>
    <col width="33" customWidth="1" style="17" min="31" max="31"/>
    <col width="25" customWidth="1" style="17" min="32" max="32"/>
    <col width="22" customWidth="1" style="17" min="33" max="37"/>
  </cols>
  <sheetData>
    <row r="1" ht="15" customHeight="1" s="17">
      <c r="A1" s="34" t="inlineStr">
        <is>
          <t>Listas de opciones para validación de datos — IN Piura | Cada columna es un rango nombrado.</t>
        </is>
      </c>
    </row>
    <row r="3" ht="15" customHeight="1" s="17">
      <c r="A3" s="2" t="inlineStr">
        <is>
          <t>lst_FormaTerreno</t>
        </is>
      </c>
      <c r="B3" s="2" t="inlineStr">
        <is>
          <t>lst_RangoPendiente</t>
        </is>
      </c>
      <c r="C3" s="2" t="inlineStr">
        <is>
          <t>lst_PosicionFisio</t>
        </is>
      </c>
      <c r="D3" s="2" t="inlineStr">
        <is>
          <t>lst_Exposicion</t>
        </is>
      </c>
      <c r="E3" s="2" t="inlineStr">
        <is>
          <t>lst_RangoAltitud</t>
        </is>
      </c>
      <c r="F3" s="2" t="inlineStr">
        <is>
          <t>lst_NivelErosion</t>
        </is>
      </c>
      <c r="G3" s="2" t="inlineStr">
        <is>
          <t>lst_TipoCarcava</t>
        </is>
      </c>
      <c r="H3" s="2" t="inlineStr">
        <is>
          <t>lst_EstadoCarcava</t>
        </is>
      </c>
      <c r="I3" s="2" t="inlineStr">
        <is>
          <t>lst_CausaCarcava</t>
        </is>
      </c>
      <c r="J3" s="2" t="inlineStr">
        <is>
          <t>lst_PatronCarcavas</t>
        </is>
      </c>
      <c r="K3" s="2" t="inlineStr">
        <is>
          <t>lst_Urgencia</t>
        </is>
      </c>
      <c r="L3" s="2" t="inlineStr">
        <is>
          <t>lst_TipoEcosistema</t>
        </is>
      </c>
      <c r="M3" s="2" t="inlineStr">
        <is>
          <t>lst_EstadoConservacion</t>
        </is>
      </c>
      <c r="N3" s="2" t="inlineStr">
        <is>
          <t>lst_UsoSueloDom</t>
        </is>
      </c>
      <c r="O3" s="2" t="inlineStr">
        <is>
          <t>lst_Regeneracion</t>
        </is>
      </c>
      <c r="P3" s="2" t="inlineStr">
        <is>
          <t>lst_EstadoSanitario</t>
        </is>
      </c>
      <c r="Q3" s="2" t="inlineStr">
        <is>
          <t>lst_Fenologia</t>
        </is>
      </c>
      <c r="R3" s="2" t="inlineStr">
        <is>
          <t>lst_TipoCobertura</t>
        </is>
      </c>
      <c r="S3" s="2" t="inlineStr">
        <is>
          <t>lst_Estrato</t>
        </is>
      </c>
      <c r="T3" s="2" t="inlineStr">
        <is>
          <t>lst_Origen</t>
        </is>
      </c>
      <c r="U3" s="2" t="inlineStr">
        <is>
          <t>lst_Abundancia</t>
        </is>
      </c>
      <c r="V3" s="2" t="inlineStr">
        <is>
          <t>lst_CategoriaIndicadora</t>
        </is>
      </c>
      <c r="W3" s="2" t="inlineStr">
        <is>
          <t>lst_EstadoUICN</t>
        </is>
      </c>
      <c r="X3" s="2" t="inlineStr">
        <is>
          <t>lst_Intensidad</t>
        </is>
      </c>
      <c r="Y3" s="2" t="inlineStr">
        <is>
          <t>lst_NivelInd</t>
        </is>
      </c>
      <c r="Z3" s="2" t="inlineStr">
        <is>
          <t>lst_Velocidad</t>
        </is>
      </c>
      <c r="AA3" s="2" t="inlineStr">
        <is>
          <t>lst_Reversibilidad</t>
        </is>
      </c>
      <c r="AB3" s="2" t="inlineStr">
        <is>
          <t>lst_TipoFuente</t>
        </is>
      </c>
      <c r="AC3" s="2" t="inlineStr">
        <is>
          <t>lst_RegimenHidrico</t>
        </is>
      </c>
      <c r="AD3" s="2" t="inlineStr">
        <is>
          <t>lst_CalidadAgua</t>
        </is>
      </c>
      <c r="AE3" s="2" t="inlineStr">
        <is>
          <t>lst_ModalidadAcceso</t>
        </is>
      </c>
      <c r="AF3" s="2" t="inlineStr">
        <is>
          <t>lst_TipoVia</t>
        </is>
      </c>
      <c r="AG3" s="2" t="inlineStr">
        <is>
          <t>lst_NivelTransitabilidad</t>
        </is>
      </c>
      <c r="AH3" s="2" t="inlineStr">
        <is>
          <t>lst_SenalCelular</t>
        </is>
      </c>
      <c r="AI3" s="2" t="inlineStr">
        <is>
          <t>lst_Operador</t>
        </is>
      </c>
      <c r="AJ3" s="2" t="inlineStr">
        <is>
          <t>lst_SiNo</t>
        </is>
      </c>
      <c r="AK3" s="2" t="inlineStr">
        <is>
          <t>lst_SiNoNA</t>
        </is>
      </c>
    </row>
    <row r="4" ht="15" customHeight="1" s="17">
      <c r="A4" s="8" t="inlineStr">
        <is>
          <t>Plano</t>
        </is>
      </c>
      <c r="B4" s="8" t="inlineStr">
        <is>
          <t>0-8% (Plano-lig. inclinado)</t>
        </is>
      </c>
      <c r="C4" s="8" t="inlineStr">
        <is>
          <t>Cresta / Divortium</t>
        </is>
      </c>
      <c r="D4" s="8" t="inlineStr">
        <is>
          <t>Norte</t>
        </is>
      </c>
      <c r="E4" s="8" t="inlineStr">
        <is>
          <t>&lt;1000 m (Yunga)</t>
        </is>
      </c>
      <c r="F4" s="8" t="inlineStr">
        <is>
          <t>Nula</t>
        </is>
      </c>
      <c r="G4" s="8" t="inlineStr">
        <is>
          <t>Surco (&lt;30 cm)</t>
        </is>
      </c>
      <c r="H4" s="8" t="inlineStr">
        <is>
          <t>Activa</t>
        </is>
      </c>
      <c r="I4" s="8" t="inlineStr">
        <is>
          <t>Sobrepastoreo</t>
        </is>
      </c>
      <c r="J4" s="8" t="inlineStr">
        <is>
          <t>Dendrítico</t>
        </is>
      </c>
      <c r="K4" s="8" t="inlineStr">
        <is>
          <t>Crítica</t>
        </is>
      </c>
      <c r="L4" s="8" t="inlineStr">
        <is>
          <t>Páramo</t>
        </is>
      </c>
      <c r="M4" s="8" t="inlineStr">
        <is>
          <t>Conservado (sin intervención evidente)</t>
        </is>
      </c>
      <c r="N4" s="8" t="inlineStr">
        <is>
          <t>Forestal protección</t>
        </is>
      </c>
      <c r="O4" s="8" t="inlineStr">
        <is>
          <t>Abundante (&gt;50 pl./100m²)</t>
        </is>
      </c>
      <c r="P4" s="8" t="inlineStr">
        <is>
          <t>Sano</t>
        </is>
      </c>
      <c r="Q4" s="8" t="inlineStr">
        <is>
          <t>Vegetativo</t>
        </is>
      </c>
      <c r="R4" s="8" t="inlineStr">
        <is>
          <t>Bosque denso (&gt;70%)</t>
        </is>
      </c>
      <c r="S4" s="8" t="inlineStr">
        <is>
          <t>Arbóreo superior (&gt;15 m)</t>
        </is>
      </c>
      <c r="T4" s="8" t="inlineStr">
        <is>
          <t>Nativa</t>
        </is>
      </c>
      <c r="U4" s="8" t="inlineStr">
        <is>
          <t>Dominante (&gt;40%)</t>
        </is>
      </c>
      <c r="V4" s="8" t="inlineStr">
        <is>
          <t>Indicadora de buen estado</t>
        </is>
      </c>
      <c r="W4" s="8" t="inlineStr">
        <is>
          <t>EX — Extinto</t>
        </is>
      </c>
      <c r="X4" s="8" t="inlineStr">
        <is>
          <t>Nula</t>
        </is>
      </c>
      <c r="Y4" s="8" t="inlineStr">
        <is>
          <t>Alto</t>
        </is>
      </c>
      <c r="Z4" s="8" t="inlineStr">
        <is>
          <t>Muy rápida</t>
        </is>
      </c>
      <c r="AA4" s="8" t="inlineStr">
        <is>
          <t>Totalmente reversible</t>
        </is>
      </c>
      <c r="AB4" s="8" t="inlineStr">
        <is>
          <t>Manantial / Puquio</t>
        </is>
      </c>
      <c r="AC4" s="8" t="inlineStr">
        <is>
          <t>Permanente</t>
        </is>
      </c>
      <c r="AD4" s="8" t="inlineStr">
        <is>
          <t>Buena (clara, sin olor, sin sedimentos)</t>
        </is>
      </c>
      <c r="AE4" s="8" t="inlineStr">
        <is>
          <t>Vehicular 4x4 hasta el bloque</t>
        </is>
      </c>
      <c r="AF4" s="8" t="inlineStr">
        <is>
          <t>Nacional asfaltada</t>
        </is>
      </c>
      <c r="AG4" s="8" t="inlineStr">
        <is>
          <t>Alto</t>
        </is>
      </c>
      <c r="AH4" s="8" t="inlineStr">
        <is>
          <t>Completa</t>
        </is>
      </c>
      <c r="AI4" s="8" t="inlineStr">
        <is>
          <t>Movistar</t>
        </is>
      </c>
      <c r="AJ4" s="8" t="inlineStr">
        <is>
          <t>Sí</t>
        </is>
      </c>
      <c r="AK4" s="8" t="inlineStr">
        <is>
          <t>Sí</t>
        </is>
      </c>
    </row>
    <row r="5" ht="15" customHeight="1" s="17">
      <c r="A5" s="8" t="inlineStr">
        <is>
          <t>Ondulado</t>
        </is>
      </c>
      <c r="B5" s="8" t="inlineStr">
        <is>
          <t>8-15% (Mod. inclinado)</t>
        </is>
      </c>
      <c r="C5" s="8" t="inlineStr">
        <is>
          <t>Ladera alta</t>
        </is>
      </c>
      <c r="D5" s="8" t="inlineStr">
        <is>
          <t>Sur</t>
        </is>
      </c>
      <c r="E5" s="8" t="inlineStr">
        <is>
          <t>1000-1500 m (Quechua baja)</t>
        </is>
      </c>
      <c r="F5" s="8" t="inlineStr">
        <is>
          <t>Ligera (laminar)</t>
        </is>
      </c>
      <c r="G5" s="8" t="inlineStr">
        <is>
          <t>Cárcava incipiente (30-50 cm)</t>
        </is>
      </c>
      <c r="H5" s="8" t="inlineStr">
        <is>
          <t>Semi-activa</t>
        </is>
      </c>
      <c r="I5" s="8" t="inlineStr">
        <is>
          <t>Tala / pérdida de cobertura</t>
        </is>
      </c>
      <c r="J5" s="8" t="inlineStr">
        <is>
          <t>Paralelo</t>
        </is>
      </c>
      <c r="K5" s="8" t="inlineStr">
        <is>
          <t>Alta</t>
        </is>
      </c>
      <c r="L5" s="8" t="inlineStr">
        <is>
          <t>Bosque Relicto Montano V. Occidental (BMVO)</t>
        </is>
      </c>
      <c r="M5" s="8" t="inlineStr">
        <is>
          <t>Levemente alterado</t>
        </is>
      </c>
      <c r="N5" s="8" t="inlineStr">
        <is>
          <t>Forestal producción</t>
        </is>
      </c>
      <c r="O5" s="8" t="inlineStr">
        <is>
          <t>Regular (10-50 pl./100m²)</t>
        </is>
      </c>
      <c r="P5" s="8" t="inlineStr">
        <is>
          <t>Enfermo (plaga)</t>
        </is>
      </c>
      <c r="Q5" s="8" t="inlineStr">
        <is>
          <t>Floración</t>
        </is>
      </c>
      <c r="R5" s="8" t="inlineStr">
        <is>
          <t>Bosque ralo (30-70%)</t>
        </is>
      </c>
      <c r="S5" s="8" t="inlineStr">
        <is>
          <t>Arbóreo medio (8-15 m)</t>
        </is>
      </c>
      <c r="T5" s="8" t="inlineStr">
        <is>
          <t>Endémica</t>
        </is>
      </c>
      <c r="U5" s="8" t="inlineStr">
        <is>
          <t>Abundante (20-40%)</t>
        </is>
      </c>
      <c r="V5" s="8" t="inlineStr">
        <is>
          <t>Indicadora de perturbación</t>
        </is>
      </c>
      <c r="W5" s="8" t="inlineStr">
        <is>
          <t>EW — Extinto en Estado Silvestre</t>
        </is>
      </c>
      <c r="X5" s="8" t="inlineStr">
        <is>
          <t>Ligera</t>
        </is>
      </c>
      <c r="Y5" s="8" t="inlineStr">
        <is>
          <t>Medio</t>
        </is>
      </c>
      <c r="Z5" s="8" t="inlineStr">
        <is>
          <t>Rápida</t>
        </is>
      </c>
      <c r="AA5" s="8" t="inlineStr">
        <is>
          <t>Parcialmente reversible</t>
        </is>
      </c>
      <c r="AB5" s="8" t="inlineStr">
        <is>
          <t>Quebrada permanente</t>
        </is>
      </c>
      <c r="AC5" s="8" t="inlineStr">
        <is>
          <t>Estacional (lluvias)</t>
        </is>
      </c>
      <c r="AD5" s="8" t="inlineStr">
        <is>
          <t>Regular (ligeramente turbia o con sedimentos)</t>
        </is>
      </c>
      <c r="AE5" s="8" t="inlineStr">
        <is>
          <t>Vehicular + caminata &lt;30 min</t>
        </is>
      </c>
      <c r="AF5" s="8" t="inlineStr">
        <is>
          <t>Nacional afirmada</t>
        </is>
      </c>
      <c r="AG5" s="8" t="inlineStr">
        <is>
          <t>Medio</t>
        </is>
      </c>
      <c r="AH5" s="8" t="inlineStr">
        <is>
          <t>Parcial</t>
        </is>
      </c>
      <c r="AI5" s="8" t="inlineStr">
        <is>
          <t>Claro</t>
        </is>
      </c>
      <c r="AJ5" s="8" t="inlineStr">
        <is>
          <t>No</t>
        </is>
      </c>
      <c r="AK5" s="8" t="inlineStr">
        <is>
          <t>No</t>
        </is>
      </c>
    </row>
    <row r="6" ht="15" customHeight="1" s="17">
      <c r="A6" s="8" t="inlineStr">
        <is>
          <t>Colinoso</t>
        </is>
      </c>
      <c r="B6" s="8" t="inlineStr">
        <is>
          <t>15-25% (Fuert. inclinado)</t>
        </is>
      </c>
      <c r="C6" s="8" t="inlineStr">
        <is>
          <t>Ladera media</t>
        </is>
      </c>
      <c r="D6" s="8" t="inlineStr">
        <is>
          <t>Este</t>
        </is>
      </c>
      <c r="E6" s="8" t="inlineStr">
        <is>
          <t>1500-2000 m (Quechua media)</t>
        </is>
      </c>
      <c r="F6" s="8" t="inlineStr">
        <is>
          <t>Moderada (surcos)</t>
        </is>
      </c>
      <c r="G6" s="8" t="inlineStr">
        <is>
          <t>Cárcava somera (0.5-2 m)</t>
        </is>
      </c>
      <c r="H6" s="8" t="inlineStr">
        <is>
          <t>Estabilizada con vegetación</t>
        </is>
      </c>
      <c r="I6" s="8" t="inlineStr">
        <is>
          <t>Quema</t>
        </is>
      </c>
      <c r="J6" s="8" t="inlineStr">
        <is>
          <t>Lineal</t>
        </is>
      </c>
      <c r="K6" s="8" t="inlineStr">
        <is>
          <t>Media</t>
        </is>
      </c>
      <c r="L6" s="8" t="inlineStr">
        <is>
          <t>Bosque Estacionalmente Seco Colina/Montaña (Bes-cm)</t>
        </is>
      </c>
      <c r="M6" s="8" t="inlineStr">
        <is>
          <t>Medianamente alterado</t>
        </is>
      </c>
      <c r="N6" s="8" t="inlineStr">
        <is>
          <t>Pastoreo extensivo</t>
        </is>
      </c>
      <c r="O6" s="8" t="inlineStr">
        <is>
          <t>Escasa (&lt;10 pl./100m²)</t>
        </is>
      </c>
      <c r="P6" s="8" t="inlineStr">
        <is>
          <t>Enfermo (hongo)</t>
        </is>
      </c>
      <c r="Q6" s="8" t="inlineStr">
        <is>
          <t>Fructificación</t>
        </is>
      </c>
      <c r="R6" s="8" t="inlineStr">
        <is>
          <t>Matorral denso</t>
        </is>
      </c>
      <c r="S6" s="8" t="inlineStr">
        <is>
          <t>Arbóreo bajo (4-8 m)</t>
        </is>
      </c>
      <c r="T6" s="8" t="inlineStr">
        <is>
          <t>Introducida</t>
        </is>
      </c>
      <c r="U6" s="8" t="inlineStr">
        <is>
          <t>Frecuente (5-20%)</t>
        </is>
      </c>
      <c r="V6" s="8" t="inlineStr">
        <is>
          <t>Endémica del Perú</t>
        </is>
      </c>
      <c r="W6" s="8" t="inlineStr">
        <is>
          <t>CR — En Peligro Crítico</t>
        </is>
      </c>
      <c r="X6" s="8" t="inlineStr">
        <is>
          <t>Moderada</t>
        </is>
      </c>
      <c r="Y6" s="8" t="inlineStr">
        <is>
          <t>Bajo</t>
        </is>
      </c>
      <c r="Z6" s="8" t="inlineStr">
        <is>
          <t>Moderada</t>
        </is>
      </c>
      <c r="AA6" s="8" t="inlineStr">
        <is>
          <t>Difícilmente reversible</t>
        </is>
      </c>
      <c r="AB6" s="8" t="inlineStr">
        <is>
          <t>Quebrada estacional</t>
        </is>
      </c>
      <c r="AC6" s="8" t="inlineStr">
        <is>
          <t>Intermitente</t>
        </is>
      </c>
      <c r="AD6" s="8" t="inlineStr">
        <is>
          <t>Mala (turbia, con olor o color)</t>
        </is>
      </c>
      <c r="AE6" s="8" t="inlineStr">
        <is>
          <t>Vehicular + caminata 30-90 min</t>
        </is>
      </c>
      <c r="AF6" s="8" t="inlineStr">
        <is>
          <t>Departamental asfaltada</t>
        </is>
      </c>
      <c r="AG6" s="8" t="inlineStr">
        <is>
          <t>Bajo</t>
        </is>
      </c>
      <c r="AH6" s="8" t="inlineStr">
        <is>
          <t>Intermitente</t>
        </is>
      </c>
      <c r="AI6" s="8" t="inlineStr">
        <is>
          <t>Entel</t>
        </is>
      </c>
      <c r="AK6" s="8" t="inlineStr">
        <is>
          <t>No aplica</t>
        </is>
      </c>
    </row>
    <row r="7" ht="15" customHeight="1" s="17">
      <c r="A7" s="8" t="inlineStr">
        <is>
          <t>Montañoso</t>
        </is>
      </c>
      <c r="B7" s="8" t="inlineStr">
        <is>
          <t>25-50% (Mod. escarpado)</t>
        </is>
      </c>
      <c r="C7" s="8" t="inlineStr">
        <is>
          <t>Ladera baja</t>
        </is>
      </c>
      <c r="D7" s="8" t="inlineStr">
        <is>
          <t>Oeste</t>
        </is>
      </c>
      <c r="E7" s="8" t="inlineStr">
        <is>
          <t>2000-2500 m (Quechua alta)</t>
        </is>
      </c>
      <c r="F7" s="8" t="inlineStr">
        <is>
          <t>Fuerte (cárcavas incipientes)</t>
        </is>
      </c>
      <c r="G7" s="8" t="inlineStr">
        <is>
          <t>Cárcava profunda (2-5 m)</t>
        </is>
      </c>
      <c r="H7" s="8" t="inlineStr">
        <is>
          <t>Estabilizada con obras</t>
        </is>
      </c>
      <c r="I7" s="8" t="inlineStr">
        <is>
          <t>Surcos de labranza en pendiente</t>
        </is>
      </c>
      <c r="J7" s="8" t="inlineStr">
        <is>
          <t>Aislado</t>
        </is>
      </c>
      <c r="K7" s="8" t="inlineStr">
        <is>
          <t>Baja</t>
        </is>
      </c>
      <c r="L7" s="8" t="inlineStr">
        <is>
          <t>Bosque Estacionalmente Seco Llanura (Bes-ll)</t>
        </is>
      </c>
      <c r="M7" s="8" t="inlineStr">
        <is>
          <t>Alterado (intervención marcada)</t>
        </is>
      </c>
      <c r="N7" s="8" t="inlineStr">
        <is>
          <t>Pastoreo intensivo</t>
        </is>
      </c>
      <c r="O7" s="8" t="inlineStr">
        <is>
          <t>Ausente</t>
        </is>
      </c>
      <c r="P7" s="8" t="inlineStr">
        <is>
          <t>Daño mecánico</t>
        </is>
      </c>
      <c r="Q7" s="8" t="inlineStr">
        <is>
          <t>Caducifolio (hojas caídas)</t>
        </is>
      </c>
      <c r="R7" s="8" t="inlineStr">
        <is>
          <t>Matorral ralo</t>
        </is>
      </c>
      <c r="S7" s="8" t="inlineStr">
        <is>
          <t>Arbustivo alto (1.5-4 m)</t>
        </is>
      </c>
      <c r="T7" s="8" t="inlineStr">
        <is>
          <t>Invasora</t>
        </is>
      </c>
      <c r="U7" s="8" t="inlineStr">
        <is>
          <t>Ocasional (1-5%)</t>
        </is>
      </c>
      <c r="V7" s="8" t="inlineStr">
        <is>
          <t>Endémica norte / Piura</t>
        </is>
      </c>
      <c r="W7" s="8" t="inlineStr">
        <is>
          <t>EN — En Peligro</t>
        </is>
      </c>
      <c r="X7" s="8" t="inlineStr">
        <is>
          <t>Fuerte</t>
        </is>
      </c>
      <c r="Z7" s="8" t="inlineStr">
        <is>
          <t>Lenta</t>
        </is>
      </c>
      <c r="AA7" s="8" t="inlineStr">
        <is>
          <t>En recuperación</t>
        </is>
      </c>
      <c r="AB7" s="8" t="inlineStr">
        <is>
          <t>Río</t>
        </is>
      </c>
      <c r="AC7" s="8" t="inlineStr">
        <is>
          <t>Efímero</t>
        </is>
      </c>
      <c r="AD7" s="8" t="inlineStr">
        <is>
          <t>Muy mala (contaminación evidente)</t>
        </is>
      </c>
      <c r="AE7" s="8" t="inlineStr">
        <is>
          <t>Vehicular + caminata &gt;90 min</t>
        </is>
      </c>
      <c r="AF7" s="8" t="inlineStr">
        <is>
          <t>Departamental afirmada</t>
        </is>
      </c>
      <c r="AH7" s="8" t="inlineStr">
        <is>
          <t>Sin señal</t>
        </is>
      </c>
      <c r="AI7" s="8" t="inlineStr">
        <is>
          <t>Bitel</t>
        </is>
      </c>
    </row>
    <row r="8" ht="15" customHeight="1" s="17">
      <c r="A8" s="8" t="inlineStr">
        <is>
          <t>Muy escarpado</t>
        </is>
      </c>
      <c r="B8" s="8" t="inlineStr">
        <is>
          <t>50-75% (Escarpado)</t>
        </is>
      </c>
      <c r="C8" s="8" t="inlineStr">
        <is>
          <t>Pie de ladera</t>
        </is>
      </c>
      <c r="D8" s="8" t="inlineStr">
        <is>
          <t>Noreste</t>
        </is>
      </c>
      <c r="E8" s="8" t="inlineStr">
        <is>
          <t>2500-3000 m (Suni)</t>
        </is>
      </c>
      <c r="F8" s="8" t="inlineStr">
        <is>
          <t>Severa (cárcavas activas)</t>
        </is>
      </c>
      <c r="G8" s="8" t="inlineStr">
        <is>
          <t>Cárcava muy profunda (&gt;5 m)</t>
        </is>
      </c>
      <c r="H8" s="8" t="inlineStr">
        <is>
          <t>Inactiva</t>
        </is>
      </c>
      <c r="I8" s="8" t="inlineStr">
        <is>
          <t>Caminos / huellas de ganado</t>
        </is>
      </c>
      <c r="J8" s="8" t="inlineStr">
        <is>
          <t>Mixto</t>
        </is>
      </c>
      <c r="L8" s="8" t="inlineStr">
        <is>
          <t>Bosque Estacionalmente Seco Ribereño (Bes-rb)</t>
        </is>
      </c>
      <c r="M8" s="8" t="inlineStr">
        <is>
          <t>Muy alterado / Degradado</t>
        </is>
      </c>
      <c r="N8" s="8" t="inlineStr">
        <is>
          <t>Agricultura secano</t>
        </is>
      </c>
      <c r="P8" s="8" t="inlineStr">
        <is>
          <t>Muerto en pie</t>
        </is>
      </c>
      <c r="Q8" s="8" t="inlineStr">
        <is>
          <t>Latencia / Estrés hídrico</t>
        </is>
      </c>
      <c r="R8" s="8" t="inlineStr">
        <is>
          <t>Pastizal natural</t>
        </is>
      </c>
      <c r="S8" s="8" t="inlineStr">
        <is>
          <t>Arbustivo bajo (0.5-1.5 m)</t>
        </is>
      </c>
      <c r="U8" s="8" t="inlineStr">
        <is>
          <t>Rara (&lt;1%)</t>
        </is>
      </c>
      <c r="V8" s="8" t="inlineStr">
        <is>
          <t>Amenazada (D.S. 043-2006-AG)</t>
        </is>
      </c>
      <c r="W8" s="8" t="inlineStr">
        <is>
          <t>VU — Vulnerable</t>
        </is>
      </c>
      <c r="X8" s="8" t="inlineStr">
        <is>
          <t>Muy fuerte</t>
        </is>
      </c>
      <c r="Z8" s="8" t="inlineStr">
        <is>
          <t>Estable</t>
        </is>
      </c>
      <c r="AB8" s="8" t="inlineStr">
        <is>
          <t>Canal de riego</t>
        </is>
      </c>
      <c r="AC8" s="8" t="inlineStr">
        <is>
          <t>Ausente</t>
        </is>
      </c>
      <c r="AD8" s="8" t="inlineStr">
        <is>
          <t>No evaluable</t>
        </is>
      </c>
      <c r="AE8" s="8" t="inlineStr">
        <is>
          <t>Requiere acémila (páramo/jalca)</t>
        </is>
      </c>
      <c r="AF8" s="8" t="inlineStr">
        <is>
          <t>Vecinal afirmada</t>
        </is>
      </c>
      <c r="AI8" s="8" t="inlineStr">
        <is>
          <t>Otro</t>
        </is>
      </c>
    </row>
    <row r="9" ht="15" customHeight="1" s="17">
      <c r="B9" s="8" t="inlineStr">
        <is>
          <t>&gt;75% (Muy escarpado)</t>
        </is>
      </c>
      <c r="C9" s="8" t="inlineStr">
        <is>
          <t>Terraza aluvial</t>
        </is>
      </c>
      <c r="D9" s="8" t="inlineStr">
        <is>
          <t>Noroeste</t>
        </is>
      </c>
      <c r="E9" s="8" t="inlineStr">
        <is>
          <t>3000-3500 m (Puna baja)</t>
        </is>
      </c>
      <c r="F9" s="8" t="inlineStr">
        <is>
          <t>Extrema</t>
        </is>
      </c>
      <c r="I9" s="8" t="inlineStr">
        <is>
          <t>Concentración natural de escorrentía</t>
        </is>
      </c>
      <c r="L9" s="8" t="inlineStr">
        <is>
          <t>Matorral Andino árido</t>
        </is>
      </c>
      <c r="M9" s="8" t="inlineStr">
        <is>
          <t>En restauración / Recuperación</t>
        </is>
      </c>
      <c r="N9" s="8" t="inlineStr">
        <is>
          <t>Agricultura bajo riego</t>
        </is>
      </c>
      <c r="P9" s="8" t="inlineStr">
        <is>
          <t>Rebrote vigoroso</t>
        </is>
      </c>
      <c r="R9" s="8" t="inlineStr">
        <is>
          <t>Pastizal cultivado</t>
        </is>
      </c>
      <c r="S9" s="8" t="inlineStr">
        <is>
          <t>Herbáceo (&lt;0.5 m)</t>
        </is>
      </c>
      <c r="V9" s="8" t="inlineStr">
        <is>
          <t>Clave cultural</t>
        </is>
      </c>
      <c r="W9" s="8" t="inlineStr">
        <is>
          <t>NT — Casi Amenazado</t>
        </is>
      </c>
      <c r="AB9" s="8" t="inlineStr">
        <is>
          <t>Reservorio / Represa</t>
        </is>
      </c>
      <c r="AE9" s="8" t="inlineStr">
        <is>
          <t>Inaccesible en lluvias</t>
        </is>
      </c>
      <c r="AF9" s="8" t="inlineStr">
        <is>
          <t>Trocha carrozable</t>
        </is>
      </c>
      <c r="AI9" s="8" t="inlineStr">
        <is>
          <t>Sin señal</t>
        </is>
      </c>
    </row>
    <row r="10" ht="15" customHeight="1" s="17">
      <c r="C10" s="8" t="inlineStr">
        <is>
          <t>Cauce / Ribera</t>
        </is>
      </c>
      <c r="D10" s="8" t="inlineStr">
        <is>
          <t>Sureste</t>
        </is>
      </c>
      <c r="E10" s="8" t="inlineStr">
        <is>
          <t>&gt;3500 m (Puna/Jalca)</t>
        </is>
      </c>
      <c r="I10" s="8" t="inlineStr">
        <is>
          <t>Socavamiento de cauce</t>
        </is>
      </c>
      <c r="L10" s="8" t="inlineStr">
        <is>
          <t>Matorral Andino semiárido</t>
        </is>
      </c>
      <c r="N10" s="8" t="inlineStr">
        <is>
          <t>Sin uso aparente / Abandonado</t>
        </is>
      </c>
      <c r="R10" s="8" t="inlineStr">
        <is>
          <t>Cultivo anual</t>
        </is>
      </c>
      <c r="S10" s="8" t="inlineStr">
        <is>
          <t>Epífito</t>
        </is>
      </c>
      <c r="W10" s="8" t="inlineStr">
        <is>
          <t>LC — Preocupación Menor</t>
        </is>
      </c>
      <c r="AB10" s="8" t="inlineStr">
        <is>
          <t>Laguna / Humedal</t>
        </is>
      </c>
      <c r="AF10" s="8" t="inlineStr">
        <is>
          <t>Camino de herradura</t>
        </is>
      </c>
    </row>
    <row r="11" ht="15" customHeight="1" s="17">
      <c r="C11" s="8" t="inlineStr">
        <is>
          <t>Llanura / Pampa</t>
        </is>
      </c>
      <c r="D11" s="8" t="inlineStr">
        <is>
          <t>Suroeste</t>
        </is>
      </c>
      <c r="I11" s="8" t="inlineStr">
        <is>
          <t>Cambio de uso del suelo</t>
        </is>
      </c>
      <c r="L11" s="8" t="inlineStr">
        <is>
          <t>Matorral Andino subhúmedo</t>
        </is>
      </c>
      <c r="N11" s="8" t="inlineStr">
        <is>
          <t>Uso mixto</t>
        </is>
      </c>
      <c r="R11" s="8" t="inlineStr">
        <is>
          <t>Cultivo permanente</t>
        </is>
      </c>
      <c r="S11" s="8" t="inlineStr">
        <is>
          <t>Trepador</t>
        </is>
      </c>
      <c r="W11" s="8" t="inlineStr">
        <is>
          <t>DD — Datos Insuficientes</t>
        </is>
      </c>
      <c r="AB11" s="8" t="inlineStr">
        <is>
          <t>Pozo / Galería filtrante</t>
        </is>
      </c>
    </row>
    <row r="12" ht="15" customHeight="1" s="17">
      <c r="C12" s="8" t="inlineStr">
        <is>
          <t>Cima (sin exp.)</t>
        </is>
      </c>
      <c r="D12" s="8" t="inlineStr">
        <is>
          <t>Cima (sin dom.)</t>
        </is>
      </c>
      <c r="I12" s="8" t="inlineStr">
        <is>
          <t>Otro</t>
        </is>
      </c>
      <c r="L12" s="8" t="inlineStr">
        <is>
          <t>Matorral Andino húmedo</t>
        </is>
      </c>
      <c r="N12" s="8" t="inlineStr">
        <is>
          <t>Otro</t>
        </is>
      </c>
      <c r="R12" s="8" t="inlineStr">
        <is>
          <t>Suelo desnudo</t>
        </is>
      </c>
      <c r="W12" s="8" t="inlineStr">
        <is>
          <t>NE — No Evaluado</t>
        </is>
      </c>
      <c r="AB12" s="8" t="inlineStr">
        <is>
          <t>Bofedal</t>
        </is>
      </c>
    </row>
    <row r="13" ht="15" customHeight="1" s="17">
      <c r="L13" s="8" t="inlineStr">
        <is>
          <t>Pastizal andino / Jalca</t>
        </is>
      </c>
      <c r="R13" s="8" t="inlineStr">
        <is>
          <t>Afloramiento rocoso</t>
        </is>
      </c>
      <c r="W13" s="8" t="inlineStr">
        <is>
          <t>No aplica</t>
        </is>
      </c>
      <c r="AB13" s="8" t="inlineStr">
        <is>
          <t>Otro</t>
        </is>
      </c>
    </row>
    <row r="14" ht="15" customHeight="1" s="17">
      <c r="L14" s="8" t="inlineStr">
        <is>
          <t>Agroecosistema / Mosaico</t>
        </is>
      </c>
      <c r="R14" s="8" t="inlineStr">
        <is>
          <t>Mixto / Mosaico</t>
        </is>
      </c>
    </row>
    <row r="15" ht="15" customHeight="1" s="17">
      <c r="L15" s="8" t="inlineStr">
        <is>
          <t>Área urbana / rural</t>
        </is>
      </c>
    </row>
    <row r="16" ht="15" customHeight="1" s="17">
      <c r="L16" s="8" t="inlineStr">
        <is>
          <t>Otro</t>
        </is>
      </c>
    </row>
  </sheetData>
  <mergeCells count="1">
    <mergeCell ref="A1:H1"/>
  </mergeCells>
  <pageMargins left="0.75" right="0.75" top="1" bottom="1" header="0.511811023622047" footer="0.511811023622047"/>
  <pageSetup orientation="landscape" paperSize="9"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2026-05-08T03:16:44Z</dcterms:created>
  <dcterms:modified xmlns:dcterms="http://purl.org/dc/terms/" xmlns:xsi="http://www.w3.org/2001/XMLSchema-instance" xsi:type="dcterms:W3CDTF">2026-08-30T04:52:53Z</dcterms:modified>
  <cp:lastModifiedBy>Hector Salomón Cahuas Miller</cp:lastModifiedBy>
  <cp:revision>0</cp:revision>
</cp:coreProperties>
</file>