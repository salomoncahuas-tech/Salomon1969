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xmlns:r="http://schemas.openxmlformats.org/officeDocument/2006/relationships" name="Resumen Bloque 76" sheetId="1" state="visible" r:id="rId1"/>
    <sheet xmlns:r="http://schemas.openxmlformats.org/officeDocument/2006/relationships" name="F-DT-01" sheetId="2" state="visible" r:id="rId2"/>
    <sheet xmlns:r="http://schemas.openxmlformats.org/officeDocument/2006/relationships" name="F-DT-02" sheetId="3" state="visible" r:id="rId3"/>
    <sheet xmlns:r="http://schemas.openxmlformats.org/officeDocument/2006/relationships" name="F-DT-03" sheetId="4" state="visible" r:id="rId4"/>
    <sheet xmlns:r="http://schemas.openxmlformats.org/officeDocument/2006/relationships" name="F-DT-04" sheetId="5" state="visible" r:id="rId5"/>
    <sheet xmlns:r="http://schemas.openxmlformats.org/officeDocument/2006/relationships" name="F-DT-05" sheetId="6" state="visible" r:id="rId6"/>
    <sheet xmlns:r="http://schemas.openxmlformats.org/officeDocument/2006/relationships" name="Bloques V4" sheetId="7" state="visible" r:id="rId7"/>
    <sheet xmlns:r="http://schemas.openxmlformats.org/officeDocument/2006/relationships" name="_Listas" sheetId="8" state="visible" r:id="rId8"/>
    <sheet xmlns:r="http://schemas.openxmlformats.org/officeDocument/2006/relationships" name="Cobertura MSAVI-NDVI" sheetId="9" state="visible" r:id="rId9"/>
    <sheet xmlns:r="http://schemas.openxmlformats.org/officeDocument/2006/relationships" name="Estaciones fotográficas" sheetId="10" state="visible" r:id="rId10"/>
    <sheet xmlns:r="http://schemas.openxmlformats.org/officeDocument/2006/relationships" name="Microcuenca C1076-Q9593" sheetId="11" state="visible" r:id="rId11"/>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fullCalcOnLoad="1"/>
</workbook>
</file>

<file path=xl/styles.xml><?xml version="1.0" encoding="utf-8"?>
<styleSheet xmlns="http://schemas.openxmlformats.org/spreadsheetml/2006/main">
  <numFmts count="0"/>
  <fonts count="20">
    <font>
      <name val="Calibri"/>
      <charset val="1"/>
      <family val="2"/>
      <color theme="1"/>
      <sz val="11"/>
    </font>
    <font>
      <name val="Arial"/>
      <charset val="1"/>
      <b val="1"/>
      <color rgb="FFFFFFFF"/>
      <sz val="12"/>
    </font>
    <font>
      <name val="Arial"/>
      <charset val="1"/>
      <b val="1"/>
      <color rgb="FFFFFFFF"/>
      <sz val="10"/>
    </font>
    <font>
      <name val="Arial"/>
      <charset val="1"/>
      <b val="1"/>
      <color rgb="FFFFFFFF"/>
      <sz val="14"/>
    </font>
    <font>
      <name val="Arial"/>
      <charset val="1"/>
      <i val="1"/>
      <color rgb="FF555555"/>
      <sz val="9"/>
    </font>
    <font>
      <name val="Arial"/>
      <charset val="1"/>
      <i val="1"/>
      <color rgb="FF666666"/>
      <sz val="8"/>
    </font>
    <font>
      <name val="Arial"/>
      <charset val="1"/>
      <b val="1"/>
      <color rgb="FFFFFFFF"/>
      <sz val="11"/>
    </font>
    <font>
      <name val="Arial"/>
      <charset val="1"/>
      <b val="1"/>
      <color rgb="FF000000"/>
      <sz val="10"/>
    </font>
    <font>
      <name val="Arial"/>
      <charset val="1"/>
      <color rgb="FF000000"/>
      <sz val="10"/>
    </font>
    <font>
      <name val="Arial"/>
      <charset val="1"/>
      <i val="1"/>
      <color rgb="FF333333"/>
      <sz val="10"/>
    </font>
    <font>
      <name val="Arial"/>
      <charset val="1"/>
      <i val="1"/>
      <color rgb="FF555555"/>
      <sz val="8"/>
    </font>
    <font>
      <name val="Arial"/>
      <charset val="1"/>
      <b val="1"/>
      <color rgb="FFFFFFFF"/>
      <sz val="9"/>
    </font>
    <font>
      <name val="Arial"/>
      <charset val="1"/>
      <color rgb="FF000000"/>
      <sz val="9"/>
    </font>
    <font>
      <name val="Arial"/>
      <charset val="1"/>
      <b val="1"/>
      <color rgb="FF1B4D2E"/>
      <sz val="11"/>
    </font>
    <font>
      <name val="Arial"/>
      <b val="1"/>
      <color rgb="00FFFFFF"/>
      <sz val="10"/>
    </font>
    <font>
      <name val="Arial"/>
      <b val="1"/>
      <color rgb="00FFFFFF"/>
      <sz val="11"/>
    </font>
    <font>
      <name val="Arial"/>
      <b val="1"/>
      <sz val="9"/>
    </font>
    <font>
      <name val="Arial"/>
      <sz val="9"/>
    </font>
    <font>
      <name val="Arial"/>
      <b val="1"/>
      <color rgb="001B4D2E"/>
      <sz val="10"/>
    </font>
    <font>
      <name val="Arial"/>
      <b val="1"/>
      <color rgb="00C00000"/>
      <sz val="9"/>
    </font>
  </fonts>
  <fills count="11">
    <fill>
      <patternFill/>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001B4D2E"/>
      </patternFill>
    </fill>
    <fill>
      <patternFill patternType="solid">
        <fgColor rgb="001B4F72"/>
      </patternFill>
    </fill>
    <fill>
      <patternFill patternType="solid">
        <fgColor rgb="00EAF1E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008C8C8C"/>
      </left>
      <right style="thin">
        <color rgb="008C8C8C"/>
      </right>
      <top style="thin">
        <color rgb="008C8C8C"/>
      </top>
      <bottom style="thin">
        <color rgb="008C8C8C"/>
      </bottom>
    </border>
  </borders>
  <cellStyleXfs count="1">
    <xf numFmtId="0" fontId="0" fillId="0" borderId="0"/>
  </cellStyleXfs>
  <cellXfs count="49">
    <xf numFmtId="0" fontId="0" fillId="0" borderId="0" pivotButton="0" quotePrefix="0" xfId="0"/>
    <xf numFmtId="0" fontId="7" fillId="4"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2"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0" borderId="1" applyAlignment="1" pivotButton="0" quotePrefix="0" xfId="0">
      <alignment horizontal="left" vertical="center" wrapText="1"/>
    </xf>
    <xf numFmtId="3"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0" fillId="0" borderId="4" pivotButton="0" quotePrefix="0" xfId="0"/>
    <xf numFmtId="0" fontId="9"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5" borderId="1"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pivotButton="0" quotePrefix="0" xfId="0"/>
    <xf numFmtId="0" fontId="5"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8" fillId="5"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4" borderId="1" applyAlignment="1" pivotButton="0" quotePrefix="0" xfId="0">
      <alignment horizontal="left" vertical="center" wrapText="1"/>
    </xf>
    <xf numFmtId="0" fontId="10" fillId="7" borderId="1" applyAlignment="1" pivotButton="0" quotePrefix="0" xfId="0">
      <alignment horizontal="left" vertical="center" wrapText="1"/>
    </xf>
    <xf numFmtId="0" fontId="0" fillId="0" borderId="1" pivotButton="0" quotePrefix="0" xfId="0"/>
    <xf numFmtId="0" fontId="13" fillId="0" borderId="0" pivotButton="0" quotePrefix="0" xfId="0"/>
    <xf numFmtId="0" fontId="14" fillId="8" borderId="0" applyAlignment="1" pivotButton="0" quotePrefix="0" xfId="0">
      <alignment horizontal="center" vertical="center"/>
    </xf>
    <xf numFmtId="0" fontId="15" fillId="9" borderId="0" applyAlignment="1" pivotButton="0" quotePrefix="0" xfId="0">
      <alignment horizontal="center" vertical="center"/>
    </xf>
    <xf numFmtId="0" fontId="14" fillId="9" borderId="11" applyAlignment="1" pivotButton="0" quotePrefix="0" xfId="0">
      <alignment horizontal="left" vertical="center"/>
    </xf>
    <xf numFmtId="0" fontId="16" fillId="10" borderId="11" applyAlignment="1" pivotButton="0" quotePrefix="0" xfId="0">
      <alignment horizontal="left" vertical="center" wrapText="1"/>
    </xf>
    <xf numFmtId="0" fontId="17" fillId="0" borderId="11" applyAlignment="1" pivotButton="0" quotePrefix="0" xfId="0">
      <alignment horizontal="left" vertical="center" wrapText="1"/>
    </xf>
    <xf numFmtId="0" fontId="18" fillId="0" borderId="0" pivotButton="0" quotePrefix="0" xfId="0"/>
    <xf numFmtId="0" fontId="14" fillId="8" borderId="11" applyAlignment="1" pivotButton="0" quotePrefix="0" xfId="0">
      <alignment horizontal="center" vertical="center" wrapText="1"/>
    </xf>
    <xf numFmtId="0" fontId="17" fillId="0" borderId="11" applyAlignment="1" pivotButton="0" quotePrefix="0" xfId="0">
      <alignment horizontal="center" vertical="center"/>
    </xf>
    <xf numFmtId="0" fontId="17" fillId="10" borderId="11" applyAlignment="1" pivotButton="0" quotePrefix="0" xfId="0">
      <alignment horizontal="center" vertical="center"/>
    </xf>
    <xf numFmtId="0" fontId="17" fillId="10" borderId="11" applyAlignment="1" pivotButton="0" quotePrefix="0" xfId="0">
      <alignment horizontal="left" vertical="center" wrapText="1"/>
    </xf>
    <xf numFmtId="0" fontId="19" fillId="0" borderId="0" pivotButton="0" quotePrefix="0" xfId="0"/>
    <xf numFmtId="0" fontId="17" fillId="0" borderId="0" applyAlignment="1" pivotButton="0" quotePrefix="0" xfId="0">
      <alignment horizontal="left" vertical="top" wrapText="1"/>
    </xf>
    <xf numFmtId="0" fontId="19" fillId="0" borderId="11" applyAlignment="1" pivotButton="0" quotePrefix="0" xfId="0">
      <alignment horizontal="center" vertical="center"/>
    </xf>
    <xf numFmtId="0" fontId="19" fillId="0" borderId="1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pane ySplit="6" topLeftCell="A7" activePane="bottomLeft" state="frozen"/>
      <selection pane="bottomLeft" activeCell="A1" sqref="A1"/>
    </sheetView>
  </sheetViews>
  <sheetFormatPr baseColWidth="8" defaultRowHeight="15"/>
  <cols>
    <col width="40" customWidth="1" style="17" min="1" max="1"/>
    <col width="40" customWidth="1" style="17" min="2" max="2"/>
    <col width="34" customWidth="1" style="17" min="3" max="3"/>
    <col width="44" customWidth="1" style="17" min="4" max="4"/>
  </cols>
  <sheetData>
    <row r="1" ht="16" customHeight="1" s="17">
      <c r="A1" s="35" t="inlineStr">
        <is>
          <t>AUTORIDAD NACIONAL DE INFRAESTRUCTURA — ANIN</t>
        </is>
      </c>
    </row>
    <row r="2" ht="16" customHeight="1" s="17">
      <c r="A2" s="35" t="inlineStr">
        <is>
          <t>DIRECCIÓN DE INTERVENCIONES MULTISECTORIALES Y DE EMERGENCIA — DIME</t>
        </is>
      </c>
    </row>
    <row r="3" ht="16" customHeight="1" s="17">
      <c r="A3" s="35" t="inlineStr">
        <is>
          <t>SUBDIRECCIÓN DE ESTUDIOS DE INVERSIÓN — SESDI</t>
        </is>
      </c>
    </row>
    <row r="4" ht="20" customHeight="1" s="17">
      <c r="A4" s="36" t="inlineStr">
        <is>
          <t>PROYECTO IN PIURA · CUI 2669244 · BLOQUE 76 · Microcuenca C1076-Q9593 · Huarmaca, Huancabamba, Piura</t>
        </is>
      </c>
    </row>
    <row r="5" ht="20" customHeight="1" s="17">
      <c r="A5" s="36" t="inlineStr">
        <is>
          <t>FICHA RESUMEN DEL BLOQUE 76 — DIAGNÓSTICO TERRITORIAL</t>
        </is>
      </c>
    </row>
    <row r="7" ht="18" customHeight="1" s="17">
      <c r="A7" s="37" t="inlineStr">
        <is>
          <t>IDENTIFICACIÓN</t>
        </is>
      </c>
    </row>
    <row r="8" ht="15" customHeight="1" s="17">
      <c r="A8" s="38" t="inlineStr">
        <is>
          <t>Código del bloque</t>
        </is>
      </c>
      <c r="B8" s="39" t="inlineStr">
        <is>
          <t>76</t>
        </is>
      </c>
      <c r="C8" s="38" t="inlineStr">
        <is>
          <t>Rótulo cartográfico</t>
        </is>
      </c>
      <c r="D8" s="39" t="inlineStr">
        <is>
          <t>B4_2 (planos MSAVI / NDVI)</t>
        </is>
      </c>
    </row>
    <row r="9" ht="15" customHeight="1" s="17">
      <c r="A9" s="38" t="inlineStr">
        <is>
          <t>Microcuenca</t>
        </is>
      </c>
      <c r="B9" s="39" t="inlineStr">
        <is>
          <t>C1076-Q9593</t>
        </is>
      </c>
      <c r="C9" s="38" t="inlineStr">
        <is>
          <t>Zona de planificación</t>
        </is>
      </c>
      <c r="D9" s="39" t="inlineStr">
        <is>
          <t>Z14</t>
        </is>
      </c>
    </row>
    <row r="10" ht="15" customHeight="1" s="17">
      <c r="A10" s="38" t="inlineStr">
        <is>
          <t>Departamento / Provincia</t>
        </is>
      </c>
      <c r="B10" s="39" t="inlineStr">
        <is>
          <t>Piura / Huancabamba</t>
        </is>
      </c>
      <c r="C10" s="38" t="inlineStr">
        <is>
          <t>Distrito</t>
        </is>
      </c>
      <c r="D10" s="39" t="inlineStr">
        <is>
          <t>Huarmaca</t>
        </is>
      </c>
    </row>
    <row r="11" ht="15" customHeight="1" s="17">
      <c r="A11" s="38" t="inlineStr">
        <is>
          <t>Centros poblados asociados</t>
        </is>
      </c>
      <c r="B11" s="39" t="inlineStr">
        <is>
          <t>Sahuate Hualanga · Hualanga</t>
        </is>
      </c>
      <c r="C11" s="38" t="inlineStr">
        <is>
          <t>Comunidad campesina</t>
        </is>
      </c>
      <c r="D11" s="39" t="inlineStr">
        <is>
          <t>Por verificar</t>
        </is>
      </c>
    </row>
    <row r="12" ht="15" customHeight="1" s="17">
      <c r="A12" s="38" t="inlineStr">
        <is>
          <t>Superficie oficial (Bloques V5)</t>
        </is>
      </c>
      <c r="B12" s="39" t="inlineStr">
        <is>
          <t>19.615 ha</t>
        </is>
      </c>
      <c r="C12" s="38" t="inlineStr">
        <is>
          <t>Superficie (CP´s y Bloques V5)</t>
        </is>
      </c>
      <c r="D12" s="39" t="inlineStr">
        <is>
          <t>19.619 ha</t>
        </is>
      </c>
    </row>
    <row r="13" ht="15" customHeight="1" s="17">
      <c r="A13" s="38" t="inlineStr">
        <is>
          <t>Superficie planimétrica sobre plano</t>
        </is>
      </c>
      <c r="B13" s="39" t="inlineStr">
        <is>
          <t>≈ 20.03 ha (+2.1 %)</t>
        </is>
      </c>
      <c r="C13" s="38" t="inlineStr">
        <is>
          <t>Participación en la microcuenca</t>
        </is>
      </c>
      <c r="D13" s="39" t="inlineStr">
        <is>
          <t>3.75 % (7.º de 8)</t>
        </is>
      </c>
    </row>
    <row r="14" ht="15" customHeight="1" s="17">
      <c r="A14" s="38" t="inlineStr">
        <is>
          <t>Centroide (tabla Bloques V4)</t>
        </is>
      </c>
      <c r="B14" s="39" t="inlineStr">
        <is>
          <t>657 922 m E · 9 377 477 m N</t>
        </is>
      </c>
      <c r="C14" s="38" t="inlineStr">
        <is>
          <t>Centroide medido sobre plano</t>
        </is>
      </c>
      <c r="D14" s="39" t="inlineStr">
        <is>
          <t>657 935 m E · 9 377 456 m N (Δ ≈ 25 m)</t>
        </is>
      </c>
    </row>
    <row r="15" ht="15" customHeight="1" s="17">
      <c r="A15" s="38" t="inlineStr">
        <is>
          <t>Extensión E–O</t>
        </is>
      </c>
      <c r="B15" s="39" t="inlineStr">
        <is>
          <t>≈ 835 m</t>
        </is>
      </c>
      <c r="C15" s="38" t="inlineStr">
        <is>
          <t>Extensión N–S</t>
        </is>
      </c>
      <c r="D15" s="39" t="inlineStr">
        <is>
          <t>≈ 426 m</t>
        </is>
      </c>
    </row>
    <row r="16" ht="15" customHeight="1" s="17">
      <c r="A16" s="38" t="inlineStr">
        <is>
          <t>Rango de coordenadas E</t>
        </is>
      </c>
      <c r="B16" s="39" t="inlineStr">
        <is>
          <t>657 491 – 658 327 m E</t>
        </is>
      </c>
      <c r="C16" s="38" t="inlineStr">
        <is>
          <t>Rango de coordenadas N</t>
        </is>
      </c>
      <c r="D16" s="39" t="inlineStr">
        <is>
          <t>9 377 285 – 9 377 711 m N</t>
        </is>
      </c>
    </row>
    <row r="17" ht="18" customHeight="1" s="17">
      <c r="A17" s="37" t="inlineStr">
        <is>
          <t>FISIOGRAFÍA Y CLIMA</t>
        </is>
      </c>
    </row>
    <row r="18" ht="15" customHeight="1" s="17">
      <c r="A18" s="38" t="inlineStr">
        <is>
          <t>Altitud mínima (MDE)</t>
        </is>
      </c>
      <c r="B18" s="39" t="inlineStr">
        <is>
          <t>1 647 msnm</t>
        </is>
      </c>
      <c r="C18" s="38" t="inlineStr">
        <is>
          <t>Altitud máxima (MDE)</t>
        </is>
      </c>
      <c r="D18" s="39" t="inlineStr">
        <is>
          <t>1 838 msnm</t>
        </is>
      </c>
    </row>
    <row r="19" ht="15" customHeight="1" s="17">
      <c r="A19" s="38" t="inlineStr">
        <is>
          <t>Amplitud altitudinal</t>
        </is>
      </c>
      <c r="B19" s="39" t="inlineStr">
        <is>
          <t>191 m (la menor de la microcuenca)</t>
        </is>
      </c>
      <c r="C19" s="38" t="inlineStr">
        <is>
          <t>Piso altitudinal</t>
        </is>
      </c>
      <c r="D19" s="39" t="inlineStr">
        <is>
          <t>1500-2000 m (Quechua media)</t>
        </is>
      </c>
    </row>
    <row r="20" ht="15" customHeight="1" s="17">
      <c r="A20" s="38" t="inlineStr">
        <is>
          <t>Pendiente promedio (MDE)</t>
        </is>
      </c>
      <c r="B20" s="39" t="inlineStr">
        <is>
          <t>26.25 %</t>
        </is>
      </c>
      <c r="C20" s="38" t="inlineStr">
        <is>
          <t>Clase equivalente</t>
        </is>
      </c>
      <c r="D20" s="39" t="inlineStr">
        <is>
          <t>25-50 % (Mod. escarpado)</t>
        </is>
      </c>
    </row>
    <row r="21" ht="15" customHeight="1" s="17">
      <c r="A21" s="38" t="inlineStr">
        <is>
          <t>Forma del terreno</t>
        </is>
      </c>
      <c r="B21" s="39" t="inlineStr">
        <is>
          <t>Montañoso</t>
        </is>
      </c>
      <c r="C21" s="38" t="inlineStr">
        <is>
          <t>Posición fisiográfica</t>
        </is>
      </c>
      <c r="D21" s="39" t="inlineStr">
        <is>
          <t>Ladera media</t>
        </is>
      </c>
    </row>
    <row r="22" ht="15" customHeight="1" s="17">
      <c r="A22" s="38" t="inlineStr">
        <is>
          <t>Exposición dominante</t>
        </is>
      </c>
      <c r="B22" s="39" t="inlineStr">
        <is>
          <t>Noroeste</t>
        </is>
      </c>
      <c r="C22" s="38" t="inlineStr">
        <is>
          <t>Paisaje</t>
        </is>
      </c>
      <c r="D22" s="39" t="inlineStr">
        <is>
          <t>Matorral seco en mosaico agro-pecuario</t>
        </is>
      </c>
    </row>
    <row r="23" ht="18" customHeight="1" s="17">
      <c r="A23" s="37" t="inlineStr">
        <is>
          <t>COBERTURA Y ECOSISTEMA</t>
        </is>
      </c>
    </row>
    <row r="24" ht="15" customHeight="1" s="17">
      <c r="A24" s="38" t="inlineStr">
        <is>
          <t>MSAVI 2024 (media, catálogo)</t>
        </is>
      </c>
      <c r="B24" s="39" t="inlineStr">
        <is>
          <t>0.49246</t>
        </is>
      </c>
      <c r="C24" s="38" t="inlineStr">
        <is>
          <t>MSAVI reconstruido por clases</t>
        </is>
      </c>
      <c r="D24" s="39" t="inlineStr">
        <is>
          <t>0.4939 (Δ 0.0014)</t>
        </is>
      </c>
    </row>
    <row r="25" ht="15" customHeight="1" s="17">
      <c r="A25" s="38" t="inlineStr">
        <is>
          <t>Superficie bajo umbral MSAVI 0.4976</t>
        </is>
      </c>
      <c r="B25" s="39" t="inlineStr">
        <is>
          <t>10.717 ha (54.64 %)</t>
        </is>
      </c>
      <c r="C25" s="38" t="inlineStr">
        <is>
          <t>Clase dominante MSAVI</t>
        </is>
      </c>
      <c r="D25" s="39" t="inlineStr">
        <is>
          <t>0.3813 – 0.4976 (46.16 %)</t>
        </is>
      </c>
    </row>
    <row r="26" ht="15" customHeight="1" s="17">
      <c r="A26" s="38" t="inlineStr">
        <is>
          <t>NDVI mediana 2025 — clase dominante</t>
        </is>
      </c>
      <c r="B26" s="39" t="inlineStr">
        <is>
          <t>Vegetación mediana (51.82 %)</t>
        </is>
      </c>
      <c r="C26" s="38" t="inlineStr">
        <is>
          <t>NDVI — vegetación alta</t>
        </is>
      </c>
      <c r="D26" s="39" t="inlineStr">
        <is>
          <t>45.89 %</t>
        </is>
      </c>
    </row>
    <row r="27" ht="15" customHeight="1" s="17">
      <c r="A27" s="38" t="inlineStr">
        <is>
          <t>Ecosistema (preliminar)</t>
        </is>
      </c>
      <c r="B27" s="39" t="inlineStr">
        <is>
          <t>Bes-cm en mosaico agro-forestal</t>
        </is>
      </c>
      <c r="C27" s="38" t="inlineStr">
        <is>
          <t>Estado de conservación</t>
        </is>
      </c>
      <c r="D27" s="39" t="inlineStr">
        <is>
          <t>Alterado (intervención marcada)</t>
        </is>
      </c>
    </row>
    <row r="28" ht="15" customHeight="1" s="17">
      <c r="A28" s="38" t="inlineStr">
        <is>
          <t>Uso dominante del suelo</t>
        </is>
      </c>
      <c r="B28" s="39" t="inlineStr">
        <is>
          <t>Uso mixto</t>
        </is>
      </c>
      <c r="C28" s="38" t="inlineStr">
        <is>
          <t>Regeneración natural</t>
        </is>
      </c>
      <c r="D28" s="39" t="inlineStr">
        <is>
          <t>Escasa (&lt;10 pl./100 m²)</t>
        </is>
      </c>
    </row>
    <row r="29" ht="18" customHeight="1" s="17">
      <c r="A29" s="37" t="inlineStr">
        <is>
          <t>VERIFICACIÓN DE CAMPO</t>
        </is>
      </c>
    </row>
    <row r="30" ht="15" customHeight="1" s="17">
      <c r="A30" s="38" t="inlineStr">
        <is>
          <t>Fecha y hora</t>
        </is>
      </c>
      <c r="B30" s="39" t="inlineStr">
        <is>
          <t>19-08-2026 · 14:20 – 14:29 h</t>
        </is>
      </c>
      <c r="C30" s="38" t="inlineStr">
        <is>
          <t>Modalidad</t>
        </is>
      </c>
      <c r="D30" s="39" t="inlineStr">
        <is>
          <t>Recorrido vehicular con registro fotográfico georreferenciado</t>
        </is>
      </c>
    </row>
    <row r="31" ht="15" customHeight="1" s="17">
      <c r="A31" s="38" t="inlineStr">
        <is>
          <t>Evaluador / responsable</t>
        </is>
      </c>
      <c r="B31" s="39" t="inlineStr">
        <is>
          <t>Ing. Pedro Talledo Hernández</t>
        </is>
      </c>
      <c r="C31" s="38" t="inlineStr">
        <is>
          <t>Sistema de referencia</t>
        </is>
      </c>
      <c r="D31" s="39" t="inlineStr">
        <is>
          <t>UTM WGS 84 Zona 17 S (EPSG:32717)</t>
        </is>
      </c>
    </row>
    <row r="32" ht="15" customHeight="1" s="17">
      <c r="A32" s="38" t="inlineStr">
        <is>
          <t>Estaciones registradas</t>
        </is>
      </c>
      <c r="B32" s="39" t="inlineStr">
        <is>
          <t>10 tomas en 4 posiciones</t>
        </is>
      </c>
      <c r="C32" s="38" t="inlineStr">
        <is>
          <t>Estaciones dentro del polígono</t>
        </is>
      </c>
      <c r="D32" s="39" t="inlineStr">
        <is>
          <t>NINGUNA (45 – 169 m fuera)</t>
        </is>
      </c>
    </row>
    <row r="33" ht="15" customHeight="1" s="17">
      <c r="A33" s="38" t="inlineStr">
        <is>
          <t>Fichas F-DT diligenciadas en campo</t>
        </is>
      </c>
      <c r="B33" s="39" t="inlineStr">
        <is>
          <t>Ninguna — prellenado de gabinete</t>
        </is>
      </c>
      <c r="C33" s="38" t="inlineStr">
        <is>
          <t>Archivos fotográficos remitidos</t>
        </is>
      </c>
      <c r="D33" s="39" t="inlineStr">
        <is>
          <t>11 (10 del B-76 + 1 rotulada Bloque 80)</t>
        </is>
      </c>
    </row>
    <row r="34" ht="18" customHeight="1" s="17">
      <c r="A34" s="37" t="inlineStr">
        <is>
          <t>SÍNTESIS DEL RIESGO</t>
        </is>
      </c>
    </row>
    <row r="35" ht="15" customHeight="1" s="17">
      <c r="A35" s="38" t="inlineStr">
        <is>
          <t>Peligro por movimientos en masa (PMM)</t>
        </is>
      </c>
      <c r="B35" s="39" t="inlineStr">
        <is>
          <t>MEDIO-ALTO</t>
        </is>
      </c>
      <c r="C35" s="38" t="inlineStr">
        <is>
          <t>Erosión potencial hídrica (EPH)</t>
        </is>
      </c>
      <c r="D35" s="39" t="inlineStr">
        <is>
          <t>ALTO</t>
        </is>
      </c>
    </row>
    <row r="36" ht="15" customHeight="1" s="17">
      <c r="A36" s="38" t="inlineStr">
        <is>
          <t>Peligro generador de inundaciones (PGI)</t>
        </is>
      </c>
      <c r="B36" s="39" t="inlineStr">
        <is>
          <t>MEDIO</t>
        </is>
      </c>
      <c r="C36" s="38" t="inlineStr">
        <is>
          <t>PELIGRO INTEGRADO PRELIMINAR</t>
        </is>
      </c>
      <c r="D36" s="39" t="inlineStr">
        <is>
          <t>ALTO</t>
        </is>
      </c>
    </row>
    <row r="37" ht="15" customHeight="1" s="17">
      <c r="A37" s="38" t="inlineStr">
        <is>
          <t>Causa dominante de degradación</t>
        </is>
      </c>
      <c r="B37" s="39" t="inlineStr">
        <is>
          <t>Cambio de uso a agricultura en ladera (maíz en secano)</t>
        </is>
      </c>
      <c r="C37" s="38" t="inlineStr">
        <is>
          <t>Causa codominante</t>
        </is>
      </c>
      <c r="D37" s="39" t="inlineStr">
        <is>
          <t>Expansión vial — trocha Hualanga–Sahuate</t>
        </is>
      </c>
    </row>
    <row r="38" ht="15" customHeight="1" s="17">
      <c r="A38" s="38" t="inlineStr">
        <is>
          <t>Velocidad de degradación</t>
        </is>
      </c>
      <c r="B38" s="39" t="inlineStr">
        <is>
          <t>Moderada</t>
        </is>
      </c>
      <c r="C38" s="38" t="inlineStr">
        <is>
          <t>Reversibilidad técnica</t>
        </is>
      </c>
      <c r="D38" s="39" t="inlineStr">
        <is>
          <t>Parcialmente reversible</t>
        </is>
      </c>
    </row>
    <row r="39" ht="15" customHeight="1" s="17">
      <c r="A39" s="38" t="inlineStr">
        <is>
          <t>Urgencia de intervención</t>
        </is>
      </c>
      <c r="B39" s="39" t="inlineStr">
        <is>
          <t>ALTA</t>
        </is>
      </c>
      <c r="C39" s="38" t="inlineStr">
        <is>
          <t>PRIORIDAD DE INTERVENCIÓN</t>
        </is>
      </c>
      <c r="D39" s="39" t="inlineStr">
        <is>
          <t>ALTA (recuperación)</t>
        </is>
      </c>
    </row>
  </sheetData>
  <mergeCells count="10">
    <mergeCell ref="A1:D1"/>
    <mergeCell ref="A5:D5"/>
    <mergeCell ref="A17:D17"/>
    <mergeCell ref="A23:D23"/>
    <mergeCell ref="A34:D34"/>
    <mergeCell ref="A4:D4"/>
    <mergeCell ref="A3:D3"/>
    <mergeCell ref="A29:D29"/>
    <mergeCell ref="A7:D7"/>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cols>
    <col width="38" customWidth="1" style="17" min="1" max="1"/>
    <col width="16" customWidth="1" style="17" min="2" max="4"/>
    <col width="24" customWidth="1" style="17" min="5" max="5"/>
    <col width="14" customWidth="1" style="17" min="6"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F-DT-01: DATOS GENERALES Y FISIOGRAFÍA DEL BLOQUE</t>
        </is>
      </c>
    </row>
    <row r="5" ht="27.75" customHeight="1" s="17">
      <c r="A5" s="21" t="inlineStr">
        <is>
          <t>Identificación del bloque e inventario rápido de parámetros fisiográficos observados a escala del bloque. Base para todos los formatos F-DT siguientes.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 Y LOCALIZACIÓN</t>
        </is>
      </c>
    </row>
    <row r="8" ht="19.5" customHeight="1" s="17">
      <c r="A8" s="31" t="inlineStr">
        <is>
          <t>Fecha (dd-mm-aaaa) *</t>
        </is>
      </c>
      <c r="B8" s="15" t="inlineStr">
        <is>
          <t>19-08-2026</t>
        </is>
      </c>
      <c r="C8" s="13" t="n"/>
      <c r="D8" s="14" t="n"/>
      <c r="E8" s="31" t="inlineStr">
        <is>
          <t>Hora de registro</t>
        </is>
      </c>
      <c r="F8" s="15" t="inlineStr">
        <is>
          <t>14:20 – 14:29 h</t>
        </is>
      </c>
      <c r="G8" s="13" t="n"/>
      <c r="H8" s="14" t="n"/>
    </row>
    <row r="9" ht="19.5" customHeight="1" s="17">
      <c r="A9" s="31" t="inlineStr">
        <is>
          <t>Brigada / Responsable *</t>
        </is>
      </c>
      <c r="B9" s="15" t="inlineStr">
        <is>
          <t>Ing. Pedro Talledo Hernández (evaluador)</t>
        </is>
      </c>
      <c r="C9" s="13" t="n"/>
      <c r="D9" s="14" t="n"/>
      <c r="E9" s="31" t="inlineStr">
        <is>
          <t>Ficha N° (correlativo)</t>
        </is>
      </c>
      <c r="F9" s="15" t="inlineStr">
        <is>
          <t>F-DT-01 / B-76 / 2026</t>
        </is>
      </c>
      <c r="G9" s="13" t="n"/>
      <c r="H9" s="14" t="n"/>
    </row>
    <row r="10" ht="19.5" customHeight="1" s="17">
      <c r="A10" s="31" t="inlineStr">
        <is>
          <t>Código del Bloque *</t>
        </is>
      </c>
      <c r="B10" s="15" t="inlineStr">
        <is>
          <t>76</t>
        </is>
      </c>
      <c r="C10" s="13" t="n"/>
      <c r="D10" s="14" t="n"/>
      <c r="E10" s="31" t="inlineStr">
        <is>
          <t>Código de Microcuenca</t>
        </is>
      </c>
      <c r="F10" s="12">
        <f>IFERROR(VLOOKUP($B$10,tbl_Bloques,2,FALSE()),"")</f>
        <v/>
      </c>
      <c r="G10" s="13" t="n"/>
      <c r="H10" s="14" t="n"/>
    </row>
    <row r="11" ht="19.5" customHeight="1" s="17">
      <c r="A11" s="31" t="inlineStr">
        <is>
          <t>Provincia (auto)</t>
        </is>
      </c>
      <c r="B11" s="12">
        <f>IFERROR(VLOOKUP($B$10,tbl_Bloques,3,FALSE()),"")</f>
        <v/>
      </c>
      <c r="C11" s="13" t="n"/>
      <c r="D11" s="14" t="n"/>
      <c r="E11" s="31" t="inlineStr">
        <is>
          <t>Distrito (auto)</t>
        </is>
      </c>
      <c r="F11" s="12">
        <f>IFERROR(VLOOKUP($B$10,tbl_Bloques,4,FALSE()),"")</f>
        <v/>
      </c>
      <c r="G11" s="13" t="n"/>
      <c r="H11" s="14" t="n"/>
    </row>
    <row r="12" ht="19.5" customHeight="1" s="17">
      <c r="A12" s="31" t="inlineStr">
        <is>
          <t>Zona del bloque (auto)</t>
        </is>
      </c>
      <c r="B12" s="12">
        <f>IFERROR(VLOOKUP($B$10,tbl_Bloques,5,FALSE()),"")</f>
        <v/>
      </c>
      <c r="C12" s="13" t="n"/>
      <c r="D12" s="14" t="n"/>
      <c r="E12" s="31" t="inlineStr">
        <is>
          <t>Área del bloque (ha) — auto</t>
        </is>
      </c>
      <c r="F12" s="12">
        <f>IFERROR(VLOOKUP($B$10,tbl_Bloques,8,FALSE()),"")</f>
        <v/>
      </c>
      <c r="G12" s="13" t="n"/>
      <c r="H12" s="14" t="n"/>
    </row>
    <row r="13" ht="19.5" customHeight="1" s="17">
      <c r="A13" s="31" t="inlineStr">
        <is>
          <t>UTM ESTE punto de muestreo (m) *</t>
        </is>
      </c>
      <c r="B13" s="15" t="n">
        <v>657922</v>
      </c>
      <c r="C13" s="13" t="n"/>
      <c r="D13" s="14" t="n"/>
      <c r="E13" s="31" t="inlineStr">
        <is>
          <t>UTM NORTE punto de muestreo (m) *</t>
        </is>
      </c>
      <c r="F13" s="15" t="n">
        <v>9377477</v>
      </c>
      <c r="G13" s="13" t="n"/>
      <c r="H13" s="14" t="n"/>
    </row>
    <row r="14" ht="19.5" customHeight="1" s="17">
      <c r="A14" s="31" t="inlineStr">
        <is>
          <t>Altitud GPS (msnm) *</t>
        </is>
      </c>
      <c r="B14" s="15" t="n">
        <v>1743</v>
      </c>
      <c r="C14" s="13" t="n"/>
      <c r="D14" s="14" t="n"/>
      <c r="E14" s="31" t="inlineStr">
        <is>
          <t>Centro poblado más cercano</t>
        </is>
      </c>
      <c r="F14" s="15" t="inlineStr">
        <is>
          <t>Sahuate Hualanga · Hualanga</t>
        </is>
      </c>
      <c r="G14" s="13" t="n"/>
      <c r="H14" s="14" t="n"/>
    </row>
    <row r="15" ht="19.5" customHeight="1" s="17">
      <c r="A15" s="31" t="inlineStr">
        <is>
          <t>Comunidad Campesina (si aplica)</t>
        </is>
      </c>
      <c r="B15" s="15" t="inlineStr">
        <is>
          <t>Por verificar</t>
        </is>
      </c>
      <c r="C15" s="13" t="n"/>
      <c r="D15" s="13" t="n"/>
      <c r="E15" s="13" t="n"/>
      <c r="F15" s="13" t="n"/>
      <c r="G15" s="13" t="n"/>
      <c r="H15" s="14" t="n"/>
    </row>
    <row r="17" ht="21.75" customHeight="1" s="17">
      <c r="A17" s="19" t="inlineStr">
        <is>
          <t>2. CARACTERIZACIÓN FISIOGRÁFICA DEL BLOQUE</t>
        </is>
      </c>
    </row>
    <row r="18" ht="19.5" customHeight="1" s="17">
      <c r="A18" s="31" t="inlineStr">
        <is>
          <t>Forma predominante del terreno *</t>
        </is>
      </c>
      <c r="B18" s="15" t="inlineStr">
        <is>
          <t>Montañoso</t>
        </is>
      </c>
      <c r="C18" s="13" t="n"/>
      <c r="D18" s="13" t="n"/>
      <c r="E18" s="13" t="n"/>
      <c r="F18" s="13" t="n"/>
      <c r="G18" s="13" t="n"/>
      <c r="H18" s="14" t="n"/>
    </row>
    <row r="19" ht="19.5" customHeight="1" s="17">
      <c r="A19" s="31" t="inlineStr">
        <is>
          <t>Rango de pendiente dominante *</t>
        </is>
      </c>
      <c r="B19" s="15" t="inlineStr">
        <is>
          <t>25-50% (Mod. escarpado)</t>
        </is>
      </c>
      <c r="C19" s="13" t="n"/>
      <c r="D19" s="13" t="n"/>
      <c r="E19" s="13" t="n"/>
      <c r="F19" s="13" t="n"/>
      <c r="G19" s="13" t="n"/>
      <c r="H19" s="14" t="n"/>
    </row>
    <row r="20" ht="19.5" customHeight="1" s="17">
      <c r="A20" s="31" t="inlineStr">
        <is>
          <t>Posición fisiográfica *</t>
        </is>
      </c>
      <c r="B20" s="15" t="inlineStr">
        <is>
          <t>Ladera media</t>
        </is>
      </c>
      <c r="C20" s="13" t="n"/>
      <c r="D20" s="13" t="n"/>
      <c r="E20" s="13" t="n"/>
      <c r="F20" s="13" t="n"/>
      <c r="G20" s="13" t="n"/>
      <c r="H20" s="14" t="n"/>
    </row>
    <row r="21" ht="19.5" customHeight="1" s="17">
      <c r="A21" s="31" t="inlineStr">
        <is>
          <t>Exposición / Orientación dominante *</t>
        </is>
      </c>
      <c r="B21" s="15" t="inlineStr">
        <is>
          <t>Noroeste</t>
        </is>
      </c>
      <c r="C21" s="13" t="n"/>
      <c r="D21" s="13" t="n"/>
      <c r="E21" s="13" t="n"/>
      <c r="F21" s="13" t="n"/>
      <c r="G21" s="13" t="n"/>
      <c r="H21" s="14" t="n"/>
    </row>
    <row r="22" ht="19.5" customHeight="1" s="17">
      <c r="A22" s="31" t="inlineStr">
        <is>
          <t>Rango altitudinal del bloque *</t>
        </is>
      </c>
      <c r="B22" s="15" t="inlineStr">
        <is>
          <t>1500-2000 m (Quechua media)</t>
        </is>
      </c>
      <c r="C22" s="13" t="n"/>
      <c r="D22" s="13" t="n"/>
      <c r="E22" s="13" t="n"/>
      <c r="F22" s="13" t="n"/>
      <c r="G22" s="13" t="n"/>
      <c r="H22" s="14" t="n"/>
    </row>
    <row r="23" ht="19.5" customHeight="1" s="17">
      <c r="A23" s="31" t="inlineStr">
        <is>
          <t>Paisaje dominante (descripción libre)</t>
        </is>
      </c>
      <c r="B23" s="15" t="inlineStr">
        <is>
          <t>Ladera de montaña de exposición NO que desciende desde la divisoria de 1 838 msnm (SE) hasta 1 647 msnm (NO), tributaria de la quebrada Q9593. Mosaico de matorral seco espinoso con faique y agave, pastizal natural en fuerte estiaje, parcelas de maíz en secano sobre ladera, rodales dispersos de eucalipto y huertos familiares de plátano en el entorno de los caseríos Hualanga y Sahuate Hualanga. Trocha carrozable con taludes de corte frescos en el borde occidental y septentrional del bloque.</t>
        </is>
      </c>
      <c r="C23" s="13" t="n"/>
      <c r="D23" s="13" t="n"/>
      <c r="E23" s="13" t="n"/>
      <c r="F23" s="13" t="n"/>
      <c r="G23" s="13" t="n"/>
      <c r="H23" s="14" t="n"/>
    </row>
    <row r="25" ht="21.75" customHeight="1" s="17">
      <c r="A25" s="19" t="inlineStr">
        <is>
          <t>3. INDICIOS DE REMOCIÓN EN MASA E INESTABILIDAD</t>
        </is>
      </c>
    </row>
    <row r="26" ht="19.5" customHeight="1" s="17">
      <c r="A26" s="31" t="inlineStr">
        <is>
          <t>Presencia de afloramientos rocosos</t>
        </is>
      </c>
      <c r="B26" s="15" t="inlineStr">
        <is>
          <t>Sí</t>
        </is>
      </c>
      <c r="C26" s="13" t="n"/>
      <c r="D26" s="13" t="n"/>
      <c r="E26" s="13" t="n"/>
      <c r="F26" s="13" t="n"/>
      <c r="G26" s="13" t="n"/>
      <c r="H26" s="14" t="n"/>
    </row>
    <row r="27" ht="19.5" customHeight="1" s="17">
      <c r="A27" s="31" t="inlineStr">
        <is>
          <t>Presencia de escarpes activos *</t>
        </is>
      </c>
      <c r="B27" s="15" t="inlineStr">
        <is>
          <t>Sí</t>
        </is>
      </c>
      <c r="C27" s="13" t="n"/>
      <c r="D27" s="13" t="n"/>
      <c r="E27" s="13" t="n"/>
      <c r="F27" s="13" t="n"/>
      <c r="G27" s="13" t="n"/>
      <c r="H27" s="14" t="n"/>
    </row>
    <row r="28" ht="19.5" customHeight="1" s="17">
      <c r="A28" s="31" t="inlineStr">
        <is>
          <t>¿Reptación de suelo observada? *</t>
        </is>
      </c>
      <c r="B28" s="15" t="inlineStr">
        <is>
          <t>No</t>
        </is>
      </c>
      <c r="C28" s="13" t="n"/>
      <c r="D28" s="13" t="n"/>
      <c r="E28" s="13" t="n"/>
      <c r="F28" s="13" t="n"/>
      <c r="G28" s="13" t="n"/>
      <c r="H28" s="14" t="n"/>
    </row>
    <row r="29" ht="19.5" customHeight="1" s="17">
      <c r="A29" s="31" t="inlineStr">
        <is>
          <t>¿Deslizamientos antiguos observados?</t>
        </is>
      </c>
      <c r="B29" s="15" t="inlineStr">
        <is>
          <t>No</t>
        </is>
      </c>
      <c r="C29" s="13" t="n"/>
      <c r="D29" s="13" t="n"/>
      <c r="E29" s="13" t="n"/>
      <c r="F29" s="13" t="n"/>
      <c r="G29" s="13" t="n"/>
      <c r="H29" s="14" t="n"/>
    </row>
    <row r="30" ht="19.5" customHeight="1" s="17">
      <c r="A30" s="31" t="inlineStr">
        <is>
          <t>¿Remociones en masa activas? *</t>
        </is>
      </c>
      <c r="B30" s="15" t="inlineStr">
        <is>
          <t>Sí</t>
        </is>
      </c>
      <c r="C30" s="13" t="n"/>
      <c r="D30" s="13" t="n"/>
      <c r="E30" s="13" t="n"/>
      <c r="F30" s="13" t="n"/>
      <c r="G30" s="13" t="n"/>
      <c r="H30" s="14" t="n"/>
    </row>
    <row r="32" ht="21.75" customHeight="1" s="17">
      <c r="A32" s="19" t="inlineStr">
        <is>
          <t>OBSERVACIONES</t>
        </is>
      </c>
    </row>
    <row r="33" ht="27.75" customHeight="1" s="17">
      <c r="A33" s="23" t="inlineStr">
        <is>
          <t>VERIFICACIÓN DE CAMPO DEL 19-08-2026 — recorrido vehicular por la trocha Hualanga–Sahuate con registro fotográfico georreferenciado (sello UTM 17M impreso); 10 tomas en 4 posiciones. LA FICHA NO FUE DILIGENCIADA EN CAMPO: los valores consignados son un PRELLENADO DE GABINETE a partir de estadística zonal sobre el MDE, catálogos maestros (Bloques V5, Bloques V4, CP´s y Bloques V5) y clasificación de los planos temáticos MSAVI 2024 y NDVI mediana 2025. || CONTROL GEOMÉTRICO: las 10 estaciones se localizan FUERA del polígono, entre ~45 y ~169 m de su límite occidental y septentrional; el interior del bloque NO fue verificado. || Las coordenadas del punto de muestreo corresponden al CENTROIDE del polígono (tabla Bloques V4), no a un punto GPS de campo. La altitud consignada es la cota media del MDE (rango 1 647 – 1 838 msnm); NO se registró altitud GPS. || Indicios 26/27/30: afloramientos de roca meteorizada y saprolito, taludes de corte activos de 2–5 m y colapso del borde de plataforma observados en el corredor vial perimetral (E-04, E-05, E-06, E-07, E-08, E-09); su ocurrencia dentro del polígono no ha sido verificada. || Pendiente promedio del bloque (MDE) = 26.25 %; exposición dominante deducida de la disposición de las curvas de nivel (1 600 al NO – 1 850 al SE).</t>
        </is>
      </c>
      <c r="B33" s="24" t="n"/>
      <c r="C33" s="24" t="n"/>
      <c r="D33" s="24" t="n"/>
      <c r="E33" s="24" t="n"/>
      <c r="F33" s="24" t="n"/>
      <c r="G33" s="24" t="n"/>
      <c r="H33" s="25" t="n"/>
    </row>
    <row r="34" ht="27.75" customHeight="1" s="17">
      <c r="A34" s="26" t="n"/>
      <c r="H34" s="27" t="n"/>
    </row>
    <row r="35" ht="27.75" customHeight="1" s="17">
      <c r="A35" s="28" t="n"/>
      <c r="B35" s="29" t="n"/>
      <c r="C35" s="29" t="n"/>
      <c r="D35" s="29" t="n"/>
      <c r="E35" s="29" t="n"/>
      <c r="F35" s="29" t="n"/>
      <c r="G35" s="29" t="n"/>
      <c r="H35" s="30" t="n"/>
    </row>
  </sheetData>
  <mergeCells count="37">
    <mergeCell ref="B11:D11"/>
    <mergeCell ref="B14:D14"/>
    <mergeCell ref="B8:D8"/>
    <mergeCell ref="F8:H8"/>
    <mergeCell ref="B30:H30"/>
    <mergeCell ref="B13:D13"/>
    <mergeCell ref="B15:H15"/>
    <mergeCell ref="A1:H1"/>
    <mergeCell ref="B20:H20"/>
    <mergeCell ref="A6:H6"/>
    <mergeCell ref="B10:D10"/>
    <mergeCell ref="B26:H26"/>
    <mergeCell ref="A7:H7"/>
    <mergeCell ref="F13:H13"/>
    <mergeCell ref="A25:H25"/>
    <mergeCell ref="B9:D9"/>
    <mergeCell ref="F9:H9"/>
    <mergeCell ref="B22:H22"/>
    <mergeCell ref="A3:H3"/>
    <mergeCell ref="B27:H27"/>
    <mergeCell ref="F14:H14"/>
    <mergeCell ref="B18:H18"/>
    <mergeCell ref="B21:H21"/>
    <mergeCell ref="A2:H2"/>
    <mergeCell ref="A5:H5"/>
    <mergeCell ref="A32:H32"/>
    <mergeCell ref="F11:H11"/>
    <mergeCell ref="B23:H23"/>
    <mergeCell ref="A17:H17"/>
    <mergeCell ref="A4:H4"/>
    <mergeCell ref="F10:H10"/>
    <mergeCell ref="A33:H35"/>
    <mergeCell ref="B29:H29"/>
    <mergeCell ref="F12:H12"/>
    <mergeCell ref="B12:D12"/>
    <mergeCell ref="B19:H19"/>
    <mergeCell ref="B28:H28"/>
  </mergeCells>
  <dataValidations count="11">
    <dataValidation sqref="B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8" showDropDown="0" showInputMessage="0" showErrorMessage="0" allowBlank="1" errorTitle="Valor no válido" error="Seleccione un valor de la lista desplegable." promptTitle="Forma predominante del terreno" prompt="Elija una opción de la lista." type="list">
      <formula1>lst_FormaTerreno</formula1>
      <formula2>0</formula2>
    </dataValidation>
    <dataValidation sqref="B19" showDropDown="0" showInputMessage="0" showErrorMessage="0" allowBlank="1" errorTitle="Valor no válido" error="Seleccione un valor de la lista desplegable." promptTitle="Rango de pendiente dominante *" prompt="Elija una opción de la lista." type="list">
      <formula1>lst_RangoPendiente</formula1>
      <formula2>0</formula2>
    </dataValidation>
    <dataValidation sqref="B20" showDropDown="0" showInputMessage="0" showErrorMessage="0" allowBlank="1" errorTitle="Valor no válido" error="Seleccione un valor de la lista desplegable." promptTitle="Posición fisiográfica *" prompt="Elija una opción de la lista." type="list">
      <formula1>lst_PosicionFisio</formula1>
      <formula2>0</formula2>
    </dataValidation>
    <dataValidation sqref="B21" showDropDown="0" showInputMessage="0" showErrorMessage="0" allowBlank="1" errorTitle="Valor no válido" error="Seleccione un valor de la lista desplegable." promptTitle="Exposición / Orientación domin" prompt="Elija una opción de la lista." type="list">
      <formula1>lst_Exposicion</formula1>
      <formula2>0</formula2>
    </dataValidation>
    <dataValidation sqref="B22" showDropDown="0" showInputMessage="0" showErrorMessage="0" allowBlank="1" errorTitle="Valor no válido" error="Seleccione un valor de la lista desplegable." promptTitle="Rango altitudinal del bloque *" prompt="Elija una opción de la lista." type="list">
      <formula1>lst_RangoAltitud</formula1>
      <formula2>0</formula2>
    </dataValidation>
    <dataValidation sqref="B26" showDropDown="0" showInputMessage="0" showErrorMessage="0" allowBlank="1" errorTitle="Valor no válido" error="Seleccione un valor de la lista desplegable." promptTitle="Presencia de afloramientos roc" prompt="Elija una opción de la lista." type="list">
      <formula1>lst_SiNo</formula1>
      <formula2>0</formula2>
    </dataValidation>
    <dataValidation sqref="B27" showDropDown="0" showInputMessage="0" showErrorMessage="0" allowBlank="1" errorTitle="Valor no válido" error="Seleccione un valor de la lista desplegable." promptTitle="Presencia de escarpes activos " prompt="Elija una opción de la lista." type="list">
      <formula1>lst_SiNo</formula1>
      <formula2>0</formula2>
    </dataValidation>
    <dataValidation sqref="B28" showDropDown="0" showInputMessage="0" showErrorMessage="0" allowBlank="1" errorTitle="Valor no válido" error="Seleccione un valor de la lista desplegable." promptTitle="¿Reptación de suelo observada?" prompt="Elija una opción de la lista." type="list">
      <formula1>lst_SiNo</formula1>
      <formula2>0</formula2>
    </dataValidation>
    <dataValidation sqref="B29" showDropDown="0" showInputMessage="0" showErrorMessage="0" allowBlank="1" errorTitle="Valor no válido" error="Seleccione un valor de la lista desplegable." promptTitle="¿Deslizamientos antiguos obser" prompt="Elija una opción de la lista." type="list">
      <formula1>lst_SiNo</formula1>
      <formula2>0</formula2>
    </dataValidation>
    <dataValidation sqref="B30" showDropDown="0" showInputMessage="0" showErrorMessage="0" allowBlank="1" errorTitle="Valor no válido" error="Seleccione un valor de la lista desplegable." promptTitle="¿Remociones en masa activas? *"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3.xml><?xml version="1.0" encoding="utf-8"?>
<worksheet xmlns="http://schemas.openxmlformats.org/spreadsheetml/2006/main">
  <sheetPr>
    <outlinePr summaryBelow="1" summaryRight="1"/>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cols>
    <col width="10" customWidth="1" style="17" min="1" max="1"/>
    <col width="26" customWidth="1" style="17" min="2" max="2"/>
    <col width="11" customWidth="1" style="17" min="3" max="3"/>
    <col width="12" customWidth="1" style="17" min="4" max="4"/>
    <col width="11" customWidth="1" style="17" min="5" max="5"/>
    <col width="12" customWidth="1" style="17" min="6" max="6"/>
    <col width="9" customWidth="1" style="17" min="7" max="9"/>
    <col width="18" customWidth="1" style="17" min="10" max="10"/>
    <col width="22" customWidth="1" style="17" min="11" max="11"/>
    <col width="14" customWidth="1" style="17" min="12" max="12"/>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F-DT-02: SUELO Y PROCESOS EROSIVOS (INCL. INVENTARIO DE CÁRCAVAS)</t>
        </is>
      </c>
    </row>
    <row r="5" ht="27.75" customHeight="1" s="17">
      <c r="A5" s="21" t="inlineStr">
        <is>
          <t>Caracterización de procesos erosivos del suelo a escala de bloque + inventario georreferenciado de cárcavas/surcos. Insumo para diseño de obras de control de erosión.</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19-08-2026</t>
        </is>
      </c>
      <c r="B8" s="13" t="n"/>
      <c r="C8" s="14" t="n"/>
      <c r="D8" s="15" t="n"/>
      <c r="E8" s="13" t="n"/>
      <c r="F8" s="14" t="n"/>
      <c r="G8" s="31" t="inlineStr">
        <is>
          <t>Ing. Pedro Talledo Hernández (evaluador)</t>
        </is>
      </c>
      <c r="H8" s="13" t="n"/>
      <c r="I8" s="14" t="n"/>
      <c r="J8" s="15" t="n"/>
      <c r="K8" s="13" t="n"/>
      <c r="L8" s="14" t="n"/>
    </row>
    <row r="9" ht="19.5" customHeight="1" s="17">
      <c r="A9" s="31" t="inlineStr">
        <is>
          <t>76</t>
        </is>
      </c>
      <c r="B9" s="13" t="n"/>
      <c r="C9" s="14" t="n"/>
      <c r="D9" s="15" t="inlineStr">
        <is>
          <t>76</t>
        </is>
      </c>
      <c r="E9" s="13" t="n"/>
      <c r="F9" s="14" t="n"/>
      <c r="G9" s="31" t="inlineStr">
        <is>
          <t>Código de Microcuenca (auto)</t>
        </is>
      </c>
      <c r="H9" s="13" t="n"/>
      <c r="I9" s="14" t="n"/>
      <c r="J9" s="12">
        <f>IFERROR(VLOOKUP($D$9,tbl_Bloques,2,FALSE()),"")</f>
        <v/>
      </c>
      <c r="K9" s="13" t="n"/>
      <c r="L9" s="14" t="n"/>
    </row>
    <row r="10" ht="19.5" customHeight="1" s="17">
      <c r="A10" s="31" t="inlineStr">
        <is>
          <t>Distrito (auto)</t>
        </is>
      </c>
      <c r="B10" s="13" t="n"/>
      <c r="C10" s="14" t="n"/>
      <c r="D10" s="12">
        <f>IFERROR(VLOOKUP($D$9,tbl_Bloques,4,FALSE()),"")</f>
        <v/>
      </c>
      <c r="E10" s="13" t="n"/>
      <c r="F10" s="14" t="n"/>
      <c r="G10" s="31" t="inlineStr">
        <is>
          <t>Altitud (msnm)</t>
        </is>
      </c>
      <c r="H10" s="13" t="n"/>
      <c r="I10" s="14" t="n"/>
      <c r="J10" s="15" t="n">
        <v>1743</v>
      </c>
      <c r="K10" s="13" t="n"/>
      <c r="L10" s="14" t="n"/>
    </row>
    <row r="11" ht="19.5" customHeight="1" s="17">
      <c r="A11" s="31" t="n">
        <v>657922</v>
      </c>
      <c r="B11" s="13" t="n"/>
      <c r="C11" s="14" t="n"/>
      <c r="D11" s="15" t="n">
        <v>657922</v>
      </c>
      <c r="E11" s="13" t="n"/>
      <c r="F11" s="14" t="n"/>
      <c r="G11" s="31" t="inlineStr">
        <is>
          <t>UTM NORTE punto de muestreo *</t>
        </is>
      </c>
      <c r="H11" s="13" t="n"/>
      <c r="I11" s="14" t="n"/>
      <c r="J11" s="15" t="n">
        <v>9377477</v>
      </c>
      <c r="K11" s="13" t="n"/>
      <c r="L11" s="14" t="n"/>
    </row>
    <row r="13" ht="21.75" customHeight="1" s="17">
      <c r="A13" s="19" t="inlineStr">
        <is>
          <t>2. DESCRIPCIÓN DE PROCESOS EROSIVOS DEL SUELO</t>
        </is>
      </c>
    </row>
    <row r="14" ht="19.5" customHeight="1" s="17">
      <c r="A14" s="31" t="inlineStr">
        <is>
          <t>Sellamiento / Costra superficial</t>
        </is>
      </c>
      <c r="B14" s="13" t="n"/>
      <c r="C14" s="14" t="n"/>
      <c r="D14" s="15" t="inlineStr">
        <is>
          <t>Sí</t>
        </is>
      </c>
      <c r="E14" s="13" t="n"/>
      <c r="F14" s="13" t="n"/>
      <c r="G14" s="13" t="n"/>
      <c r="H14" s="13" t="n"/>
      <c r="I14" s="13" t="n"/>
      <c r="J14" s="13" t="n"/>
      <c r="K14" s="13" t="n"/>
      <c r="L14" s="14" t="n"/>
    </row>
    <row r="15" ht="19.5" customHeight="1" s="17">
      <c r="A15" s="31" t="inlineStr">
        <is>
          <t>¿Compactación por pisoteo de ganado?</t>
        </is>
      </c>
      <c r="B15" s="13" t="n"/>
      <c r="C15" s="14" t="n"/>
      <c r="D15" s="15" t="inlineStr">
        <is>
          <t>Sí</t>
        </is>
      </c>
      <c r="E15" s="13" t="n"/>
      <c r="F15" s="13" t="n"/>
      <c r="G15" s="13" t="n"/>
      <c r="H15" s="13" t="n"/>
      <c r="I15" s="13" t="n"/>
      <c r="J15" s="13" t="n"/>
      <c r="K15" s="13" t="n"/>
      <c r="L15" s="14" t="n"/>
    </row>
    <row r="16" ht="19.5" customHeight="1" s="17">
      <c r="A16" s="31" t="inlineStr">
        <is>
          <t>¿Raíces expuestas en superficie?</t>
        </is>
      </c>
      <c r="B16" s="13" t="n"/>
      <c r="C16" s="14" t="n"/>
      <c r="D16" s="15" t="inlineStr">
        <is>
          <t>Sí</t>
        </is>
      </c>
      <c r="E16" s="13" t="n"/>
      <c r="F16" s="13" t="n"/>
      <c r="G16" s="13" t="n"/>
      <c r="H16" s="13" t="n"/>
      <c r="I16" s="13" t="n"/>
      <c r="J16" s="13" t="n"/>
      <c r="K16" s="13" t="n"/>
      <c r="L16" s="14" t="n"/>
    </row>
    <row r="17" ht="19.5" customHeight="1" s="17">
      <c r="A17" s="31" t="inlineStr">
        <is>
          <t>Nivel general de erosión observado *</t>
        </is>
      </c>
      <c r="B17" s="13" t="n"/>
      <c r="C17" s="14" t="n"/>
      <c r="D17" s="15" t="inlineStr">
        <is>
          <t>Fuerte (cárcavas incipientes)</t>
        </is>
      </c>
      <c r="E17" s="13" t="n"/>
      <c r="F17" s="13" t="n"/>
      <c r="G17" s="13" t="n"/>
      <c r="H17" s="13" t="n"/>
      <c r="I17" s="13" t="n"/>
      <c r="J17" s="13" t="n"/>
      <c r="K17" s="13" t="n"/>
      <c r="L17" s="14" t="n"/>
    </row>
    <row r="19" ht="21.75" customHeight="1" s="17">
      <c r="A19" s="19" t="inlineStr">
        <is>
          <t>3. INVENTARIO GEORREFERENCIADO DE CÁRCAVAS / SURCOS</t>
        </is>
      </c>
    </row>
    <row r="20" ht="25.5" customHeight="1" s="17">
      <c r="A20" s="32" t="inlineStr">
        <is>
          <t>Registre una fila por cárcava o grupo de surcos homogéneos. Use los desplegables en columnas Tipo, Estado y Causa principal.</t>
        </is>
      </c>
      <c r="B20" s="13" t="n"/>
      <c r="C20" s="13" t="n"/>
      <c r="D20" s="13" t="n"/>
      <c r="E20" s="13" t="n"/>
      <c r="F20" s="13" t="n"/>
      <c r="G20" s="13" t="n"/>
      <c r="H20" s="13" t="n"/>
      <c r="I20" s="13" t="n"/>
      <c r="J20" s="13" t="n"/>
      <c r="K20" s="13" t="n"/>
      <c r="L20" s="14" t="n"/>
    </row>
    <row r="21" ht="31.5" customHeight="1" s="17">
      <c r="A21" s="2" t="inlineStr">
        <is>
          <t>Código
cárcava</t>
        </is>
      </c>
      <c r="B21" s="2" t="inlineStr">
        <is>
          <t>Tipo</t>
        </is>
      </c>
      <c r="C21" s="2" t="inlineStr">
        <is>
          <t>UTM ESTE
(inicio)</t>
        </is>
      </c>
      <c r="D21" s="2" t="inlineStr">
        <is>
          <t>UTM NORTE
(inicio)</t>
        </is>
      </c>
      <c r="E21" s="2" t="inlineStr">
        <is>
          <t>UTM ESTE
(fin)</t>
        </is>
      </c>
      <c r="F21" s="2" t="inlineStr">
        <is>
          <t>UTM NORTE
(fin)</t>
        </is>
      </c>
      <c r="G21" s="2" t="inlineStr">
        <is>
          <t>Long.
(m)</t>
        </is>
      </c>
      <c r="H21" s="2" t="inlineStr">
        <is>
          <t>Prof.
med. (m)</t>
        </is>
      </c>
      <c r="I21" s="2" t="inlineStr">
        <is>
          <t>Ancho
med. (m)</t>
        </is>
      </c>
      <c r="J21" s="2" t="inlineStr">
        <is>
          <t>Estado /
Actividad</t>
        </is>
      </c>
      <c r="K21" s="2" t="inlineStr">
        <is>
          <t>Causa
principal</t>
        </is>
      </c>
      <c r="L21" s="2" t="inlineStr">
        <is>
          <t>Cód.
Fotografía</t>
        </is>
      </c>
    </row>
    <row r="22" ht="19.5" customHeight="1" s="17">
      <c r="A22" s="3" t="inlineStr">
        <is>
          <t>C-01</t>
        </is>
      </c>
      <c r="B22" s="3" t="inlineStr">
        <is>
          <t>Cárcava somera (0.5-2 m)</t>
        </is>
      </c>
      <c r="C22" s="3" t="n">
        <v>657703</v>
      </c>
      <c r="D22" s="3" t="n">
        <v>9377569</v>
      </c>
      <c r="E22" s="3" t="n"/>
      <c r="F22" s="3" t="n"/>
      <c r="G22" s="3" t="n"/>
      <c r="H22" s="3" t="n"/>
      <c r="I22" s="3" t="n"/>
      <c r="J22" s="3" t="inlineStr">
        <is>
          <t>Activa</t>
        </is>
      </c>
      <c r="K22" s="4" t="inlineStr">
        <is>
          <t>Concentración natural de escorrentía</t>
        </is>
      </c>
      <c r="L22" s="3" t="inlineStr">
        <is>
          <t>E-04 / E-05</t>
        </is>
      </c>
    </row>
    <row r="23" ht="19.5" customHeight="1" s="17">
      <c r="A23" s="3" t="inlineStr">
        <is>
          <t>C-02</t>
        </is>
      </c>
      <c r="B23" s="3" t="inlineStr">
        <is>
          <t>Cárcava incipiente (30-50 cm)</t>
        </is>
      </c>
      <c r="C23" s="3" t="n">
        <v>657554</v>
      </c>
      <c r="D23" s="3" t="n">
        <v>9377128</v>
      </c>
      <c r="E23" s="3" t="n"/>
      <c r="F23" s="3" t="n"/>
      <c r="G23" s="3" t="n"/>
      <c r="H23" s="3" t="n"/>
      <c r="I23" s="3" t="n"/>
      <c r="J23" s="3" t="inlineStr">
        <is>
          <t>Activa</t>
        </is>
      </c>
      <c r="K23" s="4" t="inlineStr">
        <is>
          <t>Cambio de uso del suelo</t>
        </is>
      </c>
      <c r="L23" s="3" t="inlineStr">
        <is>
          <t>E-08 / E-09</t>
        </is>
      </c>
    </row>
    <row r="24" ht="19.5" customHeight="1" s="17">
      <c r="A24" s="3" t="n"/>
      <c r="B24" s="3" t="n"/>
      <c r="C24" s="3" t="n"/>
      <c r="D24" s="3" t="n"/>
      <c r="E24" s="3" t="n"/>
      <c r="F24" s="3" t="n"/>
      <c r="G24" s="3" t="n"/>
      <c r="H24" s="3" t="n"/>
      <c r="I24" s="3" t="n"/>
      <c r="J24" s="3" t="n"/>
      <c r="K24" s="4" t="n"/>
      <c r="L24" s="3" t="n"/>
    </row>
    <row r="25" ht="19.5" customHeight="1" s="17">
      <c r="A25" s="3" t="n"/>
      <c r="B25" s="3" t="n"/>
      <c r="C25" s="3" t="n"/>
      <c r="D25" s="3" t="n"/>
      <c r="E25" s="3" t="n"/>
      <c r="F25" s="3" t="n"/>
      <c r="G25" s="3" t="n"/>
      <c r="H25" s="3" t="n"/>
      <c r="I25" s="3" t="n"/>
      <c r="J25" s="3" t="n"/>
      <c r="K25" s="4" t="n"/>
      <c r="L25" s="3" t="n"/>
    </row>
    <row r="26" ht="19.5" customHeight="1" s="17">
      <c r="A26" s="3" t="n"/>
      <c r="B26" s="3" t="n"/>
      <c r="C26" s="3" t="n"/>
      <c r="D26" s="3" t="n"/>
      <c r="E26" s="3" t="n"/>
      <c r="F26" s="3" t="n"/>
      <c r="G26" s="3" t="n"/>
      <c r="H26" s="3" t="n"/>
      <c r="I26" s="3" t="n"/>
      <c r="J26" s="3" t="n"/>
      <c r="K26" s="4" t="n"/>
      <c r="L26" s="3" t="n"/>
    </row>
    <row r="27" ht="19.5" customHeight="1" s="17">
      <c r="A27" s="3" t="n"/>
      <c r="B27" s="3" t="n"/>
      <c r="C27" s="3" t="n"/>
      <c r="D27" s="3" t="n"/>
      <c r="E27" s="3" t="n"/>
      <c r="F27" s="3" t="n"/>
      <c r="G27" s="3" t="n"/>
      <c r="H27" s="3" t="n"/>
      <c r="I27" s="3" t="n"/>
      <c r="J27" s="3" t="n"/>
      <c r="K27" s="4" t="n"/>
      <c r="L27" s="3" t="n"/>
    </row>
    <row r="28" ht="19.5" customHeight="1" s="17">
      <c r="A28" s="3" t="n"/>
      <c r="B28" s="3" t="n"/>
      <c r="C28" s="3" t="n"/>
      <c r="D28" s="3" t="n"/>
      <c r="E28" s="3" t="n"/>
      <c r="F28" s="3" t="n"/>
      <c r="G28" s="3" t="n"/>
      <c r="H28" s="3" t="n"/>
      <c r="I28" s="3" t="n"/>
      <c r="J28" s="3" t="n"/>
      <c r="K28" s="4" t="n"/>
      <c r="L28" s="3" t="n"/>
    </row>
    <row r="29" ht="19.5" customHeight="1" s="17">
      <c r="A29" s="3" t="n"/>
      <c r="B29" s="3" t="n"/>
      <c r="C29" s="3" t="n"/>
      <c r="D29" s="3" t="n"/>
      <c r="E29" s="3" t="n"/>
      <c r="F29" s="3" t="n"/>
      <c r="G29" s="3" t="n"/>
      <c r="H29" s="3" t="n"/>
      <c r="I29" s="3" t="n"/>
      <c r="J29" s="3" t="n"/>
      <c r="K29" s="4" t="n"/>
      <c r="L29" s="3" t="n"/>
    </row>
    <row r="30" ht="19.5" customHeight="1" s="17">
      <c r="A30" s="3" t="n"/>
      <c r="B30" s="3" t="n"/>
      <c r="C30" s="3" t="n"/>
      <c r="D30" s="3" t="n"/>
      <c r="E30" s="3" t="n"/>
      <c r="F30" s="3" t="n"/>
      <c r="G30" s="3" t="n"/>
      <c r="H30" s="3" t="n"/>
      <c r="I30" s="3" t="n"/>
      <c r="J30" s="3" t="n"/>
      <c r="K30" s="4" t="n"/>
      <c r="L30" s="3" t="n"/>
    </row>
    <row r="31" ht="19.5" customHeight="1" s="17">
      <c r="A31" s="3" t="n"/>
      <c r="B31" s="3" t="n"/>
      <c r="C31" s="3" t="n"/>
      <c r="D31" s="3" t="n"/>
      <c r="E31" s="3" t="n"/>
      <c r="F31" s="3" t="n"/>
      <c r="G31" s="3" t="n"/>
      <c r="H31" s="3" t="n"/>
      <c r="I31" s="3" t="n"/>
      <c r="J31" s="3" t="n"/>
      <c r="K31" s="4" t="n"/>
      <c r="L31" s="3" t="n"/>
    </row>
    <row r="33" ht="21.75" customHeight="1" s="17">
      <c r="A33" s="19" t="inlineStr">
        <is>
          <t>4. SÍNTESIS DE PROCESOS EROSIVOS DEL BLOQUE</t>
        </is>
      </c>
    </row>
    <row r="34" ht="19.5" customHeight="1" s="17">
      <c r="A34" s="31" t="inlineStr">
        <is>
          <t>Nivel general de erosión (síntesis) *</t>
        </is>
      </c>
      <c r="B34" s="13" t="n"/>
      <c r="C34" s="14" t="n"/>
      <c r="D34" s="15" t="inlineStr">
        <is>
          <t>Fuerte (cárcavas incipientes)</t>
        </is>
      </c>
      <c r="E34" s="13" t="n"/>
      <c r="F34" s="13" t="n"/>
      <c r="G34" s="13" t="n"/>
      <c r="H34" s="13" t="n"/>
      <c r="I34" s="13" t="n"/>
      <c r="J34" s="13" t="n"/>
      <c r="K34" s="13" t="n"/>
      <c r="L34" s="14" t="n"/>
    </row>
    <row r="35" ht="19.5" customHeight="1" s="17">
      <c r="A35" s="31" t="inlineStr">
        <is>
          <t>N° total de cárcavas registradas</t>
        </is>
      </c>
      <c r="B35" s="13" t="n"/>
      <c r="C35" s="14" t="n"/>
      <c r="D35" s="15" t="n">
        <v>2</v>
      </c>
      <c r="E35" s="13" t="n"/>
      <c r="F35" s="14" t="n"/>
      <c r="G35" s="31" t="inlineStr">
        <is>
          <t>Longitud total de cárcavas (m)</t>
        </is>
      </c>
      <c r="H35" s="13" t="n"/>
      <c r="I35" s="14" t="n"/>
      <c r="J35" s="15" t="inlineStr">
        <is>
          <t>Por determinar</t>
        </is>
      </c>
      <c r="K35" s="13" t="n"/>
      <c r="L35" s="14" t="n"/>
    </row>
    <row r="36" ht="19.5" customHeight="1" s="17">
      <c r="A36" s="31" t="inlineStr">
        <is>
          <t>% del bloque afectado por cárcavas</t>
        </is>
      </c>
      <c r="B36" s="13" t="n"/>
      <c r="C36" s="14" t="n"/>
      <c r="D36" s="15" t="inlineStr">
        <is>
          <t>Por determinar</t>
        </is>
      </c>
      <c r="E36" s="13" t="n"/>
      <c r="F36" s="14" t="n"/>
      <c r="G36" s="31" t="inlineStr">
        <is>
          <t>Erosión laminar observada (%)</t>
        </is>
      </c>
      <c r="H36" s="13" t="n"/>
      <c r="I36" s="14" t="n"/>
      <c r="J36" s="15" t="inlineStr">
        <is>
          <t>Por determinar</t>
        </is>
      </c>
      <c r="K36" s="13" t="n"/>
      <c r="L36" s="14" t="n"/>
    </row>
    <row r="37" ht="19.5" customHeight="1" s="17">
      <c r="A37" s="31" t="inlineStr">
        <is>
          <t>Patrón de cárcavas dominante</t>
        </is>
      </c>
      <c r="B37" s="13" t="n"/>
      <c r="C37" s="14" t="n"/>
      <c r="D37" s="15" t="inlineStr">
        <is>
          <t>Lineal</t>
        </is>
      </c>
      <c r="E37" s="13" t="n"/>
      <c r="F37" s="13" t="n"/>
      <c r="G37" s="13" t="n"/>
      <c r="H37" s="13" t="n"/>
      <c r="I37" s="13" t="n"/>
      <c r="J37" s="13" t="n"/>
      <c r="K37" s="13" t="n"/>
      <c r="L37" s="14" t="n"/>
    </row>
    <row r="38" ht="19.5" customHeight="1" s="17">
      <c r="A38" s="31" t="inlineStr">
        <is>
          <t>Presencia de socavamiento de cauce</t>
        </is>
      </c>
      <c r="B38" s="13" t="n"/>
      <c r="C38" s="14" t="n"/>
      <c r="D38" s="15" t="inlineStr">
        <is>
          <t>Sí</t>
        </is>
      </c>
      <c r="E38" s="13" t="n"/>
      <c r="F38" s="13" t="n"/>
      <c r="G38" s="13" t="n"/>
      <c r="H38" s="13" t="n"/>
      <c r="I38" s="13" t="n"/>
      <c r="J38" s="13" t="n"/>
      <c r="K38" s="13" t="n"/>
      <c r="L38" s="14" t="n"/>
    </row>
    <row r="39" ht="19.5" customHeight="1" s="17">
      <c r="A39" s="31" t="inlineStr">
        <is>
          <t>Urgencia de control</t>
        </is>
      </c>
      <c r="B39" s="13" t="n"/>
      <c r="C39" s="14" t="n"/>
      <c r="D39" s="15" t="inlineStr">
        <is>
          <t>Alta</t>
        </is>
      </c>
      <c r="E39" s="13" t="n"/>
      <c r="F39" s="13" t="n"/>
      <c r="G39" s="13" t="n"/>
      <c r="H39" s="13" t="n"/>
      <c r="I39" s="13" t="n"/>
      <c r="J39" s="13" t="n"/>
      <c r="K39" s="13" t="n"/>
      <c r="L39" s="14" t="n"/>
    </row>
    <row r="41" ht="21.75" customHeight="1" s="17">
      <c r="A41" s="19" t="inlineStr">
        <is>
          <t>OBSERVACIONES</t>
        </is>
      </c>
    </row>
    <row r="42" ht="27.75" customHeight="1" s="17">
      <c r="A42" s="23" t="inlineStr">
        <is>
          <t>FICHA NO LEVANTADA EN CAMPO. El INVENTARIO GEORREFERENCIADO DE CÁRCAVAS NO FUE EJECUTADO: los dos registros consignados proceden de fotointerpretación de las estaciones del 19-08-2026 y se ubican FUERA del polígono (a ~45 m y ~169 m de su límite); sus dimensiones (longitud, profundidad y ancho) NO fueron medidas. La ausencia de más registros no equivale a ausencia verificada. || EVIDENCIA FOTOGRÁFICA: (a) vaguada/cárcava somera de fondo pedregoso con taludes desnudos de coluvión pardo-amarillento y saprolito, sin obra de cruce ni control (E-04, E-05); (b) escarpe de colapso de 0.4–0.8 m en el borde de una parcela recién desbrozada sobre ladera, con material removido y restos de roza (E-08, E-09); (c) taludes de corte de 2–5 m sin banquetas ni revegetación a lo largo de la trocha, con acanaladuras y surcos incipientes y socavamiento del borde exterior de plataforma (E-06, E-07, E-10); (d) suelo desnudo continuo y terracillas de pisoteo de ganado caprino en el interfluvio de E-04. || El nivel de erosión consignado describe el BORDE OCCIDENTAL y el corredor vial, no necesariamente el conjunto del bloque, cuyo interior no fue verificado. Requiere levantamiento con F-DT-02 completa e inventario dentro del polígono.</t>
        </is>
      </c>
      <c r="B42" s="24" t="n"/>
      <c r="C42" s="24" t="n"/>
      <c r="D42" s="24" t="n"/>
      <c r="E42" s="24" t="n"/>
      <c r="F42" s="24" t="n"/>
      <c r="G42" s="24" t="n"/>
      <c r="H42" s="24" t="n"/>
      <c r="I42" s="24" t="n"/>
      <c r="J42" s="24" t="n"/>
      <c r="K42" s="24" t="n"/>
      <c r="L42" s="25" t="n"/>
    </row>
    <row r="43" ht="27.75" customHeight="1" s="17">
      <c r="A43" s="26" t="n"/>
      <c r="L43" s="27" t="n"/>
    </row>
    <row r="44" ht="27.75" customHeight="1" s="17">
      <c r="A44" s="28" t="n"/>
      <c r="B44" s="29" t="n"/>
      <c r="C44" s="29" t="n"/>
      <c r="D44" s="29" t="n"/>
      <c r="E44" s="29" t="n"/>
      <c r="F44" s="29" t="n"/>
      <c r="G44" s="29" t="n"/>
      <c r="H44" s="29" t="n"/>
      <c r="I44" s="29" t="n"/>
      <c r="J44" s="29" t="n"/>
      <c r="K44" s="29" t="n"/>
      <c r="L44" s="30" t="n"/>
    </row>
  </sheetData>
  <mergeCells count="53">
    <mergeCell ref="D11:F11"/>
    <mergeCell ref="G10:I10"/>
    <mergeCell ref="A7:L7"/>
    <mergeCell ref="A41:L41"/>
    <mergeCell ref="A37:C37"/>
    <mergeCell ref="J36:L36"/>
    <mergeCell ref="D17:L17"/>
    <mergeCell ref="J35:L35"/>
    <mergeCell ref="A3:L3"/>
    <mergeCell ref="D16:L16"/>
    <mergeCell ref="J11:L11"/>
    <mergeCell ref="A2:L2"/>
    <mergeCell ref="A33:L33"/>
    <mergeCell ref="D37:L37"/>
    <mergeCell ref="A42:L44"/>
    <mergeCell ref="A8:C8"/>
    <mergeCell ref="A5:L5"/>
    <mergeCell ref="A14:C14"/>
    <mergeCell ref="A17:C17"/>
    <mergeCell ref="G35:I35"/>
    <mergeCell ref="D9:F9"/>
    <mergeCell ref="A35:C35"/>
    <mergeCell ref="D39:L39"/>
    <mergeCell ref="D8:F8"/>
    <mergeCell ref="A38:C38"/>
    <mergeCell ref="A4:L4"/>
    <mergeCell ref="A10:C10"/>
    <mergeCell ref="A20:L20"/>
    <mergeCell ref="D15:L15"/>
    <mergeCell ref="A19:L19"/>
    <mergeCell ref="D38:L38"/>
    <mergeCell ref="D14:L14"/>
    <mergeCell ref="A13:L13"/>
    <mergeCell ref="A9:C9"/>
    <mergeCell ref="G9:I9"/>
    <mergeCell ref="J8:L8"/>
    <mergeCell ref="D35:F35"/>
    <mergeCell ref="A39:C39"/>
    <mergeCell ref="A34:C34"/>
    <mergeCell ref="A15:C15"/>
    <mergeCell ref="D10:F10"/>
    <mergeCell ref="G11:I11"/>
    <mergeCell ref="A36:C36"/>
    <mergeCell ref="A11:C11"/>
    <mergeCell ref="D34:L34"/>
    <mergeCell ref="J10:L10"/>
    <mergeCell ref="G36:I36"/>
    <mergeCell ref="A1:L1"/>
    <mergeCell ref="G8:I8"/>
    <mergeCell ref="D36:F36"/>
    <mergeCell ref="A6:L6"/>
    <mergeCell ref="J9:L9"/>
    <mergeCell ref="A16:C16"/>
  </mergeCells>
  <dataValidations count="12">
    <dataValidation sqref="D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D14" showDropDown="0" showInputMessage="0" showErrorMessage="0" allowBlank="1" errorTitle="Valor no válido" error="Seleccione un valor de la lista desplegable." promptTitle="Sellamiento / Costra superfici" prompt="Elija una opción de la lista." type="list">
      <formula1>lst_SiNo</formula1>
      <formula2>0</formula2>
    </dataValidation>
    <dataValidation sqref="D15" showDropDown="0" showInputMessage="0" showErrorMessage="0" allowBlank="1" errorTitle="Valor no válido" error="Seleccione un valor de la lista desplegable." promptTitle="¿Compactación por pisoteo de g" prompt="Elija una opción de la lista." type="list">
      <formula1>lst_SiNo</formula1>
      <formula2>0</formula2>
    </dataValidation>
    <dataValidation sqref="D16" showDropDown="0" showInputMessage="0" showErrorMessage="0" allowBlank="1" errorTitle="Valor no válido" error="Seleccione un valor de la lista desplegable." promptTitle="¿Raíces expuestas en superfici" prompt="Elija una opción de la lista." type="list">
      <formula1>lst_SiNo</formula1>
      <formula2>0</formula2>
    </dataValidation>
    <dataValidation sqref="D17" showDropDown="0" showInputMessage="0" showErrorMessage="0" allowBlank="1" errorTitle="Valor no válido" error="Seleccione un valor de la lista desplegable." promptTitle="Nivel general de erosión obser" prompt="Elija una opción de la lista." type="list">
      <formula1>lst_NivelErosion</formula1>
      <formula2>0</formula2>
    </dataValidation>
    <dataValidation sqref="B22:B31" showDropDown="0" showInputMessage="0" showErrorMessage="0" allowBlank="1" errorTitle="Valor no válido" error="Seleccione un valor de la lista desplegable." promptTitle="Tipo de cárcava" prompt="Elija una opción de la lista." type="list">
      <formula1>lst_TipoCarcava</formula1>
      <formula2>0</formula2>
    </dataValidation>
    <dataValidation sqref="J22:J31" showDropDown="0" showInputMessage="0" showErrorMessage="0" allowBlank="1" errorTitle="Valor no válido" error="Seleccione un valor de la lista desplegable." promptTitle="Estado / Actividad" prompt="Elija una opción de la lista." type="list">
      <formula1>lst_EstadoCarcava</formula1>
      <formula2>0</formula2>
    </dataValidation>
    <dataValidation sqref="K22:K31" showDropDown="0" showInputMessage="0" showErrorMessage="0" allowBlank="1" errorTitle="Valor no válido" error="Seleccione un valor de la lista desplegable." promptTitle="Causa principal" prompt="Elija una opción de la lista." type="list">
      <formula1>lst_CausaCarcava</formula1>
      <formula2>0</formula2>
    </dataValidation>
    <dataValidation sqref="D34" showDropDown="0" showInputMessage="0" showErrorMessage="0" allowBlank="1" errorTitle="Valor no válido" error="Seleccione un valor de la lista desplegable." promptTitle="Nivel general de erosión (sínt" prompt="Elija una opción de la lista." type="list">
      <formula1>lst_NivelErosion</formula1>
      <formula2>0</formula2>
    </dataValidation>
    <dataValidation sqref="D37" showDropDown="0" showInputMessage="0" showErrorMessage="0" allowBlank="1" errorTitle="Valor no válido" error="Seleccione un valor de la lista desplegable." promptTitle="Patrón de cárcavas dominante" prompt="Elija una opción de la lista." type="list">
      <formula1>lst_PatronCarcavas</formula1>
      <formula2>0</formula2>
    </dataValidation>
    <dataValidation sqref="D38" showDropDown="0" showInputMessage="0" showErrorMessage="0" allowBlank="1" errorTitle="Valor no válido" error="Seleccione un valor de la lista desplegable." promptTitle="Presencia de socavamiento de c" prompt="Elija una opción de la lista." type="list">
      <formula1>lst_SiNo</formula1>
      <formula2>0</formula2>
    </dataValidation>
    <dataValidation sqref="D39" showDropDown="0" showInputMessage="0" showErrorMessage="0" allowBlank="1" errorTitle="Valor no válido" error="Seleccione un valor de la lista desplegable." promptTitle="Urgencia de control"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4.xml><?xml version="1.0" encoding="utf-8"?>
<worksheet xmlns="http://schemas.openxmlformats.org/spreadsheetml/2006/main">
  <sheetPr>
    <outlinePr summaryBelow="1" summaryRight="1"/>
    <pageSetUpPr fitToPage="1"/>
  </sheetPr>
  <dimension ref="A1:I67"/>
  <sheetViews>
    <sheetView showGridLines="0" zoomScaleNormal="100" workbookViewId="0">
      <pane ySplit="6" topLeftCell="A7" activePane="bottomLeft" state="frozen"/>
      <selection pane="bottomLeft" activeCell="A1" sqref="A1:I1"/>
    </sheetView>
  </sheetViews>
  <sheetFormatPr baseColWidth="10" defaultColWidth="8.6640625" defaultRowHeight="14.4"/>
  <cols>
    <col width="8" customWidth="1" style="17" min="1" max="1"/>
    <col width="26" customWidth="1" style="17" min="2" max="2"/>
    <col width="24" customWidth="1" style="17" min="3" max="3"/>
    <col width="18" customWidth="1" style="17" min="4" max="4"/>
    <col width="22" customWidth="1" style="17" min="5" max="5"/>
    <col width="14" customWidth="1" style="17" min="6" max="6"/>
    <col width="17" customWidth="1" style="17" min="7" max="7"/>
    <col width="13" customWidth="1" style="17" min="8" max="8"/>
    <col width="12" customWidth="1" style="17" min="9" max="9"/>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F-DT-03: ECOSISTEMA: COMPOSICIÓN, ESTRUCTURA Y VALOR ECOLÓGICO</t>
        </is>
      </c>
    </row>
    <row r="5" ht="27.75" customHeight="1" s="17">
      <c r="A5" s="21" t="inlineStr">
        <is>
          <t>Caracterización ecológica del bloque: tipo de ecosistema, estado de conservación, estructura vertical, composición florística rápida y registro de especies clave/indicadoras.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19-08-2026</t>
        </is>
      </c>
      <c r="B8" s="14" t="n"/>
      <c r="C8" s="15" t="n"/>
      <c r="D8" s="14" t="n"/>
      <c r="E8" s="31" t="inlineStr">
        <is>
          <t>Ing. Pedro Talledo Hernández (evaluador)</t>
        </is>
      </c>
      <c r="F8" s="14" t="n"/>
      <c r="G8" s="15" t="n"/>
      <c r="H8" s="13" t="n"/>
      <c r="I8" s="14" t="n"/>
    </row>
    <row r="9" ht="19.5" customHeight="1" s="17">
      <c r="A9" s="31" t="inlineStr">
        <is>
          <t>Código del Bloque *</t>
        </is>
      </c>
      <c r="B9" s="14" t="n"/>
      <c r="C9" s="15" t="inlineStr">
        <is>
          <t>76</t>
        </is>
      </c>
      <c r="D9" s="14" t="n"/>
      <c r="E9" s="31" t="inlineStr">
        <is>
          <t>Microcuenca (auto)</t>
        </is>
      </c>
      <c r="F9" s="14" t="n"/>
      <c r="G9" s="12">
        <f>IFERROR(VLOOKUP($C$9,tbl_Bloques,2,FALSE()),"")</f>
        <v/>
      </c>
      <c r="H9" s="13" t="n"/>
      <c r="I9" s="14" t="n"/>
    </row>
    <row r="10" ht="19.5" customHeight="1" s="17">
      <c r="A10" s="31" t="inlineStr">
        <is>
          <t>Distrito (auto)</t>
        </is>
      </c>
      <c r="B10" s="14" t="n"/>
      <c r="C10" s="12">
        <f>IFERROR(VLOOKUP($C$9,tbl_Bloques,4,FALSE()),"")</f>
        <v/>
      </c>
      <c r="D10" s="14" t="n"/>
      <c r="E10" s="31" t="inlineStr">
        <is>
          <t>No aplica (sin parcela de muestreo)</t>
        </is>
      </c>
      <c r="F10" s="14" t="n"/>
      <c r="G10" s="15" t="n"/>
      <c r="H10" s="13" t="n"/>
      <c r="I10" s="14" t="n"/>
    </row>
    <row r="11" ht="19.5" customHeight="1" s="17">
      <c r="A11" s="31" t="inlineStr">
        <is>
          <t>Dimensiones de parcela (m × m)</t>
        </is>
      </c>
      <c r="B11" s="14" t="n"/>
      <c r="C11" s="15" t="inlineStr">
        <is>
          <t>No aplica</t>
        </is>
      </c>
      <c r="D11" s="14" t="n"/>
      <c r="E11" s="31" t="n">
        <v>1743</v>
      </c>
      <c r="F11" s="14" t="n"/>
      <c r="G11" s="15" t="n"/>
      <c r="H11" s="13" t="n"/>
      <c r="I11" s="14" t="n"/>
    </row>
    <row r="12" ht="19.5" customHeight="1" s="17">
      <c r="A12" s="31" t="inlineStr">
        <is>
          <t>Pendiente promedio de la parcela (%)</t>
        </is>
      </c>
      <c r="B12" s="14" t="n"/>
      <c r="C12" s="15" t="n">
        <v>26.25</v>
      </c>
      <c r="D12" s="14" t="n"/>
      <c r="E12" s="31" t="inlineStr">
        <is>
          <t>Por determinar</t>
        </is>
      </c>
      <c r="F12" s="14" t="n"/>
      <c r="G12" s="15" t="n"/>
      <c r="H12" s="13" t="n"/>
      <c r="I12" s="14" t="n"/>
    </row>
    <row r="13" ht="19.5" customHeight="1" s="17">
      <c r="A13" s="31" t="inlineStr">
        <is>
          <t>UTM ESTE esquina inferior *</t>
        </is>
      </c>
      <c r="B13" s="14" t="n"/>
      <c r="C13" s="15" t="n">
        <v>657922</v>
      </c>
      <c r="D13" s="14" t="n"/>
      <c r="E13" s="31" t="n">
        <v>9377477</v>
      </c>
      <c r="F13" s="14" t="n"/>
      <c r="G13" s="15" t="n"/>
      <c r="H13" s="13" t="n"/>
      <c r="I13" s="14" t="n"/>
    </row>
    <row r="15" ht="21.75" customHeight="1" s="17">
      <c r="A15" s="19" t="inlineStr">
        <is>
          <t>2. CLASIFICACIÓN DEL ECOSISTEMA (UP)</t>
        </is>
      </c>
    </row>
    <row r="16" ht="19.5" customHeight="1" s="17">
      <c r="A16" s="31" t="inlineStr">
        <is>
          <t>Tipo de ecosistema MINAM (dominante) *</t>
        </is>
      </c>
      <c r="B16" s="14" t="n"/>
      <c r="C16" s="15" t="inlineStr">
        <is>
          <t>Bosque Estacionalmente Seco Colina/Montaña (Bes-cm)</t>
        </is>
      </c>
      <c r="D16" s="13" t="n"/>
      <c r="E16" s="13" t="n"/>
      <c r="F16" s="13" t="n"/>
      <c r="G16" s="13" t="n"/>
      <c r="H16" s="13" t="n"/>
      <c r="I16" s="14" t="n"/>
    </row>
    <row r="17" ht="19.5" customHeight="1" s="17">
      <c r="A17" s="31" t="inlineStr">
        <is>
          <t>Superficie del ecosistema en el bloque (ha)</t>
        </is>
      </c>
      <c r="B17" s="14" t="n"/>
      <c r="C17" s="15" t="inlineStr">
        <is>
          <t>Por determinar</t>
        </is>
      </c>
      <c r="D17" s="13" t="n"/>
      <c r="E17" s="13" t="n"/>
      <c r="F17" s="13" t="n"/>
      <c r="G17" s="13" t="n"/>
      <c r="H17" s="13" t="n"/>
      <c r="I17" s="14" t="n"/>
    </row>
    <row r="18" ht="19.5" customHeight="1" s="17">
      <c r="A18" s="31" t="inlineStr">
        <is>
          <t>Estado de conservación general *</t>
        </is>
      </c>
      <c r="B18" s="14" t="n"/>
      <c r="C18" s="15" t="inlineStr">
        <is>
          <t>Alterado (intervención marcada)</t>
        </is>
      </c>
      <c r="D18" s="13" t="n"/>
      <c r="E18" s="13" t="n"/>
      <c r="F18" s="13" t="n"/>
      <c r="G18" s="13" t="n"/>
      <c r="H18" s="13" t="n"/>
      <c r="I18" s="14" t="n"/>
    </row>
    <row r="19" ht="19.5" customHeight="1" s="17">
      <c r="A19" s="31" t="inlineStr">
        <is>
          <t>Uso actual dominante del suelo *</t>
        </is>
      </c>
      <c r="B19" s="14" t="n"/>
      <c r="C19" s="15" t="inlineStr">
        <is>
          <t>Uso mixto</t>
        </is>
      </c>
      <c r="D19" s="13" t="n"/>
      <c r="E19" s="13" t="n"/>
      <c r="F19" s="13" t="n"/>
      <c r="G19" s="13" t="n"/>
      <c r="H19" s="13" t="n"/>
      <c r="I19" s="14" t="n"/>
    </row>
    <row r="21" ht="21.75" customHeight="1" s="17">
      <c r="A21" s="19" t="inlineStr">
        <is>
          <t>3. ESTRUCTURA DEL ECOSISTEMA</t>
        </is>
      </c>
    </row>
    <row r="22" ht="19.5" customHeight="1" s="17">
      <c r="A22" s="31" t="inlineStr">
        <is>
          <t>Cobertura del dosel arbóreo (%)</t>
        </is>
      </c>
      <c r="B22" s="14" t="n"/>
      <c r="C22" s="15" t="inlineStr">
        <is>
          <t>Por determinar</t>
        </is>
      </c>
      <c r="D22" s="14" t="n"/>
      <c r="E22" s="31" t="inlineStr">
        <is>
          <t>Por determinar</t>
        </is>
      </c>
      <c r="F22" s="14" t="n"/>
      <c r="G22" s="15" t="n"/>
      <c r="H22" s="13" t="n"/>
      <c r="I22" s="14" t="n"/>
    </row>
    <row r="23" ht="19.5" customHeight="1" s="17">
      <c r="A23" s="31" t="inlineStr">
        <is>
          <t>Cobertura herbácea-graminoide (%)</t>
        </is>
      </c>
      <c r="B23" s="14" t="n"/>
      <c r="C23" s="15" t="inlineStr">
        <is>
          <t>Por determinar</t>
        </is>
      </c>
      <c r="D23" s="14" t="n"/>
      <c r="E23" s="31" t="inlineStr">
        <is>
          <t>Por determinar</t>
        </is>
      </c>
      <c r="F23" s="14" t="n"/>
      <c r="G23" s="15" t="n"/>
      <c r="H23" s="13" t="n"/>
      <c r="I23" s="14" t="n"/>
    </row>
    <row r="24" ht="19.5" customHeight="1" s="17">
      <c r="A24" s="31" t="inlineStr">
        <is>
          <t>Cobertura de suelo desnudo (%)</t>
        </is>
      </c>
      <c r="B24" s="14" t="n"/>
      <c r="C24" s="15" t="inlineStr">
        <is>
          <t>Por determinar</t>
        </is>
      </c>
      <c r="D24" s="14" t="n"/>
      <c r="E24" s="31" t="inlineStr">
        <is>
          <t>Por determinar</t>
        </is>
      </c>
      <c r="F24" s="14" t="n"/>
      <c r="G24" s="15" t="n"/>
      <c r="H24" s="13" t="n"/>
      <c r="I24" s="14" t="n"/>
    </row>
    <row r="25" ht="19.5" customHeight="1" s="17">
      <c r="A25" s="31" t="inlineStr">
        <is>
          <t>Altura máxima observada (m)</t>
        </is>
      </c>
      <c r="B25" s="14" t="n"/>
      <c r="C25" s="15" t="inlineStr">
        <is>
          <t>Por determinar</t>
        </is>
      </c>
      <c r="D25" s="14" t="n"/>
      <c r="E25" s="31" t="inlineStr">
        <is>
          <t>Por determinar</t>
        </is>
      </c>
      <c r="F25" s="14" t="n"/>
      <c r="G25" s="15" t="n"/>
      <c r="H25" s="13" t="n"/>
      <c r="I25" s="14" t="n"/>
    </row>
    <row r="26" ht="19.5" customHeight="1" s="17">
      <c r="A26" s="31" t="inlineStr">
        <is>
          <t>Regeneración natural observada *</t>
        </is>
      </c>
      <c r="B26" s="14" t="n"/>
      <c r="C26" s="15" t="inlineStr">
        <is>
          <t>Escasa (&lt;10 pl./100m²)</t>
        </is>
      </c>
      <c r="D26" s="13" t="n"/>
      <c r="E26" s="13" t="n"/>
      <c r="F26" s="13" t="n"/>
      <c r="G26" s="13" t="n"/>
      <c r="H26" s="13" t="n"/>
      <c r="I26" s="14" t="n"/>
    </row>
    <row r="27" ht="19.5" customHeight="1" s="17">
      <c r="A27" s="31" t="inlineStr">
        <is>
          <t>Estado sanitario general del dosel *</t>
        </is>
      </c>
      <c r="B27" s="14" t="n"/>
      <c r="C27" s="15" t="inlineStr">
        <is>
          <t>Sano</t>
        </is>
      </c>
      <c r="D27" s="13" t="n"/>
      <c r="E27" s="13" t="n"/>
      <c r="F27" s="13" t="n"/>
      <c r="G27" s="13" t="n"/>
      <c r="H27" s="13" t="n"/>
      <c r="I27" s="14" t="n"/>
    </row>
    <row r="28" ht="19.5" customHeight="1" s="17">
      <c r="A28" s="31" t="inlineStr">
        <is>
          <t>Presencia de epífitas (cualitativa)</t>
        </is>
      </c>
      <c r="B28" s="14" t="n"/>
      <c r="C28" s="15" t="inlineStr">
        <is>
          <t>No</t>
        </is>
      </c>
      <c r="D28" s="13" t="n"/>
      <c r="E28" s="13" t="n"/>
      <c r="F28" s="13" t="n"/>
      <c r="G28" s="13" t="n"/>
      <c r="H28" s="13" t="n"/>
      <c r="I28" s="14" t="n"/>
    </row>
    <row r="29" ht="19.5" customHeight="1" s="17">
      <c r="A29" s="31" t="inlineStr">
        <is>
          <t>Fenología dominante (época de visita)</t>
        </is>
      </c>
      <c r="B29" s="14" t="n"/>
      <c r="C29" s="15" t="inlineStr">
        <is>
          <t>Caducifolio (hojas caídas)</t>
        </is>
      </c>
      <c r="D29" s="13" t="n"/>
      <c r="E29" s="13" t="n"/>
      <c r="F29" s="13" t="n"/>
      <c r="G29" s="13" t="n"/>
      <c r="H29" s="13" t="n"/>
      <c r="I29" s="14" t="n"/>
    </row>
    <row r="30" ht="19.5" customHeight="1" s="17">
      <c r="A30" s="31" t="inlineStr">
        <is>
          <t>Tipo de cobertura vegetal dominante *</t>
        </is>
      </c>
      <c r="B30" s="14" t="n"/>
      <c r="C30" s="15" t="inlineStr">
        <is>
          <t>Mixto / Mosaico</t>
        </is>
      </c>
      <c r="D30" s="13" t="n"/>
      <c r="E30" s="13" t="n"/>
      <c r="F30" s="13" t="n"/>
      <c r="G30" s="13" t="n"/>
      <c r="H30" s="13" t="n"/>
      <c r="I30" s="14" t="n"/>
    </row>
    <row r="32" ht="21.75" customHeight="1" s="17">
      <c r="A32" s="19" t="inlineStr">
        <is>
          <t>4. COMPOSICIÓN FLORÍSTICA — Registro rápido por estrato (mín. 15 especies)</t>
        </is>
      </c>
    </row>
    <row r="33" ht="43.5" customHeight="1" s="17">
      <c r="A33" s="32" t="inlineStr">
        <is>
          <t>ESTRATO: Arbóreo sup(&gt;15 m) | Arbóreo med(8-15 m) | Arbóreo bajo(4-8 m) | Arbustivo alto(1.5-4 m) | Arbustivo bajo(0.5-1.5 m) | Herbáceo(&lt;0.5 m) | Epífito | Trepador  ——  ORIGEN: Nativa | Endémica | Introducida | Invasora  ——  ABUNDANCIA: Dominante(&gt;40%) | Abundante(20-40%) | Frecuente(5-20%) | Ocasional(1-5%) | Rara(&lt;1%)</t>
        </is>
      </c>
      <c r="B33" s="13" t="n"/>
      <c r="C33" s="13" t="n"/>
      <c r="D33" s="13" t="n"/>
      <c r="E33" s="13" t="n"/>
      <c r="F33" s="13" t="n"/>
      <c r="G33" s="13" t="n"/>
      <c r="H33" s="13" t="n"/>
      <c r="I33" s="14" t="n"/>
    </row>
    <row r="34" ht="31.5" customHeight="1" s="17">
      <c r="A34" s="2" t="inlineStr">
        <is>
          <t>N°</t>
        </is>
      </c>
      <c r="B34" s="2" t="inlineStr">
        <is>
          <t>Nombre común/local</t>
        </is>
      </c>
      <c r="C34" s="2" t="inlineStr">
        <is>
          <t>Nombre científico
(preliminar)</t>
        </is>
      </c>
      <c r="D34" s="2" t="inlineStr">
        <is>
          <t>Familia</t>
        </is>
      </c>
      <c r="E34" s="2" t="inlineStr">
        <is>
          <t>Estrato</t>
        </is>
      </c>
      <c r="F34" s="2" t="inlineStr">
        <is>
          <t>Origen</t>
        </is>
      </c>
      <c r="G34" s="2" t="inlineStr">
        <is>
          <t>Abundancia</t>
        </is>
      </c>
      <c r="H34" s="2" t="inlineStr">
        <is>
          <t>DAP (cm)
[árboles]</t>
        </is>
      </c>
      <c r="I34" s="2" t="inlineStr">
        <is>
          <t>Altura (m)</t>
        </is>
      </c>
    </row>
    <row r="35" ht="18" customHeight="1" s="17">
      <c r="A35" s="5" t="n">
        <v>1</v>
      </c>
      <c r="B35" s="4" t="inlineStr">
        <is>
          <t>Faique / algarrobo espinoso</t>
        </is>
      </c>
      <c r="C35" s="4" t="inlineStr">
        <is>
          <t>Vachellia macracantha</t>
        </is>
      </c>
      <c r="D35" s="4" t="inlineStr">
        <is>
          <t>Fabaceae</t>
        </is>
      </c>
      <c r="E35" s="3" t="inlineStr">
        <is>
          <t>Arbóreo bajo (4-8 m)</t>
        </is>
      </c>
      <c r="F35" s="3" t="inlineStr">
        <is>
          <t>Nativa</t>
        </is>
      </c>
      <c r="G35" s="3" t="inlineStr">
        <is>
          <t>Frecuente (5-20%)</t>
        </is>
      </c>
      <c r="H35" s="3" t="n"/>
      <c r="I35" s="3" t="n"/>
    </row>
    <row r="36" ht="18" customHeight="1" s="17">
      <c r="A36" s="5" t="n">
        <v>2</v>
      </c>
      <c r="B36" s="4" t="inlineStr">
        <is>
          <t>Chilca</t>
        </is>
      </c>
      <c r="C36" s="4" t="inlineStr">
        <is>
          <t>Baccharis spp.</t>
        </is>
      </c>
      <c r="D36" s="4" t="inlineStr">
        <is>
          <t>Asteraceae</t>
        </is>
      </c>
      <c r="E36" s="3" t="inlineStr">
        <is>
          <t>Arbustivo alto (1.5-4 m)</t>
        </is>
      </c>
      <c r="F36" s="3" t="inlineStr">
        <is>
          <t>Nativa</t>
        </is>
      </c>
      <c r="G36" s="3" t="inlineStr">
        <is>
          <t>Frecuente (5-20%)</t>
        </is>
      </c>
      <c r="H36" s="3" t="n"/>
      <c r="I36" s="3" t="n"/>
    </row>
    <row r="37" ht="18" customHeight="1" s="17">
      <c r="A37" s="5" t="n">
        <v>3</v>
      </c>
      <c r="B37" s="4" t="inlineStr">
        <is>
          <t>Agave / penca</t>
        </is>
      </c>
      <c r="C37" s="4" t="inlineStr">
        <is>
          <t>Agave americana</t>
        </is>
      </c>
      <c r="D37" s="4" t="inlineStr">
        <is>
          <t>Asparagaceae</t>
        </is>
      </c>
      <c r="E37" s="3" t="inlineStr">
        <is>
          <t>Arbustivo alto (1.5-4 m)</t>
        </is>
      </c>
      <c r="F37" s="3" t="inlineStr">
        <is>
          <t>Introducida</t>
        </is>
      </c>
      <c r="G37" s="3" t="inlineStr">
        <is>
          <t>Ocasional (1-5%)</t>
        </is>
      </c>
      <c r="H37" s="3" t="n"/>
      <c r="I37" s="3" t="n"/>
    </row>
    <row r="38" ht="18" customHeight="1" s="17">
      <c r="A38" s="5" t="n">
        <v>4</v>
      </c>
      <c r="B38" s="4" t="inlineStr">
        <is>
          <t>Eucalipto</t>
        </is>
      </c>
      <c r="C38" s="4" t="inlineStr">
        <is>
          <t>Eucalyptus globulus</t>
        </is>
      </c>
      <c r="D38" s="4" t="inlineStr">
        <is>
          <t>Myrtaceae</t>
        </is>
      </c>
      <c r="E38" s="3" t="inlineStr">
        <is>
          <t>Arbóreo superior (&gt;15 m)</t>
        </is>
      </c>
      <c r="F38" s="3" t="inlineStr">
        <is>
          <t>Introducida</t>
        </is>
      </c>
      <c r="G38" s="3" t="inlineStr">
        <is>
          <t>Ocasional (1-5%)</t>
        </is>
      </c>
      <c r="H38" s="3" t="n"/>
      <c r="I38" s="3" t="n"/>
    </row>
    <row r="39" ht="18" customHeight="1" s="17">
      <c r="A39" s="5" t="n">
        <v>5</v>
      </c>
      <c r="B39" s="4" t="inlineStr">
        <is>
          <t>Ciprés (por determinar)</t>
        </is>
      </c>
      <c r="C39" s="4" t="inlineStr">
        <is>
          <t>Cupressus sp.</t>
        </is>
      </c>
      <c r="D39" s="4" t="inlineStr">
        <is>
          <t>Cupressaceae</t>
        </is>
      </c>
      <c r="E39" s="3" t="inlineStr">
        <is>
          <t>Arbóreo medio (8-15 m)</t>
        </is>
      </c>
      <c r="F39" s="3" t="inlineStr">
        <is>
          <t>Introducida</t>
        </is>
      </c>
      <c r="G39" s="3" t="inlineStr">
        <is>
          <t>Rara (&lt;1%)</t>
        </is>
      </c>
      <c r="H39" s="3" t="n"/>
      <c r="I39" s="3" t="n"/>
    </row>
    <row r="40" ht="18" customHeight="1" s="17">
      <c r="A40" s="5" t="n">
        <v>6</v>
      </c>
      <c r="B40" s="4" t="inlineStr">
        <is>
          <t>Gramíneas / pastos naturales</t>
        </is>
      </c>
      <c r="C40" s="4" t="inlineStr">
        <is>
          <t>Poaceae por determinar</t>
        </is>
      </c>
      <c r="D40" s="4" t="inlineStr">
        <is>
          <t>Poaceae</t>
        </is>
      </c>
      <c r="E40" s="3" t="inlineStr">
        <is>
          <t>Herbáceo (&lt;0.5 m)</t>
        </is>
      </c>
      <c r="F40" s="3" t="inlineStr">
        <is>
          <t>Nativa</t>
        </is>
      </c>
      <c r="G40" s="3" t="inlineStr">
        <is>
          <t>Abundante (20-40%)</t>
        </is>
      </c>
      <c r="H40" s="3" t="n"/>
      <c r="I40" s="3" t="n"/>
    </row>
    <row r="41" ht="18" customHeight="1" s="17">
      <c r="A41" s="5" t="n">
        <v>7</v>
      </c>
      <c r="B41" s="4" t="inlineStr">
        <is>
          <t>Arbusto de flor blanca</t>
        </is>
      </c>
      <c r="C41" s="4" t="inlineStr">
        <is>
          <t>Asteraceae por determinar</t>
        </is>
      </c>
      <c r="D41" s="4" t="inlineStr">
        <is>
          <t>Asteraceae</t>
        </is>
      </c>
      <c r="E41" s="3" t="inlineStr">
        <is>
          <t>Arbustivo alto (1.5-4 m)</t>
        </is>
      </c>
      <c r="F41" s="3" t="inlineStr">
        <is>
          <t>Nativa</t>
        </is>
      </c>
      <c r="G41" s="3" t="inlineStr">
        <is>
          <t>Frecuente (5-20%)</t>
        </is>
      </c>
      <c r="H41" s="3" t="n"/>
      <c r="I41" s="3" t="n"/>
    </row>
    <row r="42" ht="18" customHeight="1" s="17">
      <c r="A42" s="5" t="n">
        <v>8</v>
      </c>
      <c r="B42" s="4" t="inlineStr">
        <is>
          <t>Arbusto perennifolio de hoja ancha (por determinar)</t>
        </is>
      </c>
      <c r="C42" s="4" t="inlineStr">
        <is>
          <t>Por determinar</t>
        </is>
      </c>
      <c r="D42" s="4" t="inlineStr">
        <is>
          <t>Por determinar</t>
        </is>
      </c>
      <c r="E42" s="3" t="inlineStr">
        <is>
          <t>Arbustivo alto (1.5-4 m)</t>
        </is>
      </c>
      <c r="F42" s="3" t="inlineStr">
        <is>
          <t>Nativa</t>
        </is>
      </c>
      <c r="G42" s="3" t="inlineStr">
        <is>
          <t>Frecuente (5-20%)</t>
        </is>
      </c>
      <c r="H42" s="3" t="n"/>
      <c r="I42" s="3" t="n"/>
    </row>
    <row r="43" ht="18" customHeight="1" s="17">
      <c r="A43" s="5" t="n">
        <v>9</v>
      </c>
      <c r="B43" s="4" t="inlineStr">
        <is>
          <t>Maíz (cultivo)</t>
        </is>
      </c>
      <c r="C43" s="4" t="inlineStr">
        <is>
          <t>Zea mays</t>
        </is>
      </c>
      <c r="D43" s="4" t="inlineStr">
        <is>
          <t>Poaceae</t>
        </is>
      </c>
      <c r="E43" s="3" t="inlineStr">
        <is>
          <t>Herbáceo (&lt;0.5 m)</t>
        </is>
      </c>
      <c r="F43" s="3" t="inlineStr">
        <is>
          <t>Introducida</t>
        </is>
      </c>
      <c r="G43" s="3" t="inlineStr">
        <is>
          <t>Frecuente (5-20%)</t>
        </is>
      </c>
      <c r="H43" s="3" t="n"/>
      <c r="I43" s="3" t="n"/>
    </row>
    <row r="44" ht="18" customHeight="1" s="17">
      <c r="A44" s="5" t="n">
        <v>10</v>
      </c>
      <c r="B44" s="4" t="inlineStr">
        <is>
          <t>Plátano (cultivo)</t>
        </is>
      </c>
      <c r="C44" s="4" t="inlineStr">
        <is>
          <t>Musa × paradisiaca</t>
        </is>
      </c>
      <c r="D44" s="4" t="inlineStr">
        <is>
          <t>Musaceae</t>
        </is>
      </c>
      <c r="E44" s="3" t="inlineStr">
        <is>
          <t>Arbóreo bajo (4-8 m)</t>
        </is>
      </c>
      <c r="F44" s="3" t="inlineStr">
        <is>
          <t>Introducida</t>
        </is>
      </c>
      <c r="G44" s="3" t="inlineStr">
        <is>
          <t>Ocasional (1-5%)</t>
        </is>
      </c>
      <c r="H44" s="3" t="n"/>
      <c r="I44" s="3" t="n"/>
    </row>
    <row r="45" ht="18" customHeight="1" s="17">
      <c r="A45" s="5" t="n">
        <v>11</v>
      </c>
      <c r="B45" s="4" t="inlineStr">
        <is>
          <t>Pastos cultivados</t>
        </is>
      </c>
      <c r="C45" s="4" t="inlineStr">
        <is>
          <t>Por determinar</t>
        </is>
      </c>
      <c r="D45" s="4" t="inlineStr">
        <is>
          <t>Poaceae</t>
        </is>
      </c>
      <c r="E45" s="3" t="inlineStr">
        <is>
          <t>Herbáceo (&lt;0.5 m)</t>
        </is>
      </c>
      <c r="F45" s="3" t="inlineStr">
        <is>
          <t>Introducida</t>
        </is>
      </c>
      <c r="G45" s="3" t="inlineStr">
        <is>
          <t>Ocasional (1-5%)</t>
        </is>
      </c>
      <c r="H45" s="3" t="n"/>
      <c r="I45" s="3" t="n"/>
    </row>
    <row r="46" ht="18" customHeight="1" s="17">
      <c r="A46" s="5" t="n">
        <v>12</v>
      </c>
      <c r="B46" s="4" t="n"/>
      <c r="C46" s="4" t="n"/>
      <c r="D46" s="4" t="n"/>
      <c r="E46" s="3" t="n"/>
      <c r="F46" s="3" t="n"/>
      <c r="G46" s="3" t="n"/>
      <c r="H46" s="3" t="n"/>
      <c r="I46" s="3" t="n"/>
    </row>
    <row r="47" ht="18" customHeight="1" s="17">
      <c r="A47" s="5" t="n">
        <v>13</v>
      </c>
      <c r="B47" s="4" t="n"/>
      <c r="C47" s="4" t="n"/>
      <c r="D47" s="4" t="n"/>
      <c r="E47" s="3" t="n"/>
      <c r="F47" s="3" t="n"/>
      <c r="G47" s="3" t="n"/>
      <c r="H47" s="3" t="n"/>
      <c r="I47" s="3" t="n"/>
    </row>
    <row r="48" ht="18" customHeight="1" s="17">
      <c r="A48" s="5" t="n">
        <v>14</v>
      </c>
      <c r="B48" s="4" t="n"/>
      <c r="C48" s="4" t="n"/>
      <c r="D48" s="4" t="n"/>
      <c r="E48" s="3" t="n"/>
      <c r="F48" s="3" t="n"/>
      <c r="G48" s="3" t="n"/>
      <c r="H48" s="3" t="n"/>
      <c r="I48" s="3" t="n"/>
    </row>
    <row r="49" ht="18" customHeight="1" s="17">
      <c r="A49" s="5" t="n">
        <v>15</v>
      </c>
      <c r="B49" s="4" t="n"/>
      <c r="C49" s="4" t="n"/>
      <c r="D49" s="4" t="n"/>
      <c r="E49" s="3" t="n"/>
      <c r="F49" s="3" t="n"/>
      <c r="G49" s="3" t="n"/>
      <c r="H49" s="3" t="n"/>
      <c r="I49" s="3" t="n"/>
    </row>
    <row r="51" ht="21.75" customHeight="1" s="17">
      <c r="A51" s="19" t="inlineStr">
        <is>
          <t>5. ESPECIES CLAVE / INDICADORAS</t>
        </is>
      </c>
    </row>
    <row r="52" ht="30" customHeight="1" s="17">
      <c r="A52" s="2" t="inlineStr">
        <is>
          <t>N°</t>
        </is>
      </c>
      <c r="B52" s="2" t="inlineStr">
        <is>
          <t>Nombre científico o común</t>
        </is>
      </c>
      <c r="C52" s="2" t="inlineStr">
        <is>
          <t>Categoría</t>
        </is>
      </c>
      <c r="D52" s="2" t="inlineStr">
        <is>
          <t>Estado UICN / D.S. 043</t>
        </is>
      </c>
      <c r="E52" s="2" t="inlineStr">
        <is>
          <t>UTM ESTE</t>
        </is>
      </c>
      <c r="F52" s="2" t="inlineStr">
        <is>
          <t>UTM NORTE</t>
        </is>
      </c>
      <c r="G52" s="2" t="inlineStr">
        <is>
          <t>N° indiv.</t>
        </is>
      </c>
      <c r="H52" s="2" t="inlineStr">
        <is>
          <t>Foto N°</t>
        </is>
      </c>
      <c r="I52" s="2" t="inlineStr">
        <is>
          <t>Observación</t>
        </is>
      </c>
    </row>
    <row r="53" ht="18" customHeight="1" s="17">
      <c r="A53" s="5" t="n">
        <v>1</v>
      </c>
      <c r="B53" s="4" t="inlineStr">
        <is>
          <t>Vachellia macracantha (faique)</t>
        </is>
      </c>
      <c r="C53" s="4" t="inlineStr">
        <is>
          <t>Indicadora de perturbación</t>
        </is>
      </c>
      <c r="D53" s="4" t="inlineStr">
        <is>
          <t>No aplica</t>
        </is>
      </c>
      <c r="E53" s="3" t="n">
        <v>657554</v>
      </c>
      <c r="F53" s="3" t="n">
        <v>9377128</v>
      </c>
      <c r="G53" s="3" t="n"/>
      <c r="H53" s="3" t="inlineStr">
        <is>
          <t>E-08</t>
        </is>
      </c>
      <c r="I53" s="4" t="inlineStr">
        <is>
          <t>Dominante del estrato arbóreo en laderas de fuerte insolación; confirma la adscripción a bosque estacionalmente seco y el déficit hídrico edáfico</t>
        </is>
      </c>
    </row>
    <row r="54" ht="18" customHeight="1" s="17">
      <c r="A54" s="5" t="n">
        <v>2</v>
      </c>
      <c r="B54" s="4" t="inlineStr">
        <is>
          <t>Baccharis spp. (chilca)</t>
        </is>
      </c>
      <c r="C54" s="4" t="inlineStr">
        <is>
          <t>Indicadora de perturbación</t>
        </is>
      </c>
      <c r="D54" s="4" t="inlineStr">
        <is>
          <t>No aplica</t>
        </is>
      </c>
      <c r="E54" s="3" t="n">
        <v>657551</v>
      </c>
      <c r="F54" s="3" t="n">
        <v>9377519</v>
      </c>
      <c r="G54" s="3" t="n"/>
      <c r="H54" s="3" t="inlineStr">
        <is>
          <t>E-06</t>
        </is>
      </c>
      <c r="I54" s="4" t="inlineStr">
        <is>
          <t>Colonizadora de taludes y bordes alterados; señal de recolonización espontánea de superficies removidas</t>
        </is>
      </c>
    </row>
    <row r="55" ht="18" customHeight="1" s="17">
      <c r="A55" s="5" t="n">
        <v>3</v>
      </c>
      <c r="B55" s="4" t="inlineStr">
        <is>
          <t>Agave americana (agave / penca)</t>
        </is>
      </c>
      <c r="C55" s="4" t="inlineStr">
        <is>
          <t>Indicadora de perturbación</t>
        </is>
      </c>
      <c r="D55" s="4" t="inlineStr">
        <is>
          <t>No aplica</t>
        </is>
      </c>
      <c r="E55" s="3" t="n">
        <v>657727</v>
      </c>
      <c r="F55" s="3" t="n">
        <v>9377637</v>
      </c>
      <c r="G55" s="3" t="n"/>
      <c r="H55" s="3" t="inlineStr">
        <is>
          <t>E-02</t>
        </is>
      </c>
      <c r="I55" s="4" t="inlineStr">
        <is>
          <t>Asociada a linderos y suelos someros degradados; uso local como cerco vivo</t>
        </is>
      </c>
    </row>
    <row r="56" ht="18" customHeight="1" s="17">
      <c r="A56" s="5" t="n">
        <v>4</v>
      </c>
      <c r="B56" s="4" t="inlineStr">
        <is>
          <t>Eucalyptus globulus (eucalipto)</t>
        </is>
      </c>
      <c r="C56" s="4" t="inlineStr">
        <is>
          <t>Indicadora de perturbación</t>
        </is>
      </c>
      <c r="D56" s="4" t="inlineStr">
        <is>
          <t>No aplica</t>
        </is>
      </c>
      <c r="E56" s="3" t="n">
        <v>657704</v>
      </c>
      <c r="F56" s="3" t="n">
        <v>9377627</v>
      </c>
      <c r="G56" s="3" t="n"/>
      <c r="H56" s="3" t="inlineStr">
        <is>
          <t>E-01</t>
        </is>
      </c>
      <c r="I56" s="4" t="inlineStr">
        <is>
          <t>Plantones en línea sobre el borde de la trocha; especie introducida de alta demanda hídrica</t>
        </is>
      </c>
    </row>
    <row r="57" ht="18" customHeight="1" s="17">
      <c r="A57" s="5" t="n">
        <v>5</v>
      </c>
      <c r="B57" s="4" t="inlineStr">
        <is>
          <t>Poaceae (pastizal natural en estiaje)</t>
        </is>
      </c>
      <c r="C57" s="4" t="inlineStr">
        <is>
          <t>Indicadora de perturbación</t>
        </is>
      </c>
      <c r="D57" s="4" t="inlineStr">
        <is>
          <t>No aplica</t>
        </is>
      </c>
      <c r="E57" s="3" t="n">
        <v>657554</v>
      </c>
      <c r="F57" s="3" t="n">
        <v>9377128</v>
      </c>
      <c r="G57" s="3" t="n"/>
      <c r="H57" s="3" t="inlineStr">
        <is>
          <t>E-09</t>
        </is>
      </c>
      <c r="I57" s="4" t="inlineStr">
        <is>
          <t>Cobertura herbácea seca con terracillas de pisoteo caprino; sustenta la calificación de sobrepastoreo</t>
        </is>
      </c>
    </row>
    <row r="58" ht="18" customHeight="1" s="17">
      <c r="A58" s="5" t="n">
        <v>6</v>
      </c>
      <c r="B58" s="4" t="n"/>
      <c r="C58" s="4" t="n"/>
      <c r="D58" s="4" t="n"/>
      <c r="E58" s="3" t="n"/>
      <c r="F58" s="3" t="n"/>
      <c r="G58" s="3" t="n"/>
      <c r="H58" s="3" t="n"/>
      <c r="I58" s="4" t="n"/>
    </row>
    <row r="59" ht="18" customHeight="1" s="17">
      <c r="A59" s="5" t="n">
        <v>7</v>
      </c>
      <c r="B59" s="4" t="n"/>
      <c r="C59" s="4" t="n"/>
      <c r="D59" s="4" t="n"/>
      <c r="E59" s="3" t="n"/>
      <c r="F59" s="3" t="n"/>
      <c r="G59" s="3" t="n"/>
      <c r="H59" s="3" t="n"/>
      <c r="I59" s="4" t="n"/>
    </row>
    <row r="60" ht="18" customHeight="1" s="17">
      <c r="A60" s="5" t="n">
        <v>8</v>
      </c>
      <c r="B60" s="4" t="n"/>
      <c r="C60" s="4" t="n"/>
      <c r="D60" s="4" t="n"/>
      <c r="E60" s="3" t="n"/>
      <c r="F60" s="3" t="n"/>
      <c r="G60" s="3" t="n"/>
      <c r="H60" s="3" t="n"/>
      <c r="I60" s="4" t="n"/>
    </row>
    <row r="61" ht="18" customHeight="1" s="17">
      <c r="A61" s="5" t="n">
        <v>9</v>
      </c>
      <c r="B61" s="4" t="n"/>
      <c r="C61" s="4" t="n"/>
      <c r="D61" s="4" t="n"/>
      <c r="E61" s="3" t="n"/>
      <c r="F61" s="3" t="n"/>
      <c r="G61" s="3" t="n"/>
      <c r="H61" s="3" t="n"/>
      <c r="I61" s="4" t="n"/>
    </row>
    <row r="62" ht="18" customHeight="1" s="17">
      <c r="A62" s="5" t="n">
        <v>10</v>
      </c>
      <c r="B62" s="4" t="n"/>
      <c r="C62" s="4" t="n"/>
      <c r="D62" s="4" t="n"/>
      <c r="E62" s="3" t="n"/>
      <c r="F62" s="3" t="n"/>
      <c r="G62" s="3" t="n"/>
      <c r="H62" s="3" t="n"/>
      <c r="I62" s="4" t="n"/>
    </row>
    <row r="64" ht="21.75" customHeight="1" s="17">
      <c r="A64" s="19" t="inlineStr">
        <is>
          <t>OBSERVACIONES</t>
        </is>
      </c>
    </row>
    <row r="65" ht="27.75" customHeight="1" s="17">
      <c r="A65" s="23" t="inlineStr">
        <is>
          <t>FICHA NO LEVANTADA EN CAMPO — prellenado de gabinete a partir de fotointerpretación de las 10 estaciones del 19-08-2026 y de las especies declaradas por el evaluador. || LISTA FLORÍSTICA PRELIMINAR E INCOMPLETA: 11 taxones registrados frente al mínimo de 15 exigido por la ficha (FALTAN 4). Ningún binomio ha sido confirmado taxonómicamente; tres entradas carecen de determinación genérica. || NO se instalaron parcelas de muestreo, NO hubo colecta botánica y NO se midieron coberturas por estrato, alturas ni DAP: todos esos campos quedan como 'Por determinar' y NO fueron inferidos. || Cuatro de los once taxones son introducidos (eucalipto, ciprés, plátano, pastos cultivados) y tres corresponden a cultivos, lo que confirma el carácter de mosaico agro-forestal del borde del bloque. || La adscripción al Bes-cm se sostiene por continuidad con los bloques vecinos de la microcuenca C1076-Q9593 y por la fisonomía observada (faique, agave, pastizal en estiaje) entre 1 647 y 1 838 msnm; su verificación contra la capa nacional de ecosistemas del MINAM es acción de cierre. || AUSENCIA DE EPÍFITAS: a diferencia de los bloques 8 y 16 de la misma microcuenca, no se observó epifitismo de bromeliáceas, lo que es coherente con un régimen de menor condensación de neblina en esta posición del territorio.</t>
        </is>
      </c>
      <c r="B65" s="24" t="n"/>
      <c r="C65" s="24" t="n"/>
      <c r="D65" s="24" t="n"/>
      <c r="E65" s="24" t="n"/>
      <c r="F65" s="24" t="n"/>
      <c r="G65" s="24" t="n"/>
      <c r="H65" s="24" t="n"/>
      <c r="I65" s="25" t="n"/>
    </row>
    <row r="66" ht="27.75" customHeight="1" s="17">
      <c r="A66" s="26" t="n"/>
      <c r="I66" s="27" t="n"/>
    </row>
    <row r="67" ht="27.75" customHeight="1" s="17">
      <c r="A67" s="28" t="n"/>
      <c r="B67" s="29" t="n"/>
      <c r="C67" s="29" t="n"/>
      <c r="D67" s="29" t="n"/>
      <c r="E67" s="29" t="n"/>
      <c r="F67" s="29" t="n"/>
      <c r="G67" s="29" t="n"/>
      <c r="H67" s="29" t="n"/>
      <c r="I67" s="30" t="n"/>
    </row>
  </sheetData>
  <mergeCells count="72">
    <mergeCell ref="A7:I7"/>
    <mergeCell ref="E12:F12"/>
    <mergeCell ref="A24:B24"/>
    <mergeCell ref="A30:B30"/>
    <mergeCell ref="G10:I10"/>
    <mergeCell ref="C24:D24"/>
    <mergeCell ref="A65:I67"/>
    <mergeCell ref="G13:I13"/>
    <mergeCell ref="C17:I17"/>
    <mergeCell ref="E24:F24"/>
    <mergeCell ref="A11:B11"/>
    <mergeCell ref="E23:F23"/>
    <mergeCell ref="A3:I3"/>
    <mergeCell ref="E8:F8"/>
    <mergeCell ref="C19:I19"/>
    <mergeCell ref="A21:I21"/>
    <mergeCell ref="G24:I24"/>
    <mergeCell ref="C28:I28"/>
    <mergeCell ref="A16:B16"/>
    <mergeCell ref="A2:I2"/>
    <mergeCell ref="C10:D10"/>
    <mergeCell ref="C18:I18"/>
    <mergeCell ref="A25:B25"/>
    <mergeCell ref="A5:I5"/>
    <mergeCell ref="E10:F10"/>
    <mergeCell ref="C25:D25"/>
    <mergeCell ref="A32:I32"/>
    <mergeCell ref="A33:I33"/>
    <mergeCell ref="E13:F13"/>
    <mergeCell ref="C22:D22"/>
    <mergeCell ref="C30:I30"/>
    <mergeCell ref="C9:D9"/>
    <mergeCell ref="A18:B18"/>
    <mergeCell ref="A27:B27"/>
    <mergeCell ref="E9:F9"/>
    <mergeCell ref="A4:I4"/>
    <mergeCell ref="A12:B12"/>
    <mergeCell ref="G25:I25"/>
    <mergeCell ref="C12:D12"/>
    <mergeCell ref="A26:B26"/>
    <mergeCell ref="G22:I22"/>
    <mergeCell ref="C26:I26"/>
    <mergeCell ref="C11:D11"/>
    <mergeCell ref="E11:F11"/>
    <mergeCell ref="G9:I9"/>
    <mergeCell ref="C29:I29"/>
    <mergeCell ref="G12:I12"/>
    <mergeCell ref="C16:I16"/>
    <mergeCell ref="A17:B17"/>
    <mergeCell ref="A23:B23"/>
    <mergeCell ref="A8:B8"/>
    <mergeCell ref="C23:D23"/>
    <mergeCell ref="A22:B22"/>
    <mergeCell ref="C8:D8"/>
    <mergeCell ref="G11:I11"/>
    <mergeCell ref="A64:I64"/>
    <mergeCell ref="A15:I15"/>
    <mergeCell ref="A29:B29"/>
    <mergeCell ref="A51:I51"/>
    <mergeCell ref="E25:F25"/>
    <mergeCell ref="A19:B19"/>
    <mergeCell ref="G23:I23"/>
    <mergeCell ref="A28:B28"/>
    <mergeCell ref="A1:I1"/>
    <mergeCell ref="G8:I8"/>
    <mergeCell ref="A13:B13"/>
    <mergeCell ref="A10:B10"/>
    <mergeCell ref="E22:F22"/>
    <mergeCell ref="C13:D13"/>
    <mergeCell ref="A6:I6"/>
    <mergeCell ref="A9:B9"/>
    <mergeCell ref="C27:I27"/>
  </mergeCells>
  <dataValidations count="14">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6" showDropDown="0" showInputMessage="0" showErrorMessage="0" allowBlank="1" errorTitle="Valor no válido" error="Seleccione un valor de la lista desplegable." promptTitle="Tipo de ecosistema MINAM (domi" prompt="Elija una opción de la lista." type="list">
      <formula1>lst_TipoEcosistema</formula1>
      <formula2>0</formula2>
    </dataValidation>
    <dataValidation sqref="C18" showDropDown="0" showInputMessage="0" showErrorMessage="0" allowBlank="1" errorTitle="Valor no válido" error="Seleccione un valor de la lista desplegable." promptTitle="Estado de conservación general" prompt="Elija una opción de la lista." type="list">
      <formula1>lst_EstadoConservacion</formula1>
      <formula2>0</formula2>
    </dataValidation>
    <dataValidation sqref="C19" showDropDown="0" showInputMessage="0" showErrorMessage="0" allowBlank="1" errorTitle="Valor no válido" error="Seleccione un valor de la lista desplegable." promptTitle="Uso actual dominante del suelo" prompt="Elija una opción de la lista." type="list">
      <formula1>lst_UsoSueloDom</formula1>
      <formula2>0</formula2>
    </dataValidation>
    <dataValidation sqref="C26" showDropDown="0" showInputMessage="0" showErrorMessage="0" allowBlank="1" errorTitle="Valor no válido" error="Seleccione un valor de la lista desplegable." promptTitle="Regeneración natural observada" prompt="Elija una opción de la lista." type="list">
      <formula1>lst_Regeneracion</formula1>
      <formula2>0</formula2>
    </dataValidation>
    <dataValidation sqref="C27" showDropDown="0" showInputMessage="0" showErrorMessage="0" allowBlank="1" errorTitle="Valor no válido" error="Seleccione un valor de la lista desplegable." promptTitle="Estado sanitario general del d" prompt="Elija una opción de la lista." type="list">
      <formula1>lst_EstadoSanitario</formula1>
      <formula2>0</formula2>
    </dataValidation>
    <dataValidation sqref="C28" showDropDown="0" showInputMessage="0" showErrorMessage="0" allowBlank="1" errorTitle="Valor no válido" error="Seleccione un valor de la lista desplegable." promptTitle="Presencia de epífitas (cualita" prompt="Elija una opción de la lista." type="list">
      <formula1>lst_SiNo</formula1>
      <formula2>0</formula2>
    </dataValidation>
    <dataValidation sqref="C29" showDropDown="0" showInputMessage="0" showErrorMessage="0" allowBlank="1" errorTitle="Valor no válido" error="Seleccione un valor de la lista desplegable." promptTitle="Fenología dominante (época de " prompt="Elija una opción de la lista." type="list">
      <formula1>lst_Fenologia</formula1>
      <formula2>0</formula2>
    </dataValidation>
    <dataValidation sqref="C30" showDropDown="0" showInputMessage="0" showErrorMessage="0" allowBlank="1" errorTitle="Valor no válido" error="Seleccione un valor de la lista desplegable." promptTitle="Tipo de cobertura vegetal domi" prompt="Elija una opción de la lista." type="list">
      <formula1>lst_TipoCobertura</formula1>
      <formula2>0</formula2>
    </dataValidation>
    <dataValidation sqref="E35:E49" showDropDown="0" showInputMessage="0" showErrorMessage="0" allowBlank="1" errorTitle="Valor no válido" error="Seleccione un valor de la lista desplegable." promptTitle="Estrato" prompt="Elija una opción de la lista." type="list">
      <formula1>lst_Estrato</formula1>
      <formula2>0</formula2>
    </dataValidation>
    <dataValidation sqref="F35:F49" showDropDown="0" showInputMessage="0" showErrorMessage="0" allowBlank="1" errorTitle="Valor no válido" error="Seleccione un valor de la lista desplegable." promptTitle="Origen" prompt="Elija una opción de la lista." type="list">
      <formula1>lst_Origen</formula1>
      <formula2>0</formula2>
    </dataValidation>
    <dataValidation sqref="G35:G49" showDropDown="0" showInputMessage="0" showErrorMessage="0" allowBlank="1" errorTitle="Valor no válido" error="Seleccione un valor de la lista desplegable." promptTitle="Abundancia" prompt="Elija una opción de la lista." type="list">
      <formula1>lst_Abundancia</formula1>
      <formula2>0</formula2>
    </dataValidation>
    <dataValidation sqref="C53:C62" showDropDown="0" showInputMessage="0" showErrorMessage="0" allowBlank="1" errorTitle="Valor no válido" error="Seleccione un valor de la lista desplegable." promptTitle="Categoría" prompt="Elija una opción de la lista." type="list">
      <formula1>lst_CategoriaIndicadora</formula1>
      <formula2>0</formula2>
    </dataValidation>
    <dataValidation sqref="D53:D62" showDropDown="0" showInputMessage="0" showErrorMessage="0" allowBlank="1" errorTitle="Valor no válido" error="Seleccione un valor de la lista desplegable." promptTitle="Estado UICN / D.S. 043" prompt="Elija una opción de la lista." type="list">
      <formula1>lst_EstadoUICN</formula1>
      <formula2>0</formula2>
    </dataValidation>
  </dataValidations>
  <printOptions horizontalCentered="1"/>
  <pageMargins left="0.4" right="0.4" top="0.5" bottom="0.5" header="0.2" footer="0.2"/>
  <pageSetup orientation="landscape" paperSize="9" fitToHeight="0" horizontalDpi="300" verticalDpi="300"/>
</worksheet>
</file>

<file path=xl/worksheets/sheet5.xml><?xml version="1.0" encoding="utf-8"?>
<worksheet xmlns="http://schemas.openxmlformats.org/spreadsheetml/2006/main">
  <sheetPr>
    <outlinePr summaryBelow="1" summaryRight="1"/>
    <pageSetUpPr fitToPage="1"/>
  </sheetPr>
  <dimension ref="A1:G54"/>
  <sheetViews>
    <sheetView showGridLines="0" tabSelected="1" zoomScaleNormal="100" workbookViewId="0">
      <pane ySplit="6" topLeftCell="A7" activePane="bottomLeft" state="frozen"/>
      <selection pane="bottomLeft" activeCell="D15" sqref="D15"/>
    </sheetView>
  </sheetViews>
  <sheetFormatPr baseColWidth="10" defaultColWidth="8.6640625" defaultRowHeight="14.4"/>
  <cols>
    <col width="6" customWidth="1" style="17" min="1" max="1"/>
    <col width="32" customWidth="1" style="17" min="2" max="2"/>
    <col width="13" customWidth="1" style="17" min="3" max="3"/>
    <col width="14" customWidth="1" style="17" min="4" max="4"/>
    <col width="13" customWidth="1" style="17" min="5" max="5"/>
    <col width="14" customWidth="1" style="17" min="6" max="6"/>
    <col width="32" customWidth="1" style="17" min="7" max="7"/>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F-DT-04: CAUSAS E INDICADORES DE DEGRADACIÓN DEL ECOSISTEMA</t>
        </is>
      </c>
    </row>
    <row r="5" ht="27.75" customHeight="1" s="17">
      <c r="A5" s="21" t="inlineStr">
        <is>
          <t>Identificación y ponderación de causas directas de degradación (antrópicas y naturales) y registro de indicadores cuantitativos. Permite priorizar medidas de mitigación y gobernanza.</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19-08-2026</t>
        </is>
      </c>
      <c r="D8" s="13" t="n"/>
      <c r="E8" s="13" t="n"/>
      <c r="F8" s="13" t="n"/>
      <c r="G8" s="14" t="n"/>
    </row>
    <row r="9" ht="19.5" customHeight="1" s="17">
      <c r="A9" s="31" t="inlineStr">
        <is>
          <t>Responsable *</t>
        </is>
      </c>
      <c r="B9" s="14" t="n"/>
      <c r="C9" s="15" t="inlineStr">
        <is>
          <t>Ing. Pedro Talledo Hernández (evaluador)</t>
        </is>
      </c>
      <c r="D9" s="13" t="n"/>
      <c r="E9" s="13" t="n"/>
      <c r="F9" s="13" t="n"/>
      <c r="G9" s="14" t="n"/>
    </row>
    <row r="10" ht="19.5" customHeight="1" s="17">
      <c r="A10" s="31" t="inlineStr">
        <is>
          <t>Código del Bloque *</t>
        </is>
      </c>
      <c r="B10" s="14" t="n"/>
      <c r="C10" s="15" t="inlineStr">
        <is>
          <t>76</t>
        </is>
      </c>
      <c r="D10" s="13" t="n"/>
      <c r="E10" s="13" t="n"/>
      <c r="F10" s="13" t="n"/>
      <c r="G10" s="14" t="n"/>
    </row>
    <row r="11" ht="19.5" customHeight="1" s="17">
      <c r="A11" s="31" t="inlineStr">
        <is>
          <t>Microcuenca (auto)</t>
        </is>
      </c>
      <c r="B11" s="14" t="n"/>
      <c r="C11" s="12">
        <f>IFERROR(VLOOKUP($C$10,tbl_Bloques,2,FALSE()),"")</f>
        <v/>
      </c>
      <c r="D11" s="13" t="n"/>
      <c r="E11" s="13" t="n"/>
      <c r="F11" s="13" t="n"/>
      <c r="G11" s="14" t="n"/>
    </row>
    <row r="12" ht="21.75" customHeight="1" s="17">
      <c r="A12" s="6" t="inlineStr">
        <is>
          <t>2. MATRIZ DE CAUSAS DE DEGRADACIÓN</t>
        </is>
      </c>
      <c r="B12" s="13" t="n"/>
      <c r="C12" s="14" t="n"/>
      <c r="D12" s="13" t="n"/>
      <c r="E12" s="13" t="n"/>
      <c r="F12" s="13" t="n"/>
      <c r="G12" s="14" t="n"/>
    </row>
    <row r="13" ht="27.75" customHeight="1" s="17">
      <c r="A13" s="32" t="inlineStr">
        <is>
          <t>PRESENCIA: Sí / No  |  INTENSIDAD: Nula / Ligera / Moderada / Fuerte / Muy fuerte  |  EXTENSIÓN: % del bloque afectado  |  ANTIGÜEDAD: años aproximados.</t>
        </is>
      </c>
      <c r="B13" s="14" t="n"/>
      <c r="C13" s="33" t="n"/>
      <c r="D13" s="13" t="n"/>
      <c r="E13" s="13" t="n"/>
      <c r="F13" s="13" t="n"/>
      <c r="G13" s="14" t="n"/>
    </row>
    <row r="14" ht="31.5" customHeight="1" s="17">
      <c r="A14" s="2" t="inlineStr">
        <is>
          <t>N°</t>
        </is>
      </c>
      <c r="B14" s="2" t="inlineStr">
        <is>
          <t>Causa / Factor de degradación</t>
        </is>
      </c>
      <c r="C14" s="2" t="inlineStr">
        <is>
          <t>Presencia</t>
        </is>
      </c>
      <c r="D14" s="2" t="inlineStr">
        <is>
          <t>Intensidad</t>
        </is>
      </c>
      <c r="E14" s="2" t="inlineStr">
        <is>
          <t>Extensión
(% bloque)</t>
        </is>
      </c>
      <c r="F14" s="2" t="inlineStr">
        <is>
          <t>Antigüedad
(años aprox.)</t>
        </is>
      </c>
      <c r="G14" s="2" t="inlineStr">
        <is>
          <t>Evidencia observada / Descripción</t>
        </is>
      </c>
    </row>
    <row r="15" ht="18" customHeight="1" s="17">
      <c r="A15" s="5" t="n">
        <v>1</v>
      </c>
      <c r="B15" s="7" t="inlineStr">
        <is>
          <t>Sobrepastoreo (caprino/vacuno)</t>
        </is>
      </c>
      <c r="C15" s="3" t="inlineStr">
        <is>
          <t>Sí</t>
        </is>
      </c>
      <c r="D15" s="3" t="inlineStr">
        <is>
          <t>Moderada</t>
        </is>
      </c>
      <c r="E15" s="3" t="inlineStr">
        <is>
          <t>Por determinar</t>
        </is>
      </c>
      <c r="F15" s="3" t="inlineStr">
        <is>
          <t>Por determinar</t>
        </is>
      </c>
      <c r="G15" s="4" t="inlineStr">
        <is>
          <t>Ganado caprino en pastoreo libre sobre ladera con suelo desnudo y terracillas de pisoteo (E-04); pastizal natural ramoneado en estiaje. Carga no cuantificada</t>
        </is>
      </c>
    </row>
    <row r="16" ht="18" customHeight="1" s="17">
      <c r="A16" s="5" t="n">
        <v>2</v>
      </c>
      <c r="B16" s="7" t="inlineStr">
        <is>
          <t>Tala para leña</t>
        </is>
      </c>
      <c r="C16" s="3" t="inlineStr">
        <is>
          <t>Sí</t>
        </is>
      </c>
      <c r="D16" s="3" t="inlineStr">
        <is>
          <t>Ligera</t>
        </is>
      </c>
      <c r="E16" s="3" t="inlineStr">
        <is>
          <t>Por determinar</t>
        </is>
      </c>
      <c r="F16" s="3" t="inlineStr">
        <is>
          <t>Por determinar</t>
        </is>
      </c>
      <c r="G16" s="4" t="inlineStr">
        <is>
          <t>Extracción selectiva de leña en el matorral seco perimetral; sin cuantificación</t>
        </is>
      </c>
    </row>
    <row r="17" ht="18" customHeight="1" s="17">
      <c r="A17" s="5" t="n">
        <v>3</v>
      </c>
      <c r="B17" s="7" t="inlineStr">
        <is>
          <t>Tala para carbón</t>
        </is>
      </c>
      <c r="C17" s="3" t="n"/>
      <c r="D17" s="3" t="n"/>
      <c r="E17" s="3" t="n"/>
      <c r="F17" s="3" t="n"/>
      <c r="G17" s="4" t="n"/>
    </row>
    <row r="18" ht="18" customHeight="1" s="17">
      <c r="A18" s="5" t="n">
        <v>4</v>
      </c>
      <c r="B18" s="7" t="inlineStr">
        <is>
          <t>Tala para madera</t>
        </is>
      </c>
      <c r="C18" s="3" t="inlineStr">
        <is>
          <t>No</t>
        </is>
      </c>
      <c r="D18" s="3" t="inlineStr">
        <is>
          <t>Nula</t>
        </is>
      </c>
      <c r="E18" s="3" t="n"/>
      <c r="F18" s="3" t="n"/>
      <c r="G18" s="4" t="inlineStr">
        <is>
          <t>No observada</t>
        </is>
      </c>
    </row>
    <row r="19" ht="18" customHeight="1" s="17">
      <c r="A19" s="5" t="n">
        <v>5</v>
      </c>
      <c r="B19" s="7" t="inlineStr">
        <is>
          <t>Quema (renovación de pastos)</t>
        </is>
      </c>
      <c r="C19" s="3" t="inlineStr">
        <is>
          <t>No</t>
        </is>
      </c>
      <c r="D19" s="3" t="inlineStr">
        <is>
          <t>Nula</t>
        </is>
      </c>
      <c r="E19" s="3" t="n"/>
      <c r="F19" s="3" t="n"/>
      <c r="G19" s="4" t="inlineStr">
        <is>
          <t>No se observaron áreas quemadas recientes ni cicatrices de fuego en las estaciones registradas</t>
        </is>
      </c>
    </row>
    <row r="20" ht="18" customHeight="1" s="17">
      <c r="A20" s="5" t="n">
        <v>6</v>
      </c>
      <c r="B20" s="7" t="inlineStr">
        <is>
          <t>Quema accidental / Incendio</t>
        </is>
      </c>
      <c r="C20" s="3" t="n"/>
      <c r="D20" s="3" t="n"/>
      <c r="E20" s="3" t="n"/>
      <c r="F20" s="3" t="n"/>
      <c r="G20" s="4" t="n"/>
    </row>
    <row r="21" ht="18" customHeight="1" s="17">
      <c r="A21" s="5" t="n">
        <v>7</v>
      </c>
      <c r="B21" s="7" t="inlineStr">
        <is>
          <t>Cambio de uso a agricultura</t>
        </is>
      </c>
      <c r="C21" s="3" t="inlineStr">
        <is>
          <t>Sí</t>
        </is>
      </c>
      <c r="D21" s="3" t="inlineStr">
        <is>
          <t>Fuerte</t>
        </is>
      </c>
      <c r="E21" s="3" t="inlineStr">
        <is>
          <t>Por determinar</t>
        </is>
      </c>
      <c r="F21" s="3" t="inlineStr">
        <is>
          <t>&lt; 5</t>
        </is>
      </c>
      <c r="G21" s="4" t="inlineStr">
        <is>
          <t>CAUSA DOMINANTE. Parcelas de maíz en secano sobre ladera de 25-50 %, con desbroce reciente y restos de roza tendidos sobre el suelo (E-08, E-09, E-10); frentes de habilitación activos en el borde occidental del bloque</t>
        </is>
      </c>
    </row>
    <row r="22" ht="18" customHeight="1" s="17">
      <c r="A22" s="5" t="n">
        <v>8</v>
      </c>
      <c r="B22" s="7" t="inlineStr">
        <is>
          <t>Cambio de uso a pastoreo</t>
        </is>
      </c>
      <c r="C22" s="3" t="inlineStr">
        <is>
          <t>Sí</t>
        </is>
      </c>
      <c r="D22" s="3" t="inlineStr">
        <is>
          <t>Moderada</t>
        </is>
      </c>
      <c r="E22" s="3" t="inlineStr">
        <is>
          <t>Por determinar</t>
        </is>
      </c>
      <c r="F22" s="3" t="inlineStr">
        <is>
          <t>Por determinar</t>
        </is>
      </c>
      <c r="G22" s="4" t="inlineStr">
        <is>
          <t>Conversión de matorral a pastizal de pastoreo extensivo en el interfluvio occidental</t>
        </is>
      </c>
    </row>
    <row r="23" ht="18" customHeight="1" s="17">
      <c r="A23" s="5" t="n">
        <v>9</v>
      </c>
      <c r="B23" s="7" t="inlineStr">
        <is>
          <t>Expansión urbana / vial</t>
        </is>
      </c>
      <c r="C23" s="3" t="inlineStr">
        <is>
          <t>Sí</t>
        </is>
      </c>
      <c r="D23" s="3" t="inlineStr">
        <is>
          <t>Fuerte</t>
        </is>
      </c>
      <c r="E23" s="3" t="inlineStr">
        <is>
          <t>Por determinar</t>
        </is>
      </c>
      <c r="F23" s="3" t="inlineStr">
        <is>
          <t>&lt; 2</t>
        </is>
      </c>
      <c r="G23" s="4" t="inlineStr">
        <is>
          <t>CAUSA CODOMINANTE. Trocha carrozable Hualanga–Sahuate con cortes frescos de 2-5 m, sin banquetas, drenaje ni revegetación; plataforma sin afirmado, excedente vertido sobre el flanco de aguas abajo y vaguada intersectada sin obra de cruce (E-04 a E-07, E-10). Viviendas dispersas sobre el borde</t>
        </is>
      </c>
    </row>
    <row r="24" ht="18" customHeight="1" s="17">
      <c r="A24" s="5" t="n">
        <v>10</v>
      </c>
      <c r="B24" s="7" t="inlineStr">
        <is>
          <t>Minería informal</t>
        </is>
      </c>
      <c r="C24" s="3" t="n"/>
      <c r="D24" s="3" t="n"/>
      <c r="E24" s="3" t="n"/>
      <c r="F24" s="3" t="n"/>
      <c r="G24" s="4" t="n"/>
    </row>
    <row r="25" ht="18" customHeight="1" s="17">
      <c r="A25" s="5" t="n">
        <v>11</v>
      </c>
      <c r="B25" s="7" t="inlineStr">
        <is>
          <t>Extracción de áridos (cauces)</t>
        </is>
      </c>
      <c r="C25" s="3" t="n"/>
      <c r="D25" s="3" t="n"/>
      <c r="E25" s="3" t="n"/>
      <c r="F25" s="3" t="n"/>
      <c r="G25" s="4" t="n"/>
    </row>
    <row r="26" ht="18" customHeight="1" s="17">
      <c r="A26" s="5" t="n">
        <v>12</v>
      </c>
      <c r="B26" s="7" t="inlineStr">
        <is>
          <t>Especies invasoras</t>
        </is>
      </c>
      <c r="C26" s="3" t="inlineStr">
        <is>
          <t>Sí</t>
        </is>
      </c>
      <c r="D26" s="3" t="inlineStr">
        <is>
          <t>Ligera</t>
        </is>
      </c>
      <c r="E26" s="3" t="inlineStr">
        <is>
          <t>Por determinar</t>
        </is>
      </c>
      <c r="F26" s="3" t="inlineStr">
        <is>
          <t>Por determinar</t>
        </is>
      </c>
      <c r="G26" s="4" t="inlineStr">
        <is>
          <t>Rodales y plantones de eucalipto y ejemplar de ciprés en el borde de la trocha; comportamiento invasor NO verificado</t>
        </is>
      </c>
    </row>
    <row r="27" ht="18" customHeight="1" s="17">
      <c r="A27" s="5" t="n">
        <v>13</v>
      </c>
      <c r="B27" s="7" t="inlineStr">
        <is>
          <t>Erosión natural severa</t>
        </is>
      </c>
      <c r="C27" s="3" t="inlineStr">
        <is>
          <t>Sí</t>
        </is>
      </c>
      <c r="D27" s="3" t="inlineStr">
        <is>
          <t>Moderada</t>
        </is>
      </c>
      <c r="E27" s="3" t="inlineStr">
        <is>
          <t>Por determinar</t>
        </is>
      </c>
      <c r="F27" s="3" t="inlineStr">
        <is>
          <t>&lt; 2</t>
        </is>
      </c>
      <c r="G27" s="4" t="inlineStr">
        <is>
          <t>Cárcava somera activa en vaguada sin obra de cruce (E-04, E-05); escarpe de colapso en borde de parcela desbrozada (E-08, E-09); socavamiento del borde de plataforma (E-07)</t>
        </is>
      </c>
    </row>
    <row r="28" ht="18" customHeight="1" s="17">
      <c r="A28" s="5" t="n">
        <v>14</v>
      </c>
      <c r="B28" s="7" t="inlineStr">
        <is>
          <t>Sequía prolongada / CC</t>
        </is>
      </c>
      <c r="C28" s="3" t="inlineStr">
        <is>
          <t>Sí</t>
        </is>
      </c>
      <c r="D28" s="3" t="inlineStr">
        <is>
          <t>Moderada</t>
        </is>
      </c>
      <c r="E28" s="3" t="inlineStr">
        <is>
          <t>Por determinar</t>
        </is>
      </c>
      <c r="F28" s="3" t="inlineStr">
        <is>
          <t>Por determinar</t>
        </is>
      </c>
      <c r="G28" s="4" t="inlineStr">
        <is>
          <t>Estiaje marcado con defoliación generalizada y pastizal seco al 19-08-2026; déficit hídrico futuro proyectado para el ámbito (MPI-ESM1-2HR, SSP 5-8.5, 2021-2040)</t>
        </is>
      </c>
    </row>
    <row r="29" ht="18" customHeight="1" s="17">
      <c r="A29" s="5" t="n">
        <v>15</v>
      </c>
      <c r="B29" s="7" t="inlineStr">
        <is>
          <t>Plagas o enfermedades forestales</t>
        </is>
      </c>
      <c r="C29" s="3" t="n"/>
      <c r="D29" s="3" t="n"/>
      <c r="E29" s="3" t="n"/>
      <c r="F29" s="3" t="n"/>
      <c r="G29" s="4" t="n"/>
    </row>
    <row r="30" ht="18" customHeight="1" s="17">
      <c r="A30" s="5" t="n">
        <v>16</v>
      </c>
      <c r="B30" s="7" t="inlineStr">
        <is>
          <t>Otro</t>
        </is>
      </c>
      <c r="C30" s="3" t="n"/>
      <c r="D30" s="3" t="n"/>
      <c r="E30" s="3" t="n"/>
      <c r="F30" s="3" t="n"/>
      <c r="G30" s="4" t="n"/>
    </row>
    <row r="32" ht="21.75" customHeight="1" s="17">
      <c r="A32" s="19" t="inlineStr">
        <is>
          <t>3. INDICADORES CUANTITATIVOS DE DEGRADACIÓN</t>
        </is>
      </c>
    </row>
    <row r="33" ht="25.5" customHeight="1" s="17">
      <c r="A33" s="32" t="inlineStr">
        <is>
          <t>Combina observación directa con información de gabinete (MSAVI, NDVI, Theil-Sen). NIVEL: Alto / Medio / Bajo según umbrales.</t>
        </is>
      </c>
      <c r="B33" s="13" t="n"/>
      <c r="C33" s="13" t="n"/>
      <c r="D33" s="13" t="n"/>
      <c r="E33" s="13" t="n"/>
      <c r="F33" s="13" t="n"/>
      <c r="G33" s="14" t="n"/>
    </row>
    <row r="34" ht="27.75" customHeight="1" s="17">
      <c r="A34" s="2" t="inlineStr">
        <is>
          <t>N°</t>
        </is>
      </c>
      <c r="B34" s="2" t="inlineStr">
        <is>
          <t>Indicador</t>
        </is>
      </c>
      <c r="C34" s="2" t="inlineStr">
        <is>
          <t>Unidad</t>
        </is>
      </c>
      <c r="D34" s="2" t="inlineStr">
        <is>
          <t>Valor</t>
        </is>
      </c>
      <c r="E34" s="2" t="inlineStr">
        <is>
          <t>Fuente</t>
        </is>
      </c>
      <c r="F34" s="2" t="inlineStr">
        <is>
          <t>Umbral / Referencia</t>
        </is>
      </c>
      <c r="G34" s="2" t="inlineStr">
        <is>
          <t>Nivel</t>
        </is>
      </c>
    </row>
    <row r="35" ht="21.75" customHeight="1" s="17">
      <c r="A35" s="5" t="n">
        <v>1</v>
      </c>
      <c r="B35" s="7" t="inlineStr">
        <is>
          <t>Cobertura vegetal total</t>
        </is>
      </c>
      <c r="C35" s="5" t="inlineStr">
        <is>
          <t>%</t>
        </is>
      </c>
      <c r="D35" s="3" t="inlineStr">
        <is>
          <t>Por determinar</t>
        </is>
      </c>
      <c r="E35" s="4" t="inlineStr">
        <is>
          <t>No cuantificada en campo</t>
        </is>
      </c>
      <c r="F35" s="7" t="inlineStr">
        <is>
          <t>&gt;60% bueno; 30-60% medio; &lt;30% malo</t>
        </is>
      </c>
      <c r="G35" s="3" t="n"/>
    </row>
    <row r="36" ht="21.75" customHeight="1" s="17">
      <c r="A36" s="5" t="n">
        <v>2</v>
      </c>
      <c r="B36" s="7" t="inlineStr">
        <is>
          <t>Porcentaje de suelo desnudo</t>
        </is>
      </c>
      <c r="C36" s="5" t="inlineStr">
        <is>
          <t>%</t>
        </is>
      </c>
      <c r="D36" s="3" t="inlineStr">
        <is>
          <t>Por determinar</t>
        </is>
      </c>
      <c r="E36" s="4" t="inlineStr">
        <is>
          <t>No cuantificada en campo</t>
        </is>
      </c>
      <c r="F36" s="7" t="inlineStr">
        <is>
          <t>&lt;10% bueno; 10-30% medio; &gt;30% malo</t>
        </is>
      </c>
      <c r="G36" s="3" t="n"/>
    </row>
    <row r="37" ht="21.75" customHeight="1" s="17">
      <c r="A37" s="5" t="n">
        <v>3</v>
      </c>
      <c r="B37" s="7" t="inlineStr">
        <is>
          <t>Densidad de cárcavas</t>
        </is>
      </c>
      <c r="C37" s="5" t="inlineStr">
        <is>
          <t>N°/ha</t>
        </is>
      </c>
      <c r="D37" s="3" t="inlineStr">
        <is>
          <t>Por determinar</t>
        </is>
      </c>
      <c r="E37" s="4" t="inlineStr">
        <is>
          <t>Sin inventario (F-DT-02 no levantada)</t>
        </is>
      </c>
      <c r="F37" s="7" t="inlineStr">
        <is>
          <t>0 nulo; 1-3 medio; &gt;3 alto</t>
        </is>
      </c>
      <c r="G37" s="3" t="n"/>
    </row>
    <row r="38" ht="21.75" customHeight="1" s="17">
      <c r="A38" s="5" t="n">
        <v>4</v>
      </c>
      <c r="B38" s="7" t="inlineStr">
        <is>
          <t>Presencia de especies invasoras</t>
        </is>
      </c>
      <c r="C38" s="5" t="inlineStr">
        <is>
          <t>% área</t>
        </is>
      </c>
      <c r="D38" s="3" t="inlineStr">
        <is>
          <t>Por determinar</t>
        </is>
      </c>
      <c r="E38" s="4" t="inlineStr">
        <is>
          <t>No cuantificada</t>
        </is>
      </c>
      <c r="F38" s="7" t="inlineStr">
        <is>
          <t>&lt;5% bueno; 5-20% medio; &gt;20% alto</t>
        </is>
      </c>
      <c r="G38" s="3" t="n"/>
    </row>
    <row r="39" ht="21.75" customHeight="1" s="17">
      <c r="A39" s="5" t="n">
        <v>5</v>
      </c>
      <c r="B39" s="7" t="inlineStr">
        <is>
          <t>Carga ganadera estimada</t>
        </is>
      </c>
      <c r="C39" s="5" t="inlineStr">
        <is>
          <t>UA/ha</t>
        </is>
      </c>
      <c r="D39" s="3" t="inlineStr">
        <is>
          <t>Por determinar</t>
        </is>
      </c>
      <c r="E39" s="4" t="inlineStr">
        <is>
          <t>Sin conteo de hato</t>
        </is>
      </c>
      <c r="F39" s="7" t="inlineStr">
        <is>
          <t>Según tipo de ecosistema</t>
        </is>
      </c>
      <c r="G39" s="3" t="n"/>
    </row>
    <row r="40" ht="21.75" customHeight="1" s="17">
      <c r="A40" s="5" t="n">
        <v>6</v>
      </c>
      <c r="B40" s="7" t="inlineStr">
        <is>
          <t>Frecuencia de quemas últimos 5 años</t>
        </is>
      </c>
      <c r="C40" s="5" t="inlineStr">
        <is>
          <t>N°</t>
        </is>
      </c>
      <c r="D40" s="3" t="inlineStr">
        <is>
          <t>Por determinar</t>
        </is>
      </c>
      <c r="E40" s="4" t="inlineStr">
        <is>
          <t>Sin registro</t>
        </is>
      </c>
      <c r="F40" s="7" t="inlineStr">
        <is>
          <t>0 nulo; 1-2 medio; &gt;2 alto</t>
        </is>
      </c>
      <c r="G40" s="3" t="n"/>
    </row>
    <row r="41" ht="21.75" customHeight="1" s="17">
      <c r="A41" s="5" t="n">
        <v>7</v>
      </c>
      <c r="B41" s="7" t="inlineStr">
        <is>
          <t>% área con pendiente &gt;50%</t>
        </is>
      </c>
      <c r="C41" s="5" t="inlineStr">
        <is>
          <t>%</t>
        </is>
      </c>
      <c r="D41" s="3" t="inlineStr">
        <is>
          <t>Por determinar</t>
        </is>
      </c>
      <c r="E41" s="4" t="inlineStr">
        <is>
          <t>Requiere reclasificación del MDE</t>
        </is>
      </c>
      <c r="F41" s="7" t="inlineStr">
        <is>
          <t>Factor de susceptibilidad</t>
        </is>
      </c>
      <c r="G41" s="3" t="n"/>
    </row>
    <row r="42" ht="21.75" customHeight="1" s="17">
      <c r="A42" s="5" t="n">
        <v>8</v>
      </c>
      <c r="B42" s="7" t="inlineStr">
        <is>
          <t>Distancia a vía vecinal más cercana</t>
        </is>
      </c>
      <c r="C42" s="5" t="inlineStr">
        <is>
          <t>m</t>
        </is>
      </c>
      <c r="D42" s="3" t="inlineStr">
        <is>
          <t>≈ 45</t>
        </is>
      </c>
      <c r="E42" s="4" t="inlineStr">
        <is>
          <t>Estaciones fotográficas 19-08-2026 · medición planimétrica sobre plano georreferenciado</t>
        </is>
      </c>
      <c r="F42" s="7" t="inlineStr">
        <is>
          <t>A menor distancia → mayor presión</t>
        </is>
      </c>
      <c r="G42" s="3" t="inlineStr">
        <is>
          <t>Alto</t>
        </is>
      </c>
    </row>
    <row r="44" ht="21.75" customHeight="1" s="17">
      <c r="A44" s="19" t="inlineStr">
        <is>
          <t>4. SÍNTESIS DIAGNÓSTICA DE LA DEGRADACIÓN</t>
        </is>
      </c>
    </row>
    <row r="45" ht="19.5" customHeight="1" s="17">
      <c r="A45" s="31" t="inlineStr">
        <is>
          <t>Principales causas directas (texto libre)</t>
        </is>
      </c>
      <c r="B45" s="14" t="n"/>
      <c r="C45" s="15" t="inlineStr">
        <is>
          <t>(1) Cambio de uso a agricultura: habilitación de parcelas de maíz en secano sobre ladera de 25-50 %, con desbroce reciente en el borde occidental — causa dominante. (2) Expansión vial: trocha carrozable Hualanga–Sahuate con cortes frescos, sin drenaje ni tratamiento de taludes ni de excedentes — causa codominante y de mayor urgencia temporal. (3) Sobrepastoreo caprino sobre suelo desnudo con terracillas de pisoteo. (4) Erosión concentrada asociada a (1) y (2): cárcava somera en vaguada sin obra de cruce y colapso de borde de parcela. (5) Extracción de leña y presencia de especies introducidas, ambas de intensidad ligera.</t>
        </is>
      </c>
      <c r="D45" s="13" t="n"/>
      <c r="E45" s="13" t="n"/>
      <c r="F45" s="13" t="n"/>
      <c r="G45" s="14" t="n"/>
    </row>
    <row r="46" ht="19.5" customHeight="1" s="17">
      <c r="A46" s="31" t="inlineStr">
        <is>
          <t>Principal causa subyacente (motor)</t>
        </is>
      </c>
      <c r="B46" s="14" t="n"/>
      <c r="C46" s="15" t="inlineStr">
        <is>
          <t>Economía familiar de subsistencia en ladera —maíz en secano y ganadería caprina extensiva— sin alternativas productivas ni asistencia técnica de conservación de suelos, potenciada por la mejora reciente de la accesibilidad vial, que habilita nuevos frentes de habilitación agrícola sobre suelos de aptitud forestal o de protección.</t>
        </is>
      </c>
      <c r="D46" s="13" t="n"/>
      <c r="E46" s="13" t="n"/>
      <c r="F46" s="13" t="n"/>
      <c r="G46" s="14" t="n"/>
    </row>
    <row r="47" ht="19.5" customHeight="1" s="17">
      <c r="A47" s="31" t="inlineStr">
        <is>
          <t>Velocidad de degradación percibida</t>
        </is>
      </c>
      <c r="B47" s="14" t="n"/>
      <c r="C47" s="15" t="inlineStr">
        <is>
          <t>Moderada</t>
        </is>
      </c>
      <c r="D47" s="13" t="n"/>
      <c r="E47" s="13" t="n"/>
      <c r="F47" s="13" t="n"/>
      <c r="G47" s="14" t="n"/>
    </row>
    <row r="48" ht="19.5" customHeight="1" s="17">
      <c r="A48" s="31" t="inlineStr">
        <is>
          <t>Reversibilidad técnica</t>
        </is>
      </c>
      <c r="B48" s="14" t="n"/>
      <c r="C48" s="15" t="inlineStr">
        <is>
          <t>Parcialmente reversible</t>
        </is>
      </c>
      <c r="D48" s="13" t="n"/>
      <c r="E48" s="13" t="n"/>
      <c r="F48" s="13" t="n"/>
      <c r="G48" s="14" t="n"/>
    </row>
    <row r="49" ht="19.5" customHeight="1" s="17">
      <c r="A49" s="31" t="inlineStr">
        <is>
          <t>Urgencia de intervención</t>
        </is>
      </c>
      <c r="B49" s="14" t="n"/>
      <c r="C49" s="15" t="inlineStr">
        <is>
          <t>Alta</t>
        </is>
      </c>
      <c r="D49" s="13" t="n"/>
      <c r="E49" s="13" t="n"/>
      <c r="F49" s="13" t="n"/>
      <c r="G49" s="14" t="n"/>
    </row>
    <row r="51" ht="21.75" customHeight="1" s="17">
      <c r="A51" s="19" t="inlineStr">
        <is>
          <t>OBSERVACIONES</t>
        </is>
      </c>
    </row>
    <row r="52" ht="27.75" customHeight="1" s="17">
      <c r="A52" s="23" t="inlineStr">
        <is>
          <t>FICHA NO LEVANTADA EN CAMPO — matriz construida en gabinete por fotointerpretación de las 10 estaciones del 19-08-2026, todas ellas FUERA del polígono (~45 a ~169 m). Las causas descritas corresponden al BORDE OCCIDENTAL y al corredor vial; su extensión al interior del bloque NO ha sido verificada. || Las causas 17 (carbón), 20 (incendio), 24 (minería informal), 25 (áridos), 29 (plagas) y 30 (otro) se dejan sin registro por falta de observación; la ausencia de registro NO equivale a ausencia verificada. || INDICADOR CLAVE: el 54.64 % del bloque (10.717 ha) se sitúa bajo el umbral MSAVI de 0.4976 (clasificación planimétrica del plano MSAVI_Piura_2024), superficie de referencia para el indicador de brecha de la R.M. N° 00213-2024-MINAM. || La atribución causal es sólida para la franja perimetral occidental pero NO autoriza a imputar a la vía y a la agricultura la totalidad de las 10.717 ha bajo umbral: se requiere comparación multitemporal del MSAVI anterior y posterior a la apertura de la trocha.</t>
        </is>
      </c>
      <c r="B52" s="24" t="n"/>
      <c r="C52" s="24" t="n"/>
      <c r="D52" s="24" t="n"/>
      <c r="E52" s="24" t="n"/>
      <c r="F52" s="24" t="n"/>
      <c r="G52" s="25" t="n"/>
    </row>
    <row r="53" ht="27.75" customHeight="1" s="17">
      <c r="A53" s="26" t="n"/>
      <c r="G53" s="27" t="n"/>
    </row>
    <row r="54" ht="27.75" customHeight="1" s="17">
      <c r="A54" s="28" t="n"/>
      <c r="B54" s="29" t="n"/>
      <c r="C54" s="29" t="n"/>
      <c r="D54" s="29" t="n"/>
      <c r="E54" s="29" t="n"/>
      <c r="F54" s="29" t="n"/>
      <c r="G54" s="30" t="n"/>
    </row>
  </sheetData>
  <mergeCells count="33">
    <mergeCell ref="A32:G32"/>
    <mergeCell ref="A48:B48"/>
    <mergeCell ref="C49:G49"/>
    <mergeCell ref="A11:B11"/>
    <mergeCell ref="A49:B49"/>
    <mergeCell ref="A4:G4"/>
    <mergeCell ref="A45:B45"/>
    <mergeCell ref="C45:G45"/>
    <mergeCell ref="A44:G44"/>
    <mergeCell ref="C10:G10"/>
    <mergeCell ref="C47:G47"/>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13:B13"/>
    <mergeCell ref="A2:G2"/>
    <mergeCell ref="A9:B9"/>
    <mergeCell ref="C13:G13"/>
    <mergeCell ref="A33:G33"/>
    <mergeCell ref="A5:G5"/>
  </mergeCells>
  <dataValidations count="7">
    <dataValidation sqref="C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5:C30" showDropDown="0" showInputMessage="0" showErrorMessage="0" allowBlank="1" errorTitle="Valor no válido" error="Seleccione un valor de la lista desplegable." promptTitle="Presencia" prompt="Elija una opción de la lista." type="list">
      <formula1>lst_SiNo</formula1>
      <formula2>0</formula2>
    </dataValidation>
    <dataValidation sqref="D15:D30" showDropDown="0" showInputMessage="0" showErrorMessage="0" allowBlank="1" errorTitle="Valor no válido" error="Seleccione un valor de la lista desplegable." promptTitle="Intensidad" prompt="Elija una opción de la lista." type="list">
      <formula1>lst_Intensidad</formula1>
      <formula2>0</formula2>
    </dataValidation>
    <dataValidation sqref="G35:G42" showDropDown="0" showInputMessage="0" showErrorMessage="0" allowBlank="1" errorTitle="Valor no válido" error="Seleccione un valor de la lista desplegable." promptTitle="Nivel" prompt="Elija una opción de la lista." type="list">
      <formula1>lst_NivelInd</formula1>
      <formula2>0</formula2>
    </dataValidation>
    <dataValidation sqref="C47" showDropDown="0" showInputMessage="0" showErrorMessage="0" allowBlank="1" errorTitle="Valor no válido" error="Seleccione un valor de la lista desplegable." promptTitle="Velocidad de degradación perci" prompt="Elija una opción de la lista." type="list">
      <formula1>lst_Velocidad</formula1>
      <formula2>0</formula2>
    </dataValidation>
    <dataValidation sqref="C48" showDropDown="0" showInputMessage="0" showErrorMessage="0" allowBlank="1" errorTitle="Valor no válido" error="Seleccione un valor de la lista desplegable." promptTitle="Reversibilidad técnica" prompt="Elija una opción de la lista." type="list">
      <formula1>lst_Reversibilidad</formula1>
      <formula2>0</formula2>
    </dataValidation>
    <dataValidation sqref="C49" showDropDown="0" showInputMessage="0" showErrorMessage="0" allowBlank="1" errorTitle="Valor no válido" error="Seleccione un valor de la lista desplegable." promptTitle="Urgencia de intervención"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6.xml><?xml version="1.0" encoding="utf-8"?>
<worksheet xmlns="http://schemas.openxmlformats.org/spreadsheetml/2006/main">
  <sheetPr>
    <outlinePr summaryBelow="1" summaryRight="1"/>
    <pageSetUpPr fitToPage="1"/>
  </sheetPr>
  <dimension ref="A1:H51"/>
  <sheetViews>
    <sheetView showGridLines="0" zoomScaleNormal="100" workbookViewId="0">
      <pane ySplit="6" topLeftCell="A7" activePane="bottomLeft" state="frozen"/>
      <selection pane="bottomLeft" activeCell="A1" sqref="A1"/>
    </sheetView>
  </sheetViews>
  <sheetFormatPr baseColWidth="10" defaultColWidth="8.6640625" defaultRowHeight="14.4"/>
  <cols>
    <col width="8" customWidth="1" style="17" min="1" max="1"/>
    <col width="28" customWidth="1" style="17" min="2" max="2"/>
    <col width="12" customWidth="1" style="17" min="3" max="4"/>
    <col width="18" customWidth="1" style="17" min="5" max="5"/>
    <col width="24" customWidth="1" style="17" min="6" max="6"/>
    <col width="14" customWidth="1" style="17" min="7" max="7"/>
    <col width="26" customWidth="1" style="17" min="8"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F-DT-05: RECURSOS HÍDRICOS Y ACCESIBILIDAD</t>
        </is>
      </c>
    </row>
    <row r="5" ht="27.75" customHeight="1" s="17">
      <c r="A5" s="21" t="inlineStr">
        <is>
          <t>Inventario rápido de fuentes de agua dentro o colindantes al bloque + condiciones logísticas de acceso y seguridad. Insumo para diseño hidráulico y planificación operativa de campo.</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4" t="n"/>
      <c r="C8" s="15" t="inlineStr">
        <is>
          <t>19-08-2026</t>
        </is>
      </c>
      <c r="D8" s="14" t="n"/>
      <c r="E8" s="31" t="inlineStr">
        <is>
          <t>Ing. Pedro Talledo Hernández (evaluador)</t>
        </is>
      </c>
      <c r="F8" s="14" t="n"/>
      <c r="G8" s="15" t="n"/>
      <c r="H8" s="14" t="n"/>
    </row>
    <row r="9" ht="19.5" customHeight="1" s="17">
      <c r="A9" s="31" t="inlineStr">
        <is>
          <t>Código del Bloque *</t>
        </is>
      </c>
      <c r="B9" s="14" t="n"/>
      <c r="C9" s="15" t="inlineStr">
        <is>
          <t>76</t>
        </is>
      </c>
      <c r="D9" s="14" t="n"/>
      <c r="E9" s="31" t="inlineStr">
        <is>
          <t>Microcuenca (auto)</t>
        </is>
      </c>
      <c r="F9" s="14" t="n"/>
      <c r="G9" s="12">
        <f>IFERROR(VLOOKUP($C$9,tbl_Bloques,2,FALSE()),"")</f>
        <v/>
      </c>
      <c r="H9" s="14" t="n"/>
    </row>
    <row r="10" ht="19.5" customHeight="1" s="17">
      <c r="A10" s="31" t="inlineStr">
        <is>
          <t>Distrito (auto)</t>
        </is>
      </c>
      <c r="B10" s="14" t="n"/>
      <c r="C10" s="12">
        <f>IFERROR(VLOOKUP($C$9,tbl_Bloques,4,FALSE()),"")</f>
        <v/>
      </c>
      <c r="D10" s="14" t="n"/>
      <c r="E10" s="31" t="inlineStr">
        <is>
          <t>Provincia (auto)</t>
        </is>
      </c>
      <c r="F10" s="14" t="n"/>
      <c r="G10" s="12">
        <f>IFERROR(VLOOKUP($C$9,tbl_Bloques,3,FALSE()),"")</f>
        <v/>
      </c>
      <c r="H10" s="14" t="n"/>
    </row>
    <row r="12" ht="21.75" customHeight="1" s="17">
      <c r="A12" s="19" t="inlineStr">
        <is>
          <t>2. INVENTARIO DE FUENTES DE AGUA (dentro o hasta 500 m del bloque)</t>
        </is>
      </c>
    </row>
    <row r="13" ht="27.75" customHeight="1" s="17">
      <c r="A13" s="32" t="inlineStr">
        <is>
          <t>Use los desplegables en columnas Tipo de fuente, Régimen y Calidad aparente. DISTANCIA: medida en metros desde el límite del bloque a la fuente.</t>
        </is>
      </c>
      <c r="B13" s="13" t="n"/>
      <c r="C13" s="13" t="n"/>
      <c r="D13" s="13" t="n"/>
      <c r="E13" s="13" t="n"/>
      <c r="F13" s="13" t="n"/>
      <c r="G13" s="13" t="n"/>
      <c r="H13" s="14" t="n"/>
    </row>
    <row r="14" ht="30" customHeight="1" s="17">
      <c r="A14" s="2" t="inlineStr">
        <is>
          <t>N°</t>
        </is>
      </c>
      <c r="B14" s="2" t="inlineStr">
        <is>
          <t>Tipo de fuente</t>
        </is>
      </c>
      <c r="C14" s="2" t="inlineStr">
        <is>
          <t>UTM ESTE</t>
        </is>
      </c>
      <c r="D14" s="2" t="inlineStr">
        <is>
          <t>UTM NORTE</t>
        </is>
      </c>
      <c r="E14" s="2" t="inlineStr">
        <is>
          <t>Régimen</t>
        </is>
      </c>
      <c r="F14" s="2" t="inlineStr">
        <is>
          <t>Calidad
aparente</t>
        </is>
      </c>
      <c r="G14" s="2" t="inlineStr">
        <is>
          <t>Distancia
bloque (m)</t>
        </is>
      </c>
      <c r="H14" s="2" t="inlineStr">
        <is>
          <t>Uso observado / Observaciones</t>
        </is>
      </c>
    </row>
    <row r="15" ht="19.5" customHeight="1" s="17">
      <c r="A15" s="5" t="n">
        <v>1</v>
      </c>
      <c r="B15" s="3" t="inlineStr">
        <is>
          <t>Quebrada estacional</t>
        </is>
      </c>
      <c r="C15" s="3" t="n">
        <v>657703</v>
      </c>
      <c r="D15" s="3" t="n">
        <v>9377569</v>
      </c>
      <c r="E15" s="3" t="inlineStr">
        <is>
          <t>Estacional (lluvias)</t>
        </is>
      </c>
      <c r="F15" s="3" t="inlineStr">
        <is>
          <t>No evaluable</t>
        </is>
      </c>
      <c r="G15" s="3" t="inlineStr">
        <is>
          <t>≈ 45</t>
        </is>
      </c>
      <c r="H15" s="4" t="inlineStr">
        <is>
          <t>Vaguada de fondo pedregoso intersectada por la trocha, SIN obra de cruce ni alcantarilla; seca al momento de la visita, con evidencia de arrastre de gravas y bolonería (E-04, E-05). Coordenada = estación fotográfica, no punto GPS de la fuente</t>
        </is>
      </c>
    </row>
    <row r="16" ht="19.5" customHeight="1" s="17">
      <c r="A16" s="5" t="n">
        <v>2</v>
      </c>
      <c r="B16" s="3" t="n"/>
      <c r="C16" s="3" t="n"/>
      <c r="D16" s="3" t="n"/>
      <c r="E16" s="3" t="n"/>
      <c r="F16" s="3" t="n"/>
      <c r="G16" s="3" t="n"/>
      <c r="H16" s="4" t="n"/>
    </row>
    <row r="17" ht="19.5" customHeight="1" s="17">
      <c r="A17" s="5" t="n">
        <v>3</v>
      </c>
      <c r="B17" s="3" t="n"/>
      <c r="C17" s="3" t="n"/>
      <c r="D17" s="3" t="n"/>
      <c r="E17" s="3" t="n"/>
      <c r="F17" s="3" t="n"/>
      <c r="G17" s="3" t="n"/>
      <c r="H17" s="4" t="n"/>
    </row>
    <row r="18" ht="19.5" customHeight="1" s="17">
      <c r="A18" s="5" t="n">
        <v>4</v>
      </c>
      <c r="B18" s="3" t="n"/>
      <c r="C18" s="3" t="n"/>
      <c r="D18" s="3" t="n"/>
      <c r="E18" s="3" t="n"/>
      <c r="F18" s="3" t="n"/>
      <c r="G18" s="3" t="n"/>
      <c r="H18" s="4" t="n"/>
    </row>
    <row r="19" ht="19.5" customHeight="1" s="17">
      <c r="A19" s="5" t="n">
        <v>5</v>
      </c>
      <c r="B19" s="3" t="n"/>
      <c r="C19" s="3" t="n"/>
      <c r="D19" s="3" t="n"/>
      <c r="E19" s="3" t="n"/>
      <c r="F19" s="3" t="n"/>
      <c r="G19" s="3" t="n"/>
      <c r="H19" s="4" t="n"/>
    </row>
    <row r="20" ht="19.5" customHeight="1" s="17">
      <c r="A20" s="5" t="n">
        <v>6</v>
      </c>
      <c r="B20" s="3" t="n"/>
      <c r="C20" s="3" t="n"/>
      <c r="D20" s="3" t="n"/>
      <c r="E20" s="3" t="n"/>
      <c r="F20" s="3" t="n"/>
      <c r="G20" s="3" t="n"/>
      <c r="H20" s="4" t="n"/>
    </row>
    <row r="21" ht="19.5" customHeight="1" s="17">
      <c r="A21" s="5" t="n">
        <v>7</v>
      </c>
      <c r="B21" s="3" t="n"/>
      <c r="C21" s="3" t="n"/>
      <c r="D21" s="3" t="n"/>
      <c r="E21" s="3" t="n"/>
      <c r="F21" s="3" t="n"/>
      <c r="G21" s="3" t="n"/>
      <c r="H21" s="4" t="n"/>
    </row>
    <row r="22" ht="19.5" customHeight="1" s="17">
      <c r="A22" s="5" t="n">
        <v>8</v>
      </c>
      <c r="B22" s="3" t="n"/>
      <c r="C22" s="3" t="n"/>
      <c r="D22" s="3" t="n"/>
      <c r="E22" s="3" t="n"/>
      <c r="F22" s="3" t="n"/>
      <c r="G22" s="3" t="n"/>
      <c r="H22" s="4" t="n"/>
    </row>
    <row r="23" ht="19.5" customHeight="1" s="17">
      <c r="A23" s="5" t="n">
        <v>9</v>
      </c>
      <c r="B23" s="3" t="n"/>
      <c r="C23" s="3" t="n"/>
      <c r="D23" s="3" t="n"/>
      <c r="E23" s="3" t="n"/>
      <c r="F23" s="3" t="n"/>
      <c r="G23" s="3" t="n"/>
      <c r="H23" s="4" t="n"/>
    </row>
    <row r="24" ht="19.5" customHeight="1" s="17">
      <c r="A24" s="5" t="n">
        <v>10</v>
      </c>
      <c r="B24" s="3" t="n"/>
      <c r="C24" s="3" t="n"/>
      <c r="D24" s="3" t="n"/>
      <c r="E24" s="3" t="n"/>
      <c r="F24" s="3" t="n"/>
      <c r="G24" s="3" t="n"/>
      <c r="H24" s="4" t="n"/>
    </row>
    <row r="26" ht="21.75" customHeight="1" s="17">
      <c r="A26" s="19" t="inlineStr">
        <is>
          <t>3. ANÁLISIS HÍDRICO PRELIMINAR</t>
        </is>
      </c>
    </row>
    <row r="27" ht="19.5" customHeight="1" s="17">
      <c r="A27" s="31" t="inlineStr">
        <is>
          <t>¿Bloque en zona de recarga hídrica?</t>
        </is>
      </c>
      <c r="B27" s="14" t="n"/>
      <c r="C27" s="15" t="inlineStr">
        <is>
          <t>Sí</t>
        </is>
      </c>
      <c r="D27" s="13" t="n"/>
      <c r="E27" s="13" t="n"/>
      <c r="F27" s="13" t="n"/>
      <c r="G27" s="13" t="n"/>
      <c r="H27" s="14" t="n"/>
    </row>
    <row r="28" ht="19.5" customHeight="1" s="17">
      <c r="A28" s="31" t="inlineStr">
        <is>
          <t>¿Zonas de humedad persistente observadas?</t>
        </is>
      </c>
      <c r="B28" s="14" t="n"/>
      <c r="C28" s="15" t="inlineStr">
        <is>
          <t>No</t>
        </is>
      </c>
      <c r="D28" s="13" t="n"/>
      <c r="E28" s="13" t="n"/>
      <c r="F28" s="13" t="n"/>
      <c r="G28" s="13" t="n"/>
      <c r="H28" s="14" t="n"/>
    </row>
    <row r="29" ht="19.5" customHeight="1" s="17">
      <c r="A29" s="31" t="inlineStr">
        <is>
          <t>¿Escorrentía concentrada observada?</t>
        </is>
      </c>
      <c r="B29" s="14" t="n"/>
      <c r="C29" s="15" t="inlineStr">
        <is>
          <t>Sí</t>
        </is>
      </c>
      <c r="D29" s="13" t="n"/>
      <c r="E29" s="13" t="n"/>
      <c r="F29" s="13" t="n"/>
      <c r="G29" s="13" t="n"/>
      <c r="H29" s="14" t="n"/>
    </row>
    <row r="30" ht="19.5" customHeight="1" s="17">
      <c r="A30" s="31" t="inlineStr">
        <is>
          <t>Distancia a captación poblacional más cercana (m)</t>
        </is>
      </c>
      <c r="B30" s="14" t="n"/>
      <c r="C30" s="15" t="inlineStr">
        <is>
          <t>Por determinar</t>
        </is>
      </c>
      <c r="D30" s="13" t="n"/>
      <c r="E30" s="13" t="n"/>
      <c r="F30" s="13" t="n"/>
      <c r="G30" s="13" t="n"/>
      <c r="H30" s="14" t="n"/>
    </row>
    <row r="31" ht="19.5" customHeight="1" s="17">
      <c r="A31" s="31" t="inlineStr">
        <is>
          <t>Nombre de la JASS o captación asociada</t>
        </is>
      </c>
      <c r="B31" s="14" t="n"/>
      <c r="C31" s="15" t="inlineStr">
        <is>
          <t>Por determinar</t>
        </is>
      </c>
      <c r="D31" s="13" t="n"/>
      <c r="E31" s="13" t="n"/>
      <c r="F31" s="13" t="n"/>
      <c r="G31" s="13" t="n"/>
      <c r="H31" s="14" t="n"/>
    </row>
    <row r="32" ht="19.5" customHeight="1" s="17">
      <c r="A32" s="31" t="inlineStr">
        <is>
          <t>¿Interferencia con obras de riego?</t>
        </is>
      </c>
      <c r="B32" s="14" t="n"/>
      <c r="C32" s="15" t="n"/>
      <c r="D32" s="13" t="n"/>
      <c r="E32" s="13" t="n"/>
      <c r="F32" s="13" t="n"/>
      <c r="G32" s="13" t="n"/>
      <c r="H32" s="14" t="n"/>
    </row>
    <row r="33" ht="19.5" customHeight="1" s="17">
      <c r="A33" s="31" t="inlineStr">
        <is>
          <t>Nombre del sistema de riego (si aplica)</t>
        </is>
      </c>
      <c r="B33" s="14" t="n"/>
      <c r="C33" s="15" t="inlineStr">
        <is>
          <t>Por determinar</t>
        </is>
      </c>
      <c r="D33" s="13" t="n"/>
      <c r="E33" s="13" t="n"/>
      <c r="F33" s="13" t="n"/>
      <c r="G33" s="13" t="n"/>
      <c r="H33" s="14" t="n"/>
    </row>
    <row r="35" ht="21.75" customHeight="1" s="17">
      <c r="A35" s="19" t="inlineStr">
        <is>
          <t>4. ACCESIBILIDAD Y LOGÍSTICA</t>
        </is>
      </c>
    </row>
    <row r="36" ht="19.5" customHeight="1" s="17">
      <c r="A36" s="31" t="inlineStr">
        <is>
          <t>Modalidad de acceso al bloque *</t>
        </is>
      </c>
      <c r="B36" s="14" t="n"/>
      <c r="C36" s="15" t="inlineStr">
        <is>
          <t>Vehicular 4x4 hasta el bloque</t>
        </is>
      </c>
      <c r="D36" s="13" t="n"/>
      <c r="E36" s="13" t="n"/>
      <c r="F36" s="13" t="n"/>
      <c r="G36" s="13" t="n"/>
      <c r="H36" s="14" t="n"/>
    </row>
    <row r="37" ht="19.5" customHeight="1" s="17">
      <c r="A37" s="31" t="inlineStr">
        <is>
          <t>Vía principal de acceso (PE-/PI-/trocha) *</t>
        </is>
      </c>
      <c r="B37" s="14" t="n"/>
      <c r="C37" s="15" t="inlineStr">
        <is>
          <t>Trocha carrozable Hualanga – Sahuate Hualanga (sin código MTC verificado)</t>
        </is>
      </c>
      <c r="D37" s="13" t="n"/>
      <c r="E37" s="13" t="n"/>
      <c r="F37" s="13" t="n"/>
      <c r="G37" s="13" t="n"/>
      <c r="H37" s="14" t="n"/>
    </row>
    <row r="38" ht="19.5" customHeight="1" s="17">
      <c r="A38" s="31" t="inlineStr">
        <is>
          <t>Tipo de vía final</t>
        </is>
      </c>
      <c r="B38" s="14" t="n"/>
      <c r="C38" s="15" t="inlineStr">
        <is>
          <t>Trocha carrozable</t>
        </is>
      </c>
      <c r="D38" s="13" t="n"/>
      <c r="E38" s="13" t="n"/>
      <c r="F38" s="13" t="n"/>
      <c r="G38" s="13" t="n"/>
      <c r="H38" s="14" t="n"/>
    </row>
    <row r="39" ht="19.5" customHeight="1" s="17">
      <c r="A39" s="31" t="inlineStr">
        <is>
          <t>Estado transitabilidad — época seca</t>
        </is>
      </c>
      <c r="B39" s="14" t="n"/>
      <c r="C39" s="15" t="inlineStr">
        <is>
          <t>Medio</t>
        </is>
      </c>
      <c r="D39" s="13" t="n"/>
      <c r="E39" s="13" t="n"/>
      <c r="F39" s="13" t="n"/>
      <c r="G39" s="13" t="n"/>
      <c r="H39" s="14" t="n"/>
    </row>
    <row r="40" ht="19.5" customHeight="1" s="17">
      <c r="A40" s="31" t="inlineStr">
        <is>
          <t>Estado transitabilidad — época lluviosa</t>
        </is>
      </c>
      <c r="B40" s="14" t="n"/>
      <c r="C40" s="15" t="inlineStr">
        <is>
          <t>Bajo</t>
        </is>
      </c>
      <c r="D40" s="13" t="n"/>
      <c r="E40" s="13" t="n"/>
      <c r="F40" s="13" t="n"/>
      <c r="G40" s="13" t="n"/>
      <c r="H40" s="14" t="n"/>
    </row>
    <row r="41" ht="19.5" customHeight="1" s="17">
      <c r="A41" s="31" t="inlineStr">
        <is>
          <t>Tiempo desde capital distrital (min)</t>
        </is>
      </c>
      <c r="B41" s="14" t="n"/>
      <c r="C41" s="15" t="inlineStr">
        <is>
          <t>Por determinar</t>
        </is>
      </c>
      <c r="D41" s="14" t="n"/>
      <c r="E41" s="31" t="inlineStr">
        <is>
          <t>Por determinar</t>
        </is>
      </c>
      <c r="F41" s="14" t="n"/>
      <c r="G41" s="15" t="n"/>
      <c r="H41" s="14" t="n"/>
    </row>
    <row r="42" ht="19.5" customHeight="1" s="17">
      <c r="A42" s="31" t="inlineStr">
        <is>
          <t>Señal celular</t>
        </is>
      </c>
      <c r="B42" s="14" t="n"/>
      <c r="C42" s="15" t="n"/>
      <c r="D42" s="13" t="n"/>
      <c r="E42" s="13" t="n"/>
      <c r="F42" s="13" t="n"/>
      <c r="G42" s="13" t="n"/>
      <c r="H42" s="14" t="n"/>
    </row>
    <row r="43" ht="19.5" customHeight="1" s="17">
      <c r="A43" s="31" t="inlineStr">
        <is>
          <t>Operador celular dominante</t>
        </is>
      </c>
      <c r="B43" s="14" t="n"/>
      <c r="C43" s="15" t="inlineStr">
        <is>
          <t>Por determinar</t>
        </is>
      </c>
      <c r="D43" s="13" t="n"/>
      <c r="E43" s="13" t="n"/>
      <c r="F43" s="13" t="n"/>
      <c r="G43" s="13" t="n"/>
      <c r="H43" s="14" t="n"/>
    </row>
    <row r="44" ht="19.5" customHeight="1" s="17">
      <c r="A44" s="31" t="inlineStr">
        <is>
          <t>Alojamiento rural disponible</t>
        </is>
      </c>
      <c r="B44" s="14" t="n"/>
      <c r="C44" s="15" t="n"/>
      <c r="D44" s="13" t="n"/>
      <c r="E44" s="13" t="n"/>
      <c r="F44" s="13" t="n"/>
      <c r="G44" s="13" t="n"/>
      <c r="H44" s="14" t="n"/>
    </row>
    <row r="45" ht="19.5" customHeight="1" s="17">
      <c r="A45" s="31" t="inlineStr">
        <is>
          <t>¿Requiere autorización de Ronda Campesina? *</t>
        </is>
      </c>
      <c r="B45" s="14" t="n"/>
      <c r="C45" s="15" t="n"/>
      <c r="D45" s="13" t="n"/>
      <c r="E45" s="13" t="n"/>
      <c r="F45" s="13" t="n"/>
      <c r="G45" s="13" t="n"/>
      <c r="H45" s="14" t="n"/>
    </row>
    <row r="46" ht="19.5" customHeight="1" s="17">
      <c r="A46" s="31" t="inlineStr">
        <is>
          <t>Nombre / Contacto responsable de Ronda</t>
        </is>
      </c>
      <c r="B46" s="14" t="n"/>
      <c r="C46" s="15" t="inlineStr">
        <is>
          <t>Por determinar</t>
        </is>
      </c>
      <c r="D46" s="13" t="n"/>
      <c r="E46" s="13" t="n"/>
      <c r="F46" s="13" t="n"/>
      <c r="G46" s="13" t="n"/>
      <c r="H46" s="14" t="n"/>
    </row>
    <row r="48" ht="21.75" customHeight="1" s="17">
      <c r="A48" s="19" t="inlineStr">
        <is>
          <t>OBSERVACIONES</t>
        </is>
      </c>
    </row>
    <row r="49" ht="27.75" customHeight="1" s="17">
      <c r="A49" s="23" t="inlineStr">
        <is>
          <t>FICHA PARCIAL — no levantada en campo. NO se ejecutó inventario de manantiales con GPS, NO se identificó JASS ni captación poblacional, NO se midieron tiempos de viaje, NO se verificó señal celular ni alojamiento rural y NO se estableció contacto con la Ronda Campesina; todos esos campos quedan como 'Por determinar' y NO fueron inferidos. || El único elemento hídrico registrado es la vaguada estacional intersectada por la trocha (E-04/E-05), sin obra de cruce: deficiencia técnica del trazo y foco de erosión concentrada. || El bloque se declara EN ZONA DE RECARGA HÍDRICA por su posición de ladera media-alta en cabecera del drenaje de la quebrada Q9593 (zona de ORIGEN del peligro generador de inundaciones), no por medición directa. || ACCESIBILIDAD: la trocha Hualanga–Sahuate bordea el límite occidental y septentrional del bloque y permite acceso 4x4 hasta su borde; transitabilidad media en estiaje y baja en época lluviosa por ausencia total de obras de drenaje. La vía NO figura en las capas de red vial del proyecto y debe incorporarse a los filtros de exclusión y buffers.</t>
        </is>
      </c>
      <c r="B49" s="24" t="n"/>
      <c r="C49" s="24" t="n"/>
      <c r="D49" s="24" t="n"/>
      <c r="E49" s="24" t="n"/>
      <c r="F49" s="24" t="n"/>
      <c r="G49" s="24" t="n"/>
      <c r="H49" s="25" t="n"/>
    </row>
    <row r="50" ht="27.75" customHeight="1" s="17">
      <c r="A50" s="26" t="n"/>
      <c r="H50" s="27" t="n"/>
    </row>
    <row r="51" ht="27.75" customHeight="1" s="17">
      <c r="A51" s="28" t="n"/>
      <c r="B51" s="29" t="n"/>
      <c r="C51" s="29" t="n"/>
      <c r="D51" s="29" t="n"/>
      <c r="E51" s="29" t="n"/>
      <c r="F51" s="29" t="n"/>
      <c r="G51" s="29" t="n"/>
      <c r="H51" s="30" t="n"/>
    </row>
  </sheetData>
  <mergeCells count="63">
    <mergeCell ref="A48:H48"/>
    <mergeCell ref="A30:B30"/>
    <mergeCell ref="C44:H44"/>
    <mergeCell ref="C40:H40"/>
    <mergeCell ref="C31:H31"/>
    <mergeCell ref="A45:B45"/>
    <mergeCell ref="A36:B36"/>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6:B46"/>
    <mergeCell ref="C39:H39"/>
    <mergeCell ref="C9:D9"/>
    <mergeCell ref="A27:B27"/>
    <mergeCell ref="E9:F9"/>
    <mergeCell ref="A12:H12"/>
    <mergeCell ref="C32:H32"/>
    <mergeCell ref="A3:H3"/>
    <mergeCell ref="A26:H26"/>
    <mergeCell ref="C38:H38"/>
    <mergeCell ref="C28:H28"/>
    <mergeCell ref="A33:B33"/>
    <mergeCell ref="C37:H37"/>
    <mergeCell ref="A2:H2"/>
    <mergeCell ref="A42:B42"/>
    <mergeCell ref="A32:B32"/>
    <mergeCell ref="A5:H5"/>
    <mergeCell ref="A8:B8"/>
    <mergeCell ref="C30:H30"/>
    <mergeCell ref="C8:D8"/>
    <mergeCell ref="C33:H33"/>
    <mergeCell ref="A4:H4"/>
    <mergeCell ref="A38:B38"/>
    <mergeCell ref="C42:H42"/>
    <mergeCell ref="A29:B29"/>
    <mergeCell ref="A35:H35"/>
    <mergeCell ref="A43:B43"/>
    <mergeCell ref="E41:F41"/>
    <mergeCell ref="A10:B10"/>
    <mergeCell ref="A28:B28"/>
    <mergeCell ref="G41:H41"/>
    <mergeCell ref="C45:H45"/>
    <mergeCell ref="A13:H13"/>
    <mergeCell ref="A44:B44"/>
    <mergeCell ref="A40:B40"/>
    <mergeCell ref="A9:B9"/>
    <mergeCell ref="G9:H9"/>
    <mergeCell ref="A31:B31"/>
    <mergeCell ref="C29:H29"/>
    <mergeCell ref="A39:B39"/>
  </mergeCells>
  <dataValidations count="15">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5:B24" showDropDown="0" showInputMessage="0" showErrorMessage="0" allowBlank="1" errorTitle="Valor no válido" error="Seleccione un valor de la lista desplegable." promptTitle="Tipo de fuente" prompt="Elija una opción de la lista." type="list">
      <formula1>lst_TipoFuente</formula1>
      <formula2>0</formula2>
    </dataValidation>
    <dataValidation sqref="E15:E24" showDropDown="0" showInputMessage="0" showErrorMessage="0" allowBlank="1" errorTitle="Valor no válido" error="Seleccione un valor de la lista desplegable." promptTitle="Régimen" prompt="Elija una opción de la lista." type="list">
      <formula1>lst_RegimenHidrico</formula1>
      <formula2>0</formula2>
    </dataValidation>
    <dataValidation sqref="F15:F24" showDropDown="0" showInputMessage="0" showErrorMessage="0" allowBlank="1" errorTitle="Valor no válido" error="Seleccione un valor de la lista desplegable." promptTitle="Calidad aparente" prompt="Elija una opción de la lista." type="list">
      <formula1>lst_CalidadAgua</formula1>
      <formula2>0</formula2>
    </dataValidation>
    <dataValidation sqref="C27" showDropDown="0" showInputMessage="0" showErrorMessage="0" allowBlank="1" errorTitle="Valor no válido" error="Seleccione un valor de la lista desplegable." promptTitle="¿Bloque en zona de recarga híd" prompt="Elija una opción de la lista." type="list">
      <formula1>lst_SiNo</formula1>
      <formula2>0</formula2>
    </dataValidation>
    <dataValidation sqref="C28" showDropDown="0" showInputMessage="0" showErrorMessage="0" allowBlank="1" errorTitle="Valor no válido" error="Seleccione un valor de la lista desplegable." promptTitle="¿Zonas de humedad persistente " prompt="Elija una opción de la lista." type="list">
      <formula1>lst_SiNo</formula1>
      <formula2>0</formula2>
    </dataValidation>
    <dataValidation sqref="C29" showDropDown="0" showInputMessage="0" showErrorMessage="0" allowBlank="1" errorTitle="Valor no válido" error="Seleccione un valor de la lista desplegable." promptTitle="¿Escorrentía concentrada obser" prompt="Elija una opción de la lista." type="list">
      <formula1>lst_SiNo</formula1>
      <formula2>0</formula2>
    </dataValidation>
    <dataValidation sqref="C32" showDropDown="0" showInputMessage="0" showErrorMessage="0" allowBlank="1" errorTitle="Valor no válido" error="Seleccione un valor de la lista desplegable." promptTitle="¿Interferencia con obras de ri" prompt="Elija una opción de la lista." type="list">
      <formula1>lst_SiNo</formula1>
      <formula2>0</formula2>
    </dataValidation>
    <dataValidation sqref="C36" showDropDown="0" showInputMessage="0" showErrorMessage="0" allowBlank="1" errorTitle="Valor no válido" error="Seleccione un valor de la lista desplegable." promptTitle="Modalidad de acceso al bloque " prompt="Elija una opción de la lista." type="list">
      <formula1>lst_ModalidadAcceso</formula1>
      <formula2>0</formula2>
    </dataValidation>
    <dataValidation sqref="C38" showDropDown="0" showInputMessage="0" showErrorMessage="0" allowBlank="1" errorTitle="Valor no válido" error="Seleccione un valor de la lista desplegable." promptTitle="Tipo de vía final" prompt="Elija una opción de la lista." type="list">
      <formula1>lst_TipoVia</formula1>
      <formula2>0</formula2>
    </dataValidation>
    <dataValidation sqref="C39:C40" showDropDown="0" showInputMessage="0" showErrorMessage="0" allowBlank="1" errorTitle="Valor no válido" error="Seleccione un valor de la lista desplegable." promptTitle="Estado transitabilidad — época" prompt="Elija una opción de la lista." type="list">
      <formula1>lst_NivelTransitabilidad</formula1>
      <formula2>0</formula2>
    </dataValidation>
    <dataValidation sqref="C42" showDropDown="0" showInputMessage="0" showErrorMessage="0" allowBlank="1" errorTitle="Valor no válido" error="Seleccione un valor de la lista desplegable." promptTitle="Señal celular" prompt="Elija una opción de la lista." type="list">
      <formula1>lst_SenalCelular</formula1>
      <formula2>0</formula2>
    </dataValidation>
    <dataValidation sqref="C43" showDropDown="0" showInputMessage="0" showErrorMessage="0" allowBlank="1" errorTitle="Valor no válido" error="Seleccione un valor de la lista desplegable." promptTitle="Operador celular dominante" prompt="Elija una opción de la lista." type="list">
      <formula1>lst_Operador</formula1>
      <formula2>0</formula2>
    </dataValidation>
    <dataValidation sqref="C44" showDropDown="0" showInputMessage="0" showErrorMessage="0" allowBlank="1" errorTitle="Valor no válido" error="Seleccione un valor de la lista desplegable." promptTitle="Alojamiento rural disponible" prompt="Elija una opción de la lista." type="list">
      <formula1>lst_SiNo</formula1>
      <formula2>0</formula2>
    </dataValidation>
    <dataValidation sqref="C45" showDropDown="0" showInputMessage="0" showErrorMessage="0" allowBlank="1" errorTitle="Valor no válido" error="Seleccione un valor de la lista desplegable." promptTitle="¿Requiere autorización de Rond"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H128"/>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style="17" min="1" max="1"/>
    <col width="16" customWidth="1" style="17" min="2" max="3"/>
    <col width="24" customWidth="1" style="17" min="4" max="4"/>
    <col width="8" customWidth="1" style="17" min="5" max="5"/>
    <col width="12" customWidth="1" style="17" min="6" max="7"/>
    <col width="11" customWidth="1" style="17" min="8" max="8"/>
  </cols>
  <sheetData>
    <row r="1" ht="15" customHeight="1" s="17">
      <c r="A1" s="2" t="inlineStr">
        <is>
          <t>codigo</t>
        </is>
      </c>
      <c r="B1" s="2" t="inlineStr">
        <is>
          <t>microcuenca</t>
        </is>
      </c>
      <c r="C1" s="2" t="inlineStr">
        <is>
          <t>provincia</t>
        </is>
      </c>
      <c r="D1" s="2" t="inlineStr">
        <is>
          <t>distrito</t>
        </is>
      </c>
      <c r="E1" s="2" t="inlineStr">
        <is>
          <t>zona</t>
        </is>
      </c>
      <c r="F1" s="2" t="inlineStr">
        <is>
          <t>este_utm</t>
        </is>
      </c>
      <c r="G1" s="2" t="inlineStr">
        <is>
          <t>norte_utm</t>
        </is>
      </c>
      <c r="H1" s="2" t="inlineStr">
        <is>
          <t>area_ha</t>
        </is>
      </c>
    </row>
    <row r="2" ht="15" customHeight="1" s="17">
      <c r="A2" s="8" t="inlineStr">
        <is>
          <t>M9B1</t>
        </is>
      </c>
      <c r="B2" s="8" t="inlineStr">
        <is>
          <t>C1096-Q9545</t>
        </is>
      </c>
      <c r="C2" s="8" t="inlineStr">
        <is>
          <t>Morropon</t>
        </is>
      </c>
      <c r="D2" s="8" t="inlineStr">
        <is>
          <t>Chulucanas</t>
        </is>
      </c>
      <c r="E2" s="8" t="inlineStr">
        <is>
          <t>Z01</t>
        </is>
      </c>
      <c r="F2" s="9" t="n">
        <v>595552</v>
      </c>
      <c r="G2" s="9" t="n">
        <v>9451222</v>
      </c>
      <c r="H2" s="10" t="n">
        <v>355.36</v>
      </c>
    </row>
    <row r="3" ht="15" customHeight="1" s="17">
      <c r="A3" s="8" t="inlineStr">
        <is>
          <t>M10B4</t>
        </is>
      </c>
      <c r="B3" s="8" t="inlineStr">
        <is>
          <t>C1096-Q9547</t>
        </is>
      </c>
      <c r="C3" s="8" t="inlineStr">
        <is>
          <t>Morropon</t>
        </is>
      </c>
      <c r="D3" s="8" t="inlineStr">
        <is>
          <t>Chulucanas</t>
        </is>
      </c>
      <c r="E3" s="8" t="inlineStr">
        <is>
          <t>Z01</t>
        </is>
      </c>
      <c r="F3" s="9" t="n">
        <v>596773</v>
      </c>
      <c r="G3" s="9" t="n">
        <v>9448273</v>
      </c>
      <c r="H3" s="10" t="n">
        <v>68.89</v>
      </c>
    </row>
    <row r="4" ht="15" customHeight="1" s="17">
      <c r="A4" s="8" t="inlineStr">
        <is>
          <t>25</t>
        </is>
      </c>
      <c r="B4" s="8" t="inlineStr">
        <is>
          <t>C1096-Q9547</t>
        </is>
      </c>
      <c r="C4" s="8" t="inlineStr">
        <is>
          <t>Morropon</t>
        </is>
      </c>
      <c r="D4" s="8" t="inlineStr">
        <is>
          <t>Chulucanas</t>
        </is>
      </c>
      <c r="E4" s="8" t="inlineStr">
        <is>
          <t>Z01</t>
        </is>
      </c>
      <c r="F4" s="9" t="n">
        <v>596578</v>
      </c>
      <c r="G4" s="9" t="n">
        <v>9442453</v>
      </c>
      <c r="H4" s="10" t="n">
        <v>53.48</v>
      </c>
    </row>
    <row r="5" ht="15" customHeight="1" s="17">
      <c r="A5" s="8" t="inlineStr">
        <is>
          <t>32</t>
        </is>
      </c>
      <c r="B5" s="8" t="inlineStr">
        <is>
          <t>C1096-Q9556</t>
        </is>
      </c>
      <c r="C5" s="8" t="inlineStr">
        <is>
          <t>Morropon</t>
        </is>
      </c>
      <c r="D5" s="8" t="inlineStr">
        <is>
          <t>Chulucanas</t>
        </is>
      </c>
      <c r="E5" s="8" t="inlineStr">
        <is>
          <t>Z01</t>
        </is>
      </c>
      <c r="F5" s="9" t="n">
        <v>599927</v>
      </c>
      <c r="G5" s="9" t="n">
        <v>9442604</v>
      </c>
      <c r="H5" s="10" t="n">
        <v>35.83</v>
      </c>
    </row>
    <row r="6" ht="15" customHeight="1" s="17">
      <c r="A6" s="8" t="inlineStr">
        <is>
          <t>22</t>
        </is>
      </c>
      <c r="B6" s="8" t="inlineStr">
        <is>
          <t>C1096-Q9556</t>
        </is>
      </c>
      <c r="C6" s="8" t="inlineStr">
        <is>
          <t>Morropon</t>
        </is>
      </c>
      <c r="D6" s="8" t="inlineStr">
        <is>
          <t>Chulucanas</t>
        </is>
      </c>
      <c r="E6" s="8" t="inlineStr">
        <is>
          <t>Z01</t>
        </is>
      </c>
      <c r="F6" s="9" t="n">
        <v>601122</v>
      </c>
      <c r="G6" s="9" t="n">
        <v>9443651</v>
      </c>
      <c r="H6" s="10" t="n">
        <v>79.33</v>
      </c>
    </row>
    <row r="7" ht="15" customHeight="1" s="17">
      <c r="A7" s="8" t="inlineStr">
        <is>
          <t>M17B1</t>
        </is>
      </c>
      <c r="B7" s="8" t="inlineStr">
        <is>
          <t>C1096-Q9556</t>
        </is>
      </c>
      <c r="C7" s="8" t="inlineStr">
        <is>
          <t>Morropon</t>
        </is>
      </c>
      <c r="D7" s="8" t="inlineStr">
        <is>
          <t>Chulucanas</t>
        </is>
      </c>
      <c r="E7" s="8" t="inlineStr">
        <is>
          <t>Z01</t>
        </is>
      </c>
      <c r="F7" s="9" t="n">
        <v>600644</v>
      </c>
      <c r="G7" s="9" t="n">
        <v>9440436</v>
      </c>
      <c r="H7" s="10" t="n">
        <v>42.45</v>
      </c>
    </row>
    <row r="8" ht="15" customHeight="1" s="17">
      <c r="A8" s="8" t="inlineStr">
        <is>
          <t>2</t>
        </is>
      </c>
      <c r="B8" s="8" t="inlineStr">
        <is>
          <t>C1096-Q9558</t>
        </is>
      </c>
      <c r="C8" s="8" t="inlineStr">
        <is>
          <t>Morropon</t>
        </is>
      </c>
      <c r="D8" s="8" t="inlineStr">
        <is>
          <t>Chulucanas</t>
        </is>
      </c>
      <c r="E8" s="8" t="inlineStr">
        <is>
          <t>Z01</t>
        </is>
      </c>
      <c r="F8" s="9" t="n">
        <v>603653</v>
      </c>
      <c r="G8" s="9" t="n">
        <v>9439351</v>
      </c>
      <c r="H8" s="10" t="n">
        <v>330.6</v>
      </c>
    </row>
    <row r="9" ht="15" customHeight="1" s="17">
      <c r="A9" s="8" t="inlineStr">
        <is>
          <t>M17B4</t>
        </is>
      </c>
      <c r="B9" s="8" t="inlineStr">
        <is>
          <t>C1096-Q9556</t>
        </is>
      </c>
      <c r="C9" s="8" t="inlineStr">
        <is>
          <t>Morropon</t>
        </is>
      </c>
      <c r="D9" s="8" t="inlineStr">
        <is>
          <t>Chulucanas</t>
        </is>
      </c>
      <c r="E9" s="8" t="inlineStr">
        <is>
          <t>Z01</t>
        </is>
      </c>
      <c r="F9" s="9" t="n">
        <v>604926</v>
      </c>
      <c r="G9" s="9" t="n">
        <v>9444327</v>
      </c>
      <c r="H9" s="10" t="n">
        <v>124.71</v>
      </c>
    </row>
    <row r="10" ht="15" customHeight="1" s="17">
      <c r="A10" s="8" t="inlineStr">
        <is>
          <t>M27B1</t>
        </is>
      </c>
      <c r="B10" s="8" t="inlineStr">
        <is>
          <t>C1096-Q9557</t>
        </is>
      </c>
      <c r="C10" s="8" t="inlineStr">
        <is>
          <t>Morropon</t>
        </is>
      </c>
      <c r="D10" s="8" t="inlineStr">
        <is>
          <t>Chulucanas</t>
        </is>
      </c>
      <c r="E10" s="8" t="inlineStr">
        <is>
          <t>Z01</t>
        </is>
      </c>
      <c r="F10" s="9" t="n">
        <v>593246</v>
      </c>
      <c r="G10" s="9" t="n">
        <v>9430139</v>
      </c>
      <c r="H10" s="10" t="n">
        <v>448.8</v>
      </c>
    </row>
    <row r="11" ht="15" customHeight="1" s="17">
      <c r="A11" s="8" t="inlineStr">
        <is>
          <t>3</t>
        </is>
      </c>
      <c r="B11" s="8" t="inlineStr">
        <is>
          <t>C1096-Q9545</t>
        </is>
      </c>
      <c r="C11" s="8" t="inlineStr">
        <is>
          <t>Ayabaca</t>
        </is>
      </c>
      <c r="D11" s="8" t="inlineStr">
        <is>
          <t>Frias</t>
        </is>
      </c>
      <c r="E11" s="8" t="inlineStr">
        <is>
          <t>Z02</t>
        </is>
      </c>
      <c r="F11" s="9" t="n">
        <v>606816</v>
      </c>
      <c r="G11" s="9" t="n">
        <v>9458469</v>
      </c>
      <c r="H11" s="10" t="n">
        <v>459.29</v>
      </c>
    </row>
    <row r="12" ht="15" customHeight="1" s="17">
      <c r="A12" s="8" t="inlineStr">
        <is>
          <t>6</t>
        </is>
      </c>
      <c r="B12" s="8" t="inlineStr">
        <is>
          <t>C1096-Q9547</t>
        </is>
      </c>
      <c r="C12" s="8" t="inlineStr">
        <is>
          <t>Ayabaca</t>
        </is>
      </c>
      <c r="D12" s="8" t="inlineStr">
        <is>
          <t>Frias</t>
        </is>
      </c>
      <c r="E12" s="8" t="inlineStr">
        <is>
          <t>Z02</t>
        </is>
      </c>
      <c r="F12" s="9" t="n">
        <v>605636</v>
      </c>
      <c r="G12" s="9" t="n">
        <v>9455269</v>
      </c>
      <c r="H12" s="10" t="n">
        <v>168.41</v>
      </c>
    </row>
    <row r="13" ht="15" customHeight="1" s="17">
      <c r="A13" s="8" t="inlineStr">
        <is>
          <t>36</t>
        </is>
      </c>
      <c r="B13" s="8" t="inlineStr">
        <is>
          <t>C1096-Q9547</t>
        </is>
      </c>
      <c r="C13" s="8" t="inlineStr">
        <is>
          <t>Ayabaca</t>
        </is>
      </c>
      <c r="D13" s="8" t="inlineStr">
        <is>
          <t>Frias</t>
        </is>
      </c>
      <c r="E13" s="8" t="inlineStr">
        <is>
          <t>Z02</t>
        </is>
      </c>
      <c r="F13" s="9" t="n">
        <v>606468</v>
      </c>
      <c r="G13" s="9" t="n">
        <v>9454689</v>
      </c>
      <c r="H13" s="10" t="n">
        <v>24.84</v>
      </c>
    </row>
    <row r="14" ht="15" customHeight="1" s="17">
      <c r="A14" s="8" t="inlineStr">
        <is>
          <t>M17B7</t>
        </is>
      </c>
      <c r="B14" s="8" t="inlineStr">
        <is>
          <t>C1096-Q9556</t>
        </is>
      </c>
      <c r="C14" s="8" t="inlineStr">
        <is>
          <t>Ayabaca</t>
        </is>
      </c>
      <c r="D14" s="8" t="inlineStr">
        <is>
          <t>Frias</t>
        </is>
      </c>
      <c r="E14" s="8" t="inlineStr">
        <is>
          <t>Z02</t>
        </is>
      </c>
      <c r="F14" s="9" t="n">
        <v>608472</v>
      </c>
      <c r="G14" s="9" t="n">
        <v>9448056</v>
      </c>
      <c r="H14" s="10" t="n">
        <v>258.84</v>
      </c>
    </row>
    <row r="15" ht="15" customHeight="1" s="17">
      <c r="A15" s="8" t="inlineStr">
        <is>
          <t>M17B6</t>
        </is>
      </c>
      <c r="B15" s="8" t="inlineStr">
        <is>
          <t>C1096-Q9556</t>
        </is>
      </c>
      <c r="C15" s="8" t="inlineStr">
        <is>
          <t>Ayabaca</t>
        </is>
      </c>
      <c r="D15" s="8" t="inlineStr">
        <is>
          <t>Frias</t>
        </is>
      </c>
      <c r="E15" s="8" t="inlineStr">
        <is>
          <t>Z02</t>
        </is>
      </c>
      <c r="F15" s="9" t="n">
        <v>607036</v>
      </c>
      <c r="G15" s="9" t="n">
        <v>9446211</v>
      </c>
      <c r="H15" s="10" t="n">
        <v>106.54</v>
      </c>
    </row>
    <row r="16" ht="15" customHeight="1" s="17">
      <c r="A16" s="8" t="inlineStr">
        <is>
          <t>M17B10</t>
        </is>
      </c>
      <c r="B16" s="8" t="inlineStr">
        <is>
          <t>C1096-Q9556</t>
        </is>
      </c>
      <c r="C16" s="8" t="inlineStr">
        <is>
          <t>Ayabaca</t>
        </is>
      </c>
      <c r="D16" s="8" t="inlineStr">
        <is>
          <t>Frias</t>
        </is>
      </c>
      <c r="E16" s="8" t="inlineStr">
        <is>
          <t>Z02</t>
        </is>
      </c>
      <c r="F16" s="9" t="n">
        <v>606173</v>
      </c>
      <c r="G16" s="9" t="n">
        <v>9447361</v>
      </c>
      <c r="H16" s="10" t="n">
        <v>75.36</v>
      </c>
    </row>
    <row r="17" ht="15" customHeight="1" s="17">
      <c r="A17" s="8" t="inlineStr">
        <is>
          <t>M17B5</t>
        </is>
      </c>
      <c r="B17" s="8" t="inlineStr">
        <is>
          <t>C1096-Q9556</t>
        </is>
      </c>
      <c r="C17" s="8" t="inlineStr">
        <is>
          <t>Ayabaca</t>
        </is>
      </c>
      <c r="D17" s="8" t="inlineStr">
        <is>
          <t>Frias</t>
        </is>
      </c>
      <c r="E17" s="8" t="inlineStr">
        <is>
          <t>Z02</t>
        </is>
      </c>
      <c r="F17" s="9" t="n">
        <v>608800</v>
      </c>
      <c r="G17" s="9" t="n">
        <v>9445585</v>
      </c>
      <c r="H17" s="10" t="n">
        <v>74.03</v>
      </c>
    </row>
    <row r="18" ht="15" customHeight="1" s="17">
      <c r="A18" s="8" t="inlineStr">
        <is>
          <t>27</t>
        </is>
      </c>
      <c r="B18" s="8" t="inlineStr">
        <is>
          <t>C1096-Q9556</t>
        </is>
      </c>
      <c r="C18" s="8" t="inlineStr">
        <is>
          <t>Ayabaca</t>
        </is>
      </c>
      <c r="D18" s="8" t="inlineStr">
        <is>
          <t>Frias</t>
        </is>
      </c>
      <c r="E18" s="8" t="inlineStr">
        <is>
          <t>Z02</t>
        </is>
      </c>
      <c r="F18" s="9" t="n">
        <v>613302</v>
      </c>
      <c r="G18" s="9" t="n">
        <v>9450231</v>
      </c>
      <c r="H18" s="10" t="n">
        <v>78.15000000000001</v>
      </c>
    </row>
    <row r="19" ht="15" customHeight="1" s="17">
      <c r="A19" s="8" t="inlineStr">
        <is>
          <t>39</t>
        </is>
      </c>
      <c r="B19" s="8" t="inlineStr">
        <is>
          <t>C1096-Q9564</t>
        </is>
      </c>
      <c r="C19" s="8" t="inlineStr">
        <is>
          <t>Ayabaca</t>
        </is>
      </c>
      <c r="D19" s="8" t="inlineStr">
        <is>
          <t>Frias</t>
        </is>
      </c>
      <c r="E19" s="8" t="inlineStr">
        <is>
          <t>Z02</t>
        </is>
      </c>
      <c r="F19" s="9" t="n">
        <v>618523</v>
      </c>
      <c r="G19" s="9" t="n">
        <v>9448918</v>
      </c>
      <c r="H19" s="10" t="n">
        <v>68.56999999999999</v>
      </c>
    </row>
    <row r="20" ht="15" customHeight="1" s="17">
      <c r="A20" s="8" t="inlineStr">
        <is>
          <t>56</t>
        </is>
      </c>
      <c r="B20" s="8" t="inlineStr">
        <is>
          <t>C1096-Q9564</t>
        </is>
      </c>
      <c r="C20" s="8" t="inlineStr">
        <is>
          <t>Ayabaca</t>
        </is>
      </c>
      <c r="D20" s="8" t="inlineStr">
        <is>
          <t>Frias</t>
        </is>
      </c>
      <c r="E20" s="8" t="inlineStr">
        <is>
          <t>Z02</t>
        </is>
      </c>
      <c r="F20" s="9" t="n">
        <v>631723</v>
      </c>
      <c r="G20" s="9" t="n">
        <v>9439702</v>
      </c>
      <c r="H20" s="10" t="n">
        <v>77.67</v>
      </c>
    </row>
    <row r="21" ht="15" customHeight="1" s="17">
      <c r="A21" s="8" t="inlineStr">
        <is>
          <t>12</t>
        </is>
      </c>
      <c r="B21" s="8" t="inlineStr">
        <is>
          <t>C1086-Q9570</t>
        </is>
      </c>
      <c r="C21" s="8" t="inlineStr">
        <is>
          <t>Morropon</t>
        </is>
      </c>
      <c r="D21" s="8" t="inlineStr">
        <is>
          <t>Santo Domingo</t>
        </is>
      </c>
      <c r="E21" s="8" t="inlineStr">
        <is>
          <t>Z03</t>
        </is>
      </c>
      <c r="F21" s="9" t="n">
        <v>625419</v>
      </c>
      <c r="G21" s="9" t="n">
        <v>9444932</v>
      </c>
      <c r="H21" s="10" t="n">
        <v>119.54</v>
      </c>
    </row>
    <row r="22" ht="15" customHeight="1" s="17">
      <c r="A22" s="8" t="inlineStr">
        <is>
          <t>82</t>
        </is>
      </c>
      <c r="B22" s="8" t="inlineStr">
        <is>
          <t>C1086-Q9570</t>
        </is>
      </c>
      <c r="C22" s="8" t="inlineStr">
        <is>
          <t>Morropon</t>
        </is>
      </c>
      <c r="D22" s="8" t="inlineStr">
        <is>
          <t>Santo Domingo</t>
        </is>
      </c>
      <c r="E22" s="8" t="inlineStr">
        <is>
          <t>Z03</t>
        </is>
      </c>
      <c r="F22" s="9" t="n">
        <v>621452</v>
      </c>
      <c r="G22" s="9" t="n">
        <v>9443855</v>
      </c>
      <c r="H22" s="10" t="n">
        <v>35.66</v>
      </c>
    </row>
    <row r="23" ht="15" customHeight="1" s="17">
      <c r="A23" s="8" t="inlineStr">
        <is>
          <t>13</t>
        </is>
      </c>
      <c r="B23" s="8" t="inlineStr">
        <is>
          <t>C1096-Q9564</t>
        </is>
      </c>
      <c r="C23" s="8" t="inlineStr">
        <is>
          <t>Morropon</t>
        </is>
      </c>
      <c r="D23" s="8" t="inlineStr">
        <is>
          <t>Santo Domingo</t>
        </is>
      </c>
      <c r="E23" s="8" t="inlineStr">
        <is>
          <t>Z03</t>
        </is>
      </c>
      <c r="F23" s="9" t="n">
        <v>620263</v>
      </c>
      <c r="G23" s="9" t="n">
        <v>9442343</v>
      </c>
      <c r="H23" s="10" t="n">
        <v>100.51</v>
      </c>
    </row>
    <row r="24" ht="15" customHeight="1" s="17">
      <c r="A24" s="8" t="inlineStr">
        <is>
          <t>78</t>
        </is>
      </c>
      <c r="B24" s="8" t="inlineStr">
        <is>
          <t>C1086-Q9570</t>
        </is>
      </c>
      <c r="C24" s="8" t="inlineStr">
        <is>
          <t>Morropon</t>
        </is>
      </c>
      <c r="D24" s="8" t="inlineStr">
        <is>
          <t>Santo Domingo</t>
        </is>
      </c>
      <c r="E24" s="8" t="inlineStr">
        <is>
          <t>Z03</t>
        </is>
      </c>
      <c r="F24" s="9" t="n">
        <v>619630</v>
      </c>
      <c r="G24" s="9" t="n">
        <v>9440043</v>
      </c>
      <c r="H24" s="10" t="n">
        <v>35.1</v>
      </c>
    </row>
    <row r="25" ht="15" customHeight="1" s="17">
      <c r="A25" s="8" t="inlineStr">
        <is>
          <t>11</t>
        </is>
      </c>
      <c r="B25" s="8" t="inlineStr">
        <is>
          <t>C1086-Q9570</t>
        </is>
      </c>
      <c r="C25" s="8" t="inlineStr">
        <is>
          <t>Morropon</t>
        </is>
      </c>
      <c r="D25" s="8" t="inlineStr">
        <is>
          <t>Santo Domingo</t>
        </is>
      </c>
      <c r="E25" s="8" t="inlineStr">
        <is>
          <t>Z03</t>
        </is>
      </c>
      <c r="F25" s="9" t="n">
        <v>620759</v>
      </c>
      <c r="G25" s="9" t="n">
        <v>9439988</v>
      </c>
      <c r="H25" s="10" t="n">
        <v>103.95</v>
      </c>
    </row>
    <row r="26" ht="15" customHeight="1" s="17">
      <c r="A26" s="8" t="inlineStr">
        <is>
          <t>23</t>
        </is>
      </c>
      <c r="B26" s="8" t="inlineStr">
        <is>
          <t>C1086-Q9570</t>
        </is>
      </c>
      <c r="C26" s="8" t="inlineStr">
        <is>
          <t>Morropon</t>
        </is>
      </c>
      <c r="D26" s="8" t="inlineStr">
        <is>
          <t>Santo Domingo</t>
        </is>
      </c>
      <c r="E26" s="8" t="inlineStr">
        <is>
          <t>Z03</t>
        </is>
      </c>
      <c r="F26" s="9" t="n">
        <v>619939</v>
      </c>
      <c r="G26" s="9" t="n">
        <v>9438544</v>
      </c>
      <c r="H26" s="10" t="n">
        <v>81.78</v>
      </c>
    </row>
    <row r="27" ht="15" customHeight="1" s="17">
      <c r="A27" s="8" t="inlineStr">
        <is>
          <t>15</t>
        </is>
      </c>
      <c r="B27" s="8" t="inlineStr">
        <is>
          <t>C1086-Q9570</t>
        </is>
      </c>
      <c r="C27" s="8" t="inlineStr">
        <is>
          <t>Morropon</t>
        </is>
      </c>
      <c r="D27" s="8" t="inlineStr">
        <is>
          <t>Santo Domingo</t>
        </is>
      </c>
      <c r="E27" s="8" t="inlineStr">
        <is>
          <t>Z03</t>
        </is>
      </c>
      <c r="F27" s="9" t="n">
        <v>620200</v>
      </c>
      <c r="G27" s="9" t="n">
        <v>9437862</v>
      </c>
      <c r="H27" s="10" t="n">
        <v>86.15000000000001</v>
      </c>
    </row>
    <row r="28" ht="15" customHeight="1" s="17">
      <c r="A28" s="8" t="inlineStr">
        <is>
          <t>M19B7</t>
        </is>
      </c>
      <c r="B28" s="8" t="inlineStr">
        <is>
          <t>C1086-Q9570</t>
        </is>
      </c>
      <c r="C28" s="8" t="inlineStr">
        <is>
          <t>Morropon</t>
        </is>
      </c>
      <c r="D28" s="8" t="inlineStr">
        <is>
          <t>Santo Domingo</t>
        </is>
      </c>
      <c r="E28" s="8" t="inlineStr">
        <is>
          <t>Z03</t>
        </is>
      </c>
      <c r="F28" s="9" t="n">
        <v>620770</v>
      </c>
      <c r="G28" s="9" t="n">
        <v>9436562</v>
      </c>
      <c r="H28" s="10" t="n">
        <v>34.17</v>
      </c>
    </row>
    <row r="29" ht="15" customHeight="1" s="17">
      <c r="A29" s="8" t="inlineStr">
        <is>
          <t>17</t>
        </is>
      </c>
      <c r="B29" s="8" t="inlineStr">
        <is>
          <t>C1086-Q9570</t>
        </is>
      </c>
      <c r="C29" s="8" t="inlineStr">
        <is>
          <t>Morropon</t>
        </is>
      </c>
      <c r="D29" s="8" t="inlineStr">
        <is>
          <t>Santo Domingo</t>
        </is>
      </c>
      <c r="E29" s="8" t="inlineStr">
        <is>
          <t>Z03</t>
        </is>
      </c>
      <c r="F29" s="9" t="n">
        <v>618661</v>
      </c>
      <c r="G29" s="9" t="n">
        <v>9438267</v>
      </c>
      <c r="H29" s="10" t="n">
        <v>96.08</v>
      </c>
    </row>
    <row r="30" ht="15" customHeight="1" s="17">
      <c r="A30" s="8" t="inlineStr">
        <is>
          <t>M8B2</t>
        </is>
      </c>
      <c r="B30" s="8" t="inlineStr">
        <is>
          <t>C1096-Q9558</t>
        </is>
      </c>
      <c r="C30" s="8" t="inlineStr">
        <is>
          <t>Morropon</t>
        </is>
      </c>
      <c r="D30" s="8" t="inlineStr">
        <is>
          <t>Santo Domingo</t>
        </is>
      </c>
      <c r="E30" s="8" t="inlineStr">
        <is>
          <t>Z03</t>
        </is>
      </c>
      <c r="F30" s="9" t="n">
        <v>617596</v>
      </c>
      <c r="G30" s="9" t="n">
        <v>9436227</v>
      </c>
      <c r="H30" s="10" t="n">
        <v>35.35</v>
      </c>
    </row>
    <row r="31" ht="15" customHeight="1" s="17">
      <c r="A31" s="8" t="inlineStr">
        <is>
          <t>57</t>
        </is>
      </c>
      <c r="B31" s="8" t="inlineStr">
        <is>
          <t>C1086-Q9576</t>
        </is>
      </c>
      <c r="C31" s="8" t="inlineStr">
        <is>
          <t>Morropon</t>
        </is>
      </c>
      <c r="D31" s="8" t="inlineStr">
        <is>
          <t>Chalaco</t>
        </is>
      </c>
      <c r="E31" s="8" t="inlineStr">
        <is>
          <t>Z04</t>
        </is>
      </c>
      <c r="F31" s="9" t="n">
        <v>631195</v>
      </c>
      <c r="G31" s="9" t="n">
        <v>9441777</v>
      </c>
      <c r="H31" s="10" t="n">
        <v>25.67</v>
      </c>
    </row>
    <row r="32" ht="15" customHeight="1" s="17">
      <c r="A32" s="8" t="inlineStr">
        <is>
          <t>59</t>
        </is>
      </c>
      <c r="B32" s="8" t="inlineStr">
        <is>
          <t>C1086-Q9570</t>
        </is>
      </c>
      <c r="C32" s="8" t="inlineStr">
        <is>
          <t>Morropon</t>
        </is>
      </c>
      <c r="D32" s="8" t="inlineStr">
        <is>
          <t>Chalaco</t>
        </is>
      </c>
      <c r="E32" s="8" t="inlineStr">
        <is>
          <t>Z04</t>
        </is>
      </c>
      <c r="F32" s="9" t="n">
        <v>631195</v>
      </c>
      <c r="G32" s="9" t="n">
        <v>9441777</v>
      </c>
      <c r="H32" s="10" t="n">
        <v>13.55</v>
      </c>
    </row>
    <row r="33" ht="15" customHeight="1" s="17">
      <c r="A33" s="8" t="inlineStr">
        <is>
          <t>M36B2</t>
        </is>
      </c>
      <c r="B33" s="8" t="inlineStr">
        <is>
          <t>C1086-Q9576</t>
        </is>
      </c>
      <c r="C33" s="8" t="inlineStr">
        <is>
          <t>Morropon</t>
        </is>
      </c>
      <c r="D33" s="8" t="inlineStr">
        <is>
          <t>Santa Catalina de Mossa</t>
        </is>
      </c>
      <c r="E33" s="8" t="inlineStr">
        <is>
          <t>Z04</t>
        </is>
      </c>
      <c r="F33" s="9" t="n">
        <v>626438</v>
      </c>
      <c r="G33" s="9" t="n">
        <v>9435060</v>
      </c>
      <c r="H33" s="10" t="n">
        <v>28.19</v>
      </c>
    </row>
    <row r="34" ht="15" customHeight="1" s="17">
      <c r="A34" s="8" t="inlineStr">
        <is>
          <t>42</t>
        </is>
      </c>
      <c r="B34" s="8" t="inlineStr">
        <is>
          <t>C1086-Q9570</t>
        </is>
      </c>
      <c r="C34" s="8" t="inlineStr">
        <is>
          <t>Morropon</t>
        </is>
      </c>
      <c r="D34" s="8" t="inlineStr">
        <is>
          <t>Santa Catalina de Mossa</t>
        </is>
      </c>
      <c r="E34" s="8" t="inlineStr">
        <is>
          <t>Z04</t>
        </is>
      </c>
      <c r="F34" s="9" t="n">
        <v>625152</v>
      </c>
      <c r="G34" s="9" t="n">
        <v>9435011</v>
      </c>
      <c r="H34" s="10" t="n">
        <v>80.62</v>
      </c>
    </row>
    <row r="35" ht="15" customHeight="1" s="17">
      <c r="A35" s="8" t="inlineStr">
        <is>
          <t>14</t>
        </is>
      </c>
      <c r="B35" s="8" t="inlineStr">
        <is>
          <t>C1086-Q9570</t>
        </is>
      </c>
      <c r="C35" s="8" t="inlineStr">
        <is>
          <t>Morropon</t>
        </is>
      </c>
      <c r="D35" s="8" t="inlineStr">
        <is>
          <t>Santa Catalina de Mossa</t>
        </is>
      </c>
      <c r="E35" s="8" t="inlineStr">
        <is>
          <t>Z04</t>
        </is>
      </c>
      <c r="F35" s="9" t="n">
        <v>624397</v>
      </c>
      <c r="G35" s="9" t="n">
        <v>9437085</v>
      </c>
      <c r="H35" s="10" t="n">
        <v>92.90000000000001</v>
      </c>
    </row>
    <row r="36" ht="15" customHeight="1" s="17">
      <c r="A36" s="8" t="inlineStr">
        <is>
          <t>58</t>
        </is>
      </c>
      <c r="B36" s="8" t="inlineStr">
        <is>
          <t>C1086-Q9569</t>
        </is>
      </c>
      <c r="C36" s="8" t="inlineStr">
        <is>
          <t>Morropon</t>
        </is>
      </c>
      <c r="D36" s="8" t="inlineStr">
        <is>
          <t>Santa Catalina de Mossa</t>
        </is>
      </c>
      <c r="E36" s="8" t="inlineStr">
        <is>
          <t>Z04</t>
        </is>
      </c>
      <c r="F36" s="9" t="n">
        <v>619094</v>
      </c>
      <c r="G36" s="9" t="n">
        <v>9426406</v>
      </c>
      <c r="H36" s="10" t="n">
        <v>11.47</v>
      </c>
    </row>
    <row r="37" ht="15" customHeight="1" s="17">
      <c r="A37" s="8" t="inlineStr">
        <is>
          <t>M19B2</t>
        </is>
      </c>
      <c r="B37" s="8" t="inlineStr">
        <is>
          <t>C1086-Q9570</t>
        </is>
      </c>
      <c r="C37" s="8" t="inlineStr">
        <is>
          <t>Morropon</t>
        </is>
      </c>
      <c r="D37" s="8" t="inlineStr">
        <is>
          <t>Morropon</t>
        </is>
      </c>
      <c r="E37" s="8" t="inlineStr">
        <is>
          <t>Z05</t>
        </is>
      </c>
      <c r="F37" s="9" t="n">
        <v>617715</v>
      </c>
      <c r="G37" s="9" t="n">
        <v>9427284</v>
      </c>
      <c r="H37" s="10" t="n">
        <v>74.37</v>
      </c>
    </row>
    <row r="38" ht="15" customHeight="1" s="17">
      <c r="A38" s="8" t="inlineStr">
        <is>
          <t>M32B3</t>
        </is>
      </c>
      <c r="B38" s="8" t="inlineStr">
        <is>
          <t>C1086-Q9569</t>
        </is>
      </c>
      <c r="C38" s="8" t="inlineStr">
        <is>
          <t>Morropon</t>
        </is>
      </c>
      <c r="D38" s="8" t="inlineStr">
        <is>
          <t>Morropon</t>
        </is>
      </c>
      <c r="E38" s="8" t="inlineStr">
        <is>
          <t>Z05</t>
        </is>
      </c>
      <c r="F38" s="9" t="n">
        <v>618248</v>
      </c>
      <c r="G38" s="9" t="n">
        <v>9426493</v>
      </c>
      <c r="H38" s="10" t="n">
        <v>50.97</v>
      </c>
    </row>
    <row r="39" ht="15" customHeight="1" s="17">
      <c r="A39" s="8" t="inlineStr">
        <is>
          <t>M6B10</t>
        </is>
      </c>
      <c r="B39" s="8" t="inlineStr">
        <is>
          <t>C1077-Q9566</t>
        </is>
      </c>
      <c r="C39" s="8" t="inlineStr">
        <is>
          <t>Morropon</t>
        </is>
      </c>
      <c r="D39" s="8" t="inlineStr">
        <is>
          <t>Buenos Aires</t>
        </is>
      </c>
      <c r="E39" s="8" t="inlineStr">
        <is>
          <t>Z06</t>
        </is>
      </c>
      <c r="F39" s="9" t="n">
        <v>618299</v>
      </c>
      <c r="G39" s="9" t="n">
        <v>9423119</v>
      </c>
      <c r="H39" s="10" t="n">
        <v>249.89</v>
      </c>
    </row>
    <row r="40" ht="15" customHeight="1" s="17">
      <c r="A40" s="8" t="inlineStr">
        <is>
          <t>M6B2-3</t>
        </is>
      </c>
      <c r="B40" s="8" t="inlineStr">
        <is>
          <t>C1077-Q9566</t>
        </is>
      </c>
      <c r="C40" s="8" t="inlineStr">
        <is>
          <t>Morropon</t>
        </is>
      </c>
      <c r="D40" s="8" t="inlineStr">
        <is>
          <t>Buenos Aires</t>
        </is>
      </c>
      <c r="E40" s="8" t="inlineStr">
        <is>
          <t>Z06</t>
        </is>
      </c>
      <c r="F40" s="9" t="n">
        <v>611305</v>
      </c>
      <c r="G40" s="9" t="n">
        <v>9419274</v>
      </c>
      <c r="H40" s="10" t="n">
        <v>160.98</v>
      </c>
    </row>
    <row r="41" ht="15" customHeight="1" s="17">
      <c r="A41" s="8" t="inlineStr">
        <is>
          <t>M6B2-2</t>
        </is>
      </c>
      <c r="B41" s="8" t="inlineStr">
        <is>
          <t>C1077-Q9566</t>
        </is>
      </c>
      <c r="C41" s="8" t="inlineStr">
        <is>
          <t>Morropon</t>
        </is>
      </c>
      <c r="D41" s="8" t="inlineStr">
        <is>
          <t>Buenos Aires</t>
        </is>
      </c>
      <c r="E41" s="8" t="inlineStr">
        <is>
          <t>Z06</t>
        </is>
      </c>
      <c r="F41" s="9" t="n">
        <v>611196</v>
      </c>
      <c r="G41" s="9" t="n">
        <v>9416725</v>
      </c>
      <c r="H41" s="10" t="n">
        <v>333.01</v>
      </c>
    </row>
    <row r="42" ht="15" customHeight="1" s="17">
      <c r="A42" s="8" t="inlineStr">
        <is>
          <t>M6B2-1</t>
        </is>
      </c>
      <c r="B42" s="8" t="inlineStr">
        <is>
          <t>C1077-Q9566</t>
        </is>
      </c>
      <c r="C42" s="8" t="inlineStr">
        <is>
          <t>Morropon</t>
        </is>
      </c>
      <c r="D42" s="8" t="inlineStr">
        <is>
          <t>Buenos Aires</t>
        </is>
      </c>
      <c r="E42" s="8" t="inlineStr">
        <is>
          <t>Z06</t>
        </is>
      </c>
      <c r="F42" s="9" t="n">
        <v>612864</v>
      </c>
      <c r="G42" s="9" t="n">
        <v>9413345</v>
      </c>
      <c r="H42" s="10" t="n">
        <v>514.36</v>
      </c>
    </row>
    <row r="43" ht="15" customHeight="1" s="17">
      <c r="A43" s="8" t="inlineStr">
        <is>
          <t>5</t>
        </is>
      </c>
      <c r="B43" s="8" t="inlineStr">
        <is>
          <t>C1077-Q9566</t>
        </is>
      </c>
      <c r="C43" s="8" t="inlineStr">
        <is>
          <t>Morropon</t>
        </is>
      </c>
      <c r="D43" s="8" t="inlineStr">
        <is>
          <t>Buenos Aires</t>
        </is>
      </c>
      <c r="E43" s="8" t="inlineStr">
        <is>
          <t>Z06</t>
        </is>
      </c>
      <c r="F43" s="9" t="n">
        <v>617860</v>
      </c>
      <c r="G43" s="9" t="n">
        <v>9413182</v>
      </c>
      <c r="H43" s="10" t="n">
        <v>295.73</v>
      </c>
    </row>
    <row r="44" ht="15" customHeight="1" s="17">
      <c r="A44" s="8" t="inlineStr">
        <is>
          <t>M1B1</t>
        </is>
      </c>
      <c r="B44" s="8" t="inlineStr">
        <is>
          <t>C1077-Q9580</t>
        </is>
      </c>
      <c r="C44" s="8" t="inlineStr">
        <is>
          <t>Morropon</t>
        </is>
      </c>
      <c r="D44" s="8" t="inlineStr">
        <is>
          <t>Buenos Aires</t>
        </is>
      </c>
      <c r="E44" s="8" t="inlineStr">
        <is>
          <t>Z06</t>
        </is>
      </c>
      <c r="F44" s="9" t="n">
        <v>617695</v>
      </c>
      <c r="G44" s="9" t="n">
        <v>9409136</v>
      </c>
      <c r="H44" s="10" t="n">
        <v>188.8</v>
      </c>
    </row>
    <row r="45" ht="15" customHeight="1" s="17">
      <c r="A45" s="8" t="inlineStr">
        <is>
          <t>M18B1</t>
        </is>
      </c>
      <c r="B45" s="8" t="inlineStr">
        <is>
          <t>C1077-Q9579</t>
        </is>
      </c>
      <c r="C45" s="8" t="inlineStr">
        <is>
          <t>Morropon</t>
        </is>
      </c>
      <c r="D45" s="8" t="inlineStr">
        <is>
          <t>Buenos Aires</t>
        </is>
      </c>
      <c r="E45" s="8" t="inlineStr">
        <is>
          <t>Z06</t>
        </is>
      </c>
      <c r="F45" s="9" t="n">
        <v>621058</v>
      </c>
      <c r="G45" s="9" t="n">
        <v>9410427</v>
      </c>
      <c r="H45" s="10" t="n">
        <v>160.36</v>
      </c>
    </row>
    <row r="46" ht="15" customHeight="1" s="17">
      <c r="A46" s="8" t="inlineStr">
        <is>
          <t>M3B9</t>
        </is>
      </c>
      <c r="B46" s="8" t="inlineStr">
        <is>
          <t>C1081-Q9582</t>
        </is>
      </c>
      <c r="C46" s="8" t="inlineStr">
        <is>
          <t>Morropon</t>
        </is>
      </c>
      <c r="D46" s="8" t="inlineStr">
        <is>
          <t>Salitral</t>
        </is>
      </c>
      <c r="E46" s="8" t="inlineStr">
        <is>
          <t>Z07</t>
        </is>
      </c>
      <c r="F46" s="9" t="n">
        <v>629338</v>
      </c>
      <c r="G46" s="9" t="n">
        <v>9413305</v>
      </c>
      <c r="H46" s="10" t="n">
        <v>294.2</v>
      </c>
    </row>
    <row r="47" ht="15" customHeight="1" s="17">
      <c r="A47" s="8" t="inlineStr">
        <is>
          <t>M3B1</t>
        </is>
      </c>
      <c r="B47" s="8" t="inlineStr">
        <is>
          <t>C1081-Q9582</t>
        </is>
      </c>
      <c r="C47" s="8" t="inlineStr">
        <is>
          <t>Morropon</t>
        </is>
      </c>
      <c r="D47" s="8" t="inlineStr">
        <is>
          <t>Salitral</t>
        </is>
      </c>
      <c r="E47" s="8" t="inlineStr">
        <is>
          <t>Z07</t>
        </is>
      </c>
      <c r="F47" s="9" t="n">
        <v>630685</v>
      </c>
      <c r="G47" s="9" t="n">
        <v>9410800</v>
      </c>
      <c r="H47" s="10" t="n">
        <v>80.98</v>
      </c>
    </row>
    <row r="48" ht="15" customHeight="1" s="17">
      <c r="A48" s="8" t="inlineStr">
        <is>
          <t>M7B1</t>
        </is>
      </c>
      <c r="B48" s="8" t="inlineStr">
        <is>
          <t>C1076-Q9581</t>
        </is>
      </c>
      <c r="C48" s="8" t="inlineStr">
        <is>
          <t>Morropon</t>
        </is>
      </c>
      <c r="D48" s="8" t="inlineStr">
        <is>
          <t>Salitral</t>
        </is>
      </c>
      <c r="E48" s="8" t="inlineStr">
        <is>
          <t>Z07</t>
        </is>
      </c>
      <c r="F48" s="9" t="n">
        <v>629006</v>
      </c>
      <c r="G48" s="9" t="n">
        <v>9407536</v>
      </c>
      <c r="H48" s="10" t="n">
        <v>130.43</v>
      </c>
    </row>
    <row r="49" ht="15" customHeight="1" s="17">
      <c r="A49" s="8" t="inlineStr">
        <is>
          <t>M7B2</t>
        </is>
      </c>
      <c r="B49" s="8" t="inlineStr">
        <is>
          <t>C1076-Q9581</t>
        </is>
      </c>
      <c r="C49" s="8" t="inlineStr">
        <is>
          <t>Morropon</t>
        </is>
      </c>
      <c r="D49" s="8" t="inlineStr">
        <is>
          <t>Salitral</t>
        </is>
      </c>
      <c r="E49" s="8" t="inlineStr">
        <is>
          <t>Z07</t>
        </is>
      </c>
      <c r="F49" s="9" t="n">
        <v>631438</v>
      </c>
      <c r="G49" s="9" t="n">
        <v>9403547</v>
      </c>
      <c r="H49" s="10" t="n">
        <v>115.38</v>
      </c>
    </row>
    <row r="50" ht="15" customHeight="1" s="17">
      <c r="A50" s="8" t="inlineStr">
        <is>
          <t>M7B3</t>
        </is>
      </c>
      <c r="B50" s="8" t="inlineStr">
        <is>
          <t>C1076-Q9581</t>
        </is>
      </c>
      <c r="C50" s="8" t="inlineStr">
        <is>
          <t>Morropon</t>
        </is>
      </c>
      <c r="D50" s="8" t="inlineStr">
        <is>
          <t>Salitral</t>
        </is>
      </c>
      <c r="E50" s="8" t="inlineStr">
        <is>
          <t>Z07</t>
        </is>
      </c>
      <c r="F50" s="9" t="n">
        <v>633232</v>
      </c>
      <c r="G50" s="9" t="n">
        <v>9401227</v>
      </c>
      <c r="H50" s="10" t="n">
        <v>65.73999999999999</v>
      </c>
    </row>
    <row r="51" ht="15" customHeight="1" s="17">
      <c r="A51" s="8" t="inlineStr">
        <is>
          <t>M7B6</t>
        </is>
      </c>
      <c r="B51" s="8" t="inlineStr">
        <is>
          <t>C1076-Q9581</t>
        </is>
      </c>
      <c r="C51" s="8" t="inlineStr">
        <is>
          <t>Morropon</t>
        </is>
      </c>
      <c r="D51" s="8" t="inlineStr">
        <is>
          <t>Salitral</t>
        </is>
      </c>
      <c r="E51" s="8" t="inlineStr">
        <is>
          <t>Z07</t>
        </is>
      </c>
      <c r="F51" s="9" t="n">
        <v>635110</v>
      </c>
      <c r="G51" s="9" t="n">
        <v>9399092</v>
      </c>
      <c r="H51" s="10" t="n">
        <v>91.29000000000001</v>
      </c>
    </row>
    <row r="52" ht="15" customHeight="1" s="17">
      <c r="A52" s="8" t="inlineStr">
        <is>
          <t>M2B1</t>
        </is>
      </c>
      <c r="B52" s="8" t="inlineStr">
        <is>
          <t>C1076-Q9584</t>
        </is>
      </c>
      <c r="C52" s="8" t="inlineStr">
        <is>
          <t>Morropon</t>
        </is>
      </c>
      <c r="D52" s="8" t="inlineStr">
        <is>
          <t>Salitral</t>
        </is>
      </c>
      <c r="E52" s="8" t="inlineStr">
        <is>
          <t>Z07</t>
        </is>
      </c>
      <c r="F52" s="9" t="n">
        <v>635876</v>
      </c>
      <c r="G52" s="9" t="n">
        <v>9397941</v>
      </c>
      <c r="H52" s="10" t="n">
        <v>81.79000000000001</v>
      </c>
    </row>
    <row r="53" ht="15" customHeight="1" s="17">
      <c r="A53" s="8" t="inlineStr">
        <is>
          <t>7</t>
        </is>
      </c>
      <c r="B53" s="8" t="inlineStr">
        <is>
          <t>C1076-Q9584</t>
        </is>
      </c>
      <c r="C53" s="8" t="inlineStr">
        <is>
          <t>Morropon</t>
        </is>
      </c>
      <c r="D53" s="8" t="inlineStr">
        <is>
          <t>Salitral</t>
        </is>
      </c>
      <c r="E53" s="8" t="inlineStr">
        <is>
          <t>Z07</t>
        </is>
      </c>
      <c r="F53" s="9" t="n">
        <v>639728</v>
      </c>
      <c r="G53" s="9" t="n">
        <v>9396836</v>
      </c>
      <c r="H53" s="10" t="n">
        <v>173.43</v>
      </c>
    </row>
    <row r="54" ht="15" customHeight="1" s="17">
      <c r="A54" s="8" t="inlineStr">
        <is>
          <t>M2B5</t>
        </is>
      </c>
      <c r="B54" s="8" t="inlineStr">
        <is>
          <t>C1076-Q9584</t>
        </is>
      </c>
      <c r="C54" s="8" t="inlineStr">
        <is>
          <t>Morropon</t>
        </is>
      </c>
      <c r="D54" s="8" t="inlineStr">
        <is>
          <t>Salitral</t>
        </is>
      </c>
      <c r="E54" s="8" t="inlineStr">
        <is>
          <t>Z07</t>
        </is>
      </c>
      <c r="F54" s="9" t="n">
        <v>639987</v>
      </c>
      <c r="G54" s="9" t="n">
        <v>9394392</v>
      </c>
      <c r="H54" s="10" t="n">
        <v>30.91</v>
      </c>
    </row>
    <row r="55" ht="15" customHeight="1" s="17">
      <c r="A55" s="8" t="inlineStr">
        <is>
          <t>1</t>
        </is>
      </c>
      <c r="B55" s="8" t="inlineStr">
        <is>
          <t>C1076-Q9584</t>
        </is>
      </c>
      <c r="C55" s="8" t="inlineStr">
        <is>
          <t>Morropon</t>
        </is>
      </c>
      <c r="D55" s="8" t="inlineStr">
        <is>
          <t>Salitral</t>
        </is>
      </c>
      <c r="E55" s="8" t="inlineStr">
        <is>
          <t>Z07</t>
        </is>
      </c>
      <c r="F55" s="9" t="n">
        <v>645575</v>
      </c>
      <c r="G55" s="9" t="n">
        <v>9393500</v>
      </c>
      <c r="H55" s="10" t="n">
        <v>1370.96</v>
      </c>
    </row>
    <row r="56" ht="15" customHeight="1" s="17">
      <c r="A56" s="8" t="inlineStr">
        <is>
          <t>M18B3</t>
        </is>
      </c>
      <c r="B56" s="8" t="inlineStr">
        <is>
          <t>C1077-Q9579</t>
        </is>
      </c>
      <c r="C56" s="8" t="inlineStr">
        <is>
          <t>Morropon</t>
        </is>
      </c>
      <c r="D56" s="8" t="inlineStr">
        <is>
          <t>Salitral</t>
        </is>
      </c>
      <c r="E56" s="8" t="inlineStr">
        <is>
          <t>Z07</t>
        </is>
      </c>
      <c r="F56" s="9" t="n">
        <v>625311</v>
      </c>
      <c r="G56" s="9" t="n">
        <v>9412195</v>
      </c>
      <c r="H56" s="10" t="n">
        <v>373.81</v>
      </c>
    </row>
    <row r="57" ht="15" customHeight="1" s="17">
      <c r="A57" s="8" t="inlineStr">
        <is>
          <t>M18B5</t>
        </is>
      </c>
      <c r="B57" s="8" t="inlineStr">
        <is>
          <t>C1077-Q9579</t>
        </is>
      </c>
      <c r="C57" s="8" t="inlineStr">
        <is>
          <t>Morropon</t>
        </is>
      </c>
      <c r="D57" s="8" t="inlineStr">
        <is>
          <t>Salitral</t>
        </is>
      </c>
      <c r="E57" s="8" t="inlineStr">
        <is>
          <t>Z07</t>
        </is>
      </c>
      <c r="F57" s="9" t="n">
        <v>621551</v>
      </c>
      <c r="G57" s="9" t="n">
        <v>9412989</v>
      </c>
      <c r="H57" s="10" t="n">
        <v>197.35</v>
      </c>
    </row>
    <row r="58" ht="15" customHeight="1" s="17">
      <c r="A58" s="8" t="inlineStr">
        <is>
          <t>M3B7</t>
        </is>
      </c>
      <c r="B58" s="8" t="inlineStr">
        <is>
          <t>C1081-Q9582</t>
        </is>
      </c>
      <c r="C58" s="8" t="inlineStr">
        <is>
          <t>Morropon</t>
        </is>
      </c>
      <c r="D58" s="8" t="inlineStr">
        <is>
          <t>San Juan de Bigote</t>
        </is>
      </c>
      <c r="E58" s="8" t="inlineStr">
        <is>
          <t>Z08</t>
        </is>
      </c>
      <c r="F58" s="9" t="n">
        <v>638309</v>
      </c>
      <c r="G58" s="9" t="n">
        <v>9415217</v>
      </c>
      <c r="H58" s="10" t="n">
        <v>122.95</v>
      </c>
    </row>
    <row r="59" ht="15" customHeight="1" s="17">
      <c r="A59" s="8" t="inlineStr">
        <is>
          <t>M3B6</t>
        </is>
      </c>
      <c r="B59" s="8" t="inlineStr">
        <is>
          <t>C1081-Q9582</t>
        </is>
      </c>
      <c r="C59" s="8" t="inlineStr">
        <is>
          <t>Morropon</t>
        </is>
      </c>
      <c r="D59" s="8" t="inlineStr">
        <is>
          <t>San Juan de Bigote</t>
        </is>
      </c>
      <c r="E59" s="8" t="inlineStr">
        <is>
          <t>Z08</t>
        </is>
      </c>
      <c r="F59" s="9" t="n">
        <v>637918</v>
      </c>
      <c r="G59" s="9" t="n">
        <v>9412134</v>
      </c>
      <c r="H59" s="10" t="n">
        <v>60.35</v>
      </c>
    </row>
    <row r="60" ht="15" customHeight="1" s="17">
      <c r="A60" s="8" t="inlineStr">
        <is>
          <t>77</t>
        </is>
      </c>
      <c r="B60" s="8" t="inlineStr">
        <is>
          <t>C1081-Q9583</t>
        </is>
      </c>
      <c r="C60" s="8" t="inlineStr">
        <is>
          <t>Morropon</t>
        </is>
      </c>
      <c r="D60" s="8" t="inlineStr">
        <is>
          <t>San Juan de Bigote</t>
        </is>
      </c>
      <c r="E60" s="8" t="inlineStr">
        <is>
          <t>Z08</t>
        </is>
      </c>
      <c r="F60" s="9" t="n">
        <v>638648</v>
      </c>
      <c r="G60" s="9" t="n">
        <v>9411370</v>
      </c>
      <c r="H60" s="10" t="n">
        <v>17.82</v>
      </c>
    </row>
    <row r="61" ht="15" customHeight="1" s="17">
      <c r="A61" s="8" t="inlineStr">
        <is>
          <t>M3B5</t>
        </is>
      </c>
      <c r="B61" s="8" t="inlineStr">
        <is>
          <t>C1081-Q9582</t>
        </is>
      </c>
      <c r="C61" s="8" t="inlineStr">
        <is>
          <t>Morropon</t>
        </is>
      </c>
      <c r="D61" s="8" t="inlineStr">
        <is>
          <t>San Juan de Bigote</t>
        </is>
      </c>
      <c r="E61" s="8" t="inlineStr">
        <is>
          <t>Z08</t>
        </is>
      </c>
      <c r="F61" s="9" t="n">
        <v>635887</v>
      </c>
      <c r="G61" s="9" t="n">
        <v>9411738</v>
      </c>
      <c r="H61" s="10" t="n">
        <v>52.74</v>
      </c>
    </row>
    <row r="62" ht="15" customHeight="1" s="17">
      <c r="A62" s="8" t="inlineStr">
        <is>
          <t>M3B3</t>
        </is>
      </c>
      <c r="B62" s="8" t="inlineStr">
        <is>
          <t>C1081-Q9582</t>
        </is>
      </c>
      <c r="C62" s="8" t="inlineStr">
        <is>
          <t>Morropon</t>
        </is>
      </c>
      <c r="D62" s="8" t="inlineStr">
        <is>
          <t>San Juan de Bigote</t>
        </is>
      </c>
      <c r="E62" s="8" t="inlineStr">
        <is>
          <t>Z08</t>
        </is>
      </c>
      <c r="F62" s="9" t="n">
        <v>633015</v>
      </c>
      <c r="G62" s="9" t="n">
        <v>9411483</v>
      </c>
      <c r="H62" s="10" t="n">
        <v>84.81999999999999</v>
      </c>
    </row>
    <row r="63" ht="15" customHeight="1" s="17">
      <c r="A63" s="8" t="inlineStr">
        <is>
          <t>M3B8</t>
        </is>
      </c>
      <c r="B63" s="8" t="inlineStr">
        <is>
          <t>C1081-Q9582</t>
        </is>
      </c>
      <c r="C63" s="8" t="inlineStr">
        <is>
          <t>Morropon</t>
        </is>
      </c>
      <c r="D63" s="8" t="inlineStr">
        <is>
          <t>San Juan de Bigote</t>
        </is>
      </c>
      <c r="E63" s="8" t="inlineStr">
        <is>
          <t>Z08</t>
        </is>
      </c>
      <c r="F63" s="9" t="n">
        <v>632119</v>
      </c>
      <c r="G63" s="9" t="n">
        <v>9415141</v>
      </c>
      <c r="H63" s="10" t="n">
        <v>565.58</v>
      </c>
    </row>
    <row r="64" ht="15" customHeight="1" s="17">
      <c r="A64" s="8" t="inlineStr">
        <is>
          <t>M11B3</t>
        </is>
      </c>
      <c r="B64" s="8" t="inlineStr">
        <is>
          <t>C1081-Q9583</t>
        </is>
      </c>
      <c r="C64" s="8" t="inlineStr">
        <is>
          <t>Morropon</t>
        </is>
      </c>
      <c r="D64" s="8" t="inlineStr">
        <is>
          <t>San Juan de Bigote</t>
        </is>
      </c>
      <c r="E64" s="8" t="inlineStr">
        <is>
          <t>Z08</t>
        </is>
      </c>
      <c r="F64" s="9" t="n">
        <v>642079</v>
      </c>
      <c r="G64" s="9" t="n">
        <v>9413823</v>
      </c>
      <c r="H64" s="10" t="n">
        <v>106.03</v>
      </c>
    </row>
    <row r="65" ht="15" customHeight="1" s="17">
      <c r="A65" s="8" t="inlineStr">
        <is>
          <t>55</t>
        </is>
      </c>
      <c r="B65" s="8" t="inlineStr">
        <is>
          <t>C1086-Q9575</t>
        </is>
      </c>
      <c r="C65" s="8" t="inlineStr">
        <is>
          <t>Morropon</t>
        </is>
      </c>
      <c r="D65" s="8" t="inlineStr">
        <is>
          <t>Yamango</t>
        </is>
      </c>
      <c r="E65" s="8" t="inlineStr">
        <is>
          <t>Z09</t>
        </is>
      </c>
      <c r="F65" s="9" t="n">
        <v>642690</v>
      </c>
      <c r="G65" s="9" t="n">
        <v>9438409</v>
      </c>
      <c r="H65" s="10" t="n">
        <v>0.86</v>
      </c>
    </row>
    <row r="66" ht="15" customHeight="1" s="17">
      <c r="A66" s="8" t="inlineStr">
        <is>
          <t>49</t>
        </is>
      </c>
      <c r="B66" s="8" t="inlineStr">
        <is>
          <t>C1086-Q9575</t>
        </is>
      </c>
      <c r="C66" s="8" t="inlineStr">
        <is>
          <t>Morropon</t>
        </is>
      </c>
      <c r="D66" s="8" t="inlineStr">
        <is>
          <t>Yamango</t>
        </is>
      </c>
      <c r="E66" s="8" t="inlineStr">
        <is>
          <t>Z09</t>
        </is>
      </c>
      <c r="F66" s="9" t="n">
        <v>642334</v>
      </c>
      <c r="G66" s="9" t="n">
        <v>9438263</v>
      </c>
      <c r="H66" s="10" t="n">
        <v>15.84</v>
      </c>
    </row>
    <row r="67" ht="15" customHeight="1" s="17">
      <c r="A67" s="8" t="inlineStr">
        <is>
          <t>52</t>
        </is>
      </c>
      <c r="B67" s="8" t="inlineStr">
        <is>
          <t>C1086-Q9575</t>
        </is>
      </c>
      <c r="C67" s="8" t="inlineStr">
        <is>
          <t>Morropon</t>
        </is>
      </c>
      <c r="D67" s="8" t="inlineStr">
        <is>
          <t>Yamango</t>
        </is>
      </c>
      <c r="E67" s="8" t="inlineStr">
        <is>
          <t>Z09</t>
        </is>
      </c>
      <c r="F67" s="9" t="n">
        <v>641522</v>
      </c>
      <c r="G67" s="9" t="n">
        <v>9438064</v>
      </c>
      <c r="H67" s="10" t="n">
        <v>11.06</v>
      </c>
    </row>
    <row r="68" ht="15" customHeight="1" s="17">
      <c r="A68" s="8" t="inlineStr">
        <is>
          <t>48</t>
        </is>
      </c>
      <c r="B68" s="8" t="inlineStr">
        <is>
          <t>C1086-Q9575</t>
        </is>
      </c>
      <c r="C68" s="8" t="inlineStr">
        <is>
          <t>Morropon</t>
        </is>
      </c>
      <c r="D68" s="8" t="inlineStr">
        <is>
          <t>Yamango</t>
        </is>
      </c>
      <c r="E68" s="8" t="inlineStr">
        <is>
          <t>Z09</t>
        </is>
      </c>
      <c r="F68" s="9" t="n">
        <v>639496</v>
      </c>
      <c r="G68" s="9" t="n">
        <v>9433679</v>
      </c>
      <c r="H68" s="10" t="n">
        <v>5.75</v>
      </c>
    </row>
    <row r="69" ht="15" customHeight="1" s="17">
      <c r="A69" s="8" t="inlineStr">
        <is>
          <t>46</t>
        </is>
      </c>
      <c r="B69" s="8" t="inlineStr">
        <is>
          <t>C1086-Q9575</t>
        </is>
      </c>
      <c r="C69" s="8" t="inlineStr">
        <is>
          <t>Morropon</t>
        </is>
      </c>
      <c r="D69" s="8" t="inlineStr">
        <is>
          <t>Yamango</t>
        </is>
      </c>
      <c r="E69" s="8" t="inlineStr">
        <is>
          <t>Z09</t>
        </is>
      </c>
      <c r="F69" s="9" t="n">
        <v>638751</v>
      </c>
      <c r="G69" s="9" t="n">
        <v>9433236</v>
      </c>
      <c r="H69" s="10" t="n">
        <v>18.87</v>
      </c>
    </row>
    <row r="70" ht="15" customHeight="1" s="17">
      <c r="A70" s="8" t="inlineStr">
        <is>
          <t>M28B2</t>
        </is>
      </c>
      <c r="B70" s="8" t="inlineStr">
        <is>
          <t>C1086-Q9575</t>
        </is>
      </c>
      <c r="C70" s="8" t="inlineStr">
        <is>
          <t>Morropon</t>
        </is>
      </c>
      <c r="D70" s="8" t="inlineStr">
        <is>
          <t>Yamango</t>
        </is>
      </c>
      <c r="E70" s="8" t="inlineStr">
        <is>
          <t>Z09</t>
        </is>
      </c>
      <c r="F70" s="9" t="n">
        <v>636249</v>
      </c>
      <c r="G70" s="9" t="n">
        <v>9425665</v>
      </c>
      <c r="H70" s="10" t="n">
        <v>90.2</v>
      </c>
    </row>
    <row r="71" ht="15" customHeight="1" s="17">
      <c r="A71" s="8" t="inlineStr">
        <is>
          <t>M28B3</t>
        </is>
      </c>
      <c r="B71" s="8" t="inlineStr">
        <is>
          <t>C1086-Q9575</t>
        </is>
      </c>
      <c r="C71" s="8" t="inlineStr">
        <is>
          <t>Morropon</t>
        </is>
      </c>
      <c r="D71" s="8" t="inlineStr">
        <is>
          <t>Yamango</t>
        </is>
      </c>
      <c r="E71" s="8" t="inlineStr">
        <is>
          <t>Z09</t>
        </is>
      </c>
      <c r="F71" s="9" t="n">
        <v>634061</v>
      </c>
      <c r="G71" s="9" t="n">
        <v>9426778</v>
      </c>
      <c r="H71" s="10" t="n">
        <v>58.29</v>
      </c>
    </row>
    <row r="72" ht="15" customHeight="1" s="17">
      <c r="A72" s="8" t="inlineStr">
        <is>
          <t>M28B4</t>
        </is>
      </c>
      <c r="B72" s="8" t="inlineStr">
        <is>
          <t>C1086-Q9575</t>
        </is>
      </c>
      <c r="C72" s="8" t="inlineStr">
        <is>
          <t>Morropon</t>
        </is>
      </c>
      <c r="D72" s="8" t="inlineStr">
        <is>
          <t>Yamango</t>
        </is>
      </c>
      <c r="E72" s="8" t="inlineStr">
        <is>
          <t>Z09</t>
        </is>
      </c>
      <c r="F72" s="9" t="n">
        <v>626078</v>
      </c>
      <c r="G72" s="9" t="n">
        <v>9427110</v>
      </c>
      <c r="H72" s="10" t="n">
        <v>283.43</v>
      </c>
    </row>
    <row r="73" ht="15" customHeight="1" s="17">
      <c r="A73" s="8" t="inlineStr">
        <is>
          <t>33</t>
        </is>
      </c>
      <c r="B73" s="8" t="inlineStr">
        <is>
          <t>C1081-Q9590</t>
        </is>
      </c>
      <c r="C73" s="8" t="inlineStr">
        <is>
          <t>Huancabamba</t>
        </is>
      </c>
      <c r="D73" s="8" t="inlineStr">
        <is>
          <t>Lalaquiz</t>
        </is>
      </c>
      <c r="E73" s="8" t="inlineStr">
        <is>
          <t>Z10</t>
        </is>
      </c>
      <c r="F73" s="9" t="n">
        <v>646466</v>
      </c>
      <c r="G73" s="9" t="n">
        <v>9431126</v>
      </c>
      <c r="H73" s="10" t="n">
        <v>29.68</v>
      </c>
    </row>
    <row r="74" ht="15" customHeight="1" s="17">
      <c r="A74" s="8" t="inlineStr">
        <is>
          <t>38</t>
        </is>
      </c>
      <c r="B74" s="8" t="inlineStr">
        <is>
          <t>C1081-Q9590</t>
        </is>
      </c>
      <c r="C74" s="8" t="inlineStr">
        <is>
          <t>Huancabamba</t>
        </is>
      </c>
      <c r="D74" s="8" t="inlineStr">
        <is>
          <t>Lalaquiz</t>
        </is>
      </c>
      <c r="E74" s="8" t="inlineStr">
        <is>
          <t>Z10</t>
        </is>
      </c>
      <c r="F74" s="9" t="n">
        <v>647123</v>
      </c>
      <c r="G74" s="9" t="n">
        <v>9427602</v>
      </c>
      <c r="H74" s="10" t="n">
        <v>44.2</v>
      </c>
    </row>
    <row r="75" ht="15" customHeight="1" s="17">
      <c r="A75" s="8" t="inlineStr">
        <is>
          <t>50</t>
        </is>
      </c>
      <c r="B75" s="8" t="inlineStr">
        <is>
          <t>C1081-Q9590</t>
        </is>
      </c>
      <c r="C75" s="8" t="inlineStr">
        <is>
          <t>Huancabamba</t>
        </is>
      </c>
      <c r="D75" s="8" t="inlineStr">
        <is>
          <t>Lalaquiz</t>
        </is>
      </c>
      <c r="E75" s="8" t="inlineStr">
        <is>
          <t>Z10</t>
        </is>
      </c>
      <c r="F75" s="9" t="n">
        <v>647350</v>
      </c>
      <c r="G75" s="9" t="n">
        <v>9427252</v>
      </c>
      <c r="H75" s="10" t="n">
        <v>19.27</v>
      </c>
    </row>
    <row r="76" ht="15" customHeight="1" s="17">
      <c r="A76" s="8" t="inlineStr">
        <is>
          <t>34</t>
        </is>
      </c>
      <c r="B76" s="8" t="inlineStr">
        <is>
          <t>C1081-Q9590</t>
        </is>
      </c>
      <c r="C76" s="8" t="inlineStr">
        <is>
          <t>Huancabamba</t>
        </is>
      </c>
      <c r="D76" s="8" t="inlineStr">
        <is>
          <t>Lalaquiz</t>
        </is>
      </c>
      <c r="E76" s="8" t="inlineStr">
        <is>
          <t>Z10</t>
        </is>
      </c>
      <c r="F76" s="9" t="n">
        <v>646483</v>
      </c>
      <c r="G76" s="9" t="n">
        <v>9426305</v>
      </c>
      <c r="H76" s="10" t="n">
        <v>28.45</v>
      </c>
    </row>
    <row r="77" ht="15" customHeight="1" s="17">
      <c r="A77" s="8" t="inlineStr">
        <is>
          <t>61</t>
        </is>
      </c>
      <c r="B77" s="8" t="inlineStr">
        <is>
          <t>C1081-Q9590</t>
        </is>
      </c>
      <c r="C77" s="8" t="inlineStr">
        <is>
          <t>Huancabamba</t>
        </is>
      </c>
      <c r="D77" s="8" t="inlineStr">
        <is>
          <t>Lalaquiz</t>
        </is>
      </c>
      <c r="E77" s="8" t="inlineStr">
        <is>
          <t>Z10</t>
        </is>
      </c>
      <c r="F77" s="9" t="n">
        <v>646236</v>
      </c>
      <c r="G77" s="9" t="n">
        <v>9425052</v>
      </c>
      <c r="H77" s="10" t="n">
        <v>26.83</v>
      </c>
    </row>
    <row r="78" ht="15" customHeight="1" s="17">
      <c r="A78" s="8" t="inlineStr">
        <is>
          <t>37</t>
        </is>
      </c>
      <c r="B78" s="8" t="inlineStr">
        <is>
          <t>C1081-Q9591</t>
        </is>
      </c>
      <c r="C78" s="8" t="inlineStr">
        <is>
          <t>Huancabamba</t>
        </is>
      </c>
      <c r="D78" s="8" t="inlineStr">
        <is>
          <t>Lalaquiz</t>
        </is>
      </c>
      <c r="E78" s="8" t="inlineStr">
        <is>
          <t>Z10</t>
        </is>
      </c>
      <c r="F78" s="9" t="n">
        <v>649081</v>
      </c>
      <c r="G78" s="9" t="n">
        <v>9424506</v>
      </c>
      <c r="H78" s="10" t="n">
        <v>35.49</v>
      </c>
    </row>
    <row r="79" ht="15" customHeight="1" s="17">
      <c r="A79" s="8" t="inlineStr">
        <is>
          <t>26</t>
        </is>
      </c>
      <c r="B79" s="8" t="inlineStr">
        <is>
          <t>C1081-Q9591</t>
        </is>
      </c>
      <c r="C79" s="8" t="inlineStr">
        <is>
          <t>Huancabamba</t>
        </is>
      </c>
      <c r="D79" s="8" t="inlineStr">
        <is>
          <t>Lalaquiz</t>
        </is>
      </c>
      <c r="E79" s="8" t="inlineStr">
        <is>
          <t>Z10</t>
        </is>
      </c>
      <c r="F79" s="9" t="n">
        <v>649472</v>
      </c>
      <c r="G79" s="9" t="n">
        <v>9425705</v>
      </c>
      <c r="H79" s="10" t="n">
        <v>46.96</v>
      </c>
    </row>
    <row r="80" ht="15" customHeight="1" s="17">
      <c r="A80" s="8" t="inlineStr">
        <is>
          <t>64</t>
        </is>
      </c>
      <c r="B80" s="8" t="inlineStr">
        <is>
          <t>C1081-Q9591</t>
        </is>
      </c>
      <c r="C80" s="8" t="inlineStr">
        <is>
          <t>Huancabamba</t>
        </is>
      </c>
      <c r="D80" s="8" t="inlineStr">
        <is>
          <t>Huancabamba</t>
        </is>
      </c>
      <c r="E80" s="8" t="inlineStr">
        <is>
          <t>Z11</t>
        </is>
      </c>
      <c r="F80" s="9" t="n">
        <v>657819</v>
      </c>
      <c r="G80" s="9" t="n">
        <v>9428541</v>
      </c>
      <c r="H80" s="10" t="n">
        <v>35.77</v>
      </c>
    </row>
    <row r="81" ht="22.35" customHeight="1" s="17">
      <c r="A81" s="8" t="inlineStr">
        <is>
          <t>54</t>
        </is>
      </c>
      <c r="B81" s="8" t="inlineStr">
        <is>
          <t>C1081-Q9591 (inferida)</t>
        </is>
      </c>
      <c r="C81" s="8" t="inlineStr">
        <is>
          <t>Huancabamba</t>
        </is>
      </c>
      <c r="D81" s="8" t="inlineStr">
        <is>
          <t>Huancabamba</t>
        </is>
      </c>
      <c r="E81" s="8" t="inlineStr">
        <is>
          <t>Z11</t>
        </is>
      </c>
      <c r="F81" s="9" t="n">
        <v>656897</v>
      </c>
      <c r="G81" s="9" t="n">
        <v>9426033</v>
      </c>
      <c r="H81" s="10" t="n">
        <v>40.26</v>
      </c>
    </row>
    <row r="82" ht="15" customHeight="1" s="17">
      <c r="A82" s="8" t="inlineStr">
        <is>
          <t>M30B5</t>
        </is>
      </c>
      <c r="B82" s="8" t="inlineStr">
        <is>
          <t>C1081-Q9591</t>
        </is>
      </c>
      <c r="C82" s="8" t="inlineStr">
        <is>
          <t>Huancabamba</t>
        </is>
      </c>
      <c r="D82" s="8" t="inlineStr">
        <is>
          <t>Huancabamba</t>
        </is>
      </c>
      <c r="E82" s="8" t="inlineStr">
        <is>
          <t>Z11</t>
        </is>
      </c>
      <c r="F82" s="9" t="n">
        <v>655263</v>
      </c>
      <c r="G82" s="9" t="n">
        <v>9427340</v>
      </c>
      <c r="H82" s="10" t="n">
        <v>90.90000000000001</v>
      </c>
    </row>
    <row r="83" ht="15" customHeight="1" s="17">
      <c r="A83" s="8" t="inlineStr">
        <is>
          <t>60</t>
        </is>
      </c>
      <c r="B83" s="8" t="inlineStr">
        <is>
          <t>C1081-Q9591</t>
        </is>
      </c>
      <c r="C83" s="8" t="inlineStr">
        <is>
          <t>Huancabamba</t>
        </is>
      </c>
      <c r="D83" s="8" t="inlineStr">
        <is>
          <t>Canchaque</t>
        </is>
      </c>
      <c r="E83" s="8" t="inlineStr">
        <is>
          <t>Z11</t>
        </is>
      </c>
      <c r="F83" s="9" t="n">
        <v>653850</v>
      </c>
      <c r="G83" s="9" t="n">
        <v>9426236</v>
      </c>
      <c r="H83" s="10" t="n">
        <v>40.13</v>
      </c>
    </row>
    <row r="84" ht="15" customHeight="1" s="17">
      <c r="A84" s="8" t="inlineStr">
        <is>
          <t>40</t>
        </is>
      </c>
      <c r="B84" s="8" t="inlineStr">
        <is>
          <t>C1081-Q9591</t>
        </is>
      </c>
      <c r="C84" s="8" t="inlineStr">
        <is>
          <t>Huancabamba</t>
        </is>
      </c>
      <c r="D84" s="8" t="inlineStr">
        <is>
          <t>Canchaque</t>
        </is>
      </c>
      <c r="E84" s="8" t="inlineStr">
        <is>
          <t>Z11</t>
        </is>
      </c>
      <c r="F84" s="9" t="n">
        <v>654137</v>
      </c>
      <c r="G84" s="9" t="n">
        <v>9424425</v>
      </c>
      <c r="H84" s="10" t="n">
        <v>28.52</v>
      </c>
    </row>
    <row r="85" ht="15" customHeight="1" s="17">
      <c r="A85" s="8" t="inlineStr">
        <is>
          <t>30</t>
        </is>
      </c>
      <c r="B85" s="8" t="inlineStr">
        <is>
          <t>C1081-Q9591</t>
        </is>
      </c>
      <c r="C85" s="8" t="inlineStr">
        <is>
          <t>Huancabamba</t>
        </is>
      </c>
      <c r="D85" s="8" t="inlineStr">
        <is>
          <t>Canchaque</t>
        </is>
      </c>
      <c r="E85" s="8" t="inlineStr">
        <is>
          <t>Z11</t>
        </is>
      </c>
      <c r="F85" s="9" t="n">
        <v>652758</v>
      </c>
      <c r="G85" s="9" t="n">
        <v>9424380</v>
      </c>
      <c r="H85" s="10" t="n">
        <v>34.87</v>
      </c>
    </row>
    <row r="86" ht="15" customHeight="1" s="17">
      <c r="A86" s="8" t="inlineStr">
        <is>
          <t>28</t>
        </is>
      </c>
      <c r="B86" s="8" t="inlineStr">
        <is>
          <t>C1081-Q9591</t>
        </is>
      </c>
      <c r="C86" s="8" t="inlineStr">
        <is>
          <t>Huancabamba</t>
        </is>
      </c>
      <c r="D86" s="8" t="inlineStr">
        <is>
          <t>Canchaque</t>
        </is>
      </c>
      <c r="E86" s="8" t="inlineStr">
        <is>
          <t>Z11</t>
        </is>
      </c>
      <c r="F86" s="9" t="n">
        <v>654188</v>
      </c>
      <c r="G86" s="9" t="n">
        <v>9422849</v>
      </c>
      <c r="H86" s="10" t="n">
        <v>52.97</v>
      </c>
    </row>
    <row r="87" ht="15" customHeight="1" s="17">
      <c r="A87" s="8" t="inlineStr">
        <is>
          <t>62</t>
        </is>
      </c>
      <c r="B87" s="8" t="inlineStr">
        <is>
          <t>C1081-Q9591</t>
        </is>
      </c>
      <c r="C87" s="8" t="inlineStr">
        <is>
          <t>Huancabamba</t>
        </is>
      </c>
      <c r="D87" s="8" t="inlineStr">
        <is>
          <t>Canchaque</t>
        </is>
      </c>
      <c r="E87" s="8" t="inlineStr">
        <is>
          <t>Z11</t>
        </is>
      </c>
      <c r="F87" s="9" t="n">
        <v>655046</v>
      </c>
      <c r="G87" s="9" t="n">
        <v>9420450</v>
      </c>
      <c r="H87" s="10" t="n">
        <v>73.81999999999999</v>
      </c>
    </row>
    <row r="88" ht="22.35" customHeight="1" s="17">
      <c r="A88" s="8" t="inlineStr">
        <is>
          <t>65</t>
        </is>
      </c>
      <c r="B88" s="8" t="inlineStr">
        <is>
          <t>C1081-Q9591 (inferida)</t>
        </is>
      </c>
      <c r="C88" s="8" t="inlineStr">
        <is>
          <t>Huancabamba</t>
        </is>
      </c>
      <c r="D88" s="8" t="inlineStr">
        <is>
          <t>Canchaque</t>
        </is>
      </c>
      <c r="E88" s="8" t="inlineStr">
        <is>
          <t>Z11</t>
        </is>
      </c>
      <c r="F88" s="9" t="n">
        <v>657541</v>
      </c>
      <c r="G88" s="9" t="n">
        <v>9421083</v>
      </c>
      <c r="H88" s="10" t="n">
        <v>53.93</v>
      </c>
    </row>
    <row r="89" ht="15" customHeight="1" s="17">
      <c r="A89" s="8" t="inlineStr">
        <is>
          <t>21</t>
        </is>
      </c>
      <c r="B89" s="8" t="inlineStr">
        <is>
          <t>C1081-Q9591</t>
        </is>
      </c>
      <c r="C89" s="8" t="inlineStr">
        <is>
          <t>Huancabamba</t>
        </is>
      </c>
      <c r="D89" s="8" t="inlineStr">
        <is>
          <t>Canchaque</t>
        </is>
      </c>
      <c r="E89" s="8" t="inlineStr">
        <is>
          <t>Z11</t>
        </is>
      </c>
      <c r="F89" s="9" t="n">
        <v>654604</v>
      </c>
      <c r="G89" s="9" t="n">
        <v>9417736</v>
      </c>
      <c r="H89" s="10" t="n">
        <v>84.23</v>
      </c>
    </row>
    <row r="90" ht="15" customHeight="1" s="17">
      <c r="A90" s="8" t="inlineStr">
        <is>
          <t>66</t>
        </is>
      </c>
      <c r="B90" s="8" t="inlineStr">
        <is>
          <t>C1081-Q9591</t>
        </is>
      </c>
      <c r="C90" s="8" t="inlineStr">
        <is>
          <t>Huancabamba</t>
        </is>
      </c>
      <c r="D90" s="8" t="inlineStr">
        <is>
          <t>Canchaque</t>
        </is>
      </c>
      <c r="E90" s="8" t="inlineStr">
        <is>
          <t>Z11</t>
        </is>
      </c>
      <c r="F90" s="9" t="n">
        <v>652566</v>
      </c>
      <c r="G90" s="9" t="n">
        <v>9417311</v>
      </c>
      <c r="H90" s="10" t="n">
        <v>102.34</v>
      </c>
    </row>
    <row r="91" ht="15" customHeight="1" s="17">
      <c r="A91" s="8" t="inlineStr">
        <is>
          <t>24</t>
        </is>
      </c>
      <c r="B91" s="8" t="inlineStr">
        <is>
          <t>C1081-Q9583</t>
        </is>
      </c>
      <c r="C91" s="8" t="inlineStr">
        <is>
          <t>Huancabamba</t>
        </is>
      </c>
      <c r="D91" s="8" t="inlineStr">
        <is>
          <t>Canchaque</t>
        </is>
      </c>
      <c r="E91" s="8" t="inlineStr">
        <is>
          <t>Z11</t>
        </is>
      </c>
      <c r="F91" s="9" t="n">
        <v>652191</v>
      </c>
      <c r="G91" s="9" t="n">
        <v>9414358</v>
      </c>
      <c r="H91" s="10" t="n">
        <v>90.16</v>
      </c>
    </row>
    <row r="92" ht="15" customHeight="1" s="17">
      <c r="A92" s="8" t="inlineStr">
        <is>
          <t>63</t>
        </is>
      </c>
      <c r="B92" s="8" t="inlineStr">
        <is>
          <t>C1081-Q9583</t>
        </is>
      </c>
      <c r="C92" s="8" t="inlineStr">
        <is>
          <t>Huancabamba</t>
        </is>
      </c>
      <c r="D92" s="8" t="inlineStr">
        <is>
          <t>Canchaque</t>
        </is>
      </c>
      <c r="E92" s="8" t="inlineStr">
        <is>
          <t>Z11</t>
        </is>
      </c>
      <c r="F92" s="9" t="n">
        <v>655059</v>
      </c>
      <c r="G92" s="9" t="n">
        <v>9413845</v>
      </c>
      <c r="H92" s="10" t="n">
        <v>50.46</v>
      </c>
    </row>
    <row r="93" ht="15" customHeight="1" s="17">
      <c r="A93" s="8" t="inlineStr">
        <is>
          <t>79</t>
        </is>
      </c>
      <c r="B93" s="8" t="inlineStr">
        <is>
          <t>C1076-Q9587</t>
        </is>
      </c>
      <c r="C93" s="8" t="inlineStr">
        <is>
          <t>Huancabamba</t>
        </is>
      </c>
      <c r="D93" s="8" t="inlineStr">
        <is>
          <t>Canchaque</t>
        </is>
      </c>
      <c r="E93" s="8" t="inlineStr">
        <is>
          <t>Z11</t>
        </is>
      </c>
      <c r="F93" s="9" t="n">
        <v>650305</v>
      </c>
      <c r="G93" s="9" t="n">
        <v>9402785</v>
      </c>
      <c r="H93" s="10" t="n">
        <v>94.81</v>
      </c>
    </row>
    <row r="94" ht="15" customHeight="1" s="17">
      <c r="A94" s="8" t="inlineStr">
        <is>
          <t>81</t>
        </is>
      </c>
      <c r="B94" s="8" t="inlineStr">
        <is>
          <t>C1076-Q9585</t>
        </is>
      </c>
      <c r="C94" s="8" t="inlineStr">
        <is>
          <t>Huancabamba</t>
        </is>
      </c>
      <c r="D94" s="8" t="inlineStr">
        <is>
          <t>Canchaque</t>
        </is>
      </c>
      <c r="E94" s="8" t="inlineStr">
        <is>
          <t>Z11</t>
        </is>
      </c>
      <c r="F94" s="9" t="n">
        <v>641538</v>
      </c>
      <c r="G94" s="9" t="n">
        <v>9401360</v>
      </c>
      <c r="H94" s="10" t="n">
        <v>8.93</v>
      </c>
    </row>
    <row r="95" ht="15" customHeight="1" s="17">
      <c r="A95" s="8" t="inlineStr">
        <is>
          <t>M22B1</t>
        </is>
      </c>
      <c r="B95" s="8" t="inlineStr">
        <is>
          <t>C1076-Q9586</t>
        </is>
      </c>
      <c r="C95" s="8" t="inlineStr">
        <is>
          <t>Huancabamba</t>
        </is>
      </c>
      <c r="D95" s="8" t="inlineStr">
        <is>
          <t>San Miguel de El Faique</t>
        </is>
      </c>
      <c r="E95" s="8" t="inlineStr">
        <is>
          <t>Z12</t>
        </is>
      </c>
      <c r="F95" s="9" t="n">
        <v>664082</v>
      </c>
      <c r="G95" s="9" t="n">
        <v>9404172</v>
      </c>
      <c r="H95" s="10" t="n">
        <v>55.17</v>
      </c>
    </row>
    <row r="96" ht="15" customHeight="1" s="17">
      <c r="A96" s="8" t="inlineStr">
        <is>
          <t>44</t>
        </is>
      </c>
      <c r="B96" s="8" t="inlineStr">
        <is>
          <t>C1076-Q9586</t>
        </is>
      </c>
      <c r="C96" s="8" t="inlineStr">
        <is>
          <t>Huancabamba</t>
        </is>
      </c>
      <c r="D96" s="8" t="inlineStr">
        <is>
          <t>San Miguel de El Faique</t>
        </is>
      </c>
      <c r="E96" s="8" t="inlineStr">
        <is>
          <t>Z12</t>
        </is>
      </c>
      <c r="F96" s="9" t="n">
        <v>663637</v>
      </c>
      <c r="G96" s="9" t="n">
        <v>9400618</v>
      </c>
      <c r="H96" s="10" t="n">
        <v>28.23</v>
      </c>
    </row>
    <row r="97" ht="15" customHeight="1" s="17">
      <c r="A97" s="8" t="inlineStr">
        <is>
          <t>47</t>
        </is>
      </c>
      <c r="B97" s="8" t="inlineStr">
        <is>
          <t>C1076-Q9586</t>
        </is>
      </c>
      <c r="C97" s="8" t="inlineStr">
        <is>
          <t>Huancabamba</t>
        </is>
      </c>
      <c r="D97" s="8" t="inlineStr">
        <is>
          <t>San Miguel de El Faique</t>
        </is>
      </c>
      <c r="E97" s="8" t="inlineStr">
        <is>
          <t>Z12</t>
        </is>
      </c>
      <c r="F97" s="9" t="n">
        <v>659649</v>
      </c>
      <c r="G97" s="9" t="n">
        <v>9401436</v>
      </c>
      <c r="H97" s="10" t="n">
        <v>13.55</v>
      </c>
    </row>
    <row r="98" ht="15" customHeight="1" s="17">
      <c r="A98" s="8" t="inlineStr">
        <is>
          <t>75</t>
        </is>
      </c>
      <c r="B98" s="8" t="inlineStr">
        <is>
          <t>C1076-Q9587</t>
        </is>
      </c>
      <c r="C98" s="8" t="inlineStr">
        <is>
          <t>Huancabamba</t>
        </is>
      </c>
      <c r="D98" s="8" t="inlineStr">
        <is>
          <t>San Miguel de El Faique</t>
        </is>
      </c>
      <c r="E98" s="8" t="inlineStr">
        <is>
          <t>Z12</t>
        </is>
      </c>
      <c r="F98" s="9" t="n">
        <v>657722</v>
      </c>
      <c r="G98" s="9" t="n">
        <v>9401669</v>
      </c>
      <c r="H98" s="10" t="n">
        <v>15.18</v>
      </c>
    </row>
    <row r="99" ht="15" customHeight="1" s="17">
      <c r="A99" s="8" t="inlineStr">
        <is>
          <t>9</t>
        </is>
      </c>
      <c r="B99" s="8" t="inlineStr">
        <is>
          <t>C1076-Q9586</t>
        </is>
      </c>
      <c r="C99" s="8" t="inlineStr">
        <is>
          <t>Huancabamba</t>
        </is>
      </c>
      <c r="D99" s="8" t="inlineStr">
        <is>
          <t>San Miguel de El Faique</t>
        </is>
      </c>
      <c r="E99" s="8" t="inlineStr">
        <is>
          <t>Z12</t>
        </is>
      </c>
      <c r="F99" s="9" t="n">
        <v>656578</v>
      </c>
      <c r="G99" s="9" t="n">
        <v>9397762</v>
      </c>
      <c r="H99" s="10" t="n">
        <v>109.86</v>
      </c>
    </row>
    <row r="100" ht="15" customHeight="1" s="17">
      <c r="A100" s="8" t="inlineStr">
        <is>
          <t>43</t>
        </is>
      </c>
      <c r="B100" s="8" t="inlineStr">
        <is>
          <t>C1076-Q9586</t>
        </is>
      </c>
      <c r="C100" s="8" t="inlineStr">
        <is>
          <t>Huancabamba</t>
        </is>
      </c>
      <c r="D100" s="8" t="inlineStr">
        <is>
          <t>San Miguel de El Faique</t>
        </is>
      </c>
      <c r="E100" s="8" t="inlineStr">
        <is>
          <t>Z12</t>
        </is>
      </c>
      <c r="F100" s="9" t="n">
        <v>656489</v>
      </c>
      <c r="G100" s="9" t="n">
        <v>9395403</v>
      </c>
      <c r="H100" s="10" t="n">
        <v>23.17</v>
      </c>
    </row>
    <row r="101" ht="15" customHeight="1" s="17">
      <c r="A101" s="8" t="inlineStr">
        <is>
          <t>35</t>
        </is>
      </c>
      <c r="B101" s="8" t="inlineStr">
        <is>
          <t>C1076-Q9586</t>
        </is>
      </c>
      <c r="C101" s="8" t="inlineStr">
        <is>
          <t>Huancabamba</t>
        </is>
      </c>
      <c r="D101" s="8" t="inlineStr">
        <is>
          <t>San Miguel de El Faique</t>
        </is>
      </c>
      <c r="E101" s="8" t="inlineStr">
        <is>
          <t>Z12</t>
        </is>
      </c>
      <c r="F101" s="9" t="n">
        <v>654607</v>
      </c>
      <c r="G101" s="9" t="n">
        <v>9395038</v>
      </c>
      <c r="H101" s="10" t="n">
        <v>30.8</v>
      </c>
    </row>
    <row r="102" ht="15" customHeight="1" s="17">
      <c r="A102" s="8" t="inlineStr">
        <is>
          <t>67</t>
        </is>
      </c>
      <c r="B102" s="8" t="inlineStr">
        <is>
          <t>C1076-Q9586</t>
        </is>
      </c>
      <c r="C102" s="8" t="inlineStr">
        <is>
          <t>Huancabamba</t>
        </is>
      </c>
      <c r="D102" s="8" t="inlineStr">
        <is>
          <t>San Miguel de El Faique</t>
        </is>
      </c>
      <c r="E102" s="8" t="inlineStr">
        <is>
          <t>Z12</t>
        </is>
      </c>
      <c r="F102" s="9" t="n">
        <v>654207</v>
      </c>
      <c r="G102" s="9" t="n">
        <v>9394210</v>
      </c>
      <c r="H102" s="10" t="n">
        <v>13.18</v>
      </c>
    </row>
    <row r="103" ht="15" customHeight="1" s="17">
      <c r="A103" s="8" t="inlineStr">
        <is>
          <t>M20B1</t>
        </is>
      </c>
      <c r="B103" s="8" t="inlineStr">
        <is>
          <t>C1076-Q9585</t>
        </is>
      </c>
      <c r="C103" s="8" t="inlineStr">
        <is>
          <t>Huancabamba</t>
        </is>
      </c>
      <c r="D103" s="8" t="inlineStr">
        <is>
          <t>San Miguel de El Faique</t>
        </is>
      </c>
      <c r="E103" s="8" t="inlineStr">
        <is>
          <t>Z12</t>
        </is>
      </c>
      <c r="F103" s="9" t="n">
        <v>641196</v>
      </c>
      <c r="G103" s="9" t="n">
        <v>9398710</v>
      </c>
      <c r="H103" s="10" t="n">
        <v>279.68</v>
      </c>
    </row>
    <row r="104" ht="15" customHeight="1" s="17">
      <c r="A104" s="8" t="inlineStr">
        <is>
          <t>M2B8</t>
        </is>
      </c>
      <c r="B104" s="8" t="inlineStr">
        <is>
          <t>C1076-Q9584</t>
        </is>
      </c>
      <c r="C104" s="8" t="inlineStr">
        <is>
          <t>Huancabamba</t>
        </is>
      </c>
      <c r="D104" s="8" t="inlineStr">
        <is>
          <t>San Miguel de El Faique</t>
        </is>
      </c>
      <c r="E104" s="8" t="inlineStr">
        <is>
          <t>Z12</t>
        </is>
      </c>
      <c r="F104" s="9" t="n">
        <v>639059</v>
      </c>
      <c r="G104" s="9" t="n">
        <v>9398295</v>
      </c>
      <c r="H104" s="10" t="n">
        <v>116.1</v>
      </c>
    </row>
    <row r="105" ht="15" customHeight="1" s="17">
      <c r="A105" s="8" t="inlineStr">
        <is>
          <t>29</t>
        </is>
      </c>
      <c r="B105" s="8" t="inlineStr">
        <is>
          <t>C1076-Q9592</t>
        </is>
      </c>
      <c r="C105" s="8" t="inlineStr">
        <is>
          <t>Huancabamba</t>
        </is>
      </c>
      <c r="D105" s="8" t="inlineStr">
        <is>
          <t>Huarmaca</t>
        </is>
      </c>
      <c r="E105" s="8" t="inlineStr">
        <is>
          <t>Z13</t>
        </is>
      </c>
      <c r="F105" s="9" t="n">
        <v>662123</v>
      </c>
      <c r="G105" s="9" t="n">
        <v>9397575</v>
      </c>
      <c r="H105" s="10" t="n">
        <v>40.1</v>
      </c>
    </row>
    <row r="106" ht="15" customHeight="1" s="17">
      <c r="A106" s="8" t="inlineStr">
        <is>
          <t>68</t>
        </is>
      </c>
      <c r="B106" s="8" t="inlineStr">
        <is>
          <t>C1076-Q9592</t>
        </is>
      </c>
      <c r="C106" s="8" t="inlineStr">
        <is>
          <t>Huancabamba</t>
        </is>
      </c>
      <c r="D106" s="8" t="inlineStr">
        <is>
          <t>Huarmaca</t>
        </is>
      </c>
      <c r="E106" s="8" t="inlineStr">
        <is>
          <t>Z13</t>
        </is>
      </c>
      <c r="F106" s="9" t="n">
        <v>664225</v>
      </c>
      <c r="G106" s="9" t="n">
        <v>9396339</v>
      </c>
      <c r="H106" s="10" t="n">
        <v>21.29</v>
      </c>
    </row>
    <row r="107" ht="15" customHeight="1" s="17">
      <c r="A107" s="8" t="inlineStr">
        <is>
          <t>53</t>
        </is>
      </c>
      <c r="B107" s="8" t="inlineStr">
        <is>
          <t>C1076-Q9592</t>
        </is>
      </c>
      <c r="C107" s="8" t="inlineStr">
        <is>
          <t>Huancabamba</t>
        </is>
      </c>
      <c r="D107" s="8" t="inlineStr">
        <is>
          <t>Huarmaca</t>
        </is>
      </c>
      <c r="E107" s="8" t="inlineStr">
        <is>
          <t>Z13</t>
        </is>
      </c>
      <c r="F107" s="9" t="n">
        <v>666537</v>
      </c>
      <c r="G107" s="9" t="n">
        <v>9395918</v>
      </c>
      <c r="H107" s="10" t="n">
        <v>13.06</v>
      </c>
    </row>
    <row r="108" ht="15" customHeight="1" s="17">
      <c r="A108" s="8" t="inlineStr">
        <is>
          <t>70</t>
        </is>
      </c>
      <c r="B108" s="8" t="inlineStr">
        <is>
          <t>C1076-Q9592</t>
        </is>
      </c>
      <c r="C108" s="8" t="inlineStr">
        <is>
          <t>Huancabamba</t>
        </is>
      </c>
      <c r="D108" s="8" t="inlineStr">
        <is>
          <t>Huarmaca</t>
        </is>
      </c>
      <c r="E108" s="8" t="inlineStr">
        <is>
          <t>Z13</t>
        </is>
      </c>
      <c r="F108" s="9" t="n">
        <v>666781</v>
      </c>
      <c r="G108" s="9" t="n">
        <v>9395573</v>
      </c>
      <c r="H108" s="10" t="n">
        <v>22.39</v>
      </c>
    </row>
    <row r="109" ht="15" customHeight="1" s="17">
      <c r="A109" s="8" t="inlineStr">
        <is>
          <t>31</t>
        </is>
      </c>
      <c r="B109" s="8" t="inlineStr">
        <is>
          <t>C1076-Q9592</t>
        </is>
      </c>
      <c r="C109" s="8" t="inlineStr">
        <is>
          <t>Huancabamba</t>
        </is>
      </c>
      <c r="D109" s="8" t="inlineStr">
        <is>
          <t>Huarmaca</t>
        </is>
      </c>
      <c r="E109" s="8" t="inlineStr">
        <is>
          <t>Z13</t>
        </is>
      </c>
      <c r="F109" s="9" t="n">
        <v>663334</v>
      </c>
      <c r="G109" s="9" t="n">
        <v>9392820</v>
      </c>
      <c r="H109" s="10" t="n">
        <v>47.58</v>
      </c>
    </row>
    <row r="110" ht="15" customHeight="1" s="17">
      <c r="A110" s="8" t="inlineStr">
        <is>
          <t>69</t>
        </is>
      </c>
      <c r="B110" s="8" t="inlineStr">
        <is>
          <t>C1076-Q9592</t>
        </is>
      </c>
      <c r="C110" s="8" t="inlineStr">
        <is>
          <t>Huancabamba</t>
        </is>
      </c>
      <c r="D110" s="8" t="inlineStr">
        <is>
          <t>Huarmaca</t>
        </is>
      </c>
      <c r="E110" s="8" t="inlineStr">
        <is>
          <t>Z13</t>
        </is>
      </c>
      <c r="F110" s="9" t="n">
        <v>663291</v>
      </c>
      <c r="G110" s="9" t="n">
        <v>9392332</v>
      </c>
      <c r="H110" s="10" t="n">
        <v>19.43</v>
      </c>
    </row>
    <row r="111" ht="15" customHeight="1" s="17">
      <c r="A111" s="8" t="inlineStr">
        <is>
          <t>72</t>
        </is>
      </c>
      <c r="B111" s="8" t="inlineStr">
        <is>
          <t>C1076-Q9592</t>
        </is>
      </c>
      <c r="C111" s="8" t="inlineStr">
        <is>
          <t>Huancabamba</t>
        </is>
      </c>
      <c r="D111" s="8" t="inlineStr">
        <is>
          <t>Huarmaca</t>
        </is>
      </c>
      <c r="E111" s="8" t="inlineStr">
        <is>
          <t>Z13</t>
        </is>
      </c>
      <c r="F111" s="9" t="n">
        <v>662236</v>
      </c>
      <c r="G111" s="9" t="n">
        <v>9391211</v>
      </c>
      <c r="H111" s="10" t="n">
        <v>12.4</v>
      </c>
    </row>
    <row r="112" ht="15" customHeight="1" s="17">
      <c r="A112" s="8" t="inlineStr">
        <is>
          <t>41</t>
        </is>
      </c>
      <c r="B112" s="8" t="inlineStr">
        <is>
          <t>C1076-Q9592</t>
        </is>
      </c>
      <c r="C112" s="8" t="inlineStr">
        <is>
          <t>Huancabamba</t>
        </is>
      </c>
      <c r="D112" s="8" t="inlineStr">
        <is>
          <t>Huarmaca</t>
        </is>
      </c>
      <c r="E112" s="8" t="inlineStr">
        <is>
          <t>Z13</t>
        </is>
      </c>
      <c r="F112" s="9" t="n">
        <v>660525</v>
      </c>
      <c r="G112" s="9" t="n">
        <v>9394327</v>
      </c>
      <c r="H112" s="10" t="n">
        <v>64.92</v>
      </c>
    </row>
    <row r="113" ht="15" customHeight="1" s="17">
      <c r="A113" s="8" t="inlineStr">
        <is>
          <t>73</t>
        </is>
      </c>
      <c r="B113" s="8" t="inlineStr">
        <is>
          <t>C1076-Q9592</t>
        </is>
      </c>
      <c r="C113" s="8" t="inlineStr">
        <is>
          <t>Huancabamba</t>
        </is>
      </c>
      <c r="D113" s="8" t="inlineStr">
        <is>
          <t>Huarmaca</t>
        </is>
      </c>
      <c r="E113" s="8" t="inlineStr">
        <is>
          <t>Z13</t>
        </is>
      </c>
      <c r="F113" s="9" t="n">
        <v>658547</v>
      </c>
      <c r="G113" s="9" t="n">
        <v>9395594</v>
      </c>
      <c r="H113" s="10" t="n">
        <v>54.29</v>
      </c>
    </row>
    <row r="114" ht="15" customHeight="1" s="17">
      <c r="A114" s="8" t="inlineStr">
        <is>
          <t>18</t>
        </is>
      </c>
      <c r="B114" s="8" t="inlineStr">
        <is>
          <t>C1076-Q9592</t>
        </is>
      </c>
      <c r="C114" s="8" t="inlineStr">
        <is>
          <t>Huancabamba</t>
        </is>
      </c>
      <c r="D114" s="8" t="inlineStr">
        <is>
          <t>Huarmaca</t>
        </is>
      </c>
      <c r="E114" s="8" t="inlineStr">
        <is>
          <t>Z13</t>
        </is>
      </c>
      <c r="F114" s="9" t="n">
        <v>656445</v>
      </c>
      <c r="G114" s="9" t="n">
        <v>9393180</v>
      </c>
      <c r="H114" s="10" t="n">
        <v>103.62</v>
      </c>
    </row>
    <row r="115" ht="15" customHeight="1" s="17">
      <c r="A115" s="8" t="inlineStr">
        <is>
          <t>74</t>
        </is>
      </c>
      <c r="B115" s="8" t="inlineStr">
        <is>
          <t>C1076-Q9588</t>
        </is>
      </c>
      <c r="C115" s="8" t="inlineStr">
        <is>
          <t>Huancabamba</t>
        </is>
      </c>
      <c r="D115" s="8" t="inlineStr">
        <is>
          <t>Huarmaca</t>
        </is>
      </c>
      <c r="E115" s="8" t="inlineStr">
        <is>
          <t>Z13</t>
        </is>
      </c>
      <c r="F115" s="9" t="n">
        <v>652449</v>
      </c>
      <c r="G115" s="9" t="n">
        <v>9389179</v>
      </c>
      <c r="H115" s="10" t="n">
        <v>29.23</v>
      </c>
    </row>
    <row r="116" ht="15" customHeight="1" s="17">
      <c r="A116" s="8" t="inlineStr">
        <is>
          <t>M12B1</t>
        </is>
      </c>
      <c r="B116" s="8" t="inlineStr">
        <is>
          <t>C1076-Q9588</t>
        </is>
      </c>
      <c r="C116" s="8" t="inlineStr">
        <is>
          <t>Huancabamba</t>
        </is>
      </c>
      <c r="D116" s="8" t="inlineStr">
        <is>
          <t>Huarmaca</t>
        </is>
      </c>
      <c r="E116" s="8" t="inlineStr">
        <is>
          <t>Z13</t>
        </is>
      </c>
      <c r="F116" s="9" t="n">
        <v>644546</v>
      </c>
      <c r="G116" s="9" t="n">
        <v>9389106</v>
      </c>
      <c r="H116" s="10" t="n">
        <v>268.39</v>
      </c>
    </row>
    <row r="117" ht="15" customHeight="1" s="17">
      <c r="A117" s="8" t="inlineStr">
        <is>
          <t>19</t>
        </is>
      </c>
      <c r="B117" s="8" t="inlineStr">
        <is>
          <t>C1076-Q9592</t>
        </is>
      </c>
      <c r="C117" s="8" t="inlineStr">
        <is>
          <t>Huancabamba</t>
        </is>
      </c>
      <c r="D117" s="8" t="inlineStr">
        <is>
          <t>Huarmaca</t>
        </is>
      </c>
      <c r="E117" s="8" t="inlineStr">
        <is>
          <t>Z13</t>
        </is>
      </c>
      <c r="F117" s="9" t="n">
        <v>665942</v>
      </c>
      <c r="G117" s="9" t="n">
        <v>9391144</v>
      </c>
      <c r="H117" s="10" t="n">
        <v>82.09</v>
      </c>
    </row>
    <row r="118" ht="15" customHeight="1" s="17">
      <c r="A118" s="8" t="inlineStr">
        <is>
          <t>M4B4</t>
        </is>
      </c>
      <c r="B118" s="8" t="inlineStr">
        <is>
          <t>C1076-Q9589</t>
        </is>
      </c>
      <c r="C118" s="8" t="inlineStr">
        <is>
          <t>Huancabamba</t>
        </is>
      </c>
      <c r="D118" s="8" t="inlineStr">
        <is>
          <t>Huarmaca</t>
        </is>
      </c>
      <c r="E118" s="8" t="inlineStr">
        <is>
          <t>Z14</t>
        </is>
      </c>
      <c r="F118" s="9" t="n">
        <v>642775</v>
      </c>
      <c r="G118" s="9" t="n">
        <v>9388574</v>
      </c>
      <c r="H118" s="10" t="n">
        <v>289.91</v>
      </c>
    </row>
    <row r="119" ht="15" customHeight="1" s="17">
      <c r="A119" s="8" t="inlineStr">
        <is>
          <t>M4B3</t>
        </is>
      </c>
      <c r="B119" s="8" t="inlineStr">
        <is>
          <t>C1076-Q9589</t>
        </is>
      </c>
      <c r="C119" s="8" t="inlineStr">
        <is>
          <t>Huancabamba</t>
        </is>
      </c>
      <c r="D119" s="8" t="inlineStr">
        <is>
          <t>Huarmaca</t>
        </is>
      </c>
      <c r="E119" s="8" t="inlineStr">
        <is>
          <t>Z14</t>
        </is>
      </c>
      <c r="F119" s="9" t="n">
        <v>643474</v>
      </c>
      <c r="G119" s="9" t="n">
        <v>9385620</v>
      </c>
      <c r="H119" s="10" t="n">
        <v>234.07</v>
      </c>
    </row>
    <row r="120" ht="15" customHeight="1" s="17">
      <c r="A120" s="8" t="inlineStr">
        <is>
          <t>10</t>
        </is>
      </c>
      <c r="B120" s="8" t="inlineStr">
        <is>
          <t>C1076-Q9593</t>
        </is>
      </c>
      <c r="C120" s="8" t="inlineStr">
        <is>
          <t>Huancabamba</t>
        </is>
      </c>
      <c r="D120" s="8" t="inlineStr">
        <is>
          <t>Huarmaca</t>
        </is>
      </c>
      <c r="E120" s="8" t="inlineStr">
        <is>
          <t>Z14</t>
        </is>
      </c>
      <c r="F120" s="9" t="n">
        <v>650830</v>
      </c>
      <c r="G120" s="9" t="n">
        <v>9382303</v>
      </c>
      <c r="H120" s="10" t="n">
        <v>150.21</v>
      </c>
    </row>
    <row r="121" ht="15" customHeight="1" s="17">
      <c r="A121" s="8" t="inlineStr">
        <is>
          <t>16</t>
        </is>
      </c>
      <c r="B121" s="8" t="inlineStr">
        <is>
          <t>C1076-Q9593</t>
        </is>
      </c>
      <c r="C121" s="8" t="inlineStr">
        <is>
          <t>Huancabamba</t>
        </is>
      </c>
      <c r="D121" s="8" t="inlineStr">
        <is>
          <t>Huarmaca</t>
        </is>
      </c>
      <c r="E121" s="8" t="inlineStr">
        <is>
          <t>Z14</t>
        </is>
      </c>
      <c r="F121" s="9" t="n">
        <v>652939</v>
      </c>
      <c r="G121" s="9" t="n">
        <v>9382105</v>
      </c>
      <c r="H121" s="10" t="n">
        <v>83.33</v>
      </c>
    </row>
    <row r="122" ht="15" customHeight="1" s="17">
      <c r="A122" s="8" t="inlineStr">
        <is>
          <t>4</t>
        </is>
      </c>
      <c r="B122" s="8" t="inlineStr">
        <is>
          <t>C1076-Q9588</t>
        </is>
      </c>
      <c r="C122" s="8" t="inlineStr">
        <is>
          <t>Huancabamba</t>
        </is>
      </c>
      <c r="D122" s="8" t="inlineStr">
        <is>
          <t>Huarmaca</t>
        </is>
      </c>
      <c r="E122" s="8" t="inlineStr">
        <is>
          <t>Z14</t>
        </is>
      </c>
      <c r="F122" s="9" t="n">
        <v>656549</v>
      </c>
      <c r="G122" s="9" t="n">
        <v>9382009</v>
      </c>
      <c r="H122" s="10" t="n">
        <v>230.1</v>
      </c>
    </row>
    <row r="123" ht="15" customHeight="1" s="17">
      <c r="A123" s="8" t="inlineStr">
        <is>
          <t>51</t>
        </is>
      </c>
      <c r="B123" s="8" t="inlineStr">
        <is>
          <t>C1076-Q9593</t>
        </is>
      </c>
      <c r="C123" s="8" t="inlineStr">
        <is>
          <t>Huancabamba</t>
        </is>
      </c>
      <c r="D123" s="8" t="inlineStr">
        <is>
          <t>Huarmaca</t>
        </is>
      </c>
      <c r="E123" s="8" t="inlineStr">
        <is>
          <t>Z14</t>
        </is>
      </c>
      <c r="F123" s="9" t="n">
        <v>656291</v>
      </c>
      <c r="G123" s="9" t="n">
        <v>9379096</v>
      </c>
      <c r="H123" s="10" t="n">
        <v>22.93</v>
      </c>
    </row>
    <row r="124" ht="15" customHeight="1" s="17">
      <c r="A124" s="8" t="inlineStr">
        <is>
          <t>76</t>
        </is>
      </c>
      <c r="B124" s="8" t="inlineStr">
        <is>
          <t>C1076-Q9593</t>
        </is>
      </c>
      <c r="C124" s="8" t="inlineStr">
        <is>
          <t>Huancabamba</t>
        </is>
      </c>
      <c r="D124" s="8" t="inlineStr">
        <is>
          <t>Huarmaca</t>
        </is>
      </c>
      <c r="E124" s="8" t="inlineStr">
        <is>
          <t>Z14</t>
        </is>
      </c>
      <c r="F124" s="9" t="n">
        <v>657922</v>
      </c>
      <c r="G124" s="9" t="n">
        <v>9377477</v>
      </c>
      <c r="H124" s="10" t="n">
        <v>19.62</v>
      </c>
    </row>
    <row r="125" ht="15" customHeight="1" s="17">
      <c r="A125" s="8" t="inlineStr">
        <is>
          <t>80</t>
        </is>
      </c>
      <c r="B125" s="8" t="inlineStr">
        <is>
          <t>C1076-Q9593</t>
        </is>
      </c>
      <c r="C125" s="8" t="inlineStr">
        <is>
          <t>Huancabamba</t>
        </is>
      </c>
      <c r="D125" s="8" t="inlineStr">
        <is>
          <t>Huarmaca</t>
        </is>
      </c>
      <c r="E125" s="8" t="inlineStr">
        <is>
          <t>Z14</t>
        </is>
      </c>
      <c r="F125" s="9" t="n">
        <v>657160</v>
      </c>
      <c r="G125" s="9" t="n">
        <v>9373050</v>
      </c>
      <c r="H125" s="10" t="n">
        <v>28.83</v>
      </c>
    </row>
    <row r="126" ht="15" customHeight="1" s="17">
      <c r="A126" s="8" t="inlineStr">
        <is>
          <t>71</t>
        </is>
      </c>
      <c r="B126" s="8" t="inlineStr">
        <is>
          <t>C1076-Q9593</t>
        </is>
      </c>
      <c r="C126" s="8" t="inlineStr">
        <is>
          <t>Huancabamba</t>
        </is>
      </c>
      <c r="D126" s="8" t="inlineStr">
        <is>
          <t>Huarmaca</t>
        </is>
      </c>
      <c r="E126" s="8" t="inlineStr">
        <is>
          <t>Z14</t>
        </is>
      </c>
      <c r="F126" s="9" t="n">
        <v>652104</v>
      </c>
      <c r="G126" s="9" t="n">
        <v>9373045</v>
      </c>
      <c r="H126" s="10" t="n">
        <v>10.67</v>
      </c>
    </row>
    <row r="127" ht="15" customHeight="1" s="17">
      <c r="A127" s="8" t="inlineStr">
        <is>
          <t>8</t>
        </is>
      </c>
      <c r="B127" s="8" t="inlineStr">
        <is>
          <t>C1076-Q9593</t>
        </is>
      </c>
      <c r="C127" s="8" t="inlineStr">
        <is>
          <t>Huancabamba</t>
        </is>
      </c>
      <c r="D127" s="8" t="inlineStr">
        <is>
          <t>Huarmaca</t>
        </is>
      </c>
      <c r="E127" s="8" t="inlineStr">
        <is>
          <t>Z14</t>
        </is>
      </c>
      <c r="F127" s="9" t="n">
        <v>651673</v>
      </c>
      <c r="G127" s="9" t="n">
        <v>9373383</v>
      </c>
      <c r="H127" s="10" t="n">
        <v>126.95</v>
      </c>
    </row>
    <row r="128" ht="15" customHeight="1" s="17">
      <c r="A128" s="8" t="inlineStr">
        <is>
          <t>20</t>
        </is>
      </c>
      <c r="B128" s="8" t="inlineStr">
        <is>
          <t>C1076-Q9593</t>
        </is>
      </c>
      <c r="C128" s="8" t="inlineStr">
        <is>
          <t>Huancabamba</t>
        </is>
      </c>
      <c r="D128" s="8" t="inlineStr">
        <is>
          <t>Huarmaca</t>
        </is>
      </c>
      <c r="E128" s="8" t="inlineStr">
        <is>
          <t>Z14</t>
        </is>
      </c>
      <c r="F128" s="9" t="n">
        <v>649847</v>
      </c>
      <c r="G128" s="9" t="n">
        <v>9376260</v>
      </c>
      <c r="H128" s="10" t="n">
        <v>81.33</v>
      </c>
    </row>
  </sheetData>
  <pageMargins left="0.75" right="0.75" top="1" bottom="1" header="0.511811023622047" footer="0.511811023622047"/>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AK16"/>
  <sheetViews>
    <sheetView zoomScaleNormal="100" workbookViewId="0">
      <pane ySplit="3" topLeftCell="A4" activePane="bottomLeft" state="frozen"/>
      <selection pane="bottomLeft" activeCell="A1" sqref="A1"/>
    </sheetView>
  </sheetViews>
  <sheetFormatPr baseColWidth="10" defaultColWidth="8.6640625" defaultRowHeight="14.4"/>
  <cols>
    <col width="22" customWidth="1" style="17" min="1" max="1"/>
    <col width="29" customWidth="1" style="17" min="2" max="2"/>
    <col width="22" customWidth="1" style="17" min="3" max="4"/>
    <col width="29" customWidth="1" style="17" min="5" max="5"/>
    <col width="31" customWidth="1" style="17" min="6" max="7"/>
    <col width="29" customWidth="1" style="17" min="8" max="8"/>
    <col width="38" customWidth="1" style="17" min="9" max="9"/>
    <col width="22" customWidth="1" style="17" min="10" max="11"/>
    <col width="53" customWidth="1" style="17" min="12" max="12"/>
    <col width="40" customWidth="1" style="17" min="13" max="13"/>
    <col width="31" customWidth="1" style="17" min="14" max="14"/>
    <col width="27" customWidth="1" style="17" min="15" max="15"/>
    <col width="22" customWidth="1" style="17" min="16" max="16"/>
    <col width="28" customWidth="1" style="17" min="17" max="17"/>
    <col width="22" customWidth="1" style="17" min="18" max="18"/>
    <col width="28" customWidth="1" style="17" min="19" max="19"/>
    <col width="22" customWidth="1" style="17" min="20" max="21"/>
    <col width="30" customWidth="1" style="17" min="22" max="22"/>
    <col width="34" customWidth="1" style="17" min="23" max="23"/>
    <col width="22" customWidth="1" style="17" min="24" max="26"/>
    <col width="25" customWidth="1" style="17" min="27" max="27"/>
    <col width="26" customWidth="1" style="17" min="28" max="28"/>
    <col width="22" customWidth="1" style="17" min="29" max="29"/>
    <col width="47" customWidth="1" style="17" min="30" max="30"/>
    <col width="33" customWidth="1" style="17" min="31" max="31"/>
    <col width="25" customWidth="1" style="17" min="32" max="32"/>
    <col width="22" customWidth="1" style="17" min="33" max="37"/>
  </cols>
  <sheetData>
    <row r="1" ht="15" customHeight="1" s="17">
      <c r="A1" s="34" t="inlineStr">
        <is>
          <t>Listas de opciones para validación de datos — IN Piura | Cada columna es un rango nombrado.</t>
        </is>
      </c>
    </row>
    <row r="3" ht="15" customHeight="1" s="17">
      <c r="A3" s="2" t="inlineStr">
        <is>
          <t>lst_FormaTerreno</t>
        </is>
      </c>
      <c r="B3" s="2" t="inlineStr">
        <is>
          <t>lst_RangoPendiente</t>
        </is>
      </c>
      <c r="C3" s="2" t="inlineStr">
        <is>
          <t>lst_PosicionFisio</t>
        </is>
      </c>
      <c r="D3" s="2" t="inlineStr">
        <is>
          <t>lst_Exposicion</t>
        </is>
      </c>
      <c r="E3" s="2" t="inlineStr">
        <is>
          <t>lst_RangoAltitud</t>
        </is>
      </c>
      <c r="F3" s="2" t="inlineStr">
        <is>
          <t>lst_NivelErosion</t>
        </is>
      </c>
      <c r="G3" s="2" t="inlineStr">
        <is>
          <t>lst_TipoCarcava</t>
        </is>
      </c>
      <c r="H3" s="2" t="inlineStr">
        <is>
          <t>lst_EstadoCarcava</t>
        </is>
      </c>
      <c r="I3" s="2" t="inlineStr">
        <is>
          <t>lst_CausaCarcava</t>
        </is>
      </c>
      <c r="J3" s="2" t="inlineStr">
        <is>
          <t>lst_PatronCarcavas</t>
        </is>
      </c>
      <c r="K3" s="2" t="inlineStr">
        <is>
          <t>lst_Urgencia</t>
        </is>
      </c>
      <c r="L3" s="2" t="inlineStr">
        <is>
          <t>lst_TipoEcosistema</t>
        </is>
      </c>
      <c r="M3" s="2" t="inlineStr">
        <is>
          <t>lst_EstadoConservacion</t>
        </is>
      </c>
      <c r="N3" s="2" t="inlineStr">
        <is>
          <t>lst_UsoSueloDom</t>
        </is>
      </c>
      <c r="O3" s="2" t="inlineStr">
        <is>
          <t>lst_Regeneracion</t>
        </is>
      </c>
      <c r="P3" s="2" t="inlineStr">
        <is>
          <t>lst_EstadoSanitario</t>
        </is>
      </c>
      <c r="Q3" s="2" t="inlineStr">
        <is>
          <t>lst_Fenologia</t>
        </is>
      </c>
      <c r="R3" s="2" t="inlineStr">
        <is>
          <t>lst_TipoCobertura</t>
        </is>
      </c>
      <c r="S3" s="2" t="inlineStr">
        <is>
          <t>lst_Estrato</t>
        </is>
      </c>
      <c r="T3" s="2" t="inlineStr">
        <is>
          <t>lst_Origen</t>
        </is>
      </c>
      <c r="U3" s="2" t="inlineStr">
        <is>
          <t>lst_Abundancia</t>
        </is>
      </c>
      <c r="V3" s="2" t="inlineStr">
        <is>
          <t>lst_CategoriaIndicadora</t>
        </is>
      </c>
      <c r="W3" s="2" t="inlineStr">
        <is>
          <t>lst_EstadoUICN</t>
        </is>
      </c>
      <c r="X3" s="2" t="inlineStr">
        <is>
          <t>lst_Intensidad</t>
        </is>
      </c>
      <c r="Y3" s="2" t="inlineStr">
        <is>
          <t>lst_NivelInd</t>
        </is>
      </c>
      <c r="Z3" s="2" t="inlineStr">
        <is>
          <t>lst_Velocidad</t>
        </is>
      </c>
      <c r="AA3" s="2" t="inlineStr">
        <is>
          <t>lst_Reversibilidad</t>
        </is>
      </c>
      <c r="AB3" s="2" t="inlineStr">
        <is>
          <t>lst_TipoFuente</t>
        </is>
      </c>
      <c r="AC3" s="2" t="inlineStr">
        <is>
          <t>lst_RegimenHidrico</t>
        </is>
      </c>
      <c r="AD3" s="2" t="inlineStr">
        <is>
          <t>lst_CalidadAgua</t>
        </is>
      </c>
      <c r="AE3" s="2" t="inlineStr">
        <is>
          <t>lst_ModalidadAcceso</t>
        </is>
      </c>
      <c r="AF3" s="2" t="inlineStr">
        <is>
          <t>lst_TipoVia</t>
        </is>
      </c>
      <c r="AG3" s="2" t="inlineStr">
        <is>
          <t>lst_NivelTransitabilidad</t>
        </is>
      </c>
      <c r="AH3" s="2" t="inlineStr">
        <is>
          <t>lst_SenalCelular</t>
        </is>
      </c>
      <c r="AI3" s="2" t="inlineStr">
        <is>
          <t>lst_Operador</t>
        </is>
      </c>
      <c r="AJ3" s="2" t="inlineStr">
        <is>
          <t>lst_SiNo</t>
        </is>
      </c>
      <c r="AK3" s="2" t="inlineStr">
        <is>
          <t>lst_SiNoNA</t>
        </is>
      </c>
    </row>
    <row r="4" ht="15" customHeight="1" s="17">
      <c r="A4" s="8" t="inlineStr">
        <is>
          <t>Plano</t>
        </is>
      </c>
      <c r="B4" s="8" t="inlineStr">
        <is>
          <t>0-8% (Plano-lig. inclinado)</t>
        </is>
      </c>
      <c r="C4" s="8" t="inlineStr">
        <is>
          <t>Cresta / Divortium</t>
        </is>
      </c>
      <c r="D4" s="8" t="inlineStr">
        <is>
          <t>Norte</t>
        </is>
      </c>
      <c r="E4" s="8" t="inlineStr">
        <is>
          <t>&lt;1000 m (Yunga)</t>
        </is>
      </c>
      <c r="F4" s="8" t="inlineStr">
        <is>
          <t>Nula</t>
        </is>
      </c>
      <c r="G4" s="8" t="inlineStr">
        <is>
          <t>Surco (&lt;30 cm)</t>
        </is>
      </c>
      <c r="H4" s="8" t="inlineStr">
        <is>
          <t>Activa</t>
        </is>
      </c>
      <c r="I4" s="8" t="inlineStr">
        <is>
          <t>Sobrepastoreo</t>
        </is>
      </c>
      <c r="J4" s="8" t="inlineStr">
        <is>
          <t>Dendrítico</t>
        </is>
      </c>
      <c r="K4" s="8" t="inlineStr">
        <is>
          <t>Crítica</t>
        </is>
      </c>
      <c r="L4" s="8" t="inlineStr">
        <is>
          <t>Páramo</t>
        </is>
      </c>
      <c r="M4" s="8" t="inlineStr">
        <is>
          <t>Conservado (sin intervención evidente)</t>
        </is>
      </c>
      <c r="N4" s="8" t="inlineStr">
        <is>
          <t>Forestal protección</t>
        </is>
      </c>
      <c r="O4" s="8" t="inlineStr">
        <is>
          <t>Abundante (&gt;50 pl./100m²)</t>
        </is>
      </c>
      <c r="P4" s="8" t="inlineStr">
        <is>
          <t>Sano</t>
        </is>
      </c>
      <c r="Q4" s="8" t="inlineStr">
        <is>
          <t>Vegetativo</t>
        </is>
      </c>
      <c r="R4" s="8" t="inlineStr">
        <is>
          <t>Bosque denso (&gt;70%)</t>
        </is>
      </c>
      <c r="S4" s="8" t="inlineStr">
        <is>
          <t>Arbóreo superior (&gt;15 m)</t>
        </is>
      </c>
      <c r="T4" s="8" t="inlineStr">
        <is>
          <t>Nativa</t>
        </is>
      </c>
      <c r="U4" s="8" t="inlineStr">
        <is>
          <t>Dominante (&gt;40%)</t>
        </is>
      </c>
      <c r="V4" s="8" t="inlineStr">
        <is>
          <t>Indicadora de buen estado</t>
        </is>
      </c>
      <c r="W4" s="8" t="inlineStr">
        <is>
          <t>EX — Extinto</t>
        </is>
      </c>
      <c r="X4" s="8" t="inlineStr">
        <is>
          <t>Nula</t>
        </is>
      </c>
      <c r="Y4" s="8" t="inlineStr">
        <is>
          <t>Alto</t>
        </is>
      </c>
      <c r="Z4" s="8" t="inlineStr">
        <is>
          <t>Muy rápida</t>
        </is>
      </c>
      <c r="AA4" s="8" t="inlineStr">
        <is>
          <t>Totalmente reversible</t>
        </is>
      </c>
      <c r="AB4" s="8" t="inlineStr">
        <is>
          <t>Manantial / Puquio</t>
        </is>
      </c>
      <c r="AC4" s="8" t="inlineStr">
        <is>
          <t>Permanente</t>
        </is>
      </c>
      <c r="AD4" s="8" t="inlineStr">
        <is>
          <t>Buena (clara, sin olor, sin sedimentos)</t>
        </is>
      </c>
      <c r="AE4" s="8" t="inlineStr">
        <is>
          <t>Vehicular 4x4 hasta el bloque</t>
        </is>
      </c>
      <c r="AF4" s="8" t="inlineStr">
        <is>
          <t>Nacional asfaltada</t>
        </is>
      </c>
      <c r="AG4" s="8" t="inlineStr">
        <is>
          <t>Alto</t>
        </is>
      </c>
      <c r="AH4" s="8" t="inlineStr">
        <is>
          <t>Completa</t>
        </is>
      </c>
      <c r="AI4" s="8" t="inlineStr">
        <is>
          <t>Movistar</t>
        </is>
      </c>
      <c r="AJ4" s="8" t="inlineStr">
        <is>
          <t>Sí</t>
        </is>
      </c>
      <c r="AK4" s="8" t="inlineStr">
        <is>
          <t>Sí</t>
        </is>
      </c>
    </row>
    <row r="5" ht="15" customHeight="1" s="17">
      <c r="A5" s="8" t="inlineStr">
        <is>
          <t>Ondulado</t>
        </is>
      </c>
      <c r="B5" s="8" t="inlineStr">
        <is>
          <t>8-15% (Mod. inclinado)</t>
        </is>
      </c>
      <c r="C5" s="8" t="inlineStr">
        <is>
          <t>Ladera alta</t>
        </is>
      </c>
      <c r="D5" s="8" t="inlineStr">
        <is>
          <t>Sur</t>
        </is>
      </c>
      <c r="E5" s="8" t="inlineStr">
        <is>
          <t>1000-1500 m (Quechua baja)</t>
        </is>
      </c>
      <c r="F5" s="8" t="inlineStr">
        <is>
          <t>Ligera (laminar)</t>
        </is>
      </c>
      <c r="G5" s="8" t="inlineStr">
        <is>
          <t>Cárcava incipiente (30-50 cm)</t>
        </is>
      </c>
      <c r="H5" s="8" t="inlineStr">
        <is>
          <t>Semi-activa</t>
        </is>
      </c>
      <c r="I5" s="8" t="inlineStr">
        <is>
          <t>Tala / pérdida de cobertura</t>
        </is>
      </c>
      <c r="J5" s="8" t="inlineStr">
        <is>
          <t>Paralelo</t>
        </is>
      </c>
      <c r="K5" s="8" t="inlineStr">
        <is>
          <t>Alta</t>
        </is>
      </c>
      <c r="L5" s="8" t="inlineStr">
        <is>
          <t>Bosque Relicto Montano V. Occidental (BMVO)</t>
        </is>
      </c>
      <c r="M5" s="8" t="inlineStr">
        <is>
          <t>Levemente alterado</t>
        </is>
      </c>
      <c r="N5" s="8" t="inlineStr">
        <is>
          <t>Forestal producción</t>
        </is>
      </c>
      <c r="O5" s="8" t="inlineStr">
        <is>
          <t>Regular (10-50 pl./100m²)</t>
        </is>
      </c>
      <c r="P5" s="8" t="inlineStr">
        <is>
          <t>Enfermo (plaga)</t>
        </is>
      </c>
      <c r="Q5" s="8" t="inlineStr">
        <is>
          <t>Floración</t>
        </is>
      </c>
      <c r="R5" s="8" t="inlineStr">
        <is>
          <t>Bosque ralo (30-70%)</t>
        </is>
      </c>
      <c r="S5" s="8" t="inlineStr">
        <is>
          <t>Arbóreo medio (8-15 m)</t>
        </is>
      </c>
      <c r="T5" s="8" t="inlineStr">
        <is>
          <t>Endémica</t>
        </is>
      </c>
      <c r="U5" s="8" t="inlineStr">
        <is>
          <t>Abundante (20-40%)</t>
        </is>
      </c>
      <c r="V5" s="8" t="inlineStr">
        <is>
          <t>Indicadora de perturbación</t>
        </is>
      </c>
      <c r="W5" s="8" t="inlineStr">
        <is>
          <t>EW — Extinto en Estado Silvestre</t>
        </is>
      </c>
      <c r="X5" s="8" t="inlineStr">
        <is>
          <t>Ligera</t>
        </is>
      </c>
      <c r="Y5" s="8" t="inlineStr">
        <is>
          <t>Medio</t>
        </is>
      </c>
      <c r="Z5" s="8" t="inlineStr">
        <is>
          <t>Rápida</t>
        </is>
      </c>
      <c r="AA5" s="8" t="inlineStr">
        <is>
          <t>Parcialmente reversible</t>
        </is>
      </c>
      <c r="AB5" s="8" t="inlineStr">
        <is>
          <t>Quebrada permanente</t>
        </is>
      </c>
      <c r="AC5" s="8" t="inlineStr">
        <is>
          <t>Estacional (lluvias)</t>
        </is>
      </c>
      <c r="AD5" s="8" t="inlineStr">
        <is>
          <t>Regular (ligeramente turbia o con sedimentos)</t>
        </is>
      </c>
      <c r="AE5" s="8" t="inlineStr">
        <is>
          <t>Vehicular + caminata &lt;30 min</t>
        </is>
      </c>
      <c r="AF5" s="8" t="inlineStr">
        <is>
          <t>Nacional afirmada</t>
        </is>
      </c>
      <c r="AG5" s="8" t="inlineStr">
        <is>
          <t>Medio</t>
        </is>
      </c>
      <c r="AH5" s="8" t="inlineStr">
        <is>
          <t>Parcial</t>
        </is>
      </c>
      <c r="AI5" s="8" t="inlineStr">
        <is>
          <t>Claro</t>
        </is>
      </c>
      <c r="AJ5" s="8" t="inlineStr">
        <is>
          <t>No</t>
        </is>
      </c>
      <c r="AK5" s="8" t="inlineStr">
        <is>
          <t>No</t>
        </is>
      </c>
    </row>
    <row r="6" ht="15" customHeight="1" s="17">
      <c r="A6" s="8" t="inlineStr">
        <is>
          <t>Colinoso</t>
        </is>
      </c>
      <c r="B6" s="8" t="inlineStr">
        <is>
          <t>15-25% (Fuert. inclinado)</t>
        </is>
      </c>
      <c r="C6" s="8" t="inlineStr">
        <is>
          <t>Ladera media</t>
        </is>
      </c>
      <c r="D6" s="8" t="inlineStr">
        <is>
          <t>Este</t>
        </is>
      </c>
      <c r="E6" s="8" t="inlineStr">
        <is>
          <t>1500-2000 m (Quechua media)</t>
        </is>
      </c>
      <c r="F6" s="8" t="inlineStr">
        <is>
          <t>Moderada (surcos)</t>
        </is>
      </c>
      <c r="G6" s="8" t="inlineStr">
        <is>
          <t>Cárcava somera (0.5-2 m)</t>
        </is>
      </c>
      <c r="H6" s="8" t="inlineStr">
        <is>
          <t>Estabilizada con vegetación</t>
        </is>
      </c>
      <c r="I6" s="8" t="inlineStr">
        <is>
          <t>Quema</t>
        </is>
      </c>
      <c r="J6" s="8" t="inlineStr">
        <is>
          <t>Lineal</t>
        </is>
      </c>
      <c r="K6" s="8" t="inlineStr">
        <is>
          <t>Media</t>
        </is>
      </c>
      <c r="L6" s="8" t="inlineStr">
        <is>
          <t>Bosque Estacionalmente Seco Colina/Montaña (Bes-cm)</t>
        </is>
      </c>
      <c r="M6" s="8" t="inlineStr">
        <is>
          <t>Medianamente alterado</t>
        </is>
      </c>
      <c r="N6" s="8" t="inlineStr">
        <is>
          <t>Pastoreo extensivo</t>
        </is>
      </c>
      <c r="O6" s="8" t="inlineStr">
        <is>
          <t>Escasa (&lt;10 pl./100m²)</t>
        </is>
      </c>
      <c r="P6" s="8" t="inlineStr">
        <is>
          <t>Enfermo (hongo)</t>
        </is>
      </c>
      <c r="Q6" s="8" t="inlineStr">
        <is>
          <t>Fructificación</t>
        </is>
      </c>
      <c r="R6" s="8" t="inlineStr">
        <is>
          <t>Matorral denso</t>
        </is>
      </c>
      <c r="S6" s="8" t="inlineStr">
        <is>
          <t>Arbóreo bajo (4-8 m)</t>
        </is>
      </c>
      <c r="T6" s="8" t="inlineStr">
        <is>
          <t>Introducida</t>
        </is>
      </c>
      <c r="U6" s="8" t="inlineStr">
        <is>
          <t>Frecuente (5-20%)</t>
        </is>
      </c>
      <c r="V6" s="8" t="inlineStr">
        <is>
          <t>Endémica del Perú</t>
        </is>
      </c>
      <c r="W6" s="8" t="inlineStr">
        <is>
          <t>CR — En Peligro Crítico</t>
        </is>
      </c>
      <c r="X6" s="8" t="inlineStr">
        <is>
          <t>Moderada</t>
        </is>
      </c>
      <c r="Y6" s="8" t="inlineStr">
        <is>
          <t>Bajo</t>
        </is>
      </c>
      <c r="Z6" s="8" t="inlineStr">
        <is>
          <t>Moderada</t>
        </is>
      </c>
      <c r="AA6" s="8" t="inlineStr">
        <is>
          <t>Difícilmente reversible</t>
        </is>
      </c>
      <c r="AB6" s="8" t="inlineStr">
        <is>
          <t>Quebrada estacional</t>
        </is>
      </c>
      <c r="AC6" s="8" t="inlineStr">
        <is>
          <t>Intermitente</t>
        </is>
      </c>
      <c r="AD6" s="8" t="inlineStr">
        <is>
          <t>Mala (turbia, con olor o color)</t>
        </is>
      </c>
      <c r="AE6" s="8" t="inlineStr">
        <is>
          <t>Vehicular + caminata 30-90 min</t>
        </is>
      </c>
      <c r="AF6" s="8" t="inlineStr">
        <is>
          <t>Departamental asfaltada</t>
        </is>
      </c>
      <c r="AG6" s="8" t="inlineStr">
        <is>
          <t>Bajo</t>
        </is>
      </c>
      <c r="AH6" s="8" t="inlineStr">
        <is>
          <t>Intermitente</t>
        </is>
      </c>
      <c r="AI6" s="8" t="inlineStr">
        <is>
          <t>Entel</t>
        </is>
      </c>
      <c r="AK6" s="8" t="inlineStr">
        <is>
          <t>No aplica</t>
        </is>
      </c>
    </row>
    <row r="7" ht="15" customHeight="1" s="17">
      <c r="A7" s="8" t="inlineStr">
        <is>
          <t>Montañoso</t>
        </is>
      </c>
      <c r="B7" s="8" t="inlineStr">
        <is>
          <t>25-50% (Mod. escarpado)</t>
        </is>
      </c>
      <c r="C7" s="8" t="inlineStr">
        <is>
          <t>Ladera baja</t>
        </is>
      </c>
      <c r="D7" s="8" t="inlineStr">
        <is>
          <t>Oeste</t>
        </is>
      </c>
      <c r="E7" s="8" t="inlineStr">
        <is>
          <t>2000-2500 m (Quechua alta)</t>
        </is>
      </c>
      <c r="F7" s="8" t="inlineStr">
        <is>
          <t>Fuerte (cárcavas incipientes)</t>
        </is>
      </c>
      <c r="G7" s="8" t="inlineStr">
        <is>
          <t>Cárcava profunda (2-5 m)</t>
        </is>
      </c>
      <c r="H7" s="8" t="inlineStr">
        <is>
          <t>Estabilizada con obras</t>
        </is>
      </c>
      <c r="I7" s="8" t="inlineStr">
        <is>
          <t>Surcos de labranza en pendiente</t>
        </is>
      </c>
      <c r="J7" s="8" t="inlineStr">
        <is>
          <t>Aislado</t>
        </is>
      </c>
      <c r="K7" s="8" t="inlineStr">
        <is>
          <t>Baja</t>
        </is>
      </c>
      <c r="L7" s="8" t="inlineStr">
        <is>
          <t>Bosque Estacionalmente Seco Llanura (Bes-ll)</t>
        </is>
      </c>
      <c r="M7" s="8" t="inlineStr">
        <is>
          <t>Alterado (intervención marcada)</t>
        </is>
      </c>
      <c r="N7" s="8" t="inlineStr">
        <is>
          <t>Pastoreo intensivo</t>
        </is>
      </c>
      <c r="O7" s="8" t="inlineStr">
        <is>
          <t>Ausente</t>
        </is>
      </c>
      <c r="P7" s="8" t="inlineStr">
        <is>
          <t>Daño mecánico</t>
        </is>
      </c>
      <c r="Q7" s="8" t="inlineStr">
        <is>
          <t>Caducifolio (hojas caídas)</t>
        </is>
      </c>
      <c r="R7" s="8" t="inlineStr">
        <is>
          <t>Matorral ralo</t>
        </is>
      </c>
      <c r="S7" s="8" t="inlineStr">
        <is>
          <t>Arbustivo alto (1.5-4 m)</t>
        </is>
      </c>
      <c r="T7" s="8" t="inlineStr">
        <is>
          <t>Invasora</t>
        </is>
      </c>
      <c r="U7" s="8" t="inlineStr">
        <is>
          <t>Ocasional (1-5%)</t>
        </is>
      </c>
      <c r="V7" s="8" t="inlineStr">
        <is>
          <t>Endémica norte / Piura</t>
        </is>
      </c>
      <c r="W7" s="8" t="inlineStr">
        <is>
          <t>EN — En Peligro</t>
        </is>
      </c>
      <c r="X7" s="8" t="inlineStr">
        <is>
          <t>Fuerte</t>
        </is>
      </c>
      <c r="Z7" s="8" t="inlineStr">
        <is>
          <t>Lenta</t>
        </is>
      </c>
      <c r="AA7" s="8" t="inlineStr">
        <is>
          <t>En recuperación</t>
        </is>
      </c>
      <c r="AB7" s="8" t="inlineStr">
        <is>
          <t>Río</t>
        </is>
      </c>
      <c r="AC7" s="8" t="inlineStr">
        <is>
          <t>Efímero</t>
        </is>
      </c>
      <c r="AD7" s="8" t="inlineStr">
        <is>
          <t>Muy mala (contaminación evidente)</t>
        </is>
      </c>
      <c r="AE7" s="8" t="inlineStr">
        <is>
          <t>Vehicular + caminata &gt;90 min</t>
        </is>
      </c>
      <c r="AF7" s="8" t="inlineStr">
        <is>
          <t>Departamental afirmada</t>
        </is>
      </c>
      <c r="AH7" s="8" t="inlineStr">
        <is>
          <t>Sin señal</t>
        </is>
      </c>
      <c r="AI7" s="8" t="inlineStr">
        <is>
          <t>Bitel</t>
        </is>
      </c>
    </row>
    <row r="8" ht="15" customHeight="1" s="17">
      <c r="A8" s="8" t="inlineStr">
        <is>
          <t>Muy escarpado</t>
        </is>
      </c>
      <c r="B8" s="8" t="inlineStr">
        <is>
          <t>50-75% (Escarpado)</t>
        </is>
      </c>
      <c r="C8" s="8" t="inlineStr">
        <is>
          <t>Pie de ladera</t>
        </is>
      </c>
      <c r="D8" s="8" t="inlineStr">
        <is>
          <t>Noreste</t>
        </is>
      </c>
      <c r="E8" s="8" t="inlineStr">
        <is>
          <t>2500-3000 m (Suni)</t>
        </is>
      </c>
      <c r="F8" s="8" t="inlineStr">
        <is>
          <t>Severa (cárcavas activas)</t>
        </is>
      </c>
      <c r="G8" s="8" t="inlineStr">
        <is>
          <t>Cárcava muy profunda (&gt;5 m)</t>
        </is>
      </c>
      <c r="H8" s="8" t="inlineStr">
        <is>
          <t>Inactiva</t>
        </is>
      </c>
      <c r="I8" s="8" t="inlineStr">
        <is>
          <t>Caminos / huellas de ganado</t>
        </is>
      </c>
      <c r="J8" s="8" t="inlineStr">
        <is>
          <t>Mixto</t>
        </is>
      </c>
      <c r="L8" s="8" t="inlineStr">
        <is>
          <t>Bosque Estacionalmente Seco Ribereño (Bes-rb)</t>
        </is>
      </c>
      <c r="M8" s="8" t="inlineStr">
        <is>
          <t>Muy alterado / Degradado</t>
        </is>
      </c>
      <c r="N8" s="8" t="inlineStr">
        <is>
          <t>Agricultura secano</t>
        </is>
      </c>
      <c r="P8" s="8" t="inlineStr">
        <is>
          <t>Muerto en pie</t>
        </is>
      </c>
      <c r="Q8" s="8" t="inlineStr">
        <is>
          <t>Latencia / Estrés hídrico</t>
        </is>
      </c>
      <c r="R8" s="8" t="inlineStr">
        <is>
          <t>Pastizal natural</t>
        </is>
      </c>
      <c r="S8" s="8" t="inlineStr">
        <is>
          <t>Arbustivo bajo (0.5-1.5 m)</t>
        </is>
      </c>
      <c r="U8" s="8" t="inlineStr">
        <is>
          <t>Rara (&lt;1%)</t>
        </is>
      </c>
      <c r="V8" s="8" t="inlineStr">
        <is>
          <t>Amenazada (D.S. 043-2006-AG)</t>
        </is>
      </c>
      <c r="W8" s="8" t="inlineStr">
        <is>
          <t>VU — Vulnerable</t>
        </is>
      </c>
      <c r="X8" s="8" t="inlineStr">
        <is>
          <t>Muy fuerte</t>
        </is>
      </c>
      <c r="Z8" s="8" t="inlineStr">
        <is>
          <t>Estable</t>
        </is>
      </c>
      <c r="AB8" s="8" t="inlineStr">
        <is>
          <t>Canal de riego</t>
        </is>
      </c>
      <c r="AC8" s="8" t="inlineStr">
        <is>
          <t>Ausente</t>
        </is>
      </c>
      <c r="AD8" s="8" t="inlineStr">
        <is>
          <t>No evaluable</t>
        </is>
      </c>
      <c r="AE8" s="8" t="inlineStr">
        <is>
          <t>Requiere acémila (páramo/jalca)</t>
        </is>
      </c>
      <c r="AF8" s="8" t="inlineStr">
        <is>
          <t>Vecinal afirmada</t>
        </is>
      </c>
      <c r="AI8" s="8" t="inlineStr">
        <is>
          <t>Otro</t>
        </is>
      </c>
    </row>
    <row r="9" ht="15" customHeight="1" s="17">
      <c r="B9" s="8" t="inlineStr">
        <is>
          <t>&gt;75% (Muy escarpado)</t>
        </is>
      </c>
      <c r="C9" s="8" t="inlineStr">
        <is>
          <t>Terraza aluvial</t>
        </is>
      </c>
      <c r="D9" s="8" t="inlineStr">
        <is>
          <t>Noroeste</t>
        </is>
      </c>
      <c r="E9" s="8" t="inlineStr">
        <is>
          <t>3000-3500 m (Puna baja)</t>
        </is>
      </c>
      <c r="F9" s="8" t="inlineStr">
        <is>
          <t>Extrema</t>
        </is>
      </c>
      <c r="I9" s="8" t="inlineStr">
        <is>
          <t>Concentración natural de escorrentía</t>
        </is>
      </c>
      <c r="L9" s="8" t="inlineStr">
        <is>
          <t>Matorral Andino árido</t>
        </is>
      </c>
      <c r="M9" s="8" t="inlineStr">
        <is>
          <t>En restauración / Recuperación</t>
        </is>
      </c>
      <c r="N9" s="8" t="inlineStr">
        <is>
          <t>Agricultura bajo riego</t>
        </is>
      </c>
      <c r="P9" s="8" t="inlineStr">
        <is>
          <t>Rebrote vigoroso</t>
        </is>
      </c>
      <c r="R9" s="8" t="inlineStr">
        <is>
          <t>Pastizal cultivado</t>
        </is>
      </c>
      <c r="S9" s="8" t="inlineStr">
        <is>
          <t>Herbáceo (&lt;0.5 m)</t>
        </is>
      </c>
      <c r="V9" s="8" t="inlineStr">
        <is>
          <t>Clave cultural</t>
        </is>
      </c>
      <c r="W9" s="8" t="inlineStr">
        <is>
          <t>NT — Casi Amenazado</t>
        </is>
      </c>
      <c r="AB9" s="8" t="inlineStr">
        <is>
          <t>Reservorio / Represa</t>
        </is>
      </c>
      <c r="AE9" s="8" t="inlineStr">
        <is>
          <t>Inaccesible en lluvias</t>
        </is>
      </c>
      <c r="AF9" s="8" t="inlineStr">
        <is>
          <t>Trocha carrozable</t>
        </is>
      </c>
      <c r="AI9" s="8" t="inlineStr">
        <is>
          <t>Sin señal</t>
        </is>
      </c>
    </row>
    <row r="10" ht="15" customHeight="1" s="17">
      <c r="C10" s="8" t="inlineStr">
        <is>
          <t>Cauce / Ribera</t>
        </is>
      </c>
      <c r="D10" s="8" t="inlineStr">
        <is>
          <t>Sureste</t>
        </is>
      </c>
      <c r="E10" s="8" t="inlineStr">
        <is>
          <t>&gt;3500 m (Puna/Jalca)</t>
        </is>
      </c>
      <c r="I10" s="8" t="inlineStr">
        <is>
          <t>Socavamiento de cauce</t>
        </is>
      </c>
      <c r="L10" s="8" t="inlineStr">
        <is>
          <t>Matorral Andino semiárido</t>
        </is>
      </c>
      <c r="N10" s="8" t="inlineStr">
        <is>
          <t>Sin uso aparente / Abandonado</t>
        </is>
      </c>
      <c r="R10" s="8" t="inlineStr">
        <is>
          <t>Cultivo anual</t>
        </is>
      </c>
      <c r="S10" s="8" t="inlineStr">
        <is>
          <t>Epífito</t>
        </is>
      </c>
      <c r="W10" s="8" t="inlineStr">
        <is>
          <t>LC — Preocupación Menor</t>
        </is>
      </c>
      <c r="AB10" s="8" t="inlineStr">
        <is>
          <t>Laguna / Humedal</t>
        </is>
      </c>
      <c r="AF10" s="8" t="inlineStr">
        <is>
          <t>Camino de herradura</t>
        </is>
      </c>
    </row>
    <row r="11" ht="15" customHeight="1" s="17">
      <c r="C11" s="8" t="inlineStr">
        <is>
          <t>Llanura / Pampa</t>
        </is>
      </c>
      <c r="D11" s="8" t="inlineStr">
        <is>
          <t>Suroeste</t>
        </is>
      </c>
      <c r="I11" s="8" t="inlineStr">
        <is>
          <t>Cambio de uso del suelo</t>
        </is>
      </c>
      <c r="L11" s="8" t="inlineStr">
        <is>
          <t>Matorral Andino subhúmedo</t>
        </is>
      </c>
      <c r="N11" s="8" t="inlineStr">
        <is>
          <t>Uso mixto</t>
        </is>
      </c>
      <c r="R11" s="8" t="inlineStr">
        <is>
          <t>Cultivo permanente</t>
        </is>
      </c>
      <c r="S11" s="8" t="inlineStr">
        <is>
          <t>Trepador</t>
        </is>
      </c>
      <c r="W11" s="8" t="inlineStr">
        <is>
          <t>DD — Datos Insuficientes</t>
        </is>
      </c>
      <c r="AB11" s="8" t="inlineStr">
        <is>
          <t>Pozo / Galería filtrante</t>
        </is>
      </c>
    </row>
    <row r="12" ht="15" customHeight="1" s="17">
      <c r="C12" s="8" t="inlineStr">
        <is>
          <t>Cima (sin exp.)</t>
        </is>
      </c>
      <c r="D12" s="8" t="inlineStr">
        <is>
          <t>Cima (sin dom.)</t>
        </is>
      </c>
      <c r="I12" s="8" t="inlineStr">
        <is>
          <t>Otro</t>
        </is>
      </c>
      <c r="L12" s="8" t="inlineStr">
        <is>
          <t>Matorral Andino húmedo</t>
        </is>
      </c>
      <c r="N12" s="8" t="inlineStr">
        <is>
          <t>Otro</t>
        </is>
      </c>
      <c r="R12" s="8" t="inlineStr">
        <is>
          <t>Suelo desnudo</t>
        </is>
      </c>
      <c r="W12" s="8" t="inlineStr">
        <is>
          <t>NE — No Evaluado</t>
        </is>
      </c>
      <c r="AB12" s="8" t="inlineStr">
        <is>
          <t>Bofedal</t>
        </is>
      </c>
    </row>
    <row r="13" ht="15" customHeight="1" s="17">
      <c r="L13" s="8" t="inlineStr">
        <is>
          <t>Pastizal andino / Jalca</t>
        </is>
      </c>
      <c r="R13" s="8" t="inlineStr">
        <is>
          <t>Afloramiento rocoso</t>
        </is>
      </c>
      <c r="W13" s="8" t="inlineStr">
        <is>
          <t>No aplica</t>
        </is>
      </c>
      <c r="AB13" s="8" t="inlineStr">
        <is>
          <t>Otro</t>
        </is>
      </c>
    </row>
    <row r="14" ht="15" customHeight="1" s="17">
      <c r="L14" s="8" t="inlineStr">
        <is>
          <t>Agroecosistema / Mosaico</t>
        </is>
      </c>
      <c r="R14" s="8" t="inlineStr">
        <is>
          <t>Mixto / Mosaico</t>
        </is>
      </c>
    </row>
    <row r="15" ht="15" customHeight="1" s="17">
      <c r="L15" s="8" t="inlineStr">
        <is>
          <t>Área urbana / rural</t>
        </is>
      </c>
    </row>
    <row r="16" ht="15" customHeight="1" s="17">
      <c r="L16" s="8" t="inlineStr">
        <is>
          <t>Otro</t>
        </is>
      </c>
    </row>
  </sheetData>
  <mergeCells count="1">
    <mergeCell ref="A1:H1"/>
  </mergeCells>
  <pageMargins left="0.75" right="0.75" top="1" bottom="1" header="0.511811023622047" footer="0.511811023622047"/>
  <pageSetup orientation="landscape" paperSize="9" fitToHeight="0" horizontalDpi="300" verticalDpi="300"/>
</worksheet>
</file>

<file path=xl/worksheets/sheet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0" customWidth="1" style="17" min="1" max="1"/>
    <col width="16" customWidth="1" style="17" min="2" max="2"/>
    <col width="16" customWidth="1" style="17" min="3" max="3"/>
    <col width="16" customWidth="1" style="17" min="4" max="4"/>
    <col width="26" customWidth="1" style="17" min="5" max="5"/>
  </cols>
  <sheetData>
    <row r="1" ht="16" customHeight="1" s="17">
      <c r="A1" s="35" t="inlineStr">
        <is>
          <t>AUTORIDAD NACIONAL DE INFRAESTRUCTURA — ANIN</t>
        </is>
      </c>
    </row>
    <row r="2" ht="16" customHeight="1" s="17">
      <c r="A2" s="35" t="inlineStr">
        <is>
          <t>DIRECCIÓN DE INTERVENCIONES MULTISECTORIALES Y DE EMERGENCIA — DIME</t>
        </is>
      </c>
    </row>
    <row r="3" ht="16" customHeight="1" s="17">
      <c r="A3" s="35" t="inlineStr">
        <is>
          <t>SUBDIRECCIÓN DE ESTUDIOS DE INVERSIÓN — SESDI</t>
        </is>
      </c>
    </row>
    <row r="4" ht="20" customHeight="1" s="17">
      <c r="A4" s="36" t="inlineStr">
        <is>
          <t>PROYECTO IN PIURA · CUI 2669244 · BLOQUE 76 · Microcuenca C1076-Q9593 · Huarmaca, Huancabamba, Piura</t>
        </is>
      </c>
    </row>
    <row r="5" ht="20" customHeight="1" s="17">
      <c r="A5" s="36" t="inlineStr">
        <is>
          <t>COBERTURA VEGETAL — MSAVI 2024 Y NDVI MEDIANA 2025 · BLOQUE 76 (19.615 ha)</t>
        </is>
      </c>
    </row>
    <row r="7">
      <c r="A7" s="40" t="inlineStr">
        <is>
          <t>A. MSAVI 2024 — clasificación planimétrica sobre el plano temático</t>
        </is>
      </c>
    </row>
    <row r="8" ht="30" customHeight="1" s="17">
      <c r="A8" s="41" t="inlineStr">
        <is>
          <t>Clase MSAVI 2024</t>
        </is>
      </c>
      <c r="B8" s="41" t="inlineStr">
        <is>
          <t>Interpretación</t>
        </is>
      </c>
      <c r="C8" s="41" t="inlineStr">
        <is>
          <t>% del bloque</t>
        </is>
      </c>
      <c r="D8" s="41" t="inlineStr">
        <is>
          <t>Superficie (ha)</t>
        </is>
      </c>
      <c r="E8" s="41" t="inlineStr">
        <is>
          <t>Condición frente al umbral 0.4976</t>
        </is>
      </c>
    </row>
    <row r="9">
      <c r="A9" s="42" t="inlineStr">
        <is>
          <t>&gt; 0.6139</t>
        </is>
      </c>
      <c r="B9" s="39" t="inlineStr">
        <is>
          <t>Cobertura densa y vigorosa</t>
        </is>
      </c>
      <c r="C9" s="42" t="n">
        <v>9.321999999999999</v>
      </c>
      <c r="D9" s="42" t="n">
        <v>1.828</v>
      </c>
      <c r="E9" s="39" t="inlineStr">
        <is>
          <t>Sobre umbral</t>
        </is>
      </c>
    </row>
    <row r="10">
      <c r="A10" s="43" t="inlineStr">
        <is>
          <t>0.4976 – 0.6139</t>
        </is>
      </c>
      <c r="B10" s="44" t="inlineStr">
        <is>
          <t>Cobertura moderada a alta</t>
        </is>
      </c>
      <c r="C10" s="43" t="n">
        <v>36.041</v>
      </c>
      <c r="D10" s="43" t="n">
        <v>7.07</v>
      </c>
      <c r="E10" s="44" t="inlineStr">
        <is>
          <t>Sobre umbral</t>
        </is>
      </c>
    </row>
    <row r="11">
      <c r="A11" s="42" t="inlineStr">
        <is>
          <t>0.3813 – 0.4976</t>
        </is>
      </c>
      <c r="B11" s="39" t="inlineStr">
        <is>
          <t>Cobertura escasa</t>
        </is>
      </c>
      <c r="C11" s="42" t="n">
        <v>46.157</v>
      </c>
      <c r="D11" s="42" t="n">
        <v>9.053000000000001</v>
      </c>
      <c r="E11" s="39" t="inlineStr">
        <is>
          <t>BAJO UMBRAL</t>
        </is>
      </c>
    </row>
    <row r="12">
      <c r="A12" s="43" t="inlineStr">
        <is>
          <t>0.2650 – 0.3813</t>
        </is>
      </c>
      <c r="B12" s="44" t="inlineStr">
        <is>
          <t>Cobertura muy escasa</t>
        </is>
      </c>
      <c r="C12" s="43" t="n">
        <v>8.483000000000001</v>
      </c>
      <c r="D12" s="43" t="n">
        <v>1.664</v>
      </c>
      <c r="E12" s="44" t="inlineStr">
        <is>
          <t>BAJO UMBRAL</t>
        </is>
      </c>
    </row>
    <row r="13">
      <c r="A13" s="42" t="inlineStr">
        <is>
          <t>≤ 0.2650</t>
        </is>
      </c>
      <c r="B13" s="39" t="inlineStr">
        <is>
          <t>Suelo desnudo / degradación crítica</t>
        </is>
      </c>
      <c r="C13" s="42" t="n">
        <v>0</v>
      </c>
      <c r="D13" s="42" t="n">
        <v>0</v>
      </c>
      <c r="E13" s="39" t="inlineStr">
        <is>
          <t>BAJO UMBRAL</t>
        </is>
      </c>
    </row>
    <row r="14">
      <c r="A14" s="43" t="inlineStr">
        <is>
          <t>TOTAL</t>
        </is>
      </c>
      <c r="B14" s="44" t="inlineStr"/>
      <c r="C14" s="43" t="n">
        <v>100</v>
      </c>
      <c r="D14" s="43" t="n">
        <v>19.615</v>
      </c>
      <c r="E14" s="44" t="inlineStr"/>
    </row>
    <row r="16">
      <c r="A16" s="45" t="inlineStr">
        <is>
          <t>INDICADOR DE BRECHA (R.M. N° 00213-2024-MINAM): 10.717 ha bajo el umbral MSAVI de 0.4976 = 54.64 % del bloque.</t>
        </is>
      </c>
    </row>
    <row r="18">
      <c r="A18" s="40" t="inlineStr">
        <is>
          <t>B. NDVI mediana 2025 — clasificación planimétrica sobre el plano temático</t>
        </is>
      </c>
    </row>
    <row r="19" ht="30" customHeight="1" s="17">
      <c r="A19" s="41" t="inlineStr">
        <is>
          <t>Clase NDVI mediana 2025</t>
        </is>
      </c>
      <c r="B19" s="41" t="inlineStr">
        <is>
          <t>% del bloque</t>
        </is>
      </c>
      <c r="C19" s="41" t="inlineStr">
        <is>
          <t>Superficie (ha)</t>
        </is>
      </c>
    </row>
    <row r="20">
      <c r="A20" s="42" t="inlineStr">
        <is>
          <t>Vegetación alta</t>
        </is>
      </c>
      <c r="B20" s="42" t="n">
        <v>45.89</v>
      </c>
      <c r="C20" s="42" t="n">
        <v>9.000999999999999</v>
      </c>
    </row>
    <row r="21">
      <c r="A21" s="43" t="inlineStr">
        <is>
          <t>Vegetación mediana</t>
        </is>
      </c>
      <c r="B21" s="43" t="n">
        <v>51.82</v>
      </c>
      <c r="C21" s="43" t="n">
        <v>10.165</v>
      </c>
    </row>
    <row r="22">
      <c r="A22" s="42" t="inlineStr">
        <is>
          <t>Vegetación ligera</t>
        </is>
      </c>
      <c r="B22" s="42" t="n">
        <v>2.29</v>
      </c>
      <c r="C22" s="42" t="n">
        <v>0.449</v>
      </c>
    </row>
    <row r="23">
      <c r="A23" s="43" t="inlineStr">
        <is>
          <t>Tierra desnuda</t>
        </is>
      </c>
      <c r="B23" s="43" t="n">
        <v>0</v>
      </c>
      <c r="C23" s="43" t="n">
        <v>0</v>
      </c>
    </row>
    <row r="24">
      <c r="A24" s="42" t="inlineStr">
        <is>
          <t>Clase no vegetal</t>
        </is>
      </c>
      <c r="B24" s="42" t="n">
        <v>0</v>
      </c>
      <c r="C24" s="42" t="n">
        <v>0</v>
      </c>
    </row>
    <row r="25">
      <c r="A25" s="43" t="inlineStr">
        <is>
          <t>TOTAL</t>
        </is>
      </c>
      <c r="B25" s="43" t="n">
        <v>100</v>
      </c>
      <c r="C25" s="43" t="n">
        <v>19.615</v>
      </c>
    </row>
    <row r="27" ht="46" customHeight="1" s="17">
      <c r="A27" s="46" t="inlineStr">
        <is>
          <t>NOTA METODOLÓGICA. Los porcentajes proceden de clasificación planimétrica por color sobre los planos temáticos georreferenciados MSAVI_Piura_2024 y NDVI mediana 2025, no de estadística zonal directa sobre el ráster. Deben confirmarse con el ráster original.</t>
        </is>
      </c>
    </row>
    <row r="28" ht="46" customHeight="1" s="17">
      <c r="A28" s="46" t="inlineStr">
        <is>
          <t>CONTROL DE CONSISTENCIA. La media MSAVI reconstruida a partir de los puntos medios de clase es 0.4939, frente a 0.49246 del catálogo Bloques V5 (desviación 0.0014 = 0.3 %). La clasificación se considera consistente.</t>
        </is>
      </c>
    </row>
    <row r="29" ht="46" customHeight="1" s="17">
      <c r="A29" s="46" t="inlineStr">
        <is>
          <t>DIVERGENCIA ENTRE ÍNDICES. El NDVI 2025 asigna el 97.71 % del bloque a vegetación alta o mediana, mientras el MSAVI 2024 sitúa el 54.64 % bajo el umbral de 0.4976. SE ADOPTA EL MSAVI COMO LECTURA PREFERENTE por corregir el efecto del suelo de fondo y discriminar mejor las coberturas ralas de matorral seco y pastizal en estiaje. Ambas escenas corresponden a años y estaciones distintos: su contraste NO constituye serie temporal ni autoriza a inferir tendencia.</t>
        </is>
      </c>
    </row>
    <row r="30" ht="46" customHeight="1" s="17">
      <c r="A30" s="46" t="inlineStr">
        <is>
          <t>DISTRIBUCIÓN ESPACIAL. La clase 0.3813–0.4976 forma una banda continua desde el vértice norte hasta el sector central del polígono y ocupa buena parte de la cola occidental; las clases de mayor vigor se concentran en el tercio oriental y en las vaguadas del flanco sur. Las 1.664 ha de cobertura muy escasa se localizan en el extremo occidental de la cola —el sector inmediato a los caseríos y a las parcelas de maíz— y en dos manchas del sector nororiental.</t>
        </is>
      </c>
    </row>
    <row r="31" ht="46" customHeight="1" s="17">
      <c r="A31" s="46" t="inlineStr">
        <is>
          <t>El bloque NO registra superficie en la clase crítica (≤ 0.2650): la degradación es extensiva y de intensidad media, no puntual y severa.</t>
        </is>
      </c>
    </row>
  </sheetData>
  <mergeCells count="10">
    <mergeCell ref="A30:E30"/>
    <mergeCell ref="A29:E29"/>
    <mergeCell ref="A4:E4"/>
    <mergeCell ref="A2:E2"/>
    <mergeCell ref="A28:E28"/>
    <mergeCell ref="A1:E1"/>
    <mergeCell ref="A5:E5"/>
    <mergeCell ref="A31:E31"/>
    <mergeCell ref="A27:E27"/>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9" customWidth="1" style="17" min="1" max="1"/>
    <col width="11" customWidth="1" style="17" min="2" max="2"/>
    <col width="13" customWidth="1" style="17" min="3" max="3"/>
    <col width="13" customWidth="1" style="17" min="4" max="4"/>
    <col width="17" customWidth="1" style="17" min="5" max="5"/>
    <col width="14" customWidth="1" style="17" min="6" max="6"/>
    <col width="90" customWidth="1" style="17" min="7" max="7"/>
    <col width="3" customWidth="1" style="17" min="8" max="8"/>
  </cols>
  <sheetData>
    <row r="1" ht="16" customHeight="1" s="17">
      <c r="A1" s="35" t="inlineStr">
        <is>
          <t>AUTORIDAD NACIONAL DE INFRAESTRUCTURA — ANIN</t>
        </is>
      </c>
    </row>
    <row r="2" ht="16" customHeight="1" s="17">
      <c r="A2" s="35" t="inlineStr">
        <is>
          <t>DIRECCIÓN DE INTERVENCIONES MULTISECTORIALES Y DE EMERGENCIA — DIME</t>
        </is>
      </c>
    </row>
    <row r="3" ht="16" customHeight="1" s="17">
      <c r="A3" s="35" t="inlineStr">
        <is>
          <t>SUBDIRECCIÓN DE ESTUDIOS DE INVERSIÓN — SESDI</t>
        </is>
      </c>
    </row>
    <row r="4" ht="20" customHeight="1" s="17">
      <c r="A4" s="36" t="inlineStr">
        <is>
          <t>PROYECTO IN PIURA · CUI 2669244 · BLOQUE 76 · Microcuenca C1076-Q9593 · Huarmaca, Huancabamba, Piura</t>
        </is>
      </c>
    </row>
    <row r="5" ht="20" customHeight="1" s="17">
      <c r="A5" s="36" t="inlineStr">
        <is>
          <t>REGISTRO FOTOGRÁFICO GEORREFERENCIADO — 19 DE AGOSTO DE 2026</t>
        </is>
      </c>
    </row>
    <row r="7" ht="30" customHeight="1" s="17">
      <c r="A7" s="41" t="inlineStr">
        <is>
          <t>Cód.</t>
        </is>
      </c>
      <c r="B7" s="41" t="inlineStr">
        <is>
          <t>Hora</t>
        </is>
      </c>
      <c r="C7" s="41" t="inlineStr">
        <is>
          <t>UTM ESTE</t>
        </is>
      </c>
      <c r="D7" s="41" t="inlineStr">
        <is>
          <t>UTM NORTE</t>
        </is>
      </c>
      <c r="E7" s="41" t="inlineStr">
        <is>
          <t>Dist. al polígono B-76 (m)</t>
        </is>
      </c>
      <c r="F7" s="41" t="inlineStr">
        <is>
          <t>Posición</t>
        </is>
      </c>
      <c r="G7" s="41" t="inlineStr">
        <is>
          <t>Contenido / evidencia registrada</t>
        </is>
      </c>
      <c r="H7" s="41" t="inlineStr"/>
    </row>
    <row r="8">
      <c r="A8" s="42" t="inlineStr">
        <is>
          <t>E-01</t>
        </is>
      </c>
      <c r="B8" s="42" t="inlineStr">
        <is>
          <t>14:20:53</t>
        </is>
      </c>
      <c r="C8" s="42" t="n">
        <v>657704</v>
      </c>
      <c r="D8" s="42" t="n">
        <v>9377627</v>
      </c>
      <c r="E8" s="42" t="inlineStr">
        <is>
          <t>~106</t>
        </is>
      </c>
      <c r="F8" s="42" t="inlineStr">
        <is>
          <t>FUERA</t>
        </is>
      </c>
      <c r="G8" s="39" t="inlineStr">
        <is>
          <t>Trocha de acceso ascendente hacia la ladera del bloque; parcela de maíz cosechado tras cerco de postes de madera, plantones de eucalipto alineados en el borde de la vía, vivienda dispersa en la cresta</t>
        </is>
      </c>
    </row>
    <row r="9">
      <c r="A9" s="43" t="inlineStr">
        <is>
          <t>E-02</t>
        </is>
      </c>
      <c r="B9" s="43" t="inlineStr">
        <is>
          <t>14:21:25</t>
        </is>
      </c>
      <c r="C9" s="43" t="n">
        <v>657727</v>
      </c>
      <c r="D9" s="43" t="n">
        <v>9377637</v>
      </c>
      <c r="E9" s="43" t="inlineStr">
        <is>
          <t>~108</t>
        </is>
      </c>
      <c r="F9" s="43" t="inlineStr">
        <is>
          <t>FUERA</t>
        </is>
      </c>
      <c r="G9" s="44" t="inlineStr">
        <is>
          <t>Vivienda rural con techo de calamina, huerto familiar de plátano, agave y maíz seco; al fondo, cerro con matorral seco de cobertura discontinua</t>
        </is>
      </c>
    </row>
    <row r="10">
      <c r="A10" s="42" t="inlineStr">
        <is>
          <t>E-03</t>
        </is>
      </c>
      <c r="B10" s="42" t="inlineStr">
        <is>
          <t>14:23:14</t>
        </is>
      </c>
      <c r="C10" s="42" t="n">
        <v>657703</v>
      </c>
      <c r="D10" s="42" t="n">
        <v>9377569</v>
      </c>
      <c r="E10" s="42" t="inlineStr">
        <is>
          <t>~50</t>
        </is>
      </c>
      <c r="F10" s="42" t="inlineStr">
        <is>
          <t>FUERA</t>
        </is>
      </c>
      <c r="G10" s="39" t="inlineStr">
        <is>
          <t>Interfluvio convexo con pastizal seco y suelo desnudo continuo; caprino en pastoreo libre; arbustos dispersos en recolonización; matorral denso en la cabecera de la vaguada</t>
        </is>
      </c>
    </row>
    <row r="11">
      <c r="A11" s="43" t="inlineStr">
        <is>
          <t>E-04</t>
        </is>
      </c>
      <c r="B11" s="43" t="inlineStr">
        <is>
          <t>14:23:17</t>
        </is>
      </c>
      <c r="C11" s="43" t="n">
        <v>657702</v>
      </c>
      <c r="D11" s="43" t="n">
        <v>9377568</v>
      </c>
      <c r="E11" s="43" t="inlineStr">
        <is>
          <t>~50</t>
        </is>
      </c>
      <c r="F11" s="43" t="inlineStr">
        <is>
          <t>FUERA</t>
        </is>
      </c>
      <c r="G11" s="44" t="inlineStr">
        <is>
          <t>Vaguada / cárcava somera activa con fondo pedregoso, taludes desnudos de coluvión y saprolito, SIN obra de cruce; restos de roza en la ladera contigua</t>
        </is>
      </c>
    </row>
    <row r="12">
      <c r="A12" s="42" t="inlineStr">
        <is>
          <t>E-05</t>
        </is>
      </c>
      <c r="B12" s="42" t="inlineStr">
        <is>
          <t>14:23:27</t>
        </is>
      </c>
      <c r="C12" s="42" t="n">
        <v>657706</v>
      </c>
      <c r="D12" s="42" t="n">
        <v>9377564</v>
      </c>
      <c r="E12" s="42" t="inlineStr">
        <is>
          <t>~45</t>
        </is>
      </c>
      <c r="F12" s="42" t="inlineStr">
        <is>
          <t>FUERA</t>
        </is>
      </c>
      <c r="G12" s="39" t="inlineStr">
        <is>
          <t>Talud de corte de la trocha en coluvión pardo-rojizo, sin banquetas ni revegetación; plataforma sin afirmado; parcela con restos de cosecha y vivienda en la cresta</t>
        </is>
      </c>
    </row>
    <row r="13">
      <c r="A13" s="43" t="inlineStr">
        <is>
          <t>E-06</t>
        </is>
      </c>
      <c r="B13" s="43" t="inlineStr">
        <is>
          <t>14:25:45</t>
        </is>
      </c>
      <c r="C13" s="43" t="n">
        <v>657551</v>
      </c>
      <c r="D13" s="43" t="n">
        <v>9377519</v>
      </c>
      <c r="E13" s="43" t="inlineStr">
        <is>
          <t>~101</t>
        </is>
      </c>
      <c r="F13" s="43" t="inlineStr">
        <is>
          <t>FUERA</t>
        </is>
      </c>
      <c r="G13" s="44" t="inlineStr">
        <is>
          <t>Corte de la trocha sobre saprolito blanquecino fracturado, con acanaladuras de erosión concentrada; ciprés aislado, huerto de plátano y viviendas del caserío Hualanga en la parte alta</t>
        </is>
      </c>
    </row>
    <row r="14">
      <c r="A14" s="42" t="inlineStr">
        <is>
          <t>E-07</t>
        </is>
      </c>
      <c r="B14" s="42" t="inlineStr">
        <is>
          <t>14:25:47</t>
        </is>
      </c>
      <c r="C14" s="42" t="n">
        <v>657551</v>
      </c>
      <c r="D14" s="42" t="n">
        <v>9377519</v>
      </c>
      <c r="E14" s="42" t="inlineStr">
        <is>
          <t>~101</t>
        </is>
      </c>
      <c r="F14" s="42" t="inlineStr">
        <is>
          <t>FUERA</t>
        </is>
      </c>
      <c r="G14" s="39" t="inlineStr">
        <is>
          <t>Vista continua del mismo tramo: ladera de fuerte pendiente con matorral ralo, parcelas de maíz en secano y sacos de material dispuestos en el borde de plataforma</t>
        </is>
      </c>
    </row>
    <row r="15">
      <c r="A15" s="43" t="inlineStr">
        <is>
          <t>E-08</t>
        </is>
      </c>
      <c r="B15" s="43" t="inlineStr">
        <is>
          <t>14:28:49</t>
        </is>
      </c>
      <c r="C15" s="43" t="n">
        <v>657554</v>
      </c>
      <c r="D15" s="43" t="n">
        <v>9377128</v>
      </c>
      <c r="E15" s="43" t="inlineStr">
        <is>
          <t>~169</t>
        </is>
      </c>
      <c r="F15" s="43" t="inlineStr">
        <is>
          <t>FUERA</t>
        </is>
      </c>
      <c r="G15" s="44" t="inlineStr">
        <is>
          <t>Ladera recién desbrozada con restos de roza tendidos sobre el suelo y escarpe de colapso de 0.4-0.8 m en el borde de la parcela; matorral seco no intervenido en la parte superior</t>
        </is>
      </c>
    </row>
    <row r="16">
      <c r="A16" s="42" t="inlineStr">
        <is>
          <t>E-09</t>
        </is>
      </c>
      <c r="B16" s="42" t="inlineStr">
        <is>
          <t>14:28:57</t>
        </is>
      </c>
      <c r="C16" s="42" t="n">
        <v>657554</v>
      </c>
      <c r="D16" s="42" t="n">
        <v>9377128</v>
      </c>
      <c r="E16" s="42" t="inlineStr">
        <is>
          <t>~169</t>
        </is>
      </c>
      <c r="F16" s="42" t="inlineStr">
        <is>
          <t>FUERA</t>
        </is>
      </c>
      <c r="G16" s="39" t="inlineStr">
        <is>
          <t>Misma parcela desbrozada, encuadre frontal: faique defoliado en primer plano, suelo desnudo con pastizal seco y escarpe de colapso</t>
        </is>
      </c>
    </row>
    <row r="17">
      <c r="A17" s="43" t="inlineStr">
        <is>
          <t>E-10</t>
        </is>
      </c>
      <c r="B17" s="43" t="inlineStr">
        <is>
          <t>14:29:10</t>
        </is>
      </c>
      <c r="C17" s="43" t="n">
        <v>657559</v>
      </c>
      <c r="D17" s="43" t="n">
        <v>9377129</v>
      </c>
      <c r="E17" s="43" t="inlineStr">
        <is>
          <t>~167</t>
        </is>
      </c>
      <c r="F17" s="43" t="inlineStr">
        <is>
          <t>FUERA</t>
        </is>
      </c>
      <c r="G17" s="44" t="inlineStr">
        <is>
          <t>Trocha carrozable con cuneta de tierra y talud de corte con material removido; al fondo, paisaje de laderas cultivadas de la vertiente de la Q9593</t>
        </is>
      </c>
    </row>
    <row r="18">
      <c r="A18" s="42" t="inlineStr">
        <is>
          <t>(B-80)</t>
        </is>
      </c>
      <c r="B18" s="42" t="inlineStr">
        <is>
          <t>11:46:30</t>
        </is>
      </c>
      <c r="C18" s="42" t="n">
        <v>657713</v>
      </c>
      <c r="D18" s="42" t="n">
        <v>9373173</v>
      </c>
      <c r="E18" s="42" t="inlineStr">
        <is>
          <t>~4 400</t>
        </is>
      </c>
      <c r="F18" s="42" t="inlineStr">
        <is>
          <t>OTRO BLOQUE</t>
        </is>
      </c>
      <c r="G18" s="39" t="inlineStr">
        <is>
          <t>ARCHIVO ROTULADO «Bloque 80». NO corresponde al Bloque 76: se localiza a ~4.4 km al sur, a ~566 m del centroide del Bloque 80 (657 160 E / 9 373 050 N). Se excluye del análisis del Bloque 76 y se remite al expediente del Bloque 80</t>
        </is>
      </c>
    </row>
    <row r="20" ht="30" customHeight="1" s="17">
      <c r="A20" s="46" t="inlineStr">
        <is>
          <t>Las distancias se midieron planimétricamente sobre el plano temático MSAVI georreferenciado (2.914 px/m); tolerancia estimada ±10-15 m por digitalización.</t>
        </is>
      </c>
    </row>
    <row r="21" ht="30" customHeight="1" s="17">
      <c r="A21" s="46" t="inlineStr">
        <is>
          <t>NINGUNA de las 10 estaciones del Bloque 76 cae dentro del polígono: la caracterización de campo representa el CORREDOR VIAL y el BORDE OCCIDENTAL Y SEPTENTRIONAL, no el interior del bloque.</t>
        </is>
      </c>
    </row>
    <row r="22" ht="30" customHeight="1" s="17">
      <c r="A22" s="46" t="inlineStr">
        <is>
          <t>Las 10 tomas se agrupan en 4 posiciones distintas (E-01/E-02; E-03/E-04/E-05; E-06/E-07; E-08/E-09/E-10) a lo largo de ~570 m de recorrido en dirección N–S.</t>
        </is>
      </c>
    </row>
    <row r="23" ht="30" customHeight="1" s="17">
      <c r="A23" s="46" t="inlineStr">
        <is>
          <t>El sector oriental del bloque —el de mayor vigor de cobertura según ambos índices y el de mayor cota (1 838 msnm)— no fue observado.</t>
        </is>
      </c>
    </row>
    <row r="24" ht="30" customHeight="1" s="17">
      <c r="A24" s="46" t="inlineStr">
        <is>
          <t>Todas las tomas llevan sello UTM 17M impreso por la aplicación de captura; no se dispone de altitud GPS ni de rumbo de toma.</t>
        </is>
      </c>
    </row>
  </sheetData>
  <mergeCells count="10">
    <mergeCell ref="A1:H1"/>
    <mergeCell ref="A4:H4"/>
    <mergeCell ref="A3:H3"/>
    <mergeCell ref="A21:G21"/>
    <mergeCell ref="A2:H2"/>
    <mergeCell ref="A22:G22"/>
    <mergeCell ref="A20:G20"/>
    <mergeCell ref="A24:G24"/>
    <mergeCell ref="A5:H5"/>
    <mergeCell ref="A23:G2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6" customWidth="1" style="17" min="1" max="1"/>
    <col width="13" customWidth="1" style="17" min="2" max="2"/>
    <col width="15" customWidth="1" style="17" min="3" max="3"/>
    <col width="13" customWidth="1" style="17" min="4" max="4"/>
    <col width="17" customWidth="1" style="17" min="5" max="5"/>
    <col width="17" customWidth="1" style="17" min="6" max="6"/>
    <col width="17" customWidth="1" style="17" min="7" max="7"/>
    <col width="34" customWidth="1" style="17" min="8" max="8"/>
  </cols>
  <sheetData>
    <row r="1" ht="16" customHeight="1" s="17">
      <c r="A1" s="35" t="inlineStr">
        <is>
          <t>AUTORIDAD NACIONAL DE INFRAESTRUCTURA — ANIN</t>
        </is>
      </c>
    </row>
    <row r="2" ht="16" customHeight="1" s="17">
      <c r="A2" s="35" t="inlineStr">
        <is>
          <t>DIRECCIÓN DE INTERVENCIONES MULTISECTORIALES Y DE EMERGENCIA — DIME</t>
        </is>
      </c>
    </row>
    <row r="3" ht="16" customHeight="1" s="17">
      <c r="A3" s="35" t="inlineStr">
        <is>
          <t>SUBDIRECCIÓN DE ESTUDIOS DE INVERSIÓN — SESDI</t>
        </is>
      </c>
    </row>
    <row r="4" ht="20" customHeight="1" s="17">
      <c r="A4" s="36" t="inlineStr">
        <is>
          <t>PROYECTO IN PIURA · CUI 2669244 · BLOQUE 76 · Microcuenca C1076-Q9593 · Huarmaca, Huancabamba, Piura</t>
        </is>
      </c>
    </row>
    <row r="5" ht="20" customHeight="1" s="17">
      <c r="A5" s="36" t="inlineStr">
        <is>
          <t>CONTEXTO INTRAMICROCUENCA C1076-Q9593 — 8 BLOQUES PRELIMINARES · 523.872 ha</t>
        </is>
      </c>
    </row>
    <row r="7" ht="30" customHeight="1" s="17">
      <c r="A7" s="41" t="inlineStr">
        <is>
          <t>Bloque</t>
        </is>
      </c>
      <c r="B7" s="41" t="inlineStr">
        <is>
          <t>Área (ha)</t>
        </is>
      </c>
      <c r="C7" s="41" t="inlineStr">
        <is>
          <t>% microcuenca</t>
        </is>
      </c>
      <c r="D7" s="41" t="inlineStr">
        <is>
          <t>MSAVI 2024</t>
        </is>
      </c>
      <c r="E7" s="41" t="inlineStr">
        <is>
          <t>Altitud mín. (msnm)</t>
        </is>
      </c>
      <c r="F7" s="41" t="inlineStr">
        <is>
          <t>Altitud máx. (msnm)</t>
        </is>
      </c>
      <c r="G7" s="41" t="inlineStr">
        <is>
          <t>Pendiente prom. (%)</t>
        </is>
      </c>
      <c r="H7" s="41" t="inlineStr">
        <is>
          <t>Centros poblados asociados</t>
        </is>
      </c>
    </row>
    <row r="8">
      <c r="A8" s="42" t="inlineStr">
        <is>
          <t>10</t>
        </is>
      </c>
      <c r="B8" s="42" t="n">
        <v>150.214</v>
      </c>
      <c r="C8" s="42" t="n">
        <v>28.68</v>
      </c>
      <c r="D8" s="42" t="n">
        <v>0.54649</v>
      </c>
      <c r="E8" s="42" t="n">
        <v>912</v>
      </c>
      <c r="F8" s="42" t="n">
        <v>1510</v>
      </c>
      <c r="G8" s="42" t="n">
        <v>27.39</v>
      </c>
      <c r="H8" s="39" t="inlineStr">
        <is>
          <t>La Peña / Peña Grande</t>
        </is>
      </c>
    </row>
    <row r="9">
      <c r="A9" s="43" t="inlineStr">
        <is>
          <t>8</t>
        </is>
      </c>
      <c r="B9" s="43" t="n">
        <v>126.952</v>
      </c>
      <c r="C9" s="43" t="n">
        <v>24.23</v>
      </c>
      <c r="D9" s="43" t="n">
        <v>0.5548</v>
      </c>
      <c r="E9" s="43" t="n">
        <v>1504</v>
      </c>
      <c r="F9" s="43" t="n">
        <v>1970</v>
      </c>
      <c r="G9" s="43" t="n">
        <v>29.85</v>
      </c>
      <c r="H9" s="44" t="inlineStr">
        <is>
          <t>Pirga · Chonta de Platanal</t>
        </is>
      </c>
    </row>
    <row r="10">
      <c r="A10" s="42" t="inlineStr">
        <is>
          <t>16</t>
        </is>
      </c>
      <c r="B10" s="42" t="n">
        <v>83.327</v>
      </c>
      <c r="C10" s="42" t="n">
        <v>15.91</v>
      </c>
      <c r="D10" s="42" t="n">
        <v>0.62842</v>
      </c>
      <c r="E10" s="42" t="n">
        <v>1349</v>
      </c>
      <c r="F10" s="42" t="n">
        <v>1746</v>
      </c>
      <c r="G10" s="42" t="n">
        <v>22.34</v>
      </c>
      <c r="H10" s="39" t="inlineStr">
        <is>
          <t>Laguna de Paltama</t>
        </is>
      </c>
    </row>
    <row r="11">
      <c r="A11" s="43" t="inlineStr">
        <is>
          <t>20</t>
        </is>
      </c>
      <c r="B11" s="43" t="n">
        <v>81.334</v>
      </c>
      <c r="C11" s="43" t="n">
        <v>15.53</v>
      </c>
      <c r="D11" s="43" t="n">
        <v>0.48513</v>
      </c>
      <c r="E11" s="43" t="n">
        <v>1217</v>
      </c>
      <c r="F11" s="43" t="n">
        <v>1607</v>
      </c>
      <c r="G11" s="43" t="n">
        <v>24.54</v>
      </c>
      <c r="H11" s="44" t="inlineStr">
        <is>
          <t>Túpac Amaru</t>
        </is>
      </c>
    </row>
    <row r="12">
      <c r="A12" s="42" t="inlineStr">
        <is>
          <t>80</t>
        </is>
      </c>
      <c r="B12" s="42" t="n">
        <v>28.83</v>
      </c>
      <c r="C12" s="42" t="n">
        <v>5.5</v>
      </c>
      <c r="D12" s="42" t="n">
        <v>0.59307</v>
      </c>
      <c r="E12" s="42" t="n">
        <v>2180</v>
      </c>
      <c r="F12" s="42" t="n">
        <v>2491</v>
      </c>
      <c r="G12" s="42" t="n">
        <v>32.9</v>
      </c>
      <c r="H12" s="39" t="inlineStr">
        <is>
          <t>Yumbe · Cruz Roja</t>
        </is>
      </c>
    </row>
    <row r="13">
      <c r="A13" s="43" t="inlineStr">
        <is>
          <t>51</t>
        </is>
      </c>
      <c r="B13" s="43" t="n">
        <v>22.927</v>
      </c>
      <c r="C13" s="43" t="n">
        <v>4.38</v>
      </c>
      <c r="D13" s="43" t="n">
        <v>0.52379</v>
      </c>
      <c r="E13" s="43" t="n">
        <v>1734</v>
      </c>
      <c r="F13" s="43" t="n">
        <v>2018</v>
      </c>
      <c r="G13" s="43" t="n">
        <v>31.74</v>
      </c>
      <c r="H13" s="44" t="inlineStr">
        <is>
          <t>Talla · Shain</t>
        </is>
      </c>
    </row>
    <row r="14">
      <c r="A14" s="47" t="inlineStr">
        <is>
          <t>76</t>
        </is>
      </c>
      <c r="B14" s="47" t="n">
        <v>19.615</v>
      </c>
      <c r="C14" s="47" t="n">
        <v>3.75</v>
      </c>
      <c r="D14" s="47" t="n">
        <v>0.49246</v>
      </c>
      <c r="E14" s="47" t="n">
        <v>1647</v>
      </c>
      <c r="F14" s="47" t="n">
        <v>1838</v>
      </c>
      <c r="G14" s="47" t="n">
        <v>26.25</v>
      </c>
      <c r="H14" s="48" t="inlineStr">
        <is>
          <t>Sahuate Hualanga · Hualanga</t>
        </is>
      </c>
    </row>
    <row r="15">
      <c r="A15" s="43" t="inlineStr">
        <is>
          <t>71</t>
        </is>
      </c>
      <c r="B15" s="43" t="n">
        <v>10.673</v>
      </c>
      <c r="C15" s="43" t="n">
        <v>2.04</v>
      </c>
      <c r="D15" s="43" t="n">
        <v>0.55707</v>
      </c>
      <c r="E15" s="43" t="n">
        <v>1478</v>
      </c>
      <c r="F15" s="43" t="n">
        <v>1609</v>
      </c>
      <c r="G15" s="43" t="n">
        <v>29.45</v>
      </c>
      <c r="H15" s="44" t="inlineStr">
        <is>
          <t>Pirga · Chonta de Platanal</t>
        </is>
      </c>
    </row>
    <row r="16">
      <c r="A16" s="42" t="inlineStr">
        <is>
          <t>TOTAL / PROM.</t>
        </is>
      </c>
      <c r="B16" s="42" t="n">
        <v>523.872</v>
      </c>
      <c r="C16" s="42" t="n">
        <v>100</v>
      </c>
      <c r="D16" s="42" t="n">
        <v>0.54765</v>
      </c>
      <c r="E16" s="42" t="n">
        <v>912</v>
      </c>
      <c r="F16" s="42" t="n">
        <v>2491</v>
      </c>
      <c r="G16" s="42" t="n">
        <v>28.06</v>
      </c>
      <c r="H16" s="39" t="inlineStr">
        <is>
          <t>—</t>
        </is>
      </c>
    </row>
    <row r="18" ht="42" customHeight="1" s="17">
      <c r="A18" s="46" t="inlineStr">
        <is>
          <t>POSICIÓN DEL BLOQUE 76 EN SU MICROCUENCA: 7.º en superficie de 8 (3.75 %); 7.º en vigor de cobertura (MSAVI 0.49246 frente a 0.54765 del promedio local, −10.1 %), solo por encima del Bloque 20; 6.º en pendiente promedio (26.25 % frente a 28.06 %); y el de MENOR amplitud altitudinal del conjunto (191 m).</t>
        </is>
      </c>
    </row>
    <row r="19" ht="42" customHeight="1" s="17">
      <c r="A19" s="46" t="inlineStr">
        <is>
          <t>Es, junto con el Bloque 20, uno de los dos únicos bloques de la microcuenca cuyo MSAVI medio se sitúa POR DEBAJO del umbral de 0.4976: son los dos bloques de vocación prioritaria de RECUPERACIÓN dentro de un conjunto en el que predomina la vocación de protección y manejo.</t>
        </is>
      </c>
    </row>
    <row r="20" ht="42" customHeight="1" s="17">
      <c r="A20" s="46" t="inlineStr">
        <is>
          <t>Su reducida superficie (19.615 ha) y su buena accesibilidad vial lo hacen apto para actuar como BLOQUE DEMOSTRATIVO de las medidas de recuperación en la microcuenca, con costo de inversión acotado y alta visibilidad ante la población de Hualanga y Sahuate Hualanga.</t>
        </is>
      </c>
    </row>
    <row r="21" ht="42" customHeight="1" s="17">
      <c r="A21" s="46" t="inlineStr">
        <is>
          <t>Fuentes: catálogo Bloques V5 (05-agosto, rev. hscm), CP´s y Bloques V5, tabla auxiliar «Bloques V4» y «Rango de altitud y Pendiente Promedio por Bloque» (estadística zonal sobre MDE).</t>
        </is>
      </c>
    </row>
  </sheetData>
  <mergeCells count="9">
    <mergeCell ref="A1:H1"/>
    <mergeCell ref="A4:H4"/>
    <mergeCell ref="A18:H18"/>
    <mergeCell ref="A3:H3"/>
    <mergeCell ref="A21:H21"/>
    <mergeCell ref="A20:H20"/>
    <mergeCell ref="A2:H2"/>
    <mergeCell ref="A19:H1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2026-05-08T03:16:44Z</dcterms:created>
  <dcterms:modified xmlns:dcterms="http://purl.org/dc/terms/" xmlns:xsi="http://www.w3.org/2001/XMLSchema-instance" xsi:type="dcterms:W3CDTF">2026-09-02T23:30:09Z</dcterms:modified>
  <cp:lastModifiedBy>Hector Salomón Cahuas Miller</cp:lastModifiedBy>
  <cp:revision>0</cp:revision>
</cp:coreProperties>
</file>