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Bloque 71" sheetId="1" state="visible" r:id="rId3"/>
    <sheet name="Cobertura MSAVI-NDVI" sheetId="2" state="visible" r:id="rId4"/>
    <sheet name="Estaciones fotográficas" sheetId="3" state="visible" r:id="rId5"/>
    <sheet name="Microcuenca C1076-Q9593" sheetId="4" state="visible" r:id="rId6"/>
    <sheet name="F-DT-01" sheetId="5" state="visible" r:id="rId7"/>
    <sheet name="F-DT-02" sheetId="6" state="visible" r:id="rId8"/>
    <sheet name="F-DT-03" sheetId="7" state="visible" r:id="rId9"/>
    <sheet name="F-DT-04" sheetId="8" state="visible" r:id="rId10"/>
    <sheet name="F-DT-05" sheetId="9" state="visible" r:id="rId11"/>
    <sheet name="Bloques V4" sheetId="10" state="visible" r:id="rId12"/>
    <sheet name="_Listas" sheetId="11" state="visible" r:id="rId13"/>
  </sheets>
  <definedNames>
    <definedName function="false" hidden="false" localSheetId="4" name="_xlnm.Print_Titles" vbProcedure="false">'F-DT-01'!$1:$6</definedName>
    <definedName function="false" hidden="false" localSheetId="5" name="_xlnm.Print_Titles" vbProcedure="false">'F-DT-02'!$1:$6</definedName>
    <definedName function="false" hidden="false" localSheetId="6" name="_xlnm.Print_Titles" vbProcedure="false">'F-DT-03'!$1:$6</definedName>
    <definedName function="false" hidden="false" localSheetId="7" name="_xlnm.Print_Titles" vbProcedure="false">'F-DT-04'!$1:$6</definedName>
    <definedName function="false" hidden="false" localSheetId="8"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<sst xmlns="http://schemas.openxmlformats.org/spreadsheetml/2006/main" count="1646" uniqueCount="948">
  <si>
    <t xml:space="preserve">AUTORIDAD NACIONAL DE INFRAESTRUCTURA — ANIN</t>
  </si>
  <si>
    <t xml:space="preserve">DIRECCIÓN DE INTERVENCIONES MULTISECTORIALES Y DE EMERGENCIA — DIME</t>
  </si>
  <si>
    <t xml:space="preserve">SUBDIRECCIÓN DE ESTUDIOS DE INVERSIÓN — SESDI</t>
  </si>
  <si>
    <t xml:space="preserve">PROYECTO IN PIURA  |  CUI 2669244  |  Fase de Preinversión (Perfil)</t>
  </si>
  <si>
    <t xml:space="preserve">FICHA RESUMEN — BLOQUE PRELIMINAR DE INTERVENCIÓN N° 71</t>
  </si>
  <si>
    <t xml:space="preserve">Microcuenca C1076-Q9593 · C.P. Pirga · Distrito de Huarmaca · Provincia de Huancabamba · Piura · UTM WGS 84 17S (EPSG:32717)</t>
  </si>
  <si>
    <t xml:space="preserve">1. IDENTIFICACIÓN Y CATÁLOGO</t>
  </si>
  <si>
    <t xml:space="preserve">Código del bloque</t>
  </si>
  <si>
    <t xml:space="preserve">71</t>
  </si>
  <si>
    <t xml:space="preserve">Rótulo cartográfico</t>
  </si>
  <si>
    <t xml:space="preserve">B4_2 (plano MSAVI)</t>
  </si>
  <si>
    <t xml:space="preserve">Microcuenca</t>
  </si>
  <si>
    <t xml:space="preserve">C1076-Q9593</t>
  </si>
  <si>
    <t xml:space="preserve">Zona de planificación</t>
  </si>
  <si>
    <t xml:space="preserve">Z14</t>
  </si>
  <si>
    <t xml:space="preserve">Departamento / Provincia</t>
  </si>
  <si>
    <t xml:space="preserve">Piura / Huancabamba</t>
  </si>
  <si>
    <t xml:space="preserve">Distrito</t>
  </si>
  <si>
    <t xml:space="preserve">Huarmaca</t>
  </si>
  <si>
    <t xml:space="preserve">Centro poblado asociado</t>
  </si>
  <si>
    <t xml:space="preserve">Pirga</t>
  </si>
  <si>
    <t xml:space="preserve">Comunidad campesina</t>
  </si>
  <si>
    <t xml:space="preserve">Por verificar</t>
  </si>
  <si>
    <t xml:space="preserve">Superficie oficial (Bloques V5)</t>
  </si>
  <si>
    <t xml:space="preserve">10.673 ha</t>
  </si>
  <si>
    <t xml:space="preserve">Superficie reconstruida sobre plano</t>
  </si>
  <si>
    <t xml:space="preserve">10.276 ha (−3.7 %)</t>
  </si>
  <si>
    <t xml:space="preserve">Centroide (catálogo Bloques V4)</t>
  </si>
  <si>
    <t xml:space="preserve">652 104 E · 9 373 045 N</t>
  </si>
  <si>
    <t xml:space="preserve">Centroide medido sobre plano</t>
  </si>
  <si>
    <t xml:space="preserve">652 063 E · 9 373 072 N (Δ ≈ 49 m)</t>
  </si>
  <si>
    <t xml:space="preserve">Extensión E–O</t>
  </si>
  <si>
    <t xml:space="preserve">≈ 654 m</t>
  </si>
  <si>
    <t xml:space="preserve">Extensión N–S</t>
  </si>
  <si>
    <t xml:space="preserve">≈ 403 m</t>
  </si>
  <si>
    <t xml:space="preserve">2. PARÁMETROS FISIOGRÁFICOS (estadística zonal sobre MDE)</t>
  </si>
  <si>
    <t xml:space="preserve">Altitud mínima</t>
  </si>
  <si>
    <t xml:space="preserve">1 478 msnm</t>
  </si>
  <si>
    <t xml:space="preserve">Altitud máxima</t>
  </si>
  <si>
    <t xml:space="preserve">1 609 msnm</t>
  </si>
  <si>
    <t xml:space="preserve">Amplitud altitudinal</t>
  </si>
  <si>
    <t xml:space="preserve">131 m (la MENOR de la microcuenca)</t>
  </si>
  <si>
    <t xml:space="preserve">Piso altitudinal</t>
  </si>
  <si>
    <t xml:space="preserve">1500-2000 m (Quechua media)</t>
  </si>
  <si>
    <t xml:space="preserve">Pendiente promedio</t>
  </si>
  <si>
    <t xml:space="preserve">29.45 %</t>
  </si>
  <si>
    <t xml:space="preserve">Clase equivalente</t>
  </si>
  <si>
    <t xml:space="preserve">25-50 % (Mod. escarpado)</t>
  </si>
  <si>
    <t xml:space="preserve">Forma del terreno</t>
  </si>
  <si>
    <t xml:space="preserve">Montañoso</t>
  </si>
  <si>
    <t xml:space="preserve">Posición fisiográfica</t>
  </si>
  <si>
    <t xml:space="preserve">Ladera media</t>
  </si>
  <si>
    <t xml:space="preserve">Exposición dominante</t>
  </si>
  <si>
    <t xml:space="preserve">Sureste</t>
  </si>
  <si>
    <t xml:space="preserve">Umbral de exclusión (&gt;75 %)</t>
  </si>
  <si>
    <t xml:space="preserve">NO SUPERADO — bloque apto</t>
  </si>
  <si>
    <t xml:space="preserve">3. COBERTURA VEGETAL</t>
  </si>
  <si>
    <t xml:space="preserve">MSAVI 2024 (media, catálogo)</t>
  </si>
  <si>
    <t xml:space="preserve">0.5571</t>
  </si>
  <si>
    <t xml:space="preserve">Posición en la microcuenca</t>
  </si>
  <si>
    <t xml:space="preserve">3.° de 8 en vigor de cobertura</t>
  </si>
  <si>
    <t xml:space="preserve">Superficie bajo umbral MSAVI 0.4976</t>
  </si>
  <si>
    <t xml:space="preserve">2.818 ha (26.40 %)</t>
  </si>
  <si>
    <t xml:space="preserve">NDVI mediana 2025</t>
  </si>
  <si>
    <t xml:space="preserve">Vegetación alta 81.47 %</t>
  </si>
  <si>
    <t xml:space="preserve">4. ECOSISTEMA (UNIDAD PRODUCTORA)</t>
  </si>
  <si>
    <t xml:space="preserve">Tipo de ecosistema (preliminar)</t>
  </si>
  <si>
    <t xml:space="preserve">Bes-cm en transición a matorral andino subhúmedo</t>
  </si>
  <si>
    <t xml:space="preserve">Estado de conservación</t>
  </si>
  <si>
    <t xml:space="preserve">Alterado (intervención marcada)</t>
  </si>
  <si>
    <t xml:space="preserve">Uso actual dominante</t>
  </si>
  <si>
    <t xml:space="preserve">Uso mixto</t>
  </si>
  <si>
    <t xml:space="preserve">Cobertura dominante</t>
  </si>
  <si>
    <t xml:space="preserve">Mixto / Mosaico</t>
  </si>
  <si>
    <t xml:space="preserve">Especies registradas</t>
  </si>
  <si>
    <t xml:space="preserve">11 (mínimo de ficha: 15 — faltan 4)</t>
  </si>
  <si>
    <t xml:space="preserve">De ellas, cultivos</t>
  </si>
  <si>
    <t xml:space="preserve">3 (maíz, plátano, café)</t>
  </si>
  <si>
    <t xml:space="preserve">5. ANÁLISIS DEL RIESGO (AdR-CCC) — PRELIMINAR</t>
  </si>
  <si>
    <t xml:space="preserve">Peligro por movimientos en masa (PMM)</t>
  </si>
  <si>
    <t xml:space="preserve">MEDIO-ALTO</t>
  </si>
  <si>
    <t xml:space="preserve">Erosión potencial hídrica (EPH)</t>
  </si>
  <si>
    <t xml:space="preserve">Peligro generador de inundaciones (PGI)</t>
  </si>
  <si>
    <t xml:space="preserve">MEDIO</t>
  </si>
  <si>
    <t xml:space="preserve">PELIGRO INTEGRADO (PI)</t>
  </si>
  <si>
    <t xml:space="preserve">ALTO</t>
  </si>
  <si>
    <t xml:space="preserve">Causa dominante de degradación</t>
  </si>
  <si>
    <t xml:space="preserve">Expansión vial y ocupación del borde (&lt; 2 años)</t>
  </si>
  <si>
    <t xml:space="preserve">Prioridad de intervención</t>
  </si>
  <si>
    <t xml:space="preserve">ALTA</t>
  </si>
  <si>
    <t xml:space="preserve">6. VERIFICACIÓN DE CAMPO</t>
  </si>
  <si>
    <t xml:space="preserve">Fecha y hora</t>
  </si>
  <si>
    <t xml:space="preserve">18-08-2026 · 14:37 – 14:45 h</t>
  </si>
  <si>
    <t xml:space="preserve">Modalidad</t>
  </si>
  <si>
    <t xml:space="preserve">Recorrido vehicular por trocha carrozable</t>
  </si>
  <si>
    <t xml:space="preserve">Responsables</t>
  </si>
  <si>
    <t xml:space="preserve">Ing. P. Talledo Hernández / Ing. H. S. Cahuas Miller</t>
  </si>
  <si>
    <t xml:space="preserve">Condición atmosférica</t>
  </si>
  <si>
    <t xml:space="preserve">Neblina densa</t>
  </si>
  <si>
    <t xml:space="preserve">Estaciones fotográficas</t>
  </si>
  <si>
    <t xml:space="preserve">9 tomas en 6 posiciones</t>
  </si>
  <si>
    <t xml:space="preserve">Fichas F-DT diligenciadas en campo</t>
  </si>
  <si>
    <t xml:space="preserve">NINGUNA — prellenado de gabinete</t>
  </si>
  <si>
    <t xml:space="preserve">Distancia de las estaciones al polígono</t>
  </si>
  <si>
    <t xml:space="preserve">15.8 – 42.9 m (todas FUERA del bloque)</t>
  </si>
  <si>
    <t xml:space="preserve">Interior del bloque</t>
  </si>
  <si>
    <t xml:space="preserve">NO VERIFICADO</t>
  </si>
  <si>
    <t xml:space="preserve">ADVERTENCIA METODOLÓGICA — Ninguna de las cinco fichas F-DT fue diligenciada en campo; el presente libro es un PRELLENADO DE GABINETE sobre la plantilla maestra V5. Las 9 estaciones fotográficas del 18-08-2026 se localizan íntegramente fuera del polígono, sobre la trocha carrozable que bordea sus límites norte y oriental, a distancias de 15.8 a 42.9 m. El núcleo interior del bloque —donde se concentran las 2.82 ha bajo umbral MSAVI— NO fue recorrido.
Las distancias y superficies reconstruidas se midieron sobre el plano temático georreferenciado por la grilla UTM (escala 3.67 px/m), con tolerancia estimada de ±10-15 m. La superficie oficial adoptada es 10.673 ha (catálogo Bloques V5).
Los indicadores no cuantificados se rotulan «Por determinar» y NO fueron inferidos.</t>
  </si>
  <si>
    <t xml:space="preserve">COBERTURA VEGETAL — MSAVI 2024 y NDVI MEDIANA 2025 · BLOQUE 71</t>
  </si>
  <si>
    <t xml:space="preserve">Clasificación por conteo de píxeles sobre los planos temáticos georreferenciados del bloque</t>
  </si>
  <si>
    <t xml:space="preserve">Superficie oficial de referencia (ha)</t>
  </si>
  <si>
    <t xml:space="preserve">← dato de entrada: catálogo Bloques V5 (05-ago). Las superficies se calculan por fórmula sobre esta celda.</t>
  </si>
  <si>
    <t xml:space="preserve">Clase MSAVI 2024</t>
  </si>
  <si>
    <t xml:space="preserve">Interpretación</t>
  </si>
  <si>
    <t xml:space="preserve">Píxeles</t>
  </si>
  <si>
    <t xml:space="preserve">% del bloque</t>
  </si>
  <si>
    <t xml:space="preserve">Superficie (ha)</t>
  </si>
  <si>
    <t xml:space="preserve">Lectura diagnóstica</t>
  </si>
  <si>
    <t xml:space="preserve">&gt; 0.6139</t>
  </si>
  <si>
    <t xml:space="preserve">Cobertura densa y vigorosa</t>
  </si>
  <si>
    <t xml:space="preserve">Franja perimetral norte y sur del polígono; masa de ecosistema funcional a proteger</t>
  </si>
  <si>
    <t xml:space="preserve">0.4976 – 0.6139</t>
  </si>
  <si>
    <t xml:space="preserve">Cobertura moderada a alta</t>
  </si>
  <si>
    <t xml:space="preserve">Clase dominante; matiz de transición entre el núcleo degradado y los bordes vigorosos</t>
  </si>
  <si>
    <t xml:space="preserve">0.3813 – 0.4976</t>
  </si>
  <si>
    <t xml:space="preserve">Cobertura escasa</t>
  </si>
  <si>
    <t xml:space="preserve">NÚCLEO INTERIOR sobre la curva 1 500-1 550, coincidente con las trochas peatonales y parcelas visibles en imagen satelital</t>
  </si>
  <si>
    <t xml:space="preserve">0.2650 – 0.3813</t>
  </si>
  <si>
    <t xml:space="preserve">Cobertura muy escasa</t>
  </si>
  <si>
    <t xml:space="preserve">Manchas puntuales dentro del núcleo interior</t>
  </si>
  <si>
    <t xml:space="preserve">≤ 0.2650</t>
  </si>
  <si>
    <t xml:space="preserve">Suelo desnudo / degradación crítica</t>
  </si>
  <si>
    <t xml:space="preserve">Sin ocurrencia dentro del polígono</t>
  </si>
  <si>
    <t xml:space="preserve">TOTAL CLASIFICADO</t>
  </si>
  <si>
    <t xml:space="preserve">INDICADOR DE BRECHA — superficie bajo el umbral MSAVI de 0.4976 (R.M. N° 00213-2024-MINAM)</t>
  </si>
  <si>
    <t xml:space="preserve">Superficie degradada del bloque</t>
  </si>
  <si>
    <t xml:space="preserve">Clases ≤ 0.4976 (escasa + muy escasa + crítica)</t>
  </si>
  <si>
    <t xml:space="preserve">Referencia para el indicador de brecha del proyecto</t>
  </si>
  <si>
    <t xml:space="preserve">Clase NDVI mediana 2025</t>
  </si>
  <si>
    <t xml:space="preserve">Vegetación alta</t>
  </si>
  <si>
    <t xml:space="preserve">NDVI en rango superior</t>
  </si>
  <si>
    <t xml:space="preserve">Cubre la práctica totalidad del polígono salvo la banda central</t>
  </si>
  <si>
    <t xml:space="preserve">Vegetación mediana</t>
  </si>
  <si>
    <t xml:space="preserve">NDVI en rango intermedio</t>
  </si>
  <si>
    <t xml:space="preserve">Banda central coincidente con el núcleo de MSAVI escaso: ambos índices sitúan la degradación en el MISMO sector</t>
  </si>
  <si>
    <t xml:space="preserve">Vegetación ligera</t>
  </si>
  <si>
    <t xml:space="preserve">NDVI en rango bajo</t>
  </si>
  <si>
    <t xml:space="preserve">Sin ocurrencia</t>
  </si>
  <si>
    <t xml:space="preserve">Tierra desnuda</t>
  </si>
  <si>
    <t xml:space="preserve">Suelo expuesto</t>
  </si>
  <si>
    <t xml:space="preserve">73 píxeles (0.00 %); atribuibles al borde de simbología vial. No significativo</t>
  </si>
  <si>
    <t xml:space="preserve">Clase no vegetal</t>
  </si>
  <si>
    <t xml:space="preserve">Superficie no vegetada</t>
  </si>
  <si>
    <t xml:space="preserve">MÉTODO — Conteo directo de píxeles por clase de simbología dentro del polígono del Bloque 71 sobre los planos temáticos MSAVI_Piura_2024 y NDVI mediana 2025. El polígono se aisló como componente conexo del ráster clasificado y se georreferenció mediante la grilla UTM del plano MSAVI (652 000 E y 9 373 000 N; escala resultante 3.67 px/m). La superficie reconstruida por este procedimiento es 10.276 ha frente a las 10.673 ha del catálogo: −3.7 %, diferencia atribuible al ancho de la línea de límite y al remuestreo de la simbología. Se adopta la superficie oficial de 10.673 ha como base de conversión.
ADVERTENCIA — Los porcentajes proceden de la clasificación cromática del plano publicado, NO de estadística zonal directa sobre el ráster original. Deben confirmarse en gabinete SIG. Ambas escenas corresponden a años y estaciones distintos: su contraste NO constituye serie temporal ni autoriza a inferir tendencia. Se adopta el MSAVI como lectura preferente por corregir el efecto del suelo de fondo y discriminar mejor las coberturas ralas.
CONVERGENCIA RELEVANTE — A diferencia del Bloque 8 contiguo, aquí ambos índices coinciden en localizar la degradación en el MISMO sector: la banda central del polígono. Esta concordancia refuerza la validez del hallazgo.</t>
  </si>
  <si>
    <t xml:space="preserve">ESTACIONES FOTOGRÁFICAS GEORREFERENCIADAS — BLOQUE 71</t>
  </si>
  <si>
    <t xml:space="preserve">Recorrido del 18-08-2026 · 9 tomas en 6 posiciones · sello UTM 17M impreso en cada archivo · EPSG:32717</t>
  </si>
  <si>
    <t xml:space="preserve">Cód.</t>
  </si>
  <si>
    <t xml:space="preserve">Hora</t>
  </si>
  <si>
    <t xml:space="preserve">UTM ESTE (m)</t>
  </si>
  <si>
    <t xml:space="preserve">UTM NORTE (m)</t>
  </si>
  <si>
    <t xml:space="preserve">Distancia al
límite del bloque (m)</t>
  </si>
  <si>
    <t xml:space="preserve">¿Dentro del
polígono?</t>
  </si>
  <si>
    <t xml:space="preserve">Contenido registrado y lectura diagnóstica</t>
  </si>
  <si>
    <t xml:space="preserve">E-01</t>
  </si>
  <si>
    <t xml:space="preserve">14:37:14</t>
  </si>
  <si>
    <t xml:space="preserve">No</t>
  </si>
  <si>
    <t xml:space="preserve">Matorral bajo y abierto sobre suelo pedregoso pardo, con arbustos de Asteraceae en floración y tallos secos del año anterior. Cobertura discontinua con suelo expuesto entre matas: la fisonomía más rala de todo el recorrido y la más próxima al límite suroccidental. Cactáceas y agaves en la arista de mayor insolación</t>
  </si>
  <si>
    <t xml:space="preserve">E-02</t>
  </si>
  <si>
    <t xml:space="preserve">14:40:15</t>
  </si>
  <si>
    <t xml:space="preserve">Estación MÁS PRÓXIMA al polígono. Ladera con cobertura arbustiva y arbolillos en floración masiva (flor de agua, chilca); al fondo, bajo la neblina, se insinúa el fondo del valle. Primer plano con suelo removido por el corte de la trocha</t>
  </si>
  <si>
    <t xml:space="preserve">E-03</t>
  </si>
  <si>
    <t xml:space="preserve">14:40:49</t>
  </si>
  <si>
    <t xml:space="preserve">Curva de la trocha afirmada con talud de corte reciente sobre coluvión pardo-rojizo, sin banquetas ni revegetación. Matorral denso sobre el borde superior del corte. Evidencia directa de la apertura vial como frente activo de alteración</t>
  </si>
  <si>
    <t xml:space="preserve">E-04</t>
  </si>
  <si>
    <t xml:space="preserve">14:40:57</t>
  </si>
  <si>
    <t xml:space="preserve">Plataforma y berma con superficie removida, surcos incipientes y regeneración arbustiva colonizando el material suelto. Dosel bajo continuo detrás del corte</t>
  </si>
  <si>
    <t xml:space="preserve">E-05</t>
  </si>
  <si>
    <t xml:space="preserve">14:42:14</t>
  </si>
  <si>
    <t xml:space="preserve">Cobertura arbustiva y arbórea DENSA y vigorosa, con hojas anchas y follaje sano; al fondo, entre la neblina, techos del C.P. Pirga. Representa la condición de mejor conservación del borde y corresponde a la clase MSAVI &gt; 0.6139</t>
  </si>
  <si>
    <t xml:space="preserve">E-06</t>
  </si>
  <si>
    <t xml:space="preserve">14:44:14</t>
  </si>
  <si>
    <t xml:space="preserve">Viviendas de calamina con techo rojo sobre superficie TOTALMENTE DESNUDA Y COMPACTADA por tránsito. Al fondo, ladera con cobertura y trazo de trocha en corte. Contacto directo entre el asentamiento y el límite del bloque</t>
  </si>
  <si>
    <t xml:space="preserve">E-07</t>
  </si>
  <si>
    <t xml:space="preserve">14:44:24</t>
  </si>
  <si>
    <t xml:space="preserve">HALLAZGO: cobertizo con LEÑA APILADA en volumen apreciable, calaminas y CAJA DE CONCRETO CON TUBERÍA EXPUESTA (posible captación o reservorio del sistema de agua de Pirga). Arbolado en floración. Evidencia de tala para leña y de infraestructura de servicio expuesta</t>
  </si>
  <si>
    <t xml:space="preserve">E-08</t>
  </si>
  <si>
    <t xml:space="preserve">14:44:33</t>
  </si>
  <si>
    <t xml:space="preserve">Panorámica del C.P. Pirga en el fondo de ladera, con GRAN CORTE DE MOVIMIENTO DE TIERRAS de material amarillo expuesto y trocha en desarrollo. Cobertizo de leña en primer plano. Documenta la escala de la intervención vial en el entorno inmediato</t>
  </si>
  <si>
    <t xml:space="preserve">E-09</t>
  </si>
  <si>
    <t xml:space="preserve">14:44:42</t>
  </si>
  <si>
    <t xml:space="preserve">Talud de corte del camino con material suelto y sin tratamiento, borde de plataforma sin obra de contención, cobertizo de leña sobre la ladera y arbolado en floración. Cierre del recorrido</t>
  </si>
  <si>
    <t xml:space="preserve">MÍNIMO</t>
  </si>
  <si>
    <t xml:space="preserve">MÁXIMO</t>
  </si>
  <si>
    <t xml:space="preserve">PROMEDIO</t>
  </si>
  <si>
    <t xml:space="preserve">CONTROL GEOMÉTRICO — LAS NUEVE ESTACIONES SE LOCALIZAN FUERA DEL POLÍGONO DEL BLOQUE 71, sobre la trocha carrozable que bordea sus límites norte y oriental, a distancias de 15.8 a 42.9 m (promedio 31.2 m). En consecuencia: (i) la caracterización de campo representa el CORREDOR VIAL Y EL BORDE, no el interior del bloque; (ii) el núcleo central de 2.82 ha bajo umbral MSAVI —el sector efectivamente degradado— no fue recorrido; (iii) la repetición del levantamiento con estaciones interiores es acción de cierre de prioridad ALTA.
MÉTODO — Las distancias se calcularon por transformada de distancia euclidiana sobre el polígono del bloque extraído del plano temático MSAVI y georreferenciado por su grilla UTM (escala 3.67 px/m). Tolerancia estimada ±10-15 m por digitalización y ancho de línea. Las coordenadas de las estaciones proceden del sello UTM 17M impreso por la aplicación de captura, no de un receptor GPS geodésico: no se registró altitud ni precisión estimada (PDOP).
El recorrido cubre ~600 m en sentido O–E y 8 minutos de registro efectivo, en condición de NEBLINA DENSA que limitó la verificación panorámica.</t>
  </si>
  <si>
    <t xml:space="preserve">CONTEXTO INTRAMICROCUENCA C1076-Q9593 — POSICIÓN RELATIVA DEL BLOQUE 71</t>
  </si>
  <si>
    <t xml:space="preserve">Ocho bloques preliminares, 523.872 ha en conjunto, íntegramente en el distrito de Huarmaca · Fuente: catálogo Bloques V5 y estadística zonal sobre MDE</t>
  </si>
  <si>
    <t xml:space="preserve">Bloque</t>
  </si>
  <si>
    <t xml:space="preserve">Área (ha)</t>
  </si>
  <si>
    <t xml:space="preserve">% de la
microcuenca</t>
  </si>
  <si>
    <t xml:space="preserve">MSAVI 2024
(media)</t>
  </si>
  <si>
    <t xml:space="preserve">Altitud
(msnm)</t>
  </si>
  <si>
    <t xml:space="preserve">Amplitud
altitudinal (m)</t>
  </si>
  <si>
    <t xml:space="preserve">Pendiente
promedio (%)</t>
  </si>
  <si>
    <t xml:space="preserve">10</t>
  </si>
  <si>
    <t xml:space="preserve">912 – 1 510</t>
  </si>
  <si>
    <t xml:space="preserve">8</t>
  </si>
  <si>
    <t xml:space="preserve">1 504 – 1 970</t>
  </si>
  <si>
    <t xml:space="preserve">16</t>
  </si>
  <si>
    <t xml:space="preserve">1 349 – 1 746</t>
  </si>
  <si>
    <t xml:space="preserve">20</t>
  </si>
  <si>
    <t xml:space="preserve">1 217 – 1 607</t>
  </si>
  <si>
    <t xml:space="preserve">80</t>
  </si>
  <si>
    <t xml:space="preserve">2 180 – 2 491</t>
  </si>
  <si>
    <t xml:space="preserve">51</t>
  </si>
  <si>
    <t xml:space="preserve">1 734 – 2 018</t>
  </si>
  <si>
    <t xml:space="preserve">76</t>
  </si>
  <si>
    <t xml:space="preserve">1 647 – 1 838</t>
  </si>
  <si>
    <t xml:space="preserve">1 478 – 1 609</t>
  </si>
  <si>
    <t xml:space="preserve">TOTAL / PROM.</t>
  </si>
  <si>
    <t xml:space="preserve">912 – 2 491</t>
  </si>
  <si>
    <t xml:space="preserve">POSICIÓN RELATIVA DEL BLOQUE 71 (ordenamientos calculados sobre la tabla superior)</t>
  </si>
  <si>
    <t xml:space="preserve">Criterio</t>
  </si>
  <si>
    <t xml:space="preserve">Valor B-71</t>
  </si>
  <si>
    <t xml:space="preserve">Puesto de 8</t>
  </si>
  <si>
    <t xml:space="preserve">Promedio / total local</t>
  </si>
  <si>
    <t xml:space="preserve">Lectura</t>
  </si>
  <si>
    <t xml:space="preserve">Superficie</t>
  </si>
  <si>
    <t xml:space="preserve">8.° (el MENOR)</t>
  </si>
  <si>
    <t xml:space="preserve">Bloque más pequeño de la microcuenca: 2.04 % del área preliminar. Su valor no reside en la extensión sino en su posición de contacto directo con el C.P. Pirga</t>
  </si>
  <si>
    <t xml:space="preserve">MSAVI 2024 (media)</t>
  </si>
  <si>
    <t xml:space="preserve">3.° (mejor tercio)</t>
  </si>
  <si>
    <t xml:space="preserve">Vigor de cobertura superior al promedio local (0.5477): NO es el bloque más degradado, sino el más presionado</t>
  </si>
  <si>
    <t xml:space="preserve">Pendiente promedio (%)</t>
  </si>
  <si>
    <t xml:space="preserve">4.°</t>
  </si>
  <si>
    <t xml:space="preserve">29.45 % frente a 28.06 % del promedio local; clase 25-50 %, muy por debajo del umbral de exclusión de 75 %</t>
  </si>
  <si>
    <t xml:space="preserve">Amplitud altitudinal (m)</t>
  </si>
  <si>
    <t xml:space="preserve">8.° (la MENOR)</t>
  </si>
  <si>
    <t xml:space="preserve">Solo 131 m: el bloque ocupa una única faceta de ladera, sin el gradiente microclimático interno que caracteriza al Bloque 8 (466 m). Ello permite un diseño de intervención más homogéneo</t>
  </si>
  <si>
    <t xml:space="preserve">Relación perímetro / superficie</t>
  </si>
  <si>
    <t xml:space="preserve">La más desfavorable</t>
  </si>
  <si>
    <t xml:space="preserve">—</t>
  </si>
  <si>
    <t xml:space="preserve">En 10.67 ha con la trocha bordeando dos de sus lados, la fracción de bloque sometida a efecto de borde es la mayor de la microcuenca</t>
  </si>
  <si>
    <t xml:space="preserve">NOTA — El Bloque 71 comparte con el Bloque 8 el corredor vial recorrido el 18-08-2026 y ambos figuran en la cartografía con el mismo rótulo «B4_2», inconsistencia de simbología ya reportada. Los dos bloques deben formularse de manera coordinada: una misma trocha, un mismo centro poblado (Pirga) y un mismo frente de alteración los vinculan. Sin embargo, el patrón de degradación difiere: PERIMETRAL en el Bloque 8, INTERIOR Y CENTRAL en el Bloque 71.
La microcuenca C1076-Q9593 totaliza 523.872 ha preliminares en ocho bloques, íntegramente en Huarmaca (Huancabamba).</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</si>
  <si>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</si>
  <si>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</si>
  <si>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</si>
  <si>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</si>
  <si>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</si>
  <si>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</si>
  <si>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</si>
  <si>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18-08-2026</t>
  </si>
  <si>
    <t xml:space="preserve">Hora de registro</t>
  </si>
  <si>
    <t xml:space="preserve">14:37 – 14:45 h</t>
  </si>
  <si>
    <t xml:space="preserve">Brigada / Responsable *</t>
  </si>
  <si>
    <t xml:space="preserve">Ing. Pedro Talledo Hernández / Ing. Héctor Salomón Cahuas Miller</t>
  </si>
  <si>
    <t xml:space="preserve">Ficha N° (correlativo)</t>
  </si>
  <si>
    <t xml:space="preserve">F-DT-01-B71-2026</t>
  </si>
  <si>
    <t xml:space="preserve">Código del Bloque *</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</si>
  <si>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</si>
  <si>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</si>
  <si>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</si>
  <si>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</si>
  <si>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</si>
  <si>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</si>
  <si>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</si>
  <si>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</si>
  <si>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Por determinar (sin registro GPS de altitud)</t>
  </si>
  <si>
    <t xml:space="preserve">Centro poblado más cercano</t>
  </si>
  <si>
    <t xml:space="preserve">Comunidad Campesina (si aplica)</t>
  </si>
  <si>
    <t xml:space="preserve">2. CARACTERIZACIÓN FISIOGRÁFICA DEL BLOQUE</t>
  </si>
  <si>
    <t xml:space="preserve">Forma predominante del terreno *</t>
  </si>
  <si>
    <t xml:space="preserve">Rango de pendiente dominante *</t>
  </si>
  <si>
    <t xml:space="preserve">25-50% (Mod. escarpado)</t>
  </si>
  <si>
    <t xml:space="preserve">Posición fisiográfica *</t>
  </si>
  <si>
    <t xml:space="preserve">Exposición / Orientación dominante *</t>
  </si>
  <si>
    <t xml:space="preserve">Rango altitudinal del bloque *</t>
  </si>
  <si>
    <t xml:space="preserve">Paisaje dominante (descripción libre)</t>
  </si>
  <si>
    <t xml:space="preserve">Ladera única de exposición SE tributaria de la quebrada Q9593, comprendida entre las cotas 1 478 y 1 609 msnm (amplitud de solo 131 m, la menor de la microcuenca). Mosaico de matorral denso a semidenso con arbolillos en floración masiva, alternado con un núcleo interior de cobertura rala sobre la curva de nivel 1 500-1 550 y con parcelas agrícolas y viviendas dispersas del C.P. Pirga en el borde oriental. Trocha carrozable con cortes recientes bordeando los límites norte y oriental.</t>
  </si>
  <si>
    <t xml:space="preserve">3. INDICIOS DE REMOCIÓN EN MASA E INESTABILIDAD</t>
  </si>
  <si>
    <t xml:space="preserve">Presencia de afloramientos rocosos</t>
  </si>
  <si>
    <t xml:space="preserve">Sí</t>
  </si>
  <si>
    <t xml:space="preserve">Presencia de escarpes activos *</t>
  </si>
  <si>
    <t xml:space="preserve">¿Reptación de suelo observada? *</t>
  </si>
  <si>
    <t xml:space="preserve">¿Deslizamientos antiguos observados?</t>
  </si>
  <si>
    <t xml:space="preserve">¿Remociones en masa activas? *</t>
  </si>
  <si>
    <t xml:space="preserve">OBSERVACIONES</t>
  </si>
  <si>
    <t xml:space="preserve">FICHA NO DILIGENCIADA EN CAMPO — prellenado de gabinete (SESDI) a partir de 9 fotografías georreferenciadas del 18-08-2026, estadística zonal sobre MDE y planos temáticos MSAVI 2024 / NDVI mediana 2025.
CONTROL GEOMÉTRICO: las 9 estaciones se localizan FUERA del polígono, entre 15.8 y 42.9 m de sus límites norte y oriental, sobre la trocha carrozable. El interior del bloque —donde se concentra la degradación— NO fue verificado.
Escarpes activos y afloramientos: taludes de corte de la trocha (E-03, E-04, E-09) y gran corte de movimiento de tierras visible en E-08. Remociones en masa activas: material suelto y superficie removida en plataforma y taludes sin tratamiento.
Reptación de suelo: no observada; ausencia NO verificada instrumentalmente (celda en blanco).
Altitud GPS no registrada. Rango altitudinal 1 478 – 1 609 msnm procede del MDE, no de medición instrumental.</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</si>
  <si>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</si>
  <si>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</si>
  <si>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</si>
  <si>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</si>
  <si>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Ing. P. Talledo H. / Ing. H. S. Cahuas M.</t>
  </si>
  <si>
    <t xml:space="preserve">Código de Microcuenca (auto)</t>
  </si>
  <si>
    <t xml:space="preserve">Altitud (msnm)</t>
  </si>
  <si>
    <t xml:space="preserve">Por determinar</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</si>
  <si>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</si>
  <si>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</si>
  <si>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</si>
  <si>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</si>
  <si>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</si>
  <si>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</si>
  <si>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</si>
  <si>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Moderada (surcos)</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</si>
  <si>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</si>
  <si>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</si>
  <si>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</si>
  <si>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</si>
  <si>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</si>
  <si>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</si>
  <si>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</si>
  <si>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</si>
  <si>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</si>
  <si>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</si>
  <si>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</si>
  <si>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</si>
  <si>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</si>
  <si>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</si>
  <si>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4. SÍNTESIS DE PROCESOS EROSIVOS DEL BLOQUE</t>
  </si>
  <si>
    <t xml:space="preserve">Nivel general de erosión (síntesis) *</t>
  </si>
  <si>
    <t xml:space="preserve">N° total de cárcavas registradas</t>
  </si>
  <si>
    <t xml:space="preserve">Sin inventario</t>
  </si>
  <si>
    <t xml:space="preserve">Longitud total de cárcavas (m)</t>
  </si>
  <si>
    <t xml:space="preserve">% del bloque afectado por cárcavas</t>
  </si>
  <si>
    <t xml:space="preserve">Erosión laminar observada (%)</t>
  </si>
  <si>
    <t xml:space="preserve">Patrón de cárcavas dominante</t>
  </si>
  <si>
    <t xml:space="preserve">Lineal</t>
  </si>
  <si>
    <t xml:space="preserve">Presencia de socavamiento de cauce</t>
  </si>
  <si>
    <t xml:space="preserve">Urgencia de control</t>
  </si>
  <si>
    <t xml:space="preserve">Alta</t>
  </si>
  <si>
    <t xml:space="preserve">INVENTARIO GEORREFERENCIADO DE CÁRCAVAS NO EJECUTADO. La ausencia de registros no equivale a ausencia verificada.
Procesos documentados fotográficamente, todos sobre el corredor vial perimetral: (i) taludes de corte en coluvión pardo-rojizo sin banquetas ni revegetación (E-03, E-09); (ii) plataforma con superficie removida y surcos incipientes (E-04); (iii) superficie totalmente desnuda y compactada por tránsito en el entorno de las viviendas (E-06); (iv) gran corte de movimiento de tierras en la ladera frontal, con material suelto expuesto (E-08).
La calificación describe el BORDE del bloque. El núcleo interior de cobertura rala (2.82 ha bajo umbral MSAVI, sección Cobertura MSAVI-NDVI) no fue recorrido y su estado erosivo permanece sin verificar.
Sellamiento/costra, compactación por pisoteo de ganado, raíces expuestas y socavamiento de cauce: celdas en blanco por no haberse observado ni descartado en campo.</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</si>
  <si>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</si>
  <si>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</si>
  <si>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</si>
  <si>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</si>
  <si>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</si>
  <si>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Sin parcela instalada</t>
  </si>
  <si>
    <t xml:space="preserve">Dimensiones de parcela (m × m)</t>
  </si>
  <si>
    <t xml:space="preserve">Pendiente promedio de la parcela (%)</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</si>
  <si>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</si>
  <si>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</si>
  <si>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</si>
  <si>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</si>
  <si>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</si>
  <si>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Bosque Estacionalmente Seco Colina/Montaña (Bes-cm)</t>
  </si>
  <si>
    <t xml:space="preserve">Superficie del ecosistema en el bloque (ha)</t>
  </si>
  <si>
    <t xml:space="preserve">Por determinar (sin intersección con capa MINAM)</t>
  </si>
  <si>
    <t xml:space="preserve">Estado de conservación general *</t>
  </si>
  <si>
    <t xml:space="preserve">Uso actual dominante del suelo *</t>
  </si>
  <si>
    <t xml:space="preserve">3. ESTRUCTURA DEL ECOSISTEMA</t>
  </si>
  <si>
    <t xml:space="preserve">Cobertura del dosel arbóreo (%)</t>
  </si>
  <si>
    <t xml:space="preserve">Cobertura arbustiva (%)</t>
  </si>
  <si>
    <t xml:space="preserve">Cobertura herbácea-graminoide (%)</t>
  </si>
  <si>
    <t xml:space="preserve">Cobertura de hojarasca (%)</t>
  </si>
  <si>
    <t xml:space="preserve">Cobertura de suelo desnudo (%)</t>
  </si>
  <si>
    <t xml:space="preserve">Altura promedio estrato dominante (m)</t>
  </si>
  <si>
    <t xml:space="preserve">Altura máxima observada (m)</t>
  </si>
  <si>
    <t xml:space="preserve">DAP promedio árboles DAP≥10 cm (cm)</t>
  </si>
  <si>
    <t xml:space="preserve">Regeneración natural observada *</t>
  </si>
  <si>
    <t xml:space="preserve">Estado sanitario general del dosel *</t>
  </si>
  <si>
    <t xml:space="preserve">Sano</t>
  </si>
  <si>
    <t xml:space="preserve">Presencia de epífitas (cualitativa)</t>
  </si>
  <si>
    <t xml:space="preserve">Fenología dominante (época de visita)</t>
  </si>
  <si>
    <t xml:space="preserve">Floración</t>
  </si>
  <si>
    <t xml:space="preserve">Tipo de cobertura vegetal dominante *</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</si>
  <si>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</si>
  <si>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</si>
  <si>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</si>
  <si>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</si>
  <si>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</si>
  <si>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</si>
  <si>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</si>
  <si>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</si>
  <si>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</si>
  <si>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</si>
  <si>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</si>
  <si>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Chilca</t>
  </si>
  <si>
    <t xml:space="preserve">Baccharis latifolia</t>
  </si>
  <si>
    <t xml:space="preserve">Asteraceae</t>
  </si>
  <si>
    <t xml:space="preserve">Arbustivo alto (1.5-4 m)</t>
  </si>
  <si>
    <t xml:space="preserve">Nativa</t>
  </si>
  <si>
    <t xml:space="preserve">Frecuente (5-20%)</t>
  </si>
  <si>
    <t xml:space="preserve">Flor de agua</t>
  </si>
  <si>
    <t xml:space="preserve">Pacae o guaba</t>
  </si>
  <si>
    <t xml:space="preserve">Inga feuillei</t>
  </si>
  <si>
    <t xml:space="preserve">Fabaceae</t>
  </si>
  <si>
    <t xml:space="preserve">Arbóreo medio (8-15 m)</t>
  </si>
  <si>
    <t xml:space="preserve">Ocasional (1-5%)</t>
  </si>
  <si>
    <t xml:space="preserve">Chirimoyo silvestre</t>
  </si>
  <si>
    <t xml:space="preserve">Annona sp.</t>
  </si>
  <si>
    <t xml:space="preserve">Annonaceae</t>
  </si>
  <si>
    <t xml:space="preserve">Arbóreo bajo (4-8 m)</t>
  </si>
  <si>
    <t xml:space="preserve">Rara (&lt;1%)</t>
  </si>
  <si>
    <t xml:space="preserve">Cactácea columnar</t>
  </si>
  <si>
    <t xml:space="preserve">Armatocereus sp. / Neoraimondia sp.</t>
  </si>
  <si>
    <t xml:space="preserve">Cactaceae</t>
  </si>
  <si>
    <t xml:space="preserve">Agave / penca</t>
  </si>
  <si>
    <t xml:space="preserve">Agave americana</t>
  </si>
  <si>
    <t xml:space="preserve">Asparagaceae</t>
  </si>
  <si>
    <t xml:space="preserve">Introducida</t>
  </si>
  <si>
    <t xml:space="preserve">Eucalipto</t>
  </si>
  <si>
    <t xml:space="preserve">Eucalyptus globulus</t>
  </si>
  <si>
    <t xml:space="preserve">Myrtaceae</t>
  </si>
  <si>
    <t xml:space="preserve">Arbóreo superior (&gt;15 m)</t>
  </si>
  <si>
    <t xml:space="preserve">Gramíneas / pastos naturales</t>
  </si>
  <si>
    <t xml:space="preserve">Poaceae por determinar</t>
  </si>
  <si>
    <t xml:space="preserve">Poaceae</t>
  </si>
  <si>
    <t xml:space="preserve">Herbáceo (&lt;0.5 m)</t>
  </si>
  <si>
    <t xml:space="preserve">Maíz (cultivo)</t>
  </si>
  <si>
    <t xml:space="preserve">Zea mays</t>
  </si>
  <si>
    <t xml:space="preserve">Plátano (cultivo)</t>
  </si>
  <si>
    <t xml:space="preserve">Musa × paradisiaca</t>
  </si>
  <si>
    <t xml:space="preserve">Musaceae</t>
  </si>
  <si>
    <t xml:space="preserve">Café (cultivo)</t>
  </si>
  <si>
    <t xml:space="preserve">Coffea arabica</t>
  </si>
  <si>
    <t xml:space="preserve">Rubiaceae</t>
  </si>
  <si>
    <t xml:space="preserve">— pendiente de registro —</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</si>
  <si>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</si>
  <si>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</si>
  <si>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</si>
  <si>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</si>
  <si>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</si>
  <si>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</si>
  <si>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</si>
  <si>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</si>
  <si>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</si>
  <si>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Cactáceas columnares (Armatocereus / Neoraimondia)</t>
  </si>
  <si>
    <t xml:space="preserve">Indicadora de perturbación</t>
  </si>
  <si>
    <t xml:space="preserve">NE — No Evaluado</t>
  </si>
  <si>
    <t xml:space="preserve">Delimitan el sector de mayor déficit hídrico edáfico. Determinación específica indispensable frente al D.S. 043-2006-AG</t>
  </si>
  <si>
    <t xml:space="preserve">Chilca (Baccharis latifolia)</t>
  </si>
  <si>
    <t xml:space="preserve">No aplica</t>
  </si>
  <si>
    <t xml:space="preserve">E-01, E-04</t>
  </si>
  <si>
    <t xml:space="preserve">Coloniza suelos removidos y bordes de corte; útil como especie pionera en estabilización biológica de taludes</t>
  </si>
  <si>
    <t xml:space="preserve">Indicadora de buen estado</t>
  </si>
  <si>
    <t xml:space="preserve">E-02, E-08, E-09</t>
  </si>
  <si>
    <t xml:space="preserve">Floración masiva en el dosel bajo; nombre local sin binomio confirmado. Colecta y determinación pendientes</t>
  </si>
  <si>
    <t xml:space="preserve">Pacae o guaba (Inga feuillei)</t>
  </si>
  <si>
    <t xml:space="preserve">Clave cultural</t>
  </si>
  <si>
    <t xml:space="preserve">Fijadora de nitrógeno, sombra de café; especie candidata para sistemas agroforestales de reconversión</t>
  </si>
  <si>
    <t xml:space="preserve">Introducida, alta demanda hídrica; no recomendable en el diseño de revegetación del bloque</t>
  </si>
  <si>
    <t xml:space="preserve">LISTA FLORÍSTICA PRELIMINAR E INCOMPLETA — 11 registros frente al mínimo de 15 exigido por la ficha: FALTAN 4.
Los nombres comunes proceden del reconocimiento del 18-08-2026; los binomios son atribuciones preliminares por fotointerpretación y correspondencia regional, NINGUNO confirmado taxonómicamente. No hubo colecta botánica.
«Flor de agua» se conserva como nombre local sin binomio: su determinación es acción de cierre prioritaria por tratarse de un elemento abundante del dosel bajo en floración.
Maíz, plátano y café son CULTIVOS: su superficie debe excluirse del área efectiva de intervención en el tamizaje predial.
NO MEDIDOS (celdas en blanco): coberturas por estrato, hojarasca, suelo desnudo, alturas, DAP, cobertura vegetal total, regeneración natural y presencia de epífitas. No se instalaron parcelas de muestreo.
La adscripción a Bes-cm se mantiene por continuidad con el Bloque 8 contiguo; entre 1 478 y 1 609 msnm y bajo neblina persistente la fisonomía observada corresponde a una transición hacia matorral andino subhúmedo. Verificación con la capa nacional de ecosistemas del MINAM pendiente.</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</si>
  <si>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</si>
  <si>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</si>
  <si>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</si>
  <si>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</si>
  <si>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</si>
  <si>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</si>
  <si>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</si>
  <si>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</si>
  <si>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</si>
  <si>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</si>
  <si>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</si>
  <si>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Tala para leña</t>
  </si>
  <si>
    <t xml:space="preserve">Moderada</t>
  </si>
  <si>
    <t xml:space="preserve">Cobertizos con leña apilada en volumen apreciable, inmediatos al límite oriental del bloque (E-07, E-08, E-09)</t>
  </si>
  <si>
    <t xml:space="preserve">Tala para carbón</t>
  </si>
  <si>
    <t xml:space="preserve">Tala para madera</t>
  </si>
  <si>
    <t xml:space="preserve">Ligera</t>
  </si>
  <si>
    <t xml:space="preserve">Rollizos y varas empleados como estructura de los cobertizos y cercos del borde</t>
  </si>
  <si>
    <t xml:space="preserve">Quema (renovación de pastos)</t>
  </si>
  <si>
    <t xml:space="preserve">Quema accidental / Incendio</t>
  </si>
  <si>
    <t xml:space="preserve">Cambio de uso a agricultura</t>
  </si>
  <si>
    <t xml:space="preserve">Cultivos de maíz, plátano y café en el entorno del C.P. Pirga; parcelas y trochas peatonales visibles en el interior del polígono sobre imagen satelital</t>
  </si>
  <si>
    <t xml:space="preserve">Cambio de uso a pastoreo</t>
  </si>
  <si>
    <t xml:space="preserve">Expansión urbana / vial</t>
  </si>
  <si>
    <t xml:space="preserve">Fuerte</t>
  </si>
  <si>
    <t xml:space="preserve">&lt; 2 años</t>
  </si>
  <si>
    <t xml:space="preserve">CAUSA DOMINANTE DEL BORDE. Trocha carrozable con cortes frescos sobre los límites N y E; viviendas de calamina con superficie desnuda y compactada (E-06); gran corte de movimiento de tierras en la ladera frontal (E-08)</t>
  </si>
  <si>
    <t xml:space="preserve">Minería informal</t>
  </si>
  <si>
    <t xml:space="preserve">Extracción de áridos (cauces)</t>
  </si>
  <si>
    <t xml:space="preserve">Especies invasoras</t>
  </si>
  <si>
    <t xml:space="preserve">Erosión natural severa</t>
  </si>
  <si>
    <t xml:space="preserve">Surcos incipientes y material suelto en taludes y plataforma sin obra de drenaje (E-03, E-04, E-09)</t>
  </si>
  <si>
    <t xml:space="preserve">Sequía prolongada / CC</t>
  </si>
  <si>
    <t xml:space="preserve">Plagas o enfermedades forestales</t>
  </si>
  <si>
    <t xml:space="preserve">Otro</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</si>
  <si>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</si>
  <si>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</si>
  <si>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</si>
  <si>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</si>
  <si>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</si>
  <si>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</si>
  <si>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</si>
  <si>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</si>
  <si>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</si>
  <si>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</si>
  <si>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&gt;60% bueno; 30-60% medio; &lt;30% malo</t>
  </si>
  <si>
    <t xml:space="preserve">Porcentaje de suelo desnudo</t>
  </si>
  <si>
    <t xml:space="preserve">&lt;10% bueno; 10-30% medio; &gt;30% malo</t>
  </si>
  <si>
    <t xml:space="preserve">Densidad de cárcavas</t>
  </si>
  <si>
    <t xml:space="preserve">N°/ha</t>
  </si>
  <si>
    <t xml:space="preserve">0 nulo; 1-3 medio; &gt;3 alto</t>
  </si>
  <si>
    <t xml:space="preserve">Presencia de especies invasoras</t>
  </si>
  <si>
    <t xml:space="preserve">% área</t>
  </si>
  <si>
    <t xml:space="preserve">&lt;5% bueno; 5-20% medio; &gt;20% alto</t>
  </si>
  <si>
    <t xml:space="preserve">Carga ganadera estimada</t>
  </si>
  <si>
    <t xml:space="preserve">UA/ha</t>
  </si>
  <si>
    <t xml:space="preserve">Según tipo de ecosistema</t>
  </si>
  <si>
    <t xml:space="preserve">Frecuencia de quemas últimos 5 años</t>
  </si>
  <si>
    <t xml:space="preserve">0 nulo; 1-2 medio; &gt;2 alto</t>
  </si>
  <si>
    <t xml:space="preserve">% área con pendiente &gt;50%</t>
  </si>
  <si>
    <t xml:space="preserve">Factor de susceptibilidad</t>
  </si>
  <si>
    <t xml:space="preserve">Distancia a vía vecinal más cercana</t>
  </si>
  <si>
    <t xml:space="preserve">m</t>
  </si>
  <si>
    <t xml:space="preserve">≈ 16</t>
  </si>
  <si>
    <t xml:space="preserve">Estaciones fotográficas 18-08-2026 · medición sobre plano georreferenciado</t>
  </si>
  <si>
    <t xml:space="preserve">A menor distancia → mayor presión</t>
  </si>
  <si>
    <t xml:space="preserve">Alto</t>
  </si>
  <si>
    <t xml:space="preserve">4. SÍNTESIS DIAGNÓSTICA DE LA DEGRADACIÓN</t>
  </si>
  <si>
    <t xml:space="preserve">Principales causas directas (texto libre)</t>
  </si>
  <si>
    <t xml:space="preserve">Expansión vial y ocupación del borde (dominante) · cambio de uso a agricultura · tala para leña · erosión asociada a los cortes de la trocha</t>
  </si>
  <si>
    <t xml:space="preserve">Principal causa subyacente (motor)</t>
  </si>
  <si>
    <t xml:space="preserve">Presión de un centro poblado consolidado (C.P. Pirga) asentado sobre el límite del bloque, en un polígono de solo 10.67 ha: la relación perímetro/superficie es la más desfavorable de la microcuenca</t>
  </si>
  <si>
    <t xml:space="preserve">Velocidad de degradación percibida</t>
  </si>
  <si>
    <t xml:space="preserve">Reversibilidad técnica</t>
  </si>
  <si>
    <t xml:space="preserve">Parcialmente reversible</t>
  </si>
  <si>
    <t xml:space="preserve">Urgencia de intervención</t>
  </si>
  <si>
    <t xml:space="preserve">MATRIZ PARCIAL. Solo se consignan las causas con evidencia fotográfica directa del 18-08-2026. Las filas en blanco (sobrepastoreo, tala para carbón, quemas, minería, áridos, especies invasoras, sequía, plagas) NO fueron descartadas: no fueron observadas ni verificadas, y su ausencia no está acreditada.
EXTENSIÓN (% del bloque) no estimada para ninguna causa: requiere recorrido interior o fotointerpretación multitemporal.
La evidencia sostiene que la vía y la ocupación del borde son el factor activo en la franja perimetral, pero NO permite atribuirles el núcleo interior de 2.82 ha bajo umbral MSAVI, que se localiza en el centro del polígono sobre la curva 1 500-1 550 y responde a un patrón agropecuario previo no documentado. La discriminación exige comparación multitemporal del índice.</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</si>
  <si>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</si>
  <si>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</si>
  <si>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</si>
  <si>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</si>
  <si>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</si>
  <si>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</si>
  <si>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</si>
  <si>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</si>
  <si>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</si>
  <si>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Reservorio / Represa</t>
  </si>
  <si>
    <t xml:space="preserve">Permanente</t>
  </si>
  <si>
    <t xml:space="preserve">No evaluable</t>
  </si>
  <si>
    <t xml:space="preserve">≈ 40</t>
  </si>
  <si>
    <t xml:space="preserve">Caja de concreto con tubería expuesta junto a las viviendas del borde oriental (E-07). Posible captación o reservorio del sistema de agua del C.P. Pirga. TIPO Y TITULARIDAD POR CONFIRMAR — elemento expuesto no inventariado</t>
  </si>
  <si>
    <t xml:space="preserve">Quebrada estacional</t>
  </si>
  <si>
    <t xml:space="preserve">Estacional (lluvias)</t>
  </si>
  <si>
    <t xml:space="preserve">≈ 39</t>
  </si>
  <si>
    <t xml:space="preserve">Vaguada de lecho pedregoso sin obra de cruce en el corredor compartido con el Bloque 8, con escorrentía concentrada y arrastre de bolonería. Registro procedente del mismo recorrido (informe DT Bloque 8)</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</si>
  <si>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</si>
  <si>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</si>
  <si>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</si>
  <si>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</si>
  <si>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</si>
  <si>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 40 m (caja de concreto de E-07, por confirmar)</t>
  </si>
  <si>
    <t xml:space="preserve">Nombre de la JASS o captación asociada</t>
  </si>
  <si>
    <t xml:space="preserve">¿Interferencia con obras de riego?</t>
  </si>
  <si>
    <t xml:space="preserve">Nombre del sistema de riego (si aplica)</t>
  </si>
  <si>
    <t xml:space="preserve">4. ACCESIBILIDAD Y LOGÍSTICA</t>
  </si>
  <si>
    <t xml:space="preserve">Modalidad de acceso al bloque *</t>
  </si>
  <si>
    <t xml:space="preserve">Vehicular 4x4 hasta el bloque</t>
  </si>
  <si>
    <t xml:space="preserve">Vía principal de acceso (PE-/PI-/trocha) *</t>
  </si>
  <si>
    <t xml:space="preserve">Trocha carrozable de acceso al C.P. Pirga (sin código MTC verificado)</t>
  </si>
  <si>
    <t xml:space="preserve">Tipo de vía final</t>
  </si>
  <si>
    <t xml:space="preserve">Trocha carrozable</t>
  </si>
  <si>
    <t xml:space="preserve">Estado transitabilidad — época seca</t>
  </si>
  <si>
    <t xml:space="preserve">Medio</t>
  </si>
  <si>
    <t xml:space="preserve">Estado transitabilidad — época lluviosa</t>
  </si>
  <si>
    <t xml:space="preserve">Bajo</t>
  </si>
  <si>
    <t xml:space="preserve">Tiempo desde capital distrital (min)</t>
  </si>
  <si>
    <t xml:space="preserve">Tiempo desde capital provincial (min)</t>
  </si>
  <si>
    <t xml:space="preserve">Señal celular</t>
  </si>
  <si>
    <t xml:space="preserve">Operador celular dominante</t>
  </si>
  <si>
    <t xml:space="preserve">Alojamiento rural disponible</t>
  </si>
  <si>
    <t xml:space="preserve">¿Requiere autorización de Ronda Campesina? *</t>
  </si>
  <si>
    <t xml:space="preserve">Nombre / Contacto responsable de Ronda</t>
  </si>
  <si>
    <t xml:space="preserve">FICHA PARCIAL. El bloque se declara EN ZONA DE RECARGA HÍDRICA por su posición en la cabecera del drenaje de la quebrada Q9593 y por la condensación de neblina registrada en la totalidad de las estaciones; se sitúa, por tanto, en la ZONA DE ORIGEN del peligro generador de inundaciones (PGI).
NO LEVANTADOS: inventario de manantiales con GPS, zonas de humedad persistente, JASS responsable, captación poblacional formal, interferencia con obras de riego, tiempos de viaje, señal celular y operador, alojamiento rural y contacto de Ronda Campesina.
HALLAZGO RELEVANTE: la infraestructura de agua del borde oriental (E-07) es un elemento expuesto no inventariado, situado a menos de 50 m de un talud de corte reciente. Su confirmación e incorporación al registro de elementos expuestos es acción de cierre de prioridad ALTA.</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</si>
  <si>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</si>
  <si>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</si>
  <si>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</si>
  <si>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</si>
  <si>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</si>
  <si>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</si>
  <si>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</si>
  <si>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</si>
  <si>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</si>
  <si>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</si>
  <si>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</si>
  <si>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</si>
  <si>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</si>
  <si>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</si>
  <si>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</si>
  <si>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</si>
  <si>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</si>
  <si>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</si>
  <si>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</si>
  <si>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</si>
  <si>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</si>
  <si>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</si>
  <si>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</si>
  <si>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</si>
  <si>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</si>
  <si>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</si>
  <si>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</si>
  <si>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</si>
  <si>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</si>
  <si>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</si>
  <si>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</si>
  <si>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</si>
  <si>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</si>
  <si>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</si>
  <si>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</si>
  <si>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</si>
  <si>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</si>
  <si>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</si>
  <si>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</si>
  <si>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</si>
  <si>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</si>
  <si>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</si>
  <si>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</si>
  <si>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</si>
  <si>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</si>
  <si>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</si>
  <si>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</si>
  <si>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</si>
  <si>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</si>
  <si>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</si>
  <si>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</si>
  <si>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</si>
  <si>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</si>
  <si>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</si>
  <si>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</si>
  <si>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</si>
  <si>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</si>
  <si>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</si>
  <si>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</si>
  <si>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</si>
  <si>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</si>
  <si>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</si>
  <si>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</si>
  <si>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</si>
  <si>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</si>
  <si>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</si>
  <si>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</si>
  <si>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</si>
  <si>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</si>
  <si>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</si>
  <si>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</si>
  <si>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</si>
  <si>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</si>
  <si>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</si>
  <si>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</si>
  <si>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</si>
  <si>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</si>
  <si>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</si>
  <si>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</si>
  <si>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</si>
  <si>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</si>
  <si>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</si>
  <si>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</si>
  <si>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</si>
  <si>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</si>
  <si>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</si>
  <si>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</si>
  <si>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</si>
  <si>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</si>
  <si>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</si>
  <si>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</si>
  <si>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</si>
  <si>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</si>
  <si>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</si>
  <si>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</si>
  <si>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</si>
  <si>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</si>
  <si>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</si>
  <si>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</si>
  <si>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</si>
  <si>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</si>
  <si>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</si>
  <si>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</si>
  <si>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</si>
  <si>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</si>
  <si>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</si>
  <si>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</si>
  <si>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</si>
  <si>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</si>
  <si>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</si>
  <si>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</si>
  <si>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</si>
  <si>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</si>
  <si>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</si>
  <si>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</si>
  <si>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</si>
  <si>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</si>
  <si>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</si>
  <si>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</si>
  <si>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</si>
  <si>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</si>
  <si>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</si>
  <si>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</si>
  <si>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</si>
  <si>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</si>
  <si>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</si>
  <si>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</si>
  <si>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</si>
  <si>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</si>
  <si>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</si>
  <si>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</si>
  <si>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</si>
  <si>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</si>
  <si>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</si>
  <si>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</si>
  <si>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</si>
  <si>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</si>
  <si>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</si>
  <si>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</si>
  <si>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</si>
  <si>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</si>
  <si>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</si>
  <si>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</si>
  <si>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</si>
  <si>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</si>
  <si>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</si>
  <si>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</si>
  <si>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</si>
  <si>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</si>
  <si>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</si>
  <si>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</si>
  <si>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</si>
  <si>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</si>
  <si>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</si>
  <si>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</si>
  <si>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</si>
  <si>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</si>
  <si>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</si>
  <si>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</si>
  <si>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</si>
  <si>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</si>
  <si>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</si>
  <si>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</si>
  <si>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</si>
  <si>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</si>
  <si>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</si>
  <si>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</si>
  <si>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</si>
  <si>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</si>
  <si>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</si>
  <si>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</si>
  <si>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</si>
  <si>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</si>
  <si>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</si>
  <si>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</si>
  <si>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</si>
  <si>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</si>
  <si>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</si>
  <si>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</si>
  <si>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M4B3</t>
  </si>
  <si>
    <t xml:space="preserve">4</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</si>
  <si>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</si>
  <si>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</si>
  <si>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</si>
  <si>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</si>
  <si>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</si>
  <si>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</si>
  <si>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</si>
  <si>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</si>
  <si>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</si>
  <si>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</si>
  <si>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</si>
  <si>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</si>
  <si>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</si>
  <si>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</si>
  <si>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</si>
  <si>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</si>
  <si>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</si>
  <si>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</si>
  <si>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</si>
  <si>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</si>
  <si>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</si>
  <si>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</si>
  <si>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</si>
  <si>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</si>
  <si>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</si>
  <si>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</si>
  <si>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</si>
  <si>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</si>
  <si>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</si>
  <si>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</si>
  <si>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</si>
  <si>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</si>
  <si>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</si>
  <si>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</si>
  <si>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</si>
  <si>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</si>
  <si>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</si>
  <si>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</si>
  <si>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</si>
  <si>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</si>
  <si>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</si>
  <si>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</si>
  <si>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&lt;1000 m (Yunga)</t>
  </si>
  <si>
    <t xml:space="preserve">Nula</t>
  </si>
  <si>
    <t xml:space="preserve">Surco (&lt;30 cm)</t>
  </si>
  <si>
    <t xml:space="preserve">Activa</t>
  </si>
  <si>
    <t xml:space="preserve">Sobrepastoreo</t>
  </si>
  <si>
    <t xml:space="preserve">Dendrítico</t>
  </si>
  <si>
    <t xml:space="preserve">Crítica</t>
  </si>
  <si>
    <t xml:space="preserve">Páramo</t>
  </si>
  <si>
    <t xml:space="preserve">Conservado (sin intervención evidente)</t>
  </si>
  <si>
    <t xml:space="preserve">Forestal protección</t>
  </si>
  <si>
    <t xml:space="preserve">Abundante (&gt;50 pl./100m²)</t>
  </si>
  <si>
    <t xml:space="preserve">Vegetativo</t>
  </si>
  <si>
    <t xml:space="preserve">Bosque denso (&gt;70%)</t>
  </si>
  <si>
    <t xml:space="preserve">Dominante (&gt;40%)</t>
  </si>
  <si>
    <t xml:space="preserve">EX — Extinto</t>
  </si>
  <si>
    <t xml:space="preserve">Muy rápida</t>
  </si>
  <si>
    <t xml:space="preserve">Totalmente reversible</t>
  </si>
  <si>
    <t xml:space="preserve">Manantial / Puquio</t>
  </si>
  <si>
    <t xml:space="preserve">Buena (clara, sin olor, sin sedimentos)</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</si>
  <si>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</si>
  <si>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</si>
  <si>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</si>
  <si>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</si>
  <si>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</si>
  <si>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</si>
  <si>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</si>
  <si>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1000-1500 m (Quechua baja)</t>
  </si>
  <si>
    <t xml:space="preserve">Ligera (laminar)</t>
  </si>
  <si>
    <t xml:space="preserve">Cárcava incipiente (30-50 cm)</t>
  </si>
  <si>
    <t xml:space="preserve">Semi-activa</t>
  </si>
  <si>
    <t xml:space="preserve">Tala / pérdida de cobertura</t>
  </si>
  <si>
    <t xml:space="preserve">Paralelo</t>
  </si>
  <si>
    <t xml:space="preserve">Bosque Relicto Montano V. Occidental (BMVO)</t>
  </si>
  <si>
    <t xml:space="preserve">Levemente alterado</t>
  </si>
  <si>
    <t xml:space="preserve">Forestal producción</t>
  </si>
  <si>
    <t xml:space="preserve">Regular (10-50 pl./100m²)</t>
  </si>
  <si>
    <t xml:space="preserve">Enfermo (plaga)</t>
  </si>
  <si>
    <t xml:space="preserve">Bosque ralo (30-70%)</t>
  </si>
  <si>
    <t xml:space="preserve">Endémica</t>
  </si>
  <si>
    <t xml:space="preserve">Abundante (20-40%)</t>
  </si>
  <si>
    <t xml:space="preserve">EW — Extinto en Estado Silvestre</t>
  </si>
  <si>
    <t xml:space="preserve">Rápida</t>
  </si>
  <si>
    <t xml:space="preserve">Quebrada permanente</t>
  </si>
  <si>
    <t xml:space="preserve">Regular (ligeramente turbia o con sedimentos)</t>
  </si>
  <si>
    <t xml:space="preserve">Vehicular + caminata &lt;30 min</t>
  </si>
  <si>
    <t xml:space="preserve">Nacional afirmada</t>
  </si>
  <si>
    <t xml:space="preserve">Parcial</t>
  </si>
  <si>
    <t xml:space="preserve">Claro</t>
  </si>
  <si>
    <t xml:space="preserve">Colinoso</t>
  </si>
  <si>
    <t xml:space="preserve">15-25% (Fuert. inclinado)</t>
  </si>
  <si>
    <t xml:space="preserve">Este</t>
  </si>
  <si>
    <t xml:space="preserve">Cárcava somera (0.5-2 m)</t>
  </si>
  <si>
    <t xml:space="preserve">Estabilizada con vegetación</t>
  </si>
  <si>
    <t xml:space="preserve">Quema</t>
  </si>
  <si>
    <t xml:space="preserve">Media</t>
  </si>
  <si>
    <t xml:space="preserve">Medianamente alterado</t>
  </si>
  <si>
    <t xml:space="preserve">Pastoreo extensivo</t>
  </si>
  <si>
    <t xml:space="preserve">Escasa (&lt;10 pl./100m²)</t>
  </si>
  <si>
    <t xml:space="preserve">Enfermo (hongo)</t>
  </si>
  <si>
    <t xml:space="preserve">Fructificación</t>
  </si>
  <si>
    <t xml:space="preserve">Matorral denso</t>
  </si>
  <si>
    <t xml:space="preserve">Endémica del Perú</t>
  </si>
  <si>
    <t xml:space="preserve">CR — En Peligro Crítico</t>
  </si>
  <si>
    <t xml:space="preserve">Difícilmente reversible</t>
  </si>
  <si>
    <t xml:space="preserve">Intermitente</t>
  </si>
  <si>
    <t xml:space="preserve">Mala (turbia, con olor o color)</t>
  </si>
  <si>
    <t xml:space="preserve">Vehicular + caminata 30-90 min</t>
  </si>
  <si>
    <t xml:space="preserve">Departamental asfaltada</t>
  </si>
  <si>
    <t xml:space="preserve">Entel</t>
  </si>
  <si>
    <t xml:space="preserve">Ladera baja</t>
  </si>
  <si>
    <t xml:space="preserve">Oeste</t>
  </si>
  <si>
    <t xml:space="preserve">2000-2500 m (Quechua alta)</t>
  </si>
  <si>
    <t xml:space="preserve">Fuerte (cárcavas incipientes)</t>
  </si>
  <si>
    <t xml:space="preserve">Cárcava profunda (2-5 m)</t>
  </si>
  <si>
    <t xml:space="preserve">Estabilizada con obras</t>
  </si>
  <si>
    <t xml:space="preserve">Surcos de labranza en pendiente</t>
  </si>
  <si>
    <t xml:space="preserve">Aislado</t>
  </si>
  <si>
    <t xml:space="preserve">Baja</t>
  </si>
  <si>
    <t xml:space="preserve">Bosque Estacionalmente Seco Llanura (Bes-ll)</t>
  </si>
  <si>
    <t xml:space="preserve">Pastoreo intensivo</t>
  </si>
  <si>
    <t xml:space="preserve">Ausente</t>
  </si>
  <si>
    <t xml:space="preserve">Daño mecánico</t>
  </si>
  <si>
    <t xml:space="preserve">Caducifolio (hojas caídas)</t>
  </si>
  <si>
    <t xml:space="preserve">Matorral ralo</t>
  </si>
  <si>
    <t xml:space="preserve">Invasora</t>
  </si>
  <si>
    <t xml:space="preserve">Endémica norte / Piura</t>
  </si>
  <si>
    <t xml:space="preserve">EN — En Peligro</t>
  </si>
  <si>
    <t xml:space="preserve">Lenta</t>
  </si>
  <si>
    <t xml:space="preserve">En recuperación</t>
  </si>
  <si>
    <t xml:space="preserve">Río</t>
  </si>
  <si>
    <t xml:space="preserve">Efímero</t>
  </si>
  <si>
    <t xml:space="preserve">Muy mala (contaminación evidente)</t>
  </si>
  <si>
    <t xml:space="preserve">Vehicular + caminata &gt;90 min</t>
  </si>
  <si>
    <t xml:space="preserve">Departamental afirmada</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</si>
  <si>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</si>
  <si>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</si>
  <si>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</si>
  <si>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</si>
  <si>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</si>
  <si>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</si>
  <si>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</si>
  <si>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</si>
  <si>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</si>
  <si>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</si>
  <si>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</si>
  <si>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</si>
  <si>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</si>
  <si>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</si>
  <si>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</si>
  <si>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</si>
  <si>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</si>
  <si>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</si>
  <si>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</si>
  <si>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Amenazada (D.S. 043-2006-AG)</t>
  </si>
  <si>
    <t xml:space="preserve">VU — Vulnerable</t>
  </si>
  <si>
    <t xml:space="preserve">Muy fuerte</t>
  </si>
  <si>
    <t xml:space="preserve">Estable</t>
  </si>
  <si>
    <t xml:space="preserve">Canal de riego</t>
  </si>
  <si>
    <t xml:space="preserve">Requiere acémila (páramo/jalca)</t>
  </si>
  <si>
    <t xml:space="preserve">Vecinal afirmada</t>
  </si>
  <si>
    <t xml:space="preserve">&gt;75% (Muy escarpado)</t>
  </si>
  <si>
    <t xml:space="preserve">Terraza aluvial</t>
  </si>
  <si>
    <t xml:space="preserve">Noroeste</t>
  </si>
  <si>
    <t xml:space="preserve">3000-3500 m (Puna baja)</t>
  </si>
  <si>
    <t xml:space="preserve">Extrema</t>
  </si>
  <si>
    <t xml:space="preserve">Concentración natural de escorrentía</t>
  </si>
  <si>
    <t xml:space="preserve">Matorral Andino árido</t>
  </si>
  <si>
    <t xml:space="preserve">En restauración / Recuperación</t>
  </si>
  <si>
    <t xml:space="preserve">Agricultura bajo riego</t>
  </si>
  <si>
    <t xml:space="preserve">Rebrote vigoroso</t>
  </si>
  <si>
    <t xml:space="preserve">Pastizal cultivado</t>
  </si>
  <si>
    <t xml:space="preserve">NT — Casi Amenazado</t>
  </si>
  <si>
    <t xml:space="preserve">Inaccesible en lluvias</t>
  </si>
  <si>
    <t xml:space="preserve">Cauce / Ribera</t>
  </si>
  <si>
    <t xml:space="preserve">&gt;3500 m (Puna/Jalca)</t>
  </si>
  <si>
    <t xml:space="preserve">Socavamiento de cauce</t>
  </si>
  <si>
    <t xml:space="preserve">Matorral Andino semiárido</t>
  </si>
  <si>
    <t xml:space="preserve">Sin uso aparente / Abandonado</t>
  </si>
  <si>
    <t xml:space="preserve">Cultivo anual</t>
  </si>
  <si>
    <t xml:space="preserve">Epífito</t>
  </si>
  <si>
    <t xml:space="preserve">LC — Preocupación Menor</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</si>
  <si>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</si>
  <si>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</si>
  <si>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</si>
  <si>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</si>
  <si>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</si>
  <si>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</si>
  <si>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</si>
  <si>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</si>
  <si>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</si>
  <si>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</si>
  <si>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</si>
  <si>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</si>
  <si>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</si>
  <si>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</si>
  <si>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Bofedal</t>
  </si>
  <si>
    <t xml:space="preserve">Pastizal andino / Jalca</t>
  </si>
  <si>
    <t xml:space="preserve">Afloramiento rocoso</t>
  </si>
  <si>
    <t xml:space="preserve">Agroecosistema / Mosaico</t>
  </si>
  <si>
    <t xml:space="preserve">Área urbana / rural</t>
  </si>
</sst>
</file>

<file path=xl/styles.xml><?xml version="1.0" encoding="utf-8"?>
<styleSheet xmlns="http://schemas.openxmlformats.org/spreadsheetml/2006/main">
  <numFmts count="10">
    <numFmt numFmtId="164" formatCode="General"/>
    <numFmt numFmtId="165" formatCode="0.000"/>
    <numFmt numFmtId="166" formatCode="#,##0"/>
    <numFmt numFmtId="167" formatCode="0.00"/>
    <numFmt numFmtId="168" formatCode="0.0"/>
    <numFmt numFmtId="169" formatCode="0.0000"/>
    <numFmt numFmtId="170" formatCode="0.000&quot; ha&quot;"/>
    <numFmt numFmtId="171" formatCode="0.00&quot; %&quot;"/>
    <numFmt numFmtId="172" formatCode="#,##0&quot; m&quot;"/>
    <numFmt numFmtId="173" formatCode="#,##0.00"/>
  </numFmts>
  <fonts count="3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8"/>
      <color rgb="FFFFFFFF"/>
      <name val="Arial"/>
      <family val="0"/>
      <charset val="1"/>
    </font>
    <font>
      <b val="true"/>
      <sz val="12"/>
      <color rgb="FF1B4D2E"/>
      <name val="Arial"/>
      <family val="0"/>
      <charset val="1"/>
    </font>
    <font>
      <i val="true"/>
      <sz val="9"/>
      <name val="Arial"/>
      <family val="0"/>
      <charset val="1"/>
    </font>
    <font>
      <b val="true"/>
      <sz val="9"/>
      <name val="Arial"/>
      <family val="0"/>
      <charset val="1"/>
    </font>
    <font>
      <sz val="9"/>
      <name val="Arial"/>
      <family val="0"/>
      <charset val="1"/>
    </font>
    <font>
      <sz val="9"/>
      <color rgb="FF7B2E1E"/>
      <name val="Arial"/>
      <family val="0"/>
      <charset val="1"/>
    </font>
    <font>
      <b val="true"/>
      <sz val="9"/>
      <color rgb="FF0000FF"/>
      <name val="Arial"/>
      <family val="0"/>
      <charset val="1"/>
    </font>
    <font>
      <i val="true"/>
      <sz val="8"/>
      <name val="Arial"/>
      <family val="0"/>
      <charset val="1"/>
    </font>
    <font>
      <b val="true"/>
      <sz val="9"/>
      <color rgb="FFFFFFFF"/>
      <name val="Arial"/>
      <family val="0"/>
      <charset val="1"/>
    </font>
    <font>
      <b val="true"/>
      <sz val="10"/>
      <color rgb="FF1B4F72"/>
      <name val="Arial"/>
      <family val="0"/>
      <charset val="1"/>
    </font>
    <font>
      <b val="true"/>
      <sz val="10"/>
      <color rgb="FFB03A2E"/>
      <name val="Arial"/>
      <family val="0"/>
      <charset val="1"/>
    </font>
    <font>
      <b val="true"/>
      <sz val="9"/>
      <color rgb="FF1B4D2E"/>
      <name val="Arial"/>
      <family val="0"/>
      <charset val="1"/>
    </font>
    <font>
      <b val="true"/>
      <sz val="12"/>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name val="Arial"/>
      <family val="0"/>
      <charset val="1"/>
    </font>
    <font>
      <i val="true"/>
      <sz val="10"/>
      <color rgb="FF333333"/>
      <name val="Arial"/>
      <family val="0"/>
      <charset val="1"/>
    </font>
    <font>
      <sz val="10"/>
      <color rgb="FF000000"/>
      <name val="Arial"/>
      <family val="0"/>
      <charset val="1"/>
    </font>
    <font>
      <i val="true"/>
      <sz val="8"/>
      <color rgb="FF555555"/>
      <name val="Arial"/>
      <family val="0"/>
      <charset val="1"/>
    </font>
    <font>
      <sz val="9"/>
      <color rgb="FF000000"/>
      <name val="Arial"/>
      <family val="0"/>
      <charset val="1"/>
    </font>
    <font>
      <i val="true"/>
      <sz val="9"/>
      <color rgb="FFB03A2E"/>
      <name val="Arial"/>
      <family val="0"/>
      <charset val="1"/>
    </font>
    <font>
      <b val="true"/>
      <sz val="11"/>
      <color rgb="FF1B4D2E"/>
      <name val="Arial"/>
      <family val="0"/>
      <charset val="1"/>
    </font>
  </fonts>
  <fills count="14">
    <fill>
      <patternFill patternType="none"/>
    </fill>
    <fill>
      <patternFill patternType="gray125"/>
    </fill>
    <fill>
      <patternFill patternType="solid">
        <fgColor rgb="FF1B4D2E"/>
        <bgColor rgb="FF1B4F72"/>
      </patternFill>
    </fill>
    <fill>
      <patternFill patternType="solid">
        <fgColor rgb="FF1B4F72"/>
        <bgColor rgb="FF1B4D2E"/>
      </patternFill>
    </fill>
    <fill>
      <patternFill patternType="solid">
        <fgColor rgb="FFF5F8F6"/>
        <bgColor rgb="FFEEF2F5"/>
      </patternFill>
    </fill>
    <fill>
      <patternFill patternType="solid">
        <fgColor rgb="FFFDF2E9"/>
        <bgColor rgb="FFFFF8DC"/>
      </patternFill>
    </fill>
    <fill>
      <patternFill patternType="solid">
        <fgColor rgb="FFFFFF00"/>
        <bgColor rgb="FFFFFF00"/>
      </patternFill>
    </fill>
    <fill>
      <patternFill patternType="solid">
        <fgColor rgb="FFEAF1EC"/>
        <bgColor rgb="FFEEF2F5"/>
      </patternFill>
    </fill>
    <fill>
      <patternFill patternType="solid">
        <fgColor rgb="FFFCF3CF"/>
        <bgColor rgb="FFFFF8DC"/>
      </patternFill>
    </fill>
    <fill>
      <patternFill patternType="solid">
        <fgColor rgb="FF2E7D4F"/>
        <bgColor rgb="FF008080"/>
      </patternFill>
    </fill>
    <fill>
      <patternFill patternType="solid">
        <fgColor rgb="FFD7E4DC"/>
        <bgColor rgb="FFEAF1EC"/>
      </patternFill>
    </fill>
    <fill>
      <patternFill patternType="solid">
        <fgColor rgb="FFFFE4C4"/>
        <bgColor rgb="FFFCF3CF"/>
      </patternFill>
    </fill>
    <fill>
      <patternFill patternType="solid">
        <fgColor rgb="FFEEF2F5"/>
        <bgColor rgb="FFEAF1EC"/>
      </patternFill>
    </fill>
    <fill>
      <patternFill patternType="solid">
        <fgColor rgb="FFFFF8DC"/>
        <bgColor rgb="FFFCF3CF"/>
      </patternFill>
    </fill>
  </fills>
  <borders count="5">
    <border diagonalUp="false" diagonalDown="false">
      <left/>
      <right/>
      <top/>
      <bottom/>
      <diagonal/>
    </border>
    <border diagonalUp="false" diagonalDown="false">
      <left style="thin">
        <color rgb="FF9AA5A0"/>
      </left>
      <right style="thin">
        <color rgb="FF9AA5A0"/>
      </right>
      <top style="thin">
        <color rgb="FF9AA5A0"/>
      </top>
      <bottom style="thin">
        <color rgb="FF9AA5A0"/>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left" vertical="center" textRotation="0" wrapText="false" indent="1"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11" fillId="6"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6" fontId="9" fillId="4" borderId="1" xfId="0" applyFont="true" applyBorder="true" applyAlignment="true" applyProtection="false">
      <alignment horizontal="center" vertical="top" textRotation="0" wrapText="true" indent="0" shrinkToFit="false"/>
      <protection locked="true" hidden="false"/>
    </xf>
    <xf numFmtId="167" fontId="9" fillId="4" borderId="1" xfId="0" applyFont="true" applyBorder="true" applyAlignment="true" applyProtection="false">
      <alignment horizontal="center"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6" fontId="8" fillId="7" borderId="1" xfId="0" applyFont="true" applyBorder="true" applyAlignment="true" applyProtection="false">
      <alignment horizontal="center" vertical="bottom" textRotation="0" wrapText="false" indent="0" shrinkToFit="false"/>
      <protection locked="true" hidden="false"/>
    </xf>
    <xf numFmtId="167" fontId="8" fillId="7" borderId="1" xfId="0" applyFont="true" applyBorder="true" applyAlignment="true" applyProtection="false">
      <alignment horizontal="center" vertical="bottom" textRotation="0" wrapText="false" indent="0" shrinkToFit="false"/>
      <protection locked="true" hidden="false"/>
    </xf>
    <xf numFmtId="165" fontId="8" fillId="7"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center" vertical="bottom" textRotation="0" wrapText="false" indent="0" shrinkToFit="false"/>
      <protection locked="true" hidden="false"/>
    </xf>
    <xf numFmtId="167" fontId="15" fillId="0" borderId="1" xfId="0" applyFont="true" applyBorder="true" applyAlignment="true" applyProtection="false">
      <alignment horizontal="center" vertical="bottom" textRotation="0" wrapText="false" indent="0" shrinkToFit="false"/>
      <protection locked="true" hidden="false"/>
    </xf>
    <xf numFmtId="165" fontId="15" fillId="0" borderId="1"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center" vertical="top" textRotation="0" wrapText="true" indent="0" shrinkToFit="false"/>
      <protection locked="true" hidden="false"/>
    </xf>
    <xf numFmtId="168" fontId="9" fillId="4"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8" fontId="8" fillId="4"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9" fontId="9"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5" fontId="9" fillId="4" borderId="1" xfId="0" applyFont="true" applyBorder="true" applyAlignment="true" applyProtection="false">
      <alignment horizontal="center" vertical="top" textRotation="0" wrapText="true" indent="0" shrinkToFit="false"/>
      <protection locked="true" hidden="false"/>
    </xf>
    <xf numFmtId="169" fontId="9" fillId="4" borderId="1" xfId="0" applyFont="true" applyBorder="true" applyAlignment="true" applyProtection="false">
      <alignment horizontal="center" vertical="top" textRotation="0" wrapText="true" indent="0" shrinkToFit="false"/>
      <protection locked="true" hidden="false"/>
    </xf>
    <xf numFmtId="167" fontId="9" fillId="4" borderId="1" xfId="0" applyFont="true" applyBorder="true" applyAlignment="true" applyProtection="false">
      <alignment horizontal="center" vertical="top" textRotation="0" wrapText="true" indent="0" shrinkToFit="false"/>
      <protection locked="true" hidden="false"/>
    </xf>
    <xf numFmtId="164" fontId="16" fillId="8" borderId="1" xfId="0" applyFont="true" applyBorder="true" applyAlignment="true" applyProtection="false">
      <alignment horizontal="center" vertical="top" textRotation="0" wrapText="true" indent="0" shrinkToFit="false"/>
      <protection locked="true" hidden="false"/>
    </xf>
    <xf numFmtId="165" fontId="16" fillId="8" borderId="1" xfId="0" applyFont="true" applyBorder="true" applyAlignment="true" applyProtection="false">
      <alignment horizontal="center" vertical="top" textRotation="0" wrapText="true" indent="0" shrinkToFit="false"/>
      <protection locked="true" hidden="false"/>
    </xf>
    <xf numFmtId="167" fontId="16" fillId="8" borderId="1" xfId="0" applyFont="true" applyBorder="true" applyAlignment="true" applyProtection="false">
      <alignment horizontal="center" vertical="bottom" textRotation="0" wrapText="false" indent="0" shrinkToFit="false"/>
      <protection locked="true" hidden="false"/>
    </xf>
    <xf numFmtId="169" fontId="16" fillId="8" borderId="1" xfId="0" applyFont="true" applyBorder="true" applyAlignment="true" applyProtection="false">
      <alignment horizontal="center" vertical="top" textRotation="0" wrapText="true" indent="0" shrinkToFit="false"/>
      <protection locked="true" hidden="false"/>
    </xf>
    <xf numFmtId="166" fontId="16" fillId="8" borderId="1" xfId="0" applyFont="true" applyBorder="true" applyAlignment="true" applyProtection="false">
      <alignment horizontal="center" vertical="top" textRotation="0" wrapText="true" indent="0" shrinkToFit="false"/>
      <protection locked="true" hidden="false"/>
    </xf>
    <xf numFmtId="167" fontId="16" fillId="8"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9" fontId="8" fillId="7" borderId="1" xfId="0" applyFont="true" applyBorder="true" applyAlignment="true" applyProtection="false">
      <alignment horizontal="center" vertical="bottom" textRotation="0" wrapText="false" indent="0" shrinkToFit="false"/>
      <protection locked="true" hidden="false"/>
    </xf>
    <xf numFmtId="170" fontId="8" fillId="0" borderId="1" xfId="0" applyFont="true" applyBorder="true" applyAlignment="true" applyProtection="false">
      <alignment horizontal="center" vertical="bottom" textRotation="0" wrapText="false" indent="0" shrinkToFit="false"/>
      <protection locked="true" hidden="false"/>
    </xf>
    <xf numFmtId="169" fontId="8" fillId="4" borderId="1" xfId="0" applyFont="true" applyBorder="true" applyAlignment="true" applyProtection="false">
      <alignment horizontal="center" vertical="bottom" textRotation="0" wrapText="false" indent="0" shrinkToFit="false"/>
      <protection locked="true" hidden="false"/>
    </xf>
    <xf numFmtId="171" fontId="8" fillId="0" borderId="1" xfId="0" applyFont="true" applyBorder="true" applyAlignment="true" applyProtection="false">
      <alignment horizontal="center" vertical="bottom" textRotation="0" wrapText="false" indent="0" shrinkToFit="false"/>
      <protection locked="true" hidden="false"/>
    </xf>
    <xf numFmtId="172" fontId="8" fillId="4" borderId="1" xfId="0" applyFont="true" applyBorder="true" applyAlignment="true" applyProtection="false">
      <alignment horizontal="center" vertical="bottom" textRotation="0" wrapText="fals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7" fillId="2" borderId="0"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18" fillId="9" borderId="0"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true" applyAlignment="true" applyProtection="false">
      <alignment horizontal="center" vertical="center" textRotation="0" wrapText="true" indent="0" shrinkToFit="false"/>
      <protection locked="true" hidden="false"/>
    </xf>
    <xf numFmtId="164" fontId="21" fillId="2" borderId="0" xfId="0" applyFont="true" applyBorder="true" applyAlignment="true" applyProtection="false">
      <alignment horizontal="center" vertical="center" textRotation="0" wrapText="true" indent="0" shrinkToFit="false"/>
      <protection locked="true" hidden="false"/>
    </xf>
    <xf numFmtId="164" fontId="22" fillId="10" borderId="2" xfId="0" applyFont="true" applyBorder="true" applyAlignment="true" applyProtection="false">
      <alignment horizontal="left" vertical="center" textRotation="0" wrapText="true" indent="0" shrinkToFit="false"/>
      <protection locked="true" hidden="false"/>
    </xf>
    <xf numFmtId="164" fontId="23" fillId="11" borderId="2" xfId="0" applyFont="true" applyBorder="true" applyAlignment="true" applyProtection="false">
      <alignment horizontal="general" vertical="top" textRotation="0" wrapText="true" indent="0" shrinkToFit="false"/>
      <protection locked="true" hidden="false"/>
    </xf>
    <xf numFmtId="164" fontId="24" fillId="12" borderId="2" xfId="0" applyFont="true" applyBorder="true" applyAlignment="true" applyProtection="false">
      <alignment horizontal="left" vertical="center" textRotation="0" wrapText="true" indent="0" shrinkToFit="false"/>
      <protection locked="true" hidden="false"/>
    </xf>
    <xf numFmtId="164" fontId="25" fillId="11" borderId="2" xfId="0" applyFont="true" applyBorder="true" applyAlignment="true" applyProtection="false">
      <alignment horizontal="left" vertical="center" textRotation="0" wrapText="true" indent="0" shrinkToFit="false"/>
      <protection locked="true" hidden="false"/>
    </xf>
    <xf numFmtId="164" fontId="9" fillId="11" borderId="2" xfId="0" applyFont="true" applyBorder="true" applyAlignment="true" applyProtection="false">
      <alignment horizontal="general" vertical="top" textRotation="0" wrapText="true" indent="0" shrinkToFit="false"/>
      <protection locked="true" hidden="false"/>
    </xf>
    <xf numFmtId="164" fontId="26" fillId="13" borderId="2" xfId="0" applyFont="true" applyBorder="true" applyAlignment="true" applyProtection="false">
      <alignment horizontal="left" vertical="center" textRotation="0" wrapText="true" indent="0" shrinkToFit="false"/>
      <protection locked="true" hidden="false"/>
    </xf>
    <xf numFmtId="164" fontId="13" fillId="9" borderId="2" xfId="0" applyFont="true" applyBorder="true" applyAlignment="true" applyProtection="false">
      <alignment horizontal="center" vertical="center" textRotation="0" wrapText="true" indent="0" shrinkToFit="false"/>
      <protection locked="true" hidden="false"/>
    </xf>
    <xf numFmtId="164" fontId="27" fillId="11" borderId="2" xfId="0" applyFont="true" applyBorder="true" applyAlignment="true" applyProtection="false">
      <alignment horizontal="center" vertical="center" textRotation="0" wrapText="true" indent="0" shrinkToFit="false"/>
      <protection locked="true" hidden="false"/>
    </xf>
    <xf numFmtId="164" fontId="27" fillId="11" borderId="2" xfId="0" applyFont="true" applyBorder="true" applyAlignment="true" applyProtection="false">
      <alignment horizontal="left" vertical="center" textRotation="0" wrapText="true" indent="0" shrinkToFit="false"/>
      <protection locked="true" hidden="false"/>
    </xf>
    <xf numFmtId="164" fontId="23" fillId="10" borderId="2" xfId="0" applyFont="true" applyBorder="true" applyAlignment="true" applyProtection="false">
      <alignment horizontal="center" vertical="top" textRotation="0" wrapText="false" indent="0" shrinkToFit="false"/>
      <protection locked="true" hidden="false"/>
    </xf>
    <xf numFmtId="164" fontId="27" fillId="10" borderId="2" xfId="0" applyFont="true" applyBorder="true" applyAlignment="true" applyProtection="false">
      <alignment horizontal="center" vertical="center" textRotation="0" wrapText="true" indent="0" shrinkToFit="false"/>
      <protection locked="true" hidden="false"/>
    </xf>
    <xf numFmtId="164" fontId="28" fillId="11" borderId="2" xfId="0" applyFont="true" applyBorder="true" applyAlignment="true" applyProtection="false">
      <alignment horizontal="general" vertical="top" textRotation="0" wrapText="true" indent="0" shrinkToFit="false"/>
      <protection locked="true" hidden="false"/>
    </xf>
    <xf numFmtId="164" fontId="21" fillId="2" borderId="2" xfId="0" applyFont="true" applyBorder="true" applyAlignment="true" applyProtection="false">
      <alignment horizontal="center" vertical="center"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27" fillId="10" borderId="2" xfId="0" applyFont="true" applyBorder="true" applyAlignment="true" applyProtection="false">
      <alignment horizontal="left" vertical="center" textRotation="0" wrapText="true" indent="0" shrinkToFit="false"/>
      <protection locked="true" hidden="false"/>
    </xf>
    <xf numFmtId="164" fontId="27" fillId="0" borderId="2" xfId="0" applyFont="true" applyBorder="true" applyAlignment="true" applyProtection="false">
      <alignment horizontal="left" vertical="center" textRotation="0" wrapText="true" indent="0" shrinkToFit="false"/>
      <protection locked="true" hidden="false"/>
    </xf>
    <xf numFmtId="166" fontId="27" fillId="0" borderId="2" xfId="0" applyFont="true" applyBorder="true" applyAlignment="true" applyProtection="false">
      <alignment horizontal="center" vertical="center" textRotation="0" wrapText="true" indent="0" shrinkToFit="false"/>
      <protection locked="true" hidden="false"/>
    </xf>
    <xf numFmtId="173" fontId="27" fillId="0" borderId="2"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B03A2E"/>
      <rgbColor rgb="FFFFF8DC"/>
      <rgbColor rgb="FFEAF1EC"/>
      <rgbColor rgb="FF660066"/>
      <rgbColor rgb="FFFF8080"/>
      <rgbColor rgb="FF0066CC"/>
      <rgbColor rgb="FFFDF2E9"/>
      <rgbColor rgb="FF000080"/>
      <rgbColor rgb="FFFF00FF"/>
      <rgbColor rgb="FFFFFF00"/>
      <rgbColor rgb="FF00FFFF"/>
      <rgbColor rgb="FF800080"/>
      <rgbColor rgb="FF800000"/>
      <rgbColor rgb="FF008080"/>
      <rgbColor rgb="FF0000FF"/>
      <rgbColor rgb="FF00CCFF"/>
      <rgbColor rgb="FFEEF2F5"/>
      <rgbColor rgb="FFD7E4DC"/>
      <rgbColor rgb="FFFCF3CF"/>
      <rgbColor rgb="FFF5F8F6"/>
      <rgbColor rgb="FFFF99CC"/>
      <rgbColor rgb="FFCC99FF"/>
      <rgbColor rgb="FFFFE4C4"/>
      <rgbColor rgb="FF3366FF"/>
      <rgbColor rgb="FF33CCCC"/>
      <rgbColor rgb="FF99CC00"/>
      <rgbColor rgb="FFFFCC00"/>
      <rgbColor rgb="FFFF9900"/>
      <rgbColor rgb="FFFF6600"/>
      <rgbColor rgb="FF666666"/>
      <rgbColor rgb="FF9AA5A0"/>
      <rgbColor rgb="FF1B4F72"/>
      <rgbColor rgb="FF2E7D4F"/>
      <rgbColor rgb="FF003300"/>
      <rgbColor rgb="FF1B4D2E"/>
      <rgbColor rgb="FF7B2E1E"/>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30"/>
    <col collapsed="false" customWidth="true" hidden="false" outlineLevel="0" max="4" min="3" style="1" width="32"/>
  </cols>
  <sheetData>
    <row r="1" customFormat="false" ht="19.5" hidden="false" customHeight="true" outlineLevel="0" collapsed="false">
      <c r="A1" s="2" t="s">
        <v>0</v>
      </c>
      <c r="B1" s="2"/>
      <c r="C1" s="2"/>
      <c r="D1" s="2"/>
    </row>
    <row r="2" customFormat="false" ht="15.75" hidden="false" customHeight="true" outlineLevel="0" collapsed="false">
      <c r="A2" s="3" t="s">
        <v>1</v>
      </c>
      <c r="B2" s="3"/>
      <c r="C2" s="3"/>
      <c r="D2" s="3"/>
    </row>
    <row r="3" customFormat="false" ht="15.75" hidden="false" customHeight="true" outlineLevel="0" collapsed="false">
      <c r="A3" s="3" t="s">
        <v>2</v>
      </c>
      <c r="B3" s="3"/>
      <c r="C3" s="3"/>
      <c r="D3" s="3"/>
    </row>
    <row r="4" customFormat="false" ht="15.75" hidden="false" customHeight="true" outlineLevel="0" collapsed="false">
      <c r="A4" s="4" t="s">
        <v>3</v>
      </c>
      <c r="B4" s="4"/>
      <c r="C4" s="4"/>
      <c r="D4" s="4"/>
    </row>
    <row r="5" customFormat="false" ht="24" hidden="false" customHeight="true" outlineLevel="0" collapsed="false">
      <c r="A5" s="5" t="s">
        <v>4</v>
      </c>
      <c r="B5" s="5"/>
      <c r="C5" s="5"/>
      <c r="D5" s="5"/>
    </row>
    <row r="6" customFormat="false" ht="15" hidden="false" customHeight="true" outlineLevel="0" collapsed="false">
      <c r="A6" s="6" t="s">
        <v>5</v>
      </c>
      <c r="B6" s="6"/>
      <c r="C6" s="6"/>
      <c r="D6" s="6"/>
    </row>
    <row r="8" customFormat="false" ht="19.5" hidden="false" customHeight="true" outlineLevel="0" collapsed="false">
      <c r="A8" s="7" t="s">
        <v>6</v>
      </c>
      <c r="B8" s="7"/>
      <c r="C8" s="7"/>
      <c r="D8" s="7"/>
    </row>
    <row r="9" customFormat="false" ht="25.5" hidden="false" customHeight="true" outlineLevel="0" collapsed="false">
      <c r="A9" s="8" t="s">
        <v>7</v>
      </c>
      <c r="B9" s="9" t="s">
        <v>8</v>
      </c>
      <c r="C9" s="8" t="s">
        <v>9</v>
      </c>
      <c r="D9" s="9" t="s">
        <v>10</v>
      </c>
    </row>
    <row r="10" customFormat="false" ht="25.5" hidden="false" customHeight="true" outlineLevel="0" collapsed="false">
      <c r="A10" s="10" t="s">
        <v>11</v>
      </c>
      <c r="B10" s="11" t="s">
        <v>12</v>
      </c>
      <c r="C10" s="10" t="s">
        <v>13</v>
      </c>
      <c r="D10" s="11" t="s">
        <v>14</v>
      </c>
    </row>
    <row r="11" customFormat="false" ht="25.5" hidden="false" customHeight="true" outlineLevel="0" collapsed="false">
      <c r="A11" s="8" t="s">
        <v>15</v>
      </c>
      <c r="B11" s="9" t="s">
        <v>16</v>
      </c>
      <c r="C11" s="8" t="s">
        <v>17</v>
      </c>
      <c r="D11" s="9" t="s">
        <v>18</v>
      </c>
    </row>
    <row r="12" customFormat="false" ht="25.5" hidden="false" customHeight="true" outlineLevel="0" collapsed="false">
      <c r="A12" s="10" t="s">
        <v>19</v>
      </c>
      <c r="B12" s="11" t="s">
        <v>20</v>
      </c>
      <c r="C12" s="10" t="s">
        <v>21</v>
      </c>
      <c r="D12" s="11" t="s">
        <v>22</v>
      </c>
    </row>
    <row r="13" customFormat="false" ht="25.5" hidden="false" customHeight="true" outlineLevel="0" collapsed="false">
      <c r="A13" s="8" t="s">
        <v>23</v>
      </c>
      <c r="B13" s="9" t="s">
        <v>24</v>
      </c>
      <c r="C13" s="8" t="s">
        <v>25</v>
      </c>
      <c r="D13" s="9" t="s">
        <v>26</v>
      </c>
    </row>
    <row r="14" customFormat="false" ht="25.5" hidden="false" customHeight="true" outlineLevel="0" collapsed="false">
      <c r="A14" s="10" t="s">
        <v>27</v>
      </c>
      <c r="B14" s="11" t="s">
        <v>28</v>
      </c>
      <c r="C14" s="10" t="s">
        <v>29</v>
      </c>
      <c r="D14" s="11" t="s">
        <v>30</v>
      </c>
    </row>
    <row r="15" customFormat="false" ht="25.5" hidden="false" customHeight="true" outlineLevel="0" collapsed="false">
      <c r="A15" s="8" t="s">
        <v>31</v>
      </c>
      <c r="B15" s="9" t="s">
        <v>32</v>
      </c>
      <c r="C15" s="8" t="s">
        <v>33</v>
      </c>
      <c r="D15" s="9" t="s">
        <v>34</v>
      </c>
    </row>
    <row r="16" customFormat="false" ht="19.5" hidden="false" customHeight="true" outlineLevel="0" collapsed="false">
      <c r="A16" s="7" t="s">
        <v>35</v>
      </c>
      <c r="B16" s="7"/>
      <c r="C16" s="7"/>
      <c r="D16" s="7"/>
    </row>
    <row r="17" customFormat="false" ht="25.5" hidden="false" customHeight="true" outlineLevel="0" collapsed="false">
      <c r="A17" s="8" t="s">
        <v>36</v>
      </c>
      <c r="B17" s="9" t="s">
        <v>37</v>
      </c>
      <c r="C17" s="8" t="s">
        <v>38</v>
      </c>
      <c r="D17" s="9" t="s">
        <v>39</v>
      </c>
    </row>
    <row r="18" customFormat="false" ht="25.5" hidden="false" customHeight="true" outlineLevel="0" collapsed="false">
      <c r="A18" s="10" t="s">
        <v>40</v>
      </c>
      <c r="B18" s="11" t="s">
        <v>41</v>
      </c>
      <c r="C18" s="10" t="s">
        <v>42</v>
      </c>
      <c r="D18" s="11" t="s">
        <v>43</v>
      </c>
    </row>
    <row r="19" customFormat="false" ht="25.5" hidden="false" customHeight="true" outlineLevel="0" collapsed="false">
      <c r="A19" s="8" t="s">
        <v>44</v>
      </c>
      <c r="B19" s="9" t="s">
        <v>45</v>
      </c>
      <c r="C19" s="8" t="s">
        <v>46</v>
      </c>
      <c r="D19" s="9" t="s">
        <v>47</v>
      </c>
    </row>
    <row r="20" customFormat="false" ht="25.5" hidden="false" customHeight="true" outlineLevel="0" collapsed="false">
      <c r="A20" s="10" t="s">
        <v>48</v>
      </c>
      <c r="B20" s="11" t="s">
        <v>49</v>
      </c>
      <c r="C20" s="10" t="s">
        <v>50</v>
      </c>
      <c r="D20" s="11" t="s">
        <v>51</v>
      </c>
    </row>
    <row r="21" customFormat="false" ht="25.5" hidden="false" customHeight="true" outlineLevel="0" collapsed="false">
      <c r="A21" s="8" t="s">
        <v>52</v>
      </c>
      <c r="B21" s="9" t="s">
        <v>53</v>
      </c>
      <c r="C21" s="8" t="s">
        <v>54</v>
      </c>
      <c r="D21" s="9" t="s">
        <v>55</v>
      </c>
    </row>
    <row r="22" customFormat="false" ht="19.5" hidden="false" customHeight="true" outlineLevel="0" collapsed="false">
      <c r="A22" s="7" t="s">
        <v>56</v>
      </c>
      <c r="B22" s="7"/>
      <c r="C22" s="7"/>
      <c r="D22" s="7"/>
    </row>
    <row r="23" customFormat="false" ht="25.5" hidden="false" customHeight="true" outlineLevel="0" collapsed="false">
      <c r="A23" s="8" t="s">
        <v>57</v>
      </c>
      <c r="B23" s="9" t="s">
        <v>58</v>
      </c>
      <c r="C23" s="8" t="s">
        <v>59</v>
      </c>
      <c r="D23" s="9" t="s">
        <v>60</v>
      </c>
    </row>
    <row r="24" customFormat="false" ht="25.5" hidden="false" customHeight="true" outlineLevel="0" collapsed="false">
      <c r="A24" s="10" t="s">
        <v>61</v>
      </c>
      <c r="B24" s="11" t="s">
        <v>62</v>
      </c>
      <c r="C24" s="10" t="s">
        <v>63</v>
      </c>
      <c r="D24" s="11" t="s">
        <v>64</v>
      </c>
    </row>
    <row r="25" customFormat="false" ht="19.5" hidden="false" customHeight="true" outlineLevel="0" collapsed="false">
      <c r="A25" s="7" t="s">
        <v>65</v>
      </c>
      <c r="B25" s="7"/>
      <c r="C25" s="7"/>
      <c r="D25" s="7"/>
    </row>
    <row r="26" customFormat="false" ht="25.5" hidden="false" customHeight="true" outlineLevel="0" collapsed="false">
      <c r="A26" s="8" t="s">
        <v>66</v>
      </c>
      <c r="B26" s="9" t="s">
        <v>67</v>
      </c>
      <c r="C26" s="8" t="s">
        <v>68</v>
      </c>
      <c r="D26" s="9" t="s">
        <v>69</v>
      </c>
    </row>
    <row r="27" customFormat="false" ht="25.5" hidden="false" customHeight="true" outlineLevel="0" collapsed="false">
      <c r="A27" s="10" t="s">
        <v>70</v>
      </c>
      <c r="B27" s="11" t="s">
        <v>71</v>
      </c>
      <c r="C27" s="10" t="s">
        <v>72</v>
      </c>
      <c r="D27" s="11" t="s">
        <v>73</v>
      </c>
    </row>
    <row r="28" customFormat="false" ht="25.5" hidden="false" customHeight="true" outlineLevel="0" collapsed="false">
      <c r="A28" s="8" t="s">
        <v>74</v>
      </c>
      <c r="B28" s="9" t="s">
        <v>75</v>
      </c>
      <c r="C28" s="8" t="s">
        <v>76</v>
      </c>
      <c r="D28" s="9" t="s">
        <v>77</v>
      </c>
    </row>
    <row r="29" customFormat="false" ht="19.5" hidden="false" customHeight="true" outlineLevel="0" collapsed="false">
      <c r="A29" s="7" t="s">
        <v>78</v>
      </c>
      <c r="B29" s="7"/>
      <c r="C29" s="7"/>
      <c r="D29" s="7"/>
    </row>
    <row r="30" customFormat="false" ht="25.5" hidden="false" customHeight="true" outlineLevel="0" collapsed="false">
      <c r="A30" s="8" t="s">
        <v>79</v>
      </c>
      <c r="B30" s="9" t="s">
        <v>80</v>
      </c>
      <c r="C30" s="8" t="s">
        <v>81</v>
      </c>
      <c r="D30" s="9" t="s">
        <v>80</v>
      </c>
    </row>
    <row r="31" customFormat="false" ht="25.5" hidden="false" customHeight="true" outlineLevel="0" collapsed="false">
      <c r="A31" s="10" t="s">
        <v>82</v>
      </c>
      <c r="B31" s="11" t="s">
        <v>83</v>
      </c>
      <c r="C31" s="10" t="s">
        <v>84</v>
      </c>
      <c r="D31" s="11" t="s">
        <v>85</v>
      </c>
    </row>
    <row r="32" customFormat="false" ht="25.5" hidden="false" customHeight="true" outlineLevel="0" collapsed="false">
      <c r="A32" s="8" t="s">
        <v>86</v>
      </c>
      <c r="B32" s="9" t="s">
        <v>87</v>
      </c>
      <c r="C32" s="8" t="s">
        <v>88</v>
      </c>
      <c r="D32" s="9" t="s">
        <v>89</v>
      </c>
    </row>
    <row r="33" customFormat="false" ht="19.5" hidden="false" customHeight="true" outlineLevel="0" collapsed="false">
      <c r="A33" s="7" t="s">
        <v>90</v>
      </c>
      <c r="B33" s="7"/>
      <c r="C33" s="7"/>
      <c r="D33" s="7"/>
    </row>
    <row r="34" customFormat="false" ht="25.5" hidden="false" customHeight="true" outlineLevel="0" collapsed="false">
      <c r="A34" s="8" t="s">
        <v>91</v>
      </c>
      <c r="B34" s="9" t="s">
        <v>92</v>
      </c>
      <c r="C34" s="8" t="s">
        <v>93</v>
      </c>
      <c r="D34" s="9" t="s">
        <v>94</v>
      </c>
    </row>
    <row r="35" customFormat="false" ht="25.5" hidden="false" customHeight="true" outlineLevel="0" collapsed="false">
      <c r="A35" s="10" t="s">
        <v>95</v>
      </c>
      <c r="B35" s="11" t="s">
        <v>96</v>
      </c>
      <c r="C35" s="10" t="s">
        <v>97</v>
      </c>
      <c r="D35" s="11" t="s">
        <v>98</v>
      </c>
    </row>
    <row r="36" customFormat="false" ht="25.5" hidden="false" customHeight="true" outlineLevel="0" collapsed="false">
      <c r="A36" s="8" t="s">
        <v>99</v>
      </c>
      <c r="B36" s="9" t="s">
        <v>100</v>
      </c>
      <c r="C36" s="8" t="s">
        <v>101</v>
      </c>
      <c r="D36" s="9" t="s">
        <v>102</v>
      </c>
    </row>
    <row r="37" customFormat="false" ht="25.5" hidden="false" customHeight="true" outlineLevel="0" collapsed="false">
      <c r="A37" s="10" t="s">
        <v>103</v>
      </c>
      <c r="B37" s="11" t="s">
        <v>104</v>
      </c>
      <c r="C37" s="10" t="s">
        <v>105</v>
      </c>
      <c r="D37" s="11" t="s">
        <v>106</v>
      </c>
    </row>
    <row r="39" customFormat="false" ht="15" hidden="false" customHeight="true" outlineLevel="0" collapsed="false">
      <c r="A39" s="12" t="s">
        <v>107</v>
      </c>
      <c r="B39" s="12"/>
      <c r="C39" s="12"/>
      <c r="D39" s="12"/>
    </row>
    <row r="40" customFormat="false" ht="15" hidden="false" customHeight="true" outlineLevel="0" collapsed="false">
      <c r="A40" s="12"/>
      <c r="B40" s="12"/>
      <c r="C40" s="12"/>
      <c r="D40" s="12"/>
    </row>
    <row r="41" customFormat="false" ht="15" hidden="false" customHeight="true" outlineLevel="0" collapsed="false">
      <c r="A41" s="12"/>
      <c r="B41" s="12"/>
      <c r="C41" s="12"/>
      <c r="D41" s="12"/>
    </row>
    <row r="42" customFormat="false" ht="15" hidden="false" customHeight="true" outlineLevel="0" collapsed="false">
      <c r="A42" s="12"/>
      <c r="B42" s="12"/>
      <c r="C42" s="12"/>
      <c r="D42" s="12"/>
    </row>
    <row r="43" customFormat="false" ht="15" hidden="false" customHeight="true" outlineLevel="0" collapsed="false">
      <c r="A43" s="12"/>
      <c r="B43" s="12"/>
      <c r="C43" s="12"/>
      <c r="D43" s="12"/>
    </row>
    <row r="44" customFormat="false" ht="15" hidden="false" customHeight="true" outlineLevel="0" collapsed="false">
      <c r="A44" s="12"/>
      <c r="B44" s="12"/>
      <c r="C44" s="12"/>
      <c r="D44" s="12"/>
    </row>
  </sheetData>
  <mergeCells count="13">
    <mergeCell ref="A1:D1"/>
    <mergeCell ref="A2:D2"/>
    <mergeCell ref="A3:D3"/>
    <mergeCell ref="A4:D4"/>
    <mergeCell ref="A5:D5"/>
    <mergeCell ref="A6:D6"/>
    <mergeCell ref="A8:D8"/>
    <mergeCell ref="A16:D16"/>
    <mergeCell ref="A22:D22"/>
    <mergeCell ref="A25:D25"/>
    <mergeCell ref="A29:D29"/>
    <mergeCell ref="A33:D33"/>
    <mergeCell ref="A39:D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4" min="3" style="1" width="12"/>
    <col collapsed="false" customWidth="true" hidden="false" outlineLevel="0" max="5" min="5" style="1" width="14"/>
    <col collapsed="false" customWidth="true" hidden="false" outlineLevel="0" max="6" min="6" style="1" width="46"/>
  </cols>
  <sheetData>
    <row r="1" customFormat="false" ht="19.5" hidden="false" customHeight="true" outlineLevel="0" collapsed="false">
      <c r="A1" s="2" t="s">
        <v>0</v>
      </c>
      <c r="B1" s="2"/>
      <c r="C1" s="2"/>
      <c r="D1" s="2"/>
      <c r="E1" s="2"/>
      <c r="F1" s="2"/>
    </row>
    <row r="2" customFormat="false" ht="15.75" hidden="false" customHeight="true" outlineLevel="0" collapsed="false">
      <c r="A2" s="3" t="s">
        <v>1</v>
      </c>
      <c r="B2" s="3"/>
      <c r="C2" s="3"/>
      <c r="D2" s="3"/>
      <c r="E2" s="3"/>
      <c r="F2" s="3"/>
    </row>
    <row r="3" customFormat="false" ht="15.75" hidden="false" customHeight="true" outlineLevel="0" collapsed="false">
      <c r="A3" s="3" t="s">
        <v>2</v>
      </c>
      <c r="B3" s="3"/>
      <c r="C3" s="3"/>
      <c r="D3" s="3"/>
      <c r="E3" s="3"/>
      <c r="F3" s="3"/>
    </row>
    <row r="4" customFormat="false" ht="15.75" hidden="false" customHeight="true" outlineLevel="0" collapsed="false">
      <c r="A4" s="4" t="s">
        <v>3</v>
      </c>
      <c r="B4" s="4"/>
      <c r="C4" s="4"/>
      <c r="D4" s="4"/>
      <c r="E4" s="4"/>
      <c r="F4" s="4"/>
    </row>
    <row r="5" customFormat="false" ht="24" hidden="false" customHeight="true" outlineLevel="0" collapsed="false">
      <c r="A5" s="5" t="s">
        <v>108</v>
      </c>
      <c r="B5" s="5"/>
      <c r="C5" s="5"/>
      <c r="D5" s="5"/>
      <c r="E5" s="5"/>
      <c r="F5" s="5"/>
    </row>
    <row r="6" customFormat="false" ht="15" hidden="false" customHeight="true" outlineLevel="0" collapsed="false">
      <c r="A6" s="6" t="s">
        <v>109</v>
      </c>
      <c r="B6" s="6"/>
      <c r="C6" s="6"/>
      <c r="D6" s="6"/>
      <c r="E6" s="6"/>
      <c r="F6" s="6"/>
    </row>
    <row r="8" customFormat="false" ht="15" hidden="false" customHeight="true" outlineLevel="0" collapsed="false">
      <c r="A8" s="13" t="s">
        <v>110</v>
      </c>
      <c r="C8" s="14" t="n">
        <v>10.673</v>
      </c>
      <c r="D8" s="15" t="s">
        <v>111</v>
      </c>
    </row>
    <row r="10" customFormat="false" ht="30" hidden="false" customHeight="true" outlineLevel="0" collapsed="false">
      <c r="A10" s="16" t="s">
        <v>112</v>
      </c>
      <c r="B10" s="16" t="s">
        <v>113</v>
      </c>
      <c r="C10" s="16" t="s">
        <v>114</v>
      </c>
      <c r="D10" s="16" t="s">
        <v>115</v>
      </c>
      <c r="E10" s="16" t="s">
        <v>116</v>
      </c>
      <c r="F10" s="16" t="s">
        <v>117</v>
      </c>
    </row>
    <row r="11" customFormat="false" ht="30" hidden="false" customHeight="true" outlineLevel="0" collapsed="false">
      <c r="A11" s="17" t="s">
        <v>118</v>
      </c>
      <c r="B11" s="9" t="s">
        <v>119</v>
      </c>
      <c r="C11" s="18" t="n">
        <v>350511</v>
      </c>
      <c r="D11" s="19" t="n">
        <f aca="false">IF($C$16=0,0,C11/$C$16*100)</f>
        <v>25.8507620757252</v>
      </c>
      <c r="E11" s="20" t="n">
        <f aca="false">D11/100*$C$8</f>
        <v>2.75905183634215</v>
      </c>
      <c r="F11" s="9" t="s">
        <v>120</v>
      </c>
    </row>
    <row r="12" customFormat="false" ht="30" hidden="false" customHeight="true" outlineLevel="0" collapsed="false">
      <c r="A12" s="21" t="s">
        <v>121</v>
      </c>
      <c r="B12" s="11" t="s">
        <v>122</v>
      </c>
      <c r="C12" s="22" t="n">
        <v>647443</v>
      </c>
      <c r="D12" s="23" t="n">
        <f aca="false">IF($C$16=0,0,C12/$C$16*100)</f>
        <v>47.7499848809132</v>
      </c>
      <c r="E12" s="24" t="n">
        <f aca="false">D12/100*$C$8</f>
        <v>5.09635588633987</v>
      </c>
      <c r="F12" s="11" t="s">
        <v>123</v>
      </c>
    </row>
    <row r="13" customFormat="false" ht="30" hidden="false" customHeight="true" outlineLevel="0" collapsed="false">
      <c r="A13" s="17" t="s">
        <v>124</v>
      </c>
      <c r="B13" s="9" t="s">
        <v>125</v>
      </c>
      <c r="C13" s="18" t="n">
        <v>347522</v>
      </c>
      <c r="D13" s="19" t="n">
        <f aca="false">IF($C$16=0,0,C13/$C$16*100)</f>
        <v>25.6303184153427</v>
      </c>
      <c r="E13" s="20" t="n">
        <f aca="false">D13/100*$C$8</f>
        <v>2.73552388446953</v>
      </c>
      <c r="F13" s="9" t="s">
        <v>126</v>
      </c>
    </row>
    <row r="14" customFormat="false" ht="30" hidden="false" customHeight="true" outlineLevel="0" collapsed="false">
      <c r="A14" s="21" t="s">
        <v>127</v>
      </c>
      <c r="B14" s="11" t="s">
        <v>128</v>
      </c>
      <c r="C14" s="22" t="n">
        <v>10426</v>
      </c>
      <c r="D14" s="23" t="n">
        <f aca="false">IF($C$16=0,0,C14/$C$16*100)</f>
        <v>0.768934628018839</v>
      </c>
      <c r="E14" s="24" t="n">
        <f aca="false">D14/100*$C$8</f>
        <v>0.0820683928484507</v>
      </c>
      <c r="F14" s="11" t="s">
        <v>129</v>
      </c>
    </row>
    <row r="15" customFormat="false" ht="30" hidden="false" customHeight="true" outlineLevel="0" collapsed="false">
      <c r="A15" s="17" t="s">
        <v>130</v>
      </c>
      <c r="B15" s="9" t="s">
        <v>131</v>
      </c>
      <c r="C15" s="18" t="n">
        <v>0</v>
      </c>
      <c r="D15" s="19" t="n">
        <f aca="false">IF($C$16=0,0,C15/$C$16*100)</f>
        <v>0</v>
      </c>
      <c r="E15" s="20" t="n">
        <f aca="false">D15/100*$C$8</f>
        <v>0</v>
      </c>
      <c r="F15" s="9" t="s">
        <v>132</v>
      </c>
    </row>
    <row r="16" customFormat="false" ht="15" hidden="false" customHeight="true" outlineLevel="0" collapsed="false">
      <c r="A16" s="25" t="s">
        <v>133</v>
      </c>
      <c r="B16" s="26"/>
      <c r="C16" s="27" t="n">
        <f aca="false">SUM(C11:C15)</f>
        <v>1355902</v>
      </c>
      <c r="D16" s="28" t="n">
        <f aca="false">SUM(D11:D15)</f>
        <v>100</v>
      </c>
      <c r="E16" s="29" t="n">
        <f aca="false">SUM(E11:E15)</f>
        <v>10.673</v>
      </c>
      <c r="F16" s="26"/>
    </row>
    <row r="18" customFormat="false" ht="15" hidden="false" customHeight="true" outlineLevel="0" collapsed="false">
      <c r="A18" s="30" t="s">
        <v>134</v>
      </c>
      <c r="B18" s="30"/>
      <c r="C18" s="30"/>
      <c r="D18" s="30"/>
      <c r="E18" s="30"/>
      <c r="F18" s="30"/>
    </row>
    <row r="19" customFormat="false" ht="21.75" hidden="false" customHeight="true" outlineLevel="0" collapsed="false">
      <c r="A19" s="8" t="s">
        <v>135</v>
      </c>
      <c r="B19" s="8" t="s">
        <v>136</v>
      </c>
      <c r="C19" s="31" t="n">
        <f aca="false">C13+C14+C15</f>
        <v>357948</v>
      </c>
      <c r="D19" s="32" t="n">
        <f aca="false">D13+D14+D15</f>
        <v>26.3992530433615</v>
      </c>
      <c r="E19" s="33" t="n">
        <f aca="false">E13+E14+E15</f>
        <v>2.81759227731798</v>
      </c>
      <c r="F19" s="8" t="s">
        <v>137</v>
      </c>
    </row>
    <row r="22" customFormat="false" ht="30" hidden="false" customHeight="true" outlineLevel="0" collapsed="false">
      <c r="A22" s="16" t="s">
        <v>138</v>
      </c>
      <c r="B22" s="16" t="s">
        <v>113</v>
      </c>
      <c r="C22" s="16" t="s">
        <v>114</v>
      </c>
      <c r="D22" s="16" t="s">
        <v>115</v>
      </c>
      <c r="E22" s="16" t="s">
        <v>116</v>
      </c>
      <c r="F22" s="16" t="s">
        <v>117</v>
      </c>
    </row>
    <row r="23" customFormat="false" ht="27.75" hidden="false" customHeight="true" outlineLevel="0" collapsed="false">
      <c r="A23" s="17" t="s">
        <v>139</v>
      </c>
      <c r="B23" s="9" t="s">
        <v>140</v>
      </c>
      <c r="C23" s="17" t="n">
        <v>2426498</v>
      </c>
      <c r="D23" s="19" t="n">
        <f aca="false">IF($C$28=0,0,C23/$C$28*100)</f>
        <v>81.4721473476958</v>
      </c>
      <c r="E23" s="20" t="n">
        <f aca="false">D23/100*$C$8</f>
        <v>8.69552228641958</v>
      </c>
      <c r="F23" s="9" t="s">
        <v>141</v>
      </c>
    </row>
    <row r="24" customFormat="false" ht="27.75" hidden="false" customHeight="true" outlineLevel="0" collapsed="false">
      <c r="A24" s="21" t="s">
        <v>142</v>
      </c>
      <c r="B24" s="11" t="s">
        <v>143</v>
      </c>
      <c r="C24" s="21" t="n">
        <v>551745</v>
      </c>
      <c r="D24" s="23" t="n">
        <f aca="false">IF($C$28=0,0,C24/$C$28*100)</f>
        <v>18.5254016027849</v>
      </c>
      <c r="E24" s="24" t="n">
        <f aca="false">D24/100*$C$8</f>
        <v>1.97721611306524</v>
      </c>
      <c r="F24" s="11" t="s">
        <v>144</v>
      </c>
    </row>
    <row r="25" customFormat="false" ht="27.75" hidden="false" customHeight="true" outlineLevel="0" collapsed="false">
      <c r="A25" s="17" t="s">
        <v>145</v>
      </c>
      <c r="B25" s="9" t="s">
        <v>146</v>
      </c>
      <c r="C25" s="17" t="n">
        <v>0</v>
      </c>
      <c r="D25" s="19" t="n">
        <f aca="false">IF($C$28=0,0,C25/$C$28*100)</f>
        <v>0</v>
      </c>
      <c r="E25" s="20" t="n">
        <f aca="false">D25/100*$C$8</f>
        <v>0</v>
      </c>
      <c r="F25" s="9" t="s">
        <v>147</v>
      </c>
    </row>
    <row r="26" customFormat="false" ht="27.75" hidden="false" customHeight="true" outlineLevel="0" collapsed="false">
      <c r="A26" s="21" t="s">
        <v>148</v>
      </c>
      <c r="B26" s="11" t="s">
        <v>149</v>
      </c>
      <c r="C26" s="21" t="n">
        <v>73</v>
      </c>
      <c r="D26" s="23" t="n">
        <f aca="false">IF($C$28=0,0,C26/$C$28*100)</f>
        <v>0.00245104951925853</v>
      </c>
      <c r="E26" s="24" t="n">
        <f aca="false">D26/100*$C$8</f>
        <v>0.000261600515190463</v>
      </c>
      <c r="F26" s="11" t="s">
        <v>150</v>
      </c>
    </row>
    <row r="27" customFormat="false" ht="27.75" hidden="false" customHeight="true" outlineLevel="0" collapsed="false">
      <c r="A27" s="17" t="s">
        <v>151</v>
      </c>
      <c r="B27" s="9" t="s">
        <v>152</v>
      </c>
      <c r="C27" s="17" t="n">
        <v>0</v>
      </c>
      <c r="D27" s="19" t="n">
        <f aca="false">IF($C$28=0,0,C27/$C$28*100)</f>
        <v>0</v>
      </c>
      <c r="E27" s="20" t="n">
        <f aca="false">D27/100*$C$8</f>
        <v>0</v>
      </c>
      <c r="F27" s="9" t="s">
        <v>147</v>
      </c>
    </row>
    <row r="28" customFormat="false" ht="15" hidden="false" customHeight="true" outlineLevel="0" collapsed="false">
      <c r="A28" s="25" t="s">
        <v>133</v>
      </c>
      <c r="B28" s="26"/>
      <c r="C28" s="27" t="n">
        <f aca="false">SUM(C23:C27)</f>
        <v>2978316</v>
      </c>
      <c r="D28" s="28" t="n">
        <f aca="false">SUM(D23:D27)</f>
        <v>100</v>
      </c>
      <c r="E28" s="29" t="n">
        <f aca="false">SUM(E23:E27)</f>
        <v>10.673</v>
      </c>
      <c r="F28" s="26"/>
    </row>
    <row r="31" customFormat="false" ht="15" hidden="false" customHeight="true" outlineLevel="0" collapsed="false">
      <c r="A31" s="34" t="s">
        <v>153</v>
      </c>
      <c r="B31" s="34"/>
      <c r="C31" s="34"/>
      <c r="D31" s="34"/>
      <c r="E31" s="34"/>
      <c r="F31" s="34"/>
    </row>
    <row r="32" customFormat="false" ht="15" hidden="false" customHeight="true" outlineLevel="0" collapsed="false">
      <c r="A32" s="34"/>
      <c r="B32" s="34"/>
      <c r="C32" s="34"/>
      <c r="D32" s="34"/>
      <c r="E32" s="34"/>
      <c r="F32" s="34"/>
    </row>
    <row r="33" customFormat="false" ht="15" hidden="false" customHeight="true" outlineLevel="0" collapsed="false">
      <c r="A33" s="34"/>
      <c r="B33" s="34"/>
      <c r="C33" s="34"/>
      <c r="D33" s="34"/>
      <c r="E33" s="34"/>
      <c r="F33" s="34"/>
    </row>
    <row r="34" customFormat="false" ht="15" hidden="false" customHeight="true" outlineLevel="0" collapsed="false">
      <c r="A34" s="34"/>
      <c r="B34" s="34"/>
      <c r="C34" s="34"/>
      <c r="D34" s="34"/>
      <c r="E34" s="34"/>
      <c r="F34" s="34"/>
    </row>
    <row r="35" customFormat="false" ht="15" hidden="false" customHeight="true" outlineLevel="0" collapsed="false">
      <c r="A35" s="34"/>
      <c r="B35" s="34"/>
      <c r="C35" s="34"/>
      <c r="D35" s="34"/>
      <c r="E35" s="34"/>
      <c r="F35" s="34"/>
    </row>
    <row r="36" customFormat="false" ht="15" hidden="false" customHeight="true" outlineLevel="0" collapsed="false">
      <c r="A36" s="34"/>
      <c r="B36" s="34"/>
      <c r="C36" s="34"/>
      <c r="D36" s="34"/>
      <c r="E36" s="34"/>
      <c r="F36" s="34"/>
    </row>
  </sheetData>
  <mergeCells count="8">
    <mergeCell ref="A1:F1"/>
    <mergeCell ref="A2:F2"/>
    <mergeCell ref="A3:F3"/>
    <mergeCell ref="A4:F4"/>
    <mergeCell ref="A5:F5"/>
    <mergeCell ref="A6:F6"/>
    <mergeCell ref="A18:F18"/>
    <mergeCell ref="A31: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14"/>
    <col collapsed="false" customWidth="true" hidden="false" outlineLevel="0" max="4" min="4" style="1" width="15"/>
    <col collapsed="false" customWidth="true" hidden="false" outlineLevel="0" max="5" min="5" style="1" width="16"/>
    <col collapsed="false" customWidth="true" hidden="false" outlineLevel="0" max="6" min="6" style="1" width="12"/>
    <col collapsed="false" customWidth="true" hidden="false" outlineLevel="0" max="7" min="7" style="1" width="80"/>
  </cols>
  <sheetData>
    <row r="1" customFormat="false" ht="19.5" hidden="false" customHeight="true" outlineLevel="0" collapsed="false">
      <c r="A1" s="2" t="s">
        <v>0</v>
      </c>
      <c r="B1" s="2"/>
      <c r="C1" s="2"/>
      <c r="D1" s="2"/>
      <c r="E1" s="2"/>
      <c r="F1" s="2"/>
      <c r="G1" s="2"/>
    </row>
    <row r="2" customFormat="false" ht="15.75" hidden="false" customHeight="true" outlineLevel="0" collapsed="false">
      <c r="A2" s="3" t="s">
        <v>1</v>
      </c>
      <c r="B2" s="3"/>
      <c r="C2" s="3"/>
      <c r="D2" s="3"/>
      <c r="E2" s="3"/>
      <c r="F2" s="3"/>
      <c r="G2" s="3"/>
    </row>
    <row r="3" customFormat="false" ht="15.75" hidden="false" customHeight="true" outlineLevel="0" collapsed="false">
      <c r="A3" s="3" t="s">
        <v>2</v>
      </c>
      <c r="B3" s="3"/>
      <c r="C3" s="3"/>
      <c r="D3" s="3"/>
      <c r="E3" s="3"/>
      <c r="F3" s="3"/>
      <c r="G3" s="3"/>
    </row>
    <row r="4" customFormat="false" ht="15.75" hidden="false" customHeight="true" outlineLevel="0" collapsed="false">
      <c r="A4" s="4" t="s">
        <v>3</v>
      </c>
      <c r="B4" s="4"/>
      <c r="C4" s="4"/>
      <c r="D4" s="4"/>
      <c r="E4" s="4"/>
      <c r="F4" s="4"/>
      <c r="G4" s="4"/>
    </row>
    <row r="5" customFormat="false" ht="24" hidden="false" customHeight="true" outlineLevel="0" collapsed="false">
      <c r="A5" s="5" t="s">
        <v>154</v>
      </c>
      <c r="B5" s="5"/>
      <c r="C5" s="5"/>
      <c r="D5" s="5"/>
      <c r="E5" s="5"/>
      <c r="F5" s="5"/>
      <c r="G5" s="5"/>
    </row>
    <row r="6" customFormat="false" ht="15" hidden="false" customHeight="true" outlineLevel="0" collapsed="false">
      <c r="A6" s="6" t="s">
        <v>155</v>
      </c>
      <c r="B6" s="6"/>
      <c r="C6" s="6"/>
      <c r="D6" s="6"/>
      <c r="E6" s="6"/>
      <c r="F6" s="6"/>
      <c r="G6" s="6"/>
    </row>
    <row r="8" customFormat="false" ht="31.5" hidden="false" customHeight="true" outlineLevel="0" collapsed="false">
      <c r="A8" s="16" t="s">
        <v>156</v>
      </c>
      <c r="B8" s="16" t="s">
        <v>157</v>
      </c>
      <c r="C8" s="16" t="s">
        <v>158</v>
      </c>
      <c r="D8" s="16" t="s">
        <v>159</v>
      </c>
      <c r="E8" s="16" t="s">
        <v>160</v>
      </c>
      <c r="F8" s="16" t="s">
        <v>161</v>
      </c>
      <c r="G8" s="16" t="s">
        <v>162</v>
      </c>
    </row>
    <row r="9" customFormat="false" ht="43.5" hidden="false" customHeight="true" outlineLevel="0" collapsed="false">
      <c r="A9" s="17" t="s">
        <v>163</v>
      </c>
      <c r="B9" s="17" t="s">
        <v>164</v>
      </c>
      <c r="C9" s="18" t="n">
        <v>651794</v>
      </c>
      <c r="D9" s="18" t="n">
        <v>9373040</v>
      </c>
      <c r="E9" s="35" t="n">
        <v>26.5</v>
      </c>
      <c r="F9" s="17" t="s">
        <v>165</v>
      </c>
      <c r="G9" s="9" t="s">
        <v>166</v>
      </c>
    </row>
    <row r="10" customFormat="false" ht="43.5" hidden="false" customHeight="true" outlineLevel="0" collapsed="false">
      <c r="A10" s="21" t="s">
        <v>167</v>
      </c>
      <c r="B10" s="21" t="s">
        <v>168</v>
      </c>
      <c r="C10" s="22" t="n">
        <v>651960</v>
      </c>
      <c r="D10" s="22" t="n">
        <v>9373172</v>
      </c>
      <c r="E10" s="36" t="n">
        <v>15.8</v>
      </c>
      <c r="F10" s="21" t="s">
        <v>165</v>
      </c>
      <c r="G10" s="11" t="s">
        <v>169</v>
      </c>
    </row>
    <row r="11" customFormat="false" ht="43.5" hidden="false" customHeight="true" outlineLevel="0" collapsed="false">
      <c r="A11" s="17" t="s">
        <v>170</v>
      </c>
      <c r="B11" s="17" t="s">
        <v>171</v>
      </c>
      <c r="C11" s="18" t="n">
        <v>651955</v>
      </c>
      <c r="D11" s="18" t="n">
        <v>9373175</v>
      </c>
      <c r="E11" s="35" t="n">
        <v>21.3</v>
      </c>
      <c r="F11" s="17" t="s">
        <v>165</v>
      </c>
      <c r="G11" s="9" t="s">
        <v>172</v>
      </c>
    </row>
    <row r="12" customFormat="false" ht="43.5" hidden="false" customHeight="true" outlineLevel="0" collapsed="false">
      <c r="A12" s="21" t="s">
        <v>173</v>
      </c>
      <c r="B12" s="21" t="s">
        <v>174</v>
      </c>
      <c r="C12" s="22" t="n">
        <v>651955</v>
      </c>
      <c r="D12" s="22" t="n">
        <v>9373176</v>
      </c>
      <c r="E12" s="36" t="n">
        <v>22.2</v>
      </c>
      <c r="F12" s="21" t="s">
        <v>165</v>
      </c>
      <c r="G12" s="11" t="s">
        <v>175</v>
      </c>
    </row>
    <row r="13" customFormat="false" ht="43.5" hidden="false" customHeight="true" outlineLevel="0" collapsed="false">
      <c r="A13" s="17" t="s">
        <v>176</v>
      </c>
      <c r="B13" s="17" t="s">
        <v>177</v>
      </c>
      <c r="C13" s="18" t="n">
        <v>652152</v>
      </c>
      <c r="D13" s="18" t="n">
        <v>9373249</v>
      </c>
      <c r="E13" s="35" t="n">
        <v>39.9</v>
      </c>
      <c r="F13" s="17" t="s">
        <v>165</v>
      </c>
      <c r="G13" s="9" t="s">
        <v>178</v>
      </c>
    </row>
    <row r="14" customFormat="false" ht="43.5" hidden="false" customHeight="true" outlineLevel="0" collapsed="false">
      <c r="A14" s="21" t="s">
        <v>179</v>
      </c>
      <c r="B14" s="21" t="s">
        <v>180</v>
      </c>
      <c r="C14" s="22" t="n">
        <v>652388</v>
      </c>
      <c r="D14" s="22" t="n">
        <v>9373257</v>
      </c>
      <c r="E14" s="36" t="n">
        <v>42.9</v>
      </c>
      <c r="F14" s="21" t="s">
        <v>165</v>
      </c>
      <c r="G14" s="11" t="s">
        <v>181</v>
      </c>
    </row>
    <row r="15" customFormat="false" ht="43.5" hidden="false" customHeight="true" outlineLevel="0" collapsed="false">
      <c r="A15" s="17" t="s">
        <v>182</v>
      </c>
      <c r="B15" s="17" t="s">
        <v>183</v>
      </c>
      <c r="C15" s="18" t="n">
        <v>652382</v>
      </c>
      <c r="D15" s="18" t="n">
        <v>9373255</v>
      </c>
      <c r="E15" s="35" t="n">
        <v>39.6</v>
      </c>
      <c r="F15" s="17" t="s">
        <v>165</v>
      </c>
      <c r="G15" s="9" t="s">
        <v>184</v>
      </c>
    </row>
    <row r="16" customFormat="false" ht="43.5" hidden="false" customHeight="true" outlineLevel="0" collapsed="false">
      <c r="A16" s="21" t="s">
        <v>185</v>
      </c>
      <c r="B16" s="21" t="s">
        <v>186</v>
      </c>
      <c r="C16" s="22" t="n">
        <v>652377</v>
      </c>
      <c r="D16" s="22" t="n">
        <v>9373253</v>
      </c>
      <c r="E16" s="36" t="n">
        <v>36</v>
      </c>
      <c r="F16" s="21" t="s">
        <v>165</v>
      </c>
      <c r="G16" s="11" t="s">
        <v>187</v>
      </c>
    </row>
    <row r="17" customFormat="false" ht="43.5" hidden="false" customHeight="true" outlineLevel="0" collapsed="false">
      <c r="A17" s="17" t="s">
        <v>188</v>
      </c>
      <c r="B17" s="17" t="s">
        <v>189</v>
      </c>
      <c r="C17" s="18" t="n">
        <v>652377</v>
      </c>
      <c r="D17" s="18" t="n">
        <v>9373254</v>
      </c>
      <c r="E17" s="35" t="n">
        <v>36.8</v>
      </c>
      <c r="F17" s="17" t="s">
        <v>165</v>
      </c>
      <c r="G17" s="9" t="s">
        <v>190</v>
      </c>
    </row>
    <row r="18" customFormat="false" ht="15.75" hidden="false" customHeight="true" outlineLevel="0" collapsed="false">
      <c r="A18" s="8"/>
      <c r="B18" s="37" t="s">
        <v>191</v>
      </c>
      <c r="C18" s="8"/>
      <c r="D18" s="8"/>
      <c r="E18" s="38" t="n">
        <f aca="false">MIN(E9:E17)</f>
        <v>15.8</v>
      </c>
      <c r="F18" s="8"/>
      <c r="G18" s="8"/>
    </row>
    <row r="19" customFormat="false" ht="15.75" hidden="false" customHeight="true" outlineLevel="0" collapsed="false">
      <c r="A19" s="10"/>
      <c r="B19" s="39" t="s">
        <v>192</v>
      </c>
      <c r="C19" s="10"/>
      <c r="D19" s="10"/>
      <c r="E19" s="40" t="n">
        <f aca="false">MAX(E9:E17)</f>
        <v>42.9</v>
      </c>
      <c r="F19" s="10"/>
      <c r="G19" s="10"/>
    </row>
    <row r="20" customFormat="false" ht="15.75" hidden="false" customHeight="true" outlineLevel="0" collapsed="false">
      <c r="A20" s="8"/>
      <c r="B20" s="37" t="s">
        <v>193</v>
      </c>
      <c r="C20" s="8"/>
      <c r="D20" s="8"/>
      <c r="E20" s="38" t="n">
        <f aca="false">AVERAGE(E9:E17)</f>
        <v>31.2222222222222</v>
      </c>
      <c r="F20" s="8"/>
      <c r="G20" s="8"/>
    </row>
    <row r="22" customFormat="false" ht="15" hidden="false" customHeight="true" outlineLevel="0" collapsed="false">
      <c r="A22" s="12" t="s">
        <v>194</v>
      </c>
      <c r="B22" s="12"/>
      <c r="C22" s="12"/>
      <c r="D22" s="12"/>
      <c r="E22" s="12"/>
      <c r="F22" s="12"/>
      <c r="G22" s="12"/>
    </row>
    <row r="23" customFormat="false" ht="15" hidden="false" customHeight="true" outlineLevel="0" collapsed="false">
      <c r="A23" s="12"/>
      <c r="B23" s="12"/>
      <c r="C23" s="12"/>
      <c r="D23" s="12"/>
      <c r="E23" s="12"/>
      <c r="F23" s="12"/>
      <c r="G23" s="12"/>
    </row>
    <row r="24" customFormat="false" ht="15" hidden="false" customHeight="true" outlineLevel="0" collapsed="false">
      <c r="A24" s="12"/>
      <c r="B24" s="12"/>
      <c r="C24" s="12"/>
      <c r="D24" s="12"/>
      <c r="E24" s="12"/>
      <c r="F24" s="12"/>
      <c r="G24" s="12"/>
    </row>
    <row r="25" customFormat="false" ht="15" hidden="false" customHeight="true" outlineLevel="0" collapsed="false">
      <c r="A25" s="12"/>
      <c r="B25" s="12"/>
      <c r="C25" s="12"/>
      <c r="D25" s="12"/>
      <c r="E25" s="12"/>
      <c r="F25" s="12"/>
      <c r="G25" s="12"/>
    </row>
    <row r="26" customFormat="false" ht="15" hidden="false" customHeight="true" outlineLevel="0" collapsed="false">
      <c r="A26" s="12"/>
      <c r="B26" s="12"/>
      <c r="C26" s="12"/>
      <c r="D26" s="12"/>
      <c r="E26" s="12"/>
      <c r="F26" s="12"/>
      <c r="G26" s="12"/>
    </row>
    <row r="27" customFormat="false" ht="15" hidden="false" customHeight="true" outlineLevel="0" collapsed="false">
      <c r="A27" s="12"/>
      <c r="B27" s="12"/>
      <c r="C27" s="12"/>
      <c r="D27" s="12"/>
      <c r="E27" s="12"/>
      <c r="F27" s="12"/>
      <c r="G27" s="12"/>
    </row>
  </sheetData>
  <mergeCells count="7">
    <mergeCell ref="A1:G1"/>
    <mergeCell ref="A2:G2"/>
    <mergeCell ref="A3:G3"/>
    <mergeCell ref="A4:G4"/>
    <mergeCell ref="A5:G5"/>
    <mergeCell ref="A6:G6"/>
    <mergeCell ref="A22: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6"/>
    <col collapsed="false" customWidth="true" hidden="false" outlineLevel="0" max="3" min="3" style="1" width="14"/>
    <col collapsed="false" customWidth="true" hidden="false" outlineLevel="0" max="4" min="4" style="1" width="22"/>
    <col collapsed="false" customWidth="true" hidden="false" outlineLevel="0" max="5" min="5" style="1" width="86"/>
    <col collapsed="false" customWidth="true" hidden="false" outlineLevel="0" max="7" min="6" style="1" width="3"/>
  </cols>
  <sheetData>
    <row r="1" customFormat="false" ht="19.5" hidden="false" customHeight="true" outlineLevel="0" collapsed="false">
      <c r="A1" s="2" t="s">
        <v>0</v>
      </c>
      <c r="B1" s="2"/>
      <c r="C1" s="2"/>
      <c r="D1" s="2"/>
      <c r="E1" s="2"/>
      <c r="F1" s="2"/>
      <c r="G1" s="2"/>
    </row>
    <row r="2" customFormat="false" ht="15.75" hidden="false" customHeight="true" outlineLevel="0" collapsed="false">
      <c r="A2" s="3" t="s">
        <v>1</v>
      </c>
      <c r="B2" s="3"/>
      <c r="C2" s="3"/>
      <c r="D2" s="3"/>
      <c r="E2" s="3"/>
      <c r="F2" s="3"/>
      <c r="G2" s="3"/>
    </row>
    <row r="3" customFormat="false" ht="15.75" hidden="false" customHeight="true" outlineLevel="0" collapsed="false">
      <c r="A3" s="3" t="s">
        <v>2</v>
      </c>
      <c r="B3" s="3"/>
      <c r="C3" s="3"/>
      <c r="D3" s="3"/>
      <c r="E3" s="3"/>
      <c r="F3" s="3"/>
      <c r="G3" s="3"/>
    </row>
    <row r="4" customFormat="false" ht="15.75" hidden="false" customHeight="true" outlineLevel="0" collapsed="false">
      <c r="A4" s="4" t="s">
        <v>3</v>
      </c>
      <c r="B4" s="4"/>
      <c r="C4" s="4"/>
      <c r="D4" s="4"/>
      <c r="E4" s="4"/>
      <c r="F4" s="4"/>
      <c r="G4" s="4"/>
    </row>
    <row r="5" customFormat="false" ht="24" hidden="false" customHeight="true" outlineLevel="0" collapsed="false">
      <c r="A5" s="5" t="s">
        <v>195</v>
      </c>
      <c r="B5" s="5"/>
      <c r="C5" s="5"/>
      <c r="D5" s="5"/>
      <c r="E5" s="5"/>
      <c r="F5" s="5"/>
      <c r="G5" s="5"/>
    </row>
    <row r="6" customFormat="false" ht="15" hidden="false" customHeight="true" outlineLevel="0" collapsed="false">
      <c r="A6" s="6" t="s">
        <v>196</v>
      </c>
      <c r="B6" s="6"/>
      <c r="C6" s="6"/>
      <c r="D6" s="6"/>
      <c r="E6" s="6"/>
      <c r="F6" s="6"/>
      <c r="G6" s="6"/>
    </row>
    <row r="8" customFormat="false" ht="31.5" hidden="false" customHeight="true" outlineLevel="0" collapsed="false">
      <c r="A8" s="16" t="s">
        <v>197</v>
      </c>
      <c r="B8" s="16" t="s">
        <v>198</v>
      </c>
      <c r="C8" s="16" t="s">
        <v>199</v>
      </c>
      <c r="D8" s="16" t="s">
        <v>200</v>
      </c>
      <c r="E8" s="16" t="s">
        <v>201</v>
      </c>
      <c r="F8" s="16" t="s">
        <v>202</v>
      </c>
      <c r="G8" s="16" t="s">
        <v>203</v>
      </c>
    </row>
    <row r="9" customFormat="false" ht="18" hidden="false" customHeight="true" outlineLevel="0" collapsed="false">
      <c r="A9" s="17" t="s">
        <v>204</v>
      </c>
      <c r="B9" s="41" t="n">
        <v>150.214</v>
      </c>
      <c r="C9" s="19" t="n">
        <f aca="false">B9/$B$17*100</f>
        <v>28.673798179708</v>
      </c>
      <c r="D9" s="42" t="n">
        <v>0.546491775</v>
      </c>
      <c r="E9" s="17" t="s">
        <v>205</v>
      </c>
      <c r="F9" s="18" t="n">
        <v>598</v>
      </c>
      <c r="G9" s="43" t="n">
        <v>27.3858883</v>
      </c>
    </row>
    <row r="10" customFormat="false" ht="18" hidden="false" customHeight="true" outlineLevel="0" collapsed="false">
      <c r="A10" s="21" t="s">
        <v>206</v>
      </c>
      <c r="B10" s="44" t="n">
        <v>126.952</v>
      </c>
      <c r="C10" s="23" t="n">
        <f aca="false">B10/$B$17*100</f>
        <v>24.2334005253192</v>
      </c>
      <c r="D10" s="45" t="n">
        <v>0.554802384</v>
      </c>
      <c r="E10" s="21" t="s">
        <v>207</v>
      </c>
      <c r="F10" s="22" t="n">
        <v>466</v>
      </c>
      <c r="G10" s="46" t="n">
        <v>29.85265243</v>
      </c>
    </row>
    <row r="11" customFormat="false" ht="18" hidden="false" customHeight="true" outlineLevel="0" collapsed="false">
      <c r="A11" s="17" t="s">
        <v>208</v>
      </c>
      <c r="B11" s="41" t="n">
        <v>83.327</v>
      </c>
      <c r="C11" s="19" t="n">
        <f aca="false">B11/$B$17*100</f>
        <v>15.9059846680105</v>
      </c>
      <c r="D11" s="42" t="n">
        <v>0.628422859</v>
      </c>
      <c r="E11" s="17" t="s">
        <v>209</v>
      </c>
      <c r="F11" s="18" t="n">
        <v>397</v>
      </c>
      <c r="G11" s="43" t="n">
        <v>22.34471773</v>
      </c>
    </row>
    <row r="12" customFormat="false" ht="18" hidden="false" customHeight="true" outlineLevel="0" collapsed="false">
      <c r="A12" s="21" t="s">
        <v>210</v>
      </c>
      <c r="B12" s="44" t="n">
        <v>81.334</v>
      </c>
      <c r="C12" s="23" t="n">
        <f aca="false">B12/$B$17*100</f>
        <v>15.5255482255207</v>
      </c>
      <c r="D12" s="45" t="n">
        <v>0.485130261</v>
      </c>
      <c r="E12" s="21" t="s">
        <v>211</v>
      </c>
      <c r="F12" s="22" t="n">
        <v>390</v>
      </c>
      <c r="G12" s="46" t="n">
        <v>24.53782307</v>
      </c>
    </row>
    <row r="13" customFormat="false" ht="18" hidden="false" customHeight="true" outlineLevel="0" collapsed="false">
      <c r="A13" s="17" t="s">
        <v>212</v>
      </c>
      <c r="B13" s="41" t="n">
        <v>28.83</v>
      </c>
      <c r="C13" s="19" t="n">
        <f aca="false">B13/$B$17*100</f>
        <v>5.50325270295034</v>
      </c>
      <c r="D13" s="42" t="n">
        <v>0.593069348</v>
      </c>
      <c r="E13" s="17" t="s">
        <v>213</v>
      </c>
      <c r="F13" s="18" t="n">
        <v>311</v>
      </c>
      <c r="G13" s="43" t="n">
        <v>32.90260036</v>
      </c>
    </row>
    <row r="14" customFormat="false" ht="18" hidden="false" customHeight="true" outlineLevel="0" collapsed="false">
      <c r="A14" s="21" t="s">
        <v>214</v>
      </c>
      <c r="B14" s="44" t="n">
        <v>22.927</v>
      </c>
      <c r="C14" s="23" t="n">
        <f aca="false">B14/$B$17*100</f>
        <v>4.37645073605766</v>
      </c>
      <c r="D14" s="45" t="n">
        <v>0.523788445</v>
      </c>
      <c r="E14" s="21" t="s">
        <v>215</v>
      </c>
      <c r="F14" s="22" t="n">
        <v>284</v>
      </c>
      <c r="G14" s="46" t="n">
        <v>31.74490026</v>
      </c>
    </row>
    <row r="15" customFormat="false" ht="18" hidden="false" customHeight="true" outlineLevel="0" collapsed="false">
      <c r="A15" s="17" t="s">
        <v>216</v>
      </c>
      <c r="B15" s="41" t="n">
        <v>19.615</v>
      </c>
      <c r="C15" s="19" t="n">
        <f aca="false">B15/$B$17*100</f>
        <v>3.74423523303402</v>
      </c>
      <c r="D15" s="42" t="n">
        <v>0.492461725</v>
      </c>
      <c r="E15" s="17" t="s">
        <v>217</v>
      </c>
      <c r="F15" s="18" t="n">
        <v>191</v>
      </c>
      <c r="G15" s="43" t="n">
        <v>26.25168838</v>
      </c>
    </row>
    <row r="16" customFormat="false" ht="18" hidden="false" customHeight="true" outlineLevel="0" collapsed="false">
      <c r="A16" s="47" t="s">
        <v>8</v>
      </c>
      <c r="B16" s="48" t="n">
        <v>10.673</v>
      </c>
      <c r="C16" s="49" t="n">
        <f aca="false">B16/$B$17*100</f>
        <v>2.03732972939955</v>
      </c>
      <c r="D16" s="50" t="n">
        <v>0.557065761</v>
      </c>
      <c r="E16" s="47" t="s">
        <v>218</v>
      </c>
      <c r="F16" s="51" t="n">
        <v>131</v>
      </c>
      <c r="G16" s="52" t="n">
        <v>29.45425081</v>
      </c>
    </row>
    <row r="17" customFormat="false" ht="18" hidden="false" customHeight="true" outlineLevel="0" collapsed="false">
      <c r="A17" s="53" t="s">
        <v>219</v>
      </c>
      <c r="B17" s="29" t="n">
        <f aca="false">SUM(B9:B16)</f>
        <v>523.872</v>
      </c>
      <c r="C17" s="28" t="n">
        <f aca="false">SUM(C9:C16)</f>
        <v>100</v>
      </c>
      <c r="D17" s="54" t="n">
        <f aca="false">AVERAGE(D9:D16)</f>
        <v>0.54765406975</v>
      </c>
      <c r="E17" s="53" t="s">
        <v>220</v>
      </c>
      <c r="F17" s="27" t="n">
        <f aca="false">AVERAGE(F9:F16)</f>
        <v>346</v>
      </c>
      <c r="G17" s="28" t="n">
        <f aca="false">AVERAGE(G9:G16)</f>
        <v>28.0593151675</v>
      </c>
    </row>
    <row r="19" customFormat="false" ht="15" hidden="false" customHeight="true" outlineLevel="0" collapsed="false">
      <c r="A19" s="30" t="s">
        <v>221</v>
      </c>
      <c r="B19" s="30"/>
      <c r="C19" s="30"/>
      <c r="D19" s="30"/>
      <c r="E19" s="30"/>
      <c r="F19" s="30"/>
      <c r="G19" s="30"/>
    </row>
    <row r="20" customFormat="false" ht="31.5" hidden="false" customHeight="true" outlineLevel="0" collapsed="false">
      <c r="A20" s="16" t="s">
        <v>222</v>
      </c>
      <c r="B20" s="16" t="s">
        <v>223</v>
      </c>
      <c r="C20" s="16" t="s">
        <v>224</v>
      </c>
      <c r="D20" s="16" t="s">
        <v>225</v>
      </c>
      <c r="E20" s="16" t="s">
        <v>226</v>
      </c>
      <c r="F20" s="16"/>
      <c r="G20" s="16"/>
    </row>
    <row r="21" customFormat="false" ht="31.5" hidden="false" customHeight="true" outlineLevel="0" collapsed="false">
      <c r="A21" s="9" t="s">
        <v>227</v>
      </c>
      <c r="B21" s="55" t="n">
        <f aca="false">B16</f>
        <v>10.673</v>
      </c>
      <c r="C21" s="17" t="s">
        <v>228</v>
      </c>
      <c r="D21" s="55" t="n">
        <f aca="false">B17</f>
        <v>523.872</v>
      </c>
      <c r="E21" s="9" t="s">
        <v>229</v>
      </c>
      <c r="F21" s="9"/>
      <c r="G21" s="9"/>
    </row>
    <row r="22" customFormat="false" ht="31.5" hidden="false" customHeight="true" outlineLevel="0" collapsed="false">
      <c r="A22" s="11" t="s">
        <v>230</v>
      </c>
      <c r="B22" s="56" t="n">
        <f aca="false">D16</f>
        <v>0.557065761</v>
      </c>
      <c r="C22" s="21" t="s">
        <v>231</v>
      </c>
      <c r="D22" s="56" t="n">
        <f aca="false">D17</f>
        <v>0.54765406975</v>
      </c>
      <c r="E22" s="11" t="s">
        <v>232</v>
      </c>
      <c r="F22" s="11"/>
      <c r="G22" s="11"/>
    </row>
    <row r="23" customFormat="false" ht="31.5" hidden="false" customHeight="true" outlineLevel="0" collapsed="false">
      <c r="A23" s="9" t="s">
        <v>233</v>
      </c>
      <c r="B23" s="57" t="n">
        <f aca="false">G16</f>
        <v>29.45425081</v>
      </c>
      <c r="C23" s="17" t="s">
        <v>234</v>
      </c>
      <c r="D23" s="57" t="n">
        <f aca="false">G17</f>
        <v>28.0593151675</v>
      </c>
      <c r="E23" s="9" t="s">
        <v>235</v>
      </c>
      <c r="F23" s="9"/>
      <c r="G23" s="9"/>
    </row>
    <row r="24" customFormat="false" ht="31.5" hidden="false" customHeight="true" outlineLevel="0" collapsed="false">
      <c r="A24" s="11" t="s">
        <v>236</v>
      </c>
      <c r="B24" s="58" t="n">
        <f aca="false">F16</f>
        <v>131</v>
      </c>
      <c r="C24" s="21" t="s">
        <v>237</v>
      </c>
      <c r="D24" s="58" t="n">
        <f aca="false">F17</f>
        <v>346</v>
      </c>
      <c r="E24" s="11" t="s">
        <v>238</v>
      </c>
      <c r="F24" s="11"/>
      <c r="G24" s="11"/>
    </row>
    <row r="25" customFormat="false" ht="31.5" hidden="false" customHeight="true" outlineLevel="0" collapsed="false">
      <c r="A25" s="9" t="s">
        <v>239</v>
      </c>
      <c r="B25" s="17" t="s">
        <v>240</v>
      </c>
      <c r="C25" s="17" t="s">
        <v>241</v>
      </c>
      <c r="D25" s="17" t="s">
        <v>241</v>
      </c>
      <c r="E25" s="9" t="s">
        <v>242</v>
      </c>
      <c r="F25" s="9"/>
      <c r="G25" s="9"/>
    </row>
    <row r="27" customFormat="false" ht="15" hidden="false" customHeight="true" outlineLevel="0" collapsed="false">
      <c r="A27" s="59" t="s">
        <v>243</v>
      </c>
      <c r="B27" s="59"/>
      <c r="C27" s="59"/>
      <c r="D27" s="59"/>
      <c r="E27" s="59"/>
      <c r="F27" s="59"/>
      <c r="G27" s="59"/>
    </row>
    <row r="28" customFormat="false" ht="15" hidden="false" customHeight="true" outlineLevel="0" collapsed="false">
      <c r="A28" s="59"/>
      <c r="B28" s="59"/>
      <c r="C28" s="59"/>
      <c r="D28" s="59"/>
      <c r="E28" s="59"/>
      <c r="F28" s="59"/>
      <c r="G28" s="59"/>
    </row>
    <row r="29" customFormat="false" ht="15" hidden="false" customHeight="true" outlineLevel="0" collapsed="false">
      <c r="A29" s="59"/>
      <c r="B29" s="59"/>
      <c r="C29" s="59"/>
      <c r="D29" s="59"/>
      <c r="E29" s="59"/>
      <c r="F29" s="59"/>
      <c r="G29" s="59"/>
    </row>
    <row r="30" customFormat="false" ht="15" hidden="false" customHeight="true" outlineLevel="0" collapsed="false">
      <c r="A30" s="59"/>
      <c r="B30" s="59"/>
      <c r="C30" s="59"/>
      <c r="D30" s="59"/>
      <c r="E30" s="59"/>
      <c r="F30" s="59"/>
      <c r="G30" s="59"/>
    </row>
  </sheetData>
  <mergeCells count="8">
    <mergeCell ref="A1:G1"/>
    <mergeCell ref="A2:G2"/>
    <mergeCell ref="A3:G3"/>
    <mergeCell ref="A4:G4"/>
    <mergeCell ref="A5:G5"/>
    <mergeCell ref="A6:G6"/>
    <mergeCell ref="A19:G19"/>
    <mergeCell ref="A27: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1" width="38"/>
    <col collapsed="false" customWidth="true" hidden="false" outlineLevel="0" max="4" min="2" style="1" width="16"/>
    <col collapsed="false" customWidth="true" hidden="false" outlineLevel="0" max="5" min="5" style="1" width="24"/>
    <col collapsed="false" customWidth="true" hidden="false" outlineLevel="0" max="8" min="6" style="1" width="14"/>
  </cols>
  <sheetData>
    <row r="1" customFormat="false" ht="21.75" hidden="false" customHeight="true" outlineLevel="0" collapsed="false">
      <c r="A1" s="60" t="s">
        <v>0</v>
      </c>
      <c r="B1" s="60"/>
      <c r="C1" s="60"/>
      <c r="D1" s="60"/>
      <c r="E1" s="60"/>
      <c r="F1" s="60"/>
      <c r="G1" s="60"/>
      <c r="H1" s="60"/>
    </row>
    <row r="2" customFormat="false" ht="18" hidden="false" customHeight="true" outlineLevel="0" collapsed="false">
      <c r="A2" s="61" t="s">
        <v>244</v>
      </c>
      <c r="B2" s="61"/>
      <c r="C2" s="61"/>
      <c r="D2" s="61"/>
      <c r="E2" s="61"/>
      <c r="F2" s="61"/>
      <c r="G2" s="61"/>
      <c r="H2" s="61"/>
    </row>
    <row r="3" customFormat="false" ht="30" hidden="false" customHeight="true" outlineLevel="0" collapsed="false">
      <c r="A3" s="61" t="s">
        <v>245</v>
      </c>
      <c r="B3" s="61"/>
      <c r="C3" s="61"/>
      <c r="D3" s="61"/>
      <c r="E3" s="61"/>
      <c r="F3" s="61"/>
      <c r="G3" s="61"/>
      <c r="H3" s="61"/>
    </row>
    <row r="4" customFormat="false" ht="27.75" hidden="false" customHeight="true" outlineLevel="0" collapsed="false">
      <c r="A4" s="62" t="s">
        <v>246</v>
      </c>
      <c r="B4" s="62"/>
      <c r="C4" s="62"/>
      <c r="D4" s="62"/>
      <c r="E4" s="62"/>
      <c r="F4" s="62"/>
      <c r="G4" s="62"/>
      <c r="H4" s="62"/>
    </row>
    <row r="5" customFormat="false" ht="27.75" hidden="false" customHeight="true" outlineLevel="0" collapsed="false">
      <c r="A5" s="63" t="s">
        <v>247</v>
      </c>
      <c r="B5" s="63"/>
      <c r="C5" s="63"/>
      <c r="D5" s="63"/>
      <c r="E5" s="63"/>
      <c r="F5" s="63"/>
      <c r="G5" s="63"/>
      <c r="H5" s="63"/>
    </row>
    <row r="6" customFormat="false" ht="24" hidden="false" customHeight="true" outlineLevel="0" collapsed="false">
      <c r="A6" s="64" t="s">
        <v>248</v>
      </c>
      <c r="B6" s="64"/>
      <c r="C6" s="64"/>
      <c r="D6" s="64"/>
      <c r="E6" s="64"/>
      <c r="F6" s="64"/>
      <c r="G6" s="64"/>
      <c r="H6" s="64"/>
    </row>
    <row r="7" customFormat="false" ht="21.75" hidden="false" customHeight="true" outlineLevel="0" collapsed="false">
      <c r="A7" s="65" t="s">
        <v>249</v>
      </c>
      <c r="B7" s="65"/>
      <c r="C7" s="65"/>
      <c r="D7" s="65"/>
      <c r="E7" s="65"/>
      <c r="F7" s="65"/>
      <c r="G7" s="65"/>
      <c r="H7" s="65"/>
    </row>
    <row r="8" customFormat="false" ht="19.5" hidden="false" customHeight="true" outlineLevel="0" collapsed="false">
      <c r="A8" s="66" t="s">
        <v>250</v>
      </c>
      <c r="B8" s="67" t="s">
        <v>251</v>
      </c>
      <c r="C8" s="67"/>
      <c r="D8" s="67"/>
      <c r="E8" s="66" t="s">
        <v>252</v>
      </c>
      <c r="F8" s="67" t="s">
        <v>253</v>
      </c>
      <c r="G8" s="67"/>
      <c r="H8" s="67"/>
    </row>
    <row r="9" customFormat="false" ht="19.5" hidden="false" customHeight="true" outlineLevel="0" collapsed="false">
      <c r="A9" s="66" t="s">
        <v>254</v>
      </c>
      <c r="B9" s="67" t="s">
        <v>255</v>
      </c>
      <c r="C9" s="67"/>
      <c r="D9" s="67"/>
      <c r="E9" s="66" t="s">
        <v>256</v>
      </c>
      <c r="F9" s="67" t="s">
        <v>257</v>
      </c>
      <c r="G9" s="67"/>
      <c r="H9" s="67"/>
    </row>
    <row r="10" customFormat="false" ht="19.5" hidden="false" customHeight="true" outlineLevel="0" collapsed="false">
      <c r="A10" s="66" t="s">
        <v>258</v>
      </c>
      <c r="B10" s="67" t="s">
        <v>8</v>
      </c>
      <c r="C10" s="67"/>
      <c r="D10" s="67"/>
      <c r="E10" s="66" t="s">
        <v>259</v>
      </c>
      <c r="F10" s="68" t="str">
        <f aca="false">IFERROR(VLOOKUP($B$10,tbl_Bloques,2,FALSE()),"")</f>
        <v>C1076-Q9593</v>
      </c>
      <c r="G10" s="68"/>
      <c r="H10" s="68"/>
    </row>
    <row r="11" customFormat="false" ht="19.5" hidden="false" customHeight="true" outlineLevel="0" collapsed="false">
      <c r="A11" s="66" t="s">
        <v>260</v>
      </c>
      <c r="B11" s="68" t="str">
        <f aca="false">IFERROR(VLOOKUP($B$10,tbl_Bloques,3,FALSE()),"")</f>
        <v>Huancabamba</v>
      </c>
      <c r="C11" s="68"/>
      <c r="D11" s="68"/>
      <c r="E11" s="66" t="s">
        <v>261</v>
      </c>
      <c r="F11" s="68" t="str">
        <f aca="false">IFERROR(VLOOKUP($B$10,tbl_Bloques,4,FALSE()),"")</f>
        <v>Huarmaca</v>
      </c>
      <c r="G11" s="68"/>
      <c r="H11" s="68"/>
    </row>
    <row r="12" customFormat="false" ht="19.5" hidden="false" customHeight="true" outlineLevel="0" collapsed="false">
      <c r="A12" s="66" t="s">
        <v>262</v>
      </c>
      <c r="B12" s="68" t="str">
        <f aca="false">IFERROR(VLOOKUP($B$10,tbl_Bloques,5,FALSE()),"")</f>
        <v>Z14</v>
      </c>
      <c r="C12" s="68"/>
      <c r="D12" s="68"/>
      <c r="E12" s="66" t="s">
        <v>263</v>
      </c>
      <c r="F12" s="68" t="n">
        <f aca="false">IFERROR(VLOOKUP($B$10,tbl_Bloques,8,FALSE()),"")</f>
        <v>10.67</v>
      </c>
      <c r="G12" s="68"/>
      <c r="H12" s="68"/>
    </row>
    <row r="13" customFormat="false" ht="19.5" hidden="false" customHeight="true" outlineLevel="0" collapsed="false">
      <c r="A13" s="66" t="s">
        <v>264</v>
      </c>
      <c r="B13" s="67" t="n">
        <v>651794</v>
      </c>
      <c r="C13" s="67"/>
      <c r="D13" s="67"/>
      <c r="E13" s="66" t="s">
        <v>265</v>
      </c>
      <c r="F13" s="67" t="n">
        <v>9373040</v>
      </c>
      <c r="G13" s="67"/>
      <c r="H13" s="67"/>
    </row>
    <row r="14" customFormat="false" ht="19.5" hidden="false" customHeight="true" outlineLevel="0" collapsed="false">
      <c r="A14" s="66" t="s">
        <v>266</v>
      </c>
      <c r="B14" s="67" t="s">
        <v>267</v>
      </c>
      <c r="C14" s="67"/>
      <c r="D14" s="67"/>
      <c r="E14" s="66" t="s">
        <v>268</v>
      </c>
      <c r="F14" s="67" t="s">
        <v>20</v>
      </c>
      <c r="G14" s="67"/>
      <c r="H14" s="67"/>
    </row>
    <row r="15" customFormat="false" ht="19.5" hidden="false" customHeight="true" outlineLevel="0" collapsed="false">
      <c r="A15" s="66" t="s">
        <v>269</v>
      </c>
      <c r="B15" s="67" t="s">
        <v>22</v>
      </c>
      <c r="C15" s="67"/>
      <c r="D15" s="67"/>
      <c r="E15" s="67"/>
      <c r="F15" s="67"/>
      <c r="G15" s="67"/>
      <c r="H15" s="67"/>
    </row>
    <row r="17" customFormat="false" ht="21.75" hidden="false" customHeight="true" outlineLevel="0" collapsed="false">
      <c r="A17" s="65" t="s">
        <v>270</v>
      </c>
      <c r="B17" s="65"/>
      <c r="C17" s="65"/>
      <c r="D17" s="65"/>
      <c r="E17" s="65"/>
      <c r="F17" s="65"/>
      <c r="G17" s="65"/>
      <c r="H17" s="65"/>
    </row>
    <row r="18" customFormat="false" ht="19.5" hidden="false" customHeight="true" outlineLevel="0" collapsed="false">
      <c r="A18" s="66" t="s">
        <v>271</v>
      </c>
      <c r="B18" s="67" t="s">
        <v>49</v>
      </c>
      <c r="C18" s="67"/>
      <c r="D18" s="67"/>
      <c r="E18" s="67"/>
      <c r="F18" s="67"/>
      <c r="G18" s="67"/>
      <c r="H18" s="67"/>
    </row>
    <row r="19" customFormat="false" ht="19.5" hidden="false" customHeight="true" outlineLevel="0" collapsed="false">
      <c r="A19" s="66" t="s">
        <v>272</v>
      </c>
      <c r="B19" s="67" t="s">
        <v>273</v>
      </c>
      <c r="C19" s="67"/>
      <c r="D19" s="67"/>
      <c r="E19" s="67"/>
      <c r="F19" s="67"/>
      <c r="G19" s="67"/>
      <c r="H19" s="67"/>
    </row>
    <row r="20" customFormat="false" ht="19.5" hidden="false" customHeight="true" outlineLevel="0" collapsed="false">
      <c r="A20" s="66" t="s">
        <v>274</v>
      </c>
      <c r="B20" s="67" t="s">
        <v>51</v>
      </c>
      <c r="C20" s="67"/>
      <c r="D20" s="67"/>
      <c r="E20" s="67"/>
      <c r="F20" s="67"/>
      <c r="G20" s="67"/>
      <c r="H20" s="67"/>
    </row>
    <row r="21" customFormat="false" ht="19.5" hidden="false" customHeight="true" outlineLevel="0" collapsed="false">
      <c r="A21" s="66" t="s">
        <v>275</v>
      </c>
      <c r="B21" s="67" t="s">
        <v>53</v>
      </c>
      <c r="C21" s="67"/>
      <c r="D21" s="67"/>
      <c r="E21" s="67"/>
      <c r="F21" s="67"/>
      <c r="G21" s="67"/>
      <c r="H21" s="67"/>
    </row>
    <row r="22" customFormat="false" ht="19.5" hidden="false" customHeight="true" outlineLevel="0" collapsed="false">
      <c r="A22" s="66" t="s">
        <v>276</v>
      </c>
      <c r="B22" s="67" t="s">
        <v>43</v>
      </c>
      <c r="C22" s="67"/>
      <c r="D22" s="67"/>
      <c r="E22" s="67"/>
      <c r="F22" s="67"/>
      <c r="G22" s="67"/>
      <c r="H22" s="67"/>
    </row>
    <row r="23" customFormat="false" ht="19.5" hidden="false" customHeight="true" outlineLevel="0" collapsed="false">
      <c r="A23" s="66" t="s">
        <v>277</v>
      </c>
      <c r="B23" s="67" t="s">
        <v>278</v>
      </c>
      <c r="C23" s="67"/>
      <c r="D23" s="67"/>
      <c r="E23" s="67"/>
      <c r="F23" s="67"/>
      <c r="G23" s="67"/>
      <c r="H23" s="67"/>
    </row>
    <row r="25" customFormat="false" ht="21.75" hidden="false" customHeight="true" outlineLevel="0" collapsed="false">
      <c r="A25" s="65" t="s">
        <v>279</v>
      </c>
      <c r="B25" s="65"/>
      <c r="C25" s="65"/>
      <c r="D25" s="65"/>
      <c r="E25" s="65"/>
      <c r="F25" s="65"/>
      <c r="G25" s="65"/>
      <c r="H25" s="65"/>
    </row>
    <row r="26" customFormat="false" ht="19.5" hidden="false" customHeight="true" outlineLevel="0" collapsed="false">
      <c r="A26" s="66" t="s">
        <v>280</v>
      </c>
      <c r="B26" s="67" t="s">
        <v>281</v>
      </c>
      <c r="C26" s="67"/>
      <c r="D26" s="67"/>
      <c r="E26" s="67"/>
      <c r="F26" s="67"/>
      <c r="G26" s="67"/>
      <c r="H26" s="67"/>
    </row>
    <row r="27" customFormat="false" ht="19.5" hidden="false" customHeight="true" outlineLevel="0" collapsed="false">
      <c r="A27" s="66" t="s">
        <v>282</v>
      </c>
      <c r="B27" s="67" t="s">
        <v>281</v>
      </c>
      <c r="C27" s="67"/>
      <c r="D27" s="67"/>
      <c r="E27" s="67"/>
      <c r="F27" s="67"/>
      <c r="G27" s="67"/>
      <c r="H27" s="67"/>
    </row>
    <row r="28" customFormat="false" ht="19.5" hidden="false" customHeight="true" outlineLevel="0" collapsed="false">
      <c r="A28" s="66" t="s">
        <v>283</v>
      </c>
      <c r="B28" s="69"/>
      <c r="C28" s="69"/>
      <c r="D28" s="69"/>
      <c r="E28" s="69"/>
      <c r="F28" s="69"/>
      <c r="G28" s="69"/>
      <c r="H28" s="69"/>
    </row>
    <row r="29" customFormat="false" ht="19.5" hidden="false" customHeight="true" outlineLevel="0" collapsed="false">
      <c r="A29" s="66" t="s">
        <v>284</v>
      </c>
      <c r="B29" s="67" t="s">
        <v>281</v>
      </c>
      <c r="C29" s="67"/>
      <c r="D29" s="67"/>
      <c r="E29" s="67"/>
      <c r="F29" s="67"/>
      <c r="G29" s="67"/>
      <c r="H29" s="67"/>
    </row>
    <row r="30" customFormat="false" ht="19.5" hidden="false" customHeight="true" outlineLevel="0" collapsed="false">
      <c r="A30" s="66" t="s">
        <v>285</v>
      </c>
      <c r="B30" s="67" t="s">
        <v>281</v>
      </c>
      <c r="C30" s="67"/>
      <c r="D30" s="67"/>
      <c r="E30" s="67"/>
      <c r="F30" s="67"/>
      <c r="G30" s="67"/>
      <c r="H30" s="67"/>
    </row>
    <row r="32" customFormat="false" ht="21.75" hidden="false" customHeight="true" outlineLevel="0" collapsed="false">
      <c r="A32" s="65" t="s">
        <v>286</v>
      </c>
      <c r="B32" s="65"/>
      <c r="C32" s="65"/>
      <c r="D32" s="65"/>
      <c r="E32" s="65"/>
      <c r="F32" s="65"/>
      <c r="G32" s="65"/>
      <c r="H32" s="65"/>
    </row>
    <row r="33" customFormat="false" ht="27.75" hidden="false" customHeight="true" outlineLevel="0" collapsed="false">
      <c r="A33" s="70" t="s">
        <v>287</v>
      </c>
      <c r="B33" s="70"/>
      <c r="C33" s="70"/>
      <c r="D33" s="70"/>
      <c r="E33" s="70"/>
      <c r="F33" s="70"/>
      <c r="G33" s="70"/>
      <c r="H33" s="70"/>
    </row>
    <row r="34" customFormat="false" ht="27.75" hidden="false" customHeight="true" outlineLevel="0" collapsed="false">
      <c r="A34" s="70"/>
      <c r="B34" s="70"/>
      <c r="C34" s="70"/>
      <c r="D34" s="70"/>
      <c r="E34" s="70"/>
      <c r="F34" s="70"/>
      <c r="G34" s="70"/>
      <c r="H34" s="70"/>
    </row>
    <row r="35" customFormat="false" ht="27.75" hidden="false" customHeight="true" outlineLevel="0" collapsed="false">
      <c r="A35" s="70"/>
      <c r="B35" s="70"/>
      <c r="C35" s="70"/>
      <c r="D35" s="70"/>
      <c r="E35" s="70"/>
      <c r="F35" s="70"/>
      <c r="G35" s="70"/>
      <c r="H35" s="7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11"/>
    <col collapsed="false" customWidth="true" hidden="false" outlineLevel="0" max="4" min="4" style="1" width="12"/>
    <col collapsed="false" customWidth="true" hidden="false" outlineLevel="0" max="5" min="5" style="1" width="11"/>
    <col collapsed="false" customWidth="true" hidden="false" outlineLevel="0" max="6" min="6" style="1" width="12"/>
    <col collapsed="false" customWidth="true" hidden="false" outlineLevel="0" max="9" min="7" style="1" width="9"/>
    <col collapsed="false" customWidth="true" hidden="false" outlineLevel="0" max="10" min="10" style="1" width="18"/>
    <col collapsed="false" customWidth="true" hidden="false" outlineLevel="0" max="11" min="11" style="1" width="22"/>
    <col collapsed="false" customWidth="true" hidden="false" outlineLevel="0" max="12" min="12" style="1" width="14"/>
  </cols>
  <sheetData>
    <row r="1" customFormat="false" ht="21.75" hidden="false" customHeight="true" outlineLevel="0" collapsed="false">
      <c r="A1" s="60" t="s">
        <v>0</v>
      </c>
      <c r="B1" s="60"/>
      <c r="C1" s="60"/>
      <c r="D1" s="60"/>
      <c r="E1" s="60"/>
      <c r="F1" s="60"/>
      <c r="G1" s="60"/>
      <c r="H1" s="60"/>
      <c r="I1" s="60"/>
      <c r="J1" s="60"/>
      <c r="K1" s="60"/>
      <c r="L1" s="60"/>
    </row>
    <row r="2" customFormat="false" ht="18" hidden="false" customHeight="true" outlineLevel="0" collapsed="false">
      <c r="A2" s="61" t="s">
        <v>244</v>
      </c>
      <c r="B2" s="61"/>
      <c r="C2" s="61"/>
      <c r="D2" s="61"/>
      <c r="E2" s="61"/>
      <c r="F2" s="61"/>
      <c r="G2" s="61"/>
      <c r="H2" s="61"/>
      <c r="I2" s="61"/>
      <c r="J2" s="61"/>
      <c r="K2" s="61"/>
      <c r="L2" s="61"/>
    </row>
    <row r="3" customFormat="false" ht="30" hidden="false" customHeight="true" outlineLevel="0" collapsed="false">
      <c r="A3" s="61" t="s">
        <v>245</v>
      </c>
      <c r="B3" s="61"/>
      <c r="C3" s="61"/>
      <c r="D3" s="61"/>
      <c r="E3" s="61"/>
      <c r="F3" s="61"/>
      <c r="G3" s="61"/>
      <c r="H3" s="61"/>
      <c r="I3" s="61"/>
      <c r="J3" s="61"/>
      <c r="K3" s="61"/>
      <c r="L3" s="61"/>
    </row>
    <row r="4" customFormat="false" ht="27.75" hidden="false" customHeight="true" outlineLevel="0" collapsed="false">
      <c r="A4" s="62" t="s">
        <v>288</v>
      </c>
      <c r="B4" s="62"/>
      <c r="C4" s="62"/>
      <c r="D4" s="62"/>
      <c r="E4" s="62"/>
      <c r="F4" s="62"/>
      <c r="G4" s="62"/>
      <c r="H4" s="62"/>
      <c r="I4" s="62"/>
      <c r="J4" s="62"/>
      <c r="K4" s="62"/>
      <c r="L4" s="62"/>
    </row>
    <row r="5" customFormat="false" ht="27.75" hidden="false" customHeight="true" outlineLevel="0" collapsed="false">
      <c r="A5" s="63" t="s">
        <v>289</v>
      </c>
      <c r="B5" s="63"/>
      <c r="C5" s="63"/>
      <c r="D5" s="63"/>
      <c r="E5" s="63"/>
      <c r="F5" s="63"/>
      <c r="G5" s="63"/>
      <c r="H5" s="63"/>
      <c r="I5" s="63"/>
      <c r="J5" s="63"/>
      <c r="K5" s="63"/>
      <c r="L5" s="63"/>
    </row>
    <row r="6" customFormat="false" ht="24" hidden="false" customHeight="true" outlineLevel="0" collapsed="false">
      <c r="A6" s="64" t="s">
        <v>248</v>
      </c>
      <c r="B6" s="64"/>
      <c r="C6" s="64"/>
      <c r="D6" s="64"/>
      <c r="E6" s="64"/>
      <c r="F6" s="64"/>
      <c r="G6" s="64"/>
      <c r="H6" s="64"/>
      <c r="I6" s="64"/>
      <c r="J6" s="64"/>
      <c r="K6" s="64"/>
      <c r="L6" s="64"/>
    </row>
    <row r="7" customFormat="false" ht="21.75" hidden="false" customHeight="true" outlineLevel="0" collapsed="false">
      <c r="A7" s="65" t="s">
        <v>290</v>
      </c>
      <c r="B7" s="65"/>
      <c r="C7" s="65"/>
      <c r="D7" s="65"/>
      <c r="E7" s="65"/>
      <c r="F7" s="65"/>
      <c r="G7" s="65"/>
      <c r="H7" s="65"/>
      <c r="I7" s="65"/>
      <c r="J7" s="65"/>
      <c r="K7" s="65"/>
      <c r="L7" s="65"/>
    </row>
    <row r="8" customFormat="false" ht="19.5" hidden="false" customHeight="true" outlineLevel="0" collapsed="false">
      <c r="A8" s="66" t="s">
        <v>250</v>
      </c>
      <c r="B8" s="66"/>
      <c r="C8" s="66"/>
      <c r="D8" s="67" t="s">
        <v>251</v>
      </c>
      <c r="E8" s="67"/>
      <c r="F8" s="67"/>
      <c r="G8" s="66" t="s">
        <v>291</v>
      </c>
      <c r="H8" s="66"/>
      <c r="I8" s="66"/>
      <c r="J8" s="67" t="s">
        <v>292</v>
      </c>
      <c r="K8" s="67"/>
      <c r="L8" s="67"/>
    </row>
    <row r="9" customFormat="false" ht="19.5" hidden="false" customHeight="true" outlineLevel="0" collapsed="false">
      <c r="A9" s="66" t="s">
        <v>258</v>
      </c>
      <c r="B9" s="66"/>
      <c r="C9" s="66"/>
      <c r="D9" s="67" t="s">
        <v>8</v>
      </c>
      <c r="E9" s="67"/>
      <c r="F9" s="67"/>
      <c r="G9" s="66" t="s">
        <v>293</v>
      </c>
      <c r="H9" s="66"/>
      <c r="I9" s="66"/>
      <c r="J9" s="68" t="str">
        <f aca="false">IFERROR(VLOOKUP($D$9,tbl_Bloques,2,FALSE()),"")</f>
        <v>C1076-Q9593</v>
      </c>
      <c r="K9" s="68"/>
      <c r="L9" s="68"/>
    </row>
    <row r="10" customFormat="false" ht="19.5" hidden="false" customHeight="true" outlineLevel="0" collapsed="false">
      <c r="A10" s="66" t="s">
        <v>261</v>
      </c>
      <c r="B10" s="66"/>
      <c r="C10" s="66"/>
      <c r="D10" s="68" t="str">
        <f aca="false">IFERROR(VLOOKUP($D$9,tbl_Bloques,4,FALSE()),"")</f>
        <v>Huarmaca</v>
      </c>
      <c r="E10" s="68"/>
      <c r="F10" s="68"/>
      <c r="G10" s="66" t="s">
        <v>294</v>
      </c>
      <c r="H10" s="66"/>
      <c r="I10" s="66"/>
      <c r="J10" s="67" t="s">
        <v>295</v>
      </c>
      <c r="K10" s="67"/>
      <c r="L10" s="67"/>
    </row>
    <row r="11" customFormat="false" ht="19.5" hidden="false" customHeight="true" outlineLevel="0" collapsed="false">
      <c r="A11" s="66" t="s">
        <v>296</v>
      </c>
      <c r="B11" s="66"/>
      <c r="C11" s="66"/>
      <c r="D11" s="67" t="n">
        <v>651794</v>
      </c>
      <c r="E11" s="67"/>
      <c r="F11" s="67"/>
      <c r="G11" s="66" t="s">
        <v>297</v>
      </c>
      <c r="H11" s="66"/>
      <c r="I11" s="66"/>
      <c r="J11" s="67" t="n">
        <v>9373040</v>
      </c>
      <c r="K11" s="67"/>
      <c r="L11" s="67"/>
    </row>
    <row r="13" customFormat="false" ht="21.75" hidden="false" customHeight="true" outlineLevel="0" collapsed="false">
      <c r="A13" s="65" t="s">
        <v>298</v>
      </c>
      <c r="B13" s="65"/>
      <c r="C13" s="65"/>
      <c r="D13" s="65"/>
      <c r="E13" s="65"/>
      <c r="F13" s="65"/>
      <c r="G13" s="65"/>
      <c r="H13" s="65"/>
      <c r="I13" s="65"/>
      <c r="J13" s="65"/>
      <c r="K13" s="65"/>
      <c r="L13" s="65"/>
    </row>
    <row r="14" customFormat="false" ht="19.5" hidden="false" customHeight="true" outlineLevel="0" collapsed="false">
      <c r="A14" s="66" t="s">
        <v>299</v>
      </c>
      <c r="B14" s="66"/>
      <c r="C14" s="66"/>
      <c r="D14" s="69"/>
      <c r="E14" s="69"/>
      <c r="F14" s="69"/>
      <c r="G14" s="69"/>
      <c r="H14" s="69"/>
      <c r="I14" s="69"/>
      <c r="J14" s="69"/>
      <c r="K14" s="69"/>
      <c r="L14" s="69"/>
    </row>
    <row r="15" customFormat="false" ht="19.5" hidden="false" customHeight="true" outlineLevel="0" collapsed="false">
      <c r="A15" s="66" t="s">
        <v>300</v>
      </c>
      <c r="B15" s="66"/>
      <c r="C15" s="66"/>
      <c r="D15" s="69"/>
      <c r="E15" s="69"/>
      <c r="F15" s="69"/>
      <c r="G15" s="69"/>
      <c r="H15" s="69"/>
      <c r="I15" s="69"/>
      <c r="J15" s="69"/>
      <c r="K15" s="69"/>
      <c r="L15" s="69"/>
    </row>
    <row r="16" customFormat="false" ht="19.5" hidden="false" customHeight="true" outlineLevel="0" collapsed="false">
      <c r="A16" s="66" t="s">
        <v>301</v>
      </c>
      <c r="B16" s="66"/>
      <c r="C16" s="66"/>
      <c r="D16" s="69"/>
      <c r="E16" s="69"/>
      <c r="F16" s="69"/>
      <c r="G16" s="69"/>
      <c r="H16" s="69"/>
      <c r="I16" s="69"/>
      <c r="J16" s="69"/>
      <c r="K16" s="69"/>
      <c r="L16" s="69"/>
    </row>
    <row r="17" customFormat="false" ht="19.5" hidden="false" customHeight="true" outlineLevel="0" collapsed="false">
      <c r="A17" s="66" t="s">
        <v>302</v>
      </c>
      <c r="B17" s="66"/>
      <c r="C17" s="66"/>
      <c r="D17" s="67" t="s">
        <v>303</v>
      </c>
      <c r="E17" s="67"/>
      <c r="F17" s="67"/>
      <c r="G17" s="67"/>
      <c r="H17" s="67"/>
      <c r="I17" s="67"/>
      <c r="J17" s="67"/>
      <c r="K17" s="67"/>
      <c r="L17" s="67"/>
    </row>
    <row r="19" customFormat="false" ht="21.75" hidden="false" customHeight="true" outlineLevel="0" collapsed="false">
      <c r="A19" s="65" t="s">
        <v>304</v>
      </c>
      <c r="B19" s="65"/>
      <c r="C19" s="65"/>
      <c r="D19" s="65"/>
      <c r="E19" s="65"/>
      <c r="F19" s="65"/>
      <c r="G19" s="65"/>
      <c r="H19" s="65"/>
      <c r="I19" s="65"/>
      <c r="J19" s="65"/>
      <c r="K19" s="65"/>
      <c r="L19" s="65"/>
    </row>
    <row r="20" customFormat="false" ht="25.5" hidden="false" customHeight="true" outlineLevel="0" collapsed="false">
      <c r="A20" s="71" t="s">
        <v>305</v>
      </c>
      <c r="B20" s="71"/>
      <c r="C20" s="71"/>
      <c r="D20" s="71"/>
      <c r="E20" s="71"/>
      <c r="F20" s="71"/>
      <c r="G20" s="71"/>
      <c r="H20" s="71"/>
      <c r="I20" s="71"/>
      <c r="J20" s="71"/>
      <c r="K20" s="71"/>
      <c r="L20" s="71"/>
    </row>
    <row r="21" customFormat="false" ht="31.5" hidden="false" customHeight="true" outlineLevel="0" collapsed="false">
      <c r="A21" s="72" t="s">
        <v>306</v>
      </c>
      <c r="B21" s="72" t="s">
        <v>307</v>
      </c>
      <c r="C21" s="72" t="s">
        <v>308</v>
      </c>
      <c r="D21" s="72" t="s">
        <v>309</v>
      </c>
      <c r="E21" s="72" t="s">
        <v>310</v>
      </c>
      <c r="F21" s="72" t="s">
        <v>311</v>
      </c>
      <c r="G21" s="72" t="s">
        <v>312</v>
      </c>
      <c r="H21" s="72" t="s">
        <v>313</v>
      </c>
      <c r="I21" s="72" t="s">
        <v>314</v>
      </c>
      <c r="J21" s="72" t="s">
        <v>315</v>
      </c>
      <c r="K21" s="72" t="s">
        <v>316</v>
      </c>
      <c r="L21" s="72" t="s">
        <v>317</v>
      </c>
    </row>
    <row r="22" customFormat="false" ht="19.5" hidden="false" customHeight="true" outlineLevel="0" collapsed="false">
      <c r="A22" s="73"/>
      <c r="B22" s="73"/>
      <c r="C22" s="73"/>
      <c r="D22" s="73"/>
      <c r="E22" s="73"/>
      <c r="F22" s="73"/>
      <c r="G22" s="73"/>
      <c r="H22" s="73"/>
      <c r="I22" s="73"/>
      <c r="J22" s="73"/>
      <c r="K22" s="74"/>
      <c r="L22" s="73"/>
    </row>
    <row r="23" customFormat="false" ht="19.5" hidden="false" customHeight="true" outlineLevel="0" collapsed="false">
      <c r="A23" s="73"/>
      <c r="B23" s="73"/>
      <c r="C23" s="73"/>
      <c r="D23" s="73"/>
      <c r="E23" s="73"/>
      <c r="F23" s="73"/>
      <c r="G23" s="73"/>
      <c r="H23" s="73"/>
      <c r="I23" s="73"/>
      <c r="J23" s="73"/>
      <c r="K23" s="74"/>
      <c r="L23" s="73"/>
    </row>
    <row r="24" customFormat="false" ht="19.5" hidden="false" customHeight="true" outlineLevel="0" collapsed="false">
      <c r="A24" s="73"/>
      <c r="B24" s="73"/>
      <c r="C24" s="73"/>
      <c r="D24" s="73"/>
      <c r="E24" s="73"/>
      <c r="F24" s="73"/>
      <c r="G24" s="73"/>
      <c r="H24" s="73"/>
      <c r="I24" s="73"/>
      <c r="J24" s="73"/>
      <c r="K24" s="74"/>
      <c r="L24" s="73"/>
    </row>
    <row r="25" customFormat="false" ht="19.5" hidden="false" customHeight="true" outlineLevel="0" collapsed="false">
      <c r="A25" s="73"/>
      <c r="B25" s="73"/>
      <c r="C25" s="73"/>
      <c r="D25" s="73"/>
      <c r="E25" s="73"/>
      <c r="F25" s="73"/>
      <c r="G25" s="73"/>
      <c r="H25" s="73"/>
      <c r="I25" s="73"/>
      <c r="J25" s="73"/>
      <c r="K25" s="74"/>
      <c r="L25" s="73"/>
    </row>
    <row r="26" customFormat="false" ht="19.5" hidden="false" customHeight="true" outlineLevel="0" collapsed="false">
      <c r="A26" s="73"/>
      <c r="B26" s="73"/>
      <c r="C26" s="73"/>
      <c r="D26" s="73"/>
      <c r="E26" s="73"/>
      <c r="F26" s="73"/>
      <c r="G26" s="73"/>
      <c r="H26" s="73"/>
      <c r="I26" s="73"/>
      <c r="J26" s="73"/>
      <c r="K26" s="74"/>
      <c r="L26" s="73"/>
    </row>
    <row r="27" customFormat="false" ht="19.5" hidden="false" customHeight="true" outlineLevel="0" collapsed="false">
      <c r="A27" s="73"/>
      <c r="B27" s="73"/>
      <c r="C27" s="73"/>
      <c r="D27" s="73"/>
      <c r="E27" s="73"/>
      <c r="F27" s="73"/>
      <c r="G27" s="73"/>
      <c r="H27" s="73"/>
      <c r="I27" s="73"/>
      <c r="J27" s="73"/>
      <c r="K27" s="74"/>
      <c r="L27" s="73"/>
    </row>
    <row r="28" customFormat="false" ht="19.5" hidden="false" customHeight="true" outlineLevel="0" collapsed="false">
      <c r="A28" s="73"/>
      <c r="B28" s="73"/>
      <c r="C28" s="73"/>
      <c r="D28" s="73"/>
      <c r="E28" s="73"/>
      <c r="F28" s="73"/>
      <c r="G28" s="73"/>
      <c r="H28" s="73"/>
      <c r="I28" s="73"/>
      <c r="J28" s="73"/>
      <c r="K28" s="74"/>
      <c r="L28" s="73"/>
    </row>
    <row r="29" customFormat="false" ht="19.5" hidden="false" customHeight="true" outlineLevel="0" collapsed="false">
      <c r="A29" s="73"/>
      <c r="B29" s="73"/>
      <c r="C29" s="73"/>
      <c r="D29" s="73"/>
      <c r="E29" s="73"/>
      <c r="F29" s="73"/>
      <c r="G29" s="73"/>
      <c r="H29" s="73"/>
      <c r="I29" s="73"/>
      <c r="J29" s="73"/>
      <c r="K29" s="74"/>
      <c r="L29" s="73"/>
    </row>
    <row r="30" customFormat="false" ht="19.5" hidden="false" customHeight="true" outlineLevel="0" collapsed="false">
      <c r="A30" s="73"/>
      <c r="B30" s="73"/>
      <c r="C30" s="73"/>
      <c r="D30" s="73"/>
      <c r="E30" s="73"/>
      <c r="F30" s="73"/>
      <c r="G30" s="73"/>
      <c r="H30" s="73"/>
      <c r="I30" s="73"/>
      <c r="J30" s="73"/>
      <c r="K30" s="74"/>
      <c r="L30" s="73"/>
    </row>
    <row r="31" customFormat="false" ht="19.5" hidden="false" customHeight="true" outlineLevel="0" collapsed="false">
      <c r="A31" s="73"/>
      <c r="B31" s="73"/>
      <c r="C31" s="73"/>
      <c r="D31" s="73"/>
      <c r="E31" s="73"/>
      <c r="F31" s="73"/>
      <c r="G31" s="73"/>
      <c r="H31" s="73"/>
      <c r="I31" s="73"/>
      <c r="J31" s="73"/>
      <c r="K31" s="74"/>
      <c r="L31" s="73"/>
    </row>
    <row r="33" customFormat="false" ht="21.75" hidden="false" customHeight="true" outlineLevel="0" collapsed="false">
      <c r="A33" s="65" t="s">
        <v>318</v>
      </c>
      <c r="B33" s="65"/>
      <c r="C33" s="65"/>
      <c r="D33" s="65"/>
      <c r="E33" s="65"/>
      <c r="F33" s="65"/>
      <c r="G33" s="65"/>
      <c r="H33" s="65"/>
      <c r="I33" s="65"/>
      <c r="J33" s="65"/>
      <c r="K33" s="65"/>
      <c r="L33" s="65"/>
    </row>
    <row r="34" customFormat="false" ht="19.5" hidden="false" customHeight="true" outlineLevel="0" collapsed="false">
      <c r="A34" s="66" t="s">
        <v>319</v>
      </c>
      <c r="B34" s="66"/>
      <c r="C34" s="66"/>
      <c r="D34" s="67" t="s">
        <v>303</v>
      </c>
      <c r="E34" s="67"/>
      <c r="F34" s="67"/>
      <c r="G34" s="67"/>
      <c r="H34" s="67"/>
      <c r="I34" s="67"/>
      <c r="J34" s="67"/>
      <c r="K34" s="67"/>
      <c r="L34" s="67"/>
    </row>
    <row r="35" customFormat="false" ht="19.5" hidden="false" customHeight="true" outlineLevel="0" collapsed="false">
      <c r="A35" s="66" t="s">
        <v>320</v>
      </c>
      <c r="B35" s="66"/>
      <c r="C35" s="66"/>
      <c r="D35" s="67" t="s">
        <v>321</v>
      </c>
      <c r="E35" s="67"/>
      <c r="F35" s="67"/>
      <c r="G35" s="66" t="s">
        <v>322</v>
      </c>
      <c r="H35" s="66"/>
      <c r="I35" s="66"/>
      <c r="J35" s="67" t="s">
        <v>321</v>
      </c>
      <c r="K35" s="67"/>
      <c r="L35" s="67"/>
    </row>
    <row r="36" customFormat="false" ht="19.5" hidden="false" customHeight="true" outlineLevel="0" collapsed="false">
      <c r="A36" s="66" t="s">
        <v>323</v>
      </c>
      <c r="B36" s="66"/>
      <c r="C36" s="66"/>
      <c r="D36" s="67" t="s">
        <v>321</v>
      </c>
      <c r="E36" s="67"/>
      <c r="F36" s="67"/>
      <c r="G36" s="66" t="s">
        <v>324</v>
      </c>
      <c r="H36" s="66"/>
      <c r="I36" s="66"/>
      <c r="J36" s="67" t="s">
        <v>295</v>
      </c>
      <c r="K36" s="67"/>
      <c r="L36" s="67"/>
    </row>
    <row r="37" customFormat="false" ht="19.5" hidden="false" customHeight="true" outlineLevel="0" collapsed="false">
      <c r="A37" s="66" t="s">
        <v>325</v>
      </c>
      <c r="B37" s="66"/>
      <c r="C37" s="66"/>
      <c r="D37" s="67" t="s">
        <v>326</v>
      </c>
      <c r="E37" s="67"/>
      <c r="F37" s="67"/>
      <c r="G37" s="67"/>
      <c r="H37" s="67"/>
      <c r="I37" s="67"/>
      <c r="J37" s="67"/>
      <c r="K37" s="67"/>
      <c r="L37" s="67"/>
    </row>
    <row r="38" customFormat="false" ht="19.5" hidden="false" customHeight="true" outlineLevel="0" collapsed="false">
      <c r="A38" s="66" t="s">
        <v>327</v>
      </c>
      <c r="B38" s="66"/>
      <c r="C38" s="66"/>
      <c r="D38" s="69"/>
      <c r="E38" s="69"/>
      <c r="F38" s="69"/>
      <c r="G38" s="69"/>
      <c r="H38" s="69"/>
      <c r="I38" s="69"/>
      <c r="J38" s="69"/>
      <c r="K38" s="69"/>
      <c r="L38" s="69"/>
    </row>
    <row r="39" customFormat="false" ht="19.5" hidden="false" customHeight="true" outlineLevel="0" collapsed="false">
      <c r="A39" s="66" t="s">
        <v>328</v>
      </c>
      <c r="B39" s="66"/>
      <c r="C39" s="66"/>
      <c r="D39" s="67" t="s">
        <v>329</v>
      </c>
      <c r="E39" s="67"/>
      <c r="F39" s="67"/>
      <c r="G39" s="67"/>
      <c r="H39" s="67"/>
      <c r="I39" s="67"/>
      <c r="J39" s="67"/>
      <c r="K39" s="67"/>
      <c r="L39" s="67"/>
    </row>
    <row r="41" customFormat="false" ht="21.75" hidden="false" customHeight="true" outlineLevel="0" collapsed="false">
      <c r="A41" s="65" t="s">
        <v>286</v>
      </c>
      <c r="B41" s="65"/>
      <c r="C41" s="65"/>
      <c r="D41" s="65"/>
      <c r="E41" s="65"/>
      <c r="F41" s="65"/>
      <c r="G41" s="65"/>
      <c r="H41" s="65"/>
      <c r="I41" s="65"/>
      <c r="J41" s="65"/>
      <c r="K41" s="65"/>
      <c r="L41" s="65"/>
    </row>
    <row r="42" customFormat="false" ht="27.75" hidden="false" customHeight="true" outlineLevel="0" collapsed="false">
      <c r="A42" s="70" t="s">
        <v>330</v>
      </c>
      <c r="B42" s="70"/>
      <c r="C42" s="70"/>
      <c r="D42" s="70"/>
      <c r="E42" s="70"/>
      <c r="F42" s="70"/>
      <c r="G42" s="70"/>
      <c r="H42" s="70"/>
      <c r="I42" s="70"/>
      <c r="J42" s="70"/>
      <c r="K42" s="70"/>
      <c r="L42" s="70"/>
    </row>
    <row r="43" customFormat="false" ht="27.75" hidden="false" customHeight="true" outlineLevel="0" collapsed="false">
      <c r="A43" s="70"/>
      <c r="B43" s="70"/>
      <c r="C43" s="70"/>
      <c r="D43" s="70"/>
      <c r="E43" s="70"/>
      <c r="F43" s="70"/>
      <c r="G43" s="70"/>
      <c r="H43" s="70"/>
      <c r="I43" s="70"/>
      <c r="J43" s="70"/>
      <c r="K43" s="70"/>
      <c r="L43" s="70"/>
    </row>
    <row r="44" customFormat="false" ht="27.75" hidden="false" customHeight="true" outlineLevel="0" collapsed="false">
      <c r="A44" s="70"/>
      <c r="B44" s="70"/>
      <c r="C44" s="70"/>
      <c r="D44" s="70"/>
      <c r="E44" s="70"/>
      <c r="F44" s="70"/>
      <c r="G44" s="70"/>
      <c r="H44" s="70"/>
      <c r="I44" s="70"/>
      <c r="J44" s="70"/>
      <c r="K44" s="70"/>
      <c r="L44" s="7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24"/>
    <col collapsed="false" customWidth="true" hidden="false" outlineLevel="0" max="4" min="4" style="1" width="18"/>
    <col collapsed="false" customWidth="true" hidden="false" outlineLevel="0" max="5" min="5" style="1" width="22"/>
    <col collapsed="false" customWidth="true" hidden="false" outlineLevel="0" max="6" min="6" style="1" width="14"/>
    <col collapsed="false" customWidth="true" hidden="false" outlineLevel="0" max="7" min="7" style="1" width="17"/>
    <col collapsed="false" customWidth="true" hidden="false" outlineLevel="0" max="8" min="8" style="1" width="13"/>
    <col collapsed="false" customWidth="true" hidden="false" outlineLevel="0" max="9" min="9" style="1" width="12"/>
  </cols>
  <sheetData>
    <row r="1" customFormat="false" ht="21.75" hidden="false" customHeight="true" outlineLevel="0" collapsed="false">
      <c r="A1" s="60" t="s">
        <v>0</v>
      </c>
      <c r="B1" s="60"/>
      <c r="C1" s="60"/>
      <c r="D1" s="60"/>
      <c r="E1" s="60"/>
      <c r="F1" s="60"/>
      <c r="G1" s="60"/>
      <c r="H1" s="60"/>
      <c r="I1" s="60"/>
    </row>
    <row r="2" customFormat="false" ht="18" hidden="false" customHeight="true" outlineLevel="0" collapsed="false">
      <c r="A2" s="61" t="s">
        <v>244</v>
      </c>
      <c r="B2" s="61"/>
      <c r="C2" s="61"/>
      <c r="D2" s="61"/>
      <c r="E2" s="61"/>
      <c r="F2" s="61"/>
      <c r="G2" s="61"/>
      <c r="H2" s="61"/>
      <c r="I2" s="61"/>
    </row>
    <row r="3" customFormat="false" ht="30" hidden="false" customHeight="true" outlineLevel="0" collapsed="false">
      <c r="A3" s="61" t="s">
        <v>245</v>
      </c>
      <c r="B3" s="61"/>
      <c r="C3" s="61"/>
      <c r="D3" s="61"/>
      <c r="E3" s="61"/>
      <c r="F3" s="61"/>
      <c r="G3" s="61"/>
      <c r="H3" s="61"/>
      <c r="I3" s="61"/>
    </row>
    <row r="4" customFormat="false" ht="27.75" hidden="false" customHeight="true" outlineLevel="0" collapsed="false">
      <c r="A4" s="62" t="s">
        <v>331</v>
      </c>
      <c r="B4" s="62"/>
      <c r="C4" s="62"/>
      <c r="D4" s="62"/>
      <c r="E4" s="62"/>
      <c r="F4" s="62"/>
      <c r="G4" s="62"/>
      <c r="H4" s="62"/>
      <c r="I4" s="62"/>
    </row>
    <row r="5" customFormat="false" ht="27.75" hidden="false" customHeight="true" outlineLevel="0" collapsed="false">
      <c r="A5" s="63" t="s">
        <v>332</v>
      </c>
      <c r="B5" s="63"/>
      <c r="C5" s="63"/>
      <c r="D5" s="63"/>
      <c r="E5" s="63"/>
      <c r="F5" s="63"/>
      <c r="G5" s="63"/>
      <c r="H5" s="63"/>
      <c r="I5" s="63"/>
    </row>
    <row r="6" customFormat="false" ht="24" hidden="false" customHeight="true" outlineLevel="0" collapsed="false">
      <c r="A6" s="64" t="s">
        <v>248</v>
      </c>
      <c r="B6" s="64"/>
      <c r="C6" s="64"/>
      <c r="D6" s="64"/>
      <c r="E6" s="64"/>
      <c r="F6" s="64"/>
      <c r="G6" s="64"/>
      <c r="H6" s="64"/>
      <c r="I6" s="64"/>
    </row>
    <row r="7" customFormat="false" ht="21.75" hidden="false" customHeight="true" outlineLevel="0" collapsed="false">
      <c r="A7" s="65" t="s">
        <v>290</v>
      </c>
      <c r="B7" s="65"/>
      <c r="C7" s="65"/>
      <c r="D7" s="65"/>
      <c r="E7" s="65"/>
      <c r="F7" s="65"/>
      <c r="G7" s="65"/>
      <c r="H7" s="65"/>
      <c r="I7" s="65"/>
    </row>
    <row r="8" customFormat="false" ht="19.5" hidden="false" customHeight="true" outlineLevel="0" collapsed="false">
      <c r="A8" s="66" t="s">
        <v>333</v>
      </c>
      <c r="B8" s="66"/>
      <c r="C8" s="67" t="s">
        <v>251</v>
      </c>
      <c r="D8" s="67"/>
      <c r="E8" s="66" t="s">
        <v>291</v>
      </c>
      <c r="F8" s="66"/>
      <c r="G8" s="67" t="s">
        <v>292</v>
      </c>
      <c r="H8" s="67"/>
      <c r="I8" s="67"/>
    </row>
    <row r="9" customFormat="false" ht="19.5" hidden="false" customHeight="true" outlineLevel="0" collapsed="false">
      <c r="A9" s="66" t="s">
        <v>258</v>
      </c>
      <c r="B9" s="66"/>
      <c r="C9" s="67" t="s">
        <v>8</v>
      </c>
      <c r="D9" s="67"/>
      <c r="E9" s="66" t="s">
        <v>334</v>
      </c>
      <c r="F9" s="66"/>
      <c r="G9" s="68" t="str">
        <f aca="false">IFERROR(VLOOKUP($C$9,tbl_Bloques,2,FALSE()),"")</f>
        <v>C1076-Q9593</v>
      </c>
      <c r="H9" s="68"/>
      <c r="I9" s="68"/>
    </row>
    <row r="10" customFormat="false" ht="19.5" hidden="false" customHeight="true" outlineLevel="0" collapsed="false">
      <c r="A10" s="66" t="s">
        <v>261</v>
      </c>
      <c r="B10" s="66"/>
      <c r="C10" s="68" t="str">
        <f aca="false">IFERROR(VLOOKUP($C$9,tbl_Bloques,4,FALSE()),"")</f>
        <v>Huarmaca</v>
      </c>
      <c r="D10" s="68"/>
      <c r="E10" s="66" t="s">
        <v>335</v>
      </c>
      <c r="F10" s="66"/>
      <c r="G10" s="67" t="s">
        <v>336</v>
      </c>
      <c r="H10" s="67"/>
      <c r="I10" s="67"/>
    </row>
    <row r="11" customFormat="false" ht="19.5" hidden="false" customHeight="true" outlineLevel="0" collapsed="false">
      <c r="A11" s="66" t="s">
        <v>337</v>
      </c>
      <c r="B11" s="66"/>
      <c r="C11" s="69"/>
      <c r="D11" s="69"/>
      <c r="E11" s="66" t="s">
        <v>294</v>
      </c>
      <c r="F11" s="66"/>
      <c r="G11" s="67" t="s">
        <v>295</v>
      </c>
      <c r="H11" s="67"/>
      <c r="I11" s="67"/>
    </row>
    <row r="12" customFormat="false" ht="19.5" hidden="false" customHeight="true" outlineLevel="0" collapsed="false">
      <c r="A12" s="66" t="s">
        <v>338</v>
      </c>
      <c r="B12" s="66"/>
      <c r="C12" s="67" t="n">
        <v>29.45</v>
      </c>
      <c r="D12" s="67"/>
      <c r="E12" s="66" t="s">
        <v>339</v>
      </c>
      <c r="F12" s="66"/>
      <c r="G12" s="69"/>
      <c r="H12" s="69"/>
      <c r="I12" s="69"/>
    </row>
    <row r="13" customFormat="false" ht="19.5" hidden="false" customHeight="true" outlineLevel="0" collapsed="false">
      <c r="A13" s="66" t="s">
        <v>340</v>
      </c>
      <c r="B13" s="66"/>
      <c r="C13" s="67" t="n">
        <v>651794</v>
      </c>
      <c r="D13" s="67"/>
      <c r="E13" s="66" t="s">
        <v>341</v>
      </c>
      <c r="F13" s="66"/>
      <c r="G13" s="67" t="n">
        <v>9373040</v>
      </c>
      <c r="H13" s="67"/>
      <c r="I13" s="67"/>
    </row>
    <row r="15" customFormat="false" ht="21.75" hidden="false" customHeight="true" outlineLevel="0" collapsed="false">
      <c r="A15" s="65" t="s">
        <v>342</v>
      </c>
      <c r="B15" s="65"/>
      <c r="C15" s="65"/>
      <c r="D15" s="65"/>
      <c r="E15" s="65"/>
      <c r="F15" s="65"/>
      <c r="G15" s="65"/>
      <c r="H15" s="65"/>
      <c r="I15" s="65"/>
    </row>
    <row r="16" customFormat="false" ht="19.5" hidden="false" customHeight="true" outlineLevel="0" collapsed="false">
      <c r="A16" s="66" t="s">
        <v>343</v>
      </c>
      <c r="B16" s="66"/>
      <c r="C16" s="67" t="s">
        <v>344</v>
      </c>
      <c r="D16" s="67"/>
      <c r="E16" s="67"/>
      <c r="F16" s="67"/>
      <c r="G16" s="67"/>
      <c r="H16" s="67"/>
      <c r="I16" s="67"/>
    </row>
    <row r="17" customFormat="false" ht="19.5" hidden="false" customHeight="true" outlineLevel="0" collapsed="false">
      <c r="A17" s="66" t="s">
        <v>345</v>
      </c>
      <c r="B17" s="66"/>
      <c r="C17" s="67" t="s">
        <v>346</v>
      </c>
      <c r="D17" s="67"/>
      <c r="E17" s="67"/>
      <c r="F17" s="67"/>
      <c r="G17" s="67"/>
      <c r="H17" s="67"/>
      <c r="I17" s="67"/>
    </row>
    <row r="18" customFormat="false" ht="19.5" hidden="false" customHeight="true" outlineLevel="0" collapsed="false">
      <c r="A18" s="66" t="s">
        <v>347</v>
      </c>
      <c r="B18" s="66"/>
      <c r="C18" s="67" t="s">
        <v>69</v>
      </c>
      <c r="D18" s="67"/>
      <c r="E18" s="67"/>
      <c r="F18" s="67"/>
      <c r="G18" s="67"/>
      <c r="H18" s="67"/>
      <c r="I18" s="67"/>
    </row>
    <row r="19" customFormat="false" ht="19.5" hidden="false" customHeight="true" outlineLevel="0" collapsed="false">
      <c r="A19" s="66" t="s">
        <v>348</v>
      </c>
      <c r="B19" s="66"/>
      <c r="C19" s="67" t="s">
        <v>71</v>
      </c>
      <c r="D19" s="67"/>
      <c r="E19" s="67"/>
      <c r="F19" s="67"/>
      <c r="G19" s="67"/>
      <c r="H19" s="67"/>
      <c r="I19" s="67"/>
    </row>
    <row r="21" customFormat="false" ht="21.75" hidden="false" customHeight="true" outlineLevel="0" collapsed="false">
      <c r="A21" s="65" t="s">
        <v>349</v>
      </c>
      <c r="B21" s="65"/>
      <c r="C21" s="65"/>
      <c r="D21" s="65"/>
      <c r="E21" s="65"/>
      <c r="F21" s="65"/>
      <c r="G21" s="65"/>
      <c r="H21" s="65"/>
      <c r="I21" s="65"/>
    </row>
    <row r="22" customFormat="false" ht="19.5" hidden="false" customHeight="true" outlineLevel="0" collapsed="false">
      <c r="A22" s="66" t="s">
        <v>350</v>
      </c>
      <c r="B22" s="66"/>
      <c r="C22" s="69"/>
      <c r="D22" s="69"/>
      <c r="E22" s="66" t="s">
        <v>351</v>
      </c>
      <c r="F22" s="66"/>
      <c r="G22" s="69"/>
      <c r="H22" s="69"/>
      <c r="I22" s="69"/>
    </row>
    <row r="23" customFormat="false" ht="19.5" hidden="false" customHeight="true" outlineLevel="0" collapsed="false">
      <c r="A23" s="66" t="s">
        <v>352</v>
      </c>
      <c r="B23" s="66"/>
      <c r="C23" s="69"/>
      <c r="D23" s="69"/>
      <c r="E23" s="66" t="s">
        <v>353</v>
      </c>
      <c r="F23" s="66"/>
      <c r="G23" s="69"/>
      <c r="H23" s="69"/>
      <c r="I23" s="69"/>
    </row>
    <row r="24" customFormat="false" ht="19.5" hidden="false" customHeight="true" outlineLevel="0" collapsed="false">
      <c r="A24" s="66" t="s">
        <v>354</v>
      </c>
      <c r="B24" s="66"/>
      <c r="C24" s="69"/>
      <c r="D24" s="69"/>
      <c r="E24" s="66" t="s">
        <v>355</v>
      </c>
      <c r="F24" s="66"/>
      <c r="G24" s="69"/>
      <c r="H24" s="69"/>
      <c r="I24" s="69"/>
    </row>
    <row r="25" customFormat="false" ht="19.5" hidden="false" customHeight="true" outlineLevel="0" collapsed="false">
      <c r="A25" s="66" t="s">
        <v>356</v>
      </c>
      <c r="B25" s="66"/>
      <c r="C25" s="69"/>
      <c r="D25" s="69"/>
      <c r="E25" s="66" t="s">
        <v>357</v>
      </c>
      <c r="F25" s="66"/>
      <c r="G25" s="69"/>
      <c r="H25" s="69"/>
      <c r="I25" s="69"/>
    </row>
    <row r="26" customFormat="false" ht="19.5" hidden="false" customHeight="true" outlineLevel="0" collapsed="false">
      <c r="A26" s="66" t="s">
        <v>358</v>
      </c>
      <c r="B26" s="66"/>
      <c r="C26" s="69"/>
      <c r="D26" s="69"/>
      <c r="E26" s="69"/>
      <c r="F26" s="69"/>
      <c r="G26" s="69"/>
      <c r="H26" s="69"/>
      <c r="I26" s="69"/>
    </row>
    <row r="27" customFormat="false" ht="19.5" hidden="false" customHeight="true" outlineLevel="0" collapsed="false">
      <c r="A27" s="66" t="s">
        <v>359</v>
      </c>
      <c r="B27" s="66"/>
      <c r="C27" s="67" t="s">
        <v>360</v>
      </c>
      <c r="D27" s="67"/>
      <c r="E27" s="67"/>
      <c r="F27" s="67"/>
      <c r="G27" s="67"/>
      <c r="H27" s="67"/>
      <c r="I27" s="67"/>
    </row>
    <row r="28" customFormat="false" ht="19.5" hidden="false" customHeight="true" outlineLevel="0" collapsed="false">
      <c r="A28" s="66" t="s">
        <v>361</v>
      </c>
      <c r="B28" s="66"/>
      <c r="C28" s="69"/>
      <c r="D28" s="69"/>
      <c r="E28" s="69"/>
      <c r="F28" s="69"/>
      <c r="G28" s="69"/>
      <c r="H28" s="69"/>
      <c r="I28" s="69"/>
    </row>
    <row r="29" customFormat="false" ht="19.5" hidden="false" customHeight="true" outlineLevel="0" collapsed="false">
      <c r="A29" s="66" t="s">
        <v>362</v>
      </c>
      <c r="B29" s="66"/>
      <c r="C29" s="67" t="s">
        <v>363</v>
      </c>
      <c r="D29" s="67"/>
      <c r="E29" s="67"/>
      <c r="F29" s="67"/>
      <c r="G29" s="67"/>
      <c r="H29" s="67"/>
      <c r="I29" s="67"/>
    </row>
    <row r="30" customFormat="false" ht="19.5" hidden="false" customHeight="true" outlineLevel="0" collapsed="false">
      <c r="A30" s="66" t="s">
        <v>364</v>
      </c>
      <c r="B30" s="66"/>
      <c r="C30" s="67" t="s">
        <v>73</v>
      </c>
      <c r="D30" s="67"/>
      <c r="E30" s="67"/>
      <c r="F30" s="67"/>
      <c r="G30" s="67"/>
      <c r="H30" s="67"/>
      <c r="I30" s="67"/>
    </row>
    <row r="32" customFormat="false" ht="21.75" hidden="false" customHeight="true" outlineLevel="0" collapsed="false">
      <c r="A32" s="65" t="s">
        <v>365</v>
      </c>
      <c r="B32" s="65"/>
      <c r="C32" s="65"/>
      <c r="D32" s="65"/>
      <c r="E32" s="65"/>
      <c r="F32" s="65"/>
      <c r="G32" s="65"/>
      <c r="H32" s="65"/>
      <c r="I32" s="65"/>
    </row>
    <row r="33" customFormat="false" ht="43.5" hidden="false" customHeight="true" outlineLevel="0" collapsed="false">
      <c r="A33" s="71" t="s">
        <v>366</v>
      </c>
      <c r="B33" s="71"/>
      <c r="C33" s="71"/>
      <c r="D33" s="71"/>
      <c r="E33" s="71"/>
      <c r="F33" s="71"/>
      <c r="G33" s="71"/>
      <c r="H33" s="71"/>
      <c r="I33" s="71"/>
    </row>
    <row r="34" customFormat="false" ht="31.5" hidden="false" customHeight="true" outlineLevel="0" collapsed="false">
      <c r="A34" s="72" t="s">
        <v>367</v>
      </c>
      <c r="B34" s="72" t="s">
        <v>368</v>
      </c>
      <c r="C34" s="72" t="s">
        <v>369</v>
      </c>
      <c r="D34" s="72" t="s">
        <v>370</v>
      </c>
      <c r="E34" s="72" t="s">
        <v>371</v>
      </c>
      <c r="F34" s="72" t="s">
        <v>372</v>
      </c>
      <c r="G34" s="72" t="s">
        <v>373</v>
      </c>
      <c r="H34" s="72" t="s">
        <v>374</v>
      </c>
      <c r="I34" s="72" t="s">
        <v>375</v>
      </c>
    </row>
    <row r="35" customFormat="false" ht="18" hidden="false" customHeight="true" outlineLevel="0" collapsed="false">
      <c r="A35" s="75" t="n">
        <v>1</v>
      </c>
      <c r="B35" s="67" t="s">
        <v>376</v>
      </c>
      <c r="C35" s="67" t="s">
        <v>377</v>
      </c>
      <c r="D35" s="67" t="s">
        <v>378</v>
      </c>
      <c r="E35" s="67" t="s">
        <v>379</v>
      </c>
      <c r="F35" s="67" t="s">
        <v>380</v>
      </c>
      <c r="G35" s="67" t="s">
        <v>381</v>
      </c>
      <c r="H35" s="73"/>
      <c r="I35" s="73"/>
    </row>
    <row r="36" customFormat="false" ht="18" hidden="false" customHeight="true" outlineLevel="0" collapsed="false">
      <c r="A36" s="75" t="n">
        <v>2</v>
      </c>
      <c r="B36" s="67" t="s">
        <v>382</v>
      </c>
      <c r="C36" s="67" t="s">
        <v>295</v>
      </c>
      <c r="D36" s="67" t="s">
        <v>295</v>
      </c>
      <c r="E36" s="67" t="s">
        <v>379</v>
      </c>
      <c r="F36" s="67" t="s">
        <v>380</v>
      </c>
      <c r="G36" s="67" t="s">
        <v>381</v>
      </c>
      <c r="H36" s="73"/>
      <c r="I36" s="73"/>
    </row>
    <row r="37" customFormat="false" ht="18" hidden="false" customHeight="true" outlineLevel="0" collapsed="false">
      <c r="A37" s="75" t="n">
        <v>3</v>
      </c>
      <c r="B37" s="67" t="s">
        <v>383</v>
      </c>
      <c r="C37" s="67" t="s">
        <v>384</v>
      </c>
      <c r="D37" s="67" t="s">
        <v>385</v>
      </c>
      <c r="E37" s="67" t="s">
        <v>386</v>
      </c>
      <c r="F37" s="67" t="s">
        <v>380</v>
      </c>
      <c r="G37" s="67" t="s">
        <v>387</v>
      </c>
      <c r="H37" s="73"/>
      <c r="I37" s="73"/>
    </row>
    <row r="38" customFormat="false" ht="18" hidden="false" customHeight="true" outlineLevel="0" collapsed="false">
      <c r="A38" s="75" t="n">
        <v>4</v>
      </c>
      <c r="B38" s="67" t="s">
        <v>388</v>
      </c>
      <c r="C38" s="67" t="s">
        <v>389</v>
      </c>
      <c r="D38" s="67" t="s">
        <v>390</v>
      </c>
      <c r="E38" s="67" t="s">
        <v>391</v>
      </c>
      <c r="F38" s="67" t="s">
        <v>380</v>
      </c>
      <c r="G38" s="67" t="s">
        <v>392</v>
      </c>
      <c r="H38" s="73"/>
      <c r="I38" s="73"/>
    </row>
    <row r="39" customFormat="false" ht="18" hidden="false" customHeight="true" outlineLevel="0" collapsed="false">
      <c r="A39" s="75" t="n">
        <v>5</v>
      </c>
      <c r="B39" s="67" t="s">
        <v>393</v>
      </c>
      <c r="C39" s="67" t="s">
        <v>394</v>
      </c>
      <c r="D39" s="67" t="s">
        <v>395</v>
      </c>
      <c r="E39" s="67" t="s">
        <v>379</v>
      </c>
      <c r="F39" s="67" t="s">
        <v>380</v>
      </c>
      <c r="G39" s="67" t="s">
        <v>387</v>
      </c>
      <c r="H39" s="73"/>
      <c r="I39" s="73"/>
    </row>
    <row r="40" customFormat="false" ht="18" hidden="false" customHeight="true" outlineLevel="0" collapsed="false">
      <c r="A40" s="75" t="n">
        <v>6</v>
      </c>
      <c r="B40" s="67" t="s">
        <v>396</v>
      </c>
      <c r="C40" s="67" t="s">
        <v>397</v>
      </c>
      <c r="D40" s="67" t="s">
        <v>398</v>
      </c>
      <c r="E40" s="67" t="s">
        <v>379</v>
      </c>
      <c r="F40" s="67" t="s">
        <v>399</v>
      </c>
      <c r="G40" s="67" t="s">
        <v>387</v>
      </c>
      <c r="H40" s="73"/>
      <c r="I40" s="73"/>
    </row>
    <row r="41" customFormat="false" ht="18" hidden="false" customHeight="true" outlineLevel="0" collapsed="false">
      <c r="A41" s="75" t="n">
        <v>7</v>
      </c>
      <c r="B41" s="67" t="s">
        <v>400</v>
      </c>
      <c r="C41" s="67" t="s">
        <v>401</v>
      </c>
      <c r="D41" s="67" t="s">
        <v>402</v>
      </c>
      <c r="E41" s="67" t="s">
        <v>403</v>
      </c>
      <c r="F41" s="67" t="s">
        <v>399</v>
      </c>
      <c r="G41" s="67" t="s">
        <v>387</v>
      </c>
      <c r="H41" s="73"/>
      <c r="I41" s="73"/>
    </row>
    <row r="42" customFormat="false" ht="18" hidden="false" customHeight="true" outlineLevel="0" collapsed="false">
      <c r="A42" s="75" t="n">
        <v>8</v>
      </c>
      <c r="B42" s="67" t="s">
        <v>404</v>
      </c>
      <c r="C42" s="67" t="s">
        <v>405</v>
      </c>
      <c r="D42" s="67" t="s">
        <v>406</v>
      </c>
      <c r="E42" s="67" t="s">
        <v>407</v>
      </c>
      <c r="F42" s="67" t="s">
        <v>380</v>
      </c>
      <c r="G42" s="67" t="s">
        <v>381</v>
      </c>
      <c r="H42" s="73"/>
      <c r="I42" s="73"/>
    </row>
    <row r="43" customFormat="false" ht="18" hidden="false" customHeight="true" outlineLevel="0" collapsed="false">
      <c r="A43" s="75" t="n">
        <v>9</v>
      </c>
      <c r="B43" s="67" t="s">
        <v>408</v>
      </c>
      <c r="C43" s="67" t="s">
        <v>409</v>
      </c>
      <c r="D43" s="67" t="s">
        <v>406</v>
      </c>
      <c r="E43" s="67" t="s">
        <v>407</v>
      </c>
      <c r="F43" s="67" t="s">
        <v>399</v>
      </c>
      <c r="G43" s="67" t="s">
        <v>387</v>
      </c>
      <c r="H43" s="73"/>
      <c r="I43" s="73"/>
    </row>
    <row r="44" customFormat="false" ht="18" hidden="false" customHeight="true" outlineLevel="0" collapsed="false">
      <c r="A44" s="75" t="n">
        <v>10</v>
      </c>
      <c r="B44" s="67" t="s">
        <v>410</v>
      </c>
      <c r="C44" s="67" t="s">
        <v>411</v>
      </c>
      <c r="D44" s="67" t="s">
        <v>412</v>
      </c>
      <c r="E44" s="67" t="s">
        <v>391</v>
      </c>
      <c r="F44" s="67" t="s">
        <v>399</v>
      </c>
      <c r="G44" s="67" t="s">
        <v>387</v>
      </c>
      <c r="H44" s="73"/>
      <c r="I44" s="73"/>
    </row>
    <row r="45" customFormat="false" ht="18" hidden="false" customHeight="true" outlineLevel="0" collapsed="false">
      <c r="A45" s="75" t="n">
        <v>11</v>
      </c>
      <c r="B45" s="67" t="s">
        <v>413</v>
      </c>
      <c r="C45" s="67" t="s">
        <v>414</v>
      </c>
      <c r="D45" s="67" t="s">
        <v>415</v>
      </c>
      <c r="E45" s="67" t="s">
        <v>379</v>
      </c>
      <c r="F45" s="67" t="s">
        <v>399</v>
      </c>
      <c r="G45" s="67" t="s">
        <v>381</v>
      </c>
      <c r="H45" s="73"/>
      <c r="I45" s="73"/>
    </row>
    <row r="46" customFormat="false" ht="18" hidden="false" customHeight="true" outlineLevel="0" collapsed="false">
      <c r="A46" s="76" t="n">
        <v>12</v>
      </c>
      <c r="B46" s="77" t="s">
        <v>416</v>
      </c>
      <c r="C46" s="74"/>
      <c r="D46" s="74"/>
      <c r="E46" s="73"/>
      <c r="F46" s="73"/>
      <c r="G46" s="73"/>
      <c r="H46" s="73"/>
      <c r="I46" s="73"/>
    </row>
    <row r="47" customFormat="false" ht="18" hidden="false" customHeight="true" outlineLevel="0" collapsed="false">
      <c r="A47" s="76" t="n">
        <v>13</v>
      </c>
      <c r="B47" s="77" t="s">
        <v>416</v>
      </c>
      <c r="C47" s="74"/>
      <c r="D47" s="74"/>
      <c r="E47" s="73"/>
      <c r="F47" s="73"/>
      <c r="G47" s="73"/>
      <c r="H47" s="73"/>
      <c r="I47" s="73"/>
    </row>
    <row r="48" customFormat="false" ht="18" hidden="false" customHeight="true" outlineLevel="0" collapsed="false">
      <c r="A48" s="76" t="n">
        <v>14</v>
      </c>
      <c r="B48" s="77" t="s">
        <v>416</v>
      </c>
      <c r="C48" s="74"/>
      <c r="D48" s="74"/>
      <c r="E48" s="73"/>
      <c r="F48" s="73"/>
      <c r="G48" s="73"/>
      <c r="H48" s="73"/>
      <c r="I48" s="73"/>
    </row>
    <row r="49" customFormat="false" ht="18" hidden="false" customHeight="true" outlineLevel="0" collapsed="false">
      <c r="A49" s="76" t="n">
        <v>15</v>
      </c>
      <c r="B49" s="77" t="s">
        <v>416</v>
      </c>
      <c r="C49" s="74"/>
      <c r="D49" s="74"/>
      <c r="E49" s="73"/>
      <c r="F49" s="73"/>
      <c r="G49" s="73"/>
      <c r="H49" s="73"/>
      <c r="I49" s="73"/>
    </row>
    <row r="51" customFormat="false" ht="21.75" hidden="false" customHeight="true" outlineLevel="0" collapsed="false">
      <c r="A51" s="65" t="s">
        <v>417</v>
      </c>
      <c r="B51" s="65"/>
      <c r="C51" s="65"/>
      <c r="D51" s="65"/>
      <c r="E51" s="65"/>
      <c r="F51" s="65"/>
      <c r="G51" s="65"/>
      <c r="H51" s="65"/>
      <c r="I51" s="65"/>
    </row>
    <row r="52" customFormat="false" ht="30" hidden="false" customHeight="true" outlineLevel="0" collapsed="false">
      <c r="A52" s="72" t="s">
        <v>367</v>
      </c>
      <c r="B52" s="72" t="s">
        <v>418</v>
      </c>
      <c r="C52" s="72" t="s">
        <v>419</v>
      </c>
      <c r="D52" s="72" t="s">
        <v>420</v>
      </c>
      <c r="E52" s="72" t="s">
        <v>421</v>
      </c>
      <c r="F52" s="72" t="s">
        <v>422</v>
      </c>
      <c r="G52" s="72" t="s">
        <v>423</v>
      </c>
      <c r="H52" s="72" t="s">
        <v>424</v>
      </c>
      <c r="I52" s="72" t="s">
        <v>425</v>
      </c>
    </row>
    <row r="53" customFormat="false" ht="18" hidden="false" customHeight="true" outlineLevel="0" collapsed="false">
      <c r="A53" s="75" t="n">
        <v>1</v>
      </c>
      <c r="B53" s="67" t="s">
        <v>426</v>
      </c>
      <c r="C53" s="67" t="s">
        <v>427</v>
      </c>
      <c r="D53" s="67" t="s">
        <v>428</v>
      </c>
      <c r="E53" s="73"/>
      <c r="F53" s="73"/>
      <c r="G53" s="73"/>
      <c r="H53" s="67" t="s">
        <v>163</v>
      </c>
      <c r="I53" s="67" t="s">
        <v>429</v>
      </c>
    </row>
    <row r="54" customFormat="false" ht="18" hidden="false" customHeight="true" outlineLevel="0" collapsed="false">
      <c r="A54" s="75" t="n">
        <v>2</v>
      </c>
      <c r="B54" s="67" t="s">
        <v>430</v>
      </c>
      <c r="C54" s="67" t="s">
        <v>427</v>
      </c>
      <c r="D54" s="67" t="s">
        <v>431</v>
      </c>
      <c r="E54" s="73"/>
      <c r="F54" s="73"/>
      <c r="G54" s="73"/>
      <c r="H54" s="67" t="s">
        <v>432</v>
      </c>
      <c r="I54" s="67" t="s">
        <v>433</v>
      </c>
    </row>
    <row r="55" customFormat="false" ht="18" hidden="false" customHeight="true" outlineLevel="0" collapsed="false">
      <c r="A55" s="75" t="n">
        <v>3</v>
      </c>
      <c r="B55" s="67" t="s">
        <v>382</v>
      </c>
      <c r="C55" s="67" t="s">
        <v>434</v>
      </c>
      <c r="D55" s="67" t="s">
        <v>428</v>
      </c>
      <c r="E55" s="73"/>
      <c r="F55" s="73"/>
      <c r="G55" s="73"/>
      <c r="H55" s="67" t="s">
        <v>435</v>
      </c>
      <c r="I55" s="67" t="s">
        <v>436</v>
      </c>
    </row>
    <row r="56" customFormat="false" ht="18" hidden="false" customHeight="true" outlineLevel="0" collapsed="false">
      <c r="A56" s="75" t="n">
        <v>4</v>
      </c>
      <c r="B56" s="67" t="s">
        <v>437</v>
      </c>
      <c r="C56" s="67" t="s">
        <v>438</v>
      </c>
      <c r="D56" s="67" t="s">
        <v>431</v>
      </c>
      <c r="E56" s="73"/>
      <c r="F56" s="73"/>
      <c r="G56" s="73"/>
      <c r="H56" s="67" t="s">
        <v>176</v>
      </c>
      <c r="I56" s="67" t="s">
        <v>439</v>
      </c>
    </row>
    <row r="57" customFormat="false" ht="18" hidden="false" customHeight="true" outlineLevel="0" collapsed="false">
      <c r="A57" s="75" t="n">
        <v>5</v>
      </c>
      <c r="B57" s="67" t="s">
        <v>401</v>
      </c>
      <c r="C57" s="67" t="s">
        <v>427</v>
      </c>
      <c r="D57" s="67" t="s">
        <v>431</v>
      </c>
      <c r="E57" s="73"/>
      <c r="F57" s="73"/>
      <c r="G57" s="73"/>
      <c r="H57" s="67" t="s">
        <v>176</v>
      </c>
      <c r="I57" s="67" t="s">
        <v>440</v>
      </c>
    </row>
    <row r="58" customFormat="false" ht="18" hidden="false" customHeight="true" outlineLevel="0" collapsed="false">
      <c r="A58" s="76" t="n">
        <v>6</v>
      </c>
      <c r="B58" s="74"/>
      <c r="C58" s="74"/>
      <c r="D58" s="74"/>
      <c r="E58" s="73"/>
      <c r="F58" s="73"/>
      <c r="G58" s="73"/>
      <c r="H58" s="73"/>
      <c r="I58" s="74"/>
    </row>
    <row r="59" customFormat="false" ht="18" hidden="false" customHeight="true" outlineLevel="0" collapsed="false">
      <c r="A59" s="76" t="n">
        <v>7</v>
      </c>
      <c r="B59" s="74"/>
      <c r="C59" s="74"/>
      <c r="D59" s="74"/>
      <c r="E59" s="73"/>
      <c r="F59" s="73"/>
      <c r="G59" s="73"/>
      <c r="H59" s="73"/>
      <c r="I59" s="74"/>
    </row>
    <row r="60" customFormat="false" ht="18" hidden="false" customHeight="true" outlineLevel="0" collapsed="false">
      <c r="A60" s="76" t="n">
        <v>8</v>
      </c>
      <c r="B60" s="74"/>
      <c r="C60" s="74"/>
      <c r="D60" s="74"/>
      <c r="E60" s="73"/>
      <c r="F60" s="73"/>
      <c r="G60" s="73"/>
      <c r="H60" s="73"/>
      <c r="I60" s="74"/>
    </row>
    <row r="61" customFormat="false" ht="18" hidden="false" customHeight="true" outlineLevel="0" collapsed="false">
      <c r="A61" s="76" t="n">
        <v>9</v>
      </c>
      <c r="B61" s="74"/>
      <c r="C61" s="74"/>
      <c r="D61" s="74"/>
      <c r="E61" s="73"/>
      <c r="F61" s="73"/>
      <c r="G61" s="73"/>
      <c r="H61" s="73"/>
      <c r="I61" s="74"/>
    </row>
    <row r="62" customFormat="false" ht="18" hidden="false" customHeight="true" outlineLevel="0" collapsed="false">
      <c r="A62" s="76" t="n">
        <v>10</v>
      </c>
      <c r="B62" s="74"/>
      <c r="C62" s="74"/>
      <c r="D62" s="74"/>
      <c r="E62" s="73"/>
      <c r="F62" s="73"/>
      <c r="G62" s="73"/>
      <c r="H62" s="73"/>
      <c r="I62" s="74"/>
    </row>
    <row r="64" customFormat="false" ht="21.75" hidden="false" customHeight="true" outlineLevel="0" collapsed="false">
      <c r="A64" s="65" t="s">
        <v>286</v>
      </c>
      <c r="B64" s="65"/>
      <c r="C64" s="65"/>
      <c r="D64" s="65"/>
      <c r="E64" s="65"/>
      <c r="F64" s="65"/>
      <c r="G64" s="65"/>
      <c r="H64" s="65"/>
      <c r="I64" s="65"/>
    </row>
    <row r="65" customFormat="false" ht="27.75" hidden="false" customHeight="true" outlineLevel="0" collapsed="false">
      <c r="A65" s="70" t="s">
        <v>441</v>
      </c>
      <c r="B65" s="70"/>
      <c r="C65" s="70"/>
      <c r="D65" s="70"/>
      <c r="E65" s="70"/>
      <c r="F65" s="70"/>
      <c r="G65" s="70"/>
      <c r="H65" s="70"/>
      <c r="I65" s="70"/>
    </row>
    <row r="66" customFormat="false" ht="27.75" hidden="false" customHeight="true" outlineLevel="0" collapsed="false">
      <c r="A66" s="70"/>
      <c r="B66" s="70"/>
      <c r="C66" s="70"/>
      <c r="D66" s="70"/>
      <c r="E66" s="70"/>
      <c r="F66" s="70"/>
      <c r="G66" s="70"/>
      <c r="H66" s="70"/>
      <c r="I66" s="70"/>
    </row>
    <row r="67" customFormat="false" ht="27.75" hidden="false" customHeight="true" outlineLevel="0" collapsed="false">
      <c r="A67" s="70"/>
      <c r="B67" s="70"/>
      <c r="C67" s="70"/>
      <c r="D67" s="70"/>
      <c r="E67" s="70"/>
      <c r="F67" s="70"/>
      <c r="G67" s="70"/>
      <c r="H67" s="70"/>
      <c r="I67" s="7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32"/>
    <col collapsed="false" customWidth="true" hidden="false" outlineLevel="0" max="3" min="3" style="1" width="13"/>
    <col collapsed="false" customWidth="true" hidden="false" outlineLevel="0" max="4" min="4" style="1" width="14"/>
    <col collapsed="false" customWidth="true" hidden="false" outlineLevel="0" max="5" min="5" style="1" width="13"/>
    <col collapsed="false" customWidth="true" hidden="false" outlineLevel="0" max="6" min="6" style="1" width="14"/>
    <col collapsed="false" customWidth="true" hidden="false" outlineLevel="0" max="7" min="7" style="1" width="32"/>
  </cols>
  <sheetData>
    <row r="1" customFormat="false" ht="21.75" hidden="false" customHeight="true" outlineLevel="0" collapsed="false">
      <c r="A1" s="60" t="s">
        <v>0</v>
      </c>
      <c r="B1" s="60"/>
      <c r="C1" s="60"/>
      <c r="D1" s="60"/>
      <c r="E1" s="60"/>
      <c r="F1" s="60"/>
      <c r="G1" s="60"/>
    </row>
    <row r="2" customFormat="false" ht="18" hidden="false" customHeight="true" outlineLevel="0" collapsed="false">
      <c r="A2" s="61" t="s">
        <v>244</v>
      </c>
      <c r="B2" s="61"/>
      <c r="C2" s="61"/>
      <c r="D2" s="61"/>
      <c r="E2" s="61"/>
      <c r="F2" s="61"/>
      <c r="G2" s="61"/>
    </row>
    <row r="3" customFormat="false" ht="30" hidden="false" customHeight="true" outlineLevel="0" collapsed="false">
      <c r="A3" s="61" t="s">
        <v>245</v>
      </c>
      <c r="B3" s="61"/>
      <c r="C3" s="61"/>
      <c r="D3" s="61"/>
      <c r="E3" s="61"/>
      <c r="F3" s="61"/>
      <c r="G3" s="61"/>
    </row>
    <row r="4" customFormat="false" ht="27.75" hidden="false" customHeight="true" outlineLevel="0" collapsed="false">
      <c r="A4" s="62" t="s">
        <v>442</v>
      </c>
      <c r="B4" s="62"/>
      <c r="C4" s="62"/>
      <c r="D4" s="62"/>
      <c r="E4" s="62"/>
      <c r="F4" s="62"/>
      <c r="G4" s="62"/>
    </row>
    <row r="5" customFormat="false" ht="27.75" hidden="false" customHeight="true" outlineLevel="0" collapsed="false">
      <c r="A5" s="63" t="s">
        <v>443</v>
      </c>
      <c r="B5" s="63"/>
      <c r="C5" s="63"/>
      <c r="D5" s="63"/>
      <c r="E5" s="63"/>
      <c r="F5" s="63"/>
      <c r="G5" s="63"/>
    </row>
    <row r="6" customFormat="false" ht="24" hidden="false" customHeight="true" outlineLevel="0" collapsed="false">
      <c r="A6" s="64" t="s">
        <v>248</v>
      </c>
      <c r="B6" s="64"/>
      <c r="C6" s="64"/>
      <c r="D6" s="64"/>
      <c r="E6" s="64"/>
      <c r="F6" s="64"/>
      <c r="G6" s="64"/>
    </row>
    <row r="7" customFormat="false" ht="21.75" hidden="false" customHeight="true" outlineLevel="0" collapsed="false">
      <c r="A7" s="65" t="s">
        <v>290</v>
      </c>
      <c r="B7" s="65"/>
      <c r="C7" s="65"/>
      <c r="D7" s="65"/>
      <c r="E7" s="65"/>
      <c r="F7" s="65"/>
      <c r="G7" s="65"/>
    </row>
    <row r="8" customFormat="false" ht="19.5" hidden="false" customHeight="true" outlineLevel="0" collapsed="false">
      <c r="A8" s="66" t="s">
        <v>333</v>
      </c>
      <c r="B8" s="66"/>
      <c r="C8" s="67" t="s">
        <v>251</v>
      </c>
      <c r="D8" s="67"/>
      <c r="E8" s="67"/>
      <c r="F8" s="67"/>
      <c r="G8" s="67"/>
    </row>
    <row r="9" customFormat="false" ht="19.5" hidden="false" customHeight="true" outlineLevel="0" collapsed="false">
      <c r="A9" s="66" t="s">
        <v>291</v>
      </c>
      <c r="B9" s="66"/>
      <c r="C9" s="67" t="s">
        <v>292</v>
      </c>
      <c r="D9" s="67"/>
      <c r="E9" s="67"/>
      <c r="F9" s="67"/>
      <c r="G9" s="67"/>
    </row>
    <row r="10" customFormat="false" ht="19.5" hidden="false" customHeight="true" outlineLevel="0" collapsed="false">
      <c r="A10" s="66" t="s">
        <v>258</v>
      </c>
      <c r="B10" s="66"/>
      <c r="C10" s="67" t="s">
        <v>8</v>
      </c>
      <c r="D10" s="67"/>
      <c r="E10" s="67"/>
      <c r="F10" s="67"/>
      <c r="G10" s="67"/>
    </row>
    <row r="11" customFormat="false" ht="19.5" hidden="false" customHeight="true" outlineLevel="0" collapsed="false">
      <c r="A11" s="66" t="s">
        <v>334</v>
      </c>
      <c r="B11" s="66"/>
      <c r="C11" s="68" t="str">
        <f aca="false">IFERROR(VLOOKUP($C$10,tbl_Bloques,2,FALSE()),"")</f>
        <v>C1076-Q9593</v>
      </c>
      <c r="D11" s="68"/>
      <c r="E11" s="68"/>
      <c r="F11" s="68"/>
      <c r="G11" s="68"/>
    </row>
    <row r="12" customFormat="false" ht="21.75" hidden="false" customHeight="true" outlineLevel="0" collapsed="false">
      <c r="A12" s="78" t="s">
        <v>444</v>
      </c>
      <c r="B12" s="79"/>
      <c r="C12" s="80"/>
      <c r="D12" s="80"/>
      <c r="E12" s="80"/>
      <c r="F12" s="80"/>
      <c r="G12" s="80"/>
    </row>
    <row r="13" customFormat="false" ht="27.75" hidden="false" customHeight="true" outlineLevel="0" collapsed="false">
      <c r="A13" s="71" t="s">
        <v>445</v>
      </c>
      <c r="B13" s="71"/>
      <c r="C13" s="81"/>
      <c r="D13" s="81"/>
      <c r="E13" s="81"/>
      <c r="F13" s="81"/>
      <c r="G13" s="81"/>
    </row>
    <row r="14" customFormat="false" ht="31.5" hidden="false" customHeight="true" outlineLevel="0" collapsed="false">
      <c r="A14" s="72" t="s">
        <v>367</v>
      </c>
      <c r="B14" s="72" t="s">
        <v>446</v>
      </c>
      <c r="C14" s="72" t="s">
        <v>447</v>
      </c>
      <c r="D14" s="72" t="s">
        <v>448</v>
      </c>
      <c r="E14" s="72" t="s">
        <v>449</v>
      </c>
      <c r="F14" s="72" t="s">
        <v>450</v>
      </c>
      <c r="G14" s="72" t="s">
        <v>451</v>
      </c>
    </row>
    <row r="15" customFormat="false" ht="18" hidden="false" customHeight="true" outlineLevel="0" collapsed="false">
      <c r="A15" s="76" t="n">
        <v>1</v>
      </c>
      <c r="B15" s="82" t="s">
        <v>452</v>
      </c>
      <c r="C15" s="73"/>
      <c r="D15" s="73"/>
      <c r="E15" s="73"/>
      <c r="F15" s="73"/>
      <c r="G15" s="74"/>
    </row>
    <row r="16" customFormat="false" ht="18" hidden="false" customHeight="true" outlineLevel="0" collapsed="false">
      <c r="A16" s="76" t="n">
        <v>2</v>
      </c>
      <c r="B16" s="82" t="s">
        <v>453</v>
      </c>
      <c r="C16" s="67" t="s">
        <v>281</v>
      </c>
      <c r="D16" s="67" t="s">
        <v>454</v>
      </c>
      <c r="E16" s="73"/>
      <c r="F16" s="67" t="s">
        <v>295</v>
      </c>
      <c r="G16" s="70" t="s">
        <v>455</v>
      </c>
    </row>
    <row r="17" customFormat="false" ht="18" hidden="false" customHeight="true" outlineLevel="0" collapsed="false">
      <c r="A17" s="76" t="n">
        <v>3</v>
      </c>
      <c r="B17" s="82" t="s">
        <v>456</v>
      </c>
      <c r="C17" s="73"/>
      <c r="D17" s="73"/>
      <c r="E17" s="73"/>
      <c r="F17" s="73"/>
      <c r="G17" s="74"/>
    </row>
    <row r="18" customFormat="false" ht="18" hidden="false" customHeight="true" outlineLevel="0" collapsed="false">
      <c r="A18" s="76" t="n">
        <v>4</v>
      </c>
      <c r="B18" s="82" t="s">
        <v>457</v>
      </c>
      <c r="C18" s="67" t="s">
        <v>281</v>
      </c>
      <c r="D18" s="67" t="s">
        <v>458</v>
      </c>
      <c r="E18" s="73"/>
      <c r="F18" s="67" t="s">
        <v>295</v>
      </c>
      <c r="G18" s="70" t="s">
        <v>459</v>
      </c>
    </row>
    <row r="19" customFormat="false" ht="18" hidden="false" customHeight="true" outlineLevel="0" collapsed="false">
      <c r="A19" s="76" t="n">
        <v>5</v>
      </c>
      <c r="B19" s="82" t="s">
        <v>460</v>
      </c>
      <c r="C19" s="73"/>
      <c r="D19" s="73"/>
      <c r="E19" s="73"/>
      <c r="F19" s="73"/>
      <c r="G19" s="74"/>
    </row>
    <row r="20" customFormat="false" ht="18" hidden="false" customHeight="true" outlineLevel="0" collapsed="false">
      <c r="A20" s="76" t="n">
        <v>6</v>
      </c>
      <c r="B20" s="82" t="s">
        <v>461</v>
      </c>
      <c r="C20" s="73"/>
      <c r="D20" s="73"/>
      <c r="E20" s="73"/>
      <c r="F20" s="73"/>
      <c r="G20" s="74"/>
    </row>
    <row r="21" customFormat="false" ht="18" hidden="false" customHeight="true" outlineLevel="0" collapsed="false">
      <c r="A21" s="76" t="n">
        <v>7</v>
      </c>
      <c r="B21" s="82" t="s">
        <v>462</v>
      </c>
      <c r="C21" s="67" t="s">
        <v>281</v>
      </c>
      <c r="D21" s="67" t="s">
        <v>454</v>
      </c>
      <c r="E21" s="73"/>
      <c r="F21" s="67" t="s">
        <v>295</v>
      </c>
      <c r="G21" s="70" t="s">
        <v>463</v>
      </c>
    </row>
    <row r="22" customFormat="false" ht="18" hidden="false" customHeight="true" outlineLevel="0" collapsed="false">
      <c r="A22" s="76" t="n">
        <v>8</v>
      </c>
      <c r="B22" s="82" t="s">
        <v>464</v>
      </c>
      <c r="C22" s="73"/>
      <c r="D22" s="73"/>
      <c r="E22" s="73"/>
      <c r="F22" s="73"/>
      <c r="G22" s="74"/>
    </row>
    <row r="23" customFormat="false" ht="18" hidden="false" customHeight="true" outlineLevel="0" collapsed="false">
      <c r="A23" s="76" t="n">
        <v>9</v>
      </c>
      <c r="B23" s="82" t="s">
        <v>465</v>
      </c>
      <c r="C23" s="67" t="s">
        <v>281</v>
      </c>
      <c r="D23" s="67" t="s">
        <v>466</v>
      </c>
      <c r="E23" s="73"/>
      <c r="F23" s="67" t="s">
        <v>467</v>
      </c>
      <c r="G23" s="70" t="s">
        <v>468</v>
      </c>
    </row>
    <row r="24" customFormat="false" ht="18" hidden="false" customHeight="true" outlineLevel="0" collapsed="false">
      <c r="A24" s="76" t="n">
        <v>10</v>
      </c>
      <c r="B24" s="82" t="s">
        <v>469</v>
      </c>
      <c r="C24" s="73"/>
      <c r="D24" s="73"/>
      <c r="E24" s="73"/>
      <c r="F24" s="73"/>
      <c r="G24" s="74"/>
    </row>
    <row r="25" customFormat="false" ht="18" hidden="false" customHeight="true" outlineLevel="0" collapsed="false">
      <c r="A25" s="76" t="n">
        <v>11</v>
      </c>
      <c r="B25" s="82" t="s">
        <v>470</v>
      </c>
      <c r="C25" s="73"/>
      <c r="D25" s="73"/>
      <c r="E25" s="73"/>
      <c r="F25" s="73"/>
      <c r="G25" s="74"/>
    </row>
    <row r="26" customFormat="false" ht="18" hidden="false" customHeight="true" outlineLevel="0" collapsed="false">
      <c r="A26" s="76" t="n">
        <v>12</v>
      </c>
      <c r="B26" s="82" t="s">
        <v>471</v>
      </c>
      <c r="C26" s="73"/>
      <c r="D26" s="73"/>
      <c r="E26" s="73"/>
      <c r="F26" s="73"/>
      <c r="G26" s="74"/>
    </row>
    <row r="27" customFormat="false" ht="18" hidden="false" customHeight="true" outlineLevel="0" collapsed="false">
      <c r="A27" s="76" t="n">
        <v>13</v>
      </c>
      <c r="B27" s="82" t="s">
        <v>472</v>
      </c>
      <c r="C27" s="67" t="s">
        <v>281</v>
      </c>
      <c r="D27" s="67" t="s">
        <v>454</v>
      </c>
      <c r="E27" s="73"/>
      <c r="F27" s="67" t="s">
        <v>467</v>
      </c>
      <c r="G27" s="70" t="s">
        <v>473</v>
      </c>
    </row>
    <row r="28" customFormat="false" ht="18" hidden="false" customHeight="true" outlineLevel="0" collapsed="false">
      <c r="A28" s="76" t="n">
        <v>14</v>
      </c>
      <c r="B28" s="82" t="s">
        <v>474</v>
      </c>
      <c r="C28" s="73"/>
      <c r="D28" s="73"/>
      <c r="E28" s="73"/>
      <c r="F28" s="73"/>
      <c r="G28" s="74"/>
    </row>
    <row r="29" customFormat="false" ht="18" hidden="false" customHeight="true" outlineLevel="0" collapsed="false">
      <c r="A29" s="76" t="n">
        <v>15</v>
      </c>
      <c r="B29" s="82" t="s">
        <v>475</v>
      </c>
      <c r="C29" s="73"/>
      <c r="D29" s="73"/>
      <c r="E29" s="73"/>
      <c r="F29" s="73"/>
      <c r="G29" s="74"/>
    </row>
    <row r="30" customFormat="false" ht="18" hidden="false" customHeight="true" outlineLevel="0" collapsed="false">
      <c r="A30" s="76" t="n">
        <v>16</v>
      </c>
      <c r="B30" s="82" t="s">
        <v>476</v>
      </c>
      <c r="C30" s="73"/>
      <c r="D30" s="73"/>
      <c r="E30" s="73"/>
      <c r="F30" s="73"/>
      <c r="G30" s="74"/>
    </row>
    <row r="32" customFormat="false" ht="21.75" hidden="false" customHeight="true" outlineLevel="0" collapsed="false">
      <c r="A32" s="65" t="s">
        <v>477</v>
      </c>
      <c r="B32" s="65"/>
      <c r="C32" s="65"/>
      <c r="D32" s="65"/>
      <c r="E32" s="65"/>
      <c r="F32" s="65"/>
      <c r="G32" s="65"/>
    </row>
    <row r="33" customFormat="false" ht="25.5" hidden="false" customHeight="true" outlineLevel="0" collapsed="false">
      <c r="A33" s="71" t="s">
        <v>478</v>
      </c>
      <c r="B33" s="71"/>
      <c r="C33" s="71"/>
      <c r="D33" s="71"/>
      <c r="E33" s="71"/>
      <c r="F33" s="71"/>
      <c r="G33" s="71"/>
    </row>
    <row r="34" customFormat="false" ht="27.75" hidden="false" customHeight="true" outlineLevel="0" collapsed="false">
      <c r="A34" s="72" t="s">
        <v>367</v>
      </c>
      <c r="B34" s="72" t="s">
        <v>479</v>
      </c>
      <c r="C34" s="72" t="s">
        <v>480</v>
      </c>
      <c r="D34" s="72" t="s">
        <v>481</v>
      </c>
      <c r="E34" s="72" t="s">
        <v>482</v>
      </c>
      <c r="F34" s="72" t="s">
        <v>483</v>
      </c>
      <c r="G34" s="72" t="s">
        <v>484</v>
      </c>
    </row>
    <row r="35" customFormat="false" ht="21.75" hidden="false" customHeight="true" outlineLevel="0" collapsed="false">
      <c r="A35" s="76" t="n">
        <v>1</v>
      </c>
      <c r="B35" s="82" t="s">
        <v>485</v>
      </c>
      <c r="C35" s="76" t="s">
        <v>486</v>
      </c>
      <c r="D35" s="77" t="s">
        <v>295</v>
      </c>
      <c r="E35" s="74"/>
      <c r="F35" s="82" t="s">
        <v>487</v>
      </c>
      <c r="G35" s="73"/>
    </row>
    <row r="36" customFormat="false" ht="21.75" hidden="false" customHeight="true" outlineLevel="0" collapsed="false">
      <c r="A36" s="76" t="n">
        <v>2</v>
      </c>
      <c r="B36" s="82" t="s">
        <v>488</v>
      </c>
      <c r="C36" s="76" t="s">
        <v>486</v>
      </c>
      <c r="D36" s="77" t="s">
        <v>295</v>
      </c>
      <c r="E36" s="74"/>
      <c r="F36" s="82" t="s">
        <v>489</v>
      </c>
      <c r="G36" s="73"/>
    </row>
    <row r="37" customFormat="false" ht="21.75" hidden="false" customHeight="true" outlineLevel="0" collapsed="false">
      <c r="A37" s="76" t="n">
        <v>3</v>
      </c>
      <c r="B37" s="82" t="s">
        <v>490</v>
      </c>
      <c r="C37" s="76" t="s">
        <v>491</v>
      </c>
      <c r="D37" s="77" t="s">
        <v>295</v>
      </c>
      <c r="E37" s="74"/>
      <c r="F37" s="82" t="s">
        <v>492</v>
      </c>
      <c r="G37" s="73"/>
    </row>
    <row r="38" customFormat="false" ht="21.75" hidden="false" customHeight="true" outlineLevel="0" collapsed="false">
      <c r="A38" s="76" t="n">
        <v>4</v>
      </c>
      <c r="B38" s="82" t="s">
        <v>493</v>
      </c>
      <c r="C38" s="76" t="s">
        <v>494</v>
      </c>
      <c r="D38" s="77" t="s">
        <v>295</v>
      </c>
      <c r="E38" s="74"/>
      <c r="F38" s="82" t="s">
        <v>495</v>
      </c>
      <c r="G38" s="73"/>
    </row>
    <row r="39" customFormat="false" ht="21.75" hidden="false" customHeight="true" outlineLevel="0" collapsed="false">
      <c r="A39" s="76" t="n">
        <v>5</v>
      </c>
      <c r="B39" s="82" t="s">
        <v>496</v>
      </c>
      <c r="C39" s="76" t="s">
        <v>497</v>
      </c>
      <c r="D39" s="77" t="s">
        <v>295</v>
      </c>
      <c r="E39" s="74"/>
      <c r="F39" s="82" t="s">
        <v>498</v>
      </c>
      <c r="G39" s="73"/>
    </row>
    <row r="40" customFormat="false" ht="21.75" hidden="false" customHeight="true" outlineLevel="0" collapsed="false">
      <c r="A40" s="76" t="n">
        <v>6</v>
      </c>
      <c r="B40" s="82" t="s">
        <v>499</v>
      </c>
      <c r="C40" s="76" t="s">
        <v>367</v>
      </c>
      <c r="D40" s="77" t="s">
        <v>295</v>
      </c>
      <c r="E40" s="74"/>
      <c r="F40" s="82" t="s">
        <v>500</v>
      </c>
      <c r="G40" s="73"/>
    </row>
    <row r="41" customFormat="false" ht="21.75" hidden="false" customHeight="true" outlineLevel="0" collapsed="false">
      <c r="A41" s="76" t="n">
        <v>7</v>
      </c>
      <c r="B41" s="82" t="s">
        <v>501</v>
      </c>
      <c r="C41" s="76" t="s">
        <v>486</v>
      </c>
      <c r="D41" s="77" t="s">
        <v>295</v>
      </c>
      <c r="E41" s="74"/>
      <c r="F41" s="82" t="s">
        <v>502</v>
      </c>
      <c r="G41" s="73"/>
    </row>
    <row r="42" customFormat="false" ht="21.75" hidden="false" customHeight="true" outlineLevel="0" collapsed="false">
      <c r="A42" s="76" t="n">
        <v>8</v>
      </c>
      <c r="B42" s="82" t="s">
        <v>503</v>
      </c>
      <c r="C42" s="76" t="s">
        <v>504</v>
      </c>
      <c r="D42" s="67" t="s">
        <v>505</v>
      </c>
      <c r="E42" s="67" t="s">
        <v>506</v>
      </c>
      <c r="F42" s="82" t="s">
        <v>507</v>
      </c>
      <c r="G42" s="67" t="s">
        <v>508</v>
      </c>
    </row>
    <row r="44" customFormat="false" ht="21.75" hidden="false" customHeight="true" outlineLevel="0" collapsed="false">
      <c r="A44" s="65" t="s">
        <v>509</v>
      </c>
      <c r="B44" s="65"/>
      <c r="C44" s="65"/>
      <c r="D44" s="65"/>
      <c r="E44" s="65"/>
      <c r="F44" s="65"/>
      <c r="G44" s="65"/>
    </row>
    <row r="45" customFormat="false" ht="19.5" hidden="false" customHeight="true" outlineLevel="0" collapsed="false">
      <c r="A45" s="66" t="s">
        <v>510</v>
      </c>
      <c r="B45" s="66"/>
      <c r="C45" s="67" t="s">
        <v>511</v>
      </c>
      <c r="D45" s="67"/>
      <c r="E45" s="67"/>
      <c r="F45" s="67"/>
      <c r="G45" s="67"/>
    </row>
    <row r="46" customFormat="false" ht="19.5" hidden="false" customHeight="true" outlineLevel="0" collapsed="false">
      <c r="A46" s="66" t="s">
        <v>512</v>
      </c>
      <c r="B46" s="66"/>
      <c r="C46" s="67" t="s">
        <v>513</v>
      </c>
      <c r="D46" s="67"/>
      <c r="E46" s="67"/>
      <c r="F46" s="67"/>
      <c r="G46" s="67"/>
    </row>
    <row r="47" customFormat="false" ht="19.5" hidden="false" customHeight="true" outlineLevel="0" collapsed="false">
      <c r="A47" s="66" t="s">
        <v>514</v>
      </c>
      <c r="B47" s="66"/>
      <c r="C47" s="67" t="s">
        <v>454</v>
      </c>
      <c r="D47" s="67"/>
      <c r="E47" s="67"/>
      <c r="F47" s="67"/>
      <c r="G47" s="67"/>
    </row>
    <row r="48" customFormat="false" ht="19.5" hidden="false" customHeight="true" outlineLevel="0" collapsed="false">
      <c r="A48" s="66" t="s">
        <v>515</v>
      </c>
      <c r="B48" s="66"/>
      <c r="C48" s="67" t="s">
        <v>516</v>
      </c>
      <c r="D48" s="67"/>
      <c r="E48" s="67"/>
      <c r="F48" s="67"/>
      <c r="G48" s="67"/>
    </row>
    <row r="49" customFormat="false" ht="19.5" hidden="false" customHeight="true" outlineLevel="0" collapsed="false">
      <c r="A49" s="66" t="s">
        <v>517</v>
      </c>
      <c r="B49" s="66"/>
      <c r="C49" s="67" t="s">
        <v>329</v>
      </c>
      <c r="D49" s="67"/>
      <c r="E49" s="67"/>
      <c r="F49" s="67"/>
      <c r="G49" s="67"/>
    </row>
    <row r="51" customFormat="false" ht="21.75" hidden="false" customHeight="true" outlineLevel="0" collapsed="false">
      <c r="A51" s="65" t="s">
        <v>286</v>
      </c>
      <c r="B51" s="65"/>
      <c r="C51" s="65"/>
      <c r="D51" s="65"/>
      <c r="E51" s="65"/>
      <c r="F51" s="65"/>
      <c r="G51" s="65"/>
    </row>
    <row r="52" customFormat="false" ht="27.75" hidden="false" customHeight="true" outlineLevel="0" collapsed="false">
      <c r="A52" s="70" t="s">
        <v>518</v>
      </c>
      <c r="B52" s="70"/>
      <c r="C52" s="70"/>
      <c r="D52" s="70"/>
      <c r="E52" s="70"/>
      <c r="F52" s="70"/>
      <c r="G52" s="70"/>
    </row>
    <row r="53" customFormat="false" ht="27.75" hidden="false" customHeight="true" outlineLevel="0" collapsed="false">
      <c r="A53" s="70"/>
      <c r="B53" s="70"/>
      <c r="C53" s="70"/>
      <c r="D53" s="70"/>
      <c r="E53" s="70"/>
      <c r="F53" s="70"/>
      <c r="G53" s="70"/>
    </row>
    <row r="54" customFormat="false" ht="27.75" hidden="false" customHeight="true" outlineLevel="0" collapsed="false">
      <c r="A54" s="70"/>
      <c r="B54" s="70"/>
      <c r="C54" s="70"/>
      <c r="D54" s="70"/>
      <c r="E54" s="70"/>
      <c r="F54" s="70"/>
      <c r="G54" s="7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4" min="3" style="1" width="12"/>
    <col collapsed="false" customWidth="true" hidden="false" outlineLevel="0" max="5" min="5" style="1" width="18"/>
    <col collapsed="false" customWidth="true" hidden="false" outlineLevel="0" max="6" min="6" style="1" width="24"/>
    <col collapsed="false" customWidth="true" hidden="false" outlineLevel="0" max="7" min="7" style="1" width="14"/>
    <col collapsed="false" customWidth="true" hidden="false" outlineLevel="0" max="8" min="8" style="1" width="26"/>
  </cols>
  <sheetData>
    <row r="1" customFormat="false" ht="21.75" hidden="false" customHeight="true" outlineLevel="0" collapsed="false">
      <c r="A1" s="60" t="s">
        <v>0</v>
      </c>
      <c r="B1" s="60"/>
      <c r="C1" s="60"/>
      <c r="D1" s="60"/>
      <c r="E1" s="60"/>
      <c r="F1" s="60"/>
      <c r="G1" s="60"/>
      <c r="H1" s="60"/>
    </row>
    <row r="2" customFormat="false" ht="18" hidden="false" customHeight="true" outlineLevel="0" collapsed="false">
      <c r="A2" s="61" t="s">
        <v>244</v>
      </c>
      <c r="B2" s="61"/>
      <c r="C2" s="61"/>
      <c r="D2" s="61"/>
      <c r="E2" s="61"/>
      <c r="F2" s="61"/>
      <c r="G2" s="61"/>
      <c r="H2" s="61"/>
    </row>
    <row r="3" customFormat="false" ht="30" hidden="false" customHeight="true" outlineLevel="0" collapsed="false">
      <c r="A3" s="61" t="s">
        <v>245</v>
      </c>
      <c r="B3" s="61"/>
      <c r="C3" s="61"/>
      <c r="D3" s="61"/>
      <c r="E3" s="61"/>
      <c r="F3" s="61"/>
      <c r="G3" s="61"/>
      <c r="H3" s="61"/>
    </row>
    <row r="4" customFormat="false" ht="27.75" hidden="false" customHeight="true" outlineLevel="0" collapsed="false">
      <c r="A4" s="62" t="s">
        <v>519</v>
      </c>
      <c r="B4" s="62"/>
      <c r="C4" s="62"/>
      <c r="D4" s="62"/>
      <c r="E4" s="62"/>
      <c r="F4" s="62"/>
      <c r="G4" s="62"/>
      <c r="H4" s="62"/>
    </row>
    <row r="5" customFormat="false" ht="27.75" hidden="false" customHeight="true" outlineLevel="0" collapsed="false">
      <c r="A5" s="63" t="s">
        <v>520</v>
      </c>
      <c r="B5" s="63"/>
      <c r="C5" s="63"/>
      <c r="D5" s="63"/>
      <c r="E5" s="63"/>
      <c r="F5" s="63"/>
      <c r="G5" s="63"/>
      <c r="H5" s="63"/>
    </row>
    <row r="6" customFormat="false" ht="24" hidden="false" customHeight="true" outlineLevel="0" collapsed="false">
      <c r="A6" s="64" t="s">
        <v>248</v>
      </c>
      <c r="B6" s="64"/>
      <c r="C6" s="64"/>
      <c r="D6" s="64"/>
      <c r="E6" s="64"/>
      <c r="F6" s="64"/>
      <c r="G6" s="64"/>
      <c r="H6" s="64"/>
    </row>
    <row r="7" customFormat="false" ht="21.75" hidden="false" customHeight="true" outlineLevel="0" collapsed="false">
      <c r="A7" s="65" t="s">
        <v>290</v>
      </c>
      <c r="B7" s="65"/>
      <c r="C7" s="65"/>
      <c r="D7" s="65"/>
      <c r="E7" s="65"/>
      <c r="F7" s="65"/>
      <c r="G7" s="65"/>
      <c r="H7" s="65"/>
    </row>
    <row r="8" customFormat="false" ht="19.5" hidden="false" customHeight="true" outlineLevel="0" collapsed="false">
      <c r="A8" s="66" t="s">
        <v>250</v>
      </c>
      <c r="B8" s="66"/>
      <c r="C8" s="67" t="s">
        <v>251</v>
      </c>
      <c r="D8" s="67"/>
      <c r="E8" s="66" t="s">
        <v>291</v>
      </c>
      <c r="F8" s="66"/>
      <c r="G8" s="67" t="s">
        <v>292</v>
      </c>
      <c r="H8" s="67"/>
    </row>
    <row r="9" customFormat="false" ht="19.5" hidden="false" customHeight="true" outlineLevel="0" collapsed="false">
      <c r="A9" s="66" t="s">
        <v>258</v>
      </c>
      <c r="B9" s="66"/>
      <c r="C9" s="67" t="s">
        <v>8</v>
      </c>
      <c r="D9" s="67"/>
      <c r="E9" s="66" t="s">
        <v>334</v>
      </c>
      <c r="F9" s="66"/>
      <c r="G9" s="68" t="str">
        <f aca="false">IFERROR(VLOOKUP($C$9,tbl_Bloques,2,FALSE()),"")</f>
        <v>C1076-Q9593</v>
      </c>
      <c r="H9" s="68"/>
    </row>
    <row r="10" customFormat="false" ht="19.5" hidden="false" customHeight="true" outlineLevel="0" collapsed="false">
      <c r="A10" s="66" t="s">
        <v>261</v>
      </c>
      <c r="B10" s="66"/>
      <c r="C10" s="68" t="str">
        <f aca="false">IFERROR(VLOOKUP($C$9,tbl_Bloques,4,FALSE()),"")</f>
        <v>Huarmaca</v>
      </c>
      <c r="D10" s="68"/>
      <c r="E10" s="66" t="s">
        <v>260</v>
      </c>
      <c r="F10" s="66"/>
      <c r="G10" s="68" t="str">
        <f aca="false">IFERROR(VLOOKUP($C$9,tbl_Bloques,3,FALSE()),"")</f>
        <v>Huancabamba</v>
      </c>
      <c r="H10" s="68"/>
    </row>
    <row r="12" customFormat="false" ht="21.75" hidden="false" customHeight="true" outlineLevel="0" collapsed="false">
      <c r="A12" s="65" t="s">
        <v>521</v>
      </c>
      <c r="B12" s="65"/>
      <c r="C12" s="65"/>
      <c r="D12" s="65"/>
      <c r="E12" s="65"/>
      <c r="F12" s="65"/>
      <c r="G12" s="65"/>
      <c r="H12" s="65"/>
    </row>
    <row r="13" customFormat="false" ht="27.75" hidden="false" customHeight="true" outlineLevel="0" collapsed="false">
      <c r="A13" s="71" t="s">
        <v>522</v>
      </c>
      <c r="B13" s="71"/>
      <c r="C13" s="71"/>
      <c r="D13" s="71"/>
      <c r="E13" s="71"/>
      <c r="F13" s="71"/>
      <c r="G13" s="71"/>
      <c r="H13" s="71"/>
    </row>
    <row r="14" customFormat="false" ht="30" hidden="false" customHeight="true" outlineLevel="0" collapsed="false">
      <c r="A14" s="72" t="s">
        <v>367</v>
      </c>
      <c r="B14" s="72" t="s">
        <v>523</v>
      </c>
      <c r="C14" s="72" t="s">
        <v>421</v>
      </c>
      <c r="D14" s="72" t="s">
        <v>422</v>
      </c>
      <c r="E14" s="72" t="s">
        <v>524</v>
      </c>
      <c r="F14" s="72" t="s">
        <v>525</v>
      </c>
      <c r="G14" s="72" t="s">
        <v>526</v>
      </c>
      <c r="H14" s="72" t="s">
        <v>527</v>
      </c>
    </row>
    <row r="15" customFormat="false" ht="19.5" hidden="false" customHeight="true" outlineLevel="0" collapsed="false">
      <c r="A15" s="75" t="n">
        <v>1</v>
      </c>
      <c r="B15" s="67" t="s">
        <v>528</v>
      </c>
      <c r="C15" s="67" t="n">
        <v>652382</v>
      </c>
      <c r="D15" s="67" t="n">
        <v>9373255</v>
      </c>
      <c r="E15" s="67" t="s">
        <v>529</v>
      </c>
      <c r="F15" s="67" t="s">
        <v>530</v>
      </c>
      <c r="G15" s="67" t="s">
        <v>531</v>
      </c>
      <c r="H15" s="70" t="s">
        <v>532</v>
      </c>
    </row>
    <row r="16" customFormat="false" ht="19.5" hidden="false" customHeight="true" outlineLevel="0" collapsed="false">
      <c r="A16" s="75" t="n">
        <v>2</v>
      </c>
      <c r="B16" s="67" t="s">
        <v>533</v>
      </c>
      <c r="C16" s="67" t="n">
        <v>651828</v>
      </c>
      <c r="D16" s="67" t="n">
        <v>9373159</v>
      </c>
      <c r="E16" s="67" t="s">
        <v>534</v>
      </c>
      <c r="F16" s="67" t="s">
        <v>530</v>
      </c>
      <c r="G16" s="67" t="s">
        <v>535</v>
      </c>
      <c r="H16" s="70" t="s">
        <v>536</v>
      </c>
    </row>
    <row r="17" customFormat="false" ht="19.5" hidden="false" customHeight="true" outlineLevel="0" collapsed="false">
      <c r="A17" s="76" t="n">
        <v>3</v>
      </c>
      <c r="B17" s="73"/>
      <c r="C17" s="73"/>
      <c r="D17" s="73"/>
      <c r="E17" s="73"/>
      <c r="F17" s="73"/>
      <c r="G17" s="73"/>
      <c r="H17" s="74"/>
    </row>
    <row r="18" customFormat="false" ht="19.5" hidden="false" customHeight="true" outlineLevel="0" collapsed="false">
      <c r="A18" s="76" t="n">
        <v>4</v>
      </c>
      <c r="B18" s="73"/>
      <c r="C18" s="73"/>
      <c r="D18" s="73"/>
      <c r="E18" s="73"/>
      <c r="F18" s="73"/>
      <c r="G18" s="73"/>
      <c r="H18" s="74"/>
    </row>
    <row r="19" customFormat="false" ht="19.5" hidden="false" customHeight="true" outlineLevel="0" collapsed="false">
      <c r="A19" s="76" t="n">
        <v>5</v>
      </c>
      <c r="B19" s="73"/>
      <c r="C19" s="73"/>
      <c r="D19" s="73"/>
      <c r="E19" s="73"/>
      <c r="F19" s="73"/>
      <c r="G19" s="73"/>
      <c r="H19" s="74"/>
    </row>
    <row r="20" customFormat="false" ht="19.5" hidden="false" customHeight="true" outlineLevel="0" collapsed="false">
      <c r="A20" s="76" t="n">
        <v>6</v>
      </c>
      <c r="B20" s="73"/>
      <c r="C20" s="73"/>
      <c r="D20" s="73"/>
      <c r="E20" s="73"/>
      <c r="F20" s="73"/>
      <c r="G20" s="73"/>
      <c r="H20" s="74"/>
    </row>
    <row r="21" customFormat="false" ht="19.5" hidden="false" customHeight="true" outlineLevel="0" collapsed="false">
      <c r="A21" s="76" t="n">
        <v>7</v>
      </c>
      <c r="B21" s="73"/>
      <c r="C21" s="73"/>
      <c r="D21" s="73"/>
      <c r="E21" s="73"/>
      <c r="F21" s="73"/>
      <c r="G21" s="73"/>
      <c r="H21" s="74"/>
    </row>
    <row r="22" customFormat="false" ht="19.5" hidden="false" customHeight="true" outlineLevel="0" collapsed="false">
      <c r="A22" s="76" t="n">
        <v>8</v>
      </c>
      <c r="B22" s="73"/>
      <c r="C22" s="73"/>
      <c r="D22" s="73"/>
      <c r="E22" s="73"/>
      <c r="F22" s="73"/>
      <c r="G22" s="73"/>
      <c r="H22" s="74"/>
    </row>
    <row r="23" customFormat="false" ht="19.5" hidden="false" customHeight="true" outlineLevel="0" collapsed="false">
      <c r="A23" s="76" t="n">
        <v>9</v>
      </c>
      <c r="B23" s="73"/>
      <c r="C23" s="73"/>
      <c r="D23" s="73"/>
      <c r="E23" s="73"/>
      <c r="F23" s="73"/>
      <c r="G23" s="73"/>
      <c r="H23" s="74"/>
    </row>
    <row r="24" customFormat="false" ht="19.5" hidden="false" customHeight="true" outlineLevel="0" collapsed="false">
      <c r="A24" s="76" t="n">
        <v>10</v>
      </c>
      <c r="B24" s="73"/>
      <c r="C24" s="73"/>
      <c r="D24" s="73"/>
      <c r="E24" s="73"/>
      <c r="F24" s="73"/>
      <c r="G24" s="73"/>
      <c r="H24" s="74"/>
    </row>
    <row r="26" customFormat="false" ht="21.75" hidden="false" customHeight="true" outlineLevel="0" collapsed="false">
      <c r="A26" s="65" t="s">
        <v>537</v>
      </c>
      <c r="B26" s="65"/>
      <c r="C26" s="65"/>
      <c r="D26" s="65"/>
      <c r="E26" s="65"/>
      <c r="F26" s="65"/>
      <c r="G26" s="65"/>
      <c r="H26" s="65"/>
    </row>
    <row r="27" customFormat="false" ht="19.5" hidden="false" customHeight="true" outlineLevel="0" collapsed="false">
      <c r="A27" s="66" t="s">
        <v>538</v>
      </c>
      <c r="B27" s="66"/>
      <c r="C27" s="67" t="s">
        <v>281</v>
      </c>
      <c r="D27" s="67"/>
      <c r="E27" s="67"/>
      <c r="F27" s="67"/>
      <c r="G27" s="67"/>
      <c r="H27" s="67"/>
    </row>
    <row r="28" customFormat="false" ht="19.5" hidden="false" customHeight="true" outlineLevel="0" collapsed="false">
      <c r="A28" s="66" t="s">
        <v>539</v>
      </c>
      <c r="B28" s="66"/>
      <c r="C28" s="69"/>
      <c r="D28" s="69"/>
      <c r="E28" s="69"/>
      <c r="F28" s="69"/>
      <c r="G28" s="69"/>
      <c r="H28" s="69"/>
    </row>
    <row r="29" customFormat="false" ht="19.5" hidden="false" customHeight="true" outlineLevel="0" collapsed="false">
      <c r="A29" s="66" t="s">
        <v>540</v>
      </c>
      <c r="B29" s="66"/>
      <c r="C29" s="67" t="s">
        <v>281</v>
      </c>
      <c r="D29" s="67"/>
      <c r="E29" s="67"/>
      <c r="F29" s="67"/>
      <c r="G29" s="67"/>
      <c r="H29" s="67"/>
    </row>
    <row r="30" customFormat="false" ht="19.5" hidden="false" customHeight="true" outlineLevel="0" collapsed="false">
      <c r="A30" s="66" t="s">
        <v>541</v>
      </c>
      <c r="B30" s="66"/>
      <c r="C30" s="67" t="s">
        <v>542</v>
      </c>
      <c r="D30" s="67"/>
      <c r="E30" s="67"/>
      <c r="F30" s="67"/>
      <c r="G30" s="67"/>
      <c r="H30" s="67"/>
    </row>
    <row r="31" customFormat="false" ht="19.5" hidden="false" customHeight="true" outlineLevel="0" collapsed="false">
      <c r="A31" s="66" t="s">
        <v>543</v>
      </c>
      <c r="B31" s="66"/>
      <c r="C31" s="67" t="s">
        <v>295</v>
      </c>
      <c r="D31" s="67"/>
      <c r="E31" s="67"/>
      <c r="F31" s="67"/>
      <c r="G31" s="67"/>
      <c r="H31" s="67"/>
    </row>
    <row r="32" customFormat="false" ht="19.5" hidden="false" customHeight="true" outlineLevel="0" collapsed="false">
      <c r="A32" s="66" t="s">
        <v>544</v>
      </c>
      <c r="B32" s="66"/>
      <c r="C32" s="69"/>
      <c r="D32" s="69"/>
      <c r="E32" s="69"/>
      <c r="F32" s="69"/>
      <c r="G32" s="69"/>
      <c r="H32" s="69"/>
    </row>
    <row r="33" customFormat="false" ht="19.5" hidden="false" customHeight="true" outlineLevel="0" collapsed="false">
      <c r="A33" s="66" t="s">
        <v>545</v>
      </c>
      <c r="B33" s="66"/>
      <c r="C33" s="67" t="s">
        <v>295</v>
      </c>
      <c r="D33" s="67"/>
      <c r="E33" s="67"/>
      <c r="F33" s="67"/>
      <c r="G33" s="67"/>
      <c r="H33" s="67"/>
    </row>
    <row r="35" customFormat="false" ht="21.75" hidden="false" customHeight="true" outlineLevel="0" collapsed="false">
      <c r="A35" s="65" t="s">
        <v>546</v>
      </c>
      <c r="B35" s="65"/>
      <c r="C35" s="65"/>
      <c r="D35" s="65"/>
      <c r="E35" s="65"/>
      <c r="F35" s="65"/>
      <c r="G35" s="65"/>
      <c r="H35" s="65"/>
    </row>
    <row r="36" customFormat="false" ht="19.5" hidden="false" customHeight="true" outlineLevel="0" collapsed="false">
      <c r="A36" s="66" t="s">
        <v>547</v>
      </c>
      <c r="B36" s="66"/>
      <c r="C36" s="67" t="s">
        <v>548</v>
      </c>
      <c r="D36" s="67"/>
      <c r="E36" s="67"/>
      <c r="F36" s="67"/>
      <c r="G36" s="67"/>
      <c r="H36" s="67"/>
    </row>
    <row r="37" customFormat="false" ht="19.5" hidden="false" customHeight="true" outlineLevel="0" collapsed="false">
      <c r="A37" s="66" t="s">
        <v>549</v>
      </c>
      <c r="B37" s="66"/>
      <c r="C37" s="67" t="s">
        <v>550</v>
      </c>
      <c r="D37" s="67"/>
      <c r="E37" s="67"/>
      <c r="F37" s="67"/>
      <c r="G37" s="67"/>
      <c r="H37" s="67"/>
    </row>
    <row r="38" customFormat="false" ht="19.5" hidden="false" customHeight="true" outlineLevel="0" collapsed="false">
      <c r="A38" s="66" t="s">
        <v>551</v>
      </c>
      <c r="B38" s="66"/>
      <c r="C38" s="67" t="s">
        <v>552</v>
      </c>
      <c r="D38" s="67"/>
      <c r="E38" s="67"/>
      <c r="F38" s="67"/>
      <c r="G38" s="67"/>
      <c r="H38" s="67"/>
    </row>
    <row r="39" customFormat="false" ht="19.5" hidden="false" customHeight="true" outlineLevel="0" collapsed="false">
      <c r="A39" s="66" t="s">
        <v>553</v>
      </c>
      <c r="B39" s="66"/>
      <c r="C39" s="67" t="s">
        <v>554</v>
      </c>
      <c r="D39" s="67"/>
      <c r="E39" s="67"/>
      <c r="F39" s="67"/>
      <c r="G39" s="67"/>
      <c r="H39" s="67"/>
    </row>
    <row r="40" customFormat="false" ht="19.5" hidden="false" customHeight="true" outlineLevel="0" collapsed="false">
      <c r="A40" s="66" t="s">
        <v>555</v>
      </c>
      <c r="B40" s="66"/>
      <c r="C40" s="67" t="s">
        <v>556</v>
      </c>
      <c r="D40" s="67"/>
      <c r="E40" s="67"/>
      <c r="F40" s="67"/>
      <c r="G40" s="67"/>
      <c r="H40" s="67"/>
    </row>
    <row r="41" customFormat="false" ht="19.5" hidden="false" customHeight="true" outlineLevel="0" collapsed="false">
      <c r="A41" s="66" t="s">
        <v>557</v>
      </c>
      <c r="B41" s="66"/>
      <c r="C41" s="67" t="s">
        <v>295</v>
      </c>
      <c r="D41" s="67"/>
      <c r="E41" s="66" t="s">
        <v>558</v>
      </c>
      <c r="F41" s="66"/>
      <c r="G41" s="67" t="s">
        <v>295</v>
      </c>
      <c r="H41" s="67"/>
    </row>
    <row r="42" customFormat="false" ht="19.5" hidden="false" customHeight="true" outlineLevel="0" collapsed="false">
      <c r="A42" s="66" t="s">
        <v>559</v>
      </c>
      <c r="B42" s="66"/>
      <c r="C42" s="69"/>
      <c r="D42" s="69"/>
      <c r="E42" s="69"/>
      <c r="F42" s="69"/>
      <c r="G42" s="69"/>
      <c r="H42" s="69"/>
    </row>
    <row r="43" customFormat="false" ht="19.5" hidden="false" customHeight="true" outlineLevel="0" collapsed="false">
      <c r="A43" s="66" t="s">
        <v>560</v>
      </c>
      <c r="B43" s="66"/>
      <c r="C43" s="69"/>
      <c r="D43" s="69"/>
      <c r="E43" s="69"/>
      <c r="F43" s="69"/>
      <c r="G43" s="69"/>
      <c r="H43" s="69"/>
    </row>
    <row r="44" customFormat="false" ht="19.5" hidden="false" customHeight="true" outlineLevel="0" collapsed="false">
      <c r="A44" s="66" t="s">
        <v>561</v>
      </c>
      <c r="B44" s="66"/>
      <c r="C44" s="69"/>
      <c r="D44" s="69"/>
      <c r="E44" s="69"/>
      <c r="F44" s="69"/>
      <c r="G44" s="69"/>
      <c r="H44" s="69"/>
    </row>
    <row r="45" customFormat="false" ht="19.5" hidden="false" customHeight="true" outlineLevel="0" collapsed="false">
      <c r="A45" s="66" t="s">
        <v>562</v>
      </c>
      <c r="B45" s="66"/>
      <c r="C45" s="69"/>
      <c r="D45" s="69"/>
      <c r="E45" s="69"/>
      <c r="F45" s="69"/>
      <c r="G45" s="69"/>
      <c r="H45" s="69"/>
    </row>
    <row r="46" customFormat="false" ht="19.5" hidden="false" customHeight="true" outlineLevel="0" collapsed="false">
      <c r="A46" s="66" t="s">
        <v>563</v>
      </c>
      <c r="B46" s="66"/>
      <c r="C46" s="69"/>
      <c r="D46" s="69"/>
      <c r="E46" s="69"/>
      <c r="F46" s="69"/>
      <c r="G46" s="69"/>
      <c r="H46" s="69"/>
    </row>
    <row r="48" customFormat="false" ht="21.75" hidden="false" customHeight="true" outlineLevel="0" collapsed="false">
      <c r="A48" s="65" t="s">
        <v>286</v>
      </c>
      <c r="B48" s="65"/>
      <c r="C48" s="65"/>
      <c r="D48" s="65"/>
      <c r="E48" s="65"/>
      <c r="F48" s="65"/>
      <c r="G48" s="65"/>
      <c r="H48" s="65"/>
    </row>
    <row r="49" customFormat="false" ht="27.75" hidden="false" customHeight="true" outlineLevel="0" collapsed="false">
      <c r="A49" s="70" t="s">
        <v>564</v>
      </c>
      <c r="B49" s="70"/>
      <c r="C49" s="70"/>
      <c r="D49" s="70"/>
      <c r="E49" s="70"/>
      <c r="F49" s="70"/>
      <c r="G49" s="70"/>
      <c r="H49" s="70"/>
    </row>
    <row r="50" customFormat="false" ht="27.75" hidden="false" customHeight="true" outlineLevel="0" collapsed="false">
      <c r="A50" s="70"/>
      <c r="B50" s="70"/>
      <c r="C50" s="70"/>
      <c r="D50" s="70"/>
      <c r="E50" s="70"/>
      <c r="F50" s="70"/>
      <c r="G50" s="70"/>
      <c r="H50" s="70"/>
    </row>
    <row r="51" customFormat="false" ht="27.75" hidden="false" customHeight="true" outlineLevel="0" collapsed="false">
      <c r="A51" s="70"/>
      <c r="B51" s="70"/>
      <c r="C51" s="70"/>
      <c r="D51" s="70"/>
      <c r="E51" s="70"/>
      <c r="F51" s="70"/>
      <c r="G51" s="70"/>
      <c r="H51" s="7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3" min="2" style="1" width="16"/>
    <col collapsed="false" customWidth="true" hidden="false" outlineLevel="0" max="4" min="4" style="1" width="24"/>
    <col collapsed="false" customWidth="true" hidden="false" outlineLevel="0" max="5" min="5" style="1" width="8"/>
    <col collapsed="false" customWidth="true" hidden="false" outlineLevel="0" max="7" min="6" style="1" width="12"/>
    <col collapsed="false" customWidth="true" hidden="false" outlineLevel="0" max="8" min="8" style="1" width="11"/>
  </cols>
  <sheetData>
    <row r="1" customFormat="false" ht="15" hidden="false" customHeight="true" outlineLevel="0" collapsed="false">
      <c r="A1" s="72" t="s">
        <v>565</v>
      </c>
      <c r="B1" s="72" t="s">
        <v>566</v>
      </c>
      <c r="C1" s="72" t="s">
        <v>567</v>
      </c>
      <c r="D1" s="72" t="s">
        <v>568</v>
      </c>
      <c r="E1" s="72" t="s">
        <v>569</v>
      </c>
      <c r="F1" s="72" t="s">
        <v>570</v>
      </c>
      <c r="G1" s="72" t="s">
        <v>571</v>
      </c>
      <c r="H1" s="72" t="s">
        <v>572</v>
      </c>
    </row>
    <row r="2" customFormat="false" ht="15" hidden="false" customHeight="true" outlineLevel="0" collapsed="false">
      <c r="A2" s="83" t="s">
        <v>573</v>
      </c>
      <c r="B2" s="83" t="s">
        <v>574</v>
      </c>
      <c r="C2" s="83" t="s">
        <v>575</v>
      </c>
      <c r="D2" s="83" t="s">
        <v>576</v>
      </c>
      <c r="E2" s="83" t="s">
        <v>577</v>
      </c>
      <c r="F2" s="84" t="n">
        <v>595552</v>
      </c>
      <c r="G2" s="84" t="n">
        <v>9451222</v>
      </c>
      <c r="H2" s="85" t="n">
        <v>355.36</v>
      </c>
    </row>
    <row r="3" customFormat="false" ht="15" hidden="false" customHeight="true" outlineLevel="0" collapsed="false">
      <c r="A3" s="83" t="s">
        <v>578</v>
      </c>
      <c r="B3" s="83" t="s">
        <v>579</v>
      </c>
      <c r="C3" s="83" t="s">
        <v>575</v>
      </c>
      <c r="D3" s="83" t="s">
        <v>576</v>
      </c>
      <c r="E3" s="83" t="s">
        <v>577</v>
      </c>
      <c r="F3" s="84" t="n">
        <v>596773</v>
      </c>
      <c r="G3" s="84" t="n">
        <v>9448273</v>
      </c>
      <c r="H3" s="85" t="n">
        <v>68.89</v>
      </c>
    </row>
    <row r="4" customFormat="false" ht="15" hidden="false" customHeight="true" outlineLevel="0" collapsed="false">
      <c r="A4" s="83" t="s">
        <v>580</v>
      </c>
      <c r="B4" s="83" t="s">
        <v>579</v>
      </c>
      <c r="C4" s="83" t="s">
        <v>575</v>
      </c>
      <c r="D4" s="83" t="s">
        <v>576</v>
      </c>
      <c r="E4" s="83" t="s">
        <v>577</v>
      </c>
      <c r="F4" s="84" t="n">
        <v>596578</v>
      </c>
      <c r="G4" s="84" t="n">
        <v>9442453</v>
      </c>
      <c r="H4" s="85" t="n">
        <v>53.48</v>
      </c>
    </row>
    <row r="5" customFormat="false" ht="15" hidden="false" customHeight="true" outlineLevel="0" collapsed="false">
      <c r="A5" s="83" t="s">
        <v>581</v>
      </c>
      <c r="B5" s="83" t="s">
        <v>582</v>
      </c>
      <c r="C5" s="83" t="s">
        <v>575</v>
      </c>
      <c r="D5" s="83" t="s">
        <v>576</v>
      </c>
      <c r="E5" s="83" t="s">
        <v>577</v>
      </c>
      <c r="F5" s="84" t="n">
        <v>599927</v>
      </c>
      <c r="G5" s="84" t="n">
        <v>9442604</v>
      </c>
      <c r="H5" s="85" t="n">
        <v>35.83</v>
      </c>
    </row>
    <row r="6" customFormat="false" ht="15" hidden="false" customHeight="true" outlineLevel="0" collapsed="false">
      <c r="A6" s="83" t="s">
        <v>583</v>
      </c>
      <c r="B6" s="83" t="s">
        <v>582</v>
      </c>
      <c r="C6" s="83" t="s">
        <v>575</v>
      </c>
      <c r="D6" s="83" t="s">
        <v>576</v>
      </c>
      <c r="E6" s="83" t="s">
        <v>577</v>
      </c>
      <c r="F6" s="84" t="n">
        <v>601122</v>
      </c>
      <c r="G6" s="84" t="n">
        <v>9443651</v>
      </c>
      <c r="H6" s="85" t="n">
        <v>79.33</v>
      </c>
    </row>
    <row r="7" customFormat="false" ht="15" hidden="false" customHeight="true" outlineLevel="0" collapsed="false">
      <c r="A7" s="83" t="s">
        <v>584</v>
      </c>
      <c r="B7" s="83" t="s">
        <v>582</v>
      </c>
      <c r="C7" s="83" t="s">
        <v>575</v>
      </c>
      <c r="D7" s="83" t="s">
        <v>576</v>
      </c>
      <c r="E7" s="83" t="s">
        <v>577</v>
      </c>
      <c r="F7" s="84" t="n">
        <v>600644</v>
      </c>
      <c r="G7" s="84" t="n">
        <v>9440436</v>
      </c>
      <c r="H7" s="85" t="n">
        <v>42.45</v>
      </c>
    </row>
    <row r="8" customFormat="false" ht="15" hidden="false" customHeight="true" outlineLevel="0" collapsed="false">
      <c r="A8" s="83" t="s">
        <v>585</v>
      </c>
      <c r="B8" s="83" t="s">
        <v>586</v>
      </c>
      <c r="C8" s="83" t="s">
        <v>575</v>
      </c>
      <c r="D8" s="83" t="s">
        <v>576</v>
      </c>
      <c r="E8" s="83" t="s">
        <v>577</v>
      </c>
      <c r="F8" s="84" t="n">
        <v>603653</v>
      </c>
      <c r="G8" s="84" t="n">
        <v>9439351</v>
      </c>
      <c r="H8" s="85" t="n">
        <v>330.6</v>
      </c>
    </row>
    <row r="9" customFormat="false" ht="15" hidden="false" customHeight="true" outlineLevel="0" collapsed="false">
      <c r="A9" s="83" t="s">
        <v>587</v>
      </c>
      <c r="B9" s="83" t="s">
        <v>582</v>
      </c>
      <c r="C9" s="83" t="s">
        <v>575</v>
      </c>
      <c r="D9" s="83" t="s">
        <v>576</v>
      </c>
      <c r="E9" s="83" t="s">
        <v>577</v>
      </c>
      <c r="F9" s="84" t="n">
        <v>604926</v>
      </c>
      <c r="G9" s="84" t="n">
        <v>9444327</v>
      </c>
      <c r="H9" s="85" t="n">
        <v>124.71</v>
      </c>
    </row>
    <row r="10" customFormat="false" ht="15" hidden="false" customHeight="true" outlineLevel="0" collapsed="false">
      <c r="A10" s="83" t="s">
        <v>588</v>
      </c>
      <c r="B10" s="83" t="s">
        <v>589</v>
      </c>
      <c r="C10" s="83" t="s">
        <v>575</v>
      </c>
      <c r="D10" s="83" t="s">
        <v>576</v>
      </c>
      <c r="E10" s="83" t="s">
        <v>577</v>
      </c>
      <c r="F10" s="84" t="n">
        <v>593246</v>
      </c>
      <c r="G10" s="84" t="n">
        <v>9430139</v>
      </c>
      <c r="H10" s="85" t="n">
        <v>448.8</v>
      </c>
    </row>
    <row r="11" customFormat="false" ht="15" hidden="false" customHeight="true" outlineLevel="0" collapsed="false">
      <c r="A11" s="83" t="s">
        <v>590</v>
      </c>
      <c r="B11" s="83" t="s">
        <v>574</v>
      </c>
      <c r="C11" s="83" t="s">
        <v>591</v>
      </c>
      <c r="D11" s="83" t="s">
        <v>592</v>
      </c>
      <c r="E11" s="83" t="s">
        <v>593</v>
      </c>
      <c r="F11" s="84" t="n">
        <v>606816</v>
      </c>
      <c r="G11" s="84" t="n">
        <v>9458469</v>
      </c>
      <c r="H11" s="85" t="n">
        <v>459.29</v>
      </c>
    </row>
    <row r="12" customFormat="false" ht="15" hidden="false" customHeight="true" outlineLevel="0" collapsed="false">
      <c r="A12" s="83" t="s">
        <v>594</v>
      </c>
      <c r="B12" s="83" t="s">
        <v>579</v>
      </c>
      <c r="C12" s="83" t="s">
        <v>591</v>
      </c>
      <c r="D12" s="83" t="s">
        <v>592</v>
      </c>
      <c r="E12" s="83" t="s">
        <v>593</v>
      </c>
      <c r="F12" s="84" t="n">
        <v>605636</v>
      </c>
      <c r="G12" s="84" t="n">
        <v>9455269</v>
      </c>
      <c r="H12" s="85" t="n">
        <v>168.41</v>
      </c>
    </row>
    <row r="13" customFormat="false" ht="15" hidden="false" customHeight="true" outlineLevel="0" collapsed="false">
      <c r="A13" s="83" t="s">
        <v>595</v>
      </c>
      <c r="B13" s="83" t="s">
        <v>579</v>
      </c>
      <c r="C13" s="83" t="s">
        <v>591</v>
      </c>
      <c r="D13" s="83" t="s">
        <v>592</v>
      </c>
      <c r="E13" s="83" t="s">
        <v>593</v>
      </c>
      <c r="F13" s="84" t="n">
        <v>606468</v>
      </c>
      <c r="G13" s="84" t="n">
        <v>9454689</v>
      </c>
      <c r="H13" s="85" t="n">
        <v>24.84</v>
      </c>
    </row>
    <row r="14" customFormat="false" ht="15" hidden="false" customHeight="true" outlineLevel="0" collapsed="false">
      <c r="A14" s="83" t="s">
        <v>596</v>
      </c>
      <c r="B14" s="83" t="s">
        <v>582</v>
      </c>
      <c r="C14" s="83" t="s">
        <v>591</v>
      </c>
      <c r="D14" s="83" t="s">
        <v>592</v>
      </c>
      <c r="E14" s="83" t="s">
        <v>593</v>
      </c>
      <c r="F14" s="84" t="n">
        <v>608472</v>
      </c>
      <c r="G14" s="84" t="n">
        <v>9448056</v>
      </c>
      <c r="H14" s="85" t="n">
        <v>258.84</v>
      </c>
    </row>
    <row r="15" customFormat="false" ht="15" hidden="false" customHeight="true" outlineLevel="0" collapsed="false">
      <c r="A15" s="83" t="s">
        <v>597</v>
      </c>
      <c r="B15" s="83" t="s">
        <v>582</v>
      </c>
      <c r="C15" s="83" t="s">
        <v>591</v>
      </c>
      <c r="D15" s="83" t="s">
        <v>592</v>
      </c>
      <c r="E15" s="83" t="s">
        <v>593</v>
      </c>
      <c r="F15" s="84" t="n">
        <v>607036</v>
      </c>
      <c r="G15" s="84" t="n">
        <v>9446211</v>
      </c>
      <c r="H15" s="85" t="n">
        <v>106.54</v>
      </c>
    </row>
    <row r="16" customFormat="false" ht="15" hidden="false" customHeight="true" outlineLevel="0" collapsed="false">
      <c r="A16" s="83" t="s">
        <v>598</v>
      </c>
      <c r="B16" s="83" t="s">
        <v>582</v>
      </c>
      <c r="C16" s="83" t="s">
        <v>591</v>
      </c>
      <c r="D16" s="83" t="s">
        <v>592</v>
      </c>
      <c r="E16" s="83" t="s">
        <v>593</v>
      </c>
      <c r="F16" s="84" t="n">
        <v>606173</v>
      </c>
      <c r="G16" s="84" t="n">
        <v>9447361</v>
      </c>
      <c r="H16" s="85" t="n">
        <v>75.36</v>
      </c>
    </row>
    <row r="17" customFormat="false" ht="15" hidden="false" customHeight="true" outlineLevel="0" collapsed="false">
      <c r="A17" s="83" t="s">
        <v>599</v>
      </c>
      <c r="B17" s="83" t="s">
        <v>582</v>
      </c>
      <c r="C17" s="83" t="s">
        <v>591</v>
      </c>
      <c r="D17" s="83" t="s">
        <v>592</v>
      </c>
      <c r="E17" s="83" t="s">
        <v>593</v>
      </c>
      <c r="F17" s="84" t="n">
        <v>608800</v>
      </c>
      <c r="G17" s="84" t="n">
        <v>9445585</v>
      </c>
      <c r="H17" s="85" t="n">
        <v>74.03</v>
      </c>
    </row>
    <row r="18" customFormat="false" ht="15" hidden="false" customHeight="true" outlineLevel="0" collapsed="false">
      <c r="A18" s="83" t="s">
        <v>600</v>
      </c>
      <c r="B18" s="83" t="s">
        <v>582</v>
      </c>
      <c r="C18" s="83" t="s">
        <v>591</v>
      </c>
      <c r="D18" s="83" t="s">
        <v>592</v>
      </c>
      <c r="E18" s="83" t="s">
        <v>593</v>
      </c>
      <c r="F18" s="84" t="n">
        <v>613302</v>
      </c>
      <c r="G18" s="84" t="n">
        <v>9450231</v>
      </c>
      <c r="H18" s="85" t="n">
        <v>78.15</v>
      </c>
    </row>
    <row r="19" customFormat="false" ht="15" hidden="false" customHeight="true" outlineLevel="0" collapsed="false">
      <c r="A19" s="83" t="s">
        <v>601</v>
      </c>
      <c r="B19" s="83" t="s">
        <v>602</v>
      </c>
      <c r="C19" s="83" t="s">
        <v>591</v>
      </c>
      <c r="D19" s="83" t="s">
        <v>592</v>
      </c>
      <c r="E19" s="83" t="s">
        <v>593</v>
      </c>
      <c r="F19" s="84" t="n">
        <v>618523</v>
      </c>
      <c r="G19" s="84" t="n">
        <v>9448918</v>
      </c>
      <c r="H19" s="85" t="n">
        <v>68.57</v>
      </c>
    </row>
    <row r="20" customFormat="false" ht="15" hidden="false" customHeight="true" outlineLevel="0" collapsed="false">
      <c r="A20" s="83" t="s">
        <v>603</v>
      </c>
      <c r="B20" s="83" t="s">
        <v>602</v>
      </c>
      <c r="C20" s="83" t="s">
        <v>591</v>
      </c>
      <c r="D20" s="83" t="s">
        <v>592</v>
      </c>
      <c r="E20" s="83" t="s">
        <v>593</v>
      </c>
      <c r="F20" s="84" t="n">
        <v>631723</v>
      </c>
      <c r="G20" s="84" t="n">
        <v>9439702</v>
      </c>
      <c r="H20" s="85" t="n">
        <v>77.67</v>
      </c>
    </row>
    <row r="21" customFormat="false" ht="15" hidden="false" customHeight="true" outlineLevel="0" collapsed="false">
      <c r="A21" s="83" t="s">
        <v>604</v>
      </c>
      <c r="B21" s="83" t="s">
        <v>605</v>
      </c>
      <c r="C21" s="83" t="s">
        <v>575</v>
      </c>
      <c r="D21" s="83" t="s">
        <v>606</v>
      </c>
      <c r="E21" s="83" t="s">
        <v>607</v>
      </c>
      <c r="F21" s="84" t="n">
        <v>625419</v>
      </c>
      <c r="G21" s="84" t="n">
        <v>9444932</v>
      </c>
      <c r="H21" s="85" t="n">
        <v>119.54</v>
      </c>
    </row>
    <row r="22" customFormat="false" ht="15" hidden="false" customHeight="true" outlineLevel="0" collapsed="false">
      <c r="A22" s="83" t="s">
        <v>608</v>
      </c>
      <c r="B22" s="83" t="s">
        <v>605</v>
      </c>
      <c r="C22" s="83" t="s">
        <v>575</v>
      </c>
      <c r="D22" s="83" t="s">
        <v>606</v>
      </c>
      <c r="E22" s="83" t="s">
        <v>607</v>
      </c>
      <c r="F22" s="84" t="n">
        <v>621452</v>
      </c>
      <c r="G22" s="84" t="n">
        <v>9443855</v>
      </c>
      <c r="H22" s="85" t="n">
        <v>35.66</v>
      </c>
    </row>
    <row r="23" customFormat="false" ht="15" hidden="false" customHeight="true" outlineLevel="0" collapsed="false">
      <c r="A23" s="83" t="s">
        <v>609</v>
      </c>
      <c r="B23" s="83" t="s">
        <v>602</v>
      </c>
      <c r="C23" s="83" t="s">
        <v>575</v>
      </c>
      <c r="D23" s="83" t="s">
        <v>606</v>
      </c>
      <c r="E23" s="83" t="s">
        <v>607</v>
      </c>
      <c r="F23" s="84" t="n">
        <v>620263</v>
      </c>
      <c r="G23" s="84" t="n">
        <v>9442343</v>
      </c>
      <c r="H23" s="85" t="n">
        <v>100.51</v>
      </c>
    </row>
    <row r="24" customFormat="false" ht="15" hidden="false" customHeight="true" outlineLevel="0" collapsed="false">
      <c r="A24" s="83" t="s">
        <v>610</v>
      </c>
      <c r="B24" s="83" t="s">
        <v>605</v>
      </c>
      <c r="C24" s="83" t="s">
        <v>575</v>
      </c>
      <c r="D24" s="83" t="s">
        <v>606</v>
      </c>
      <c r="E24" s="83" t="s">
        <v>607</v>
      </c>
      <c r="F24" s="84" t="n">
        <v>619630</v>
      </c>
      <c r="G24" s="84" t="n">
        <v>9440043</v>
      </c>
      <c r="H24" s="85" t="n">
        <v>35.1</v>
      </c>
    </row>
    <row r="25" customFormat="false" ht="15" hidden="false" customHeight="true" outlineLevel="0" collapsed="false">
      <c r="A25" s="83" t="s">
        <v>611</v>
      </c>
      <c r="B25" s="83" t="s">
        <v>605</v>
      </c>
      <c r="C25" s="83" t="s">
        <v>575</v>
      </c>
      <c r="D25" s="83" t="s">
        <v>606</v>
      </c>
      <c r="E25" s="83" t="s">
        <v>607</v>
      </c>
      <c r="F25" s="84" t="n">
        <v>620759</v>
      </c>
      <c r="G25" s="84" t="n">
        <v>9439988</v>
      </c>
      <c r="H25" s="85" t="n">
        <v>103.95</v>
      </c>
    </row>
    <row r="26" customFormat="false" ht="15" hidden="false" customHeight="true" outlineLevel="0" collapsed="false">
      <c r="A26" s="83" t="s">
        <v>612</v>
      </c>
      <c r="B26" s="83" t="s">
        <v>605</v>
      </c>
      <c r="C26" s="83" t="s">
        <v>575</v>
      </c>
      <c r="D26" s="83" t="s">
        <v>606</v>
      </c>
      <c r="E26" s="83" t="s">
        <v>607</v>
      </c>
      <c r="F26" s="84" t="n">
        <v>619939</v>
      </c>
      <c r="G26" s="84" t="n">
        <v>9438544</v>
      </c>
      <c r="H26" s="85" t="n">
        <v>81.78</v>
      </c>
    </row>
    <row r="27" customFormat="false" ht="15" hidden="false" customHeight="true" outlineLevel="0" collapsed="false">
      <c r="A27" s="83" t="s">
        <v>613</v>
      </c>
      <c r="B27" s="83" t="s">
        <v>605</v>
      </c>
      <c r="C27" s="83" t="s">
        <v>575</v>
      </c>
      <c r="D27" s="83" t="s">
        <v>606</v>
      </c>
      <c r="E27" s="83" t="s">
        <v>607</v>
      </c>
      <c r="F27" s="84" t="n">
        <v>620200</v>
      </c>
      <c r="G27" s="84" t="n">
        <v>9437862</v>
      </c>
      <c r="H27" s="85" t="n">
        <v>86.15</v>
      </c>
    </row>
    <row r="28" customFormat="false" ht="15" hidden="false" customHeight="true" outlineLevel="0" collapsed="false">
      <c r="A28" s="83" t="s">
        <v>614</v>
      </c>
      <c r="B28" s="83" t="s">
        <v>605</v>
      </c>
      <c r="C28" s="83" t="s">
        <v>575</v>
      </c>
      <c r="D28" s="83" t="s">
        <v>606</v>
      </c>
      <c r="E28" s="83" t="s">
        <v>607</v>
      </c>
      <c r="F28" s="84" t="n">
        <v>620770</v>
      </c>
      <c r="G28" s="84" t="n">
        <v>9436562</v>
      </c>
      <c r="H28" s="85" t="n">
        <v>34.17</v>
      </c>
    </row>
    <row r="29" customFormat="false" ht="15" hidden="false" customHeight="true" outlineLevel="0" collapsed="false">
      <c r="A29" s="83" t="s">
        <v>615</v>
      </c>
      <c r="B29" s="83" t="s">
        <v>605</v>
      </c>
      <c r="C29" s="83" t="s">
        <v>575</v>
      </c>
      <c r="D29" s="83" t="s">
        <v>606</v>
      </c>
      <c r="E29" s="83" t="s">
        <v>607</v>
      </c>
      <c r="F29" s="84" t="n">
        <v>618661</v>
      </c>
      <c r="G29" s="84" t="n">
        <v>9438267</v>
      </c>
      <c r="H29" s="85" t="n">
        <v>96.08</v>
      </c>
    </row>
    <row r="30" customFormat="false" ht="15" hidden="false" customHeight="true" outlineLevel="0" collapsed="false">
      <c r="A30" s="83" t="s">
        <v>616</v>
      </c>
      <c r="B30" s="83" t="s">
        <v>586</v>
      </c>
      <c r="C30" s="83" t="s">
        <v>575</v>
      </c>
      <c r="D30" s="83" t="s">
        <v>606</v>
      </c>
      <c r="E30" s="83" t="s">
        <v>607</v>
      </c>
      <c r="F30" s="84" t="n">
        <v>617596</v>
      </c>
      <c r="G30" s="84" t="n">
        <v>9436227</v>
      </c>
      <c r="H30" s="85" t="n">
        <v>35.35</v>
      </c>
    </row>
    <row r="31" customFormat="false" ht="15" hidden="false" customHeight="true" outlineLevel="0" collapsed="false">
      <c r="A31" s="83" t="s">
        <v>617</v>
      </c>
      <c r="B31" s="83" t="s">
        <v>618</v>
      </c>
      <c r="C31" s="83" t="s">
        <v>575</v>
      </c>
      <c r="D31" s="83" t="s">
        <v>619</v>
      </c>
      <c r="E31" s="83" t="s">
        <v>620</v>
      </c>
      <c r="F31" s="84" t="n">
        <v>631195</v>
      </c>
      <c r="G31" s="84" t="n">
        <v>9441777</v>
      </c>
      <c r="H31" s="85" t="n">
        <v>25.67</v>
      </c>
    </row>
    <row r="32" customFormat="false" ht="15" hidden="false" customHeight="true" outlineLevel="0" collapsed="false">
      <c r="A32" s="83" t="s">
        <v>621</v>
      </c>
      <c r="B32" s="83" t="s">
        <v>605</v>
      </c>
      <c r="C32" s="83" t="s">
        <v>575</v>
      </c>
      <c r="D32" s="83" t="s">
        <v>619</v>
      </c>
      <c r="E32" s="83" t="s">
        <v>620</v>
      </c>
      <c r="F32" s="84" t="n">
        <v>631195</v>
      </c>
      <c r="G32" s="84" t="n">
        <v>9441777</v>
      </c>
      <c r="H32" s="85" t="n">
        <v>13.55</v>
      </c>
    </row>
    <row r="33" customFormat="false" ht="15" hidden="false" customHeight="true" outlineLevel="0" collapsed="false">
      <c r="A33" s="83" t="s">
        <v>622</v>
      </c>
      <c r="B33" s="83" t="s">
        <v>618</v>
      </c>
      <c r="C33" s="83" t="s">
        <v>575</v>
      </c>
      <c r="D33" s="83" t="s">
        <v>623</v>
      </c>
      <c r="E33" s="83" t="s">
        <v>620</v>
      </c>
      <c r="F33" s="84" t="n">
        <v>626438</v>
      </c>
      <c r="G33" s="84" t="n">
        <v>9435060</v>
      </c>
      <c r="H33" s="85" t="n">
        <v>28.19</v>
      </c>
    </row>
    <row r="34" customFormat="false" ht="15" hidden="false" customHeight="true" outlineLevel="0" collapsed="false">
      <c r="A34" s="83" t="s">
        <v>624</v>
      </c>
      <c r="B34" s="83" t="s">
        <v>605</v>
      </c>
      <c r="C34" s="83" t="s">
        <v>575</v>
      </c>
      <c r="D34" s="83" t="s">
        <v>623</v>
      </c>
      <c r="E34" s="83" t="s">
        <v>620</v>
      </c>
      <c r="F34" s="84" t="n">
        <v>625152</v>
      </c>
      <c r="G34" s="84" t="n">
        <v>9435011</v>
      </c>
      <c r="H34" s="85" t="n">
        <v>80.62</v>
      </c>
    </row>
    <row r="35" customFormat="false" ht="15" hidden="false" customHeight="true" outlineLevel="0" collapsed="false">
      <c r="A35" s="83" t="s">
        <v>625</v>
      </c>
      <c r="B35" s="83" t="s">
        <v>605</v>
      </c>
      <c r="C35" s="83" t="s">
        <v>575</v>
      </c>
      <c r="D35" s="83" t="s">
        <v>623</v>
      </c>
      <c r="E35" s="83" t="s">
        <v>620</v>
      </c>
      <c r="F35" s="84" t="n">
        <v>624397</v>
      </c>
      <c r="G35" s="84" t="n">
        <v>9437085</v>
      </c>
      <c r="H35" s="85" t="n">
        <v>92.9</v>
      </c>
    </row>
    <row r="36" customFormat="false" ht="15" hidden="false" customHeight="true" outlineLevel="0" collapsed="false">
      <c r="A36" s="83" t="s">
        <v>626</v>
      </c>
      <c r="B36" s="83" t="s">
        <v>627</v>
      </c>
      <c r="C36" s="83" t="s">
        <v>575</v>
      </c>
      <c r="D36" s="83" t="s">
        <v>623</v>
      </c>
      <c r="E36" s="83" t="s">
        <v>620</v>
      </c>
      <c r="F36" s="84" t="n">
        <v>619094</v>
      </c>
      <c r="G36" s="84" t="n">
        <v>9426406</v>
      </c>
      <c r="H36" s="85" t="n">
        <v>11.47</v>
      </c>
    </row>
    <row r="37" customFormat="false" ht="15" hidden="false" customHeight="true" outlineLevel="0" collapsed="false">
      <c r="A37" s="83" t="s">
        <v>628</v>
      </c>
      <c r="B37" s="83" t="s">
        <v>605</v>
      </c>
      <c r="C37" s="83" t="s">
        <v>575</v>
      </c>
      <c r="D37" s="83" t="s">
        <v>575</v>
      </c>
      <c r="E37" s="83" t="s">
        <v>629</v>
      </c>
      <c r="F37" s="84" t="n">
        <v>617715</v>
      </c>
      <c r="G37" s="84" t="n">
        <v>9427284</v>
      </c>
      <c r="H37" s="85" t="n">
        <v>74.37</v>
      </c>
    </row>
    <row r="38" customFormat="false" ht="15" hidden="false" customHeight="true" outlineLevel="0" collapsed="false">
      <c r="A38" s="83" t="s">
        <v>630</v>
      </c>
      <c r="B38" s="83" t="s">
        <v>627</v>
      </c>
      <c r="C38" s="83" t="s">
        <v>575</v>
      </c>
      <c r="D38" s="83" t="s">
        <v>575</v>
      </c>
      <c r="E38" s="83" t="s">
        <v>629</v>
      </c>
      <c r="F38" s="84" t="n">
        <v>618248</v>
      </c>
      <c r="G38" s="84" t="n">
        <v>9426493</v>
      </c>
      <c r="H38" s="85" t="n">
        <v>50.97</v>
      </c>
    </row>
    <row r="39" customFormat="false" ht="15" hidden="false" customHeight="true" outlineLevel="0" collapsed="false">
      <c r="A39" s="83" t="s">
        <v>631</v>
      </c>
      <c r="B39" s="83" t="s">
        <v>632</v>
      </c>
      <c r="C39" s="83" t="s">
        <v>575</v>
      </c>
      <c r="D39" s="83" t="s">
        <v>633</v>
      </c>
      <c r="E39" s="83" t="s">
        <v>634</v>
      </c>
      <c r="F39" s="84" t="n">
        <v>618299</v>
      </c>
      <c r="G39" s="84" t="n">
        <v>9423119</v>
      </c>
      <c r="H39" s="85" t="n">
        <v>249.89</v>
      </c>
    </row>
    <row r="40" customFormat="false" ht="15" hidden="false" customHeight="true" outlineLevel="0" collapsed="false">
      <c r="A40" s="83" t="s">
        <v>635</v>
      </c>
      <c r="B40" s="83" t="s">
        <v>632</v>
      </c>
      <c r="C40" s="83" t="s">
        <v>575</v>
      </c>
      <c r="D40" s="83" t="s">
        <v>633</v>
      </c>
      <c r="E40" s="83" t="s">
        <v>634</v>
      </c>
      <c r="F40" s="84" t="n">
        <v>611305</v>
      </c>
      <c r="G40" s="84" t="n">
        <v>9419274</v>
      </c>
      <c r="H40" s="85" t="n">
        <v>160.98</v>
      </c>
    </row>
    <row r="41" customFormat="false" ht="15" hidden="false" customHeight="true" outlineLevel="0" collapsed="false">
      <c r="A41" s="83" t="s">
        <v>636</v>
      </c>
      <c r="B41" s="83" t="s">
        <v>632</v>
      </c>
      <c r="C41" s="83" t="s">
        <v>575</v>
      </c>
      <c r="D41" s="83" t="s">
        <v>633</v>
      </c>
      <c r="E41" s="83" t="s">
        <v>634</v>
      </c>
      <c r="F41" s="84" t="n">
        <v>611196</v>
      </c>
      <c r="G41" s="84" t="n">
        <v>9416725</v>
      </c>
      <c r="H41" s="85" t="n">
        <v>333.01</v>
      </c>
    </row>
    <row r="42" customFormat="false" ht="15" hidden="false" customHeight="true" outlineLevel="0" collapsed="false">
      <c r="A42" s="83" t="s">
        <v>637</v>
      </c>
      <c r="B42" s="83" t="s">
        <v>632</v>
      </c>
      <c r="C42" s="83" t="s">
        <v>575</v>
      </c>
      <c r="D42" s="83" t="s">
        <v>633</v>
      </c>
      <c r="E42" s="83" t="s">
        <v>634</v>
      </c>
      <c r="F42" s="84" t="n">
        <v>612864</v>
      </c>
      <c r="G42" s="84" t="n">
        <v>9413345</v>
      </c>
      <c r="H42" s="85" t="n">
        <v>514.36</v>
      </c>
    </row>
    <row r="43" customFormat="false" ht="15" hidden="false" customHeight="true" outlineLevel="0" collapsed="false">
      <c r="A43" s="83" t="s">
        <v>638</v>
      </c>
      <c r="B43" s="83" t="s">
        <v>632</v>
      </c>
      <c r="C43" s="83" t="s">
        <v>575</v>
      </c>
      <c r="D43" s="83" t="s">
        <v>633</v>
      </c>
      <c r="E43" s="83" t="s">
        <v>634</v>
      </c>
      <c r="F43" s="84" t="n">
        <v>617860</v>
      </c>
      <c r="G43" s="84" t="n">
        <v>9413182</v>
      </c>
      <c r="H43" s="85" t="n">
        <v>295.73</v>
      </c>
    </row>
    <row r="44" customFormat="false" ht="15" hidden="false" customHeight="true" outlineLevel="0" collapsed="false">
      <c r="A44" s="83" t="s">
        <v>639</v>
      </c>
      <c r="B44" s="83" t="s">
        <v>640</v>
      </c>
      <c r="C44" s="83" t="s">
        <v>575</v>
      </c>
      <c r="D44" s="83" t="s">
        <v>633</v>
      </c>
      <c r="E44" s="83" t="s">
        <v>634</v>
      </c>
      <c r="F44" s="84" t="n">
        <v>617695</v>
      </c>
      <c r="G44" s="84" t="n">
        <v>9409136</v>
      </c>
      <c r="H44" s="85" t="n">
        <v>188.8</v>
      </c>
    </row>
    <row r="45" customFormat="false" ht="15" hidden="false" customHeight="true" outlineLevel="0" collapsed="false">
      <c r="A45" s="83" t="s">
        <v>641</v>
      </c>
      <c r="B45" s="83" t="s">
        <v>642</v>
      </c>
      <c r="C45" s="83" t="s">
        <v>575</v>
      </c>
      <c r="D45" s="83" t="s">
        <v>633</v>
      </c>
      <c r="E45" s="83" t="s">
        <v>634</v>
      </c>
      <c r="F45" s="84" t="n">
        <v>621058</v>
      </c>
      <c r="G45" s="84" t="n">
        <v>9410427</v>
      </c>
      <c r="H45" s="85" t="n">
        <v>160.36</v>
      </c>
    </row>
    <row r="46" customFormat="false" ht="15" hidden="false" customHeight="true" outlineLevel="0" collapsed="false">
      <c r="A46" s="83" t="s">
        <v>643</v>
      </c>
      <c r="B46" s="83" t="s">
        <v>644</v>
      </c>
      <c r="C46" s="83" t="s">
        <v>575</v>
      </c>
      <c r="D46" s="83" t="s">
        <v>645</v>
      </c>
      <c r="E46" s="83" t="s">
        <v>646</v>
      </c>
      <c r="F46" s="84" t="n">
        <v>629338</v>
      </c>
      <c r="G46" s="84" t="n">
        <v>9413305</v>
      </c>
      <c r="H46" s="85" t="n">
        <v>294.2</v>
      </c>
    </row>
    <row r="47" customFormat="false" ht="15" hidden="false" customHeight="true" outlineLevel="0" collapsed="false">
      <c r="A47" s="83" t="s">
        <v>647</v>
      </c>
      <c r="B47" s="83" t="s">
        <v>644</v>
      </c>
      <c r="C47" s="83" t="s">
        <v>575</v>
      </c>
      <c r="D47" s="83" t="s">
        <v>645</v>
      </c>
      <c r="E47" s="83" t="s">
        <v>646</v>
      </c>
      <c r="F47" s="84" t="n">
        <v>630685</v>
      </c>
      <c r="G47" s="84" t="n">
        <v>9410800</v>
      </c>
      <c r="H47" s="85" t="n">
        <v>80.98</v>
      </c>
    </row>
    <row r="48" customFormat="false" ht="15" hidden="false" customHeight="true" outlineLevel="0" collapsed="false">
      <c r="A48" s="83" t="s">
        <v>648</v>
      </c>
      <c r="B48" s="83" t="s">
        <v>649</v>
      </c>
      <c r="C48" s="83" t="s">
        <v>575</v>
      </c>
      <c r="D48" s="83" t="s">
        <v>645</v>
      </c>
      <c r="E48" s="83" t="s">
        <v>646</v>
      </c>
      <c r="F48" s="84" t="n">
        <v>629006</v>
      </c>
      <c r="G48" s="84" t="n">
        <v>9407536</v>
      </c>
      <c r="H48" s="85" t="n">
        <v>130.43</v>
      </c>
    </row>
    <row r="49" customFormat="false" ht="15" hidden="false" customHeight="true" outlineLevel="0" collapsed="false">
      <c r="A49" s="83" t="s">
        <v>650</v>
      </c>
      <c r="B49" s="83" t="s">
        <v>649</v>
      </c>
      <c r="C49" s="83" t="s">
        <v>575</v>
      </c>
      <c r="D49" s="83" t="s">
        <v>645</v>
      </c>
      <c r="E49" s="83" t="s">
        <v>646</v>
      </c>
      <c r="F49" s="84" t="n">
        <v>631438</v>
      </c>
      <c r="G49" s="84" t="n">
        <v>9403547</v>
      </c>
      <c r="H49" s="85" t="n">
        <v>115.38</v>
      </c>
    </row>
    <row r="50" customFormat="false" ht="15" hidden="false" customHeight="true" outlineLevel="0" collapsed="false">
      <c r="A50" s="83" t="s">
        <v>651</v>
      </c>
      <c r="B50" s="83" t="s">
        <v>649</v>
      </c>
      <c r="C50" s="83" t="s">
        <v>575</v>
      </c>
      <c r="D50" s="83" t="s">
        <v>645</v>
      </c>
      <c r="E50" s="83" t="s">
        <v>646</v>
      </c>
      <c r="F50" s="84" t="n">
        <v>633232</v>
      </c>
      <c r="G50" s="84" t="n">
        <v>9401227</v>
      </c>
      <c r="H50" s="85" t="n">
        <v>65.74</v>
      </c>
    </row>
    <row r="51" customFormat="false" ht="15" hidden="false" customHeight="true" outlineLevel="0" collapsed="false">
      <c r="A51" s="83" t="s">
        <v>652</v>
      </c>
      <c r="B51" s="83" t="s">
        <v>649</v>
      </c>
      <c r="C51" s="83" t="s">
        <v>575</v>
      </c>
      <c r="D51" s="83" t="s">
        <v>645</v>
      </c>
      <c r="E51" s="83" t="s">
        <v>646</v>
      </c>
      <c r="F51" s="84" t="n">
        <v>635110</v>
      </c>
      <c r="G51" s="84" t="n">
        <v>9399092</v>
      </c>
      <c r="H51" s="85" t="n">
        <v>91.29</v>
      </c>
    </row>
    <row r="52" customFormat="false" ht="15" hidden="false" customHeight="true" outlineLevel="0" collapsed="false">
      <c r="A52" s="83" t="s">
        <v>653</v>
      </c>
      <c r="B52" s="83" t="s">
        <v>654</v>
      </c>
      <c r="C52" s="83" t="s">
        <v>575</v>
      </c>
      <c r="D52" s="83" t="s">
        <v>645</v>
      </c>
      <c r="E52" s="83" t="s">
        <v>646</v>
      </c>
      <c r="F52" s="84" t="n">
        <v>635876</v>
      </c>
      <c r="G52" s="84" t="n">
        <v>9397941</v>
      </c>
      <c r="H52" s="85" t="n">
        <v>81.79</v>
      </c>
    </row>
    <row r="53" customFormat="false" ht="15" hidden="false" customHeight="true" outlineLevel="0" collapsed="false">
      <c r="A53" s="83" t="s">
        <v>655</v>
      </c>
      <c r="B53" s="83" t="s">
        <v>654</v>
      </c>
      <c r="C53" s="83" t="s">
        <v>575</v>
      </c>
      <c r="D53" s="83" t="s">
        <v>645</v>
      </c>
      <c r="E53" s="83" t="s">
        <v>646</v>
      </c>
      <c r="F53" s="84" t="n">
        <v>639728</v>
      </c>
      <c r="G53" s="84" t="n">
        <v>9396836</v>
      </c>
      <c r="H53" s="85" t="n">
        <v>173.43</v>
      </c>
    </row>
    <row r="54" customFormat="false" ht="15" hidden="false" customHeight="true" outlineLevel="0" collapsed="false">
      <c r="A54" s="83" t="s">
        <v>656</v>
      </c>
      <c r="B54" s="83" t="s">
        <v>654</v>
      </c>
      <c r="C54" s="83" t="s">
        <v>575</v>
      </c>
      <c r="D54" s="83" t="s">
        <v>645</v>
      </c>
      <c r="E54" s="83" t="s">
        <v>646</v>
      </c>
      <c r="F54" s="84" t="n">
        <v>639987</v>
      </c>
      <c r="G54" s="84" t="n">
        <v>9394392</v>
      </c>
      <c r="H54" s="85" t="n">
        <v>30.91</v>
      </c>
    </row>
    <row r="55" customFormat="false" ht="15" hidden="false" customHeight="true" outlineLevel="0" collapsed="false">
      <c r="A55" s="83" t="s">
        <v>657</v>
      </c>
      <c r="B55" s="83" t="s">
        <v>654</v>
      </c>
      <c r="C55" s="83" t="s">
        <v>575</v>
      </c>
      <c r="D55" s="83" t="s">
        <v>645</v>
      </c>
      <c r="E55" s="83" t="s">
        <v>646</v>
      </c>
      <c r="F55" s="84" t="n">
        <v>645575</v>
      </c>
      <c r="G55" s="84" t="n">
        <v>9393500</v>
      </c>
      <c r="H55" s="85" t="n">
        <v>1370.96</v>
      </c>
    </row>
    <row r="56" customFormat="false" ht="15" hidden="false" customHeight="true" outlineLevel="0" collapsed="false">
      <c r="A56" s="83" t="s">
        <v>658</v>
      </c>
      <c r="B56" s="83" t="s">
        <v>642</v>
      </c>
      <c r="C56" s="83" t="s">
        <v>575</v>
      </c>
      <c r="D56" s="83" t="s">
        <v>645</v>
      </c>
      <c r="E56" s="83" t="s">
        <v>646</v>
      </c>
      <c r="F56" s="84" t="n">
        <v>625311</v>
      </c>
      <c r="G56" s="84" t="n">
        <v>9412195</v>
      </c>
      <c r="H56" s="85" t="n">
        <v>373.81</v>
      </c>
    </row>
    <row r="57" customFormat="false" ht="15" hidden="false" customHeight="true" outlineLevel="0" collapsed="false">
      <c r="A57" s="83" t="s">
        <v>659</v>
      </c>
      <c r="B57" s="83" t="s">
        <v>642</v>
      </c>
      <c r="C57" s="83" t="s">
        <v>575</v>
      </c>
      <c r="D57" s="83" t="s">
        <v>645</v>
      </c>
      <c r="E57" s="83" t="s">
        <v>646</v>
      </c>
      <c r="F57" s="84" t="n">
        <v>621551</v>
      </c>
      <c r="G57" s="84" t="n">
        <v>9412989</v>
      </c>
      <c r="H57" s="85" t="n">
        <v>197.35</v>
      </c>
    </row>
    <row r="58" customFormat="false" ht="15" hidden="false" customHeight="true" outlineLevel="0" collapsed="false">
      <c r="A58" s="83" t="s">
        <v>660</v>
      </c>
      <c r="B58" s="83" t="s">
        <v>644</v>
      </c>
      <c r="C58" s="83" t="s">
        <v>575</v>
      </c>
      <c r="D58" s="83" t="s">
        <v>661</v>
      </c>
      <c r="E58" s="83" t="s">
        <v>662</v>
      </c>
      <c r="F58" s="84" t="n">
        <v>638309</v>
      </c>
      <c r="G58" s="84" t="n">
        <v>9415217</v>
      </c>
      <c r="H58" s="85" t="n">
        <v>122.95</v>
      </c>
    </row>
    <row r="59" customFormat="false" ht="15" hidden="false" customHeight="true" outlineLevel="0" collapsed="false">
      <c r="A59" s="83" t="s">
        <v>663</v>
      </c>
      <c r="B59" s="83" t="s">
        <v>644</v>
      </c>
      <c r="C59" s="83" t="s">
        <v>575</v>
      </c>
      <c r="D59" s="83" t="s">
        <v>661</v>
      </c>
      <c r="E59" s="83" t="s">
        <v>662</v>
      </c>
      <c r="F59" s="84" t="n">
        <v>637918</v>
      </c>
      <c r="G59" s="84" t="n">
        <v>9412134</v>
      </c>
      <c r="H59" s="85" t="n">
        <v>60.35</v>
      </c>
    </row>
    <row r="60" customFormat="false" ht="15" hidden="false" customHeight="true" outlineLevel="0" collapsed="false">
      <c r="A60" s="83" t="s">
        <v>664</v>
      </c>
      <c r="B60" s="83" t="s">
        <v>665</v>
      </c>
      <c r="C60" s="83" t="s">
        <v>575</v>
      </c>
      <c r="D60" s="83" t="s">
        <v>661</v>
      </c>
      <c r="E60" s="83" t="s">
        <v>662</v>
      </c>
      <c r="F60" s="84" t="n">
        <v>638648</v>
      </c>
      <c r="G60" s="84" t="n">
        <v>9411370</v>
      </c>
      <c r="H60" s="85" t="n">
        <v>17.82</v>
      </c>
    </row>
    <row r="61" customFormat="false" ht="15" hidden="false" customHeight="true" outlineLevel="0" collapsed="false">
      <c r="A61" s="83" t="s">
        <v>666</v>
      </c>
      <c r="B61" s="83" t="s">
        <v>644</v>
      </c>
      <c r="C61" s="83" t="s">
        <v>575</v>
      </c>
      <c r="D61" s="83" t="s">
        <v>661</v>
      </c>
      <c r="E61" s="83" t="s">
        <v>662</v>
      </c>
      <c r="F61" s="84" t="n">
        <v>635887</v>
      </c>
      <c r="G61" s="84" t="n">
        <v>9411738</v>
      </c>
      <c r="H61" s="85" t="n">
        <v>52.74</v>
      </c>
    </row>
    <row r="62" customFormat="false" ht="15" hidden="false" customHeight="true" outlineLevel="0" collapsed="false">
      <c r="A62" s="83" t="s">
        <v>667</v>
      </c>
      <c r="B62" s="83" t="s">
        <v>644</v>
      </c>
      <c r="C62" s="83" t="s">
        <v>575</v>
      </c>
      <c r="D62" s="83" t="s">
        <v>661</v>
      </c>
      <c r="E62" s="83" t="s">
        <v>662</v>
      </c>
      <c r="F62" s="84" t="n">
        <v>633015</v>
      </c>
      <c r="G62" s="84" t="n">
        <v>9411483</v>
      </c>
      <c r="H62" s="85" t="n">
        <v>84.82</v>
      </c>
    </row>
    <row r="63" customFormat="false" ht="15" hidden="false" customHeight="true" outlineLevel="0" collapsed="false">
      <c r="A63" s="83" t="s">
        <v>668</v>
      </c>
      <c r="B63" s="83" t="s">
        <v>644</v>
      </c>
      <c r="C63" s="83" t="s">
        <v>575</v>
      </c>
      <c r="D63" s="83" t="s">
        <v>661</v>
      </c>
      <c r="E63" s="83" t="s">
        <v>662</v>
      </c>
      <c r="F63" s="84" t="n">
        <v>632119</v>
      </c>
      <c r="G63" s="84" t="n">
        <v>9415141</v>
      </c>
      <c r="H63" s="85" t="n">
        <v>565.58</v>
      </c>
    </row>
    <row r="64" customFormat="false" ht="15" hidden="false" customHeight="true" outlineLevel="0" collapsed="false">
      <c r="A64" s="83" t="s">
        <v>669</v>
      </c>
      <c r="B64" s="83" t="s">
        <v>665</v>
      </c>
      <c r="C64" s="83" t="s">
        <v>575</v>
      </c>
      <c r="D64" s="83" t="s">
        <v>661</v>
      </c>
      <c r="E64" s="83" t="s">
        <v>662</v>
      </c>
      <c r="F64" s="84" t="n">
        <v>642079</v>
      </c>
      <c r="G64" s="84" t="n">
        <v>9413823</v>
      </c>
      <c r="H64" s="85" t="n">
        <v>106.03</v>
      </c>
    </row>
    <row r="65" customFormat="false" ht="15" hidden="false" customHeight="true" outlineLevel="0" collapsed="false">
      <c r="A65" s="83" t="s">
        <v>670</v>
      </c>
      <c r="B65" s="83" t="s">
        <v>671</v>
      </c>
      <c r="C65" s="83" t="s">
        <v>575</v>
      </c>
      <c r="D65" s="83" t="s">
        <v>672</v>
      </c>
      <c r="E65" s="83" t="s">
        <v>673</v>
      </c>
      <c r="F65" s="84" t="n">
        <v>642690</v>
      </c>
      <c r="G65" s="84" t="n">
        <v>9438409</v>
      </c>
      <c r="H65" s="85" t="n">
        <v>0.86</v>
      </c>
    </row>
    <row r="66" customFormat="false" ht="15" hidden="false" customHeight="true" outlineLevel="0" collapsed="false">
      <c r="A66" s="83" t="s">
        <v>674</v>
      </c>
      <c r="B66" s="83" t="s">
        <v>671</v>
      </c>
      <c r="C66" s="83" t="s">
        <v>575</v>
      </c>
      <c r="D66" s="83" t="s">
        <v>672</v>
      </c>
      <c r="E66" s="83" t="s">
        <v>673</v>
      </c>
      <c r="F66" s="84" t="n">
        <v>642334</v>
      </c>
      <c r="G66" s="84" t="n">
        <v>9438263</v>
      </c>
      <c r="H66" s="85" t="n">
        <v>15.84</v>
      </c>
    </row>
    <row r="67" customFormat="false" ht="15" hidden="false" customHeight="true" outlineLevel="0" collapsed="false">
      <c r="A67" s="83" t="s">
        <v>675</v>
      </c>
      <c r="B67" s="83" t="s">
        <v>671</v>
      </c>
      <c r="C67" s="83" t="s">
        <v>575</v>
      </c>
      <c r="D67" s="83" t="s">
        <v>672</v>
      </c>
      <c r="E67" s="83" t="s">
        <v>673</v>
      </c>
      <c r="F67" s="84" t="n">
        <v>641522</v>
      </c>
      <c r="G67" s="84" t="n">
        <v>9438064</v>
      </c>
      <c r="H67" s="85" t="n">
        <v>11.06</v>
      </c>
    </row>
    <row r="68" customFormat="false" ht="15" hidden="false" customHeight="true" outlineLevel="0" collapsed="false">
      <c r="A68" s="83" t="s">
        <v>676</v>
      </c>
      <c r="B68" s="83" t="s">
        <v>671</v>
      </c>
      <c r="C68" s="83" t="s">
        <v>575</v>
      </c>
      <c r="D68" s="83" t="s">
        <v>672</v>
      </c>
      <c r="E68" s="83" t="s">
        <v>673</v>
      </c>
      <c r="F68" s="84" t="n">
        <v>639496</v>
      </c>
      <c r="G68" s="84" t="n">
        <v>9433679</v>
      </c>
      <c r="H68" s="85" t="n">
        <v>5.75</v>
      </c>
    </row>
    <row r="69" customFormat="false" ht="15" hidden="false" customHeight="true" outlineLevel="0" collapsed="false">
      <c r="A69" s="83" t="s">
        <v>677</v>
      </c>
      <c r="B69" s="83" t="s">
        <v>671</v>
      </c>
      <c r="C69" s="83" t="s">
        <v>575</v>
      </c>
      <c r="D69" s="83" t="s">
        <v>672</v>
      </c>
      <c r="E69" s="83" t="s">
        <v>673</v>
      </c>
      <c r="F69" s="84" t="n">
        <v>638751</v>
      </c>
      <c r="G69" s="84" t="n">
        <v>9433236</v>
      </c>
      <c r="H69" s="85" t="n">
        <v>18.87</v>
      </c>
    </row>
    <row r="70" customFormat="false" ht="15" hidden="false" customHeight="true" outlineLevel="0" collapsed="false">
      <c r="A70" s="83" t="s">
        <v>678</v>
      </c>
      <c r="B70" s="83" t="s">
        <v>671</v>
      </c>
      <c r="C70" s="83" t="s">
        <v>575</v>
      </c>
      <c r="D70" s="83" t="s">
        <v>672</v>
      </c>
      <c r="E70" s="83" t="s">
        <v>673</v>
      </c>
      <c r="F70" s="84" t="n">
        <v>636249</v>
      </c>
      <c r="G70" s="84" t="n">
        <v>9425665</v>
      </c>
      <c r="H70" s="85" t="n">
        <v>90.2</v>
      </c>
    </row>
    <row r="71" customFormat="false" ht="15" hidden="false" customHeight="true" outlineLevel="0" collapsed="false">
      <c r="A71" s="83" t="s">
        <v>679</v>
      </c>
      <c r="B71" s="83" t="s">
        <v>671</v>
      </c>
      <c r="C71" s="83" t="s">
        <v>575</v>
      </c>
      <c r="D71" s="83" t="s">
        <v>672</v>
      </c>
      <c r="E71" s="83" t="s">
        <v>673</v>
      </c>
      <c r="F71" s="84" t="n">
        <v>634061</v>
      </c>
      <c r="G71" s="84" t="n">
        <v>9426778</v>
      </c>
      <c r="H71" s="85" t="n">
        <v>58.29</v>
      </c>
    </row>
    <row r="72" customFormat="false" ht="15" hidden="false" customHeight="true" outlineLevel="0" collapsed="false">
      <c r="A72" s="83" t="s">
        <v>680</v>
      </c>
      <c r="B72" s="83" t="s">
        <v>671</v>
      </c>
      <c r="C72" s="83" t="s">
        <v>575</v>
      </c>
      <c r="D72" s="83" t="s">
        <v>672</v>
      </c>
      <c r="E72" s="83" t="s">
        <v>673</v>
      </c>
      <c r="F72" s="84" t="n">
        <v>626078</v>
      </c>
      <c r="G72" s="84" t="n">
        <v>9427110</v>
      </c>
      <c r="H72" s="85" t="n">
        <v>283.43</v>
      </c>
    </row>
    <row r="73" customFormat="false" ht="15" hidden="false" customHeight="true" outlineLevel="0" collapsed="false">
      <c r="A73" s="83" t="s">
        <v>681</v>
      </c>
      <c r="B73" s="83" t="s">
        <v>682</v>
      </c>
      <c r="C73" s="83" t="s">
        <v>683</v>
      </c>
      <c r="D73" s="83" t="s">
        <v>684</v>
      </c>
      <c r="E73" s="83" t="s">
        <v>685</v>
      </c>
      <c r="F73" s="84" t="n">
        <v>646466</v>
      </c>
      <c r="G73" s="84" t="n">
        <v>9431126</v>
      </c>
      <c r="H73" s="85" t="n">
        <v>29.68</v>
      </c>
    </row>
    <row r="74" customFormat="false" ht="15" hidden="false" customHeight="true" outlineLevel="0" collapsed="false">
      <c r="A74" s="83" t="s">
        <v>686</v>
      </c>
      <c r="B74" s="83" t="s">
        <v>682</v>
      </c>
      <c r="C74" s="83" t="s">
        <v>683</v>
      </c>
      <c r="D74" s="83" t="s">
        <v>684</v>
      </c>
      <c r="E74" s="83" t="s">
        <v>685</v>
      </c>
      <c r="F74" s="84" t="n">
        <v>647123</v>
      </c>
      <c r="G74" s="84" t="n">
        <v>9427602</v>
      </c>
      <c r="H74" s="85" t="n">
        <v>44.2</v>
      </c>
    </row>
    <row r="75" customFormat="false" ht="15" hidden="false" customHeight="true" outlineLevel="0" collapsed="false">
      <c r="A75" s="83" t="s">
        <v>687</v>
      </c>
      <c r="B75" s="83" t="s">
        <v>682</v>
      </c>
      <c r="C75" s="83" t="s">
        <v>683</v>
      </c>
      <c r="D75" s="83" t="s">
        <v>684</v>
      </c>
      <c r="E75" s="83" t="s">
        <v>685</v>
      </c>
      <c r="F75" s="84" t="n">
        <v>647350</v>
      </c>
      <c r="G75" s="84" t="n">
        <v>9427252</v>
      </c>
      <c r="H75" s="85" t="n">
        <v>19.27</v>
      </c>
    </row>
    <row r="76" customFormat="false" ht="15" hidden="false" customHeight="true" outlineLevel="0" collapsed="false">
      <c r="A76" s="83" t="s">
        <v>688</v>
      </c>
      <c r="B76" s="83" t="s">
        <v>682</v>
      </c>
      <c r="C76" s="83" t="s">
        <v>683</v>
      </c>
      <c r="D76" s="83" t="s">
        <v>684</v>
      </c>
      <c r="E76" s="83" t="s">
        <v>685</v>
      </c>
      <c r="F76" s="84" t="n">
        <v>646483</v>
      </c>
      <c r="G76" s="84" t="n">
        <v>9426305</v>
      </c>
      <c r="H76" s="85" t="n">
        <v>28.45</v>
      </c>
    </row>
    <row r="77" customFormat="false" ht="15" hidden="false" customHeight="true" outlineLevel="0" collapsed="false">
      <c r="A77" s="83" t="s">
        <v>689</v>
      </c>
      <c r="B77" s="83" t="s">
        <v>682</v>
      </c>
      <c r="C77" s="83" t="s">
        <v>683</v>
      </c>
      <c r="D77" s="83" t="s">
        <v>684</v>
      </c>
      <c r="E77" s="83" t="s">
        <v>685</v>
      </c>
      <c r="F77" s="84" t="n">
        <v>646236</v>
      </c>
      <c r="G77" s="84" t="n">
        <v>9425052</v>
      </c>
      <c r="H77" s="85" t="n">
        <v>26.83</v>
      </c>
    </row>
    <row r="78" customFormat="false" ht="15" hidden="false" customHeight="true" outlineLevel="0" collapsed="false">
      <c r="A78" s="83" t="s">
        <v>690</v>
      </c>
      <c r="B78" s="83" t="s">
        <v>691</v>
      </c>
      <c r="C78" s="83" t="s">
        <v>683</v>
      </c>
      <c r="D78" s="83" t="s">
        <v>684</v>
      </c>
      <c r="E78" s="83" t="s">
        <v>685</v>
      </c>
      <c r="F78" s="84" t="n">
        <v>649081</v>
      </c>
      <c r="G78" s="84" t="n">
        <v>9424506</v>
      </c>
      <c r="H78" s="85" t="n">
        <v>35.49</v>
      </c>
    </row>
    <row r="79" customFormat="false" ht="15" hidden="false" customHeight="true" outlineLevel="0" collapsed="false">
      <c r="A79" s="83" t="s">
        <v>692</v>
      </c>
      <c r="B79" s="83" t="s">
        <v>691</v>
      </c>
      <c r="C79" s="83" t="s">
        <v>683</v>
      </c>
      <c r="D79" s="83" t="s">
        <v>684</v>
      </c>
      <c r="E79" s="83" t="s">
        <v>685</v>
      </c>
      <c r="F79" s="84" t="n">
        <v>649472</v>
      </c>
      <c r="G79" s="84" t="n">
        <v>9425705</v>
      </c>
      <c r="H79" s="85" t="n">
        <v>46.96</v>
      </c>
    </row>
    <row r="80" customFormat="false" ht="15" hidden="false" customHeight="true" outlineLevel="0" collapsed="false">
      <c r="A80" s="83" t="s">
        <v>693</v>
      </c>
      <c r="B80" s="83" t="s">
        <v>691</v>
      </c>
      <c r="C80" s="83" t="s">
        <v>683</v>
      </c>
      <c r="D80" s="83" t="s">
        <v>683</v>
      </c>
      <c r="E80" s="83" t="s">
        <v>694</v>
      </c>
      <c r="F80" s="84" t="n">
        <v>657819</v>
      </c>
      <c r="G80" s="84" t="n">
        <v>9428541</v>
      </c>
      <c r="H80" s="85" t="n">
        <v>35.77</v>
      </c>
    </row>
    <row r="81" customFormat="false" ht="21.75" hidden="false" customHeight="true" outlineLevel="0" collapsed="false">
      <c r="A81" s="83" t="s">
        <v>695</v>
      </c>
      <c r="B81" s="83" t="s">
        <v>696</v>
      </c>
      <c r="C81" s="83" t="s">
        <v>683</v>
      </c>
      <c r="D81" s="83" t="s">
        <v>683</v>
      </c>
      <c r="E81" s="83" t="s">
        <v>694</v>
      </c>
      <c r="F81" s="84" t="n">
        <v>656897</v>
      </c>
      <c r="G81" s="84" t="n">
        <v>9426033</v>
      </c>
      <c r="H81" s="85" t="n">
        <v>40.26</v>
      </c>
    </row>
    <row r="82" customFormat="false" ht="15" hidden="false" customHeight="true" outlineLevel="0" collapsed="false">
      <c r="A82" s="83" t="s">
        <v>697</v>
      </c>
      <c r="B82" s="83" t="s">
        <v>691</v>
      </c>
      <c r="C82" s="83" t="s">
        <v>683</v>
      </c>
      <c r="D82" s="83" t="s">
        <v>683</v>
      </c>
      <c r="E82" s="83" t="s">
        <v>694</v>
      </c>
      <c r="F82" s="84" t="n">
        <v>655263</v>
      </c>
      <c r="G82" s="84" t="n">
        <v>9427340</v>
      </c>
      <c r="H82" s="85" t="n">
        <v>90.9</v>
      </c>
    </row>
    <row r="83" customFormat="false" ht="15" hidden="false" customHeight="true" outlineLevel="0" collapsed="false">
      <c r="A83" s="83" t="s">
        <v>698</v>
      </c>
      <c r="B83" s="83" t="s">
        <v>691</v>
      </c>
      <c r="C83" s="83" t="s">
        <v>683</v>
      </c>
      <c r="D83" s="83" t="s">
        <v>699</v>
      </c>
      <c r="E83" s="83" t="s">
        <v>694</v>
      </c>
      <c r="F83" s="84" t="n">
        <v>653850</v>
      </c>
      <c r="G83" s="84" t="n">
        <v>9426236</v>
      </c>
      <c r="H83" s="85" t="n">
        <v>40.13</v>
      </c>
    </row>
    <row r="84" customFormat="false" ht="15" hidden="false" customHeight="true" outlineLevel="0" collapsed="false">
      <c r="A84" s="83" t="s">
        <v>700</v>
      </c>
      <c r="B84" s="83" t="s">
        <v>691</v>
      </c>
      <c r="C84" s="83" t="s">
        <v>683</v>
      </c>
      <c r="D84" s="83" t="s">
        <v>699</v>
      </c>
      <c r="E84" s="83" t="s">
        <v>694</v>
      </c>
      <c r="F84" s="84" t="n">
        <v>654137</v>
      </c>
      <c r="G84" s="84" t="n">
        <v>9424425</v>
      </c>
      <c r="H84" s="85" t="n">
        <v>28.52</v>
      </c>
    </row>
    <row r="85" customFormat="false" ht="15" hidden="false" customHeight="true" outlineLevel="0" collapsed="false">
      <c r="A85" s="83" t="s">
        <v>701</v>
      </c>
      <c r="B85" s="83" t="s">
        <v>691</v>
      </c>
      <c r="C85" s="83" t="s">
        <v>683</v>
      </c>
      <c r="D85" s="83" t="s">
        <v>699</v>
      </c>
      <c r="E85" s="83" t="s">
        <v>694</v>
      </c>
      <c r="F85" s="84" t="n">
        <v>652758</v>
      </c>
      <c r="G85" s="84" t="n">
        <v>9424380</v>
      </c>
      <c r="H85" s="85" t="n">
        <v>34.87</v>
      </c>
    </row>
    <row r="86" customFormat="false" ht="15" hidden="false" customHeight="true" outlineLevel="0" collapsed="false">
      <c r="A86" s="83" t="s">
        <v>702</v>
      </c>
      <c r="B86" s="83" t="s">
        <v>691</v>
      </c>
      <c r="C86" s="83" t="s">
        <v>683</v>
      </c>
      <c r="D86" s="83" t="s">
        <v>699</v>
      </c>
      <c r="E86" s="83" t="s">
        <v>694</v>
      </c>
      <c r="F86" s="84" t="n">
        <v>654188</v>
      </c>
      <c r="G86" s="84" t="n">
        <v>9422849</v>
      </c>
      <c r="H86" s="85" t="n">
        <v>52.97</v>
      </c>
    </row>
    <row r="87" customFormat="false" ht="15" hidden="false" customHeight="true" outlineLevel="0" collapsed="false">
      <c r="A87" s="83" t="s">
        <v>703</v>
      </c>
      <c r="B87" s="83" t="s">
        <v>691</v>
      </c>
      <c r="C87" s="83" t="s">
        <v>683</v>
      </c>
      <c r="D87" s="83" t="s">
        <v>699</v>
      </c>
      <c r="E87" s="83" t="s">
        <v>694</v>
      </c>
      <c r="F87" s="84" t="n">
        <v>655046</v>
      </c>
      <c r="G87" s="84" t="n">
        <v>9420450</v>
      </c>
      <c r="H87" s="85" t="n">
        <v>73.82</v>
      </c>
    </row>
    <row r="88" customFormat="false" ht="21.75" hidden="false" customHeight="true" outlineLevel="0" collapsed="false">
      <c r="A88" s="83" t="s">
        <v>704</v>
      </c>
      <c r="B88" s="83" t="s">
        <v>696</v>
      </c>
      <c r="C88" s="83" t="s">
        <v>683</v>
      </c>
      <c r="D88" s="83" t="s">
        <v>699</v>
      </c>
      <c r="E88" s="83" t="s">
        <v>694</v>
      </c>
      <c r="F88" s="84" t="n">
        <v>657541</v>
      </c>
      <c r="G88" s="84" t="n">
        <v>9421083</v>
      </c>
      <c r="H88" s="85" t="n">
        <v>53.93</v>
      </c>
    </row>
    <row r="89" customFormat="false" ht="15" hidden="false" customHeight="true" outlineLevel="0" collapsed="false">
      <c r="A89" s="83" t="s">
        <v>705</v>
      </c>
      <c r="B89" s="83" t="s">
        <v>691</v>
      </c>
      <c r="C89" s="83" t="s">
        <v>683</v>
      </c>
      <c r="D89" s="83" t="s">
        <v>699</v>
      </c>
      <c r="E89" s="83" t="s">
        <v>694</v>
      </c>
      <c r="F89" s="84" t="n">
        <v>654604</v>
      </c>
      <c r="G89" s="84" t="n">
        <v>9417736</v>
      </c>
      <c r="H89" s="85" t="n">
        <v>84.23</v>
      </c>
    </row>
    <row r="90" customFormat="false" ht="15" hidden="false" customHeight="true" outlineLevel="0" collapsed="false">
      <c r="A90" s="83" t="s">
        <v>706</v>
      </c>
      <c r="B90" s="83" t="s">
        <v>691</v>
      </c>
      <c r="C90" s="83" t="s">
        <v>683</v>
      </c>
      <c r="D90" s="83" t="s">
        <v>699</v>
      </c>
      <c r="E90" s="83" t="s">
        <v>694</v>
      </c>
      <c r="F90" s="84" t="n">
        <v>652566</v>
      </c>
      <c r="G90" s="84" t="n">
        <v>9417311</v>
      </c>
      <c r="H90" s="85" t="n">
        <v>102.34</v>
      </c>
    </row>
    <row r="91" customFormat="false" ht="15" hidden="false" customHeight="true" outlineLevel="0" collapsed="false">
      <c r="A91" s="83" t="s">
        <v>707</v>
      </c>
      <c r="B91" s="83" t="s">
        <v>665</v>
      </c>
      <c r="C91" s="83" t="s">
        <v>683</v>
      </c>
      <c r="D91" s="83" t="s">
        <v>699</v>
      </c>
      <c r="E91" s="83" t="s">
        <v>694</v>
      </c>
      <c r="F91" s="84" t="n">
        <v>652191</v>
      </c>
      <c r="G91" s="84" t="n">
        <v>9414358</v>
      </c>
      <c r="H91" s="85" t="n">
        <v>90.16</v>
      </c>
    </row>
    <row r="92" customFormat="false" ht="15" hidden="false" customHeight="true" outlineLevel="0" collapsed="false">
      <c r="A92" s="83" t="s">
        <v>708</v>
      </c>
      <c r="B92" s="83" t="s">
        <v>665</v>
      </c>
      <c r="C92" s="83" t="s">
        <v>683</v>
      </c>
      <c r="D92" s="83" t="s">
        <v>699</v>
      </c>
      <c r="E92" s="83" t="s">
        <v>694</v>
      </c>
      <c r="F92" s="84" t="n">
        <v>655059</v>
      </c>
      <c r="G92" s="84" t="n">
        <v>9413845</v>
      </c>
      <c r="H92" s="85" t="n">
        <v>50.46</v>
      </c>
    </row>
    <row r="93" customFormat="false" ht="15" hidden="false" customHeight="true" outlineLevel="0" collapsed="false">
      <c r="A93" s="83" t="s">
        <v>709</v>
      </c>
      <c r="B93" s="83" t="s">
        <v>710</v>
      </c>
      <c r="C93" s="83" t="s">
        <v>683</v>
      </c>
      <c r="D93" s="83" t="s">
        <v>699</v>
      </c>
      <c r="E93" s="83" t="s">
        <v>694</v>
      </c>
      <c r="F93" s="84" t="n">
        <v>650305</v>
      </c>
      <c r="G93" s="84" t="n">
        <v>9402785</v>
      </c>
      <c r="H93" s="85" t="n">
        <v>94.81</v>
      </c>
    </row>
    <row r="94" customFormat="false" ht="15" hidden="false" customHeight="true" outlineLevel="0" collapsed="false">
      <c r="A94" s="83" t="s">
        <v>711</v>
      </c>
      <c r="B94" s="83" t="s">
        <v>712</v>
      </c>
      <c r="C94" s="83" t="s">
        <v>683</v>
      </c>
      <c r="D94" s="83" t="s">
        <v>699</v>
      </c>
      <c r="E94" s="83" t="s">
        <v>694</v>
      </c>
      <c r="F94" s="84" t="n">
        <v>641538</v>
      </c>
      <c r="G94" s="84" t="n">
        <v>9401360</v>
      </c>
      <c r="H94" s="85" t="n">
        <v>8.93</v>
      </c>
    </row>
    <row r="95" customFormat="false" ht="15" hidden="false" customHeight="true" outlineLevel="0" collapsed="false">
      <c r="A95" s="83" t="s">
        <v>713</v>
      </c>
      <c r="B95" s="83" t="s">
        <v>714</v>
      </c>
      <c r="C95" s="83" t="s">
        <v>683</v>
      </c>
      <c r="D95" s="83" t="s">
        <v>715</v>
      </c>
      <c r="E95" s="83" t="s">
        <v>716</v>
      </c>
      <c r="F95" s="84" t="n">
        <v>664082</v>
      </c>
      <c r="G95" s="84" t="n">
        <v>9404172</v>
      </c>
      <c r="H95" s="85" t="n">
        <v>55.17</v>
      </c>
    </row>
    <row r="96" customFormat="false" ht="15" hidden="false" customHeight="true" outlineLevel="0" collapsed="false">
      <c r="A96" s="83" t="s">
        <v>717</v>
      </c>
      <c r="B96" s="83" t="s">
        <v>714</v>
      </c>
      <c r="C96" s="83" t="s">
        <v>683</v>
      </c>
      <c r="D96" s="83" t="s">
        <v>715</v>
      </c>
      <c r="E96" s="83" t="s">
        <v>716</v>
      </c>
      <c r="F96" s="84" t="n">
        <v>663637</v>
      </c>
      <c r="G96" s="84" t="n">
        <v>9400618</v>
      </c>
      <c r="H96" s="85" t="n">
        <v>28.23</v>
      </c>
    </row>
    <row r="97" customFormat="false" ht="15" hidden="false" customHeight="true" outlineLevel="0" collapsed="false">
      <c r="A97" s="83" t="s">
        <v>718</v>
      </c>
      <c r="B97" s="83" t="s">
        <v>714</v>
      </c>
      <c r="C97" s="83" t="s">
        <v>683</v>
      </c>
      <c r="D97" s="83" t="s">
        <v>715</v>
      </c>
      <c r="E97" s="83" t="s">
        <v>716</v>
      </c>
      <c r="F97" s="84" t="n">
        <v>659649</v>
      </c>
      <c r="G97" s="84" t="n">
        <v>9401436</v>
      </c>
      <c r="H97" s="85" t="n">
        <v>13.55</v>
      </c>
    </row>
    <row r="98" customFormat="false" ht="15" hidden="false" customHeight="true" outlineLevel="0" collapsed="false">
      <c r="A98" s="83" t="s">
        <v>719</v>
      </c>
      <c r="B98" s="83" t="s">
        <v>710</v>
      </c>
      <c r="C98" s="83" t="s">
        <v>683</v>
      </c>
      <c r="D98" s="83" t="s">
        <v>715</v>
      </c>
      <c r="E98" s="83" t="s">
        <v>716</v>
      </c>
      <c r="F98" s="84" t="n">
        <v>657722</v>
      </c>
      <c r="G98" s="84" t="n">
        <v>9401669</v>
      </c>
      <c r="H98" s="85" t="n">
        <v>15.18</v>
      </c>
    </row>
    <row r="99" customFormat="false" ht="15" hidden="false" customHeight="true" outlineLevel="0" collapsed="false">
      <c r="A99" s="83" t="s">
        <v>720</v>
      </c>
      <c r="B99" s="83" t="s">
        <v>714</v>
      </c>
      <c r="C99" s="83" t="s">
        <v>683</v>
      </c>
      <c r="D99" s="83" t="s">
        <v>715</v>
      </c>
      <c r="E99" s="83" t="s">
        <v>716</v>
      </c>
      <c r="F99" s="84" t="n">
        <v>656578</v>
      </c>
      <c r="G99" s="84" t="n">
        <v>9397762</v>
      </c>
      <c r="H99" s="85" t="n">
        <v>109.86</v>
      </c>
    </row>
    <row r="100" customFormat="false" ht="15" hidden="false" customHeight="true" outlineLevel="0" collapsed="false">
      <c r="A100" s="83" t="s">
        <v>721</v>
      </c>
      <c r="B100" s="83" t="s">
        <v>714</v>
      </c>
      <c r="C100" s="83" t="s">
        <v>683</v>
      </c>
      <c r="D100" s="83" t="s">
        <v>715</v>
      </c>
      <c r="E100" s="83" t="s">
        <v>716</v>
      </c>
      <c r="F100" s="84" t="n">
        <v>656489</v>
      </c>
      <c r="G100" s="84" t="n">
        <v>9395403</v>
      </c>
      <c r="H100" s="85" t="n">
        <v>23.17</v>
      </c>
    </row>
    <row r="101" customFormat="false" ht="15" hidden="false" customHeight="true" outlineLevel="0" collapsed="false">
      <c r="A101" s="83" t="s">
        <v>722</v>
      </c>
      <c r="B101" s="83" t="s">
        <v>714</v>
      </c>
      <c r="C101" s="83" t="s">
        <v>683</v>
      </c>
      <c r="D101" s="83" t="s">
        <v>715</v>
      </c>
      <c r="E101" s="83" t="s">
        <v>716</v>
      </c>
      <c r="F101" s="84" t="n">
        <v>654607</v>
      </c>
      <c r="G101" s="84" t="n">
        <v>9395038</v>
      </c>
      <c r="H101" s="85" t="n">
        <v>30.8</v>
      </c>
    </row>
    <row r="102" customFormat="false" ht="15" hidden="false" customHeight="true" outlineLevel="0" collapsed="false">
      <c r="A102" s="83" t="s">
        <v>723</v>
      </c>
      <c r="B102" s="83" t="s">
        <v>714</v>
      </c>
      <c r="C102" s="83" t="s">
        <v>683</v>
      </c>
      <c r="D102" s="83" t="s">
        <v>715</v>
      </c>
      <c r="E102" s="83" t="s">
        <v>716</v>
      </c>
      <c r="F102" s="84" t="n">
        <v>654207</v>
      </c>
      <c r="G102" s="84" t="n">
        <v>9394210</v>
      </c>
      <c r="H102" s="85" t="n">
        <v>13.18</v>
      </c>
    </row>
    <row r="103" customFormat="false" ht="15" hidden="false" customHeight="true" outlineLevel="0" collapsed="false">
      <c r="A103" s="83" t="s">
        <v>724</v>
      </c>
      <c r="B103" s="83" t="s">
        <v>712</v>
      </c>
      <c r="C103" s="83" t="s">
        <v>683</v>
      </c>
      <c r="D103" s="83" t="s">
        <v>715</v>
      </c>
      <c r="E103" s="83" t="s">
        <v>716</v>
      </c>
      <c r="F103" s="84" t="n">
        <v>641196</v>
      </c>
      <c r="G103" s="84" t="n">
        <v>9398710</v>
      </c>
      <c r="H103" s="85" t="n">
        <v>279.68</v>
      </c>
    </row>
    <row r="104" customFormat="false" ht="15" hidden="false" customHeight="true" outlineLevel="0" collapsed="false">
      <c r="A104" s="83" t="s">
        <v>725</v>
      </c>
      <c r="B104" s="83" t="s">
        <v>654</v>
      </c>
      <c r="C104" s="83" t="s">
        <v>683</v>
      </c>
      <c r="D104" s="83" t="s">
        <v>715</v>
      </c>
      <c r="E104" s="83" t="s">
        <v>716</v>
      </c>
      <c r="F104" s="84" t="n">
        <v>639059</v>
      </c>
      <c r="G104" s="84" t="n">
        <v>9398295</v>
      </c>
      <c r="H104" s="85" t="n">
        <v>116.1</v>
      </c>
    </row>
    <row r="105" customFormat="false" ht="15" hidden="false" customHeight="true" outlineLevel="0" collapsed="false">
      <c r="A105" s="83" t="s">
        <v>726</v>
      </c>
      <c r="B105" s="83" t="s">
        <v>727</v>
      </c>
      <c r="C105" s="83" t="s">
        <v>683</v>
      </c>
      <c r="D105" s="83" t="s">
        <v>18</v>
      </c>
      <c r="E105" s="83" t="s">
        <v>728</v>
      </c>
      <c r="F105" s="84" t="n">
        <v>662123</v>
      </c>
      <c r="G105" s="84" t="n">
        <v>9397575</v>
      </c>
      <c r="H105" s="85" t="n">
        <v>40.1</v>
      </c>
    </row>
    <row r="106" customFormat="false" ht="15" hidden="false" customHeight="true" outlineLevel="0" collapsed="false">
      <c r="A106" s="83" t="s">
        <v>729</v>
      </c>
      <c r="B106" s="83" t="s">
        <v>727</v>
      </c>
      <c r="C106" s="83" t="s">
        <v>683</v>
      </c>
      <c r="D106" s="83" t="s">
        <v>18</v>
      </c>
      <c r="E106" s="83" t="s">
        <v>728</v>
      </c>
      <c r="F106" s="84" t="n">
        <v>664225</v>
      </c>
      <c r="G106" s="84" t="n">
        <v>9396339</v>
      </c>
      <c r="H106" s="85" t="n">
        <v>21.29</v>
      </c>
    </row>
    <row r="107" customFormat="false" ht="15" hidden="false" customHeight="true" outlineLevel="0" collapsed="false">
      <c r="A107" s="83" t="s">
        <v>730</v>
      </c>
      <c r="B107" s="83" t="s">
        <v>727</v>
      </c>
      <c r="C107" s="83" t="s">
        <v>683</v>
      </c>
      <c r="D107" s="83" t="s">
        <v>18</v>
      </c>
      <c r="E107" s="83" t="s">
        <v>728</v>
      </c>
      <c r="F107" s="84" t="n">
        <v>666537</v>
      </c>
      <c r="G107" s="84" t="n">
        <v>9395918</v>
      </c>
      <c r="H107" s="85" t="n">
        <v>13.06</v>
      </c>
    </row>
    <row r="108" customFormat="false" ht="15" hidden="false" customHeight="true" outlineLevel="0" collapsed="false">
      <c r="A108" s="83" t="s">
        <v>731</v>
      </c>
      <c r="B108" s="83" t="s">
        <v>727</v>
      </c>
      <c r="C108" s="83" t="s">
        <v>683</v>
      </c>
      <c r="D108" s="83" t="s">
        <v>18</v>
      </c>
      <c r="E108" s="83" t="s">
        <v>728</v>
      </c>
      <c r="F108" s="84" t="n">
        <v>666781</v>
      </c>
      <c r="G108" s="84" t="n">
        <v>9395573</v>
      </c>
      <c r="H108" s="85" t="n">
        <v>22.39</v>
      </c>
    </row>
    <row r="109" customFormat="false" ht="15" hidden="false" customHeight="true" outlineLevel="0" collapsed="false">
      <c r="A109" s="83" t="s">
        <v>732</v>
      </c>
      <c r="B109" s="83" t="s">
        <v>727</v>
      </c>
      <c r="C109" s="83" t="s">
        <v>683</v>
      </c>
      <c r="D109" s="83" t="s">
        <v>18</v>
      </c>
      <c r="E109" s="83" t="s">
        <v>728</v>
      </c>
      <c r="F109" s="84" t="n">
        <v>663334</v>
      </c>
      <c r="G109" s="84" t="n">
        <v>9392820</v>
      </c>
      <c r="H109" s="85" t="n">
        <v>47.58</v>
      </c>
    </row>
    <row r="110" customFormat="false" ht="15" hidden="false" customHeight="true" outlineLevel="0" collapsed="false">
      <c r="A110" s="83" t="s">
        <v>733</v>
      </c>
      <c r="B110" s="83" t="s">
        <v>727</v>
      </c>
      <c r="C110" s="83" t="s">
        <v>683</v>
      </c>
      <c r="D110" s="83" t="s">
        <v>18</v>
      </c>
      <c r="E110" s="83" t="s">
        <v>728</v>
      </c>
      <c r="F110" s="84" t="n">
        <v>663291</v>
      </c>
      <c r="G110" s="84" t="n">
        <v>9392332</v>
      </c>
      <c r="H110" s="85" t="n">
        <v>19.43</v>
      </c>
    </row>
    <row r="111" customFormat="false" ht="15" hidden="false" customHeight="true" outlineLevel="0" collapsed="false">
      <c r="A111" s="83" t="s">
        <v>734</v>
      </c>
      <c r="B111" s="83" t="s">
        <v>727</v>
      </c>
      <c r="C111" s="83" t="s">
        <v>683</v>
      </c>
      <c r="D111" s="83" t="s">
        <v>18</v>
      </c>
      <c r="E111" s="83" t="s">
        <v>728</v>
      </c>
      <c r="F111" s="84" t="n">
        <v>662236</v>
      </c>
      <c r="G111" s="84" t="n">
        <v>9391211</v>
      </c>
      <c r="H111" s="85" t="n">
        <v>12.4</v>
      </c>
    </row>
    <row r="112" customFormat="false" ht="15" hidden="false" customHeight="true" outlineLevel="0" collapsed="false">
      <c r="A112" s="83" t="s">
        <v>735</v>
      </c>
      <c r="B112" s="83" t="s">
        <v>727</v>
      </c>
      <c r="C112" s="83" t="s">
        <v>683</v>
      </c>
      <c r="D112" s="83" t="s">
        <v>18</v>
      </c>
      <c r="E112" s="83" t="s">
        <v>728</v>
      </c>
      <c r="F112" s="84" t="n">
        <v>660525</v>
      </c>
      <c r="G112" s="84" t="n">
        <v>9394327</v>
      </c>
      <c r="H112" s="85" t="n">
        <v>64.92</v>
      </c>
    </row>
    <row r="113" customFormat="false" ht="15" hidden="false" customHeight="true" outlineLevel="0" collapsed="false">
      <c r="A113" s="83" t="s">
        <v>736</v>
      </c>
      <c r="B113" s="83" t="s">
        <v>727</v>
      </c>
      <c r="C113" s="83" t="s">
        <v>683</v>
      </c>
      <c r="D113" s="83" t="s">
        <v>18</v>
      </c>
      <c r="E113" s="83" t="s">
        <v>728</v>
      </c>
      <c r="F113" s="84" t="n">
        <v>658547</v>
      </c>
      <c r="G113" s="84" t="n">
        <v>9395594</v>
      </c>
      <c r="H113" s="85" t="n">
        <v>54.29</v>
      </c>
    </row>
    <row r="114" customFormat="false" ht="15" hidden="false" customHeight="true" outlineLevel="0" collapsed="false">
      <c r="A114" s="83" t="s">
        <v>737</v>
      </c>
      <c r="B114" s="83" t="s">
        <v>727</v>
      </c>
      <c r="C114" s="83" t="s">
        <v>683</v>
      </c>
      <c r="D114" s="83" t="s">
        <v>18</v>
      </c>
      <c r="E114" s="83" t="s">
        <v>728</v>
      </c>
      <c r="F114" s="84" t="n">
        <v>656445</v>
      </c>
      <c r="G114" s="84" t="n">
        <v>9393180</v>
      </c>
      <c r="H114" s="85" t="n">
        <v>103.62</v>
      </c>
    </row>
    <row r="115" customFormat="false" ht="15" hidden="false" customHeight="true" outlineLevel="0" collapsed="false">
      <c r="A115" s="83" t="s">
        <v>738</v>
      </c>
      <c r="B115" s="83" t="s">
        <v>739</v>
      </c>
      <c r="C115" s="83" t="s">
        <v>683</v>
      </c>
      <c r="D115" s="83" t="s">
        <v>18</v>
      </c>
      <c r="E115" s="83" t="s">
        <v>728</v>
      </c>
      <c r="F115" s="84" t="n">
        <v>652449</v>
      </c>
      <c r="G115" s="84" t="n">
        <v>9389179</v>
      </c>
      <c r="H115" s="85" t="n">
        <v>29.23</v>
      </c>
    </row>
    <row r="116" customFormat="false" ht="15" hidden="false" customHeight="true" outlineLevel="0" collapsed="false">
      <c r="A116" s="83" t="s">
        <v>740</v>
      </c>
      <c r="B116" s="83" t="s">
        <v>739</v>
      </c>
      <c r="C116" s="83" t="s">
        <v>683</v>
      </c>
      <c r="D116" s="83" t="s">
        <v>18</v>
      </c>
      <c r="E116" s="83" t="s">
        <v>728</v>
      </c>
      <c r="F116" s="84" t="n">
        <v>644546</v>
      </c>
      <c r="G116" s="84" t="n">
        <v>9389106</v>
      </c>
      <c r="H116" s="85" t="n">
        <v>268.39</v>
      </c>
    </row>
    <row r="117" customFormat="false" ht="15" hidden="false" customHeight="true" outlineLevel="0" collapsed="false">
      <c r="A117" s="83" t="s">
        <v>741</v>
      </c>
      <c r="B117" s="83" t="s">
        <v>727</v>
      </c>
      <c r="C117" s="83" t="s">
        <v>683</v>
      </c>
      <c r="D117" s="83" t="s">
        <v>18</v>
      </c>
      <c r="E117" s="83" t="s">
        <v>728</v>
      </c>
      <c r="F117" s="84" t="n">
        <v>665942</v>
      </c>
      <c r="G117" s="84" t="n">
        <v>9391144</v>
      </c>
      <c r="H117" s="85" t="n">
        <v>82.09</v>
      </c>
    </row>
    <row r="118" customFormat="false" ht="15" hidden="false" customHeight="true" outlineLevel="0" collapsed="false">
      <c r="A118" s="83" t="s">
        <v>742</v>
      </c>
      <c r="B118" s="83" t="s">
        <v>743</v>
      </c>
      <c r="C118" s="83" t="s">
        <v>683</v>
      </c>
      <c r="D118" s="83" t="s">
        <v>18</v>
      </c>
      <c r="E118" s="83" t="s">
        <v>14</v>
      </c>
      <c r="F118" s="84" t="n">
        <v>642775</v>
      </c>
      <c r="G118" s="84" t="n">
        <v>9388574</v>
      </c>
      <c r="H118" s="85" t="n">
        <v>289.91</v>
      </c>
    </row>
    <row r="119" customFormat="false" ht="15" hidden="false" customHeight="true" outlineLevel="0" collapsed="false">
      <c r="A119" s="83" t="s">
        <v>744</v>
      </c>
      <c r="B119" s="83" t="s">
        <v>743</v>
      </c>
      <c r="C119" s="83" t="s">
        <v>683</v>
      </c>
      <c r="D119" s="83" t="s">
        <v>18</v>
      </c>
      <c r="E119" s="83" t="s">
        <v>14</v>
      </c>
      <c r="F119" s="84" t="n">
        <v>643474</v>
      </c>
      <c r="G119" s="84" t="n">
        <v>9385620</v>
      </c>
      <c r="H119" s="85" t="n">
        <v>234.07</v>
      </c>
    </row>
    <row r="120" customFormat="false" ht="15" hidden="false" customHeight="true" outlineLevel="0" collapsed="false">
      <c r="A120" s="83" t="s">
        <v>204</v>
      </c>
      <c r="B120" s="83" t="s">
        <v>12</v>
      </c>
      <c r="C120" s="83" t="s">
        <v>683</v>
      </c>
      <c r="D120" s="83" t="s">
        <v>18</v>
      </c>
      <c r="E120" s="83" t="s">
        <v>14</v>
      </c>
      <c r="F120" s="84" t="n">
        <v>650830</v>
      </c>
      <c r="G120" s="84" t="n">
        <v>9382303</v>
      </c>
      <c r="H120" s="85" t="n">
        <v>150.21</v>
      </c>
    </row>
    <row r="121" customFormat="false" ht="15" hidden="false" customHeight="true" outlineLevel="0" collapsed="false">
      <c r="A121" s="83" t="s">
        <v>208</v>
      </c>
      <c r="B121" s="83" t="s">
        <v>12</v>
      </c>
      <c r="C121" s="83" t="s">
        <v>683</v>
      </c>
      <c r="D121" s="83" t="s">
        <v>18</v>
      </c>
      <c r="E121" s="83" t="s">
        <v>14</v>
      </c>
      <c r="F121" s="84" t="n">
        <v>652939</v>
      </c>
      <c r="G121" s="84" t="n">
        <v>9382105</v>
      </c>
      <c r="H121" s="85" t="n">
        <v>83.33</v>
      </c>
    </row>
    <row r="122" customFormat="false" ht="15" hidden="false" customHeight="true" outlineLevel="0" collapsed="false">
      <c r="A122" s="83" t="s">
        <v>745</v>
      </c>
      <c r="B122" s="83" t="s">
        <v>739</v>
      </c>
      <c r="C122" s="83" t="s">
        <v>683</v>
      </c>
      <c r="D122" s="83" t="s">
        <v>18</v>
      </c>
      <c r="E122" s="83" t="s">
        <v>14</v>
      </c>
      <c r="F122" s="84" t="n">
        <v>656549</v>
      </c>
      <c r="G122" s="84" t="n">
        <v>9382009</v>
      </c>
      <c r="H122" s="85" t="n">
        <v>230.1</v>
      </c>
    </row>
    <row r="123" customFormat="false" ht="15" hidden="false" customHeight="true" outlineLevel="0" collapsed="false">
      <c r="A123" s="83" t="s">
        <v>214</v>
      </c>
      <c r="B123" s="83" t="s">
        <v>12</v>
      </c>
      <c r="C123" s="83" t="s">
        <v>683</v>
      </c>
      <c r="D123" s="83" t="s">
        <v>18</v>
      </c>
      <c r="E123" s="83" t="s">
        <v>14</v>
      </c>
      <c r="F123" s="84" t="n">
        <v>656291</v>
      </c>
      <c r="G123" s="84" t="n">
        <v>9379096</v>
      </c>
      <c r="H123" s="85" t="n">
        <v>22.93</v>
      </c>
    </row>
    <row r="124" customFormat="false" ht="15" hidden="false" customHeight="true" outlineLevel="0" collapsed="false">
      <c r="A124" s="83" t="s">
        <v>216</v>
      </c>
      <c r="B124" s="83" t="s">
        <v>12</v>
      </c>
      <c r="C124" s="83" t="s">
        <v>683</v>
      </c>
      <c r="D124" s="83" t="s">
        <v>18</v>
      </c>
      <c r="E124" s="83" t="s">
        <v>14</v>
      </c>
      <c r="F124" s="84" t="n">
        <v>657922</v>
      </c>
      <c r="G124" s="84" t="n">
        <v>9377477</v>
      </c>
      <c r="H124" s="85" t="n">
        <v>19.62</v>
      </c>
    </row>
    <row r="125" customFormat="false" ht="15" hidden="false" customHeight="true" outlineLevel="0" collapsed="false">
      <c r="A125" s="83" t="s">
        <v>212</v>
      </c>
      <c r="B125" s="83" t="s">
        <v>12</v>
      </c>
      <c r="C125" s="83" t="s">
        <v>683</v>
      </c>
      <c r="D125" s="83" t="s">
        <v>18</v>
      </c>
      <c r="E125" s="83" t="s">
        <v>14</v>
      </c>
      <c r="F125" s="84" t="n">
        <v>657160</v>
      </c>
      <c r="G125" s="84" t="n">
        <v>9373050</v>
      </c>
      <c r="H125" s="85" t="n">
        <v>28.83</v>
      </c>
    </row>
    <row r="126" customFormat="false" ht="15" hidden="false" customHeight="true" outlineLevel="0" collapsed="false">
      <c r="A126" s="83" t="s">
        <v>8</v>
      </c>
      <c r="B126" s="83" t="s">
        <v>12</v>
      </c>
      <c r="C126" s="83" t="s">
        <v>683</v>
      </c>
      <c r="D126" s="83" t="s">
        <v>18</v>
      </c>
      <c r="E126" s="83" t="s">
        <v>14</v>
      </c>
      <c r="F126" s="84" t="n">
        <v>652104</v>
      </c>
      <c r="G126" s="84" t="n">
        <v>9373045</v>
      </c>
      <c r="H126" s="85" t="n">
        <v>10.67</v>
      </c>
    </row>
    <row r="127" customFormat="false" ht="15" hidden="false" customHeight="true" outlineLevel="0" collapsed="false">
      <c r="A127" s="83" t="s">
        <v>206</v>
      </c>
      <c r="B127" s="83" t="s">
        <v>12</v>
      </c>
      <c r="C127" s="83" t="s">
        <v>683</v>
      </c>
      <c r="D127" s="83" t="s">
        <v>18</v>
      </c>
      <c r="E127" s="83" t="s">
        <v>14</v>
      </c>
      <c r="F127" s="84" t="n">
        <v>651673</v>
      </c>
      <c r="G127" s="84" t="n">
        <v>9373383</v>
      </c>
      <c r="H127" s="85" t="n">
        <v>126.95</v>
      </c>
    </row>
    <row r="128" customFormat="false" ht="15" hidden="false" customHeight="true" outlineLevel="0" collapsed="false">
      <c r="A128" s="83" t="s">
        <v>210</v>
      </c>
      <c r="B128" s="83" t="s">
        <v>12</v>
      </c>
      <c r="C128" s="83" t="s">
        <v>683</v>
      </c>
      <c r="D128" s="83" t="s">
        <v>18</v>
      </c>
      <c r="E128" s="83" t="s">
        <v>14</v>
      </c>
      <c r="F128" s="84" t="n">
        <v>649847</v>
      </c>
      <c r="G128" s="84" t="n">
        <v>9376260</v>
      </c>
      <c r="H128" s="85"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22"/>
    <col collapsed="false" customWidth="true" hidden="false" outlineLevel="0" max="2" min="2" style="1" width="29"/>
    <col collapsed="false" customWidth="true" hidden="false" outlineLevel="0" max="4" min="3" style="1" width="22"/>
    <col collapsed="false" customWidth="true" hidden="false" outlineLevel="0" max="5" min="5" style="1" width="29"/>
    <col collapsed="false" customWidth="true" hidden="false" outlineLevel="0" max="7" min="6" style="1" width="31"/>
    <col collapsed="false" customWidth="true" hidden="false" outlineLevel="0" max="8" min="8" style="1" width="29"/>
    <col collapsed="false" customWidth="true" hidden="false" outlineLevel="0" max="9" min="9" style="1" width="38"/>
    <col collapsed="false" customWidth="true" hidden="false" outlineLevel="0" max="11" min="10" style="1" width="22"/>
    <col collapsed="false" customWidth="true" hidden="false" outlineLevel="0" max="12" min="12" style="1" width="53"/>
    <col collapsed="false" customWidth="true" hidden="false" outlineLevel="0" max="13" min="13" style="1" width="40"/>
    <col collapsed="false" customWidth="true" hidden="false" outlineLevel="0" max="14" min="14" style="1" width="31"/>
    <col collapsed="false" customWidth="true" hidden="false" outlineLevel="0" max="15" min="15" style="1" width="27"/>
    <col collapsed="false" customWidth="true" hidden="false" outlineLevel="0" max="16" min="16" style="1" width="22"/>
    <col collapsed="false" customWidth="true" hidden="false" outlineLevel="0" max="17" min="17" style="1" width="28"/>
    <col collapsed="false" customWidth="true" hidden="false" outlineLevel="0" max="18" min="18" style="1" width="22"/>
    <col collapsed="false" customWidth="true" hidden="false" outlineLevel="0" max="19" min="19" style="1" width="28"/>
    <col collapsed="false" customWidth="true" hidden="false" outlineLevel="0" max="21" min="20" style="1" width="22"/>
    <col collapsed="false" customWidth="true" hidden="false" outlineLevel="0" max="22" min="22" style="1" width="30"/>
    <col collapsed="false" customWidth="true" hidden="false" outlineLevel="0" max="23" min="23" style="1" width="34"/>
    <col collapsed="false" customWidth="true" hidden="false" outlineLevel="0" max="26" min="24" style="1" width="22"/>
    <col collapsed="false" customWidth="true" hidden="false" outlineLevel="0" max="27" min="27" style="1" width="25"/>
    <col collapsed="false" customWidth="true" hidden="false" outlineLevel="0" max="28" min="28" style="1" width="26"/>
    <col collapsed="false" customWidth="true" hidden="false" outlineLevel="0" max="29" min="29" style="1" width="22"/>
    <col collapsed="false" customWidth="true" hidden="false" outlineLevel="0" max="30" min="30" style="1" width="47"/>
    <col collapsed="false" customWidth="true" hidden="false" outlineLevel="0" max="31" min="31" style="1" width="33"/>
    <col collapsed="false" customWidth="true" hidden="false" outlineLevel="0" max="32" min="32" style="1" width="25"/>
    <col collapsed="false" customWidth="true" hidden="false" outlineLevel="0" max="37" min="33" style="1" width="22"/>
  </cols>
  <sheetData>
    <row r="1" customFormat="false" ht="15" hidden="false" customHeight="true" outlineLevel="0" collapsed="false">
      <c r="A1" s="86" t="s">
        <v>746</v>
      </c>
      <c r="B1" s="86"/>
      <c r="C1" s="86"/>
      <c r="D1" s="86"/>
      <c r="E1" s="86"/>
      <c r="F1" s="86"/>
      <c r="G1" s="86"/>
      <c r="H1" s="86"/>
    </row>
    <row r="3" customFormat="false" ht="15" hidden="false" customHeight="true" outlineLevel="0" collapsed="false">
      <c r="A3" s="72" t="s">
        <v>747</v>
      </c>
      <c r="B3" s="72" t="s">
        <v>748</v>
      </c>
      <c r="C3" s="72" t="s">
        <v>749</v>
      </c>
      <c r="D3" s="72" t="s">
        <v>750</v>
      </c>
      <c r="E3" s="72" t="s">
        <v>751</v>
      </c>
      <c r="F3" s="72" t="s">
        <v>752</v>
      </c>
      <c r="G3" s="72" t="s">
        <v>753</v>
      </c>
      <c r="H3" s="72" t="s">
        <v>754</v>
      </c>
      <c r="I3" s="72" t="s">
        <v>755</v>
      </c>
      <c r="J3" s="72" t="s">
        <v>756</v>
      </c>
      <c r="K3" s="72" t="s">
        <v>757</v>
      </c>
      <c r="L3" s="72" t="s">
        <v>758</v>
      </c>
      <c r="M3" s="72" t="s">
        <v>759</v>
      </c>
      <c r="N3" s="72" t="s">
        <v>760</v>
      </c>
      <c r="O3" s="72" t="s">
        <v>761</v>
      </c>
      <c r="P3" s="72" t="s">
        <v>762</v>
      </c>
      <c r="Q3" s="72" t="s">
        <v>763</v>
      </c>
      <c r="R3" s="72" t="s">
        <v>764</v>
      </c>
      <c r="S3" s="72" t="s">
        <v>765</v>
      </c>
      <c r="T3" s="72" t="s">
        <v>766</v>
      </c>
      <c r="U3" s="72" t="s">
        <v>767</v>
      </c>
      <c r="V3" s="72" t="s">
        <v>768</v>
      </c>
      <c r="W3" s="72" t="s">
        <v>769</v>
      </c>
      <c r="X3" s="72" t="s">
        <v>770</v>
      </c>
      <c r="Y3" s="72" t="s">
        <v>771</v>
      </c>
      <c r="Z3" s="72" t="s">
        <v>772</v>
      </c>
      <c r="AA3" s="72" t="s">
        <v>773</v>
      </c>
      <c r="AB3" s="72" t="s">
        <v>774</v>
      </c>
      <c r="AC3" s="72" t="s">
        <v>775</v>
      </c>
      <c r="AD3" s="72" t="s">
        <v>776</v>
      </c>
      <c r="AE3" s="72" t="s">
        <v>777</v>
      </c>
      <c r="AF3" s="72" t="s">
        <v>778</v>
      </c>
      <c r="AG3" s="72" t="s">
        <v>779</v>
      </c>
      <c r="AH3" s="72" t="s">
        <v>780</v>
      </c>
      <c r="AI3" s="72" t="s">
        <v>781</v>
      </c>
      <c r="AJ3" s="72" t="s">
        <v>782</v>
      </c>
      <c r="AK3" s="72" t="s">
        <v>783</v>
      </c>
    </row>
    <row r="4" customFormat="false" ht="15" hidden="false" customHeight="true" outlineLevel="0" collapsed="false">
      <c r="A4" s="83" t="s">
        <v>784</v>
      </c>
      <c r="B4" s="83" t="s">
        <v>785</v>
      </c>
      <c r="C4" s="83" t="s">
        <v>786</v>
      </c>
      <c r="D4" s="83" t="s">
        <v>787</v>
      </c>
      <c r="E4" s="83" t="s">
        <v>788</v>
      </c>
      <c r="F4" s="83" t="s">
        <v>789</v>
      </c>
      <c r="G4" s="83" t="s">
        <v>790</v>
      </c>
      <c r="H4" s="83" t="s">
        <v>791</v>
      </c>
      <c r="I4" s="83" t="s">
        <v>792</v>
      </c>
      <c r="J4" s="83" t="s">
        <v>793</v>
      </c>
      <c r="K4" s="83" t="s">
        <v>794</v>
      </c>
      <c r="L4" s="83" t="s">
        <v>795</v>
      </c>
      <c r="M4" s="83" t="s">
        <v>796</v>
      </c>
      <c r="N4" s="83" t="s">
        <v>797</v>
      </c>
      <c r="O4" s="83" t="s">
        <v>798</v>
      </c>
      <c r="P4" s="83" t="s">
        <v>360</v>
      </c>
      <c r="Q4" s="83" t="s">
        <v>799</v>
      </c>
      <c r="R4" s="83" t="s">
        <v>800</v>
      </c>
      <c r="S4" s="83" t="s">
        <v>403</v>
      </c>
      <c r="T4" s="83" t="s">
        <v>380</v>
      </c>
      <c r="U4" s="83" t="s">
        <v>801</v>
      </c>
      <c r="V4" s="83" t="s">
        <v>434</v>
      </c>
      <c r="W4" s="83" t="s">
        <v>802</v>
      </c>
      <c r="X4" s="83" t="s">
        <v>789</v>
      </c>
      <c r="Y4" s="83" t="s">
        <v>508</v>
      </c>
      <c r="Z4" s="83" t="s">
        <v>803</v>
      </c>
      <c r="AA4" s="83" t="s">
        <v>804</v>
      </c>
      <c r="AB4" s="83" t="s">
        <v>805</v>
      </c>
      <c r="AC4" s="83" t="s">
        <v>529</v>
      </c>
      <c r="AD4" s="83" t="s">
        <v>806</v>
      </c>
      <c r="AE4" s="83" t="s">
        <v>548</v>
      </c>
      <c r="AF4" s="83" t="s">
        <v>807</v>
      </c>
      <c r="AG4" s="83" t="s">
        <v>508</v>
      </c>
      <c r="AH4" s="83" t="s">
        <v>808</v>
      </c>
      <c r="AI4" s="83" t="s">
        <v>809</v>
      </c>
      <c r="AJ4" s="83" t="s">
        <v>281</v>
      </c>
      <c r="AK4" s="83" t="s">
        <v>281</v>
      </c>
    </row>
    <row r="5" customFormat="false" ht="15" hidden="false" customHeight="true" outlineLevel="0" collapsed="false">
      <c r="A5" s="83" t="s">
        <v>810</v>
      </c>
      <c r="B5" s="83" t="s">
        <v>811</v>
      </c>
      <c r="C5" s="83" t="s">
        <v>812</v>
      </c>
      <c r="D5" s="83" t="s">
        <v>813</v>
      </c>
      <c r="E5" s="83" t="s">
        <v>814</v>
      </c>
      <c r="F5" s="83" t="s">
        <v>815</v>
      </c>
      <c r="G5" s="83" t="s">
        <v>816</v>
      </c>
      <c r="H5" s="83" t="s">
        <v>817</v>
      </c>
      <c r="I5" s="83" t="s">
        <v>818</v>
      </c>
      <c r="J5" s="83" t="s">
        <v>819</v>
      </c>
      <c r="K5" s="83" t="s">
        <v>329</v>
      </c>
      <c r="L5" s="83" t="s">
        <v>820</v>
      </c>
      <c r="M5" s="83" t="s">
        <v>821</v>
      </c>
      <c r="N5" s="83" t="s">
        <v>822</v>
      </c>
      <c r="O5" s="83" t="s">
        <v>823</v>
      </c>
      <c r="P5" s="83" t="s">
        <v>824</v>
      </c>
      <c r="Q5" s="83" t="s">
        <v>363</v>
      </c>
      <c r="R5" s="83" t="s">
        <v>825</v>
      </c>
      <c r="S5" s="83" t="s">
        <v>386</v>
      </c>
      <c r="T5" s="83" t="s">
        <v>826</v>
      </c>
      <c r="U5" s="83" t="s">
        <v>827</v>
      </c>
      <c r="V5" s="83" t="s">
        <v>427</v>
      </c>
      <c r="W5" s="83" t="s">
        <v>828</v>
      </c>
      <c r="X5" s="83" t="s">
        <v>458</v>
      </c>
      <c r="Y5" s="83" t="s">
        <v>554</v>
      </c>
      <c r="Z5" s="83" t="s">
        <v>829</v>
      </c>
      <c r="AA5" s="83" t="s">
        <v>516</v>
      </c>
      <c r="AB5" s="83" t="s">
        <v>830</v>
      </c>
      <c r="AC5" s="83" t="s">
        <v>534</v>
      </c>
      <c r="AD5" s="83" t="s">
        <v>831</v>
      </c>
      <c r="AE5" s="83" t="s">
        <v>832</v>
      </c>
      <c r="AF5" s="83" t="s">
        <v>833</v>
      </c>
      <c r="AG5" s="83" t="s">
        <v>554</v>
      </c>
      <c r="AH5" s="83" t="s">
        <v>834</v>
      </c>
      <c r="AI5" s="83" t="s">
        <v>835</v>
      </c>
      <c r="AJ5" s="83" t="s">
        <v>165</v>
      </c>
      <c r="AK5" s="83" t="s">
        <v>165</v>
      </c>
    </row>
    <row r="6" customFormat="false" ht="15" hidden="false" customHeight="true" outlineLevel="0" collapsed="false">
      <c r="A6" s="83" t="s">
        <v>836</v>
      </c>
      <c r="B6" s="83" t="s">
        <v>837</v>
      </c>
      <c r="C6" s="83" t="s">
        <v>51</v>
      </c>
      <c r="D6" s="83" t="s">
        <v>838</v>
      </c>
      <c r="E6" s="83" t="s">
        <v>43</v>
      </c>
      <c r="F6" s="83" t="s">
        <v>303</v>
      </c>
      <c r="G6" s="83" t="s">
        <v>839</v>
      </c>
      <c r="H6" s="83" t="s">
        <v>840</v>
      </c>
      <c r="I6" s="83" t="s">
        <v>841</v>
      </c>
      <c r="J6" s="83" t="s">
        <v>326</v>
      </c>
      <c r="K6" s="83" t="s">
        <v>842</v>
      </c>
      <c r="L6" s="83" t="s">
        <v>344</v>
      </c>
      <c r="M6" s="83" t="s">
        <v>843</v>
      </c>
      <c r="N6" s="83" t="s">
        <v>844</v>
      </c>
      <c r="O6" s="83" t="s">
        <v>845</v>
      </c>
      <c r="P6" s="83" t="s">
        <v>846</v>
      </c>
      <c r="Q6" s="83" t="s">
        <v>847</v>
      </c>
      <c r="R6" s="83" t="s">
        <v>848</v>
      </c>
      <c r="S6" s="83" t="s">
        <v>391</v>
      </c>
      <c r="T6" s="83" t="s">
        <v>399</v>
      </c>
      <c r="U6" s="83" t="s">
        <v>381</v>
      </c>
      <c r="V6" s="83" t="s">
        <v>849</v>
      </c>
      <c r="W6" s="83" t="s">
        <v>850</v>
      </c>
      <c r="X6" s="83" t="s">
        <v>454</v>
      </c>
      <c r="Y6" s="83" t="s">
        <v>556</v>
      </c>
      <c r="Z6" s="83" t="s">
        <v>454</v>
      </c>
      <c r="AA6" s="83" t="s">
        <v>851</v>
      </c>
      <c r="AB6" s="83" t="s">
        <v>533</v>
      </c>
      <c r="AC6" s="83" t="s">
        <v>852</v>
      </c>
      <c r="AD6" s="83" t="s">
        <v>853</v>
      </c>
      <c r="AE6" s="83" t="s">
        <v>854</v>
      </c>
      <c r="AF6" s="83" t="s">
        <v>855</v>
      </c>
      <c r="AG6" s="83" t="s">
        <v>556</v>
      </c>
      <c r="AH6" s="83" t="s">
        <v>852</v>
      </c>
      <c r="AI6" s="83" t="s">
        <v>856</v>
      </c>
      <c r="AK6" s="83" t="s">
        <v>431</v>
      </c>
    </row>
    <row r="7" customFormat="false" ht="15" hidden="false" customHeight="true" outlineLevel="0" collapsed="false">
      <c r="A7" s="83" t="s">
        <v>49</v>
      </c>
      <c r="B7" s="83" t="s">
        <v>273</v>
      </c>
      <c r="C7" s="83" t="s">
        <v>857</v>
      </c>
      <c r="D7" s="83" t="s">
        <v>858</v>
      </c>
      <c r="E7" s="83" t="s">
        <v>859</v>
      </c>
      <c r="F7" s="83" t="s">
        <v>860</v>
      </c>
      <c r="G7" s="83" t="s">
        <v>861</v>
      </c>
      <c r="H7" s="83" t="s">
        <v>862</v>
      </c>
      <c r="I7" s="83" t="s">
        <v>863</v>
      </c>
      <c r="J7" s="83" t="s">
        <v>864</v>
      </c>
      <c r="K7" s="83" t="s">
        <v>865</v>
      </c>
      <c r="L7" s="83" t="s">
        <v>866</v>
      </c>
      <c r="M7" s="83" t="s">
        <v>69</v>
      </c>
      <c r="N7" s="83" t="s">
        <v>867</v>
      </c>
      <c r="O7" s="83" t="s">
        <v>868</v>
      </c>
      <c r="P7" s="83" t="s">
        <v>869</v>
      </c>
      <c r="Q7" s="83" t="s">
        <v>870</v>
      </c>
      <c r="R7" s="83" t="s">
        <v>871</v>
      </c>
      <c r="S7" s="83" t="s">
        <v>379</v>
      </c>
      <c r="T7" s="83" t="s">
        <v>872</v>
      </c>
      <c r="U7" s="83" t="s">
        <v>387</v>
      </c>
      <c r="V7" s="83" t="s">
        <v>873</v>
      </c>
      <c r="W7" s="83" t="s">
        <v>874</v>
      </c>
      <c r="X7" s="83" t="s">
        <v>466</v>
      </c>
      <c r="Z7" s="83" t="s">
        <v>875</v>
      </c>
      <c r="AA7" s="83" t="s">
        <v>876</v>
      </c>
      <c r="AB7" s="83" t="s">
        <v>877</v>
      </c>
      <c r="AC7" s="83" t="s">
        <v>878</v>
      </c>
      <c r="AD7" s="83" t="s">
        <v>879</v>
      </c>
      <c r="AE7" s="83" t="s">
        <v>880</v>
      </c>
      <c r="AF7" s="83" t="s">
        <v>881</v>
      </c>
      <c r="AH7" s="83" t="s">
        <v>882</v>
      </c>
      <c r="AI7" s="83" t="s">
        <v>883</v>
      </c>
    </row>
    <row r="8" customFormat="false" ht="15" hidden="false" customHeight="true" outlineLevel="0" collapsed="false">
      <c r="A8" s="83" t="s">
        <v>884</v>
      </c>
      <c r="B8" s="83" t="s">
        <v>885</v>
      </c>
      <c r="C8" s="83" t="s">
        <v>886</v>
      </c>
      <c r="D8" s="83" t="s">
        <v>887</v>
      </c>
      <c r="E8" s="83" t="s">
        <v>888</v>
      </c>
      <c r="F8" s="83" t="s">
        <v>889</v>
      </c>
      <c r="G8" s="83" t="s">
        <v>890</v>
      </c>
      <c r="H8" s="83" t="s">
        <v>891</v>
      </c>
      <c r="I8" s="83" t="s">
        <v>892</v>
      </c>
      <c r="J8" s="83" t="s">
        <v>893</v>
      </c>
      <c r="L8" s="83" t="s">
        <v>894</v>
      </c>
      <c r="M8" s="83" t="s">
        <v>895</v>
      </c>
      <c r="N8" s="83" t="s">
        <v>896</v>
      </c>
      <c r="P8" s="83" t="s">
        <v>897</v>
      </c>
      <c r="Q8" s="83" t="s">
        <v>898</v>
      </c>
      <c r="R8" s="83" t="s">
        <v>899</v>
      </c>
      <c r="S8" s="83" t="s">
        <v>900</v>
      </c>
      <c r="U8" s="83" t="s">
        <v>392</v>
      </c>
      <c r="V8" s="83" t="s">
        <v>901</v>
      </c>
      <c r="W8" s="83" t="s">
        <v>902</v>
      </c>
      <c r="X8" s="83" t="s">
        <v>903</v>
      </c>
      <c r="Z8" s="83" t="s">
        <v>904</v>
      </c>
      <c r="AB8" s="83" t="s">
        <v>905</v>
      </c>
      <c r="AC8" s="83" t="s">
        <v>868</v>
      </c>
      <c r="AD8" s="83" t="s">
        <v>530</v>
      </c>
      <c r="AE8" s="83" t="s">
        <v>906</v>
      </c>
      <c r="AF8" s="83" t="s">
        <v>907</v>
      </c>
      <c r="AI8" s="83" t="s">
        <v>476</v>
      </c>
    </row>
    <row r="9" customFormat="false" ht="15" hidden="false" customHeight="true" outlineLevel="0" collapsed="false">
      <c r="B9" s="83" t="s">
        <v>908</v>
      </c>
      <c r="C9" s="83" t="s">
        <v>909</v>
      </c>
      <c r="D9" s="83" t="s">
        <v>910</v>
      </c>
      <c r="E9" s="83" t="s">
        <v>911</v>
      </c>
      <c r="F9" s="83" t="s">
        <v>912</v>
      </c>
      <c r="I9" s="83" t="s">
        <v>913</v>
      </c>
      <c r="L9" s="83" t="s">
        <v>914</v>
      </c>
      <c r="M9" s="83" t="s">
        <v>915</v>
      </c>
      <c r="N9" s="83" t="s">
        <v>916</v>
      </c>
      <c r="P9" s="83" t="s">
        <v>917</v>
      </c>
      <c r="R9" s="83" t="s">
        <v>918</v>
      </c>
      <c r="S9" s="83" t="s">
        <v>407</v>
      </c>
      <c r="V9" s="83" t="s">
        <v>438</v>
      </c>
      <c r="W9" s="83" t="s">
        <v>919</v>
      </c>
      <c r="AB9" s="83" t="s">
        <v>528</v>
      </c>
      <c r="AE9" s="83" t="s">
        <v>920</v>
      </c>
      <c r="AF9" s="83" t="s">
        <v>552</v>
      </c>
      <c r="AI9" s="83" t="s">
        <v>882</v>
      </c>
    </row>
    <row r="10" customFormat="false" ht="15" hidden="false" customHeight="true" outlineLevel="0" collapsed="false">
      <c r="C10" s="83" t="s">
        <v>921</v>
      </c>
      <c r="D10" s="83" t="s">
        <v>53</v>
      </c>
      <c r="E10" s="83" t="s">
        <v>922</v>
      </c>
      <c r="I10" s="83" t="s">
        <v>923</v>
      </c>
      <c r="L10" s="83" t="s">
        <v>924</v>
      </c>
      <c r="N10" s="83" t="s">
        <v>925</v>
      </c>
      <c r="R10" s="83" t="s">
        <v>926</v>
      </c>
      <c r="S10" s="83" t="s">
        <v>927</v>
      </c>
      <c r="W10" s="83" t="s">
        <v>928</v>
      </c>
      <c r="AB10" s="83" t="s">
        <v>929</v>
      </c>
      <c r="AF10" s="83" t="s">
        <v>930</v>
      </c>
    </row>
    <row r="11" customFormat="false" ht="15" hidden="false" customHeight="true" outlineLevel="0" collapsed="false">
      <c r="C11" s="83" t="s">
        <v>931</v>
      </c>
      <c r="D11" s="83" t="s">
        <v>932</v>
      </c>
      <c r="I11" s="83" t="s">
        <v>933</v>
      </c>
      <c r="L11" s="83" t="s">
        <v>934</v>
      </c>
      <c r="N11" s="83" t="s">
        <v>71</v>
      </c>
      <c r="R11" s="83" t="s">
        <v>935</v>
      </c>
      <c r="S11" s="83" t="s">
        <v>936</v>
      </c>
      <c r="W11" s="83" t="s">
        <v>937</v>
      </c>
      <c r="AB11" s="83" t="s">
        <v>938</v>
      </c>
    </row>
    <row r="12" customFormat="false" ht="15" hidden="false" customHeight="true" outlineLevel="0" collapsed="false">
      <c r="C12" s="83" t="s">
        <v>939</v>
      </c>
      <c r="D12" s="83" t="s">
        <v>940</v>
      </c>
      <c r="I12" s="83" t="s">
        <v>476</v>
      </c>
      <c r="L12" s="83" t="s">
        <v>941</v>
      </c>
      <c r="N12" s="83" t="s">
        <v>476</v>
      </c>
      <c r="R12" s="83" t="s">
        <v>942</v>
      </c>
      <c r="W12" s="83" t="s">
        <v>428</v>
      </c>
      <c r="AB12" s="83" t="s">
        <v>943</v>
      </c>
    </row>
    <row r="13" customFormat="false" ht="15" hidden="false" customHeight="true" outlineLevel="0" collapsed="false">
      <c r="L13" s="83" t="s">
        <v>944</v>
      </c>
      <c r="R13" s="83" t="s">
        <v>945</v>
      </c>
      <c r="W13" s="83" t="s">
        <v>431</v>
      </c>
      <c r="AB13" s="83" t="s">
        <v>476</v>
      </c>
    </row>
    <row r="14" customFormat="false" ht="15" hidden="false" customHeight="true" outlineLevel="0" collapsed="false">
      <c r="L14" s="83" t="s">
        <v>946</v>
      </c>
      <c r="R14" s="83" t="s">
        <v>73</v>
      </c>
    </row>
    <row r="15" customFormat="false" ht="15" hidden="false" customHeight="true" outlineLevel="0" collapsed="false">
      <c r="L15" s="83" t="s">
        <v>947</v>
      </c>
    </row>
    <row r="16" customFormat="false" ht="15" hidden="false" customHeight="true" outlineLevel="0" collapsed="false">
      <c r="L16" s="83" t="s">
        <v>476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2026-09-06T00:53:25Z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