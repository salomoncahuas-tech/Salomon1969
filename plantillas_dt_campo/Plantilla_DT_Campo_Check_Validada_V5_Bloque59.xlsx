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DIAGNOSTICO BLOQUE 59\"/>
    </mc:Choice>
  </mc:AlternateContent>
  <xr:revisionPtr revIDLastSave="0" documentId="13_ncr:1_{CAF7FFA0-BD5A-40E5-8572-53F644629138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<sst xmlns="http://schemas.openxmlformats.org/spreadsheetml/2006/main" count="1525" uniqueCount="753">
  <si>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</si>
  <si>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</si>
  <si>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</si>
  <si>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</si>
  <si>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</si>
  <si>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</si>
  <si>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</si>
  <si>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</si>
  <si>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01-07-2026</t>
  </si>
  <si>
    <t>Hora de registro</t>
  </si>
  <si>
    <t>12:27 – 12:42 h</t>
  </si>
  <si>
    <t>Brigada / Responsable *</t>
  </si>
  <si>
    <t>Ing. Héctor S. Cahuas Miller — ANIN/DIME-SESDI</t>
  </si>
  <si>
    <t>Ficha N° (correlativo)</t>
  </si>
  <si>
    <t>F-DT-01 / B59</t>
  </si>
  <si>
    <t>Código del Bloque *</t>
  </si>
  <si>
    <t>59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</si>
  <si>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</si>
  <si>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</si>
  <si>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</si>
  <si>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</si>
  <si>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</si>
  <si>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</si>
  <si>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</si>
  <si>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</si>
  <si>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Por determinar</t>
  </si>
  <si>
    <t>Centro poblado más cercano</t>
  </si>
  <si>
    <t>Guabo (6 hab., INEI)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</si>
  <si>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</si>
  <si>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</si>
  <si>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</si>
  <si>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</si>
  <si>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</si>
  <si>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</si>
  <si>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</si>
  <si>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</si>
  <si>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</si>
  <si>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Suroeste</t>
  </si>
  <si>
    <t>Rango altitudinal del bloque *</t>
  </si>
  <si>
    <t>2000-2500 m (Quechua alta)</t>
  </si>
  <si>
    <t>Paisaje dominante (descripción libre)</t>
  </si>
  <si>
    <t>Ladera montañosa disectada sobre sustrato areno-limoso poco consolidado, atravesada por vía nacional afirmada (hito PE-1NR km 120). Mosaico de relicto de bosque montano en cimas y laderas altas, pastizal cultivado con ganado vacuno y parcelas agrícolas en laderas medias-bajas, y plantaciones forestales exóticas (pino, eucalipto). Extensas superficies denudadas con escarpes y cárcavas activas en el corredor vial y en cantera de arena.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</si>
  <si>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</si>
  <si>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</si>
  <si>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</si>
  <si>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</si>
  <si>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</si>
  <si>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¿Deslizamientos antiguos observados?</t>
  </si>
  <si>
    <t>¿Remociones en masa activas? *</t>
  </si>
  <si>
    <t>OBSERVACIONES</t>
  </si>
  <si>
    <t>Fuente de datos maestros: catálogo Bloques_V5 / Bloques V4 (VLOOKUP). Centroide oficial del bloque: 631 195 E · 9 441 777 N (UTM WGS84 17S). Superficie 13.554 ha. | Rango altitudinal tomado del perfil de elevación Google Earth del recorrido (2 045 – 2 173 msnm; media 2 104 msnm); la ALTITUD GPS instrumental NO fue registrada. | Pendiente: perfil Google Earth reporta media 30,6 % y máxima 45,4 %, consistente con el rango 25-50 %. | DISCREPANCIA DOCUMENTADA: la herramienta Regla (Ruta) reporta 359,30 m planimétricos mientras el perfil de elevación reporta 418 m (longitud 3D sobre el terreno); ambos valores se conservan sin corregir. | Exposición Suroeste: JUICIO EXPERTO derivado del perfil (el terreno asciende hacia el NE); requiere confirmación con DEM. | "Reptación de suelo" se deja SIN DATO: no fue verificada en campo. | Afloramientos: sustrato areno-limoso/arenisca poco consolidada expuesta en taludes y cantera (F-01, F-12). | Remociones en masa activas: SÍ, deslizamiento sobre cerco perimétrico y escarpes frescos (F-04, F-08, F-10).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</si>
  <si>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</si>
  <si>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</si>
  <si>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</si>
  <si>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</si>
  <si>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</si>
  <si>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</si>
  <si>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</si>
  <si>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</si>
  <si>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</si>
  <si>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</si>
  <si>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</si>
  <si>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</si>
  <si>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</si>
  <si>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Severa (cárcavas activas)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</si>
  <si>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</si>
  <si>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</si>
  <si>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</si>
  <si>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</si>
  <si>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</si>
  <si>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</si>
  <si>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</si>
  <si>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</si>
  <si>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</si>
  <si>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</si>
  <si>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</si>
  <si>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</si>
  <si>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</si>
  <si>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</si>
  <si>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C-01</t>
  </si>
  <si>
    <t>Cárcava profunda (2-5 m)</t>
  </si>
  <si>
    <t>Activa</t>
  </si>
  <si>
    <t>Concentración natural de escorrentía</t>
  </si>
  <si>
    <t>F-06</t>
  </si>
  <si>
    <t>C-02</t>
  </si>
  <si>
    <t>Surco (&lt;30 cm)</t>
  </si>
  <si>
    <t>F-02</t>
  </si>
  <si>
    <t>C-03</t>
  </si>
  <si>
    <t>Cárcava somera (0.5-2 m)</t>
  </si>
  <si>
    <t>Otro</t>
  </si>
  <si>
    <t>F-10</t>
  </si>
  <si>
    <t>C-04</t>
  </si>
  <si>
    <t>Cárcava muy profunda (&gt;5 m)</t>
  </si>
  <si>
    <t>F-08</t>
  </si>
  <si>
    <t>C-05</t>
  </si>
  <si>
    <t>Cárcava incipiente (30-50 cm)</t>
  </si>
  <si>
    <t>Sobrepastoreo</t>
  </si>
  <si>
    <t>F-17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</si>
  <si>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</si>
  <si>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</si>
  <si>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</si>
  <si>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</si>
  <si>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</si>
  <si>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</si>
  <si>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</si>
  <si>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Mixto</t>
  </si>
  <si>
    <t>Presencia de socavamiento de cauce</t>
  </si>
  <si>
    <t>No</t>
  </si>
  <si>
    <t>Urgencia de control</t>
  </si>
  <si>
    <t>Alta</t>
  </si>
  <si>
    <t>Los 5 rasgos erosivos son REPRESENTATIVOS del recorrido, no un censo exhaustivo. Coordenadas tomadas del overlay GPS de las fotografías (georreferenciación de celular). Longitud, profundidad y ancho de cada rasgo, longitud total acumulada, % de bloque afectado, densidad de cárcavas/ha y erosión laminar (%) quedan POR DETERMINAR por levantamiento instrumental. | Tipologías asignadas por ESTIMACIÓN OCULAR con persona como escala (F-07, F-08); sujetas a verificación. | C-03 y C-04 codificadas con causa "Otro" = talud de corte de vía / escarpe de deslizamiento (la lista lst_CausaCarcava no contempla esas categorías). | Se registró además una CANTERA DE ARENA activa en 631 205 E · 9 441 786 N (F-12, F-13), no clasificable como cárcava pero fuente directa de aporte de sedimentos. | "Socavamiento de cauce" = No en el tramo recorrido; el cauce de la quebrada no fue inspeccionado directamente. | Urgencia "Alta": JUICIO EXPERTO; se somete a consideración la categoría "Crítica" por la presencia de remoción en masa activa sobre vía nacional.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</si>
  <si>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</si>
  <si>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</si>
  <si>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</si>
  <si>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</si>
  <si>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</si>
  <si>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Recorrido de reconocimiento (sin parcela permanente)</t>
  </si>
  <si>
    <t>Dimensiones de parcela (m × m)</t>
  </si>
  <si>
    <t>No aplica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</si>
  <si>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</si>
  <si>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</si>
  <si>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</si>
  <si>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</si>
  <si>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</si>
  <si>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</si>
  <si>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Relicto Montano V. Occidental (BMVO)</t>
  </si>
  <si>
    <t>Superficie del ecosistema en el bloque (ha)</t>
  </si>
  <si>
    <t>Estado de conservación general *</t>
  </si>
  <si>
    <t>Alterado (intervención marcada)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</si>
  <si>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</si>
  <si>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</si>
  <si>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</si>
  <si>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</si>
  <si>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</si>
  <si>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</si>
  <si>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</si>
  <si>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</si>
  <si>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</si>
  <si>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</si>
  <si>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</si>
  <si>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</si>
  <si>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Estado sanitario general del dosel *</t>
  </si>
  <si>
    <t>Sano</t>
  </si>
  <si>
    <t>Presencia de epífitas (cualitativa)</t>
  </si>
  <si>
    <t>Fenología dominante (época de visita)</t>
  </si>
  <si>
    <t>Floración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</si>
  <si>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</si>
  <si>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</si>
  <si>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</si>
  <si>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</si>
  <si>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</si>
  <si>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</si>
  <si>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</si>
  <si>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</si>
  <si>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</si>
  <si>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</si>
  <si>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</si>
  <si>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</si>
  <si>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</si>
  <si>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Palo Blanco</t>
  </si>
  <si>
    <t>Arbóreo medio (8-15 m)</t>
  </si>
  <si>
    <t>Nativa</t>
  </si>
  <si>
    <t>Ocasional (1-5%)</t>
  </si>
  <si>
    <t>Palo hoja Blanca</t>
  </si>
  <si>
    <t>Asteraceae (por confirmar)</t>
  </si>
  <si>
    <t>Asteraceae</t>
  </si>
  <si>
    <t>Arbustivo alto (1.5-4 m)</t>
  </si>
  <si>
    <t>Chin Chin</t>
  </si>
  <si>
    <t>Chirimoyo silvestre</t>
  </si>
  <si>
    <t>Annona sp.</t>
  </si>
  <si>
    <t>Annonaceae</t>
  </si>
  <si>
    <t>Arbóreo bajo (4-8 m)</t>
  </si>
  <si>
    <t>Rara (&lt;1%)</t>
  </si>
  <si>
    <t>Pacae</t>
  </si>
  <si>
    <t>Inga sp.</t>
  </si>
  <si>
    <t>Fabaceae</t>
  </si>
  <si>
    <t>Chilca</t>
  </si>
  <si>
    <t>Baccharis sp.</t>
  </si>
  <si>
    <t>Frecuente (5-20%)</t>
  </si>
  <si>
    <t>Tarwi silvestre</t>
  </si>
  <si>
    <t>Lupinus sp.</t>
  </si>
  <si>
    <t>Arbustivo bajo (0.5-1.5 m)</t>
  </si>
  <si>
    <t>Pega Pega</t>
  </si>
  <si>
    <t>Melastomatácea</t>
  </si>
  <si>
    <t>Melastomataceae (indet.)</t>
  </si>
  <si>
    <t>Melastomataceae</t>
  </si>
  <si>
    <t>Helechos</t>
  </si>
  <si>
    <t>Pteridophyta (indet.)</t>
  </si>
  <si>
    <t>Pteridophyta</t>
  </si>
  <si>
    <t>Herbáceo (&lt;0.5 m)</t>
  </si>
  <si>
    <t>Bromelias</t>
  </si>
  <si>
    <t>Bromeliaceae (indet.)</t>
  </si>
  <si>
    <t>Bromeliaceae</t>
  </si>
  <si>
    <t>Epífito</t>
  </si>
  <si>
    <t>Cactácea</t>
  </si>
  <si>
    <t>Cactaceae (indet.)</t>
  </si>
  <si>
    <t>Cactaceae</t>
  </si>
  <si>
    <t>Grevilea</t>
  </si>
  <si>
    <t>Grevillea robusta</t>
  </si>
  <si>
    <t>Proteaceae</t>
  </si>
  <si>
    <t>Arbóreo superior (&gt;15 m)</t>
  </si>
  <si>
    <t>Introducida</t>
  </si>
  <si>
    <t>Eucalipto</t>
  </si>
  <si>
    <t>Eucalyptus globulus</t>
  </si>
  <si>
    <t>Myrtaceae</t>
  </si>
  <si>
    <t>Agave</t>
  </si>
  <si>
    <t>Agave americana</t>
  </si>
  <si>
    <t>Asparagaceae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</si>
  <si>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</si>
  <si>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</si>
  <si>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</si>
  <si>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</si>
  <si>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</si>
  <si>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</si>
  <si>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</si>
  <si>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</si>
  <si>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</si>
  <si>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Pacae (Inga sp.)</t>
  </si>
  <si>
    <t>Indicadora de buen estado</t>
  </si>
  <si>
    <t>NE — No Evaluado</t>
  </si>
  <si>
    <t>Leguminosa fijadora de N; indicadora de humedad</t>
  </si>
  <si>
    <t>Chirimoyo silvestre (Annona sp.)</t>
  </si>
  <si>
    <t>Clave cultural</t>
  </si>
  <si>
    <t>Uso local; determinación por confirmar</t>
  </si>
  <si>
    <t>Tarwi silvestre (Lupinus sp.)</t>
  </si>
  <si>
    <t>Leguminosa fijadora de N</t>
  </si>
  <si>
    <t>Helechos (Pteridophyta)</t>
  </si>
  <si>
    <t>Indicador de humedad del sotobosque</t>
  </si>
  <si>
    <t>Bromeliáceas epífitas</t>
  </si>
  <si>
    <t>Indicador de humedad ambiental</t>
  </si>
  <si>
    <t>INVENTARIO FLORÍSTICO TRANSFERIDO POR ANALOGÍA del Bloque 57 (mismo distrito Chalaco; centroides separados ≈ 2,1 km), conforme a indicación del responsable. NO constituye un levantamiento florístico propio del Bloque 59: requiere verificación de campo y determinación botánica formal. | Nombres comunes ambiguos en el contexto Piura (Palo Blanco, Chin Chin, Pega Pega) se dejan como "Por determinar" en lugar de asignar binomios. | HALLAZGO NO CONTENIDO EN LA LISTA DEL BLOQUE 57: la fotografía F-15 (631 000 E · 9 441 919 N) documenta una plantación de conífera (probable Pinus sp., determinación por confirmar) en el filo del bloque; se somete a decisión del responsable su incorporación al inventario. | Coberturas (dosel 30 %, arbustiva 20 %, herbácea 15 %, suelo desnudo 20 %, cobertura vegetal total 65 %) son ESTIMACIONES OCULARES apoyadas en MSAVI 2024 (media del bloque 0,6147); no se midieron con instrumentos. | DAP, alturas, hojarasca, altitud de parcela y regeneración natural (conteo de plántulas/100 m²) NO fueron levantados. | Ecosistemas MINAM del bloque: Bosque relicto montano de vertiente occidental (Br-mvoc) 8,127 ha (60,0 %) + Zona agrícola (Agri) 5,427 ha (40,0 %) = 13,554 ha. | "Alterado (intervención marcada)": JUICIO EXPERTO; se contrasta con MSAVI medio alto (0,6147) que indica degradación localizada y no generalizada.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</si>
  <si>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</si>
  <si>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</si>
  <si>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</si>
  <si>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</si>
  <si>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</si>
  <si>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</si>
  <si>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</si>
  <si>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</si>
  <si>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</si>
  <si>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</si>
  <si>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</si>
  <si>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</si>
  <si>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≈35%</t>
  </si>
  <si>
    <t>Ganado vacuno en pastizal de ladera y pisoteo en borde de escarpe (F-17, F-16)</t>
  </si>
  <si>
    <t>Tala para leña</t>
  </si>
  <si>
    <t>Tala para leña: no se observó evidencia directa en el recorrido; por verificar</t>
  </si>
  <si>
    <t>Tala para carbón</t>
  </si>
  <si>
    <t>Tala para madera</t>
  </si>
  <si>
    <t>Quema (renovación de pastos)</t>
  </si>
  <si>
    <t>Nula</t>
  </si>
  <si>
    <t>No se observó evidencia de quema reciente</t>
  </si>
  <si>
    <t>Quema accidental / Incendio</t>
  </si>
  <si>
    <t>Cambio de uso a agricultura</t>
  </si>
  <si>
    <t>≈40%</t>
  </si>
  <si>
    <t>Zona agrícola MINAM 5,427 ha; parcelas de maíz visibles en el valle contiguo (F-03)</t>
  </si>
  <si>
    <t>Cambio de uso a pastoreo</t>
  </si>
  <si>
    <t>Pastos cultivados dominantes en laderas medias (F-05, F-16, F-17)</t>
  </si>
  <si>
    <t>Expansión urbana / vial</t>
  </si>
  <si>
    <t>Fuerte</t>
  </si>
  <si>
    <t>≈15%</t>
  </si>
  <si>
    <t>Vía nacional afirmada (hito PE-1NR km 120) atraviesa el bloque; taludes de corte inestables y material de préstamo (F-01, F-10, F-11, F-15)</t>
  </si>
  <si>
    <t>Minería informal</t>
  </si>
  <si>
    <t>Extracción de áridos (cauces)</t>
  </si>
  <si>
    <t>≈5%</t>
  </si>
  <si>
    <t>CANTERA DE ARENA activa dentro/colindante al bloque, 631 205 E · 9 441 786 N (F-12, F-13)</t>
  </si>
  <si>
    <t>Especies invasoras</t>
  </si>
  <si>
    <t>Ligera</t>
  </si>
  <si>
    <t>≈10%</t>
  </si>
  <si>
    <t>Plantaciones exóticas: pino (F-15), eucalipto (F-16); Grevilea y Agave según lista florística</t>
  </si>
  <si>
    <t>Erosión natural severa</t>
  </si>
  <si>
    <t>Muy fuerte</t>
  </si>
  <si>
    <t>≈20%</t>
  </si>
  <si>
    <t>Escarpes de deslizamiento y cárcavas activas sobre sustrato areno-limoso poco consolidado (F-04, F-06, F-08, F-13)</t>
  </si>
  <si>
    <t>Sequía prolongada / CC</t>
  </si>
  <si>
    <t>Sequía prolongada / CC: sin registro de campo; por verificar con SENAMHI</t>
  </si>
  <si>
    <t>Plagas o enfermedades forestales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</si>
  <si>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</si>
  <si>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</si>
  <si>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</si>
  <si>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</si>
  <si>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</si>
  <si>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</si>
  <si>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</si>
  <si>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</si>
  <si>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</si>
  <si>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</si>
  <si>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≈65</t>
  </si>
  <si>
    <t>MSAVI 2024 + estimación ocular</t>
  </si>
  <si>
    <t>&gt;60% bueno; 30-60% medio; &lt;30% malo</t>
  </si>
  <si>
    <t>Alto</t>
  </si>
  <si>
    <t>Porcentaje de suelo desnudo</t>
  </si>
  <si>
    <t>≈20</t>
  </si>
  <si>
    <t>Estimación ocular de campo</t>
  </si>
  <si>
    <t>&lt;10% bueno; 10-30% medio; &gt;30% malo</t>
  </si>
  <si>
    <t>Medio</t>
  </si>
  <si>
    <t>Densidad de cárcavas</t>
  </si>
  <si>
    <t>N°/ha</t>
  </si>
  <si>
    <t>No cuantificado en campo</t>
  </si>
  <si>
    <t>0 nulo; 1-3 medio; &gt;3 alto</t>
  </si>
  <si>
    <t>Presencia de especies invasoras</t>
  </si>
  <si>
    <t>% área</t>
  </si>
  <si>
    <t>≈10</t>
  </si>
  <si>
    <t>Estimación ocular (pino, eucalipto, grevilea, agave)</t>
  </si>
  <si>
    <t>&lt;5% bueno; 5-20% medio; &gt;20% alto</t>
  </si>
  <si>
    <t>Carga ganadera estimada</t>
  </si>
  <si>
    <t>UA/ha</t>
  </si>
  <si>
    <t>No cuantificada</t>
  </si>
  <si>
    <t>Según tipo de ecosistema</t>
  </si>
  <si>
    <t>Frecuencia de quemas últimos 5 años</t>
  </si>
  <si>
    <t>No registrada</t>
  </si>
  <si>
    <t>0 nulo; 1-2 medio; &gt;2 alto</t>
  </si>
  <si>
    <t>% área con pendiente &gt;50%</t>
  </si>
  <si>
    <t>Requiere análisis DEM; perfil Google Earth: pendiente máx. 45,4 %</t>
  </si>
  <si>
    <t>Factor de susceptibilidad</t>
  </si>
  <si>
    <t>Distancia a vía vecinal más cercana</t>
  </si>
  <si>
    <t>m</t>
  </si>
  <si>
    <t>0</t>
  </si>
  <si>
    <t>Vía nacional afirmada atraviesa el bloque</t>
  </si>
  <si>
    <t>A menor distancia → mayor presión</t>
  </si>
  <si>
    <t>4. SÍNTESIS DIAGNÓSTICA DE LA DEGRADACIÓN</t>
  </si>
  <si>
    <t>Principales causas directas (texto libre)</t>
  </si>
  <si>
    <t>(1) Apertura y ampliación de vía nacional afirmada sobre sustrato areno-limoso poco consolidado, con taludes de corte inestables y remoción en masa activa; (2) extracción de áridos en cantera de arena; (3) sobrepastoreo y conversión de cobertura a pastos cultivados; (4) erosión natural severa acelerada por (1) y (2).</t>
  </si>
  <si>
    <t>Principal causa subyacente (motor)</t>
  </si>
  <si>
    <t>Presión de infraestructura vial y extracción de material de préstamo sobre litología friable, sin obras de estabilización ni drenaje, combinada con economía agropecuaria de ladera sin prácticas de conservación de suelos.</t>
  </si>
  <si>
    <t>Velocidad de degradación percibida</t>
  </si>
  <si>
    <t>Rápida</t>
  </si>
  <si>
    <t>Reversibilidad técnica</t>
  </si>
  <si>
    <t>Parcialmente reversible</t>
  </si>
  <si>
    <t>Urgencia de intervención</t>
  </si>
  <si>
    <t>Extensiones (%) son ESTIMACIONES OCULARES apoyadas en la cartografía MINAM y en el mosaico fotográfico; no derivan de medición planimétrica. | Antigüedad (años) de todas las causas: POR DETERMINAR. | Densidad de cárcavas (N°/ha), carga ganadera (UA/ha), frecuencia de quemas y % de área con pendiente &gt;50 % quedan POR DETERMINAR (requieren levantamiento instrumental y análisis DEM). | "Tala para leña" y "Sequía prolongada / CC" se dejan SIN DATO en Presencia: no hubo verificación. | "Extracción de áridos (cauces)" se marca Sí aunque la cantera se ubica en ladera y no en cauce: es la categoría más próxima disponible en el formato. | Reversibilidad "Parcialmente reversible": JUICIO EXPERTO; los escarpes profundos (C-04) podrían calificar como "Difícilmente reversible" sin obras de estabilización.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</si>
  <si>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</si>
  <si>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</si>
  <si>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</si>
  <si>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</si>
  <si>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</si>
  <si>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</si>
  <si>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</si>
  <si>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</si>
  <si>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</si>
  <si>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tributaria que bordea el bloque por el O/S (cartografía Google Earth). Tipo, régimen y calidad aparente POR VERIFICAR: no fue inspeccionada en el recorrido. Coordenada aproximada.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</si>
  <si>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</si>
  <si>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</si>
  <si>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</si>
  <si>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</si>
  <si>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</si>
  <si>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</si>
  <si>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</si>
  <si>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</si>
  <si>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</si>
  <si>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</si>
  <si>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4x4 hasta el bloque</t>
  </si>
  <si>
    <t>Vía principal de acceso (PE-/PI-/trocha) *</t>
  </si>
  <si>
    <t>PE-1NR (vía nacional afirmada, hito kilométrico km 120) + trocha carrozable interna</t>
  </si>
  <si>
    <t>Tipo de vía final</t>
  </si>
  <si>
    <t>Trocha carrozable</t>
  </si>
  <si>
    <t>Estado transitabilidad — época seca</t>
  </si>
  <si>
    <t>Estado transitabilidad — época lluviosa</t>
  </si>
  <si>
    <t>Bajo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</si>
  <si>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</si>
  <si>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</si>
  <si>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</si>
  <si>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</si>
  <si>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</si>
  <si>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</si>
  <si>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</si>
  <si>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El bloque es atravesado por la vía nacional afirmada (hito PE-1NR km 120); el acceso vehicular 4x4 llega hasta el interior del bloque (F-10, F-19). | No se identificaron manantiales, captaciones poblacionales ni obras de riego en el recorrido (12:27–12:42 h del 01/07/2026). | El bloque se ubica en zona de origen y recarga de la microcuenca C1086-Q9570; la presencia de relicto de bosque montano, helechos y epífitas evidencia condiciones de humedad. Escorrentía concentrada observada en escarpes y cárcavas activas. | POR DETERMINAR: distancia a captación poblacional, nombre de JASS, tiempos de viaje desde capital distrital (Chalaco) y provincial (Chulucanas), señal y operador celular, alojamiento rural, y autorización/contacto de Ronda Campesina. | Transitabilidad en época lluviosa calificada "Bajo" por riesgo de deslizamiento activo sobre la plataforma vial.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</si>
  <si>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</si>
  <si>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</si>
  <si>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</si>
  <si>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</si>
  <si>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</si>
  <si>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</si>
  <si>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</si>
  <si>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</si>
  <si>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</si>
  <si>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</si>
  <si>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</si>
  <si>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</si>
  <si>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</si>
  <si>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</si>
  <si>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</si>
  <si>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</si>
  <si>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</si>
  <si>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</si>
  <si>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</si>
  <si>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</si>
  <si>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</si>
  <si>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</si>
  <si>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</si>
  <si>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</si>
  <si>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</si>
  <si>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</si>
  <si>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</si>
  <si>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</si>
  <si>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</si>
  <si>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</si>
  <si>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</si>
  <si>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</si>
  <si>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</si>
  <si>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</si>
  <si>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</si>
  <si>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</si>
  <si>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</si>
  <si>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</si>
  <si>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</si>
  <si>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</si>
  <si>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</si>
  <si>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</si>
  <si>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</si>
  <si>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</si>
  <si>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</si>
  <si>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</si>
  <si>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</si>
  <si>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</si>
  <si>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</si>
  <si>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</si>
  <si>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</si>
  <si>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</si>
  <si>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</si>
  <si>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</si>
  <si>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</si>
  <si>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</si>
  <si>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</si>
  <si>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</si>
  <si>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</si>
  <si>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</si>
  <si>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</si>
  <si>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</si>
  <si>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</si>
  <si>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</si>
  <si>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</si>
  <si>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</si>
  <si>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</si>
  <si>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</si>
  <si>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</si>
  <si>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</si>
  <si>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</si>
  <si>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</si>
  <si>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</si>
  <si>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</si>
  <si>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</si>
  <si>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</si>
  <si>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</si>
  <si>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</si>
  <si>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</si>
  <si>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</si>
  <si>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</si>
  <si>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</si>
  <si>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</si>
  <si>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</si>
  <si>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</si>
  <si>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</si>
  <si>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</si>
  <si>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</si>
  <si>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</si>
  <si>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</si>
  <si>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</si>
  <si>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</si>
  <si>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</si>
  <si>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</si>
  <si>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</si>
  <si>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</si>
  <si>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</si>
  <si>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</si>
  <si>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</si>
  <si>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</si>
  <si>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</si>
  <si>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</si>
  <si>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</si>
  <si>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</si>
  <si>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</si>
  <si>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</si>
  <si>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</si>
  <si>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</si>
  <si>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</si>
  <si>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</si>
  <si>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</si>
  <si>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</si>
  <si>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</si>
  <si>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</si>
  <si>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</si>
  <si>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</si>
  <si>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</si>
  <si>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</si>
  <si>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</si>
  <si>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</si>
  <si>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</si>
  <si>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</si>
  <si>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</si>
  <si>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</si>
  <si>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</si>
  <si>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</si>
  <si>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</si>
  <si>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</si>
  <si>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</si>
  <si>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</si>
  <si>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</si>
  <si>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</si>
  <si>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</si>
  <si>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</si>
  <si>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</si>
  <si>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</si>
  <si>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</si>
  <si>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</si>
  <si>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</si>
  <si>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</si>
  <si>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</si>
  <si>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</si>
  <si>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</si>
  <si>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</si>
  <si>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</si>
  <si>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</si>
  <si>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</si>
  <si>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</si>
  <si>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</si>
  <si>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</si>
  <si>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</si>
  <si>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</si>
  <si>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</si>
  <si>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</si>
  <si>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</si>
  <si>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</si>
  <si>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</si>
  <si>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</si>
  <si>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</si>
  <si>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</si>
  <si>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</si>
  <si>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</si>
  <si>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</si>
  <si>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</si>
  <si>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</si>
  <si>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</si>
  <si>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</si>
  <si>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</si>
  <si>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</si>
  <si>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</si>
  <si>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</si>
  <si>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</si>
  <si>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</si>
  <si>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</si>
  <si>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</si>
  <si>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</si>
  <si>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</si>
  <si>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</si>
  <si>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</si>
  <si>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</si>
  <si>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</si>
  <si>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</si>
  <si>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</si>
  <si>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</si>
  <si>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</si>
  <si>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</si>
  <si>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</si>
  <si>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</si>
  <si>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</si>
  <si>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</si>
  <si>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</si>
  <si>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</si>
  <si>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</si>
  <si>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</si>
  <si>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</si>
  <si>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</si>
  <si>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</si>
  <si>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</si>
  <si>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</si>
  <si>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</si>
  <si>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</si>
  <si>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</si>
  <si>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</si>
  <si>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</si>
  <si>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</si>
  <si>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</si>
  <si>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</si>
  <si>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</si>
  <si>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</si>
  <si>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</si>
  <si>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</si>
  <si>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</si>
  <si>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</si>
  <si>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</si>
  <si>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</si>
  <si>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</si>
  <si>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</si>
  <si>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</si>
  <si>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</si>
  <si>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</si>
  <si>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</si>
  <si>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</si>
  <si>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</si>
  <si>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</si>
  <si>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</si>
  <si>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</si>
  <si>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</si>
  <si>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</si>
  <si>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</si>
  <si>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</si>
  <si>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</si>
  <si>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</si>
  <si>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</si>
  <si>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</si>
  <si>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</si>
  <si>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</si>
  <si>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</si>
  <si>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</si>
  <si>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</si>
  <si>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</si>
  <si>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Vegetativo</t>
  </si>
  <si>
    <t>Bosque denso (&gt;70%)</t>
  </si>
  <si>
    <t>Dominante (&gt;40%)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</si>
  <si>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</si>
  <si>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</si>
  <si>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</si>
  <si>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</si>
  <si>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</si>
  <si>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</si>
  <si>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</si>
  <si>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</si>
  <si>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</si>
  <si>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</si>
  <si>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</si>
  <si>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</si>
  <si>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</si>
  <si>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</si>
  <si>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</si>
  <si>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Semi-activa</t>
  </si>
  <si>
    <t>Tala / pérdida de cobertura</t>
  </si>
  <si>
    <t>Paralelo</t>
  </si>
  <si>
    <t>Levemente alterado</t>
  </si>
  <si>
    <t>Forestal producción</t>
  </si>
  <si>
    <t>Regular (10-50 pl./100m²)</t>
  </si>
  <si>
    <t>Enfermo (plaga)</t>
  </si>
  <si>
    <t>Bosque ralo (30-70%)</t>
  </si>
  <si>
    <t>Endémica</t>
  </si>
  <si>
    <t>Abundante (20-40%)</t>
  </si>
  <si>
    <t>Indicadora de perturbación</t>
  </si>
  <si>
    <t>EW — Extinto en Estado Silvestre</t>
  </si>
  <si>
    <t>Quebrada permanente</t>
  </si>
  <si>
    <t>Estacional (lluvias)</t>
  </si>
  <si>
    <t>Regular (ligeramente turbia o con sedimentos)</t>
  </si>
  <si>
    <t>Vehicular + caminata &lt;30 min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</si>
  <si>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</si>
  <si>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</si>
  <si>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</si>
  <si>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</si>
  <si>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</si>
  <si>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</si>
  <si>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</si>
  <si>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Moderada (surcos)</t>
  </si>
  <si>
    <t>Estabilizada con vegetación</t>
  </si>
  <si>
    <t>Quema</t>
  </si>
  <si>
    <t>Lineal</t>
  </si>
  <si>
    <t>Media</t>
  </si>
  <si>
    <t>Bosque Estacionalmente Seco Colina/Montaña (Bes-cm)</t>
  </si>
  <si>
    <t>Medianamente alterado</t>
  </si>
  <si>
    <t>Pastoreo extensivo</t>
  </si>
  <si>
    <t>Escasa (&lt;10 pl./100m²)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</si>
  <si>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</si>
  <si>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</si>
  <si>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</si>
  <si>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</si>
  <si>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</si>
  <si>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</si>
  <si>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</si>
  <si>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</si>
  <si>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</si>
  <si>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</si>
  <si>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</si>
  <si>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</si>
  <si>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</si>
  <si>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</si>
  <si>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Fuerte (cárcavas incipientes)</t>
  </si>
  <si>
    <t>Estabilizada con obras</t>
  </si>
  <si>
    <t>Surcos de labranza en pendiente</t>
  </si>
  <si>
    <t>Aislado</t>
  </si>
  <si>
    <t>Baja</t>
  </si>
  <si>
    <t>Bosque Estacionalmente Seco Llanura (Bes-ll)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</si>
  <si>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</si>
  <si>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</si>
  <si>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</si>
  <si>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</si>
  <si>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</si>
  <si>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</si>
  <si>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</si>
  <si>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</si>
  <si>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</si>
  <si>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</si>
  <si>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</si>
  <si>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</si>
  <si>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</si>
  <si>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</si>
  <si>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</si>
  <si>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</si>
  <si>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</si>
  <si>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</si>
  <si>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</si>
  <si>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</si>
  <si>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</si>
  <si>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</si>
  <si>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Inactiva</t>
  </si>
  <si>
    <t>Caminos / huellas de ganado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</si>
  <si>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</si>
  <si>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</si>
  <si>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</si>
  <si>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</si>
  <si>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</si>
  <si>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</si>
  <si>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Amenazada (D.S. 043-2006-AG)</t>
  </si>
  <si>
    <t>VU — Vulnerable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</si>
  <si>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</si>
  <si>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</si>
  <si>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</si>
  <si>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</si>
  <si>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</si>
  <si>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</si>
  <si>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</si>
  <si>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</si>
  <si>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</si>
  <si>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</si>
  <si>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</si>
  <si>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</si>
  <si>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</si>
  <si>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</si>
  <si>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</si>
  <si>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NT — Casi Amenazado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</si>
  <si>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</si>
  <si>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</si>
  <si>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</si>
  <si>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</si>
  <si>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</si>
  <si>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</si>
  <si>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</si>
  <si>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</si>
  <si>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</si>
  <si>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LC — Preocupación Menor</t>
  </si>
  <si>
    <t>Laguna / Humedal</t>
  </si>
  <si>
    <t>Camino de herradura</t>
  </si>
  <si>
    <t>Llanura / Pampa</t>
  </si>
  <si>
    <t>Cambio de uso del suelo</t>
  </si>
  <si>
    <t>Matorral Andino subhúmedo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</si>
  <si>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</si>
  <si>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</si>
  <si>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</si>
  <si>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</si>
  <si>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</si>
  <si>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</si>
  <si>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</si>
  <si>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</si>
  <si>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</si>
  <si>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</si>
  <si>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</si>
  <si>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Agroecosistema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</si>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</sst>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 t="s">
        <v>14</v>
      </c>
      <c r="G9" s="7"/>
      <c r="H9" s="7"/>
    </row>
    <row r="10" spans="1:8" ht="19.5" customHeight="1" x14ac:dyDescent="0.3">
      <c r="A10" s="15" t="s">
        <v>15</v>
      </c>
      <c r="B10" s="7" t="s">
        <v>16</v>
      </c>
      <c r="C10" s="7"/>
      <c r="D10" s="7"/>
      <c r="E10" s="15" t="s">
        <v>17</v>
      </c>
      <c r="F10" s="6" t="str">
        <f>IFERROR(VLOOKUP($B$10,tbl_Bloques,2,FALSE()),"")</f>
        <v>C1086-Q9570</v>
      </c>
      <c r="G10" s="6"/>
      <c r="H10" s="6"/>
    </row>
    <row r="11" spans="1:8" ht="19.5" customHeight="1" x14ac:dyDescent="0.3">
      <c r="A11" s="15" t="s">
        <v>18</v>
      </c>
      <c r="B11" s="6" t="str">
        <f>IFERROR(VLOOKUP($B$10,tbl_Bloques,3,FALSE()),"")</f>
        <v>Morropon</v>
      </c>
      <c r="C11" s="6"/>
      <c r="D11" s="6"/>
      <c r="E11" s="15" t="s">
        <v>19</v>
      </c>
      <c r="F11" s="6" t="str">
        <f>IFERROR(VLOOKUP($B$10,tbl_Bloques,4,FALSE()),"")</f>
        <v>Chalaco</v>
      </c>
      <c r="G11" s="6"/>
      <c r="H11" s="6"/>
    </row>
    <row r="12" spans="1:8" ht="19.5" customHeight="1" x14ac:dyDescent="0.3">
      <c r="A12" s="15" t="s">
        <v>20</v>
      </c>
      <c r="B12" s="6" t="str">
        <f>IFERROR(VLOOKUP($B$10,tbl_Bloques,5,FALSE()),"")</f>
        <v>Z04</v>
      </c>
      <c r="C12" s="6"/>
      <c r="D12" s="6"/>
      <c r="E12" s="15" t="s">
        <v>21</v>
      </c>
      <c r="F12" s="6">
        <f>IFERROR(VLOOKUP($B$10,tbl_Bloques,8,FALSE()),"")</f>
        <v>13.55</v>
      </c>
      <c r="G12" s="6"/>
      <c r="H12" s="6"/>
    </row>
    <row r="13" spans="1:8" ht="19.5" customHeight="1" x14ac:dyDescent="0.3">
      <c r="A13" s="15" t="s">
        <v>22</v>
      </c>
      <c r="B13" s="7">
        <v>631232</v>
      </c>
      <c r="C13" s="7"/>
      <c r="D13" s="7"/>
      <c r="E13" s="15" t="s">
        <v>23</v>
      </c>
      <c r="F13" s="7">
        <v>9441709</v>
      </c>
      <c r="G13" s="7"/>
      <c r="H13" s="7"/>
    </row>
    <row r="14" spans="1:8" ht="19.5" customHeight="1" x14ac:dyDescent="0.3">
      <c r="A14" s="15" t="s">
        <v>24</v>
      </c>
      <c r="B14" s="7" t="s">
        <v>25</v>
      </c>
      <c r="C14" s="7"/>
      <c r="D14" s="7"/>
      <c r="E14" s="15" t="s">
        <v>26</v>
      </c>
      <c r="F14" s="7" t="s">
        <v>27</v>
      </c>
      <c r="G14" s="7"/>
      <c r="H14" s="7"/>
    </row>
    <row r="15" spans="1:8" ht="19.5" customHeight="1" x14ac:dyDescent="0.3">
      <c r="A15" s="15" t="s">
        <v>28</v>
      </c>
      <c r="B15" s="7" t="s">
        <v>25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29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30</v>
      </c>
      <c r="B18" s="7" t="s">
        <v>31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32</v>
      </c>
      <c r="B19" s="7" t="s">
        <v>33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34</v>
      </c>
      <c r="B20" s="7" t="s">
        <v>35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36</v>
      </c>
      <c r="B21" s="7" t="s">
        <v>37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38</v>
      </c>
      <c r="B22" s="7" t="s">
        <v>39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40</v>
      </c>
      <c r="B23" s="7" t="s">
        <v>41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42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43</v>
      </c>
      <c r="B26" s="7" t="s">
        <v>44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45</v>
      </c>
      <c r="B27" s="7" t="s">
        <v>44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46</v>
      </c>
      <c r="B28" s="7"/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47</v>
      </c>
      <c r="B29" s="7" t="s">
        <v>44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48</v>
      </c>
      <c r="B30" s="7" t="s">
        <v>44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49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50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="130" zoomScaleNormal="130" workbookViewId="0">
      <pane ySplit="6" topLeftCell="A37" activePane="bottomLeft" state="frozen"/>
      <selection pane="bottomLeft" activeCell="A42" sqref="A42:L4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54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15</v>
      </c>
      <c r="B9" s="8"/>
      <c r="C9" s="8"/>
      <c r="D9" s="7" t="s">
        <v>16</v>
      </c>
      <c r="E9" s="7"/>
      <c r="F9" s="7"/>
      <c r="G9" s="8" t="s">
        <v>55</v>
      </c>
      <c r="H9" s="8"/>
      <c r="I9" s="8"/>
      <c r="J9" s="6" t="str">
        <f>IFERROR(VLOOKUP($D$9,tbl_Bloques,2,FALSE()),"")</f>
        <v>C1086-Q9570</v>
      </c>
      <c r="K9" s="6"/>
      <c r="L9" s="6"/>
    </row>
    <row r="10" spans="1:12" ht="19.5" customHeight="1" x14ac:dyDescent="0.3">
      <c r="A10" s="8" t="s">
        <v>19</v>
      </c>
      <c r="B10" s="8"/>
      <c r="C10" s="8"/>
      <c r="D10" s="6" t="str">
        <f>IFERROR(VLOOKUP($D$9,tbl_Bloques,4,FALSE()),"")</f>
        <v>Chalaco</v>
      </c>
      <c r="E10" s="6"/>
      <c r="F10" s="6"/>
      <c r="G10" s="8" t="s">
        <v>56</v>
      </c>
      <c r="H10" s="8"/>
      <c r="I10" s="8"/>
      <c r="J10" s="7" t="s">
        <v>25</v>
      </c>
      <c r="K10" s="7"/>
      <c r="L10" s="7"/>
    </row>
    <row r="11" spans="1:12" ht="19.5" customHeight="1" x14ac:dyDescent="0.3">
      <c r="A11" s="8" t="s">
        <v>57</v>
      </c>
      <c r="B11" s="8"/>
      <c r="C11" s="8"/>
      <c r="D11" s="7">
        <v>631232</v>
      </c>
      <c r="E11" s="7"/>
      <c r="F11" s="7"/>
      <c r="G11" s="8" t="s">
        <v>58</v>
      </c>
      <c r="H11" s="8"/>
      <c r="I11" s="8"/>
      <c r="J11" s="7">
        <v>9441709</v>
      </c>
      <c r="K11" s="7"/>
      <c r="L11" s="7"/>
    </row>
    <row r="13" spans="1:12" ht="21.75" customHeight="1" x14ac:dyDescent="0.3">
      <c r="A13" s="9" t="s">
        <v>59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60</v>
      </c>
      <c r="B14" s="8"/>
      <c r="C14" s="8"/>
      <c r="D14" s="7" t="s">
        <v>44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61</v>
      </c>
      <c r="B15" s="8"/>
      <c r="C15" s="8"/>
      <c r="D15" s="7" t="s">
        <v>44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62</v>
      </c>
      <c r="B16" s="8"/>
      <c r="C16" s="8"/>
      <c r="D16" s="7" t="s">
        <v>44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63</v>
      </c>
      <c r="B17" s="8"/>
      <c r="C17" s="8"/>
      <c r="D17" s="7" t="s">
        <v>64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67</v>
      </c>
      <c r="B21" s="16" t="s">
        <v>68</v>
      </c>
      <c r="C21" s="16" t="s">
        <v>69</v>
      </c>
      <c r="D21" s="16" t="s">
        <v>70</v>
      </c>
      <c r="E21" s="16" t="s">
        <v>71</v>
      </c>
      <c r="F21" s="16" t="s">
        <v>72</v>
      </c>
      <c r="G21" s="16" t="s">
        <v>73</v>
      </c>
      <c r="H21" s="16" t="s">
        <v>74</v>
      </c>
      <c r="I21" s="16" t="s">
        <v>75</v>
      </c>
      <c r="J21" s="16" t="s">
        <v>76</v>
      </c>
      <c r="K21" s="16" t="s">
        <v>77</v>
      </c>
      <c r="L21" s="16" t="s">
        <v>78</v>
      </c>
    </row>
    <row r="22" spans="1:12" ht="19.5" customHeight="1" x14ac:dyDescent="0.3">
      <c r="A22" s="17" t="s">
        <v>79</v>
      </c>
      <c r="B22" s="17" t="s">
        <v>80</v>
      </c>
      <c r="C22" s="17">
        <v>631253</v>
      </c>
      <c r="D22" s="17">
        <v>9441731</v>
      </c>
      <c r="E22" s="17" t="s">
        <v>25</v>
      </c>
      <c r="F22" s="17" t="s">
        <v>25</v>
      </c>
      <c r="G22" s="17" t="s">
        <v>25</v>
      </c>
      <c r="H22" s="17" t="s">
        <v>25</v>
      </c>
      <c r="I22" s="17" t="s">
        <v>25</v>
      </c>
      <c r="J22" s="17" t="s">
        <v>81</v>
      </c>
      <c r="K22" s="18" t="s">
        <v>82</v>
      </c>
      <c r="L22" s="17" t="s">
        <v>83</v>
      </c>
    </row>
    <row r="23" spans="1:12" ht="19.5" customHeight="1" x14ac:dyDescent="0.3">
      <c r="A23" s="17" t="s">
        <v>84</v>
      </c>
      <c r="B23" s="17" t="s">
        <v>85</v>
      </c>
      <c r="C23" s="17">
        <v>631235</v>
      </c>
      <c r="D23" s="17">
        <v>9441625</v>
      </c>
      <c r="E23" s="17" t="s">
        <v>25</v>
      </c>
      <c r="F23" s="17" t="s">
        <v>25</v>
      </c>
      <c r="G23" s="17" t="s">
        <v>25</v>
      </c>
      <c r="H23" s="17" t="s">
        <v>25</v>
      </c>
      <c r="I23" s="17" t="s">
        <v>25</v>
      </c>
      <c r="J23" s="17" t="s">
        <v>81</v>
      </c>
      <c r="K23" s="18" t="s">
        <v>82</v>
      </c>
      <c r="L23" s="17" t="s">
        <v>86</v>
      </c>
    </row>
    <row r="24" spans="1:12" ht="19.5" customHeight="1" x14ac:dyDescent="0.3">
      <c r="A24" s="17" t="s">
        <v>87</v>
      </c>
      <c r="B24" s="17" t="s">
        <v>88</v>
      </c>
      <c r="C24" s="17">
        <v>631229</v>
      </c>
      <c r="D24" s="17">
        <v>9441787</v>
      </c>
      <c r="E24" s="17" t="s">
        <v>25</v>
      </c>
      <c r="F24" s="17" t="s">
        <v>25</v>
      </c>
      <c r="G24" s="17" t="s">
        <v>25</v>
      </c>
      <c r="H24" s="17" t="s">
        <v>25</v>
      </c>
      <c r="I24" s="17" t="s">
        <v>25</v>
      </c>
      <c r="J24" s="17" t="s">
        <v>81</v>
      </c>
      <c r="K24" s="18" t="s">
        <v>89</v>
      </c>
      <c r="L24" s="17" t="s">
        <v>90</v>
      </c>
    </row>
    <row r="25" spans="1:12" ht="19.5" customHeight="1" x14ac:dyDescent="0.3">
      <c r="A25" s="17" t="s">
        <v>91</v>
      </c>
      <c r="B25" s="17" t="s">
        <v>92</v>
      </c>
      <c r="C25" s="17">
        <v>631272</v>
      </c>
      <c r="D25" s="17">
        <v>9441758</v>
      </c>
      <c r="E25" s="17" t="s">
        <v>25</v>
      </c>
      <c r="F25" s="17" t="s">
        <v>25</v>
      </c>
      <c r="G25" s="17" t="s">
        <v>25</v>
      </c>
      <c r="H25" s="17" t="s">
        <v>25</v>
      </c>
      <c r="I25" s="17" t="s">
        <v>25</v>
      </c>
      <c r="J25" s="17" t="s">
        <v>81</v>
      </c>
      <c r="K25" s="18" t="s">
        <v>89</v>
      </c>
      <c r="L25" s="17" t="s">
        <v>93</v>
      </c>
    </row>
    <row r="26" spans="1:12" ht="19.5" customHeight="1" x14ac:dyDescent="0.3">
      <c r="A26" s="17" t="s">
        <v>94</v>
      </c>
      <c r="B26" s="17" t="s">
        <v>95</v>
      </c>
      <c r="C26" s="17">
        <v>631016</v>
      </c>
      <c r="D26" s="17">
        <v>9441897</v>
      </c>
      <c r="E26" s="17" t="s">
        <v>25</v>
      </c>
      <c r="F26" s="17" t="s">
        <v>25</v>
      </c>
      <c r="G26" s="17" t="s">
        <v>25</v>
      </c>
      <c r="H26" s="17" t="s">
        <v>25</v>
      </c>
      <c r="I26" s="17" t="s">
        <v>25</v>
      </c>
      <c r="J26" s="17" t="s">
        <v>81</v>
      </c>
      <c r="K26" s="18" t="s">
        <v>96</v>
      </c>
      <c r="L26" s="17" t="s">
        <v>97</v>
      </c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98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99</v>
      </c>
      <c r="B34" s="8"/>
      <c r="C34" s="8"/>
      <c r="D34" s="7" t="s">
        <v>64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100</v>
      </c>
      <c r="B35" s="8"/>
      <c r="C35" s="8"/>
      <c r="D35" s="7">
        <v>5</v>
      </c>
      <c r="E35" s="7"/>
      <c r="F35" s="7"/>
      <c r="G35" s="8" t="s">
        <v>101</v>
      </c>
      <c r="H35" s="8"/>
      <c r="I35" s="8"/>
      <c r="J35" s="7" t="s">
        <v>25</v>
      </c>
      <c r="K35" s="7"/>
      <c r="L35" s="7"/>
    </row>
    <row r="36" spans="1:12" ht="19.5" customHeight="1" x14ac:dyDescent="0.3">
      <c r="A36" s="8" t="s">
        <v>102</v>
      </c>
      <c r="B36" s="8"/>
      <c r="C36" s="8"/>
      <c r="D36" s="7" t="s">
        <v>25</v>
      </c>
      <c r="E36" s="7"/>
      <c r="F36" s="7"/>
      <c r="G36" s="8" t="s">
        <v>103</v>
      </c>
      <c r="H36" s="8"/>
      <c r="I36" s="8"/>
      <c r="J36" s="7" t="s">
        <v>25</v>
      </c>
      <c r="K36" s="7"/>
      <c r="L36" s="7"/>
    </row>
    <row r="37" spans="1:12" ht="19.5" customHeight="1" x14ac:dyDescent="0.3">
      <c r="A37" s="8" t="s">
        <v>104</v>
      </c>
      <c r="B37" s="8"/>
      <c r="C37" s="8"/>
      <c r="D37" s="7" t="s">
        <v>105</v>
      </c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106</v>
      </c>
      <c r="B38" s="8"/>
      <c r="C38" s="8"/>
      <c r="D38" s="7" t="s">
        <v>107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108</v>
      </c>
      <c r="B39" s="8"/>
      <c r="C39" s="8"/>
      <c r="D39" s="7" t="s">
        <v>109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49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110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47" activePane="bottomLeft" state="frozen"/>
      <selection pane="bottomLeft" activeCell="D53" sqref="D53:D57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111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112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53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113</v>
      </c>
      <c r="B8" s="8"/>
      <c r="C8" s="7" t="s">
        <v>8</v>
      </c>
      <c r="D8" s="7"/>
      <c r="E8" s="8" t="s">
        <v>54</v>
      </c>
      <c r="F8" s="8"/>
      <c r="G8" s="7" t="s">
        <v>12</v>
      </c>
      <c r="H8" s="7"/>
      <c r="I8" s="7"/>
    </row>
    <row r="9" spans="1:9" ht="19.5" customHeight="1" x14ac:dyDescent="0.3">
      <c r="A9" s="8" t="s">
        <v>15</v>
      </c>
      <c r="B9" s="8"/>
      <c r="C9" s="7" t="s">
        <v>16</v>
      </c>
      <c r="D9" s="7"/>
      <c r="E9" s="8" t="s">
        <v>114</v>
      </c>
      <c r="F9" s="8"/>
      <c r="G9" s="6" t="str">
        <f>IFERROR(VLOOKUP($C$9,tbl_Bloques,2,FALSE()),"")</f>
        <v>C1086-Q9570</v>
      </c>
      <c r="H9" s="6"/>
      <c r="I9" s="6"/>
    </row>
    <row r="10" spans="1:9" ht="19.5" customHeight="1" x14ac:dyDescent="0.3">
      <c r="A10" s="8" t="s">
        <v>19</v>
      </c>
      <c r="B10" s="8"/>
      <c r="C10" s="6" t="str">
        <f>IFERROR(VLOOKUP($C$9,tbl_Bloques,4,FALSE()),"")</f>
        <v>Chalaco</v>
      </c>
      <c r="D10" s="6"/>
      <c r="E10" s="8" t="s">
        <v>115</v>
      </c>
      <c r="F10" s="8"/>
      <c r="G10" s="7" t="s">
        <v>116</v>
      </c>
      <c r="H10" s="7"/>
      <c r="I10" s="7"/>
    </row>
    <row r="11" spans="1:9" ht="19.5" customHeight="1" x14ac:dyDescent="0.3">
      <c r="A11" s="8" t="s">
        <v>117</v>
      </c>
      <c r="B11" s="8"/>
      <c r="C11" s="7" t="s">
        <v>118</v>
      </c>
      <c r="D11" s="7"/>
      <c r="E11" s="8" t="s">
        <v>56</v>
      </c>
      <c r="F11" s="8"/>
      <c r="G11" s="7" t="s">
        <v>25</v>
      </c>
      <c r="H11" s="7"/>
      <c r="I11" s="7"/>
    </row>
    <row r="12" spans="1:9" ht="19.5" customHeight="1" x14ac:dyDescent="0.3">
      <c r="A12" s="8" t="s">
        <v>119</v>
      </c>
      <c r="B12" s="8"/>
      <c r="C12" s="7" t="s">
        <v>25</v>
      </c>
      <c r="D12" s="7"/>
      <c r="E12" s="8" t="s">
        <v>120</v>
      </c>
      <c r="F12" s="8"/>
      <c r="G12" s="7">
        <v>65</v>
      </c>
      <c r="H12" s="7"/>
      <c r="I12" s="7"/>
    </row>
    <row r="13" spans="1:9" ht="19.5" customHeight="1" x14ac:dyDescent="0.3">
      <c r="A13" s="8" t="s">
        <v>121</v>
      </c>
      <c r="B13" s="8"/>
      <c r="C13" s="7">
        <v>631232</v>
      </c>
      <c r="D13" s="7"/>
      <c r="E13" s="8" t="s">
        <v>122</v>
      </c>
      <c r="F13" s="8"/>
      <c r="G13" s="7">
        <v>9441709</v>
      </c>
      <c r="H13" s="7"/>
      <c r="I13" s="7"/>
    </row>
    <row r="15" spans="1:9" ht="21.75" customHeight="1" x14ac:dyDescent="0.3">
      <c r="A15" s="9" t="s">
        <v>123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124</v>
      </c>
      <c r="B16" s="8"/>
      <c r="C16" s="7" t="s">
        <v>125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126</v>
      </c>
      <c r="B17" s="8"/>
      <c r="C17" s="7">
        <v>8.1300000000000008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127</v>
      </c>
      <c r="B18" s="8"/>
      <c r="C18" s="7" t="s">
        <v>128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129</v>
      </c>
      <c r="B19" s="8"/>
      <c r="C19" s="7" t="s">
        <v>130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131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132</v>
      </c>
      <c r="B22" s="8"/>
      <c r="C22" s="7">
        <v>30</v>
      </c>
      <c r="D22" s="7"/>
      <c r="E22" s="8" t="s">
        <v>133</v>
      </c>
      <c r="F22" s="8"/>
      <c r="G22" s="7">
        <v>20</v>
      </c>
      <c r="H22" s="7"/>
      <c r="I22" s="7"/>
    </row>
    <row r="23" spans="1:9" ht="19.5" customHeight="1" x14ac:dyDescent="0.3">
      <c r="A23" s="8" t="s">
        <v>134</v>
      </c>
      <c r="B23" s="8"/>
      <c r="C23" s="7">
        <v>15</v>
      </c>
      <c r="D23" s="7"/>
      <c r="E23" s="8" t="s">
        <v>135</v>
      </c>
      <c r="F23" s="8"/>
      <c r="G23" s="7" t="s">
        <v>25</v>
      </c>
      <c r="H23" s="7"/>
      <c r="I23" s="7"/>
    </row>
    <row r="24" spans="1:9" ht="19.5" customHeight="1" x14ac:dyDescent="0.3">
      <c r="A24" s="8" t="s">
        <v>136</v>
      </c>
      <c r="B24" s="8"/>
      <c r="C24" s="7">
        <v>20</v>
      </c>
      <c r="D24" s="7"/>
      <c r="E24" s="8" t="s">
        <v>137</v>
      </c>
      <c r="F24" s="8"/>
      <c r="G24" s="7" t="s">
        <v>25</v>
      </c>
      <c r="H24" s="7"/>
      <c r="I24" s="7"/>
    </row>
    <row r="25" spans="1:9" ht="19.5" customHeight="1" x14ac:dyDescent="0.3">
      <c r="A25" s="8" t="s">
        <v>138</v>
      </c>
      <c r="B25" s="8"/>
      <c r="C25" s="7" t="s">
        <v>25</v>
      </c>
      <c r="D25" s="7"/>
      <c r="E25" s="8" t="s">
        <v>139</v>
      </c>
      <c r="F25" s="8"/>
      <c r="G25" s="7" t="s">
        <v>25</v>
      </c>
      <c r="H25" s="7"/>
      <c r="I25" s="7"/>
    </row>
    <row r="26" spans="1:9" ht="19.5" customHeight="1" x14ac:dyDescent="0.3">
      <c r="A26" s="8" t="s">
        <v>140</v>
      </c>
      <c r="B26" s="8"/>
      <c r="C26" s="7"/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141</v>
      </c>
      <c r="B27" s="8"/>
      <c r="C27" s="7" t="s">
        <v>142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143</v>
      </c>
      <c r="B28" s="8"/>
      <c r="C28" s="7" t="s">
        <v>44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144</v>
      </c>
      <c r="B29" s="8"/>
      <c r="C29" s="7" t="s">
        <v>145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146</v>
      </c>
      <c r="B30" s="8"/>
      <c r="C30" s="7" t="s">
        <v>147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148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149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150</v>
      </c>
      <c r="B34" s="16" t="s">
        <v>151</v>
      </c>
      <c r="C34" s="16" t="s">
        <v>152</v>
      </c>
      <c r="D34" s="16" t="s">
        <v>153</v>
      </c>
      <c r="E34" s="16" t="s">
        <v>154</v>
      </c>
      <c r="F34" s="16" t="s">
        <v>155</v>
      </c>
      <c r="G34" s="16" t="s">
        <v>156</v>
      </c>
      <c r="H34" s="16" t="s">
        <v>157</v>
      </c>
      <c r="I34" s="16" t="s">
        <v>158</v>
      </c>
    </row>
    <row r="35" spans="1:9" ht="18" customHeight="1" x14ac:dyDescent="0.3">
      <c r="A35" s="19">
        <v>1</v>
      </c>
      <c r="B35" s="18" t="s">
        <v>159</v>
      </c>
      <c r="C35" s="18" t="s">
        <v>25</v>
      </c>
      <c r="D35" s="18" t="s">
        <v>25</v>
      </c>
      <c r="E35" s="17" t="s">
        <v>160</v>
      </c>
      <c r="F35" s="17" t="s">
        <v>161</v>
      </c>
      <c r="G35" s="17" t="s">
        <v>162</v>
      </c>
      <c r="H35" s="17" t="s">
        <v>25</v>
      </c>
      <c r="I35" s="17" t="s">
        <v>25</v>
      </c>
    </row>
    <row r="36" spans="1:9" ht="18" customHeight="1" x14ac:dyDescent="0.3">
      <c r="A36" s="19">
        <v>2</v>
      </c>
      <c r="B36" s="18" t="s">
        <v>163</v>
      </c>
      <c r="C36" s="18" t="s">
        <v>164</v>
      </c>
      <c r="D36" s="18" t="s">
        <v>165</v>
      </c>
      <c r="E36" s="17" t="s">
        <v>166</v>
      </c>
      <c r="F36" s="17" t="s">
        <v>161</v>
      </c>
      <c r="G36" s="17" t="s">
        <v>162</v>
      </c>
      <c r="H36" s="17" t="s">
        <v>25</v>
      </c>
      <c r="I36" s="17" t="s">
        <v>25</v>
      </c>
    </row>
    <row r="37" spans="1:9" ht="18" customHeight="1" x14ac:dyDescent="0.3">
      <c r="A37" s="19">
        <v>3</v>
      </c>
      <c r="B37" s="18" t="s">
        <v>167</v>
      </c>
      <c r="C37" s="18" t="s">
        <v>25</v>
      </c>
      <c r="D37" s="18" t="s">
        <v>25</v>
      </c>
      <c r="E37" s="17" t="s">
        <v>166</v>
      </c>
      <c r="F37" s="17" t="s">
        <v>161</v>
      </c>
      <c r="G37" s="17" t="s">
        <v>162</v>
      </c>
      <c r="H37" s="17" t="s">
        <v>25</v>
      </c>
      <c r="I37" s="17" t="s">
        <v>25</v>
      </c>
    </row>
    <row r="38" spans="1:9" ht="18" customHeight="1" x14ac:dyDescent="0.3">
      <c r="A38" s="19">
        <v>4</v>
      </c>
      <c r="B38" s="18" t="s">
        <v>168</v>
      </c>
      <c r="C38" s="18" t="s">
        <v>169</v>
      </c>
      <c r="D38" s="18" t="s">
        <v>170</v>
      </c>
      <c r="E38" s="17" t="s">
        <v>171</v>
      </c>
      <c r="F38" s="17" t="s">
        <v>161</v>
      </c>
      <c r="G38" s="17" t="s">
        <v>172</v>
      </c>
      <c r="H38" s="17" t="s">
        <v>25</v>
      </c>
      <c r="I38" s="17" t="s">
        <v>25</v>
      </c>
    </row>
    <row r="39" spans="1:9" ht="18" customHeight="1" x14ac:dyDescent="0.3">
      <c r="A39" s="19">
        <v>5</v>
      </c>
      <c r="B39" s="18" t="s">
        <v>173</v>
      </c>
      <c r="C39" s="18" t="s">
        <v>174</v>
      </c>
      <c r="D39" s="18" t="s">
        <v>175</v>
      </c>
      <c r="E39" s="17" t="s">
        <v>160</v>
      </c>
      <c r="F39" s="17" t="s">
        <v>161</v>
      </c>
      <c r="G39" s="17" t="s">
        <v>162</v>
      </c>
      <c r="H39" s="17" t="s">
        <v>25</v>
      </c>
      <c r="I39" s="17" t="s">
        <v>25</v>
      </c>
    </row>
    <row r="40" spans="1:9" ht="18" customHeight="1" x14ac:dyDescent="0.3">
      <c r="A40" s="19">
        <v>6</v>
      </c>
      <c r="B40" s="18" t="s">
        <v>176</v>
      </c>
      <c r="C40" s="18" t="s">
        <v>177</v>
      </c>
      <c r="D40" s="18" t="s">
        <v>165</v>
      </c>
      <c r="E40" s="17" t="s">
        <v>166</v>
      </c>
      <c r="F40" s="17" t="s">
        <v>161</v>
      </c>
      <c r="G40" s="17" t="s">
        <v>178</v>
      </c>
      <c r="H40" s="17" t="s">
        <v>25</v>
      </c>
      <c r="I40" s="17" t="s">
        <v>25</v>
      </c>
    </row>
    <row r="41" spans="1:9" ht="18" customHeight="1" x14ac:dyDescent="0.3">
      <c r="A41" s="19">
        <v>7</v>
      </c>
      <c r="B41" s="18" t="s">
        <v>179</v>
      </c>
      <c r="C41" s="18" t="s">
        <v>180</v>
      </c>
      <c r="D41" s="18" t="s">
        <v>175</v>
      </c>
      <c r="E41" s="17" t="s">
        <v>181</v>
      </c>
      <c r="F41" s="17" t="s">
        <v>161</v>
      </c>
      <c r="G41" s="17" t="s">
        <v>162</v>
      </c>
      <c r="H41" s="17" t="s">
        <v>25</v>
      </c>
      <c r="I41" s="17" t="s">
        <v>25</v>
      </c>
    </row>
    <row r="42" spans="1:9" ht="18" customHeight="1" x14ac:dyDescent="0.3">
      <c r="A42" s="19">
        <v>8</v>
      </c>
      <c r="B42" s="18" t="s">
        <v>182</v>
      </c>
      <c r="C42" s="18" t="s">
        <v>25</v>
      </c>
      <c r="D42" s="18" t="s">
        <v>25</v>
      </c>
      <c r="E42" s="17" t="s">
        <v>181</v>
      </c>
      <c r="F42" s="17" t="s">
        <v>161</v>
      </c>
      <c r="G42" s="17" t="s">
        <v>162</v>
      </c>
      <c r="H42" s="17" t="s">
        <v>25</v>
      </c>
      <c r="I42" s="17" t="s">
        <v>25</v>
      </c>
    </row>
    <row r="43" spans="1:9" ht="18" customHeight="1" x14ac:dyDescent="0.3">
      <c r="A43" s="19">
        <v>9</v>
      </c>
      <c r="B43" s="18" t="s">
        <v>183</v>
      </c>
      <c r="C43" s="18" t="s">
        <v>184</v>
      </c>
      <c r="D43" s="18" t="s">
        <v>185</v>
      </c>
      <c r="E43" s="17" t="s">
        <v>166</v>
      </c>
      <c r="F43" s="17" t="s">
        <v>161</v>
      </c>
      <c r="G43" s="17" t="s">
        <v>178</v>
      </c>
      <c r="H43" s="17" t="s">
        <v>25</v>
      </c>
      <c r="I43" s="17" t="s">
        <v>25</v>
      </c>
    </row>
    <row r="44" spans="1:9" ht="18" customHeight="1" x14ac:dyDescent="0.3">
      <c r="A44" s="19">
        <v>10</v>
      </c>
      <c r="B44" s="18" t="s">
        <v>186</v>
      </c>
      <c r="C44" s="18" t="s">
        <v>187</v>
      </c>
      <c r="D44" s="18" t="s">
        <v>188</v>
      </c>
      <c r="E44" s="17" t="s">
        <v>189</v>
      </c>
      <c r="F44" s="17" t="s">
        <v>161</v>
      </c>
      <c r="G44" s="17" t="s">
        <v>178</v>
      </c>
      <c r="H44" s="17" t="s">
        <v>25</v>
      </c>
      <c r="I44" s="17" t="s">
        <v>25</v>
      </c>
    </row>
    <row r="45" spans="1:9" ht="18" customHeight="1" x14ac:dyDescent="0.3">
      <c r="A45" s="19">
        <v>11</v>
      </c>
      <c r="B45" s="18" t="s">
        <v>190</v>
      </c>
      <c r="C45" s="18" t="s">
        <v>191</v>
      </c>
      <c r="D45" s="18" t="s">
        <v>192</v>
      </c>
      <c r="E45" s="17" t="s">
        <v>193</v>
      </c>
      <c r="F45" s="17" t="s">
        <v>161</v>
      </c>
      <c r="G45" s="17" t="s">
        <v>162</v>
      </c>
      <c r="H45" s="17" t="s">
        <v>25</v>
      </c>
      <c r="I45" s="17" t="s">
        <v>25</v>
      </c>
    </row>
    <row r="46" spans="1:9" ht="18" customHeight="1" x14ac:dyDescent="0.3">
      <c r="A46" s="19">
        <v>12</v>
      </c>
      <c r="B46" s="18" t="s">
        <v>194</v>
      </c>
      <c r="C46" s="18" t="s">
        <v>195</v>
      </c>
      <c r="D46" s="18" t="s">
        <v>196</v>
      </c>
      <c r="E46" s="17" t="s">
        <v>181</v>
      </c>
      <c r="F46" s="17" t="s">
        <v>161</v>
      </c>
      <c r="G46" s="17" t="s">
        <v>172</v>
      </c>
      <c r="H46" s="17" t="s">
        <v>25</v>
      </c>
      <c r="I46" s="17" t="s">
        <v>25</v>
      </c>
    </row>
    <row r="47" spans="1:9" ht="18" customHeight="1" x14ac:dyDescent="0.3">
      <c r="A47" s="19">
        <v>13</v>
      </c>
      <c r="B47" s="18" t="s">
        <v>197</v>
      </c>
      <c r="C47" s="18" t="s">
        <v>198</v>
      </c>
      <c r="D47" s="18" t="s">
        <v>199</v>
      </c>
      <c r="E47" s="17" t="s">
        <v>200</v>
      </c>
      <c r="F47" s="17" t="s">
        <v>201</v>
      </c>
      <c r="G47" s="17" t="s">
        <v>162</v>
      </c>
      <c r="H47" s="17" t="s">
        <v>25</v>
      </c>
      <c r="I47" s="17" t="s">
        <v>25</v>
      </c>
    </row>
    <row r="48" spans="1:9" ht="18" customHeight="1" x14ac:dyDescent="0.3">
      <c r="A48" s="19">
        <v>14</v>
      </c>
      <c r="B48" s="18" t="s">
        <v>202</v>
      </c>
      <c r="C48" s="18" t="s">
        <v>203</v>
      </c>
      <c r="D48" s="18" t="s">
        <v>204</v>
      </c>
      <c r="E48" s="17" t="s">
        <v>200</v>
      </c>
      <c r="F48" s="17" t="s">
        <v>201</v>
      </c>
      <c r="G48" s="17" t="s">
        <v>178</v>
      </c>
      <c r="H48" s="17" t="s">
        <v>25</v>
      </c>
      <c r="I48" s="17" t="s">
        <v>25</v>
      </c>
    </row>
    <row r="49" spans="1:9" ht="18" customHeight="1" x14ac:dyDescent="0.3">
      <c r="A49" s="19">
        <v>15</v>
      </c>
      <c r="B49" s="18" t="s">
        <v>205</v>
      </c>
      <c r="C49" s="18" t="s">
        <v>206</v>
      </c>
      <c r="D49" s="18" t="s">
        <v>207</v>
      </c>
      <c r="E49" s="17" t="s">
        <v>166</v>
      </c>
      <c r="F49" s="17" t="s">
        <v>201</v>
      </c>
      <c r="G49" s="17" t="s">
        <v>162</v>
      </c>
      <c r="H49" s="17" t="s">
        <v>25</v>
      </c>
      <c r="I49" s="17" t="s">
        <v>25</v>
      </c>
    </row>
    <row r="51" spans="1:9" ht="21.75" customHeight="1" x14ac:dyDescent="0.3">
      <c r="A51" s="9" t="s">
        <v>208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150</v>
      </c>
      <c r="B52" s="16" t="s">
        <v>209</v>
      </c>
      <c r="C52" s="16" t="s">
        <v>210</v>
      </c>
      <c r="D52" s="16" t="s">
        <v>211</v>
      </c>
      <c r="E52" s="16" t="s">
        <v>212</v>
      </c>
      <c r="F52" s="16" t="s">
        <v>213</v>
      </c>
      <c r="G52" s="16" t="s">
        <v>214</v>
      </c>
      <c r="H52" s="16" t="s">
        <v>215</v>
      </c>
      <c r="I52" s="16" t="s">
        <v>216</v>
      </c>
    </row>
    <row r="53" spans="1:9" ht="18" customHeight="1" x14ac:dyDescent="0.3">
      <c r="A53" s="19">
        <v>1</v>
      </c>
      <c r="B53" s="18" t="s">
        <v>217</v>
      </c>
      <c r="C53" s="18" t="s">
        <v>218</v>
      </c>
      <c r="D53" s="18" t="s">
        <v>219</v>
      </c>
      <c r="E53" s="17" t="s">
        <v>25</v>
      </c>
      <c r="F53" s="17" t="s">
        <v>25</v>
      </c>
      <c r="G53" s="17" t="s">
        <v>25</v>
      </c>
      <c r="H53" s="17" t="s">
        <v>25</v>
      </c>
      <c r="I53" s="18" t="s">
        <v>220</v>
      </c>
    </row>
    <row r="54" spans="1:9" ht="18" customHeight="1" x14ac:dyDescent="0.3">
      <c r="A54" s="19">
        <v>2</v>
      </c>
      <c r="B54" s="18" t="s">
        <v>221</v>
      </c>
      <c r="C54" s="18" t="s">
        <v>222</v>
      </c>
      <c r="D54" s="18" t="s">
        <v>219</v>
      </c>
      <c r="E54" s="17" t="s">
        <v>25</v>
      </c>
      <c r="F54" s="17" t="s">
        <v>25</v>
      </c>
      <c r="G54" s="17" t="s">
        <v>25</v>
      </c>
      <c r="H54" s="17" t="s">
        <v>25</v>
      </c>
      <c r="I54" s="18" t="s">
        <v>223</v>
      </c>
    </row>
    <row r="55" spans="1:9" ht="18" customHeight="1" x14ac:dyDescent="0.3">
      <c r="A55" s="19">
        <v>3</v>
      </c>
      <c r="B55" s="18" t="s">
        <v>224</v>
      </c>
      <c r="C55" s="18" t="s">
        <v>218</v>
      </c>
      <c r="D55" s="18" t="s">
        <v>219</v>
      </c>
      <c r="E55" s="17" t="s">
        <v>25</v>
      </c>
      <c r="F55" s="17" t="s">
        <v>25</v>
      </c>
      <c r="G55" s="17" t="s">
        <v>25</v>
      </c>
      <c r="H55" s="17" t="s">
        <v>25</v>
      </c>
      <c r="I55" s="18" t="s">
        <v>225</v>
      </c>
    </row>
    <row r="56" spans="1:9" ht="18" customHeight="1" x14ac:dyDescent="0.3">
      <c r="A56" s="19">
        <v>4</v>
      </c>
      <c r="B56" s="18" t="s">
        <v>226</v>
      </c>
      <c r="C56" s="18" t="s">
        <v>218</v>
      </c>
      <c r="D56" s="18" t="s">
        <v>118</v>
      </c>
      <c r="E56" s="17" t="s">
        <v>25</v>
      </c>
      <c r="F56" s="17" t="s">
        <v>25</v>
      </c>
      <c r="G56" s="17" t="s">
        <v>25</v>
      </c>
      <c r="H56" s="17" t="s">
        <v>25</v>
      </c>
      <c r="I56" s="18" t="s">
        <v>227</v>
      </c>
    </row>
    <row r="57" spans="1:9" ht="18" customHeight="1" x14ac:dyDescent="0.3">
      <c r="A57" s="19">
        <v>5</v>
      </c>
      <c r="B57" s="18" t="s">
        <v>228</v>
      </c>
      <c r="C57" s="18" t="s">
        <v>218</v>
      </c>
      <c r="D57" s="18" t="s">
        <v>118</v>
      </c>
      <c r="E57" s="17" t="s">
        <v>25</v>
      </c>
      <c r="F57" s="17" t="s">
        <v>25</v>
      </c>
      <c r="G57" s="17" t="s">
        <v>25</v>
      </c>
      <c r="H57" s="17" t="s">
        <v>25</v>
      </c>
      <c r="I57" s="18" t="s">
        <v>229</v>
      </c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49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230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6" activePane="bottomLeft" state="frozen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231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232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53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113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54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15</v>
      </c>
      <c r="B10" s="8"/>
      <c r="C10" s="7" t="s">
        <v>16</v>
      </c>
      <c r="D10" s="7"/>
      <c r="E10" s="7"/>
      <c r="F10" s="7"/>
      <c r="G10" s="7"/>
    </row>
    <row r="11" spans="1:7" ht="19.5" customHeight="1" x14ac:dyDescent="0.3">
      <c r="A11" s="8" t="s">
        <v>114</v>
      </c>
      <c r="B11" s="8"/>
      <c r="C11" s="6" t="str">
        <f>IFERROR(VLOOKUP($C$10,tbl_Bloques,2,FALSE()),"")</f>
        <v>C1086-Q9570</v>
      </c>
      <c r="D11" s="6"/>
      <c r="E11" s="6"/>
      <c r="F11" s="6"/>
      <c r="G11" s="6"/>
    </row>
    <row r="12" spans="1:7" ht="21.75" customHeight="1" x14ac:dyDescent="0.3">
      <c r="A12" s="20" t="s">
        <v>233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234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150</v>
      </c>
      <c r="B14" s="16" t="s">
        <v>235</v>
      </c>
      <c r="C14" s="16" t="s">
        <v>236</v>
      </c>
      <c r="D14" s="16" t="s">
        <v>237</v>
      </c>
      <c r="E14" s="16" t="s">
        <v>238</v>
      </c>
      <c r="F14" s="16" t="s">
        <v>239</v>
      </c>
      <c r="G14" s="16" t="s">
        <v>240</v>
      </c>
    </row>
    <row r="15" spans="1:7" ht="18" customHeight="1" x14ac:dyDescent="0.3">
      <c r="A15" s="19">
        <v>1</v>
      </c>
      <c r="B15" s="22" t="s">
        <v>241</v>
      </c>
      <c r="C15" s="17" t="s">
        <v>44</v>
      </c>
      <c r="D15" s="17" t="s">
        <v>242</v>
      </c>
      <c r="E15" s="17" t="s">
        <v>243</v>
      </c>
      <c r="F15" s="17" t="s">
        <v>25</v>
      </c>
      <c r="G15" s="18" t="s">
        <v>244</v>
      </c>
    </row>
    <row r="16" spans="1:7" ht="18" customHeight="1" x14ac:dyDescent="0.3">
      <c r="A16" s="19">
        <v>2</v>
      </c>
      <c r="B16" s="22" t="s">
        <v>245</v>
      </c>
      <c r="C16" s="17"/>
      <c r="D16" s="17"/>
      <c r="E16" s="17"/>
      <c r="F16" s="17"/>
      <c r="G16" s="18" t="s">
        <v>246</v>
      </c>
    </row>
    <row r="17" spans="1:7" ht="18" customHeight="1" x14ac:dyDescent="0.3">
      <c r="A17" s="19">
        <v>3</v>
      </c>
      <c r="B17" s="22" t="s">
        <v>247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248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249</v>
      </c>
      <c r="C19" s="17" t="s">
        <v>107</v>
      </c>
      <c r="D19" s="17" t="s">
        <v>250</v>
      </c>
      <c r="E19" s="17"/>
      <c r="F19" s="17"/>
      <c r="G19" s="18" t="s">
        <v>251</v>
      </c>
    </row>
    <row r="20" spans="1:7" ht="18" customHeight="1" x14ac:dyDescent="0.3">
      <c r="A20" s="19">
        <v>6</v>
      </c>
      <c r="B20" s="22" t="s">
        <v>252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253</v>
      </c>
      <c r="C21" s="17" t="s">
        <v>44</v>
      </c>
      <c r="D21" s="17" t="s">
        <v>242</v>
      </c>
      <c r="E21" s="17" t="s">
        <v>254</v>
      </c>
      <c r="F21" s="17" t="s">
        <v>25</v>
      </c>
      <c r="G21" s="18" t="s">
        <v>255</v>
      </c>
    </row>
    <row r="22" spans="1:7" ht="18" customHeight="1" x14ac:dyDescent="0.3">
      <c r="A22" s="19">
        <v>8</v>
      </c>
      <c r="B22" s="22" t="s">
        <v>256</v>
      </c>
      <c r="C22" s="17" t="s">
        <v>44</v>
      </c>
      <c r="D22" s="17" t="s">
        <v>242</v>
      </c>
      <c r="E22" s="17" t="s">
        <v>243</v>
      </c>
      <c r="F22" s="17" t="s">
        <v>25</v>
      </c>
      <c r="G22" s="18" t="s">
        <v>257</v>
      </c>
    </row>
    <row r="23" spans="1:7" ht="18" customHeight="1" x14ac:dyDescent="0.3">
      <c r="A23" s="19">
        <v>9</v>
      </c>
      <c r="B23" s="22" t="s">
        <v>258</v>
      </c>
      <c r="C23" s="17" t="s">
        <v>44</v>
      </c>
      <c r="D23" s="17" t="s">
        <v>259</v>
      </c>
      <c r="E23" s="17" t="s">
        <v>260</v>
      </c>
      <c r="F23" s="17" t="s">
        <v>25</v>
      </c>
      <c r="G23" s="18" t="s">
        <v>261</v>
      </c>
    </row>
    <row r="24" spans="1:7" ht="18" customHeight="1" x14ac:dyDescent="0.3">
      <c r="A24" s="19">
        <v>10</v>
      </c>
      <c r="B24" s="22" t="s">
        <v>262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263</v>
      </c>
      <c r="C25" s="17" t="s">
        <v>44</v>
      </c>
      <c r="D25" s="17" t="s">
        <v>242</v>
      </c>
      <c r="E25" s="17" t="s">
        <v>264</v>
      </c>
      <c r="F25" s="17" t="s">
        <v>25</v>
      </c>
      <c r="G25" s="18" t="s">
        <v>265</v>
      </c>
    </row>
    <row r="26" spans="1:7" ht="18" customHeight="1" x14ac:dyDescent="0.3">
      <c r="A26" s="19">
        <v>12</v>
      </c>
      <c r="B26" s="22" t="s">
        <v>266</v>
      </c>
      <c r="C26" s="17" t="s">
        <v>44</v>
      </c>
      <c r="D26" s="17" t="s">
        <v>267</v>
      </c>
      <c r="E26" s="17" t="s">
        <v>268</v>
      </c>
      <c r="F26" s="17" t="s">
        <v>25</v>
      </c>
      <c r="G26" s="18" t="s">
        <v>269</v>
      </c>
    </row>
    <row r="27" spans="1:7" ht="18" customHeight="1" x14ac:dyDescent="0.3">
      <c r="A27" s="19">
        <v>13</v>
      </c>
      <c r="B27" s="22" t="s">
        <v>270</v>
      </c>
      <c r="C27" s="17" t="s">
        <v>44</v>
      </c>
      <c r="D27" s="17" t="s">
        <v>271</v>
      </c>
      <c r="E27" s="17" t="s">
        <v>272</v>
      </c>
      <c r="F27" s="17" t="s">
        <v>25</v>
      </c>
      <c r="G27" s="18" t="s">
        <v>273</v>
      </c>
    </row>
    <row r="28" spans="1:7" ht="18" customHeight="1" x14ac:dyDescent="0.3">
      <c r="A28" s="19">
        <v>14</v>
      </c>
      <c r="B28" s="22" t="s">
        <v>274</v>
      </c>
      <c r="C28" s="17"/>
      <c r="D28" s="17"/>
      <c r="E28" s="17"/>
      <c r="F28" s="17"/>
      <c r="G28" s="18" t="s">
        <v>275</v>
      </c>
    </row>
    <row r="29" spans="1:7" ht="18" customHeight="1" x14ac:dyDescent="0.3">
      <c r="A29" s="19">
        <v>15</v>
      </c>
      <c r="B29" s="22" t="s">
        <v>276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89</v>
      </c>
      <c r="C30" s="17"/>
      <c r="D30" s="17"/>
      <c r="E30" s="17"/>
      <c r="F30" s="17"/>
      <c r="G30" s="18"/>
    </row>
    <row r="32" spans="1:7" ht="21.75" customHeight="1" x14ac:dyDescent="0.3">
      <c r="A32" s="9" t="s">
        <v>277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278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150</v>
      </c>
      <c r="B34" s="16" t="s">
        <v>279</v>
      </c>
      <c r="C34" s="16" t="s">
        <v>280</v>
      </c>
      <c r="D34" s="16" t="s">
        <v>281</v>
      </c>
      <c r="E34" s="16" t="s">
        <v>282</v>
      </c>
      <c r="F34" s="16" t="s">
        <v>283</v>
      </c>
      <c r="G34" s="16" t="s">
        <v>284</v>
      </c>
    </row>
    <row r="35" spans="1:7" ht="21.75" customHeight="1" x14ac:dyDescent="0.3">
      <c r="A35" s="19">
        <v>1</v>
      </c>
      <c r="B35" s="22" t="s">
        <v>285</v>
      </c>
      <c r="C35" s="19" t="s">
        <v>286</v>
      </c>
      <c r="D35" s="17" t="s">
        <v>287</v>
      </c>
      <c r="E35" s="18" t="s">
        <v>288</v>
      </c>
      <c r="F35" s="22" t="s">
        <v>289</v>
      </c>
      <c r="G35" s="17" t="s">
        <v>290</v>
      </c>
    </row>
    <row r="36" spans="1:7" ht="21.75" customHeight="1" x14ac:dyDescent="0.3">
      <c r="A36" s="19">
        <v>2</v>
      </c>
      <c r="B36" s="22" t="s">
        <v>291</v>
      </c>
      <c r="C36" s="19" t="s">
        <v>286</v>
      </c>
      <c r="D36" s="17" t="s">
        <v>292</v>
      </c>
      <c r="E36" s="18" t="s">
        <v>293</v>
      </c>
      <c r="F36" s="22" t="s">
        <v>294</v>
      </c>
      <c r="G36" s="17" t="s">
        <v>295</v>
      </c>
    </row>
    <row r="37" spans="1:7" ht="21.75" customHeight="1" x14ac:dyDescent="0.3">
      <c r="A37" s="19">
        <v>3</v>
      </c>
      <c r="B37" s="22" t="s">
        <v>296</v>
      </c>
      <c r="C37" s="19" t="s">
        <v>297</v>
      </c>
      <c r="D37" s="17" t="s">
        <v>25</v>
      </c>
      <c r="E37" s="18" t="s">
        <v>298</v>
      </c>
      <c r="F37" s="22" t="s">
        <v>299</v>
      </c>
      <c r="G37" s="17"/>
    </row>
    <row r="38" spans="1:7" ht="21.75" customHeight="1" x14ac:dyDescent="0.3">
      <c r="A38" s="19">
        <v>4</v>
      </c>
      <c r="B38" s="22" t="s">
        <v>300</v>
      </c>
      <c r="C38" s="19" t="s">
        <v>301</v>
      </c>
      <c r="D38" s="17" t="s">
        <v>302</v>
      </c>
      <c r="E38" s="18" t="s">
        <v>303</v>
      </c>
      <c r="F38" s="22" t="s">
        <v>304</v>
      </c>
      <c r="G38" s="17" t="s">
        <v>295</v>
      </c>
    </row>
    <row r="39" spans="1:7" ht="21.75" customHeight="1" x14ac:dyDescent="0.3">
      <c r="A39" s="19">
        <v>5</v>
      </c>
      <c r="B39" s="22" t="s">
        <v>305</v>
      </c>
      <c r="C39" s="19" t="s">
        <v>306</v>
      </c>
      <c r="D39" s="17" t="s">
        <v>25</v>
      </c>
      <c r="E39" s="18" t="s">
        <v>307</v>
      </c>
      <c r="F39" s="22" t="s">
        <v>308</v>
      </c>
      <c r="G39" s="17"/>
    </row>
    <row r="40" spans="1:7" ht="21.75" customHeight="1" x14ac:dyDescent="0.3">
      <c r="A40" s="19">
        <v>6</v>
      </c>
      <c r="B40" s="22" t="s">
        <v>309</v>
      </c>
      <c r="C40" s="19" t="s">
        <v>150</v>
      </c>
      <c r="D40" s="17" t="s">
        <v>25</v>
      </c>
      <c r="E40" s="18" t="s">
        <v>310</v>
      </c>
      <c r="F40" s="22" t="s">
        <v>311</v>
      </c>
      <c r="G40" s="17"/>
    </row>
    <row r="41" spans="1:7" ht="21.75" customHeight="1" x14ac:dyDescent="0.3">
      <c r="A41" s="19">
        <v>7</v>
      </c>
      <c r="B41" s="22" t="s">
        <v>312</v>
      </c>
      <c r="C41" s="19" t="s">
        <v>286</v>
      </c>
      <c r="D41" s="17" t="s">
        <v>25</v>
      </c>
      <c r="E41" s="18" t="s">
        <v>313</v>
      </c>
      <c r="F41" s="22" t="s">
        <v>314</v>
      </c>
      <c r="G41" s="17"/>
    </row>
    <row r="42" spans="1:7" ht="21.75" customHeight="1" x14ac:dyDescent="0.3">
      <c r="A42" s="19">
        <v>8</v>
      </c>
      <c r="B42" s="22" t="s">
        <v>315</v>
      </c>
      <c r="C42" s="19" t="s">
        <v>316</v>
      </c>
      <c r="D42" s="17" t="s">
        <v>317</v>
      </c>
      <c r="E42" s="18" t="s">
        <v>318</v>
      </c>
      <c r="F42" s="22" t="s">
        <v>319</v>
      </c>
      <c r="G42" s="17" t="s">
        <v>290</v>
      </c>
    </row>
    <row r="44" spans="1:7" ht="21.75" customHeight="1" x14ac:dyDescent="0.3">
      <c r="A44" s="9" t="s">
        <v>320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321</v>
      </c>
      <c r="B45" s="8"/>
      <c r="C45" s="7" t="s">
        <v>322</v>
      </c>
      <c r="D45" s="7"/>
      <c r="E45" s="7"/>
      <c r="F45" s="7"/>
      <c r="G45" s="7"/>
    </row>
    <row r="46" spans="1:7" ht="19.5" customHeight="1" x14ac:dyDescent="0.3">
      <c r="A46" s="8" t="s">
        <v>323</v>
      </c>
      <c r="B46" s="8"/>
      <c r="C46" s="7" t="s">
        <v>324</v>
      </c>
      <c r="D46" s="7"/>
      <c r="E46" s="7"/>
      <c r="F46" s="7"/>
      <c r="G46" s="7"/>
    </row>
    <row r="47" spans="1:7" ht="19.5" customHeight="1" x14ac:dyDescent="0.3">
      <c r="A47" s="8" t="s">
        <v>325</v>
      </c>
      <c r="B47" s="8"/>
      <c r="C47" s="7" t="s">
        <v>326</v>
      </c>
      <c r="D47" s="7"/>
      <c r="E47" s="7"/>
      <c r="F47" s="7"/>
      <c r="G47" s="7"/>
    </row>
    <row r="48" spans="1:7" ht="19.5" customHeight="1" x14ac:dyDescent="0.3">
      <c r="A48" s="8" t="s">
        <v>327</v>
      </c>
      <c r="B48" s="8"/>
      <c r="C48" s="7" t="s">
        <v>328</v>
      </c>
      <c r="D48" s="7"/>
      <c r="E48" s="7"/>
      <c r="F48" s="7"/>
      <c r="G48" s="7"/>
    </row>
    <row r="49" spans="1:7" ht="19.5" customHeight="1" x14ac:dyDescent="0.3">
      <c r="A49" s="8" t="s">
        <v>329</v>
      </c>
      <c r="B49" s="8"/>
      <c r="C49" s="7" t="s">
        <v>109</v>
      </c>
      <c r="D49" s="7"/>
      <c r="E49" s="7"/>
      <c r="F49" s="7"/>
      <c r="G49" s="7"/>
    </row>
    <row r="51" spans="1:7" ht="21.75" customHeight="1" x14ac:dyDescent="0.3">
      <c r="A51" s="9" t="s">
        <v>49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330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26" activePane="bottomLeft" state="frozen"/>
      <selection pane="bottomLeft" activeCell="C45" sqref="C45:H45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331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332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53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54</v>
      </c>
      <c r="F8" s="8"/>
      <c r="G8" s="7" t="s">
        <v>12</v>
      </c>
      <c r="H8" s="7"/>
    </row>
    <row r="9" spans="1:8" ht="19.5" customHeight="1" x14ac:dyDescent="0.3">
      <c r="A9" s="8" t="s">
        <v>15</v>
      </c>
      <c r="B9" s="8"/>
      <c r="C9" s="7" t="s">
        <v>16</v>
      </c>
      <c r="D9" s="7"/>
      <c r="E9" s="8" t="s">
        <v>114</v>
      </c>
      <c r="F9" s="8"/>
      <c r="G9" s="6" t="str">
        <f>IFERROR(VLOOKUP($C$9,tbl_Bloques,2,FALSE()),"")</f>
        <v>C1086-Q9570</v>
      </c>
      <c r="H9" s="6"/>
    </row>
    <row r="10" spans="1:8" ht="19.5" customHeight="1" x14ac:dyDescent="0.3">
      <c r="A10" s="8" t="s">
        <v>19</v>
      </c>
      <c r="B10" s="8"/>
      <c r="C10" s="6" t="str">
        <f>IFERROR(VLOOKUP($C$9,tbl_Bloques,4,FALSE()),"")</f>
        <v>Chalaco</v>
      </c>
      <c r="D10" s="6"/>
      <c r="E10" s="8" t="s">
        <v>18</v>
      </c>
      <c r="F10" s="8"/>
      <c r="G10" s="6" t="str">
        <f>IFERROR(VLOOKUP($C$9,tbl_Bloques,3,FALSE()),"")</f>
        <v>Morropon</v>
      </c>
      <c r="H10" s="6"/>
    </row>
    <row r="12" spans="1:8" ht="21.75" customHeight="1" x14ac:dyDescent="0.3">
      <c r="A12" s="9" t="s">
        <v>333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334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150</v>
      </c>
      <c r="B14" s="16" t="s">
        <v>335</v>
      </c>
      <c r="C14" s="16" t="s">
        <v>212</v>
      </c>
      <c r="D14" s="16" t="s">
        <v>213</v>
      </c>
      <c r="E14" s="16" t="s">
        <v>336</v>
      </c>
      <c r="F14" s="16" t="s">
        <v>337</v>
      </c>
      <c r="G14" s="16" t="s">
        <v>338</v>
      </c>
      <c r="H14" s="16" t="s">
        <v>339</v>
      </c>
    </row>
    <row r="15" spans="1:8" ht="19.5" customHeight="1" x14ac:dyDescent="0.3">
      <c r="A15" s="19">
        <v>1</v>
      </c>
      <c r="B15" s="17" t="s">
        <v>663</v>
      </c>
      <c r="C15" s="17">
        <v>631100</v>
      </c>
      <c r="D15" s="17">
        <v>9441500</v>
      </c>
      <c r="E15" s="17"/>
      <c r="F15" s="17"/>
      <c r="G15" s="17" t="s">
        <v>25</v>
      </c>
      <c r="H15" s="18" t="s">
        <v>340</v>
      </c>
    </row>
    <row r="16" spans="1:8" ht="19.5" customHeight="1" x14ac:dyDescent="0.3">
      <c r="A16" s="19">
        <v>2</v>
      </c>
      <c r="B16" s="17"/>
      <c r="C16" s="17"/>
      <c r="D16" s="17"/>
      <c r="E16" s="17"/>
      <c r="F16" s="17"/>
      <c r="G16" s="17"/>
      <c r="H16" s="18"/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341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342</v>
      </c>
      <c r="B27" s="8"/>
      <c r="C27" s="7" t="s">
        <v>44</v>
      </c>
      <c r="D27" s="7"/>
      <c r="E27" s="7"/>
      <c r="F27" s="7"/>
      <c r="G27" s="7"/>
      <c r="H27" s="7"/>
    </row>
    <row r="28" spans="1:8" ht="19.5" customHeight="1" x14ac:dyDescent="0.3">
      <c r="A28" s="8" t="s">
        <v>343</v>
      </c>
      <c r="B28" s="8"/>
      <c r="C28" s="7" t="s">
        <v>44</v>
      </c>
      <c r="D28" s="7"/>
      <c r="E28" s="7"/>
      <c r="F28" s="7"/>
      <c r="G28" s="7"/>
      <c r="H28" s="7"/>
    </row>
    <row r="29" spans="1:8" ht="19.5" customHeight="1" x14ac:dyDescent="0.3">
      <c r="A29" s="8" t="s">
        <v>344</v>
      </c>
      <c r="B29" s="8"/>
      <c r="C29" s="7" t="s">
        <v>44</v>
      </c>
      <c r="D29" s="7"/>
      <c r="E29" s="7"/>
      <c r="F29" s="7"/>
      <c r="G29" s="7"/>
      <c r="H29" s="7"/>
    </row>
    <row r="30" spans="1:8" ht="19.5" customHeight="1" x14ac:dyDescent="0.3">
      <c r="A30" s="8" t="s">
        <v>345</v>
      </c>
      <c r="B30" s="8"/>
      <c r="C30" s="7" t="s">
        <v>25</v>
      </c>
      <c r="D30" s="7"/>
      <c r="E30" s="7"/>
      <c r="F30" s="7"/>
      <c r="G30" s="7"/>
      <c r="H30" s="7"/>
    </row>
    <row r="31" spans="1:8" ht="19.5" customHeight="1" x14ac:dyDescent="0.3">
      <c r="A31" s="8" t="s">
        <v>346</v>
      </c>
      <c r="B31" s="8"/>
      <c r="C31" s="7" t="s">
        <v>25</v>
      </c>
      <c r="D31" s="7"/>
      <c r="E31" s="7"/>
      <c r="F31" s="7"/>
      <c r="G31" s="7"/>
      <c r="H31" s="7"/>
    </row>
    <row r="32" spans="1:8" ht="19.5" customHeight="1" x14ac:dyDescent="0.3">
      <c r="A32" s="8" t="s">
        <v>347</v>
      </c>
      <c r="B32" s="8"/>
      <c r="C32" s="7" t="s">
        <v>107</v>
      </c>
      <c r="D32" s="7"/>
      <c r="E32" s="7"/>
      <c r="F32" s="7"/>
      <c r="G32" s="7"/>
      <c r="H32" s="7"/>
    </row>
    <row r="33" spans="1:8" ht="19.5" customHeight="1" x14ac:dyDescent="0.3">
      <c r="A33" s="8" t="s">
        <v>348</v>
      </c>
      <c r="B33" s="8"/>
      <c r="C33" s="7" t="s">
        <v>118</v>
      </c>
      <c r="D33" s="7"/>
      <c r="E33" s="7"/>
      <c r="F33" s="7"/>
      <c r="G33" s="7"/>
      <c r="H33" s="7"/>
    </row>
    <row r="35" spans="1:8" ht="21.75" customHeight="1" x14ac:dyDescent="0.3">
      <c r="A35" s="9" t="s">
        <v>349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350</v>
      </c>
      <c r="B36" s="8"/>
      <c r="C36" s="7" t="s">
        <v>351</v>
      </c>
      <c r="D36" s="7"/>
      <c r="E36" s="7"/>
      <c r="F36" s="7"/>
      <c r="G36" s="7"/>
      <c r="H36" s="7"/>
    </row>
    <row r="37" spans="1:8" ht="19.5" customHeight="1" x14ac:dyDescent="0.3">
      <c r="A37" s="8" t="s">
        <v>352</v>
      </c>
      <c r="B37" s="8"/>
      <c r="C37" s="7" t="s">
        <v>353</v>
      </c>
      <c r="D37" s="7"/>
      <c r="E37" s="7"/>
      <c r="F37" s="7"/>
      <c r="G37" s="7"/>
      <c r="H37" s="7"/>
    </row>
    <row r="38" spans="1:8" ht="19.5" customHeight="1" x14ac:dyDescent="0.3">
      <c r="A38" s="8" t="s">
        <v>354</v>
      </c>
      <c r="B38" s="8"/>
      <c r="C38" s="7" t="s">
        <v>355</v>
      </c>
      <c r="D38" s="7"/>
      <c r="E38" s="7"/>
      <c r="F38" s="7"/>
      <c r="G38" s="7"/>
      <c r="H38" s="7"/>
    </row>
    <row r="39" spans="1:8" ht="19.5" customHeight="1" x14ac:dyDescent="0.3">
      <c r="A39" s="8" t="s">
        <v>356</v>
      </c>
      <c r="B39" s="8"/>
      <c r="C39" s="7" t="s">
        <v>295</v>
      </c>
      <c r="D39" s="7"/>
      <c r="E39" s="7"/>
      <c r="F39" s="7"/>
      <c r="G39" s="7"/>
      <c r="H39" s="7"/>
    </row>
    <row r="40" spans="1:8" ht="19.5" customHeight="1" x14ac:dyDescent="0.3">
      <c r="A40" s="8" t="s">
        <v>357</v>
      </c>
      <c r="B40" s="8"/>
      <c r="C40" s="7" t="s">
        <v>358</v>
      </c>
      <c r="D40" s="7"/>
      <c r="E40" s="7"/>
      <c r="F40" s="7"/>
      <c r="G40" s="7"/>
      <c r="H40" s="7"/>
    </row>
    <row r="41" spans="1:8" ht="19.5" customHeight="1" x14ac:dyDescent="0.3">
      <c r="A41" s="8" t="s">
        <v>359</v>
      </c>
      <c r="B41" s="8"/>
      <c r="C41" s="7">
        <v>30</v>
      </c>
      <c r="D41" s="7"/>
      <c r="E41" s="8" t="s">
        <v>360</v>
      </c>
      <c r="F41" s="8"/>
      <c r="G41" s="7" t="s">
        <v>25</v>
      </c>
      <c r="H41" s="7"/>
    </row>
    <row r="42" spans="1:8" ht="19.5" customHeight="1" x14ac:dyDescent="0.3">
      <c r="A42" s="8" t="s">
        <v>361</v>
      </c>
      <c r="B42" s="8"/>
      <c r="C42" s="7" t="s">
        <v>642</v>
      </c>
      <c r="D42" s="7"/>
      <c r="E42" s="7"/>
      <c r="F42" s="7"/>
      <c r="G42" s="7"/>
      <c r="H42" s="7"/>
    </row>
    <row r="43" spans="1:8" ht="19.5" customHeight="1" x14ac:dyDescent="0.3">
      <c r="A43" s="8" t="s">
        <v>362</v>
      </c>
      <c r="B43" s="8"/>
      <c r="C43" s="7" t="s">
        <v>693</v>
      </c>
      <c r="D43" s="7"/>
      <c r="E43" s="7"/>
      <c r="F43" s="7"/>
      <c r="G43" s="7"/>
      <c r="H43" s="7"/>
    </row>
    <row r="44" spans="1:8" ht="19.5" customHeight="1" x14ac:dyDescent="0.3">
      <c r="A44" s="8" t="s">
        <v>363</v>
      </c>
      <c r="B44" s="8"/>
      <c r="C44" s="7" t="s">
        <v>107</v>
      </c>
      <c r="D44" s="7"/>
      <c r="E44" s="7"/>
      <c r="F44" s="7"/>
      <c r="G44" s="7"/>
      <c r="H44" s="7"/>
    </row>
    <row r="45" spans="1:8" ht="19.5" customHeight="1" x14ac:dyDescent="0.3">
      <c r="A45" s="8" t="s">
        <v>364</v>
      </c>
      <c r="B45" s="8"/>
      <c r="C45" s="7" t="s">
        <v>44</v>
      </c>
      <c r="D45" s="7"/>
      <c r="E45" s="7"/>
      <c r="F45" s="7"/>
      <c r="G45" s="7"/>
      <c r="H45" s="7"/>
    </row>
    <row r="46" spans="1:8" ht="19.5" customHeight="1" x14ac:dyDescent="0.3">
      <c r="A46" s="8" t="s">
        <v>365</v>
      </c>
      <c r="B46" s="8"/>
      <c r="C46" s="7" t="s">
        <v>25</v>
      </c>
      <c r="D46" s="7"/>
      <c r="E46" s="7"/>
      <c r="F46" s="7"/>
      <c r="G46" s="7"/>
      <c r="H46" s="7"/>
    </row>
    <row r="48" spans="1:8" ht="21.75" customHeight="1" x14ac:dyDescent="0.3">
      <c r="A48" s="9" t="s">
        <v>49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366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367</v>
      </c>
      <c r="B1" s="16" t="s">
        <v>368</v>
      </c>
      <c r="C1" s="16" t="s">
        <v>369</v>
      </c>
      <c r="D1" s="16" t="s">
        <v>370</v>
      </c>
      <c r="E1" s="16" t="s">
        <v>371</v>
      </c>
      <c r="F1" s="16" t="s">
        <v>372</v>
      </c>
      <c r="G1" s="16" t="s">
        <v>373</v>
      </c>
      <c r="H1" s="16" t="s">
        <v>374</v>
      </c>
    </row>
    <row r="2" spans="1:8" ht="15" customHeight="1" x14ac:dyDescent="0.3">
      <c r="A2" s="23" t="s">
        <v>375</v>
      </c>
      <c r="B2" s="23" t="s">
        <v>376</v>
      </c>
      <c r="C2" s="23" t="s">
        <v>377</v>
      </c>
      <c r="D2" s="23" t="s">
        <v>378</v>
      </c>
      <c r="E2" s="23" t="s">
        <v>379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380</v>
      </c>
      <c r="B3" s="23" t="s">
        <v>381</v>
      </c>
      <c r="C3" s="23" t="s">
        <v>377</v>
      </c>
      <c r="D3" s="23" t="s">
        <v>378</v>
      </c>
      <c r="E3" s="23" t="s">
        <v>379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382</v>
      </c>
      <c r="B4" s="23" t="s">
        <v>381</v>
      </c>
      <c r="C4" s="23" t="s">
        <v>377</v>
      </c>
      <c r="D4" s="23" t="s">
        <v>378</v>
      </c>
      <c r="E4" s="23" t="s">
        <v>379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383</v>
      </c>
      <c r="B5" s="23" t="s">
        <v>384</v>
      </c>
      <c r="C5" s="23" t="s">
        <v>377</v>
      </c>
      <c r="D5" s="23" t="s">
        <v>378</v>
      </c>
      <c r="E5" s="23" t="s">
        <v>379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385</v>
      </c>
      <c r="B6" s="23" t="s">
        <v>384</v>
      </c>
      <c r="C6" s="23" t="s">
        <v>377</v>
      </c>
      <c r="D6" s="23" t="s">
        <v>378</v>
      </c>
      <c r="E6" s="23" t="s">
        <v>379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386</v>
      </c>
      <c r="B7" s="23" t="s">
        <v>384</v>
      </c>
      <c r="C7" s="23" t="s">
        <v>377</v>
      </c>
      <c r="D7" s="23" t="s">
        <v>378</v>
      </c>
      <c r="E7" s="23" t="s">
        <v>379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387</v>
      </c>
      <c r="B8" s="23" t="s">
        <v>388</v>
      </c>
      <c r="C8" s="23" t="s">
        <v>377</v>
      </c>
      <c r="D8" s="23" t="s">
        <v>378</v>
      </c>
      <c r="E8" s="23" t="s">
        <v>379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389</v>
      </c>
      <c r="B9" s="23" t="s">
        <v>384</v>
      </c>
      <c r="C9" s="23" t="s">
        <v>377</v>
      </c>
      <c r="D9" s="23" t="s">
        <v>378</v>
      </c>
      <c r="E9" s="23" t="s">
        <v>379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390</v>
      </c>
      <c r="B10" s="23" t="s">
        <v>391</v>
      </c>
      <c r="C10" s="23" t="s">
        <v>377</v>
      </c>
      <c r="D10" s="23" t="s">
        <v>378</v>
      </c>
      <c r="E10" s="23" t="s">
        <v>379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392</v>
      </c>
      <c r="B11" s="23" t="s">
        <v>376</v>
      </c>
      <c r="C11" s="23" t="s">
        <v>393</v>
      </c>
      <c r="D11" s="23" t="s">
        <v>394</v>
      </c>
      <c r="E11" s="23" t="s">
        <v>395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396</v>
      </c>
      <c r="B12" s="23" t="s">
        <v>381</v>
      </c>
      <c r="C12" s="23" t="s">
        <v>393</v>
      </c>
      <c r="D12" s="23" t="s">
        <v>394</v>
      </c>
      <c r="E12" s="23" t="s">
        <v>395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397</v>
      </c>
      <c r="B13" s="23" t="s">
        <v>381</v>
      </c>
      <c r="C13" s="23" t="s">
        <v>393</v>
      </c>
      <c r="D13" s="23" t="s">
        <v>394</v>
      </c>
      <c r="E13" s="23" t="s">
        <v>395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398</v>
      </c>
      <c r="B14" s="23" t="s">
        <v>384</v>
      </c>
      <c r="C14" s="23" t="s">
        <v>393</v>
      </c>
      <c r="D14" s="23" t="s">
        <v>394</v>
      </c>
      <c r="E14" s="23" t="s">
        <v>395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399</v>
      </c>
      <c r="B15" s="23" t="s">
        <v>384</v>
      </c>
      <c r="C15" s="23" t="s">
        <v>393</v>
      </c>
      <c r="D15" s="23" t="s">
        <v>394</v>
      </c>
      <c r="E15" s="23" t="s">
        <v>395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400</v>
      </c>
      <c r="B16" s="23" t="s">
        <v>384</v>
      </c>
      <c r="C16" s="23" t="s">
        <v>393</v>
      </c>
      <c r="D16" s="23" t="s">
        <v>394</v>
      </c>
      <c r="E16" s="23" t="s">
        <v>395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401</v>
      </c>
      <c r="B17" s="23" t="s">
        <v>384</v>
      </c>
      <c r="C17" s="23" t="s">
        <v>393</v>
      </c>
      <c r="D17" s="23" t="s">
        <v>394</v>
      </c>
      <c r="E17" s="23" t="s">
        <v>395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402</v>
      </c>
      <c r="B18" s="23" t="s">
        <v>384</v>
      </c>
      <c r="C18" s="23" t="s">
        <v>393</v>
      </c>
      <c r="D18" s="23" t="s">
        <v>394</v>
      </c>
      <c r="E18" s="23" t="s">
        <v>395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403</v>
      </c>
      <c r="B19" s="23" t="s">
        <v>404</v>
      </c>
      <c r="C19" s="23" t="s">
        <v>393</v>
      </c>
      <c r="D19" s="23" t="s">
        <v>394</v>
      </c>
      <c r="E19" s="23" t="s">
        <v>395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405</v>
      </c>
      <c r="B20" s="23" t="s">
        <v>404</v>
      </c>
      <c r="C20" s="23" t="s">
        <v>393</v>
      </c>
      <c r="D20" s="23" t="s">
        <v>394</v>
      </c>
      <c r="E20" s="23" t="s">
        <v>395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406</v>
      </c>
      <c r="B21" s="23" t="s">
        <v>407</v>
      </c>
      <c r="C21" s="23" t="s">
        <v>377</v>
      </c>
      <c r="D21" s="23" t="s">
        <v>408</v>
      </c>
      <c r="E21" s="23" t="s">
        <v>409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410</v>
      </c>
      <c r="B22" s="23" t="s">
        <v>407</v>
      </c>
      <c r="C22" s="23" t="s">
        <v>377</v>
      </c>
      <c r="D22" s="23" t="s">
        <v>408</v>
      </c>
      <c r="E22" s="23" t="s">
        <v>409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411</v>
      </c>
      <c r="B23" s="23" t="s">
        <v>404</v>
      </c>
      <c r="C23" s="23" t="s">
        <v>377</v>
      </c>
      <c r="D23" s="23" t="s">
        <v>408</v>
      </c>
      <c r="E23" s="23" t="s">
        <v>409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412</v>
      </c>
      <c r="B24" s="23" t="s">
        <v>407</v>
      </c>
      <c r="C24" s="23" t="s">
        <v>377</v>
      </c>
      <c r="D24" s="23" t="s">
        <v>408</v>
      </c>
      <c r="E24" s="23" t="s">
        <v>409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413</v>
      </c>
      <c r="B25" s="23" t="s">
        <v>407</v>
      </c>
      <c r="C25" s="23" t="s">
        <v>377</v>
      </c>
      <c r="D25" s="23" t="s">
        <v>408</v>
      </c>
      <c r="E25" s="23" t="s">
        <v>409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414</v>
      </c>
      <c r="B26" s="23" t="s">
        <v>407</v>
      </c>
      <c r="C26" s="23" t="s">
        <v>377</v>
      </c>
      <c r="D26" s="23" t="s">
        <v>408</v>
      </c>
      <c r="E26" s="23" t="s">
        <v>409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415</v>
      </c>
      <c r="B27" s="23" t="s">
        <v>407</v>
      </c>
      <c r="C27" s="23" t="s">
        <v>377</v>
      </c>
      <c r="D27" s="23" t="s">
        <v>408</v>
      </c>
      <c r="E27" s="23" t="s">
        <v>409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416</v>
      </c>
      <c r="B28" s="23" t="s">
        <v>407</v>
      </c>
      <c r="C28" s="23" t="s">
        <v>377</v>
      </c>
      <c r="D28" s="23" t="s">
        <v>408</v>
      </c>
      <c r="E28" s="23" t="s">
        <v>409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417</v>
      </c>
      <c r="B29" s="23" t="s">
        <v>407</v>
      </c>
      <c r="C29" s="23" t="s">
        <v>377</v>
      </c>
      <c r="D29" s="23" t="s">
        <v>408</v>
      </c>
      <c r="E29" s="23" t="s">
        <v>409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418</v>
      </c>
      <c r="B30" s="23" t="s">
        <v>388</v>
      </c>
      <c r="C30" s="23" t="s">
        <v>377</v>
      </c>
      <c r="D30" s="23" t="s">
        <v>408</v>
      </c>
      <c r="E30" s="23" t="s">
        <v>409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419</v>
      </c>
      <c r="B31" s="23" t="s">
        <v>420</v>
      </c>
      <c r="C31" s="23" t="s">
        <v>377</v>
      </c>
      <c r="D31" s="23" t="s">
        <v>421</v>
      </c>
      <c r="E31" s="23" t="s">
        <v>422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16</v>
      </c>
      <c r="B32" s="23" t="s">
        <v>407</v>
      </c>
      <c r="C32" s="23" t="s">
        <v>377</v>
      </c>
      <c r="D32" s="23" t="s">
        <v>421</v>
      </c>
      <c r="E32" s="23" t="s">
        <v>422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423</v>
      </c>
      <c r="B33" s="23" t="s">
        <v>420</v>
      </c>
      <c r="C33" s="23" t="s">
        <v>377</v>
      </c>
      <c r="D33" s="23" t="s">
        <v>424</v>
      </c>
      <c r="E33" s="23" t="s">
        <v>422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425</v>
      </c>
      <c r="B34" s="23" t="s">
        <v>407</v>
      </c>
      <c r="C34" s="23" t="s">
        <v>377</v>
      </c>
      <c r="D34" s="23" t="s">
        <v>424</v>
      </c>
      <c r="E34" s="23" t="s">
        <v>422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426</v>
      </c>
      <c r="B35" s="23" t="s">
        <v>407</v>
      </c>
      <c r="C35" s="23" t="s">
        <v>377</v>
      </c>
      <c r="D35" s="23" t="s">
        <v>424</v>
      </c>
      <c r="E35" s="23" t="s">
        <v>422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427</v>
      </c>
      <c r="B36" s="23" t="s">
        <v>428</v>
      </c>
      <c r="C36" s="23" t="s">
        <v>377</v>
      </c>
      <c r="D36" s="23" t="s">
        <v>424</v>
      </c>
      <c r="E36" s="23" t="s">
        <v>422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429</v>
      </c>
      <c r="B37" s="23" t="s">
        <v>407</v>
      </c>
      <c r="C37" s="23" t="s">
        <v>377</v>
      </c>
      <c r="D37" s="23" t="s">
        <v>377</v>
      </c>
      <c r="E37" s="23" t="s">
        <v>430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431</v>
      </c>
      <c r="B38" s="23" t="s">
        <v>428</v>
      </c>
      <c r="C38" s="23" t="s">
        <v>377</v>
      </c>
      <c r="D38" s="23" t="s">
        <v>377</v>
      </c>
      <c r="E38" s="23" t="s">
        <v>430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432</v>
      </c>
      <c r="B39" s="23" t="s">
        <v>433</v>
      </c>
      <c r="C39" s="23" t="s">
        <v>377</v>
      </c>
      <c r="D39" s="23" t="s">
        <v>434</v>
      </c>
      <c r="E39" s="23" t="s">
        <v>435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436</v>
      </c>
      <c r="B40" s="23" t="s">
        <v>433</v>
      </c>
      <c r="C40" s="23" t="s">
        <v>377</v>
      </c>
      <c r="D40" s="23" t="s">
        <v>434</v>
      </c>
      <c r="E40" s="23" t="s">
        <v>435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437</v>
      </c>
      <c r="B41" s="23" t="s">
        <v>433</v>
      </c>
      <c r="C41" s="23" t="s">
        <v>377</v>
      </c>
      <c r="D41" s="23" t="s">
        <v>434</v>
      </c>
      <c r="E41" s="23" t="s">
        <v>435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438</v>
      </c>
      <c r="B42" s="23" t="s">
        <v>433</v>
      </c>
      <c r="C42" s="23" t="s">
        <v>377</v>
      </c>
      <c r="D42" s="23" t="s">
        <v>434</v>
      </c>
      <c r="E42" s="23" t="s">
        <v>435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439</v>
      </c>
      <c r="B43" s="23" t="s">
        <v>433</v>
      </c>
      <c r="C43" s="23" t="s">
        <v>377</v>
      </c>
      <c r="D43" s="23" t="s">
        <v>434</v>
      </c>
      <c r="E43" s="23" t="s">
        <v>435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440</v>
      </c>
      <c r="B44" s="23" t="s">
        <v>441</v>
      </c>
      <c r="C44" s="23" t="s">
        <v>377</v>
      </c>
      <c r="D44" s="23" t="s">
        <v>434</v>
      </c>
      <c r="E44" s="23" t="s">
        <v>435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442</v>
      </c>
      <c r="B45" s="23" t="s">
        <v>443</v>
      </c>
      <c r="C45" s="23" t="s">
        <v>377</v>
      </c>
      <c r="D45" s="23" t="s">
        <v>434</v>
      </c>
      <c r="E45" s="23" t="s">
        <v>435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444</v>
      </c>
      <c r="B46" s="23" t="s">
        <v>445</v>
      </c>
      <c r="C46" s="23" t="s">
        <v>377</v>
      </c>
      <c r="D46" s="23" t="s">
        <v>446</v>
      </c>
      <c r="E46" s="23" t="s">
        <v>447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448</v>
      </c>
      <c r="B47" s="23" t="s">
        <v>445</v>
      </c>
      <c r="C47" s="23" t="s">
        <v>377</v>
      </c>
      <c r="D47" s="23" t="s">
        <v>446</v>
      </c>
      <c r="E47" s="23" t="s">
        <v>447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449</v>
      </c>
      <c r="B48" s="23" t="s">
        <v>450</v>
      </c>
      <c r="C48" s="23" t="s">
        <v>377</v>
      </c>
      <c r="D48" s="23" t="s">
        <v>446</v>
      </c>
      <c r="E48" s="23" t="s">
        <v>447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451</v>
      </c>
      <c r="B49" s="23" t="s">
        <v>450</v>
      </c>
      <c r="C49" s="23" t="s">
        <v>377</v>
      </c>
      <c r="D49" s="23" t="s">
        <v>446</v>
      </c>
      <c r="E49" s="23" t="s">
        <v>447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452</v>
      </c>
      <c r="B50" s="23" t="s">
        <v>450</v>
      </c>
      <c r="C50" s="23" t="s">
        <v>377</v>
      </c>
      <c r="D50" s="23" t="s">
        <v>446</v>
      </c>
      <c r="E50" s="23" t="s">
        <v>447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453</v>
      </c>
      <c r="B51" s="23" t="s">
        <v>450</v>
      </c>
      <c r="C51" s="23" t="s">
        <v>377</v>
      </c>
      <c r="D51" s="23" t="s">
        <v>446</v>
      </c>
      <c r="E51" s="23" t="s">
        <v>447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454</v>
      </c>
      <c r="B52" s="23" t="s">
        <v>455</v>
      </c>
      <c r="C52" s="23" t="s">
        <v>377</v>
      </c>
      <c r="D52" s="23" t="s">
        <v>446</v>
      </c>
      <c r="E52" s="23" t="s">
        <v>447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456</v>
      </c>
      <c r="B53" s="23" t="s">
        <v>455</v>
      </c>
      <c r="C53" s="23" t="s">
        <v>377</v>
      </c>
      <c r="D53" s="23" t="s">
        <v>446</v>
      </c>
      <c r="E53" s="23" t="s">
        <v>447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457</v>
      </c>
      <c r="B54" s="23" t="s">
        <v>455</v>
      </c>
      <c r="C54" s="23" t="s">
        <v>377</v>
      </c>
      <c r="D54" s="23" t="s">
        <v>446</v>
      </c>
      <c r="E54" s="23" t="s">
        <v>447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458</v>
      </c>
      <c r="B55" s="23" t="s">
        <v>455</v>
      </c>
      <c r="C55" s="23" t="s">
        <v>377</v>
      </c>
      <c r="D55" s="23" t="s">
        <v>446</v>
      </c>
      <c r="E55" s="23" t="s">
        <v>447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459</v>
      </c>
      <c r="B56" s="23" t="s">
        <v>443</v>
      </c>
      <c r="C56" s="23" t="s">
        <v>377</v>
      </c>
      <c r="D56" s="23" t="s">
        <v>446</v>
      </c>
      <c r="E56" s="23" t="s">
        <v>447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460</v>
      </c>
      <c r="B57" s="23" t="s">
        <v>443</v>
      </c>
      <c r="C57" s="23" t="s">
        <v>377</v>
      </c>
      <c r="D57" s="23" t="s">
        <v>446</v>
      </c>
      <c r="E57" s="23" t="s">
        <v>447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461</v>
      </c>
      <c r="B58" s="23" t="s">
        <v>445</v>
      </c>
      <c r="C58" s="23" t="s">
        <v>377</v>
      </c>
      <c r="D58" s="23" t="s">
        <v>462</v>
      </c>
      <c r="E58" s="23" t="s">
        <v>463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464</v>
      </c>
      <c r="B59" s="23" t="s">
        <v>445</v>
      </c>
      <c r="C59" s="23" t="s">
        <v>377</v>
      </c>
      <c r="D59" s="23" t="s">
        <v>462</v>
      </c>
      <c r="E59" s="23" t="s">
        <v>463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465</v>
      </c>
      <c r="B60" s="23" t="s">
        <v>466</v>
      </c>
      <c r="C60" s="23" t="s">
        <v>377</v>
      </c>
      <c r="D60" s="23" t="s">
        <v>462</v>
      </c>
      <c r="E60" s="23" t="s">
        <v>463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467</v>
      </c>
      <c r="B61" s="23" t="s">
        <v>445</v>
      </c>
      <c r="C61" s="23" t="s">
        <v>377</v>
      </c>
      <c r="D61" s="23" t="s">
        <v>462</v>
      </c>
      <c r="E61" s="23" t="s">
        <v>463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468</v>
      </c>
      <c r="B62" s="23" t="s">
        <v>445</v>
      </c>
      <c r="C62" s="23" t="s">
        <v>377</v>
      </c>
      <c r="D62" s="23" t="s">
        <v>462</v>
      </c>
      <c r="E62" s="23" t="s">
        <v>463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469</v>
      </c>
      <c r="B63" s="23" t="s">
        <v>445</v>
      </c>
      <c r="C63" s="23" t="s">
        <v>377</v>
      </c>
      <c r="D63" s="23" t="s">
        <v>462</v>
      </c>
      <c r="E63" s="23" t="s">
        <v>463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470</v>
      </c>
      <c r="B64" s="23" t="s">
        <v>466</v>
      </c>
      <c r="C64" s="23" t="s">
        <v>377</v>
      </c>
      <c r="D64" s="23" t="s">
        <v>462</v>
      </c>
      <c r="E64" s="23" t="s">
        <v>463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471</v>
      </c>
      <c r="B65" s="23" t="s">
        <v>472</v>
      </c>
      <c r="C65" s="23" t="s">
        <v>377</v>
      </c>
      <c r="D65" s="23" t="s">
        <v>473</v>
      </c>
      <c r="E65" s="23" t="s">
        <v>474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475</v>
      </c>
      <c r="B66" s="23" t="s">
        <v>472</v>
      </c>
      <c r="C66" s="23" t="s">
        <v>377</v>
      </c>
      <c r="D66" s="23" t="s">
        <v>473</v>
      </c>
      <c r="E66" s="23" t="s">
        <v>474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476</v>
      </c>
      <c r="B67" s="23" t="s">
        <v>472</v>
      </c>
      <c r="C67" s="23" t="s">
        <v>377</v>
      </c>
      <c r="D67" s="23" t="s">
        <v>473</v>
      </c>
      <c r="E67" s="23" t="s">
        <v>474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477</v>
      </c>
      <c r="B68" s="23" t="s">
        <v>472</v>
      </c>
      <c r="C68" s="23" t="s">
        <v>377</v>
      </c>
      <c r="D68" s="23" t="s">
        <v>473</v>
      </c>
      <c r="E68" s="23" t="s">
        <v>474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478</v>
      </c>
      <c r="B69" s="23" t="s">
        <v>472</v>
      </c>
      <c r="C69" s="23" t="s">
        <v>377</v>
      </c>
      <c r="D69" s="23" t="s">
        <v>473</v>
      </c>
      <c r="E69" s="23" t="s">
        <v>474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479</v>
      </c>
      <c r="B70" s="23" t="s">
        <v>472</v>
      </c>
      <c r="C70" s="23" t="s">
        <v>377</v>
      </c>
      <c r="D70" s="23" t="s">
        <v>473</v>
      </c>
      <c r="E70" s="23" t="s">
        <v>474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480</v>
      </c>
      <c r="B71" s="23" t="s">
        <v>472</v>
      </c>
      <c r="C71" s="23" t="s">
        <v>377</v>
      </c>
      <c r="D71" s="23" t="s">
        <v>473</v>
      </c>
      <c r="E71" s="23" t="s">
        <v>474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481</v>
      </c>
      <c r="B72" s="23" t="s">
        <v>472</v>
      </c>
      <c r="C72" s="23" t="s">
        <v>377</v>
      </c>
      <c r="D72" s="23" t="s">
        <v>473</v>
      </c>
      <c r="E72" s="23" t="s">
        <v>474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482</v>
      </c>
      <c r="B73" s="23" t="s">
        <v>483</v>
      </c>
      <c r="C73" s="23" t="s">
        <v>484</v>
      </c>
      <c r="D73" s="23" t="s">
        <v>485</v>
      </c>
      <c r="E73" s="23" t="s">
        <v>486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487</v>
      </c>
      <c r="B74" s="23" t="s">
        <v>483</v>
      </c>
      <c r="C74" s="23" t="s">
        <v>484</v>
      </c>
      <c r="D74" s="23" t="s">
        <v>485</v>
      </c>
      <c r="E74" s="23" t="s">
        <v>486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488</v>
      </c>
      <c r="B75" s="23" t="s">
        <v>483</v>
      </c>
      <c r="C75" s="23" t="s">
        <v>484</v>
      </c>
      <c r="D75" s="23" t="s">
        <v>485</v>
      </c>
      <c r="E75" s="23" t="s">
        <v>486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489</v>
      </c>
      <c r="B76" s="23" t="s">
        <v>483</v>
      </c>
      <c r="C76" s="23" t="s">
        <v>484</v>
      </c>
      <c r="D76" s="23" t="s">
        <v>485</v>
      </c>
      <c r="E76" s="23" t="s">
        <v>486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490</v>
      </c>
      <c r="B77" s="23" t="s">
        <v>483</v>
      </c>
      <c r="C77" s="23" t="s">
        <v>484</v>
      </c>
      <c r="D77" s="23" t="s">
        <v>485</v>
      </c>
      <c r="E77" s="23" t="s">
        <v>486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491</v>
      </c>
      <c r="B78" s="23" t="s">
        <v>492</v>
      </c>
      <c r="C78" s="23" t="s">
        <v>484</v>
      </c>
      <c r="D78" s="23" t="s">
        <v>485</v>
      </c>
      <c r="E78" s="23" t="s">
        <v>486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493</v>
      </c>
      <c r="B79" s="23" t="s">
        <v>492</v>
      </c>
      <c r="C79" s="23" t="s">
        <v>484</v>
      </c>
      <c r="D79" s="23" t="s">
        <v>485</v>
      </c>
      <c r="E79" s="23" t="s">
        <v>486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494</v>
      </c>
      <c r="B80" s="23" t="s">
        <v>492</v>
      </c>
      <c r="C80" s="23" t="s">
        <v>484</v>
      </c>
      <c r="D80" s="23" t="s">
        <v>484</v>
      </c>
      <c r="E80" s="23" t="s">
        <v>495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496</v>
      </c>
      <c r="B81" s="23" t="s">
        <v>497</v>
      </c>
      <c r="C81" s="23" t="s">
        <v>484</v>
      </c>
      <c r="D81" s="23" t="s">
        <v>484</v>
      </c>
      <c r="E81" s="23" t="s">
        <v>495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498</v>
      </c>
      <c r="B82" s="23" t="s">
        <v>492</v>
      </c>
      <c r="C82" s="23" t="s">
        <v>484</v>
      </c>
      <c r="D82" s="23" t="s">
        <v>484</v>
      </c>
      <c r="E82" s="23" t="s">
        <v>495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499</v>
      </c>
      <c r="B83" s="23" t="s">
        <v>492</v>
      </c>
      <c r="C83" s="23" t="s">
        <v>484</v>
      </c>
      <c r="D83" s="23" t="s">
        <v>500</v>
      </c>
      <c r="E83" s="23" t="s">
        <v>495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501</v>
      </c>
      <c r="B84" s="23" t="s">
        <v>492</v>
      </c>
      <c r="C84" s="23" t="s">
        <v>484</v>
      </c>
      <c r="D84" s="23" t="s">
        <v>500</v>
      </c>
      <c r="E84" s="23" t="s">
        <v>495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502</v>
      </c>
      <c r="B85" s="23" t="s">
        <v>492</v>
      </c>
      <c r="C85" s="23" t="s">
        <v>484</v>
      </c>
      <c r="D85" s="23" t="s">
        <v>500</v>
      </c>
      <c r="E85" s="23" t="s">
        <v>495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503</v>
      </c>
      <c r="B86" s="23" t="s">
        <v>492</v>
      </c>
      <c r="C86" s="23" t="s">
        <v>484</v>
      </c>
      <c r="D86" s="23" t="s">
        <v>500</v>
      </c>
      <c r="E86" s="23" t="s">
        <v>495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504</v>
      </c>
      <c r="B87" s="23" t="s">
        <v>492</v>
      </c>
      <c r="C87" s="23" t="s">
        <v>484</v>
      </c>
      <c r="D87" s="23" t="s">
        <v>500</v>
      </c>
      <c r="E87" s="23" t="s">
        <v>495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505</v>
      </c>
      <c r="B88" s="23" t="s">
        <v>497</v>
      </c>
      <c r="C88" s="23" t="s">
        <v>484</v>
      </c>
      <c r="D88" s="23" t="s">
        <v>500</v>
      </c>
      <c r="E88" s="23" t="s">
        <v>495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506</v>
      </c>
      <c r="B89" s="23" t="s">
        <v>492</v>
      </c>
      <c r="C89" s="23" t="s">
        <v>484</v>
      </c>
      <c r="D89" s="23" t="s">
        <v>500</v>
      </c>
      <c r="E89" s="23" t="s">
        <v>495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507</v>
      </c>
      <c r="B90" s="23" t="s">
        <v>492</v>
      </c>
      <c r="C90" s="23" t="s">
        <v>484</v>
      </c>
      <c r="D90" s="23" t="s">
        <v>500</v>
      </c>
      <c r="E90" s="23" t="s">
        <v>495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508</v>
      </c>
      <c r="B91" s="23" t="s">
        <v>466</v>
      </c>
      <c r="C91" s="23" t="s">
        <v>484</v>
      </c>
      <c r="D91" s="23" t="s">
        <v>500</v>
      </c>
      <c r="E91" s="23" t="s">
        <v>495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509</v>
      </c>
      <c r="B92" s="23" t="s">
        <v>466</v>
      </c>
      <c r="C92" s="23" t="s">
        <v>484</v>
      </c>
      <c r="D92" s="23" t="s">
        <v>500</v>
      </c>
      <c r="E92" s="23" t="s">
        <v>495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510</v>
      </c>
      <c r="B93" s="23" t="s">
        <v>511</v>
      </c>
      <c r="C93" s="23" t="s">
        <v>484</v>
      </c>
      <c r="D93" s="23" t="s">
        <v>500</v>
      </c>
      <c r="E93" s="23" t="s">
        <v>495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512</v>
      </c>
      <c r="B94" s="23" t="s">
        <v>513</v>
      </c>
      <c r="C94" s="23" t="s">
        <v>484</v>
      </c>
      <c r="D94" s="23" t="s">
        <v>500</v>
      </c>
      <c r="E94" s="23" t="s">
        <v>495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514</v>
      </c>
      <c r="B95" s="23" t="s">
        <v>515</v>
      </c>
      <c r="C95" s="23" t="s">
        <v>484</v>
      </c>
      <c r="D95" s="23" t="s">
        <v>516</v>
      </c>
      <c r="E95" s="23" t="s">
        <v>517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518</v>
      </c>
      <c r="B96" s="23" t="s">
        <v>515</v>
      </c>
      <c r="C96" s="23" t="s">
        <v>484</v>
      </c>
      <c r="D96" s="23" t="s">
        <v>516</v>
      </c>
      <c r="E96" s="23" t="s">
        <v>517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519</v>
      </c>
      <c r="B97" s="23" t="s">
        <v>515</v>
      </c>
      <c r="C97" s="23" t="s">
        <v>484</v>
      </c>
      <c r="D97" s="23" t="s">
        <v>516</v>
      </c>
      <c r="E97" s="23" t="s">
        <v>517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520</v>
      </c>
      <c r="B98" s="23" t="s">
        <v>511</v>
      </c>
      <c r="C98" s="23" t="s">
        <v>484</v>
      </c>
      <c r="D98" s="23" t="s">
        <v>516</v>
      </c>
      <c r="E98" s="23" t="s">
        <v>517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521</v>
      </c>
      <c r="B99" s="23" t="s">
        <v>515</v>
      </c>
      <c r="C99" s="23" t="s">
        <v>484</v>
      </c>
      <c r="D99" s="23" t="s">
        <v>516</v>
      </c>
      <c r="E99" s="23" t="s">
        <v>517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522</v>
      </c>
      <c r="B100" s="23" t="s">
        <v>515</v>
      </c>
      <c r="C100" s="23" t="s">
        <v>484</v>
      </c>
      <c r="D100" s="23" t="s">
        <v>516</v>
      </c>
      <c r="E100" s="23" t="s">
        <v>517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523</v>
      </c>
      <c r="B101" s="23" t="s">
        <v>515</v>
      </c>
      <c r="C101" s="23" t="s">
        <v>484</v>
      </c>
      <c r="D101" s="23" t="s">
        <v>516</v>
      </c>
      <c r="E101" s="23" t="s">
        <v>517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524</v>
      </c>
      <c r="B102" s="23" t="s">
        <v>515</v>
      </c>
      <c r="C102" s="23" t="s">
        <v>484</v>
      </c>
      <c r="D102" s="23" t="s">
        <v>516</v>
      </c>
      <c r="E102" s="23" t="s">
        <v>517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525</v>
      </c>
      <c r="B103" s="23" t="s">
        <v>513</v>
      </c>
      <c r="C103" s="23" t="s">
        <v>484</v>
      </c>
      <c r="D103" s="23" t="s">
        <v>516</v>
      </c>
      <c r="E103" s="23" t="s">
        <v>517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526</v>
      </c>
      <c r="B104" s="23" t="s">
        <v>455</v>
      </c>
      <c r="C104" s="23" t="s">
        <v>484</v>
      </c>
      <c r="D104" s="23" t="s">
        <v>516</v>
      </c>
      <c r="E104" s="23" t="s">
        <v>517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527</v>
      </c>
      <c r="B105" s="23" t="s">
        <v>528</v>
      </c>
      <c r="C105" s="23" t="s">
        <v>484</v>
      </c>
      <c r="D105" s="23" t="s">
        <v>529</v>
      </c>
      <c r="E105" s="23" t="s">
        <v>530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531</v>
      </c>
      <c r="B106" s="23" t="s">
        <v>528</v>
      </c>
      <c r="C106" s="23" t="s">
        <v>484</v>
      </c>
      <c r="D106" s="23" t="s">
        <v>529</v>
      </c>
      <c r="E106" s="23" t="s">
        <v>530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532</v>
      </c>
      <c r="B107" s="23" t="s">
        <v>528</v>
      </c>
      <c r="C107" s="23" t="s">
        <v>484</v>
      </c>
      <c r="D107" s="23" t="s">
        <v>529</v>
      </c>
      <c r="E107" s="23" t="s">
        <v>530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533</v>
      </c>
      <c r="B108" s="23" t="s">
        <v>528</v>
      </c>
      <c r="C108" s="23" t="s">
        <v>484</v>
      </c>
      <c r="D108" s="23" t="s">
        <v>529</v>
      </c>
      <c r="E108" s="23" t="s">
        <v>530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534</v>
      </c>
      <c r="B109" s="23" t="s">
        <v>528</v>
      </c>
      <c r="C109" s="23" t="s">
        <v>484</v>
      </c>
      <c r="D109" s="23" t="s">
        <v>529</v>
      </c>
      <c r="E109" s="23" t="s">
        <v>530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535</v>
      </c>
      <c r="B110" s="23" t="s">
        <v>528</v>
      </c>
      <c r="C110" s="23" t="s">
        <v>484</v>
      </c>
      <c r="D110" s="23" t="s">
        <v>529</v>
      </c>
      <c r="E110" s="23" t="s">
        <v>530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536</v>
      </c>
      <c r="B111" s="23" t="s">
        <v>528</v>
      </c>
      <c r="C111" s="23" t="s">
        <v>484</v>
      </c>
      <c r="D111" s="23" t="s">
        <v>529</v>
      </c>
      <c r="E111" s="23" t="s">
        <v>530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537</v>
      </c>
      <c r="B112" s="23" t="s">
        <v>528</v>
      </c>
      <c r="C112" s="23" t="s">
        <v>484</v>
      </c>
      <c r="D112" s="23" t="s">
        <v>529</v>
      </c>
      <c r="E112" s="23" t="s">
        <v>530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538</v>
      </c>
      <c r="B113" s="23" t="s">
        <v>528</v>
      </c>
      <c r="C113" s="23" t="s">
        <v>484</v>
      </c>
      <c r="D113" s="23" t="s">
        <v>529</v>
      </c>
      <c r="E113" s="23" t="s">
        <v>530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539</v>
      </c>
      <c r="B114" s="23" t="s">
        <v>528</v>
      </c>
      <c r="C114" s="23" t="s">
        <v>484</v>
      </c>
      <c r="D114" s="23" t="s">
        <v>529</v>
      </c>
      <c r="E114" s="23" t="s">
        <v>530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540</v>
      </c>
      <c r="B115" s="23" t="s">
        <v>541</v>
      </c>
      <c r="C115" s="23" t="s">
        <v>484</v>
      </c>
      <c r="D115" s="23" t="s">
        <v>529</v>
      </c>
      <c r="E115" s="23" t="s">
        <v>530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542</v>
      </c>
      <c r="B116" s="23" t="s">
        <v>541</v>
      </c>
      <c r="C116" s="23" t="s">
        <v>484</v>
      </c>
      <c r="D116" s="23" t="s">
        <v>529</v>
      </c>
      <c r="E116" s="23" t="s">
        <v>530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543</v>
      </c>
      <c r="B117" s="23" t="s">
        <v>528</v>
      </c>
      <c r="C117" s="23" t="s">
        <v>484</v>
      </c>
      <c r="D117" s="23" t="s">
        <v>529</v>
      </c>
      <c r="E117" s="23" t="s">
        <v>530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544</v>
      </c>
      <c r="B118" s="23" t="s">
        <v>545</v>
      </c>
      <c r="C118" s="23" t="s">
        <v>484</v>
      </c>
      <c r="D118" s="23" t="s">
        <v>529</v>
      </c>
      <c r="E118" s="23" t="s">
        <v>546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547</v>
      </c>
      <c r="B119" s="23" t="s">
        <v>545</v>
      </c>
      <c r="C119" s="23" t="s">
        <v>484</v>
      </c>
      <c r="D119" s="23" t="s">
        <v>529</v>
      </c>
      <c r="E119" s="23" t="s">
        <v>546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548</v>
      </c>
      <c r="B120" s="23" t="s">
        <v>549</v>
      </c>
      <c r="C120" s="23" t="s">
        <v>484</v>
      </c>
      <c r="D120" s="23" t="s">
        <v>529</v>
      </c>
      <c r="E120" s="23" t="s">
        <v>546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550</v>
      </c>
      <c r="B121" s="23" t="s">
        <v>549</v>
      </c>
      <c r="C121" s="23" t="s">
        <v>484</v>
      </c>
      <c r="D121" s="23" t="s">
        <v>529</v>
      </c>
      <c r="E121" s="23" t="s">
        <v>546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551</v>
      </c>
      <c r="B122" s="23" t="s">
        <v>541</v>
      </c>
      <c r="C122" s="23" t="s">
        <v>484</v>
      </c>
      <c r="D122" s="23" t="s">
        <v>529</v>
      </c>
      <c r="E122" s="23" t="s">
        <v>546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552</v>
      </c>
      <c r="B123" s="23" t="s">
        <v>549</v>
      </c>
      <c r="C123" s="23" t="s">
        <v>484</v>
      </c>
      <c r="D123" s="23" t="s">
        <v>529</v>
      </c>
      <c r="E123" s="23" t="s">
        <v>546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553</v>
      </c>
      <c r="B124" s="23" t="s">
        <v>549</v>
      </c>
      <c r="C124" s="23" t="s">
        <v>484</v>
      </c>
      <c r="D124" s="23" t="s">
        <v>529</v>
      </c>
      <c r="E124" s="23" t="s">
        <v>546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554</v>
      </c>
      <c r="B125" s="23" t="s">
        <v>549</v>
      </c>
      <c r="C125" s="23" t="s">
        <v>484</v>
      </c>
      <c r="D125" s="23" t="s">
        <v>529</v>
      </c>
      <c r="E125" s="23" t="s">
        <v>546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555</v>
      </c>
      <c r="B126" s="23" t="s">
        <v>549</v>
      </c>
      <c r="C126" s="23" t="s">
        <v>484</v>
      </c>
      <c r="D126" s="23" t="s">
        <v>529</v>
      </c>
      <c r="E126" s="23" t="s">
        <v>546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556</v>
      </c>
      <c r="B127" s="23" t="s">
        <v>549</v>
      </c>
      <c r="C127" s="23" t="s">
        <v>484</v>
      </c>
      <c r="D127" s="23" t="s">
        <v>529</v>
      </c>
      <c r="E127" s="23" t="s">
        <v>546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557</v>
      </c>
      <c r="B128" s="23" t="s">
        <v>549</v>
      </c>
      <c r="C128" s="23" t="s">
        <v>484</v>
      </c>
      <c r="D128" s="23" t="s">
        <v>529</v>
      </c>
      <c r="E128" s="23" t="s">
        <v>546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558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559</v>
      </c>
      <c r="B3" s="16" t="s">
        <v>560</v>
      </c>
      <c r="C3" s="16" t="s">
        <v>561</v>
      </c>
      <c r="D3" s="16" t="s">
        <v>562</v>
      </c>
      <c r="E3" s="16" t="s">
        <v>563</v>
      </c>
      <c r="F3" s="16" t="s">
        <v>564</v>
      </c>
      <c r="G3" s="16" t="s">
        <v>565</v>
      </c>
      <c r="H3" s="16" t="s">
        <v>566</v>
      </c>
      <c r="I3" s="16" t="s">
        <v>567</v>
      </c>
      <c r="J3" s="16" t="s">
        <v>568</v>
      </c>
      <c r="K3" s="16" t="s">
        <v>569</v>
      </c>
      <c r="L3" s="16" t="s">
        <v>570</v>
      </c>
      <c r="M3" s="16" t="s">
        <v>571</v>
      </c>
      <c r="N3" s="16" t="s">
        <v>572</v>
      </c>
      <c r="O3" s="16" t="s">
        <v>573</v>
      </c>
      <c r="P3" s="16" t="s">
        <v>574</v>
      </c>
      <c r="Q3" s="16" t="s">
        <v>575</v>
      </c>
      <c r="R3" s="16" t="s">
        <v>576</v>
      </c>
      <c r="S3" s="16" t="s">
        <v>577</v>
      </c>
      <c r="T3" s="16" t="s">
        <v>578</v>
      </c>
      <c r="U3" s="16" t="s">
        <v>579</v>
      </c>
      <c r="V3" s="16" t="s">
        <v>580</v>
      </c>
      <c r="W3" s="16" t="s">
        <v>581</v>
      </c>
      <c r="X3" s="16" t="s">
        <v>582</v>
      </c>
      <c r="Y3" s="16" t="s">
        <v>583</v>
      </c>
      <c r="Z3" s="16" t="s">
        <v>584</v>
      </c>
      <c r="AA3" s="16" t="s">
        <v>585</v>
      </c>
      <c r="AB3" s="16" t="s">
        <v>586</v>
      </c>
      <c r="AC3" s="16" t="s">
        <v>587</v>
      </c>
      <c r="AD3" s="16" t="s">
        <v>588</v>
      </c>
      <c r="AE3" s="16" t="s">
        <v>589</v>
      </c>
      <c r="AF3" s="16" t="s">
        <v>590</v>
      </c>
      <c r="AG3" s="16" t="s">
        <v>591</v>
      </c>
      <c r="AH3" s="16" t="s">
        <v>592</v>
      </c>
      <c r="AI3" s="16" t="s">
        <v>593</v>
      </c>
      <c r="AJ3" s="16" t="s">
        <v>594</v>
      </c>
      <c r="AK3" s="16" t="s">
        <v>595</v>
      </c>
    </row>
    <row r="4" spans="1:37" ht="15" customHeight="1" x14ac:dyDescent="0.3">
      <c r="A4" s="23" t="s">
        <v>596</v>
      </c>
      <c r="B4" s="23" t="s">
        <v>597</v>
      </c>
      <c r="C4" s="23" t="s">
        <v>598</v>
      </c>
      <c r="D4" s="23" t="s">
        <v>599</v>
      </c>
      <c r="E4" s="23" t="s">
        <v>600</v>
      </c>
      <c r="F4" s="23" t="s">
        <v>250</v>
      </c>
      <c r="G4" s="23" t="s">
        <v>85</v>
      </c>
      <c r="H4" s="23" t="s">
        <v>81</v>
      </c>
      <c r="I4" s="23" t="s">
        <v>96</v>
      </c>
      <c r="J4" s="23" t="s">
        <v>601</v>
      </c>
      <c r="K4" s="23" t="s">
        <v>602</v>
      </c>
      <c r="L4" s="23" t="s">
        <v>603</v>
      </c>
      <c r="M4" s="23" t="s">
        <v>604</v>
      </c>
      <c r="N4" s="23" t="s">
        <v>605</v>
      </c>
      <c r="O4" s="23" t="s">
        <v>606</v>
      </c>
      <c r="P4" s="23" t="s">
        <v>142</v>
      </c>
      <c r="Q4" s="23" t="s">
        <v>607</v>
      </c>
      <c r="R4" s="23" t="s">
        <v>608</v>
      </c>
      <c r="S4" s="23" t="s">
        <v>200</v>
      </c>
      <c r="T4" s="23" t="s">
        <v>161</v>
      </c>
      <c r="U4" s="23" t="s">
        <v>609</v>
      </c>
      <c r="V4" s="23" t="s">
        <v>218</v>
      </c>
      <c r="W4" s="23" t="s">
        <v>610</v>
      </c>
      <c r="X4" s="23" t="s">
        <v>250</v>
      </c>
      <c r="Y4" s="23" t="s">
        <v>290</v>
      </c>
      <c r="Z4" s="23" t="s">
        <v>611</v>
      </c>
      <c r="AA4" s="23" t="s">
        <v>612</v>
      </c>
      <c r="AB4" s="23" t="s">
        <v>613</v>
      </c>
      <c r="AC4" s="23" t="s">
        <v>614</v>
      </c>
      <c r="AD4" s="23" t="s">
        <v>615</v>
      </c>
      <c r="AE4" s="23" t="s">
        <v>351</v>
      </c>
      <c r="AF4" s="23" t="s">
        <v>616</v>
      </c>
      <c r="AG4" s="23" t="s">
        <v>290</v>
      </c>
      <c r="AH4" s="23" t="s">
        <v>617</v>
      </c>
      <c r="AI4" s="23" t="s">
        <v>618</v>
      </c>
      <c r="AJ4" s="23" t="s">
        <v>44</v>
      </c>
      <c r="AK4" s="23" t="s">
        <v>44</v>
      </c>
    </row>
    <row r="5" spans="1:37" ht="15" customHeight="1" x14ac:dyDescent="0.3">
      <c r="A5" s="23" t="s">
        <v>619</v>
      </c>
      <c r="B5" s="23" t="s">
        <v>620</v>
      </c>
      <c r="C5" s="23" t="s">
        <v>621</v>
      </c>
      <c r="D5" s="23" t="s">
        <v>622</v>
      </c>
      <c r="E5" s="23" t="s">
        <v>623</v>
      </c>
      <c r="F5" s="23" t="s">
        <v>624</v>
      </c>
      <c r="G5" s="23" t="s">
        <v>95</v>
      </c>
      <c r="H5" s="23" t="s">
        <v>625</v>
      </c>
      <c r="I5" s="23" t="s">
        <v>626</v>
      </c>
      <c r="J5" s="23" t="s">
        <v>627</v>
      </c>
      <c r="K5" s="23" t="s">
        <v>109</v>
      </c>
      <c r="L5" s="23" t="s">
        <v>125</v>
      </c>
      <c r="M5" s="23" t="s">
        <v>628</v>
      </c>
      <c r="N5" s="23" t="s">
        <v>629</v>
      </c>
      <c r="O5" s="23" t="s">
        <v>630</v>
      </c>
      <c r="P5" s="23" t="s">
        <v>631</v>
      </c>
      <c r="Q5" s="23" t="s">
        <v>145</v>
      </c>
      <c r="R5" s="23" t="s">
        <v>632</v>
      </c>
      <c r="S5" s="23" t="s">
        <v>160</v>
      </c>
      <c r="T5" s="23" t="s">
        <v>633</v>
      </c>
      <c r="U5" s="23" t="s">
        <v>634</v>
      </c>
      <c r="V5" s="23" t="s">
        <v>635</v>
      </c>
      <c r="W5" s="23" t="s">
        <v>636</v>
      </c>
      <c r="X5" s="23" t="s">
        <v>267</v>
      </c>
      <c r="Y5" s="23" t="s">
        <v>295</v>
      </c>
      <c r="Z5" s="23" t="s">
        <v>326</v>
      </c>
      <c r="AA5" s="23" t="s">
        <v>328</v>
      </c>
      <c r="AB5" s="23" t="s">
        <v>637</v>
      </c>
      <c r="AC5" s="23" t="s">
        <v>638</v>
      </c>
      <c r="AD5" s="23" t="s">
        <v>639</v>
      </c>
      <c r="AE5" s="23" t="s">
        <v>640</v>
      </c>
      <c r="AF5" s="23" t="s">
        <v>641</v>
      </c>
      <c r="AG5" s="23" t="s">
        <v>295</v>
      </c>
      <c r="AH5" s="23" t="s">
        <v>642</v>
      </c>
      <c r="AI5" s="23" t="s">
        <v>643</v>
      </c>
      <c r="AJ5" s="23" t="s">
        <v>107</v>
      </c>
      <c r="AK5" s="23" t="s">
        <v>107</v>
      </c>
    </row>
    <row r="6" spans="1:37" ht="15" customHeight="1" x14ac:dyDescent="0.3">
      <c r="A6" s="23" t="s">
        <v>644</v>
      </c>
      <c r="B6" s="23" t="s">
        <v>645</v>
      </c>
      <c r="C6" s="23" t="s">
        <v>35</v>
      </c>
      <c r="D6" s="23" t="s">
        <v>646</v>
      </c>
      <c r="E6" s="23" t="s">
        <v>647</v>
      </c>
      <c r="F6" s="23" t="s">
        <v>648</v>
      </c>
      <c r="G6" s="23" t="s">
        <v>88</v>
      </c>
      <c r="H6" s="23" t="s">
        <v>649</v>
      </c>
      <c r="I6" s="23" t="s">
        <v>650</v>
      </c>
      <c r="J6" s="23" t="s">
        <v>651</v>
      </c>
      <c r="K6" s="23" t="s">
        <v>652</v>
      </c>
      <c r="L6" s="23" t="s">
        <v>653</v>
      </c>
      <c r="M6" s="23" t="s">
        <v>654</v>
      </c>
      <c r="N6" s="23" t="s">
        <v>655</v>
      </c>
      <c r="O6" s="23" t="s">
        <v>656</v>
      </c>
      <c r="P6" s="23" t="s">
        <v>657</v>
      </c>
      <c r="Q6" s="23" t="s">
        <v>658</v>
      </c>
      <c r="R6" s="23" t="s">
        <v>659</v>
      </c>
      <c r="S6" s="23" t="s">
        <v>171</v>
      </c>
      <c r="T6" s="23" t="s">
        <v>201</v>
      </c>
      <c r="U6" s="23" t="s">
        <v>178</v>
      </c>
      <c r="V6" s="23" t="s">
        <v>660</v>
      </c>
      <c r="W6" s="23" t="s">
        <v>661</v>
      </c>
      <c r="X6" s="23" t="s">
        <v>242</v>
      </c>
      <c r="Y6" s="23" t="s">
        <v>358</v>
      </c>
      <c r="Z6" s="23" t="s">
        <v>242</v>
      </c>
      <c r="AA6" s="23" t="s">
        <v>662</v>
      </c>
      <c r="AB6" s="23" t="s">
        <v>663</v>
      </c>
      <c r="AC6" s="23" t="s">
        <v>664</v>
      </c>
      <c r="AD6" s="23" t="s">
        <v>665</v>
      </c>
      <c r="AE6" s="23" t="s">
        <v>666</v>
      </c>
      <c r="AF6" s="23" t="s">
        <v>667</v>
      </c>
      <c r="AG6" s="23" t="s">
        <v>358</v>
      </c>
      <c r="AH6" s="23" t="s">
        <v>664</v>
      </c>
      <c r="AI6" s="23" t="s">
        <v>668</v>
      </c>
      <c r="AK6" s="23" t="s">
        <v>118</v>
      </c>
    </row>
    <row r="7" spans="1:37" ht="15" customHeight="1" x14ac:dyDescent="0.3">
      <c r="A7" s="23" t="s">
        <v>31</v>
      </c>
      <c r="B7" s="23" t="s">
        <v>33</v>
      </c>
      <c r="C7" s="23" t="s">
        <v>669</v>
      </c>
      <c r="D7" s="23" t="s">
        <v>670</v>
      </c>
      <c r="E7" s="23" t="s">
        <v>39</v>
      </c>
      <c r="F7" s="23" t="s">
        <v>671</v>
      </c>
      <c r="G7" s="23" t="s">
        <v>80</v>
      </c>
      <c r="H7" s="23" t="s">
        <v>672</v>
      </c>
      <c r="I7" s="23" t="s">
        <v>673</v>
      </c>
      <c r="J7" s="23" t="s">
        <v>674</v>
      </c>
      <c r="K7" s="23" t="s">
        <v>675</v>
      </c>
      <c r="L7" s="23" t="s">
        <v>676</v>
      </c>
      <c r="M7" s="23" t="s">
        <v>128</v>
      </c>
      <c r="N7" s="23" t="s">
        <v>677</v>
      </c>
      <c r="O7" s="23" t="s">
        <v>678</v>
      </c>
      <c r="P7" s="23" t="s">
        <v>679</v>
      </c>
      <c r="Q7" s="23" t="s">
        <v>680</v>
      </c>
      <c r="R7" s="23" t="s">
        <v>681</v>
      </c>
      <c r="S7" s="23" t="s">
        <v>166</v>
      </c>
      <c r="T7" s="23" t="s">
        <v>682</v>
      </c>
      <c r="U7" s="23" t="s">
        <v>162</v>
      </c>
      <c r="V7" s="23" t="s">
        <v>683</v>
      </c>
      <c r="W7" s="23" t="s">
        <v>684</v>
      </c>
      <c r="X7" s="23" t="s">
        <v>259</v>
      </c>
      <c r="Z7" s="23" t="s">
        <v>685</v>
      </c>
      <c r="AA7" s="23" t="s">
        <v>686</v>
      </c>
      <c r="AB7" s="23" t="s">
        <v>687</v>
      </c>
      <c r="AC7" s="23" t="s">
        <v>688</v>
      </c>
      <c r="AD7" s="23" t="s">
        <v>689</v>
      </c>
      <c r="AE7" s="23" t="s">
        <v>690</v>
      </c>
      <c r="AF7" s="23" t="s">
        <v>691</v>
      </c>
      <c r="AH7" s="23" t="s">
        <v>692</v>
      </c>
      <c r="AI7" s="23" t="s">
        <v>693</v>
      </c>
    </row>
    <row r="8" spans="1:37" ht="15" customHeight="1" x14ac:dyDescent="0.3">
      <c r="A8" s="23" t="s">
        <v>694</v>
      </c>
      <c r="B8" s="23" t="s">
        <v>695</v>
      </c>
      <c r="C8" s="23" t="s">
        <v>696</v>
      </c>
      <c r="D8" s="23" t="s">
        <v>697</v>
      </c>
      <c r="E8" s="23" t="s">
        <v>698</v>
      </c>
      <c r="F8" s="23" t="s">
        <v>64</v>
      </c>
      <c r="G8" s="23" t="s">
        <v>92</v>
      </c>
      <c r="H8" s="23" t="s">
        <v>699</v>
      </c>
      <c r="I8" s="23" t="s">
        <v>700</v>
      </c>
      <c r="J8" s="23" t="s">
        <v>105</v>
      </c>
      <c r="L8" s="23" t="s">
        <v>701</v>
      </c>
      <c r="M8" s="23" t="s">
        <v>702</v>
      </c>
      <c r="N8" s="23" t="s">
        <v>703</v>
      </c>
      <c r="P8" s="23" t="s">
        <v>704</v>
      </c>
      <c r="Q8" s="23" t="s">
        <v>705</v>
      </c>
      <c r="R8" s="23" t="s">
        <v>706</v>
      </c>
      <c r="S8" s="23" t="s">
        <v>181</v>
      </c>
      <c r="U8" s="23" t="s">
        <v>172</v>
      </c>
      <c r="V8" s="23" t="s">
        <v>707</v>
      </c>
      <c r="W8" s="23" t="s">
        <v>708</v>
      </c>
      <c r="X8" s="23" t="s">
        <v>271</v>
      </c>
      <c r="Z8" s="23" t="s">
        <v>709</v>
      </c>
      <c r="AB8" s="23" t="s">
        <v>710</v>
      </c>
      <c r="AC8" s="23" t="s">
        <v>678</v>
      </c>
      <c r="AD8" s="23" t="s">
        <v>711</v>
      </c>
      <c r="AE8" s="23" t="s">
        <v>712</v>
      </c>
      <c r="AF8" s="23" t="s">
        <v>713</v>
      </c>
      <c r="AI8" s="23" t="s">
        <v>89</v>
      </c>
    </row>
    <row r="9" spans="1:37" ht="15" customHeight="1" x14ac:dyDescent="0.3">
      <c r="B9" s="23" t="s">
        <v>714</v>
      </c>
      <c r="C9" s="23" t="s">
        <v>715</v>
      </c>
      <c r="D9" s="23" t="s">
        <v>716</v>
      </c>
      <c r="E9" s="23" t="s">
        <v>717</v>
      </c>
      <c r="F9" s="23" t="s">
        <v>718</v>
      </c>
      <c r="I9" s="23" t="s">
        <v>82</v>
      </c>
      <c r="L9" s="23" t="s">
        <v>719</v>
      </c>
      <c r="M9" s="23" t="s">
        <v>720</v>
      </c>
      <c r="N9" s="23" t="s">
        <v>721</v>
      </c>
      <c r="P9" s="23" t="s">
        <v>722</v>
      </c>
      <c r="R9" s="23" t="s">
        <v>723</v>
      </c>
      <c r="S9" s="23" t="s">
        <v>189</v>
      </c>
      <c r="V9" s="23" t="s">
        <v>222</v>
      </c>
      <c r="W9" s="23" t="s">
        <v>724</v>
      </c>
      <c r="AB9" s="23" t="s">
        <v>725</v>
      </c>
      <c r="AE9" s="23" t="s">
        <v>726</v>
      </c>
      <c r="AF9" s="23" t="s">
        <v>355</v>
      </c>
      <c r="AI9" s="23" t="s">
        <v>692</v>
      </c>
    </row>
    <row r="10" spans="1:37" ht="15" customHeight="1" x14ac:dyDescent="0.3">
      <c r="C10" s="23" t="s">
        <v>727</v>
      </c>
      <c r="D10" s="23" t="s">
        <v>728</v>
      </c>
      <c r="E10" s="23" t="s">
        <v>729</v>
      </c>
      <c r="I10" s="23" t="s">
        <v>730</v>
      </c>
      <c r="L10" s="23" t="s">
        <v>731</v>
      </c>
      <c r="N10" s="23" t="s">
        <v>732</v>
      </c>
      <c r="R10" s="23" t="s">
        <v>733</v>
      </c>
      <c r="S10" s="23" t="s">
        <v>193</v>
      </c>
      <c r="W10" s="23" t="s">
        <v>734</v>
      </c>
      <c r="AB10" s="23" t="s">
        <v>735</v>
      </c>
      <c r="AF10" s="23" t="s">
        <v>736</v>
      </c>
    </row>
    <row r="11" spans="1:37" ht="15" customHeight="1" x14ac:dyDescent="0.3">
      <c r="C11" s="23" t="s">
        <v>737</v>
      </c>
      <c r="D11" s="23" t="s">
        <v>37</v>
      </c>
      <c r="I11" s="23" t="s">
        <v>738</v>
      </c>
      <c r="L11" s="23" t="s">
        <v>739</v>
      </c>
      <c r="N11" s="23" t="s">
        <v>130</v>
      </c>
      <c r="R11" s="23" t="s">
        <v>740</v>
      </c>
      <c r="S11" s="23" t="s">
        <v>741</v>
      </c>
      <c r="W11" s="23" t="s">
        <v>742</v>
      </c>
      <c r="AB11" s="23" t="s">
        <v>743</v>
      </c>
    </row>
    <row r="12" spans="1:37" ht="15" customHeight="1" x14ac:dyDescent="0.3">
      <c r="C12" s="23" t="s">
        <v>744</v>
      </c>
      <c r="D12" s="23" t="s">
        <v>745</v>
      </c>
      <c r="I12" s="23" t="s">
        <v>89</v>
      </c>
      <c r="L12" s="23" t="s">
        <v>746</v>
      </c>
      <c r="N12" s="23" t="s">
        <v>89</v>
      </c>
      <c r="R12" s="23" t="s">
        <v>747</v>
      </c>
      <c r="W12" s="23" t="s">
        <v>219</v>
      </c>
      <c r="AB12" s="23" t="s">
        <v>748</v>
      </c>
    </row>
    <row r="13" spans="1:37" ht="15" customHeight="1" x14ac:dyDescent="0.3">
      <c r="L13" s="23" t="s">
        <v>749</v>
      </c>
      <c r="R13" s="23" t="s">
        <v>750</v>
      </c>
      <c r="W13" s="23" t="s">
        <v>118</v>
      </c>
      <c r="AB13" s="23" t="s">
        <v>89</v>
      </c>
    </row>
    <row r="14" spans="1:37" ht="15" customHeight="1" x14ac:dyDescent="0.3">
      <c r="L14" s="23" t="s">
        <v>751</v>
      </c>
      <c r="R14" s="23" t="s">
        <v>147</v>
      </c>
    </row>
    <row r="15" spans="1:37" ht="15" customHeight="1" x14ac:dyDescent="0.3">
      <c r="L15" s="23" t="s">
        <v>752</v>
      </c>
    </row>
    <row r="16" spans="1:37" ht="15" customHeight="1" x14ac:dyDescent="0.3">
      <c r="L16" s="23" t="s">
        <v>89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2026-07-09T23:32:53Z</dcterms:modified>
  <dc:language>en-US</dc:language>
</cp:coreProperties>
</file>