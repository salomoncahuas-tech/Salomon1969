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integración'!$A$74:$A$75</f>
            </numRef>
          </cat>
          <val>
            <numRef>
              <f>'Gráficos de integración'!$B$74:$B$75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integración'!B93</f>
            </strRef>
          </tx>
          <spPr>
            <a:ln>
              <a:prstDash val="solid"/>
            </a:ln>
          </spPr>
          <cat>
            <numRef>
              <f>'Gráficos de integración'!$A$94:$A$97</f>
            </numRef>
          </cat>
          <val>
            <numRef>
              <f>'Gráficos de integración'!$B$94:$B$97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92</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18</t>
        </is>
      </c>
    </row>
    <row r="6" ht="24" customHeight="1">
      <c r="A6" s="4" t="inlineStr">
        <is>
          <t>Diagnóstico Territorial — Plantilla DT Campo Check Validada V5 | Sistema de referencia: UTM WGS 84 Zona 17S (EPSG:32717) · Integrado con la ficha de campo F-DT vigente (Plantilla_DT_Campo_Bloque18_IN_Piura.xlsx) — V7 - resumen V6 + campo F-DT integrado</t>
        </is>
      </c>
    </row>
    <row r="7"/>
    <row r="8" ht="18" customHeight="1">
      <c r="A8" s="5" t="inlineStr">
        <is>
          <t>1. IDENTIFICACIÓN Y LOCALIZACIÓN</t>
        </is>
      </c>
    </row>
    <row r="9">
      <c r="A9" s="6" t="inlineStr">
        <is>
          <t>Código del bloque</t>
        </is>
      </c>
      <c r="B9" s="7" t="inlineStr">
        <is>
          <t>18</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Caserío Piedra Blanca (Huarmaca)</t>
        </is>
      </c>
      <c r="C13" s="6" t="inlineStr">
        <is>
          <t>Comunidad campesina</t>
        </is>
      </c>
      <c r="D13" s="7" t="inlineStr">
        <is>
          <t>Por verificar</t>
        </is>
      </c>
      <c r="E13" s="8" t="n"/>
      <c r="F13" s="8" t="n"/>
    </row>
    <row r="14">
      <c r="A14" s="6" t="inlineStr">
        <is>
          <t>Superficie de catálogo (V5/V6), ha</t>
        </is>
      </c>
      <c r="B14" s="7" t="n">
        <v>103.62</v>
      </c>
      <c r="C14" s="6" t="inlineStr">
        <is>
          <t>Fuente de superficie</t>
        </is>
      </c>
      <c r="D14" s="7" t="inlineStr">
        <is>
          <t>Catálogo maestro Bloques V5/V6</t>
        </is>
      </c>
      <c r="E14" s="8" t="n"/>
      <c r="F14" s="8" t="n"/>
    </row>
    <row r="15">
      <c r="A15" s="6" t="inlineStr">
        <is>
          <t>Centroide UTM ESTE (m)</t>
        </is>
      </c>
      <c r="B15" s="7" t="n">
        <v>656445</v>
      </c>
      <c r="C15" s="6" t="inlineStr">
        <is>
          <t>Centroide UTM NORTE (m)</t>
        </is>
      </c>
      <c r="D15" s="7" t="n">
        <v>9393180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1218</v>
      </c>
      <c r="C19" s="6" t="inlineStr">
        <is>
          <t>Altitud máxima (msnm)</t>
        </is>
      </c>
      <c r="D19" s="7" t="n">
        <v>1904</v>
      </c>
      <c r="E19" s="8" t="n"/>
      <c r="F19" s="8" t="n"/>
    </row>
    <row r="20">
      <c r="A20" s="6" t="inlineStr">
        <is>
          <t>Amplitud altitudinal (m)</t>
        </is>
      </c>
      <c r="B20" s="7" t="n">
        <v>686</v>
      </c>
      <c r="C20" s="6" t="inlineStr">
        <is>
          <t>Piso altitudinal dominante</t>
        </is>
      </c>
      <c r="D20" s="7" t="inlineStr">
        <is>
          <t>1500-2000 m (Quechua media)</t>
        </is>
      </c>
      <c r="E20" s="8" t="n"/>
      <c r="F20" s="8" t="n"/>
    </row>
    <row r="21">
      <c r="A21" s="6" t="inlineStr">
        <is>
          <t>Pendiente promedio (%)</t>
        </is>
      </c>
      <c r="B21" s="7" t="n">
        <v>28.7</v>
      </c>
      <c r="C21" s="6" t="inlineStr">
        <is>
          <t>Pendiente promedio (grados)</t>
        </is>
      </c>
      <c r="D21" s="7" t="n">
        <v>16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0.6402</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(96.64 %)</t>
        </is>
      </c>
      <c r="E29" s="8" t="n"/>
      <c r="F29" s="8" t="n"/>
    </row>
    <row r="30">
      <c r="A30" s="6" t="inlineStr">
        <is>
          <t>Superficie clasificada NDVI 2025 (ha)</t>
        </is>
      </c>
      <c r="B30" s="7" t="n">
        <v>103.637</v>
      </c>
      <c r="C30" s="6" t="inlineStr">
        <is>
          <t>Desviación frente al catálogo (%)</t>
        </is>
      </c>
      <c r="D30" s="7" t="n">
        <v>0.02</v>
      </c>
      <c r="E30" s="8" t="n"/>
      <c r="F30" s="8" t="n"/>
    </row>
    <row r="31">
      <c r="A31" s="6" t="inlineStr">
        <is>
          <t>Superficie clasificada MSAVI 2024 (ha)</t>
        </is>
      </c>
      <c r="B31" s="38" t="n">
        <v>103.617</v>
      </c>
      <c r="C31" s="6" t="inlineStr">
        <is>
          <t>Desviación MSAVI frente al catálogo (%)</t>
        </is>
      </c>
      <c r="D31" s="39" t="n">
        <v>0</v>
      </c>
      <c r="E31" s="8" t="n"/>
      <c r="F31" s="8" t="n"/>
    </row>
    <row r="32">
      <c r="A32" s="6" t="inlineStr">
        <is>
          <t>Superficie bajo umbral MSAVI 0.4976 (ha)</t>
        </is>
      </c>
      <c r="B32" s="38" t="n">
        <v>3.111</v>
      </c>
      <c r="C32" s="6" t="inlineStr">
        <is>
          <t>% del bloque bajo umbral (brecha espectral)</t>
        </is>
      </c>
      <c r="D32" s="39" t="n">
        <v>3</v>
      </c>
      <c r="E32" s="8" t="n"/>
      <c r="F32" s="8" t="n"/>
    </row>
    <row r="33">
      <c r="A33" s="6" t="inlineStr">
        <is>
          <t>Clase DN dominante (MSAVI 2024)</t>
        </is>
      </c>
      <c r="B33" s="7" t="inlineStr">
        <is>
          <t>DN 5 · &gt; 0.6139 (Vigor alto)</t>
        </is>
      </c>
      <c r="C33" s="6" t="inlineStr">
        <is>
          <t>N.° de polígonos MSAVI del bloque</t>
        </is>
      </c>
      <c r="D33" s="40" t="n">
        <v>210</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Bes-cm 94.3 ha + Zona agrícola 9.32 ha</t>
        </is>
      </c>
      <c r="E36" s="8" t="n"/>
      <c r="F36" s="8" t="n"/>
    </row>
    <row r="37">
      <c r="A37" s="6" t="inlineStr">
        <is>
          <t>Estado de conservación</t>
        </is>
      </c>
      <c r="B37" s="7" t="inlineStr">
        <is>
          <t>Levemente alterado</t>
        </is>
      </c>
      <c r="C37" s="6" t="inlineStr">
        <is>
          <t>Uso actual dominante del suelo</t>
        </is>
      </c>
      <c r="D37" s="7" t="inlineStr">
        <is>
          <t>Forestal protección</t>
        </is>
      </c>
      <c r="E37" s="8" t="n"/>
      <c r="F37" s="8" t="n"/>
    </row>
    <row r="38">
      <c r="A38" s="6" t="inlineStr">
        <is>
          <t>Tipo de cobertura dominante</t>
        </is>
      </c>
      <c r="B38" s="7" t="inlineStr">
        <is>
          <t>Bosque ralo (30-70%)</t>
        </is>
      </c>
      <c r="C38" s="6" t="inlineStr">
        <is>
          <t>Cobertura vegetal total — campo (%)</t>
        </is>
      </c>
      <c r="D38" s="50" t="inlineStr">
        <is>
          <t>85</t>
        </is>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7" t="inlineStr">
        <is>
          <t>16:21</t>
        </is>
      </c>
      <c r="C45" s="6" t="inlineStr">
        <is>
          <t>Correlativo de ficha</t>
        </is>
      </c>
      <c r="D45" s="7" t="inlineStr">
        <is>
          <t>B18-F01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Observación directa en recorrido (sin parcela permanente)</t>
        </is>
      </c>
      <c r="E47" s="8" t="n"/>
      <c r="F47" s="8" t="n"/>
    </row>
    <row r="48">
      <c r="A48" s="6" t="inlineStr">
        <is>
          <t>Estaciones fotográficas georreferenciadas</t>
        </is>
      </c>
      <c r="B48" s="7" t="n">
        <v>10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antrópica sobre laderas de fuerte pendiente asociada al corredor vial y a la agricultura de subsistencia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69.01439999999999</v>
      </c>
      <c r="C10" s="29">
        <f>ROUND(B10/$B$15*100,2)</f>
        <v/>
      </c>
      <c r="D10" s="12" t="inlineStr">
        <is>
          <t>Vigor alto</t>
        </is>
      </c>
      <c r="E10" s="12" t="inlineStr">
        <is>
          <t>Sobre umbral</t>
        </is>
      </c>
    </row>
    <row r="11">
      <c r="A11" s="13" t="inlineStr">
        <is>
          <t>0.4976 - 0.6139 · DN 4</t>
        </is>
      </c>
      <c r="B11" s="20" t="n">
        <v>31.4917</v>
      </c>
      <c r="C11" s="21">
        <f>ROUND(B11/$B$15*100,2)</f>
        <v/>
      </c>
      <c r="D11" s="14" t="inlineStr">
        <is>
          <t>Vigor moderado</t>
        </is>
      </c>
      <c r="E11" s="14" t="inlineStr">
        <is>
          <t>Sobre umbral</t>
        </is>
      </c>
    </row>
    <row r="12">
      <c r="A12" s="7" t="inlineStr">
        <is>
          <t>0.3813 - 0.4976 · DN 3</t>
        </is>
      </c>
      <c r="B12" s="18" t="n">
        <v>3.1111</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210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103.62</v>
      </c>
      <c r="C18" s="49" t="inlineStr">
        <is>
          <t>—</t>
        </is>
      </c>
      <c r="D18" s="46" t="inlineStr">
        <is>
          <t>Desviación planimétrica frente al catálogo</t>
        </is>
      </c>
      <c r="E18" s="46" t="inlineStr">
        <is>
          <t>+0.00 %</t>
        </is>
      </c>
    </row>
    <row r="19">
      <c r="A19" s="16" t="inlineStr">
        <is>
          <t>MSAVI 2024 — MEDIA DEL BLOQUE</t>
        </is>
      </c>
      <c r="B19" s="17" t="n">
        <v>0.640219</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210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(0.6402)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100.1564</v>
      </c>
      <c r="C25" s="19" t="n">
        <v>96.64</v>
      </c>
      <c r="D25" s="15" t="inlineStr">
        <is>
          <t>Dosel continuo, matorral denso o mosaico agroforestal</t>
        </is>
      </c>
      <c r="E25" s="15" t="inlineStr"/>
    </row>
    <row r="26">
      <c r="A26" s="13" t="inlineStr">
        <is>
          <t>Vegetación mediana</t>
        </is>
      </c>
      <c r="B26" s="20" t="n">
        <v>3.4808</v>
      </c>
      <c r="C26" s="21" t="n">
        <v>3.36</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103.62</v>
      </c>
      <c r="C28" s="25" t="inlineStr">
        <is>
          <t>—</t>
        </is>
      </c>
      <c r="D28" s="25" t="inlineStr">
        <is>
          <t>Desviación planimétrica frente al catálogo</t>
        </is>
      </c>
      <c r="E28" s="25" t="inlineStr">
        <is>
          <t>+0.02 %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96.64 % del polígono clasificado como «Vegetación alta» por el NDVI 2025; la observación de campo corresponde a una parcela o recorrido puntual y no es estadísticamente representativa de las 103.620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18</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C-01</t>
        </is>
      </c>
      <c r="B10" s="15" t="inlineStr">
        <is>
          <t>Rasgo erosivo — Cárcava incipiente (30-50 cm)</t>
        </is>
      </c>
      <c r="C10" s="26" t="n">
        <v>657109</v>
      </c>
      <c r="D10" s="26" t="n">
        <v>9392675</v>
      </c>
      <c r="E10" s="15" t="n">
        <v>834.2</v>
      </c>
      <c r="F10" s="15" t="inlineStr">
        <is>
          <t>Activa</t>
        </is>
      </c>
      <c r="G10" s="15" t="inlineStr">
        <is>
          <t>Otro</t>
        </is>
      </c>
    </row>
    <row r="11">
      <c r="A11" s="13" t="inlineStr">
        <is>
          <t>C-02</t>
        </is>
      </c>
      <c r="B11" s="14" t="inlineStr">
        <is>
          <t>Rasgo erosivo — Cárcava somera (0.5-2 m)</t>
        </is>
      </c>
      <c r="C11" s="27" t="n">
        <v>657110</v>
      </c>
      <c r="D11" s="27" t="n">
        <v>9392674</v>
      </c>
      <c r="E11" s="14" t="n">
        <v>835.6</v>
      </c>
      <c r="F11" s="14" t="inlineStr">
        <is>
          <t>Semi-activa</t>
        </is>
      </c>
      <c r="G11" s="14" t="inlineStr">
        <is>
          <t>Concentración natural de escorrentía</t>
        </is>
      </c>
    </row>
    <row r="12">
      <c r="A12" s="7" t="inlineStr">
        <is>
          <t>C-03</t>
        </is>
      </c>
      <c r="B12" s="15" t="inlineStr">
        <is>
          <t>Rasgo erosivo — Cárcava incipiente (30-50 cm)</t>
        </is>
      </c>
      <c r="C12" s="26" t="n">
        <v>657109</v>
      </c>
      <c r="D12" s="26" t="n">
        <v>9392443</v>
      </c>
      <c r="E12" s="15" t="n">
        <v>992</v>
      </c>
      <c r="F12" s="15" t="inlineStr">
        <is>
          <t>Semi-activa</t>
        </is>
      </c>
      <c r="G12" s="15" t="inlineStr">
        <is>
          <t>Concentración natural de escorrentía</t>
        </is>
      </c>
    </row>
    <row r="13">
      <c r="A13" s="13" t="inlineStr">
        <is>
          <t>H-01</t>
        </is>
      </c>
      <c r="B13" s="14" t="inlineStr">
        <is>
          <t>Fuente de agua — Quebrada estacional</t>
        </is>
      </c>
      <c r="C13" s="27" t="n">
        <v>657110</v>
      </c>
      <c r="D13" s="27" t="n">
        <v>9392674</v>
      </c>
      <c r="E13" s="14" t="n">
        <v>835.6</v>
      </c>
      <c r="F13" s="14" t="inlineStr"/>
      <c r="G13" s="14" t="inlineStr">
        <is>
          <t>Quebrada tributaria</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656445</v>
      </c>
      <c r="C16" s="6" t="inlineStr">
        <is>
          <t>Centroide del bloque — UTM NORTE (m)</t>
        </is>
      </c>
      <c r="D16" s="7" t="n">
        <v>9393180</v>
      </c>
      <c r="E16" s="8" t="n"/>
      <c r="F16" s="8" t="n"/>
      <c r="G16" s="8" t="n"/>
      <c r="H16" s="8" t="n"/>
    </row>
    <row r="17">
      <c r="A17" s="6" t="inlineStr">
        <is>
          <t>N.° de estaciones fotográficas declaradas</t>
        </is>
      </c>
      <c r="B17" s="7" t="n">
        <v>10</v>
      </c>
      <c r="C17" s="6" t="inlineStr">
        <is>
          <t>Estaciones dentro del polígono</t>
        </is>
      </c>
      <c r="D17" s="7" t="inlineStr">
        <is>
          <t>Por determinar</t>
        </is>
      </c>
      <c r="E17" s="8" t="n"/>
      <c r="F17" s="8" t="n"/>
      <c r="G17" s="8" t="n"/>
      <c r="H17" s="8" t="n"/>
    </row>
    <row r="19" ht="10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Terrenos de propiedad privada. El recorrido (21-07-2026) se concentró en el corredor de acceso sur, sobre la trocha departamental 108. Perfil de elevación: cotas 1223-1606 msnm (media ≈1420, pendiente media 33%, máxima 54%); el bloque asciende hacia las cimas al piso Quechua media. Altitud GPS instrumental no registrada: por verificar.</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18</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18</t>
        </is>
      </c>
      <c r="B10" s="28" t="n">
        <v>103.62</v>
      </c>
      <c r="C10" s="29" t="n">
        <v>21.54</v>
      </c>
      <c r="D10" s="12" t="inlineStr">
        <is>
          <t>1218 – 1904</t>
        </is>
      </c>
      <c r="E10" s="12" t="n">
        <v>686</v>
      </c>
      <c r="F10" s="12" t="n">
        <v>28.7</v>
      </c>
      <c r="G10" s="30" t="n">
        <v>0.6402</v>
      </c>
      <c r="H10" s="29" t="n">
        <v>96.64</v>
      </c>
      <c r="I10" s="29" t="n">
        <v>3</v>
      </c>
    </row>
    <row r="11">
      <c r="A11" s="13" t="inlineStr">
        <is>
          <t>19</t>
        </is>
      </c>
      <c r="B11" s="31" t="n">
        <v>82.09</v>
      </c>
      <c r="C11" s="21" t="n">
        <v>17.06</v>
      </c>
      <c r="D11" s="14" t="inlineStr">
        <is>
          <t>2064 – 2503</t>
        </is>
      </c>
      <c r="E11" s="14" t="n">
        <v>439</v>
      </c>
      <c r="F11" s="14" t="n">
        <v>31.01</v>
      </c>
      <c r="G11" s="20" t="n">
        <v>0.5372</v>
      </c>
      <c r="H11" s="21" t="n">
        <v>60.33</v>
      </c>
      <c r="I11" s="21" t="n">
        <v>42.63</v>
      </c>
    </row>
    <row r="12">
      <c r="A12" s="7" t="inlineStr">
        <is>
          <t>41</t>
        </is>
      </c>
      <c r="B12" s="32" t="n">
        <v>64.92</v>
      </c>
      <c r="C12" s="19" t="n">
        <v>13.49</v>
      </c>
      <c r="D12" s="15" t="inlineStr">
        <is>
          <t>1536 – 1818</t>
        </is>
      </c>
      <c r="E12" s="15" t="n">
        <v>282</v>
      </c>
      <c r="F12" s="15" t="n">
        <v>25.53</v>
      </c>
      <c r="G12" s="18" t="n">
        <v>0.5927</v>
      </c>
      <c r="H12" s="19" t="n">
        <v>98.02</v>
      </c>
      <c r="I12" s="19" t="n">
        <v>12.26</v>
      </c>
    </row>
    <row r="13">
      <c r="A13" s="13" t="inlineStr">
        <is>
          <t>73</t>
        </is>
      </c>
      <c r="B13" s="31" t="n">
        <v>54.29</v>
      </c>
      <c r="C13" s="21" t="n">
        <v>11.28</v>
      </c>
      <c r="D13" s="14" t="inlineStr">
        <is>
          <t>1845 – 2305</t>
        </is>
      </c>
      <c r="E13" s="14" t="n">
        <v>460</v>
      </c>
      <c r="F13" s="14" t="n">
        <v>36.34</v>
      </c>
      <c r="G13" s="20" t="n">
        <v>0.555</v>
      </c>
      <c r="H13" s="21" t="n">
        <v>88.8</v>
      </c>
      <c r="I13" s="21" t="n">
        <v>18.94</v>
      </c>
    </row>
    <row r="14">
      <c r="A14" s="7" t="inlineStr">
        <is>
          <t>31</t>
        </is>
      </c>
      <c r="B14" s="32" t="n">
        <v>47.58</v>
      </c>
      <c r="C14" s="19" t="n">
        <v>9.890000000000001</v>
      </c>
      <c r="D14" s="15" t="inlineStr">
        <is>
          <t>1741 – 2234</t>
        </is>
      </c>
      <c r="E14" s="15" t="n">
        <v>493</v>
      </c>
      <c r="F14" s="15" t="n">
        <v>27.08</v>
      </c>
      <c r="G14" s="18" t="n">
        <v>0.4358</v>
      </c>
      <c r="H14" s="19" t="n">
        <v>18.56</v>
      </c>
      <c r="I14" s="19" t="n">
        <v>78.42</v>
      </c>
    </row>
    <row r="15">
      <c r="A15" s="13" t="inlineStr">
        <is>
          <t>29</t>
        </is>
      </c>
      <c r="B15" s="31" t="n">
        <v>40.1</v>
      </c>
      <c r="C15" s="21" t="n">
        <v>8.33</v>
      </c>
      <c r="D15" s="14" t="inlineStr">
        <is>
          <t>2142 – 2391</t>
        </is>
      </c>
      <c r="E15" s="14" t="n">
        <v>249</v>
      </c>
      <c r="F15" s="14" t="n">
        <v>31.54</v>
      </c>
      <c r="G15" s="20" t="n">
        <v>0.5482</v>
      </c>
      <c r="H15" s="21" t="inlineStr">
        <is>
          <t>Por determinar</t>
        </is>
      </c>
      <c r="I15" s="14" t="inlineStr">
        <is>
          <t>s/d</t>
        </is>
      </c>
    </row>
    <row r="16">
      <c r="A16" s="7" t="inlineStr">
        <is>
          <t>70</t>
        </is>
      </c>
      <c r="B16" s="32" t="n">
        <v>22.39</v>
      </c>
      <c r="C16" s="19" t="n">
        <v>4.65</v>
      </c>
      <c r="D16" s="15" t="inlineStr">
        <is>
          <t>2326 – 2536</t>
        </is>
      </c>
      <c r="E16" s="15" t="n">
        <v>210</v>
      </c>
      <c r="F16" s="15" t="n">
        <v>23.2</v>
      </c>
      <c r="G16" s="18" t="n">
        <v>0.6223</v>
      </c>
      <c r="H16" s="19" t="n">
        <v>98.39</v>
      </c>
      <c r="I16" s="19" t="n">
        <v>4.87</v>
      </c>
    </row>
    <row r="17">
      <c r="A17" s="13" t="inlineStr">
        <is>
          <t>68</t>
        </is>
      </c>
      <c r="B17" s="31" t="n">
        <v>21.29</v>
      </c>
      <c r="C17" s="21" t="n">
        <v>4.42</v>
      </c>
      <c r="D17" s="14" t="inlineStr">
        <is>
          <t>2086 – 2374</t>
        </is>
      </c>
      <c r="E17" s="14" t="n">
        <v>288</v>
      </c>
      <c r="F17" s="14" t="n">
        <v>36.81</v>
      </c>
      <c r="G17" s="20" t="n">
        <v>0.483</v>
      </c>
      <c r="H17" s="21" t="inlineStr">
        <is>
          <t>Por determinar</t>
        </is>
      </c>
      <c r="I17" s="14" t="inlineStr">
        <is>
          <t>s/d</t>
        </is>
      </c>
    </row>
    <row r="18">
      <c r="A18" s="7" t="inlineStr">
        <is>
          <t>69</t>
        </is>
      </c>
      <c r="B18" s="32" t="n">
        <v>19.43</v>
      </c>
      <c r="C18" s="19" t="n">
        <v>4.04</v>
      </c>
      <c r="D18" s="15" t="inlineStr">
        <is>
          <t>1931 – 2205</t>
        </is>
      </c>
      <c r="E18" s="15" t="n">
        <v>274</v>
      </c>
      <c r="F18" s="15" t="n">
        <v>27.95</v>
      </c>
      <c r="G18" s="18" t="n">
        <v>0.4489</v>
      </c>
      <c r="H18" s="19" t="n">
        <v>22.92</v>
      </c>
      <c r="I18" s="19" t="n">
        <v>81.28</v>
      </c>
    </row>
    <row r="19">
      <c r="A19" s="13" t="inlineStr">
        <is>
          <t>53</t>
        </is>
      </c>
      <c r="B19" s="31" t="n">
        <v>13.06</v>
      </c>
      <c r="C19" s="21" t="n">
        <v>2.71</v>
      </c>
      <c r="D19" s="14" t="inlineStr">
        <is>
          <t>2235 – 2540</t>
        </is>
      </c>
      <c r="E19" s="14" t="n">
        <v>305</v>
      </c>
      <c r="F19" s="14" t="n">
        <v>26.89</v>
      </c>
      <c r="G19" s="20" t="n">
        <v>0.5963000000000001</v>
      </c>
      <c r="H19" s="21" t="n">
        <v>86.15000000000001</v>
      </c>
      <c r="I19" s="21" t="n">
        <v>12.45</v>
      </c>
    </row>
    <row r="20">
      <c r="A20" s="7" t="inlineStr">
        <is>
          <t>72</t>
        </is>
      </c>
      <c r="B20" s="32" t="n">
        <v>12.4</v>
      </c>
      <c r="C20" s="19" t="n">
        <v>2.58</v>
      </c>
      <c r="D20" s="15" t="inlineStr">
        <is>
          <t>1538 – 1742</t>
        </is>
      </c>
      <c r="E20" s="15" t="n">
        <v>204</v>
      </c>
      <c r="F20" s="15"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1" t="n"/>
      <c r="I22" s="42" t="n"/>
    </row>
    <row r="24" ht="84" customHeight="1">
      <c r="A24" s="9" t="inlineStr">
        <is>
          <t>LECTURA INTRAMICROCUENCA. El bloque 18 ocupa el puesto 1 de 11 por superficie dentro de la microcuenca C1076-Q9592 (21.54 % de las 481.17 ha preliminares de la microcuenca). Su pendiente promedio (28.70 %, clase «25-50% (Mod. escarpado)») es la 7.ª más baja de 11 y se sitúa por debajo del promedio de la microcuenca (29.39 %). Su MSAVI 2024 (0.6402) es el 1.º de 11 y queda por encima del promedio local (0.5435). Amplitud altitudinal del bloque: 686 m (1218–1904 msnm). El cuadro conserva todos los bloques catalogados en la microcuenca, incluidos los descartados en el tamizaje, para referencia del conjunto. Los bloques sin ficha DT figuran con sus parámetros de gabinete. BRECHA ESPECTRAL. El 3.00 % de la superficie del bloque (3.111 ha de 103.617 ha) se sitúa bajo el umbral MSAVI 0.4976, por debajo del promedio local de la microcuenca (32.80 %)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18</t>
        </is>
      </c>
    </row>
    <row r="6">
      <c r="A6" s="52" t="inlineStr">
        <is>
          <t>Cruce de la ficha de campo F-DT vigente con la ficha de resumen de gabinete y el catálogo maestro. Integración 2026-09-11 20:22:25.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«C1076-Q9592».</t>
        </is>
      </c>
      <c r="D9" s="56" t="inlineStr">
        <is>
          <t>CONFORME</t>
        </is>
      </c>
      <c r="E9" s="56" t="inlineStr">
        <is>
          <t>Sin acción.</t>
        </is>
      </c>
    </row>
    <row r="10">
      <c r="A10" s="57" t="inlineStr">
        <is>
          <t>G-02</t>
        </is>
      </c>
      <c r="B10" s="57" t="inlineStr">
        <is>
          <t>UTM del punto de muestreo</t>
        </is>
      </c>
      <c r="C10" s="57" t="inlineStr">
        <is>
          <t>El punto de muestreo declarado dista 832.0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(103.637 ha) se desvía 0.02 % de la superficie de catálogo (103.62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(103.617 ha) se desvía -0.00 % de la superficie de catálogo (103.62 ha).</t>
        </is>
      </c>
      <c r="D14" s="57" t="inlineStr">
        <is>
          <t>CONFORME</t>
        </is>
      </c>
      <c r="E14" s="57" t="inlineStr">
        <is>
          <t>Sin acción: la segmentación valida la geometría del bloque.</t>
        </is>
      </c>
    </row>
    <row r="15">
      <c r="A15" s="56" t="inlineStr">
        <is>
          <t>G-07</t>
        </is>
      </c>
      <c r="B15" s="56" t="inlineStr">
        <is>
          <t>Brecha espectral MSAVI</t>
        </is>
      </c>
      <c r="C15" s="56" t="inlineStr">
        <is>
          <t>El 3.00 % del bloque queda bajo el umbral 0.4976; superficie de brecha 3.1111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103.62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(0.6402)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89 de 114 hechos integrados (78.1 %); 25 quedan sin dato en ninguna fuente.</t>
        </is>
      </c>
      <c r="D20" s="57" t="inlineStr">
        <is>
          <t>CONFORME</t>
        </is>
      </c>
      <c r="E20" s="57" t="inlineStr">
        <is>
          <t>Sin acción.</t>
        </is>
      </c>
    </row>
    <row r="21">
      <c r="A21" s="56" t="inlineStr">
        <is>
          <t>H-01</t>
        </is>
      </c>
      <c r="B21" s="56" t="inlineStr">
        <is>
          <t>Rango altitudinal / piso ecológico</t>
        </is>
      </c>
      <c r="C21" s="56" t="inlineStr">
        <is>
          <t>La ficha DT declara «1000-1500 m (Quechua baja)»; el MDE sitúa el bloque entre 1218 y 1904 msnm, cuyo punto medio corresponde a «1500-2000 m (Quechua media)»</t>
        </is>
      </c>
      <c r="D21" s="56" t="inlineStr">
        <is>
          <t>NO SUSTANTIVA</t>
        </is>
      </c>
      <c r="E21" s="56" t="inlineStr">
        <is>
          <t>Se declara la divergencia. El bloque abarca más de un piso altitudinal cuando la amplitud supera el ancho de la clase; el registro de campo corresponde al sector recorrido. (Verificación heredada de la ficha de resumen V6.)</t>
        </is>
      </c>
    </row>
    <row r="22">
      <c r="A22" s="57" t="inlineStr">
        <is>
          <t>H-02</t>
        </is>
      </c>
      <c r="B22" s="57" t="inlineStr">
        <is>
          <t>Dimensiones del inventario de cárcavas</t>
        </is>
      </c>
      <c r="C22" s="57" t="inlineStr">
        <is>
          <t>Se registran 3 rasgos erosivos, pero longitud, profundidad y ancho no fueron medidos instrumentalmente</t>
        </is>
      </c>
      <c r="D22" s="57" t="inlineStr">
        <is>
          <t>NO SUSTANTIVA</t>
        </is>
      </c>
      <c r="E22" s="57" t="inlineStr">
        <is>
          <t>El conteo registrado no debe usarse para calcular densidad de cárcavas por hectárea. Pendiente de levantamiento con GPS submétrico. (Verificación heredada de la ficha de resumen V6.)</t>
        </is>
      </c>
    </row>
    <row r="23">
      <c r="A23" s="56" t="inlineStr">
        <is>
          <t>H-03</t>
        </is>
      </c>
      <c r="B23" s="56" t="inlineStr">
        <is>
          <t>Elenco florístico</t>
        </is>
      </c>
      <c r="C23" s="56" t="inlineStr">
        <is>
          <t>La ficha registra 11 taxones, por debajo del mínimo de 15 que exige el formato V5</t>
        </is>
      </c>
      <c r="D23" s="56" t="inlineStr">
        <is>
          <t>SUSTANTIVA</t>
        </is>
      </c>
      <c r="E23" s="56" t="inlineStr">
        <is>
          <t>Registro florístico preliminar, sin colecta ni determinación botánica formal. Debe cerrarse con colecta botánica en la siguiente campaña. (Verificación heredada de la ficha de resumen V6.)</t>
        </is>
      </c>
    </row>
    <row r="24">
      <c r="A24" s="57" t="inlineStr">
        <is>
          <t>H-04</t>
        </is>
      </c>
      <c r="B24" s="57" t="inlineStr">
        <is>
          <t>Centro poblado asociado</t>
        </is>
      </c>
      <c r="C24" s="57" t="inlineStr">
        <is>
          <t>La ficha DT declara «Caserío Piedra Blanca (Huarmaca)»; el cruce INEI-Bloques V5 identifica 1 centro(s) poblado(s) en el bloque: PIEDRA BLANCA</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2 · NO SUSTANTIVA: 3 · CONFORME: 11</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18</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657107</t>
        </is>
      </c>
      <c r="D13" s="56" t="inlineStr">
        <is>
          <t>m</t>
        </is>
      </c>
    </row>
    <row r="14">
      <c r="A14" s="57" t="inlineStr">
        <is>
          <t>1. Identificación y localización</t>
        </is>
      </c>
      <c r="B14" s="57" t="inlineStr">
        <is>
          <t>UTM NORTE del punto de muestreo (m)</t>
        </is>
      </c>
      <c r="C14" s="57" t="inlineStr">
        <is>
          <t>9392676</t>
        </is>
      </c>
      <c r="D14" s="57" t="inlineStr">
        <is>
          <t>m</t>
        </is>
      </c>
    </row>
    <row r="15">
      <c r="A15" s="56" t="inlineStr">
        <is>
          <t>2. Parámetros físicos del terreno</t>
        </is>
      </c>
      <c r="B15" s="56" t="inlineStr">
        <is>
          <t>Piso altitudinal del punto de muestreo</t>
        </is>
      </c>
      <c r="C15" s="56" t="inlineStr">
        <is>
          <t>1000-1500 m (Quechua baja)</t>
        </is>
      </c>
      <c r="D15" s="56" t="inlineStr"/>
    </row>
    <row r="16">
      <c r="A16" s="57" t="inlineStr">
        <is>
          <t>2. Parámetros físicos del terreno</t>
        </is>
      </c>
      <c r="B16" s="57" t="inlineStr">
        <is>
          <t>Paisaje dominante descrito en campo</t>
        </is>
      </c>
      <c r="C16" s="57" t="inlineStr">
        <is>
          <t>Laderas de colina-montaña de fuerte pendiente disectadas por quebradas tributarias de la microcuenca C1076-Q9592, con bosque estacionalmente seco de colina y montaña denso a medio; taludes de corte de la trocha departamental con material residual rojizo expuesto.</t>
        </is>
      </c>
      <c r="D16" s="57" t="inlineStr"/>
    </row>
    <row r="17">
      <c r="A17" s="56" t="inlineStr">
        <is>
          <t>4. Suelos y erosión (F-DT-02)</t>
        </is>
      </c>
      <c r="B17" s="56" t="inlineStr">
        <is>
          <t>Nivel de erosión - síntesis de campo</t>
        </is>
      </c>
      <c r="C17" s="56" t="inlineStr">
        <is>
          <t>Moderada (surcos)</t>
        </is>
      </c>
      <c r="D17" s="56" t="inlineStr"/>
    </row>
    <row r="18">
      <c r="A18" s="57" t="inlineStr">
        <is>
          <t>4. Suelos y erosión (F-DT-02)</t>
        </is>
      </c>
      <c r="B18" s="57" t="inlineStr">
        <is>
          <t>Raíces expuestas</t>
        </is>
      </c>
      <c r="C18" s="57" t="inlineStr">
        <is>
          <t>Sí</t>
        </is>
      </c>
      <c r="D18" s="57" t="inlineStr"/>
    </row>
    <row r="19">
      <c r="A19" s="56" t="inlineStr">
        <is>
          <t>4. Suelos y erosión (F-DT-02)</t>
        </is>
      </c>
      <c r="B19" s="56" t="inlineStr">
        <is>
          <t>Patrón de cárcavas</t>
        </is>
      </c>
      <c r="C19" s="56" t="inlineStr">
        <is>
          <t>Aislado</t>
        </is>
      </c>
      <c r="D19" s="56" t="inlineStr"/>
    </row>
    <row r="20">
      <c r="A20" s="57" t="inlineStr">
        <is>
          <t>4. Suelos y erosión (F-DT-02)</t>
        </is>
      </c>
      <c r="B20" s="57" t="inlineStr">
        <is>
          <t>Socavamiento de cauce</t>
        </is>
      </c>
      <c r="C20" s="57" t="inlineStr">
        <is>
          <t>Sí</t>
        </is>
      </c>
      <c r="D20" s="57" t="inlineStr"/>
    </row>
    <row r="21">
      <c r="A21" s="56" t="inlineStr">
        <is>
          <t>5. Ecosistema, cobertura y flora (F-DT-03)</t>
        </is>
      </c>
      <c r="B21" s="56" t="inlineStr">
        <is>
          <t>Cobertura del dosel (%)</t>
        </is>
      </c>
      <c r="C21" s="56" t="inlineStr">
        <is>
          <t>45</t>
        </is>
      </c>
      <c r="D21" s="56" t="inlineStr">
        <is>
          <t>%</t>
        </is>
      </c>
    </row>
    <row r="22">
      <c r="A22" s="57" t="inlineStr">
        <is>
          <t>5. Ecosistema, cobertura y flora (F-DT-03)</t>
        </is>
      </c>
      <c r="B22" s="57" t="inlineStr">
        <is>
          <t>Cobertura herbácea (%)</t>
        </is>
      </c>
      <c r="C22" s="57" t="inlineStr">
        <is>
          <t>15</t>
        </is>
      </c>
      <c r="D22" s="57" t="inlineStr">
        <is>
          <t>%</t>
        </is>
      </c>
    </row>
    <row r="23">
      <c r="A23" s="56" t="inlineStr">
        <is>
          <t>5. Ecosistema, cobertura y flora (F-DT-03)</t>
        </is>
      </c>
      <c r="B23" s="56" t="inlineStr">
        <is>
          <t>Fenología dominante</t>
        </is>
      </c>
      <c r="C23" s="56" t="inlineStr">
        <is>
          <t>Vegetativo</t>
        </is>
      </c>
      <c r="D23" s="56" t="inlineStr"/>
    </row>
    <row r="24">
      <c r="A24" s="57" t="inlineStr">
        <is>
          <t>5. Ecosistema, cobertura y flora (F-DT-03)</t>
        </is>
      </c>
      <c r="B24" s="57" t="inlineStr">
        <is>
          <t>Dimensiones de la parcela (m)</t>
        </is>
      </c>
      <c r="C24" s="57" t="inlineStr">
        <is>
          <t>No aplica (recorrido de reconocimiento)</t>
        </is>
      </c>
      <c r="D24" s="57" t="inlineStr"/>
    </row>
    <row r="25">
      <c r="A25" s="56" t="inlineStr">
        <is>
          <t>5. Ecosistema, cobertura y flora (F-DT-03)</t>
        </is>
      </c>
      <c r="B25" s="56" t="inlineStr">
        <is>
          <t>Pendiente de la parcela (%)</t>
        </is>
      </c>
      <c r="C25" s="56" t="inlineStr">
        <is>
          <t>85</t>
        </is>
      </c>
      <c r="D25" s="56" t="inlineStr">
        <is>
          <t>%</t>
        </is>
      </c>
    </row>
    <row r="26">
      <c r="A26" s="57" t="inlineStr">
        <is>
          <t>5. Ecosistema, cobertura y flora (F-DT-03)</t>
        </is>
      </c>
      <c r="B26" s="57" t="inlineStr">
        <is>
          <t>Especies clave georreferenciadas</t>
        </is>
      </c>
      <c r="C26" s="57" t="inlineStr">
        <is>
          <t>5</t>
        </is>
      </c>
      <c r="D26" s="57" t="inlineStr"/>
    </row>
    <row r="27">
      <c r="A27" s="56" t="inlineStr">
        <is>
          <t>6. Degradación, causas y urgencia (F-DT-04)</t>
        </is>
      </c>
      <c r="B27" s="56" t="inlineStr">
        <is>
          <t>Causas directas de la degradación</t>
        </is>
      </c>
      <c r="C27" s="56" t="inlineStr">
        <is>
          <t>Expansión vial: taludes de corte de la trocha departamental 108 con material residual rojizo y surcos; cambio de uso a agricultura en fondos de quebrada; erosión hídrica localizada en taludes y márgenes de la quebrada tributaria.</t>
        </is>
      </c>
      <c r="D27" s="56" t="inlineStr"/>
    </row>
    <row r="28">
      <c r="A28" s="57" t="inlineStr">
        <is>
          <t>6. Degradación, causas y urgencia (F-DT-04)</t>
        </is>
      </c>
      <c r="B28" s="57" t="inlineStr">
        <is>
          <t>N.° de causas activas en la matriz F-DT-04</t>
        </is>
      </c>
      <c r="C28" s="57" t="inlineStr">
        <is>
          <t>2</t>
        </is>
      </c>
      <c r="D28" s="57" t="inlineStr"/>
    </row>
    <row r="29">
      <c r="A29" s="56" t="inlineStr">
        <is>
          <t>7. Hidrología, acceso y logística (F-DT-05)</t>
        </is>
      </c>
      <c r="B29" s="56" t="inlineStr">
        <is>
          <t>Escorrentía concentrada</t>
        </is>
      </c>
      <c r="C29" s="56" t="inlineStr">
        <is>
          <t>Sí</t>
        </is>
      </c>
      <c r="D29" s="56" t="inlineStr"/>
    </row>
    <row r="30">
      <c r="A30" s="57" t="inlineStr">
        <is>
          <t>7. Hidrología, acceso y logística (F-DT-05)</t>
        </is>
      </c>
      <c r="B30" s="57" t="inlineStr">
        <is>
          <t>Fuentes de agua inventariadas</t>
        </is>
      </c>
      <c r="C30" s="57" t="inlineStr">
        <is>
          <t>1</t>
        </is>
      </c>
      <c r="D30" s="57" t="inlineStr"/>
    </row>
    <row r="31">
      <c r="A31" s="56" t="inlineStr">
        <is>
          <t>7. Hidrología, acceso y logística (F-DT-05)</t>
        </is>
      </c>
      <c r="B31" s="56" t="inlineStr">
        <is>
          <t>Interferencia con riego</t>
        </is>
      </c>
      <c r="C31" s="56" t="inlineStr">
        <is>
          <t>No</t>
        </is>
      </c>
      <c r="D31" s="56" t="inlineStr"/>
    </row>
    <row r="32">
      <c r="A32" s="57" t="inlineStr">
        <is>
          <t>7. Hidrología, acceso y logística (F-DT-05)</t>
        </is>
      </c>
      <c r="B32" s="57" t="inlineStr">
        <is>
          <t>Vía principal de acceso</t>
        </is>
      </c>
      <c r="C32" s="57" t="inlineStr">
        <is>
          <t>Vía departamental 108 (afirmada), acceso desde Huarmaca</t>
        </is>
      </c>
      <c r="D32" s="57" t="inlineStr"/>
    </row>
    <row r="33">
      <c r="A33" s="56" t="inlineStr">
        <is>
          <t>7. Hidrología, acceso y logística (F-DT-05)</t>
        </is>
      </c>
      <c r="B33" s="56" t="inlineStr">
        <is>
          <t>Tipo de vía del tramo final</t>
        </is>
      </c>
      <c r="C33" s="56" t="inlineStr">
        <is>
          <t>Departamental afirmada</t>
        </is>
      </c>
      <c r="D33" s="56" t="inlineStr"/>
    </row>
    <row r="34">
      <c r="A34" s="57" t="inlineStr">
        <is>
          <t>7. Hidrología, acceso y logística (F-DT-05)</t>
        </is>
      </c>
      <c r="B34" s="57" t="inlineStr">
        <is>
          <t>Transitabilidad en época seca</t>
        </is>
      </c>
      <c r="C34" s="57" t="inlineStr">
        <is>
          <t>Alto</t>
        </is>
      </c>
      <c r="D34" s="57" t="inlineStr"/>
    </row>
    <row r="35">
      <c r="A35" s="56" t="inlineStr">
        <is>
          <t>7. Hidrología, acceso y logística (F-DT-05)</t>
        </is>
      </c>
      <c r="B35" s="56" t="inlineStr">
        <is>
          <t>Transitabilidad en época lluviosa</t>
        </is>
      </c>
      <c r="C35" s="56" t="inlineStr">
        <is>
          <t>Bajo</t>
        </is>
      </c>
      <c r="D35" s="56" t="inlineStr"/>
    </row>
    <row r="37">
      <c r="A37" s="54" t="inlineStr">
        <is>
          <t>C. PROCEDENCIA DE LOS HECHOS DECLARADOS</t>
        </is>
      </c>
    </row>
    <row r="38">
      <c r="A38" s="55" t="inlineStr">
        <is>
          <t>Fuente</t>
        </is>
      </c>
      <c r="B38" s="55" t="inlineStr">
        <is>
          <t>Hechos</t>
        </is>
      </c>
      <c r="C38" s="55" t="inlineStr">
        <is>
          <t>Alcance de la fuente</t>
        </is>
      </c>
    </row>
    <row r="39">
      <c r="A39" s="56" t="inlineStr">
        <is>
          <t>Dato de campo</t>
        </is>
      </c>
      <c r="B39" s="56" t="n">
        <v>53</v>
      </c>
      <c r="C39" s="56" t="inlineStr">
        <is>
          <t>Verificación en campo. Fichas F-DT-01 a F-DT-05 de la Plantilla DT Campo Check Validada V5, suscritas por el evaluador.</t>
        </is>
      </c>
    </row>
    <row r="40">
      <c r="A40" s="57" t="inlineStr">
        <is>
          <t>Gabinete (GIS / teledetección)</t>
        </is>
      </c>
      <c r="B40" s="57" t="n">
        <v>22</v>
      </c>
      <c r="C40" s="57" t="inlineStr">
        <is>
          <t>Gabinete. Estadística zonal sobre el MDE y compuestos Sentinel-2 (NDVI mediana 2025, MSAVI 2024 por clase DN).</t>
        </is>
      </c>
    </row>
    <row r="41">
      <c r="A41" s="56" t="inlineStr">
        <is>
          <t>Fuente oficial</t>
        </is>
      </c>
      <c r="B41" s="56" t="n">
        <v>14</v>
      </c>
      <c r="C41" s="56" t="inlineStr">
        <is>
          <t>Fuente oficial. Catálogo maestro Bloques V5/V6, división política INEI y codificación de microcuencas de la ANA.</t>
        </is>
      </c>
    </row>
    <row r="43">
      <c r="A43" s="54" t="inlineStr">
        <is>
          <t>D. ESTADO DEL CRUCE ENTRE FUENTES</t>
        </is>
      </c>
    </row>
    <row r="44">
      <c r="A44" s="55" t="inlineStr">
        <is>
          <t>Estado</t>
        </is>
      </c>
      <c r="B44" s="55" t="inlineStr">
        <is>
          <t>Hechos</t>
        </is>
      </c>
      <c r="C44" s="55" t="inlineStr">
        <is>
          <t>Significado</t>
        </is>
      </c>
    </row>
    <row r="45">
      <c r="A45" s="56" t="inlineStr">
        <is>
          <t>CONFORME</t>
        </is>
      </c>
      <c r="B45" s="56" t="n">
        <v>88</v>
      </c>
      <c r="C45" s="56" t="inlineStr">
        <is>
          <t>Las dos fuentes declaran lo mismo, o solo la fuente que manda sobre el hecho lo declara.</t>
        </is>
      </c>
    </row>
    <row r="46">
      <c r="A46" s="57" t="inlineStr">
        <is>
          <t>COMPLEMENTADO</t>
        </is>
      </c>
      <c r="B46" s="57" t="n">
        <v>1</v>
      </c>
      <c r="C46" s="57" t="inlineStr">
        <is>
          <t>Solo una de las fuentes lo declara y se adopta ese valor.</t>
        </is>
      </c>
    </row>
    <row r="47">
      <c r="A47" s="56" t="inlineStr">
        <is>
          <t>ACTUALIZADO</t>
        </is>
      </c>
      <c r="B47" s="56" t="n">
        <v>0</v>
      </c>
      <c r="C47" s="56" t="inlineStr">
        <is>
          <t>La verificación de campo vigente corrige lo que traía el libro de resumen.</t>
        </is>
      </c>
    </row>
    <row r="48">
      <c r="A48" s="57" t="inlineStr">
        <is>
          <t>DISCREPANTE</t>
        </is>
      </c>
      <c r="B48" s="57" t="n">
        <v>0</v>
      </c>
      <c r="C48" s="57" t="inlineStr">
        <is>
          <t>Las fuentes se contradicen; prevalece la que manda sobre el hecho y la otra queda declarada.</t>
        </is>
      </c>
    </row>
    <row r="49">
      <c r="A49" s="56" t="inlineStr">
        <is>
          <t>PENDIENTE</t>
        </is>
      </c>
      <c r="B49" s="56" t="n">
        <v>25</v>
      </c>
      <c r="C4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18</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incipiente (30-50 cm)</t>
        </is>
      </c>
      <c r="C9" s="61" t="n">
        <v>657109</v>
      </c>
      <c r="D9" s="61" t="n">
        <v>9392675</v>
      </c>
      <c r="E9" s="56" t="n"/>
      <c r="F9" s="56" t="n"/>
      <c r="G9" s="56" t="n"/>
      <c r="H9" s="56" t="inlineStr">
        <is>
          <t>Activa</t>
        </is>
      </c>
      <c r="I9" s="56" t="inlineStr">
        <is>
          <t>Otro</t>
        </is>
      </c>
    </row>
    <row r="10">
      <c r="A10" s="57" t="inlineStr">
        <is>
          <t>C-02</t>
        </is>
      </c>
      <c r="B10" s="57" t="inlineStr">
        <is>
          <t>Cárcava somera (0.5-2 m)</t>
        </is>
      </c>
      <c r="C10" s="62" t="n">
        <v>657110</v>
      </c>
      <c r="D10" s="62" t="n">
        <v>9392674</v>
      </c>
      <c r="E10" s="57" t="n"/>
      <c r="F10" s="57" t="n"/>
      <c r="G10" s="57" t="n"/>
      <c r="H10" s="57" t="inlineStr">
        <is>
          <t>Semi-activa</t>
        </is>
      </c>
      <c r="I10" s="57" t="inlineStr">
        <is>
          <t>Concentración natural de escorrentía</t>
        </is>
      </c>
    </row>
    <row r="11">
      <c r="A11" s="56" t="inlineStr">
        <is>
          <t>C-03</t>
        </is>
      </c>
      <c r="B11" s="56" t="inlineStr">
        <is>
          <t>Cárcava incipiente (30-50 cm)</t>
        </is>
      </c>
      <c r="C11" s="61" t="n">
        <v>657109</v>
      </c>
      <c r="D11" s="61" t="n">
        <v>9392443</v>
      </c>
      <c r="E11" s="56" t="n"/>
      <c r="F11" s="56" t="n"/>
      <c r="G11" s="56" t="n"/>
      <c r="H11" s="56" t="inlineStr">
        <is>
          <t>Semi-activa</t>
        </is>
      </c>
      <c r="I11" s="56" t="inlineStr">
        <is>
          <t>Concentración natural de escorrentía</t>
        </is>
      </c>
    </row>
    <row r="13">
      <c r="A13" s="54" t="inlineStr">
        <is>
          <t>F-DT-03 · ELENCO FLORÍSTICO</t>
        </is>
      </c>
    </row>
    <row r="14">
      <c r="A14" s="55" t="inlineStr">
        <is>
          <t>N.o</t>
        </is>
      </c>
      <c r="B14" s="55" t="inlineStr">
        <is>
          <t>Nombre común</t>
        </is>
      </c>
      <c r="C14" s="55" t="inlineStr">
        <is>
          <t>Nombre científico</t>
        </is>
      </c>
      <c r="D14" s="55" t="inlineStr">
        <is>
          <t>Familia</t>
        </is>
      </c>
      <c r="E14" s="55" t="inlineStr">
        <is>
          <t>Estrato</t>
        </is>
      </c>
      <c r="F14" s="55" t="inlineStr">
        <is>
          <t>Origen</t>
        </is>
      </c>
      <c r="G14" s="55" t="inlineStr">
        <is>
          <t>Abundancia</t>
        </is>
      </c>
      <c r="H14" s="55" t="inlineStr">
        <is>
          <t>DAP (cm)</t>
        </is>
      </c>
      <c r="I14" s="55" t="inlineStr">
        <is>
          <t>Altura (m)</t>
        </is>
      </c>
    </row>
    <row r="15">
      <c r="A15" s="56" t="inlineStr">
        <is>
          <t>1</t>
        </is>
      </c>
      <c r="B15" s="56" t="inlineStr">
        <is>
          <t>Faique</t>
        </is>
      </c>
      <c r="C15" s="56" t="inlineStr">
        <is>
          <t>Vachellia macracantha</t>
        </is>
      </c>
      <c r="D15" s="56" t="inlineStr">
        <is>
          <t>Fabaceae</t>
        </is>
      </c>
      <c r="E15" s="56" t="inlineStr">
        <is>
          <t>Arbóreo bajo (4-8 m)</t>
        </is>
      </c>
      <c r="F15" s="56" t="inlineStr">
        <is>
          <t>Nativa</t>
        </is>
      </c>
      <c r="G15" s="56" t="inlineStr">
        <is>
          <t>Frecuente (5-20%)</t>
        </is>
      </c>
      <c r="H15" s="56" t="n"/>
      <c r="I15" s="56" t="n"/>
    </row>
    <row r="16">
      <c r="A16" s="57" t="inlineStr">
        <is>
          <t>2</t>
        </is>
      </c>
      <c r="B16" s="57" t="inlineStr">
        <is>
          <t>Pasallo</t>
        </is>
      </c>
      <c r="C16" s="57" t="inlineStr">
        <is>
          <t>Eriotheca ruizii</t>
        </is>
      </c>
      <c r="D16" s="57" t="inlineStr">
        <is>
          <t>Malvaceae</t>
        </is>
      </c>
      <c r="E16" s="57" t="inlineStr">
        <is>
          <t>Arbóreo medio (8-15 m)</t>
        </is>
      </c>
      <c r="F16" s="57" t="inlineStr">
        <is>
          <t>Nativa</t>
        </is>
      </c>
      <c r="G16" s="57" t="inlineStr">
        <is>
          <t>Ocasional (1-5%)</t>
        </is>
      </c>
      <c r="H16" s="57" t="n"/>
      <c r="I16" s="57" t="n"/>
    </row>
    <row r="17">
      <c r="A17" s="56" t="inlineStr">
        <is>
          <t>3</t>
        </is>
      </c>
      <c r="B17" s="56" t="inlineStr">
        <is>
          <t>Angolo</t>
        </is>
      </c>
      <c r="C17" s="56" t="inlineStr">
        <is>
          <t>Anadenanthera colubrina</t>
        </is>
      </c>
      <c r="D17" s="56" t="inlineStr">
        <is>
          <t>Fabaceae</t>
        </is>
      </c>
      <c r="E17" s="56" t="inlineStr">
        <is>
          <t>Arbóreo medio (8-15 m)</t>
        </is>
      </c>
      <c r="F17" s="56" t="inlineStr">
        <is>
          <t>Nativa</t>
        </is>
      </c>
      <c r="G17" s="56" t="inlineStr">
        <is>
          <t>Ocasional (1-5%)</t>
        </is>
      </c>
      <c r="H17" s="56" t="n"/>
      <c r="I17" s="56" t="n"/>
    </row>
    <row r="18">
      <c r="A18" s="57" t="inlineStr">
        <is>
          <t>4</t>
        </is>
      </c>
      <c r="B18" s="57" t="inlineStr">
        <is>
          <t>Tara silvestre</t>
        </is>
      </c>
      <c r="C18" s="57" t="inlineStr">
        <is>
          <t>Caesalpinia spinosa</t>
        </is>
      </c>
      <c r="D18" s="57" t="inlineStr">
        <is>
          <t>Fabaceae</t>
        </is>
      </c>
      <c r="E18" s="57" t="inlineStr">
        <is>
          <t>Arbóreo bajo (4-8 m)</t>
        </is>
      </c>
      <c r="F18" s="57" t="inlineStr">
        <is>
          <t>Nativa</t>
        </is>
      </c>
      <c r="G18" s="57" t="inlineStr">
        <is>
          <t>Ocasional (1-5%)</t>
        </is>
      </c>
      <c r="H18" s="57" t="n"/>
      <c r="I18" s="57" t="n"/>
    </row>
    <row r="19">
      <c r="A19" s="56" t="inlineStr">
        <is>
          <t>5</t>
        </is>
      </c>
      <c r="B19" s="56" t="inlineStr">
        <is>
          <t>Guayacán</t>
        </is>
      </c>
      <c r="C19" s="56" t="inlineStr">
        <is>
          <t>Handroanthus sp.</t>
        </is>
      </c>
      <c r="D19" s="56" t="inlineStr">
        <is>
          <t>Bignoniaceae</t>
        </is>
      </c>
      <c r="E19" s="56" t="inlineStr">
        <is>
          <t>Arbóreo medio (8-15 m)</t>
        </is>
      </c>
      <c r="F19" s="56" t="inlineStr">
        <is>
          <t>Nativa</t>
        </is>
      </c>
      <c r="G19" s="56" t="inlineStr">
        <is>
          <t>Rara (&lt;1%)</t>
        </is>
      </c>
      <c r="H19" s="56" t="n"/>
      <c r="I19" s="56" t="n"/>
    </row>
    <row r="20">
      <c r="A20" s="57" t="inlineStr">
        <is>
          <t>6</t>
        </is>
      </c>
      <c r="B20" s="57" t="inlineStr">
        <is>
          <t>Higuerón</t>
        </is>
      </c>
      <c r="C20" s="57" t="inlineStr">
        <is>
          <t>Ficus sp.</t>
        </is>
      </c>
      <c r="D20" s="57" t="inlineStr">
        <is>
          <t>Moraceae</t>
        </is>
      </c>
      <c r="E20" s="57" t="inlineStr">
        <is>
          <t>Arbóreo medio (8-15 m)</t>
        </is>
      </c>
      <c r="F20" s="57" t="inlineStr">
        <is>
          <t>Nativa</t>
        </is>
      </c>
      <c r="G20" s="57" t="inlineStr">
        <is>
          <t>Ocasional (1-5%)</t>
        </is>
      </c>
      <c r="H20" s="57" t="n"/>
      <c r="I20" s="57" t="n"/>
    </row>
    <row r="21">
      <c r="A21" s="56" t="inlineStr">
        <is>
          <t>7</t>
        </is>
      </c>
      <c r="B21" s="56" t="inlineStr">
        <is>
          <t>Chirimoya silvestre</t>
        </is>
      </c>
      <c r="C21" s="56" t="inlineStr">
        <is>
          <t>Annona cherimola</t>
        </is>
      </c>
      <c r="D21" s="56" t="inlineStr">
        <is>
          <t>Annonaceae</t>
        </is>
      </c>
      <c r="E21" s="56" t="inlineStr">
        <is>
          <t>Arbóreo bajo (4-8 m)</t>
        </is>
      </c>
      <c r="F21" s="56" t="inlineStr">
        <is>
          <t>Nativa</t>
        </is>
      </c>
      <c r="G21" s="56" t="inlineStr">
        <is>
          <t>Rara (&lt;1%)</t>
        </is>
      </c>
      <c r="H21" s="56" t="n"/>
      <c r="I21" s="56" t="n"/>
    </row>
    <row r="22">
      <c r="A22" s="57" t="inlineStr">
        <is>
          <t>8</t>
        </is>
      </c>
      <c r="B22" s="57" t="inlineStr">
        <is>
          <t>Caña Guayaquil</t>
        </is>
      </c>
      <c r="C22" s="57" t="inlineStr">
        <is>
          <t>Guadua angustifolia</t>
        </is>
      </c>
      <c r="D22" s="57" t="inlineStr">
        <is>
          <t>Poaceae</t>
        </is>
      </c>
      <c r="E22" s="57" t="inlineStr">
        <is>
          <t>Arbustivo alto (1.5-4 m)</t>
        </is>
      </c>
      <c r="F22" s="57" t="inlineStr">
        <is>
          <t>Nativa</t>
        </is>
      </c>
      <c r="G22" s="57" t="inlineStr">
        <is>
          <t>Ocasional (1-5%)</t>
        </is>
      </c>
      <c r="H22" s="57" t="n"/>
      <c r="I22" s="57" t="n"/>
    </row>
    <row r="23">
      <c r="A23" s="56" t="inlineStr">
        <is>
          <t>9</t>
        </is>
      </c>
      <c r="B23" s="56" t="inlineStr">
        <is>
          <t>Plátano</t>
        </is>
      </c>
      <c r="C23" s="56" t="inlineStr">
        <is>
          <t>Musa x paradisiaca</t>
        </is>
      </c>
      <c r="D23" s="56" t="inlineStr">
        <is>
          <t>Musaceae</t>
        </is>
      </c>
      <c r="E23" s="56" t="inlineStr">
        <is>
          <t>Arbustivo alto (1.5-4 m)</t>
        </is>
      </c>
      <c r="F23" s="56" t="inlineStr">
        <is>
          <t>Introducida</t>
        </is>
      </c>
      <c r="G23" s="56" t="inlineStr">
        <is>
          <t>Ocasional (1-5%)</t>
        </is>
      </c>
      <c r="H23" s="56" t="n"/>
      <c r="I23" s="56" t="n"/>
    </row>
    <row r="24">
      <c r="A24" s="57" t="inlineStr">
        <is>
          <t>10</t>
        </is>
      </c>
      <c r="B24" s="57" t="inlineStr">
        <is>
          <t>Pastos cultivados</t>
        </is>
      </c>
      <c r="C24" s="57" t="inlineStr">
        <is>
          <t>Poaceae (indet.)</t>
        </is>
      </c>
      <c r="D24" s="57" t="inlineStr">
        <is>
          <t>Poaceae</t>
        </is>
      </c>
      <c r="E24" s="57" t="inlineStr">
        <is>
          <t>Herbáceo (&lt;0.5 m)</t>
        </is>
      </c>
      <c r="F24" s="57" t="inlineStr">
        <is>
          <t>Introducida</t>
        </is>
      </c>
      <c r="G24" s="57" t="inlineStr">
        <is>
          <t>Frecuente (5-20%)</t>
        </is>
      </c>
      <c r="H24" s="57" t="n"/>
      <c r="I24" s="57" t="n"/>
    </row>
    <row r="25">
      <c r="A25" s="56" t="inlineStr">
        <is>
          <t>11</t>
        </is>
      </c>
      <c r="B25" s="56" t="inlineStr">
        <is>
          <t>Maíz</t>
        </is>
      </c>
      <c r="C25" s="56" t="inlineStr">
        <is>
          <t>Zea mays</t>
        </is>
      </c>
      <c r="D25" s="56" t="inlineStr">
        <is>
          <t>Poaceae</t>
        </is>
      </c>
      <c r="E25" s="56" t="inlineStr">
        <is>
          <t>Herbáceo (&lt;0.5 m)</t>
        </is>
      </c>
      <c r="F25" s="56" t="inlineStr">
        <is>
          <t>Introducida</t>
        </is>
      </c>
      <c r="G25" s="56" t="inlineStr">
        <is>
          <t>Ocasional (1-5%)</t>
        </is>
      </c>
      <c r="H25" s="56" t="n"/>
      <c r="I25" s="56" t="n"/>
    </row>
    <row r="27">
      <c r="A27" s="54" t="inlineStr">
        <is>
          <t>F-DT-03 · ESPECIES CLAVE GEORREFERENCIADAS</t>
        </is>
      </c>
    </row>
    <row r="28">
      <c r="A28" s="55" t="inlineStr">
        <is>
          <t>N.o</t>
        </is>
      </c>
      <c r="B28" s="55" t="inlineStr">
        <is>
          <t>Especie</t>
        </is>
      </c>
      <c r="C28" s="55" t="inlineStr">
        <is>
          <t>Categoría</t>
        </is>
      </c>
      <c r="D28" s="55" t="inlineStr">
        <is>
          <t>Estado UICN</t>
        </is>
      </c>
      <c r="E28" s="55" t="inlineStr">
        <is>
          <t>UTM ESTE</t>
        </is>
      </c>
      <c r="F28" s="55" t="inlineStr">
        <is>
          <t>UTM NORTE</t>
        </is>
      </c>
      <c r="G28" s="55" t="inlineStr">
        <is>
          <t>N.° individuos</t>
        </is>
      </c>
      <c r="H28" s="55" t="inlineStr">
        <is>
          <t>Observación</t>
        </is>
      </c>
    </row>
    <row r="29">
      <c r="A29" s="56" t="inlineStr">
        <is>
          <t>1</t>
        </is>
      </c>
      <c r="B29" s="56" t="inlineStr">
        <is>
          <t>Guayacán (Handroanthus sp.)</t>
        </is>
      </c>
      <c r="C29" s="56" t="inlineStr">
        <is>
          <t>Amenazada (D.S. 043-2006-AG)</t>
        </is>
      </c>
      <c r="D29" s="56" t="inlineStr"/>
      <c r="E29" s="56" t="n"/>
      <c r="F29" s="56" t="n"/>
      <c r="G29" s="56" t="n"/>
      <c r="H29" s="56" t="inlineStr">
        <is>
          <t>Especie protegida del bosque seco; determinación y categoría por confirmar (colecta botánica).</t>
        </is>
      </c>
    </row>
    <row r="30">
      <c r="A30" s="57" t="inlineStr">
        <is>
          <t>2</t>
        </is>
      </c>
      <c r="B30" s="57" t="inlineStr">
        <is>
          <t>Pasallo (Eriotheca ruizii)</t>
        </is>
      </c>
      <c r="C30" s="57" t="inlineStr">
        <is>
          <t>Indicadora de buen estado</t>
        </is>
      </c>
      <c r="D30" s="57" t="inlineStr"/>
      <c r="E30" s="57" t="n"/>
      <c r="F30" s="57" t="n"/>
      <c r="G30" s="57" t="n"/>
      <c r="H30" s="57" t="inlineStr">
        <is>
          <t>Emergente característico del Bes-cm; por confirmar.</t>
        </is>
      </c>
    </row>
    <row r="31">
      <c r="A31" s="56" t="inlineStr">
        <is>
          <t>3</t>
        </is>
      </c>
      <c r="B31" s="56" t="inlineStr">
        <is>
          <t>Angolo (Anadenanthera colubrina)</t>
        </is>
      </c>
      <c r="C31" s="56" t="inlineStr">
        <is>
          <t>Amenazada (D.S. 043-2006-AG)</t>
        </is>
      </c>
      <c r="D31" s="56" t="inlineStr"/>
      <c r="E31" s="56" t="n"/>
      <c r="F31" s="56" t="n"/>
      <c r="G31" s="56" t="n"/>
      <c r="H31" s="56" t="inlineStr">
        <is>
          <t>Categoría por confirmar.</t>
        </is>
      </c>
    </row>
    <row r="32">
      <c r="A32" s="57" t="inlineStr">
        <is>
          <t>4</t>
        </is>
      </c>
      <c r="B32" s="57" t="inlineStr">
        <is>
          <t>Faique (Vachellia macracantha)</t>
        </is>
      </c>
      <c r="C32" s="57" t="inlineStr">
        <is>
          <t>Indicadora de perturbación</t>
        </is>
      </c>
      <c r="D32" s="57" t="inlineStr">
        <is>
          <t>LC — Preocupación Menor</t>
        </is>
      </c>
      <c r="E32" s="57" t="n"/>
      <c r="F32" s="57" t="n"/>
      <c r="G32" s="57" t="n"/>
      <c r="H32" s="57" t="inlineStr">
        <is>
          <t>Colonizadora de áreas intervenidas; nativa.</t>
        </is>
      </c>
    </row>
    <row r="33">
      <c r="A33" s="56" t="inlineStr">
        <is>
          <t>5</t>
        </is>
      </c>
      <c r="B33" s="56" t="inlineStr">
        <is>
          <t>Chirimoya silvestre (Annona cherimola)</t>
        </is>
      </c>
      <c r="C33" s="56" t="inlineStr">
        <is>
          <t>Clave cultural</t>
        </is>
      </c>
      <c r="D33" s="56" t="inlineStr"/>
      <c r="E33" s="56" t="n"/>
      <c r="F33" s="56" t="n"/>
      <c r="G33" s="56" t="n"/>
      <c r="H33" s="56" t="inlineStr">
        <is>
          <t>Uso local; por confirmar.</t>
        </is>
      </c>
    </row>
    <row r="35">
      <c r="A35" s="54" t="inlineStr">
        <is>
          <t>F-DT-04 · MATRIZ DE CAUSAS DE DEGRADACIÓN</t>
        </is>
      </c>
    </row>
    <row r="36">
      <c r="A36" s="55" t="inlineStr">
        <is>
          <t>N.o</t>
        </is>
      </c>
      <c r="B36" s="55" t="inlineStr">
        <is>
          <t>Causa</t>
        </is>
      </c>
      <c r="C36" s="55" t="inlineStr">
        <is>
          <t>Presencia</t>
        </is>
      </c>
      <c r="D36" s="55" t="inlineStr">
        <is>
          <t>Intensidad</t>
        </is>
      </c>
      <c r="E36" s="55" t="inlineStr">
        <is>
          <t>Extensión</t>
        </is>
      </c>
      <c r="F36" s="55" t="inlineStr">
        <is>
          <t>Antigüedad</t>
        </is>
      </c>
      <c r="G36" s="55" t="inlineStr">
        <is>
          <t>Evidencia</t>
        </is>
      </c>
    </row>
    <row r="37">
      <c r="A37" s="56" t="inlineStr">
        <is>
          <t>1</t>
        </is>
      </c>
      <c r="B37" s="56" t="inlineStr">
        <is>
          <t>Sobrepastoreo (caprino/vacuno)</t>
        </is>
      </c>
      <c r="C37" s="56" t="inlineStr"/>
      <c r="D37" s="56" t="inlineStr"/>
      <c r="E37" s="56" t="inlineStr"/>
      <c r="F37" s="56" t="inlineStr"/>
      <c r="G37" s="56" t="inlineStr"/>
    </row>
    <row r="38">
      <c r="A38" s="57" t="inlineStr">
        <is>
          <t>2</t>
        </is>
      </c>
      <c r="B38" s="57" t="inlineStr">
        <is>
          <t>Tala para leña</t>
        </is>
      </c>
      <c r="C38" s="57" t="inlineStr"/>
      <c r="D38" s="57" t="inlineStr"/>
      <c r="E38" s="57" t="inlineStr"/>
      <c r="F38" s="57" t="inlineStr"/>
      <c r="G38" s="57" t="inlineStr"/>
    </row>
    <row r="39">
      <c r="A39" s="56" t="inlineStr">
        <is>
          <t>3</t>
        </is>
      </c>
      <c r="B39" s="56" t="inlineStr">
        <is>
          <t>Tala para carbón</t>
        </is>
      </c>
      <c r="C39" s="56" t="inlineStr">
        <is>
          <t>No</t>
        </is>
      </c>
      <c r="D39" s="56" t="inlineStr"/>
      <c r="E39" s="56" t="inlineStr"/>
      <c r="F39" s="56" t="inlineStr"/>
      <c r="G39" s="56" t="inlineStr"/>
    </row>
    <row r="40">
      <c r="A40" s="57" t="inlineStr">
        <is>
          <t>4</t>
        </is>
      </c>
      <c r="B40" s="57" t="inlineStr">
        <is>
          <t>Tala para madera</t>
        </is>
      </c>
      <c r="C40" s="57" t="inlineStr">
        <is>
          <t>No</t>
        </is>
      </c>
      <c r="D40" s="57" t="inlineStr"/>
      <c r="E40" s="57" t="inlineStr"/>
      <c r="F40" s="57" t="inlineStr"/>
      <c r="G40" s="57" t="inlineStr"/>
    </row>
    <row r="41">
      <c r="A41" s="56" t="inlineStr">
        <is>
          <t>5</t>
        </is>
      </c>
      <c r="B41" s="56" t="inlineStr">
        <is>
          <t>Quema (renovación de pastos)</t>
        </is>
      </c>
      <c r="C41" s="56" t="inlineStr"/>
      <c r="D41" s="56" t="inlineStr"/>
      <c r="E41" s="56" t="inlineStr"/>
      <c r="F41" s="56" t="inlineStr"/>
      <c r="G41" s="56" t="inlineStr"/>
    </row>
    <row r="42">
      <c r="A42" s="57" t="inlineStr">
        <is>
          <t>6</t>
        </is>
      </c>
      <c r="B42" s="57" t="inlineStr">
        <is>
          <t>Quema accidental / Incendio</t>
        </is>
      </c>
      <c r="C42" s="57" t="inlineStr">
        <is>
          <t>No</t>
        </is>
      </c>
      <c r="D42" s="57" t="inlineStr"/>
      <c r="E42" s="57" t="inlineStr"/>
      <c r="F42" s="57" t="inlineStr"/>
      <c r="G42" s="57" t="inlineStr"/>
    </row>
    <row r="43">
      <c r="A43" s="56" t="inlineStr">
        <is>
          <t>7</t>
        </is>
      </c>
      <c r="B43" s="56" t="inlineStr">
        <is>
          <t>Cambio de uso a agricultura</t>
        </is>
      </c>
      <c r="C43" s="56" t="inlineStr">
        <is>
          <t>Sí</t>
        </is>
      </c>
      <c r="D43" s="56" t="inlineStr">
        <is>
          <t>Moderada</t>
        </is>
      </c>
      <c r="E43" s="56" t="inlineStr">
        <is>
          <t>Por verificar</t>
        </is>
      </c>
      <c r="F43" s="56" t="inlineStr">
        <is>
          <t>Por verificar</t>
        </is>
      </c>
      <c r="G43" s="56" t="inlineStr">
        <is>
          <t>Platanales y cultivos de subsistencia en fondos de quebrada (F-03, F-06).</t>
        </is>
      </c>
    </row>
    <row r="44">
      <c r="A44" s="57" t="inlineStr">
        <is>
          <t>8</t>
        </is>
      </c>
      <c r="B44" s="57" t="inlineStr">
        <is>
          <t>Cambio de uso a pastoreo</t>
        </is>
      </c>
      <c r="C44" s="57" t="inlineStr"/>
      <c r="D44" s="57" t="inlineStr"/>
      <c r="E44" s="57" t="inlineStr"/>
      <c r="F44" s="57" t="inlineStr"/>
      <c r="G44" s="57" t="inlineStr"/>
    </row>
    <row r="45">
      <c r="A45" s="56" t="inlineStr">
        <is>
          <t>9</t>
        </is>
      </c>
      <c r="B45" s="56" t="inlineStr">
        <is>
          <t>Expansión urbana / vial</t>
        </is>
      </c>
      <c r="C45" s="56" t="inlineStr">
        <is>
          <t>Sí</t>
        </is>
      </c>
      <c r="D45" s="56" t="inlineStr">
        <is>
          <t>Fuerte</t>
        </is>
      </c>
      <c r="E45" s="56" t="inlineStr">
        <is>
          <t>Por verificar</t>
        </is>
      </c>
      <c r="F45" s="56" t="inlineStr">
        <is>
          <t>Por verificar</t>
        </is>
      </c>
      <c r="G45" s="56" t="inlineStr">
        <is>
          <t>Taludes de corte de la trocha departamental 108 con material residual rojizo y surcos; malla raschel de mitigación (F-04, F-05, F-09, F-10, F-11).</t>
        </is>
      </c>
    </row>
    <row r="46">
      <c r="A46" s="57" t="inlineStr">
        <is>
          <t>10</t>
        </is>
      </c>
      <c r="B46" s="57" t="inlineStr">
        <is>
          <t>Minería informal</t>
        </is>
      </c>
      <c r="C46" s="57" t="inlineStr">
        <is>
          <t>No</t>
        </is>
      </c>
      <c r="D46" s="57" t="inlineStr"/>
      <c r="E46" s="57" t="inlineStr"/>
      <c r="F46" s="57" t="inlineStr"/>
      <c r="G46" s="57" t="inlineStr"/>
    </row>
    <row r="47">
      <c r="A47" s="56" t="inlineStr">
        <is>
          <t>11</t>
        </is>
      </c>
      <c r="B47" s="56" t="inlineStr">
        <is>
          <t>Extracción de áridos (cauces)</t>
        </is>
      </c>
      <c r="C47" s="56" t="inlineStr">
        <is>
          <t>No</t>
        </is>
      </c>
      <c r="D47" s="56" t="inlineStr"/>
      <c r="E47" s="56" t="inlineStr"/>
      <c r="F47" s="56" t="inlineStr"/>
      <c r="G47" s="56" t="inlineStr"/>
    </row>
    <row r="48">
      <c r="A48" s="57" t="inlineStr">
        <is>
          <t>12</t>
        </is>
      </c>
      <c r="B48" s="57" t="inlineStr">
        <is>
          <t>Especies invasoras</t>
        </is>
      </c>
      <c r="C48" s="57" t="inlineStr"/>
      <c r="D48" s="57" t="inlineStr"/>
      <c r="E48" s="57" t="inlineStr"/>
      <c r="F48" s="57" t="inlineStr"/>
      <c r="G48" s="57" t="inlineStr"/>
    </row>
    <row r="49">
      <c r="A49" s="56" t="inlineStr">
        <is>
          <t>13</t>
        </is>
      </c>
      <c r="B49" s="56" t="inlineStr">
        <is>
          <t>Erosión natural severa</t>
        </is>
      </c>
      <c r="C49" s="56" t="inlineStr">
        <is>
          <t>No</t>
        </is>
      </c>
      <c r="D49" s="56" t="inlineStr"/>
      <c r="E49" s="56" t="inlineStr"/>
      <c r="F49" s="56" t="inlineStr"/>
      <c r="G49" s="56" t="inlineStr">
        <is>
          <t>Erosión hídrica moderada y localizada (ver F-DT-02).</t>
        </is>
      </c>
    </row>
    <row r="50">
      <c r="A50" s="57" t="inlineStr">
        <is>
          <t>14</t>
        </is>
      </c>
      <c r="B50" s="57" t="inlineStr">
        <is>
          <t>Sequía prolongada / CC</t>
        </is>
      </c>
      <c r="C50" s="57" t="inlineStr"/>
      <c r="D50" s="57" t="inlineStr"/>
      <c r="E50" s="57" t="inlineStr"/>
      <c r="F50" s="57" t="inlineStr"/>
      <c r="G50" s="57" t="inlineStr"/>
    </row>
    <row r="51">
      <c r="A51" s="56" t="inlineStr">
        <is>
          <t>15</t>
        </is>
      </c>
      <c r="B51" s="56" t="inlineStr">
        <is>
          <t>Plagas o enfermedades forestales</t>
        </is>
      </c>
      <c r="C51" s="56" t="inlineStr">
        <is>
          <t>No</t>
        </is>
      </c>
      <c r="D51" s="56" t="inlineStr"/>
      <c r="E51" s="56" t="inlineStr"/>
      <c r="F51" s="56" t="inlineStr"/>
      <c r="G51" s="56" t="inlineStr"/>
    </row>
    <row r="52">
      <c r="A52" s="57" t="inlineStr">
        <is>
          <t>16</t>
        </is>
      </c>
      <c r="B52" s="57" t="inlineStr">
        <is>
          <t>Otro</t>
        </is>
      </c>
      <c r="C52" s="57" t="inlineStr"/>
      <c r="D52" s="57" t="inlineStr"/>
      <c r="E52" s="57" t="inlineStr"/>
      <c r="F52" s="57" t="inlineStr"/>
      <c r="G52" s="57" t="inlineStr"/>
    </row>
    <row r="54">
      <c r="A54" s="54" t="inlineStr">
        <is>
          <t>F-DT-04 · INDICADORES CUANTITATIVOS</t>
        </is>
      </c>
    </row>
    <row r="55">
      <c r="A55" s="55" t="inlineStr">
        <is>
          <t>N.o</t>
        </is>
      </c>
      <c r="B55" s="55" t="inlineStr">
        <is>
          <t>Indicador</t>
        </is>
      </c>
      <c r="C55" s="55" t="inlineStr">
        <is>
          <t>Unidad</t>
        </is>
      </c>
      <c r="D55" s="55" t="inlineStr">
        <is>
          <t>Valor</t>
        </is>
      </c>
      <c r="E55" s="55" t="inlineStr">
        <is>
          <t>Fuente</t>
        </is>
      </c>
      <c r="F55" s="55" t="inlineStr">
        <is>
          <t>Umbral</t>
        </is>
      </c>
      <c r="G55" s="55" t="inlineStr">
        <is>
          <t>Nivel</t>
        </is>
      </c>
    </row>
    <row r="56">
      <c r="A56" s="56" t="inlineStr">
        <is>
          <t>1</t>
        </is>
      </c>
      <c r="B56" s="56" t="inlineStr">
        <is>
          <t>Cobertura vegetal total</t>
        </is>
      </c>
      <c r="C56" s="56" t="inlineStr">
        <is>
          <t>%</t>
        </is>
      </c>
      <c r="D56" s="56" t="inlineStr">
        <is>
          <t>85</t>
        </is>
      </c>
      <c r="E56" s="56" t="inlineStr">
        <is>
          <t>Estimación ocular + MSAVI 2024</t>
        </is>
      </c>
      <c r="F56" s="56" t="inlineStr">
        <is>
          <t>&gt;60% bueno; 30-60% medio; &lt;30% malo</t>
        </is>
      </c>
      <c r="G56" s="56" t="inlineStr">
        <is>
          <t>Alto</t>
        </is>
      </c>
    </row>
    <row r="57">
      <c r="A57" s="57" t="inlineStr">
        <is>
          <t>2</t>
        </is>
      </c>
      <c r="B57" s="57" t="inlineStr">
        <is>
          <t>Porcentaje de suelo desnudo</t>
        </is>
      </c>
      <c r="C57" s="57" t="inlineStr">
        <is>
          <t>%</t>
        </is>
      </c>
      <c r="D57" s="57" t="inlineStr">
        <is>
          <t>10</t>
        </is>
      </c>
      <c r="E57" s="57" t="inlineStr">
        <is>
          <t>Estimación ocular de campo</t>
        </is>
      </c>
      <c r="F57" s="57" t="inlineStr">
        <is>
          <t>&lt;10% bueno; 10-30% medio; &gt;30% malo</t>
        </is>
      </c>
      <c r="G57" s="57" t="inlineStr">
        <is>
          <t>Medio</t>
        </is>
      </c>
    </row>
    <row r="58">
      <c r="A58" s="56" t="inlineStr">
        <is>
          <t>3</t>
        </is>
      </c>
      <c r="B58" s="56" t="inlineStr">
        <is>
          <t>Densidad de cárcavas</t>
        </is>
      </c>
      <c r="C58" s="56" t="inlineStr">
        <is>
          <t>N°/ha</t>
        </is>
      </c>
      <c r="D58" s="56" t="inlineStr">
        <is>
          <t>Por verificar</t>
        </is>
      </c>
      <c r="E58" s="56" t="inlineStr">
        <is>
          <t>—</t>
        </is>
      </c>
      <c r="F58" s="56" t="inlineStr">
        <is>
          <t>0 nulo; 1-3 medio; &gt;3 alto</t>
        </is>
      </c>
      <c r="G58" s="56" t="inlineStr"/>
    </row>
    <row r="59">
      <c r="A59" s="57" t="inlineStr">
        <is>
          <t>4</t>
        </is>
      </c>
      <c r="B59" s="57" t="inlineStr">
        <is>
          <t>Presencia de especies invasoras</t>
        </is>
      </c>
      <c r="C59" s="57" t="inlineStr">
        <is>
          <t>% área</t>
        </is>
      </c>
      <c r="D59" s="57" t="inlineStr">
        <is>
          <t>Por verificar</t>
        </is>
      </c>
      <c r="E59" s="57" t="inlineStr">
        <is>
          <t>—</t>
        </is>
      </c>
      <c r="F59" s="57" t="inlineStr">
        <is>
          <t>&lt;5% bueno; 5-20% medio; &gt;20% alto</t>
        </is>
      </c>
      <c r="G59" s="57" t="inlineStr"/>
    </row>
    <row r="60">
      <c r="A60" s="56" t="inlineStr">
        <is>
          <t>5</t>
        </is>
      </c>
      <c r="B60" s="56" t="inlineStr">
        <is>
          <t>Carga ganadera estimada</t>
        </is>
      </c>
      <c r="C60" s="56" t="inlineStr">
        <is>
          <t>UA/ha</t>
        </is>
      </c>
      <c r="D60" s="56" t="inlineStr">
        <is>
          <t>Por verificar</t>
        </is>
      </c>
      <c r="E60" s="56" t="inlineStr">
        <is>
          <t>—</t>
        </is>
      </c>
      <c r="F60" s="56" t="inlineStr">
        <is>
          <t>Según tipo de ecosistema</t>
        </is>
      </c>
      <c r="G60" s="56" t="inlineStr"/>
    </row>
    <row r="61">
      <c r="A61" s="57" t="inlineStr">
        <is>
          <t>6</t>
        </is>
      </c>
      <c r="B61" s="57" t="inlineStr">
        <is>
          <t>Frecuencia de quemas últimos 5 años</t>
        </is>
      </c>
      <c r="C61" s="57" t="inlineStr">
        <is>
          <t>N°</t>
        </is>
      </c>
      <c r="D61" s="57" t="inlineStr">
        <is>
          <t>Por verificar</t>
        </is>
      </c>
      <c r="E61" s="57" t="inlineStr">
        <is>
          <t>—</t>
        </is>
      </c>
      <c r="F61" s="57" t="inlineStr">
        <is>
          <t>0 nulo; 1-2 medio; &gt;2 alto</t>
        </is>
      </c>
      <c r="G61" s="57" t="inlineStr"/>
    </row>
    <row r="62">
      <c r="A62" s="56" t="inlineStr">
        <is>
          <t>7</t>
        </is>
      </c>
      <c r="B62" s="56" t="inlineStr">
        <is>
          <t>% área con pendiente &gt;50%</t>
        </is>
      </c>
      <c r="C62" s="56" t="inlineStr">
        <is>
          <t>%</t>
        </is>
      </c>
      <c r="D62" s="56" t="inlineStr">
        <is>
          <t>Por verificar</t>
        </is>
      </c>
      <c r="E62" s="56" t="inlineStr">
        <is>
          <t>Perfil GE (máx 54%, media 33%)</t>
        </is>
      </c>
      <c r="F62" s="56" t="inlineStr">
        <is>
          <t>Factor de susceptibilidad</t>
        </is>
      </c>
      <c r="G62" s="56" t="inlineStr"/>
    </row>
    <row r="63">
      <c r="A63" s="57" t="inlineStr">
        <is>
          <t>8</t>
        </is>
      </c>
      <c r="B63" s="57" t="inlineStr">
        <is>
          <t>Distancia a vía vecinal más cercana</t>
        </is>
      </c>
      <c r="C63" s="57" t="inlineStr">
        <is>
          <t>m</t>
        </is>
      </c>
      <c r="D63" s="57" t="inlineStr">
        <is>
          <t>Por verificar</t>
        </is>
      </c>
      <c r="E63" s="57" t="inlineStr">
        <is>
          <t>—</t>
        </is>
      </c>
      <c r="F63" s="57" t="inlineStr">
        <is>
          <t>A menor distancia → mayor presión</t>
        </is>
      </c>
      <c r="G63" s="57" t="inlineStr"/>
    </row>
    <row r="65">
      <c r="A65" s="54" t="inlineStr">
        <is>
          <t>F-DT-05 · FUENTES DE AGUA INVENTARIADAS</t>
        </is>
      </c>
    </row>
    <row r="66">
      <c r="A66" s="55" t="inlineStr">
        <is>
          <t>N.o</t>
        </is>
      </c>
      <c r="B66" s="55" t="inlineStr">
        <is>
          <t>Tipo de fuente</t>
        </is>
      </c>
      <c r="C66" s="55" t="inlineStr">
        <is>
          <t>UTM ESTE</t>
        </is>
      </c>
      <c r="D66" s="55" t="inlineStr">
        <is>
          <t>UTM NORTE</t>
        </is>
      </c>
      <c r="E66" s="55" t="inlineStr">
        <is>
          <t>Régimen</t>
        </is>
      </c>
      <c r="F66" s="55" t="inlineStr">
        <is>
          <t>Calidad</t>
        </is>
      </c>
      <c r="G66" s="55" t="inlineStr">
        <is>
          <t>Distancia (m)</t>
        </is>
      </c>
      <c r="H66" s="55" t="inlineStr">
        <is>
          <t>Uso / observación</t>
        </is>
      </c>
    </row>
    <row r="67">
      <c r="A67" s="56" t="inlineStr">
        <is>
          <t>1</t>
        </is>
      </c>
      <c r="B67" s="56" t="inlineStr">
        <is>
          <t>Quebrada estacional</t>
        </is>
      </c>
      <c r="C67" s="61" t="n">
        <v>657110</v>
      </c>
      <c r="D67" s="61" t="n">
        <v>9392674</v>
      </c>
      <c r="E67" s="56" t="inlineStr">
        <is>
          <t>Estacional (lluvias)</t>
        </is>
      </c>
      <c r="F67" s="56" t="inlineStr">
        <is>
          <t>No evaluable</t>
        </is>
      </c>
      <c r="G67" s="63" t="n">
        <v>0</v>
      </c>
      <c r="H67" s="56" t="inlineStr">
        <is>
          <t>Quebrada tributaria que drena el bloque (microcuenca C1076-Q9592); presenta estructuras de concreto (badén/alcantarilla) en el cruce con la trocha (F-08, F-10). Régimen por verificar.</t>
        </is>
      </c>
    </row>
    <row r="70">
      <c r="A70" s="54" t="inlineStr">
        <is>
          <t>OBSERVACIONES DEL EVALUADOR POR FICHA</t>
        </is>
      </c>
    </row>
    <row r="71">
      <c r="A71" s="55" t="inlineStr">
        <is>
          <t>Ficha</t>
        </is>
      </c>
      <c r="B71" s="55" t="inlineStr">
        <is>
          <t>Observación registrada en campo</t>
        </is>
      </c>
    </row>
    <row r="72">
      <c r="A72" s="56" t="inlineStr">
        <is>
          <t>F-DT-01</t>
        </is>
      </c>
      <c r="B72" s="56" t="inlineStr">
        <is>
          <t>Centroide del bloque (catálogo V5): 656 445 m E / 9 393 180 m N (UTM 17S WGS84). Terrenos de propiedad privada. El recorrido de verificación (21-07-2026) se concentró en el corredor de acceso sur del bloque, sobre la trocha departamental 108. El perfil de elevación de Google Earth a lo largo del recorrido registra cotas 1 223–1 606 msnm (media ≈ 1 420 msnm, pendiente media 33 %, máxima 54 %); el bloque asciende hacia las cimas al piso Quechua media. Altitud GPS instrumental no registrada en las tomas: por verificar.</t>
        </is>
      </c>
    </row>
    <row r="73">
      <c r="A73" s="57" t="inlineStr">
        <is>
          <t>F-DT-02</t>
        </is>
      </c>
      <c r="B73" s="57" t="inlineStr">
        <is>
          <t>Dimensiones instrumentales de cárcavas (longitud, profundidad, ancho) por verificar por el especialista de Infraestructura Marrón. La erosión se concentra en los taludes de corte de la trocha departamental 108 (material residual rojizo) y en la quebrada tributaria, donde se observan estructuras de concreto (badén/alcantarilla) de la vía (F-08, F-10) y un talud con malla raschel de mitigación y raíces expuestas (F-05). Coordenadas UTM 17S WGS84.</t>
        </is>
      </c>
    </row>
    <row r="74">
      <c r="A74" s="56" t="inlineStr">
        <is>
          <t>F-DT-03</t>
        </is>
      </c>
      <c r="B74" s="56" t="inlineStr">
        <is>
          <t>Lista florística PRELIMINAR, tomada por analogía con el vecino Bloque 43 (San Miguel de El Faique) y el Bloque 42, mismo ecosistema (Bes-cm) y microcuenca C1076; sujeta a colecta y determinación botánica formal para el Bloque 18. Coberturas: estimación ocular apoyada en MSAVI 2024 (media 0.640, clase de vigor alto). DAP y alturas no medidos (por verificar). Superficies por ecosistema (Reporte de Ecosistemas V5): Bes-cm 94.3 ha; Zona agrícola 9.32 ha.</t>
        </is>
      </c>
    </row>
    <row r="75">
      <c r="A75" s="57" t="inlineStr">
        <is>
          <t>F-DT-04</t>
        </is>
      </c>
      <c r="B75" s="57" t="inlineStr">
        <is>
          <t>El bloque conserva mayoritariamente bosque estacionalmente seco (MSAVI 2024 = 0.640, vigor alto); la degradación es localizada en el corredor vial. Carga ganadera, densidad de cárcavas y frecuencia de quemas: por verificar.</t>
        </is>
      </c>
    </row>
    <row r="76">
      <c r="A76" s="56" t="inlineStr">
        <is>
          <t>F-DT-05</t>
        </is>
      </c>
      <c r="B76" s="56" t="inlineStr">
        <is>
          <t>Terrenos de propiedad privada. La trocha departamental 108 atraviesa el corredor sur del bloque; se observaron estructuras de concreto de drenaje vial (badén/alcantarilla) en el cruce de la quebrada. Verificación con garúa/neblina (época seca). Distancia y datos de la captación poblacional/JASS, autorización de Ronda Campesina, señal celular y tiempos de viaje: por verificar. Coordenadas UTM 17S WGS84.</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18</t>
        </is>
      </c>
    </row>
    <row r="7">
      <c r="A7" s="54" t="inlineStr">
        <is>
          <t>Hechos declarados por fuente</t>
        </is>
      </c>
    </row>
    <row r="8">
      <c r="A8" s="55" t="inlineStr">
        <is>
          <t>Fuente</t>
        </is>
      </c>
      <c r="B8" s="55" t="inlineStr">
        <is>
          <t>Hechos</t>
        </is>
      </c>
    </row>
    <row r="9">
      <c r="A9" s="56" t="inlineStr">
        <is>
          <t>Dato de campo</t>
        </is>
      </c>
      <c r="B9" s="56" t="n">
        <v>53</v>
      </c>
    </row>
    <row r="10">
      <c r="A10" s="57" t="inlineStr">
        <is>
          <t>Gabinete (GIS / teledetección)</t>
        </is>
      </c>
      <c r="B10" s="57" t="n">
        <v>22</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88</v>
      </c>
    </row>
    <row r="31">
      <c r="A31" s="57" t="inlineStr">
        <is>
          <t>COMPLEMENTADO</t>
        </is>
      </c>
      <c r="B31" s="57" t="n">
        <v>1</v>
      </c>
    </row>
    <row r="32">
      <c r="A32" s="56" t="inlineStr">
        <is>
          <t>ACTUALIZADO</t>
        </is>
      </c>
      <c r="B32" s="56" t="n">
        <v>0</v>
      </c>
    </row>
    <row r="33">
      <c r="A33" s="57" t="inlineStr">
        <is>
          <t>DISCREPANTE</t>
        </is>
      </c>
      <c r="B33" s="57" t="n">
        <v>0</v>
      </c>
    </row>
    <row r="34">
      <c r="A34" s="56" t="inlineStr">
        <is>
          <t>PENDIENTE</t>
        </is>
      </c>
      <c r="B34" s="56" t="n">
        <v>25</v>
      </c>
    </row>
    <row r="51">
      <c r="A51" s="54" t="inlineStr">
        <is>
          <t>Cobertura por estrato — campo (%)</t>
        </is>
      </c>
    </row>
    <row r="52">
      <c r="A52" s="55" t="inlineStr">
        <is>
          <t>Estrato</t>
        </is>
      </c>
      <c r="B52" s="55" t="inlineStr">
        <is>
          <t>% del área</t>
        </is>
      </c>
    </row>
    <row r="53">
      <c r="A53" s="56" t="inlineStr">
        <is>
          <t>Dosel</t>
        </is>
      </c>
      <c r="B53" s="61" t="n">
        <v>45</v>
      </c>
    </row>
    <row r="54">
      <c r="A54" s="57" t="inlineStr">
        <is>
          <t>Herbácea</t>
        </is>
      </c>
      <c r="B54" s="62" t="n">
        <v>15</v>
      </c>
    </row>
    <row r="55">
      <c r="A55" s="56" t="inlineStr">
        <is>
          <t>Suelo desnudo</t>
        </is>
      </c>
      <c r="B55" s="61" t="n">
        <v>10</v>
      </c>
    </row>
    <row r="72">
      <c r="A72" s="54" t="inlineStr">
        <is>
          <t>Causas activas de degradación (F-DT-04)</t>
        </is>
      </c>
    </row>
    <row r="73">
      <c r="A73" s="55" t="inlineStr">
        <is>
          <t>Causa</t>
        </is>
      </c>
      <c r="B73" s="55" t="inlineStr">
        <is>
          <t>Intensidad (1 ligera - 4 muy fuerte)</t>
        </is>
      </c>
    </row>
    <row r="74">
      <c r="A74" s="56" t="inlineStr">
        <is>
          <t>Expansión urbana / vial</t>
        </is>
      </c>
      <c r="B74" s="56" t="n">
        <v>3</v>
      </c>
    </row>
    <row r="75">
      <c r="A75" s="57" t="inlineStr">
        <is>
          <t>Cambio de uso a agricultura</t>
        </is>
      </c>
      <c r="B75" s="57" t="n">
        <v>2</v>
      </c>
    </row>
    <row r="92">
      <c r="A92" s="54" t="inlineStr">
        <is>
          <t>Control de consistencia por calificación</t>
        </is>
      </c>
    </row>
    <row r="93">
      <c r="A93" s="55" t="inlineStr">
        <is>
          <t>Calificación</t>
        </is>
      </c>
      <c r="B93" s="55" t="inlineStr">
        <is>
          <t>Verificaciones</t>
        </is>
      </c>
    </row>
    <row r="94">
      <c r="A94" s="56" t="inlineStr">
        <is>
          <t>SUSTANTIVA</t>
        </is>
      </c>
      <c r="B94" s="56" t="n">
        <v>2</v>
      </c>
    </row>
    <row r="95">
      <c r="A95" s="57" t="inlineStr">
        <is>
          <t>NO SUSTANTIVA</t>
        </is>
      </c>
      <c r="B95" s="57" t="n">
        <v>3</v>
      </c>
    </row>
    <row r="96">
      <c r="A96" s="56" t="inlineStr">
        <is>
          <t>CORREGIDO</t>
        </is>
      </c>
      <c r="B96" s="56" t="n">
        <v>0</v>
      </c>
    </row>
    <row r="97">
      <c r="A97" s="57" t="inlineStr">
        <is>
          <t>CONFORME</t>
        </is>
      </c>
      <c r="B97"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18 — IN Piura</dc:title>
  <dc:subject>Diagnóstico Territorial por bloque de intervención</dc:subject>
  <dcterms:created xsi:type="dcterms:W3CDTF">2026-09-08T03:39:55Z</dcterms:created>
  <dcterms:modified xsi:type="dcterms:W3CDTF">2026-09-11T20:22:25Z</dcterms:modified>
</cp:coreProperties>
</file>