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f>
            </numRef>
          </cat>
          <val>
            <numRef>
              <f>'Gráficos de integración'!$B$53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integración'!B71</f>
            </strRef>
          </tx>
          <spPr>
            <a:ln>
              <a:prstDash val="solid"/>
            </a:ln>
          </spPr>
          <cat>
            <numRef>
              <f>'Gráficos de integración'!$A$72:$A$80</f>
            </numRef>
          </cat>
          <val>
            <numRef>
              <f>'Gráficos de integración'!$B$72:$B$80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integración'!B98</f>
            </strRef>
          </tx>
          <spPr>
            <a:ln>
              <a:prstDash val="solid"/>
            </a:ln>
          </spPr>
          <cat>
            <numRef>
              <f>'Gráficos de integración'!$A$99:$A$102</f>
            </numRef>
          </cat>
          <val>
            <numRef>
              <f>'Gráficos de integración'!$B$99:$B$102</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70</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97</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42</t>
        </is>
      </c>
    </row>
    <row r="6" ht="24" customHeight="1">
      <c r="A6" s="4" t="inlineStr">
        <is>
          <t>Diagnóstico Territorial — Plantilla DT Campo Check Validada V5 | Sistema de referencia: UTM WGS 84 Zona 17S (EPSG:32717) · Integrado con la ficha de campo F-DT vigente (Plantilla_DT_Bloque42_LLENADA.xlsx) — V7 - resumen V6 + campo F-DT integrado</t>
        </is>
      </c>
    </row>
    <row r="7"/>
    <row r="8" ht="18" customHeight="1">
      <c r="A8" s="5" t="inlineStr">
        <is>
          <t>1. IDENTIFICACIÓN Y LOCALIZACIÓN</t>
        </is>
      </c>
    </row>
    <row r="9">
      <c r="A9" s="6" t="inlineStr">
        <is>
          <t>Código del bloque</t>
        </is>
      </c>
      <c r="B9" s="7" t="inlineStr">
        <is>
          <t>42</t>
        </is>
      </c>
      <c r="C9" s="6" t="inlineStr">
        <is>
          <t>Microcuenca (catálogo)</t>
        </is>
      </c>
      <c r="D9" s="7" t="inlineStr">
        <is>
          <t>C1086-Q9570</t>
        </is>
      </c>
      <c r="E9" s="8" t="n"/>
      <c r="F9" s="8" t="n"/>
    </row>
    <row r="10">
      <c r="A10" s="6" t="inlineStr">
        <is>
          <t>Zona de planificación</t>
        </is>
      </c>
      <c r="B10" s="7" t="inlineStr">
        <is>
          <t>Z04</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Santa Catalina de Mossa</t>
        </is>
      </c>
      <c r="C12" s="6" t="inlineStr">
        <is>
          <t>Capital distrital</t>
        </is>
      </c>
      <c r="D12" s="7" t="inlineStr">
        <is>
          <t>Santa Catalina de Mossa</t>
        </is>
      </c>
      <c r="E12" s="8" t="n"/>
      <c r="F12" s="8" t="n"/>
    </row>
    <row r="13">
      <c r="A13" s="6" t="inlineStr">
        <is>
          <t>Centro poblado asociado</t>
        </is>
      </c>
      <c r="B13" s="7" t="inlineStr">
        <is>
          <t>Santa Rosa de Chirimoyos</t>
        </is>
      </c>
      <c r="C13" s="6" t="inlineStr">
        <is>
          <t>Comunidad campesina</t>
        </is>
      </c>
      <c r="D13" s="49" t="inlineStr">
        <is>
          <t>Ptedios de propiedad privada y comunal</t>
        </is>
      </c>
      <c r="E13" s="8" t="n"/>
      <c r="F13" s="8" t="n"/>
    </row>
    <row r="14">
      <c r="A14" s="6" t="inlineStr">
        <is>
          <t>Superficie de catálogo (V5/V6), ha</t>
        </is>
      </c>
      <c r="B14" s="7" t="n">
        <v>80.62</v>
      </c>
      <c r="C14" s="6" t="inlineStr">
        <is>
          <t>Fuente de superficie</t>
        </is>
      </c>
      <c r="D14" s="7" t="inlineStr">
        <is>
          <t>Catálogo maestro Bloques V5/V6</t>
        </is>
      </c>
      <c r="E14" s="8" t="n"/>
      <c r="F14" s="8" t="n"/>
    </row>
    <row r="15">
      <c r="A15" s="6" t="inlineStr">
        <is>
          <t>Centroide UTM ESTE (m)</t>
        </is>
      </c>
      <c r="B15" s="7" t="n">
        <v>625152</v>
      </c>
      <c r="C15" s="6" t="inlineStr">
        <is>
          <t>Centroide UTM NORTE (m)</t>
        </is>
      </c>
      <c r="D15" s="7" t="n">
        <v>9435011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1131</v>
      </c>
      <c r="C19" s="6" t="inlineStr">
        <is>
          <t>Altitud máxima (msnm)</t>
        </is>
      </c>
      <c r="D19" s="7" t="n">
        <v>1548</v>
      </c>
      <c r="E19" s="8" t="n"/>
      <c r="F19" s="8" t="n"/>
    </row>
    <row r="20">
      <c r="A20" s="6" t="inlineStr">
        <is>
          <t>Amplitud altitudinal (m)</t>
        </is>
      </c>
      <c r="B20" s="7" t="n">
        <v>417</v>
      </c>
      <c r="C20" s="6" t="inlineStr">
        <is>
          <t>Piso altitudinal dominante</t>
        </is>
      </c>
      <c r="D20" s="7" t="inlineStr">
        <is>
          <t>1000-1500 m (Quechua baja)</t>
        </is>
      </c>
      <c r="E20" s="8" t="n"/>
      <c r="F20" s="8" t="n"/>
    </row>
    <row r="21">
      <c r="A21" s="6" t="inlineStr">
        <is>
          <t>Pendiente promedio (%)</t>
        </is>
      </c>
      <c r="B21" s="7" t="n">
        <v>27.86</v>
      </c>
      <c r="C21" s="6" t="inlineStr">
        <is>
          <t>Pendiente promedio (grados)</t>
        </is>
      </c>
      <c r="D21" s="7" t="n">
        <v>15.6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0.6348</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(88.83 %)</t>
        </is>
      </c>
      <c r="E29" s="8" t="n"/>
      <c r="F29" s="8" t="n"/>
    </row>
    <row r="30">
      <c r="A30" s="6" t="inlineStr">
        <is>
          <t>Superficie clasificada NDVI 2025 (ha)</t>
        </is>
      </c>
      <c r="B30" s="7" t="n">
        <v>80.649</v>
      </c>
      <c r="C30" s="6" t="inlineStr">
        <is>
          <t>Desviación frente al catálogo (%)</t>
        </is>
      </c>
      <c r="D30" s="7" t="n">
        <v>0.04</v>
      </c>
      <c r="E30" s="8" t="n"/>
      <c r="F30" s="8" t="n"/>
    </row>
    <row r="31">
      <c r="A31" s="6" t="inlineStr">
        <is>
          <t>Superficie clasificada MSAVI 2024 (ha)</t>
        </is>
      </c>
      <c r="B31" s="37" t="n">
        <v>80.616</v>
      </c>
      <c r="C31" s="6" t="inlineStr">
        <is>
          <t>Desviación MSAVI frente al catálogo (%)</t>
        </is>
      </c>
      <c r="D31" s="38" t="n">
        <v>-0.01</v>
      </c>
      <c r="E31" s="8" t="n"/>
      <c r="F31" s="8" t="n"/>
    </row>
    <row r="32">
      <c r="A32" s="6" t="inlineStr">
        <is>
          <t>Superficie bajo umbral MSAVI 0.4976 (ha)</t>
        </is>
      </c>
      <c r="B32" s="37" t="n">
        <v>4.543</v>
      </c>
      <c r="C32" s="6" t="inlineStr">
        <is>
          <t>% del bloque bajo umbral (brecha espectral)</t>
        </is>
      </c>
      <c r="D32" s="38" t="n">
        <v>5.64</v>
      </c>
      <c r="E32" s="8" t="n"/>
      <c r="F32" s="8" t="n"/>
    </row>
    <row r="33">
      <c r="A33" s="6" t="inlineStr">
        <is>
          <t>Clase DN dominante (MSAVI 2024)</t>
        </is>
      </c>
      <c r="B33" s="7" t="inlineStr">
        <is>
          <t>DN 5 · &gt; 0.6139 (Vigor alto)</t>
        </is>
      </c>
      <c r="C33" s="6" t="inlineStr">
        <is>
          <t>N.° de polígonos MSAVI del bloque</t>
        </is>
      </c>
      <c r="D33" s="39" t="n">
        <v>142</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7" t="inlineStr">
        <is>
          <t>Por determinar</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Matorral denso</t>
        </is>
      </c>
      <c r="C38" s="6" t="inlineStr">
        <is>
          <t>Cobertura vegetal total — campo (%)</t>
        </is>
      </c>
      <c r="D38" s="7" t="n">
        <v>70</v>
      </c>
      <c r="E38" s="8" t="n"/>
      <c r="F38" s="8" t="n"/>
    </row>
    <row r="39">
      <c r="A39" s="6" t="inlineStr">
        <is>
          <t>Suelo desnudo — campo (%)</t>
        </is>
      </c>
      <c r="B39" s="49" t="inlineStr">
        <is>
          <t>10</t>
        </is>
      </c>
      <c r="C39" s="6" t="inlineStr">
        <is>
          <t>Regeneración natural</t>
        </is>
      </c>
      <c r="D39" s="7" t="inlineStr">
        <is>
          <t>Por determinar</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10</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49" t="inlineStr">
        <is>
          <t>Ing. Héctor S. Cahuas Miller; Ing. Juan Carlos Domínguez Varas; Ing. Pedro Talledo Hernández</t>
        </is>
      </c>
      <c r="C44" s="6" t="inlineStr">
        <is>
          <t>Fecha de evaluación</t>
        </is>
      </c>
      <c r="D44" s="49" t="inlineStr">
        <is>
          <t>02-06-2026</t>
        </is>
      </c>
      <c r="E44" s="8" t="n"/>
      <c r="F44" s="8" t="n"/>
    </row>
    <row r="45">
      <c r="A45" s="6" t="inlineStr">
        <is>
          <t>Hora de registro</t>
        </is>
      </c>
      <c r="B45" s="49" t="inlineStr">
        <is>
          <t>12:46</t>
        </is>
      </c>
      <c r="C45" s="6" t="inlineStr">
        <is>
          <t>Correlativo de ficha</t>
        </is>
      </c>
      <c r="D45" s="49" t="inlineStr">
        <is>
          <t>Por registrar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49" t="inlineStr">
        <is>
          <t>No instalada</t>
        </is>
      </c>
      <c r="E47" s="8" t="n"/>
      <c r="F47" s="8" t="n"/>
    </row>
    <row r="48">
      <c r="A48" s="6" t="inlineStr">
        <is>
          <t>Estaciones fotográficas georreferenciadas</t>
        </is>
      </c>
      <c r="B48" s="7" t="inlineStr">
        <is>
          <t>Sin registro en la ficha DT</t>
        </is>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sobre laderas de fuerte pendiente, sin prácticas de conservación de suelos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42</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1" t="n">
        <v>53.1008</v>
      </c>
      <c r="C10" s="30">
        <f>ROUND(B10/$B$15*100,2)</f>
        <v/>
      </c>
      <c r="D10" s="12" t="inlineStr">
        <is>
          <t>Vigor alto</t>
        </is>
      </c>
      <c r="E10" s="12" t="inlineStr">
        <is>
          <t>Sobre umbral</t>
        </is>
      </c>
    </row>
    <row r="11">
      <c r="A11" s="13" t="inlineStr">
        <is>
          <t>0.4976 - 0.6139 · DN 4</t>
        </is>
      </c>
      <c r="B11" s="20" t="n">
        <v>22.9715</v>
      </c>
      <c r="C11" s="21">
        <f>ROUND(B11/$B$15*100,2)</f>
        <v/>
      </c>
      <c r="D11" s="14" t="inlineStr">
        <is>
          <t>Vigor moderado</t>
        </is>
      </c>
      <c r="E11" s="14" t="inlineStr">
        <is>
          <t>Sobre umbral</t>
        </is>
      </c>
    </row>
    <row r="12">
      <c r="A12" s="7" t="inlineStr">
        <is>
          <t>0.3813 - 0.4976 · DN 3</t>
        </is>
      </c>
      <c r="B12" s="18" t="n">
        <v>4.5234</v>
      </c>
      <c r="C12" s="19">
        <f>ROUND(B12/$B$15*100,2)</f>
        <v/>
      </c>
      <c r="D12" s="15" t="inlineStr">
        <is>
          <t>Vigor bajo</t>
        </is>
      </c>
      <c r="E12" s="15" t="inlineStr">
        <is>
          <t>BAJO umbral 0.4976</t>
        </is>
      </c>
    </row>
    <row r="13">
      <c r="A13" s="13" t="inlineStr">
        <is>
          <t>0.2650 - 0.3813 · DN 2</t>
        </is>
      </c>
      <c r="B13" s="20" t="n">
        <v>0.0198</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2" t="inlineStr">
        <is>
          <t>TOTAL CLASIFICADO MSAVI 2024</t>
        </is>
      </c>
      <c r="B15" s="43">
        <f>SUM(B10:B14)</f>
        <v/>
      </c>
      <c r="C15" s="44">
        <f>SUM(C10:C14)</f>
        <v/>
      </c>
      <c r="D15" s="42" t="inlineStr">
        <is>
          <t>Suma de la distribución areal · 142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80.62</v>
      </c>
      <c r="C18" s="48" t="inlineStr">
        <is>
          <t>—</t>
        </is>
      </c>
      <c r="D18" s="45" t="inlineStr">
        <is>
          <t>Desviación planimétrica frente al catálogo</t>
        </is>
      </c>
      <c r="E18" s="45" t="inlineStr">
        <is>
          <t>-0.01 %</t>
        </is>
      </c>
    </row>
    <row r="19">
      <c r="A19" s="16" t="inlineStr">
        <is>
          <t>MSAVI 2024 — MEDIA DEL BLOQUE</t>
        </is>
      </c>
      <c r="B19" s="17" t="n">
        <v>0.634841</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142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(0.6348)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71.6422</v>
      </c>
      <c r="C25" s="19" t="n">
        <v>88.83</v>
      </c>
      <c r="D25" s="15" t="inlineStr">
        <is>
          <t>Dosel continuo, matorral denso o mosaico agroforestal</t>
        </is>
      </c>
      <c r="E25" s="15" t="inlineStr"/>
    </row>
    <row r="26">
      <c r="A26" s="13" t="inlineStr">
        <is>
          <t>Vegetación mediana</t>
        </is>
      </c>
      <c r="B26" s="20" t="n">
        <v>8.9064</v>
      </c>
      <c r="C26" s="21" t="n">
        <v>11.04</v>
      </c>
      <c r="D26" s="14" t="inlineStr">
        <is>
          <t>Pastizal cultivado, matorral ralo, parcelas agrícolas</t>
        </is>
      </c>
      <c r="E26" s="14" t="inlineStr"/>
    </row>
    <row r="27">
      <c r="A27" s="7" t="inlineStr">
        <is>
          <t>Vegetación ligera</t>
        </is>
      </c>
      <c r="B27" s="18" t="n">
        <v>0.1002</v>
      </c>
      <c r="C27" s="19" t="n">
        <v>0.12</v>
      </c>
      <c r="D27" s="15" t="inlineStr">
        <is>
          <t>Cobertura discontinua, suelo parcialmente expuesto</t>
        </is>
      </c>
      <c r="E27" s="15" t="inlineStr"/>
    </row>
    <row r="28">
      <c r="A28" s="16" t="inlineStr">
        <is>
          <t>TOTAL CLASIFICADO</t>
        </is>
      </c>
      <c r="B28" s="22">
        <f>SUM(B25:B27)</f>
        <v/>
      </c>
      <c r="C28" s="23">
        <f>SUM(C25:C27)</f>
        <v/>
      </c>
      <c r="D28" s="17" t="inlineStr"/>
      <c r="E28" s="17" t="inlineStr"/>
    </row>
    <row r="29">
      <c r="A29" s="24" t="inlineStr">
        <is>
          <t>Superficie de catálogo (V5/V6)</t>
        </is>
      </c>
      <c r="B29" s="25" t="n">
        <v>80.62</v>
      </c>
      <c r="C29" s="25" t="inlineStr">
        <is>
          <t>—</t>
        </is>
      </c>
      <c r="D29" s="25" t="inlineStr">
        <is>
          <t>Desviación planimétrica frente al catálogo</t>
        </is>
      </c>
      <c r="E29" s="25" t="inlineStr">
        <is>
          <t>+0.04 %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88.83 % del polígono clasificado como «Vegetación alta» por el NDVI 2025; la observación de campo corresponde a una parcela o recorrido puntual y no es estadísticamente representativa de las 80.620 ha del bloque.</t>
        </is>
      </c>
      <c r="B31" s="40" t="n"/>
      <c r="C31" s="40" t="n"/>
      <c r="D31" s="40" t="n"/>
      <c r="E31" s="41"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42</t>
        </is>
      </c>
    </row>
    <row r="6" ht="24" customHeight="1">
      <c r="A6" s="4" t="inlineStr">
        <is>
          <t>Levantamiento del 2026-06-03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645575</v>
      </c>
      <c r="D10" s="26" t="n">
        <v>9393500</v>
      </c>
      <c r="E10" s="15" t="n">
        <v>46263</v>
      </c>
      <c r="F10" s="15" t="inlineStr"/>
      <c r="G10" s="15"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625152</v>
      </c>
      <c r="C13" s="6" t="inlineStr">
        <is>
          <t>Centroide del bloque — UTM NORTE (m)</t>
        </is>
      </c>
      <c r="D13" s="7" t="n">
        <v>9435011</v>
      </c>
      <c r="E13" s="8" t="n"/>
      <c r="F13" s="8" t="n"/>
      <c r="G13" s="8" t="n"/>
      <c r="H13" s="8" t="n"/>
    </row>
    <row r="14">
      <c r="A14" s="6" t="inlineStr">
        <is>
          <t>N.° de estaciones fotográficas declaradas</t>
        </is>
      </c>
      <c r="B14" s="7" t="inlineStr">
        <is>
          <t>Sin registro en la ficha DT</t>
        </is>
      </c>
      <c r="C14" s="6" t="inlineStr">
        <is>
          <t>Estaciones dentro del polígono</t>
        </is>
      </c>
      <c r="D14" s="7" t="inlineStr">
        <is>
          <t>Por determinar</t>
        </is>
      </c>
      <c r="E14" s="8" t="n"/>
      <c r="F14" s="8" t="n"/>
      <c r="G14" s="8" t="n"/>
      <c r="H14" s="8" t="n"/>
    </row>
    <row r="16" ht="120"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Recorrido del bloque A PIE con track GPS Garmin 66sr (verificación 02-03/06/2026, avance físico 100%). El interior presenta cobertura predominantemente alta y relieve estable en superficie; las evidencias de inestabilidad activa (taludes de corte con caída de material) se concentran a lo largo de la vía de acceso, FUERA del polígono. Altitud promedio ≈1400 msnm; rango del bloque ≈1100-1500 msnm. Acceso por carretera PI-805 desde Santa Catalina de Mossa.</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42</t>
        </is>
      </c>
    </row>
    <row r="6" ht="24" customHeight="1">
      <c r="A6" s="4" t="inlineStr">
        <is>
          <t>Distrito de Santa Catalina de Mossa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7" t="n">
        <v>119.54</v>
      </c>
      <c r="C10" s="19" t="n">
        <v>14</v>
      </c>
      <c r="D10" s="15" t="inlineStr">
        <is>
          <t>672 – 2244</t>
        </is>
      </c>
      <c r="E10" s="15" t="n">
        <v>1572</v>
      </c>
      <c r="F10" s="15" t="n">
        <v>27.41</v>
      </c>
      <c r="G10" s="18" t="n">
        <v>0.7067</v>
      </c>
      <c r="H10" s="19" t="n">
        <v>99.93000000000001</v>
      </c>
      <c r="I10" s="19" t="n">
        <v>0.07000000000000001</v>
      </c>
    </row>
    <row r="11">
      <c r="A11" s="13" t="inlineStr">
        <is>
          <t>11</t>
        </is>
      </c>
      <c r="B11" s="28" t="n">
        <v>103.95</v>
      </c>
      <c r="C11" s="21" t="n">
        <v>12.17</v>
      </c>
      <c r="D11" s="14" t="inlineStr">
        <is>
          <t>1375 – 1928</t>
        </is>
      </c>
      <c r="E11" s="14" t="n">
        <v>553</v>
      </c>
      <c r="F11" s="14" t="n">
        <v>32.19</v>
      </c>
      <c r="G11" s="20" t="n">
        <v>0.6047</v>
      </c>
      <c r="H11" s="21" t="n">
        <v>75.28</v>
      </c>
      <c r="I11" s="21" t="n">
        <v>11.34</v>
      </c>
    </row>
    <row r="12">
      <c r="A12" s="7" t="inlineStr">
        <is>
          <t>17</t>
        </is>
      </c>
      <c r="B12" s="27" t="n">
        <v>96.08</v>
      </c>
      <c r="C12" s="19" t="n">
        <v>11.25</v>
      </c>
      <c r="D12" s="15" t="inlineStr">
        <is>
          <t>1253 – 1880</t>
        </is>
      </c>
      <c r="E12" s="15" t="n">
        <v>627</v>
      </c>
      <c r="F12" s="15" t="n">
        <v>35.56</v>
      </c>
      <c r="G12" s="18" t="n">
        <v>0.6479</v>
      </c>
      <c r="H12" s="19" t="n">
        <v>88.68000000000001</v>
      </c>
      <c r="I12" s="19" t="n">
        <v>2.09</v>
      </c>
    </row>
    <row r="13">
      <c r="A13" s="13" t="inlineStr">
        <is>
          <t>14</t>
        </is>
      </c>
      <c r="B13" s="28" t="n">
        <v>92.90000000000001</v>
      </c>
      <c r="C13" s="21" t="n">
        <v>10.88</v>
      </c>
      <c r="D13" s="14" t="inlineStr">
        <is>
          <t>87 – 1355</t>
        </is>
      </c>
      <c r="E13" s="14" t="n">
        <v>1268</v>
      </c>
      <c r="F13" s="14" t="n">
        <v>23.75</v>
      </c>
      <c r="G13" s="20" t="n">
        <v>0.5197000000000001</v>
      </c>
      <c r="H13" s="21" t="n">
        <v>58.89</v>
      </c>
      <c r="I13" s="21" t="n">
        <v>39.02</v>
      </c>
    </row>
    <row r="14">
      <c r="A14" s="7" t="inlineStr">
        <is>
          <t>15</t>
        </is>
      </c>
      <c r="B14" s="27" t="n">
        <v>86.15000000000001</v>
      </c>
      <c r="C14" s="19" t="n">
        <v>10.09</v>
      </c>
      <c r="D14" s="15" t="inlineStr">
        <is>
          <t>1199 – 1655</t>
        </is>
      </c>
      <c r="E14" s="15" t="n">
        <v>456</v>
      </c>
      <c r="F14" s="15" t="n">
        <v>26.19</v>
      </c>
      <c r="G14" s="18" t="n">
        <v>0.5605</v>
      </c>
      <c r="H14" s="19" t="n">
        <v>56.47</v>
      </c>
      <c r="I14" s="19" t="n">
        <v>22.48</v>
      </c>
    </row>
    <row r="15">
      <c r="A15" s="13" t="inlineStr">
        <is>
          <t>23</t>
        </is>
      </c>
      <c r="B15" s="28" t="n">
        <v>81.78</v>
      </c>
      <c r="C15" s="21" t="n">
        <v>9.58</v>
      </c>
      <c r="D15" s="14" t="inlineStr">
        <is>
          <t>521 – 973</t>
        </is>
      </c>
      <c r="E15" s="14" t="n">
        <v>452</v>
      </c>
      <c r="F15" s="14" t="n">
        <v>35.28</v>
      </c>
      <c r="G15" s="20" t="n">
        <v>0.5731000000000001</v>
      </c>
      <c r="H15" s="21" t="n">
        <v>47.99</v>
      </c>
      <c r="I15" s="21" t="n">
        <v>18.75</v>
      </c>
    </row>
    <row r="16">
      <c r="A16" s="11" t="inlineStr">
        <is>
          <t>► 42</t>
        </is>
      </c>
      <c r="B16" s="29" t="n">
        <v>80.62</v>
      </c>
      <c r="C16" s="30" t="n">
        <v>9.44</v>
      </c>
      <c r="D16" s="12" t="inlineStr">
        <is>
          <t>1131 – 1548</t>
        </is>
      </c>
      <c r="E16" s="12" t="n">
        <v>417</v>
      </c>
      <c r="F16" s="12" t="n">
        <v>27.86</v>
      </c>
      <c r="G16" s="31" t="n">
        <v>0.6348</v>
      </c>
      <c r="H16" s="30" t="n">
        <v>88.83</v>
      </c>
      <c r="I16" s="30" t="n">
        <v>5.64</v>
      </c>
    </row>
    <row r="17">
      <c r="A17" s="13" t="inlineStr">
        <is>
          <t>M19B2</t>
        </is>
      </c>
      <c r="B17" s="28" t="n">
        <v>74.37</v>
      </c>
      <c r="C17" s="21" t="n">
        <v>8.710000000000001</v>
      </c>
      <c r="D17" s="14" t="inlineStr">
        <is>
          <t>203 – 523</t>
        </is>
      </c>
      <c r="E17" s="14" t="n">
        <v>320</v>
      </c>
      <c r="F17" s="14" t="n">
        <v>21.71</v>
      </c>
      <c r="G17" s="20" t="n">
        <v>0.4012</v>
      </c>
      <c r="H17" s="21" t="n">
        <v>1.28</v>
      </c>
      <c r="I17" s="21" t="n">
        <v>96.23999999999999</v>
      </c>
    </row>
    <row r="18">
      <c r="A18" s="7" t="inlineStr">
        <is>
          <t>82</t>
        </is>
      </c>
      <c r="B18" s="27" t="n">
        <v>35.66</v>
      </c>
      <c r="C18" s="19" t="n">
        <v>4.18</v>
      </c>
      <c r="D18" s="15" t="inlineStr">
        <is>
          <t>1796 – 2098</t>
        </is>
      </c>
      <c r="E18" s="15" t="n">
        <v>302</v>
      </c>
      <c r="F18" s="15" t="n">
        <v>23.55</v>
      </c>
      <c r="G18" s="18" t="n">
        <v>0.6283</v>
      </c>
      <c r="H18" s="19" t="n">
        <v>90.06999999999999</v>
      </c>
      <c r="I18" s="19" t="n">
        <v>12.67</v>
      </c>
    </row>
    <row r="19">
      <c r="A19" s="13" t="inlineStr">
        <is>
          <t>78</t>
        </is>
      </c>
      <c r="B19" s="28" t="n">
        <v>35.1</v>
      </c>
      <c r="C19" s="21" t="n">
        <v>4.11</v>
      </c>
      <c r="D19" s="14" t="inlineStr">
        <is>
          <t>1908 – 2236</t>
        </is>
      </c>
      <c r="E19" s="14" t="n">
        <v>328</v>
      </c>
      <c r="F19" s="14" t="n">
        <v>30.64</v>
      </c>
      <c r="G19" s="20" t="n">
        <v>0.7074</v>
      </c>
      <c r="H19" s="21" t="n">
        <v>89.33</v>
      </c>
      <c r="I19" s="21" t="n">
        <v>1.77</v>
      </c>
    </row>
    <row r="20">
      <c r="A20" s="7" t="inlineStr">
        <is>
          <t>M19B7</t>
        </is>
      </c>
      <c r="B20" s="27" t="n">
        <v>34.17</v>
      </c>
      <c r="C20" s="19" t="n">
        <v>4</v>
      </c>
      <c r="D20" s="15" t="inlineStr">
        <is>
          <t>1213 – 1578</t>
        </is>
      </c>
      <c r="E20" s="15" t="n">
        <v>365</v>
      </c>
      <c r="F20" s="15" t="n">
        <v>28.15</v>
      </c>
      <c r="G20" s="18" t="n">
        <v>0.5919</v>
      </c>
      <c r="H20" s="19" t="n">
        <v>78.52</v>
      </c>
      <c r="I20" s="19" t="n">
        <v>5.85</v>
      </c>
    </row>
    <row r="21">
      <c r="A21" s="13" t="inlineStr">
        <is>
          <t>59</t>
        </is>
      </c>
      <c r="B21" s="28" t="n">
        <v>13.55</v>
      </c>
      <c r="C21" s="21" t="n">
        <v>1.59</v>
      </c>
      <c r="D21" s="14" t="inlineStr">
        <is>
          <t>2045 – 2218</t>
        </is>
      </c>
      <c r="E21" s="14" t="n">
        <v>173</v>
      </c>
      <c r="F21" s="14" t="n">
        <v>29.85</v>
      </c>
      <c r="G21" s="20" t="n">
        <v>0.6147</v>
      </c>
      <c r="H21" s="21" t="n">
        <v>86.56999999999999</v>
      </c>
      <c r="I21" s="21" t="n">
        <v>13.72</v>
      </c>
    </row>
    <row r="22">
      <c r="A22" s="16" t="inlineStr">
        <is>
          <t>TOTAL / PROMEDIO</t>
        </is>
      </c>
      <c r="B22" s="32">
        <f>SUM(B10:B21)</f>
        <v/>
      </c>
      <c r="C22" s="23">
        <f>SUM(C10:C21)</f>
        <v/>
      </c>
      <c r="D22" s="17" t="inlineStr">
        <is>
          <t>87 – 2244</t>
        </is>
      </c>
      <c r="E22" s="17" t="inlineStr"/>
      <c r="F22" s="17">
        <f>ROUND(AVERAGE(F10:F21),2)</f>
        <v/>
      </c>
      <c r="G22" s="22">
        <f>ROUND(AVERAGE(G10:G21),4)</f>
        <v/>
      </c>
      <c r="H22" s="23">
        <f>ROUND(AVERAGE(H10:H21),2)</f>
        <v/>
      </c>
      <c r="I22" s="23">
        <f>ROUND(AVERAGE(I10:I21),2)</f>
        <v/>
      </c>
    </row>
    <row r="24" ht="84" customHeight="1">
      <c r="A24" s="9" t="inlineStr">
        <is>
          <t>LECTURA INTRAMICROCUENCA. El bloque 42 ocupa el puesto 7 de 12 por superficie dentro de la microcuenca C1086-Q9570 (9.44 % de las 853.87 ha preliminares de la microcuenca). Su pendiente promedio (27.86 %, clase «25-50% (Mod. escarpado)») es la 6.ª más baja de 12 y se sitúa por debajo del promedio de la microcuenca (28.51 %). Su MSAVI 2024 (0.6348) es el 4.º de 12 y queda por encima del promedio local (0.5993). Amplitud altitudinal del bloque: 417 m (1131–1548 msnm). El cuadro conserva todos los bloques catalogados en la microcuenca, incluidos los descartados en el tamizaje, para referencia del conjunto. Los bloques sin ficha DT figuran con sus parámetros de gabinete. BRECHA ESPECTRAL. El 5.64 % de la superficie del bloque (4.543 ha de 80.616 ha) se sitúa bajo el umbral MSAVI 0.4976, por debajo del promedio local de la microcuenca (19.14 %) calculado sobre los bloques con dato MSAVI disponible.</t>
        </is>
      </c>
      <c r="B24" s="40" t="n"/>
      <c r="C24" s="40" t="n"/>
      <c r="D24" s="40" t="n"/>
      <c r="E24" s="40" t="n"/>
      <c r="F24" s="40" t="n"/>
      <c r="G24" s="40" t="n"/>
      <c r="H24" s="40" t="n"/>
      <c r="I24" s="41"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0" t="n"/>
      <c r="C26" s="40" t="n"/>
      <c r="D26" s="40" t="n"/>
      <c r="E26" s="40" t="n"/>
      <c r="F26" s="40" t="n"/>
      <c r="G26" s="40" t="n"/>
      <c r="H26" s="40" t="n"/>
      <c r="I26" s="41" t="n"/>
    </row>
  </sheetData>
  <mergeCells count="9">
    <mergeCell ref="A2:I2"/>
    <mergeCell ref="A5:I5"/>
    <mergeCell ref="A1:I1"/>
    <mergeCell ref="A8:I8"/>
    <mergeCell ref="A3:I3"/>
    <mergeCell ref="A6:I6"/>
    <mergeCell ref="A4:I4"/>
    <mergeCell ref="A26:I26"/>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42</t>
        </is>
      </c>
    </row>
    <row r="6">
      <c r="A6" s="51" t="inlineStr">
        <is>
          <t>Cruce de la ficha de campo F-DT vigente con la ficha de resumen de gabinete y el catálogo maestro. Integración 2026-09-11 20:22:28.</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«C1086-Q9570».</t>
        </is>
      </c>
      <c r="D9" s="55" t="inlineStr">
        <is>
          <t>CONFORME</t>
        </is>
      </c>
      <c r="E9" s="55" t="inlineStr">
        <is>
          <t>Sin acción.</t>
        </is>
      </c>
    </row>
    <row r="10">
      <c r="A10" s="56" t="inlineStr">
        <is>
          <t>G-02</t>
        </is>
      </c>
      <c r="B10" s="56" t="inlineStr">
        <is>
          <t>UTM del punto de muestreo</t>
        </is>
      </c>
      <c r="C10" s="56" t="inlineStr">
        <is>
          <t>El punto de muestreo declarado dista 489.8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La altitud GPS (1400 msnm) cae dentro del rango altitudinal del bloque (1131 - 1548 msnm).</t>
        </is>
      </c>
      <c r="D12" s="56" t="inlineStr">
        <is>
          <t>CONFORME</t>
        </is>
      </c>
      <c r="E12" s="56" t="inlineStr">
        <is>
          <t>Sin acción.</t>
        </is>
      </c>
    </row>
    <row r="13">
      <c r="A13" s="55" t="inlineStr">
        <is>
          <t>G-05</t>
        </is>
      </c>
      <c r="B13" s="55" t="inlineStr">
        <is>
          <t>Superficie NDVI vs. catálogo</t>
        </is>
      </c>
      <c r="C13" s="55" t="inlineStr">
        <is>
          <t>La superficie clasificada por el NDVI mediana 2025 (80.649 ha) se desvía 0.04 % de la superficie de catálogo (80.62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(80.616 ha) se desvía -0.00 % de la superficie de catálogo (80.62 ha).</t>
        </is>
      </c>
      <c r="D14" s="56" t="inlineStr">
        <is>
          <t>CONFORME</t>
        </is>
      </c>
      <c r="E14" s="56" t="inlineStr">
        <is>
          <t>Sin acción: la segmentación valida la geometría del bloque.</t>
        </is>
      </c>
    </row>
    <row r="15">
      <c r="A15" s="55" t="inlineStr">
        <is>
          <t>G-07</t>
        </is>
      </c>
      <c r="B15" s="55" t="inlineStr">
        <is>
          <t>Brecha espectral MSAVI</t>
        </is>
      </c>
      <c r="C15" s="55" t="inlineStr">
        <is>
          <t>El 5.64 % del bloque queda bajo el umbral 0.4976; superficie de brecha 4.5432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80.62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(0.6348) cae en la clase «&gt; 0.6139 (Vigor alto)» y la clase DN dominante por superficie es «DN 5 · &gt; 0.6139 (Vigor alto)».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I-01</t>
        </is>
      </c>
      <c r="B19" s="55" t="inlineStr">
        <is>
          <t>Comunidad campesina</t>
        </is>
      </c>
      <c r="C19" s="55" t="inlineStr">
        <is>
          <t>El libro de resumen V6 consignaba «Predios de propiedad privada y comunal»; la ficha de campo vigente declara «Ptedios de propiedad privada y comunal».</t>
        </is>
      </c>
      <c r="D19" s="55" t="inlineStr">
        <is>
          <t>CORREGIDO</t>
        </is>
      </c>
      <c r="E19" s="55" t="inlineStr">
        <is>
          <t>Se adopta el valor de campo por ser la fuente que manda sobre el dato y la más reciente. El valor anterior queda declarado para trazabilidad.</t>
        </is>
      </c>
    </row>
    <row r="20">
      <c r="A20" s="56" t="inlineStr">
        <is>
          <t>I-02</t>
        </is>
      </c>
      <c r="B20" s="56" t="inlineStr">
        <is>
          <t>Responsable de la evaluación</t>
        </is>
      </c>
      <c r="C20" s="56" t="inlineStr">
        <is>
          <t>El libro de resumen V6 consignaba «Ing. Héctor S. Cahuas Miller / J.C. Domínguez V. / P. Talledo H.»; la ficha de campo vigente declara «Ing. Héctor S. Cahuas Miller; Ing. Juan Carlos Domínguez Varas; Ing. Pedro Talledo Hernández».</t>
        </is>
      </c>
      <c r="D20" s="56" t="inlineStr">
        <is>
          <t>CORREGIDO</t>
        </is>
      </c>
      <c r="E20" s="56" t="inlineStr">
        <is>
          <t>Se adopta el valor de campo por ser la fuente que manda sobre el dato y la más reciente. El valor anterior queda declarado para trazabilidad.</t>
        </is>
      </c>
    </row>
    <row r="21">
      <c r="A21" s="55" t="inlineStr">
        <is>
          <t>I-03</t>
        </is>
      </c>
      <c r="B21" s="55" t="inlineStr">
        <is>
          <t>Fecha de evaluación</t>
        </is>
      </c>
      <c r="C21" s="55" t="inlineStr">
        <is>
          <t>El libro de resumen V6 consignaba «2026-06-03»; la ficha de campo vigente declara «02-06-2026».</t>
        </is>
      </c>
      <c r="D21" s="55" t="inlineStr">
        <is>
          <t>CORREGIDO</t>
        </is>
      </c>
      <c r="E21" s="55" t="inlineStr">
        <is>
          <t>Se adopta el valor de campo por ser la fuente que manda sobre el dato y la más reciente. El valor anterior queda declarado para trazabilidad.</t>
        </is>
      </c>
    </row>
    <row r="22">
      <c r="A22" s="56" t="inlineStr">
        <is>
          <t>F-01</t>
        </is>
      </c>
      <c r="B22" s="56" t="inlineStr">
        <is>
          <t>Fichas F-DT levantadas</t>
        </is>
      </c>
      <c r="C22" s="56" t="inlineStr">
        <is>
          <t>La plantilla de campo trae las cinco fichas F-DT-01 a F-DT-05 (completitud 92.9 % de los campos esperados).</t>
        </is>
      </c>
      <c r="D22" s="56" t="inlineStr">
        <is>
          <t>CONFORME</t>
        </is>
      </c>
      <c r="E22" s="56" t="inlineStr">
        <is>
          <t>Sin acción.</t>
        </is>
      </c>
    </row>
    <row r="23">
      <c r="A23" s="55" t="inlineStr">
        <is>
          <t>F-02</t>
        </is>
      </c>
      <c r="B23" s="55" t="inlineStr">
        <is>
          <t>Cobertura de la integración</t>
        </is>
      </c>
      <c r="C23" s="55" t="inlineStr">
        <is>
          <t>Se declararon 92 de 114 hechos integrados (80.7 %); 22 quedan sin dato en ninguna fuente.</t>
        </is>
      </c>
      <c r="D23" s="55" t="inlineStr">
        <is>
          <t>CONFORME</t>
        </is>
      </c>
      <c r="E23" s="55" t="inlineStr">
        <is>
          <t>Sin acción.</t>
        </is>
      </c>
    </row>
    <row r="24">
      <c r="A24" s="56" t="inlineStr">
        <is>
          <t>H-01</t>
        </is>
      </c>
      <c r="B24" s="56" t="inlineStr">
        <is>
          <t>Cobertura vegetal total</t>
        </is>
      </c>
      <c r="C24" s="56" t="inlineStr">
        <is>
          <t>La ficha DT estima 70 % de cobertura vegetal en campo; el NDVI mediana 2025 clasifica 99.99 % del polígono en clases de vegetación</t>
        </is>
      </c>
      <c r="D24" s="56" t="inlineStr">
        <is>
          <t>NO SUSTANTIVA</t>
        </is>
      </c>
      <c r="E24"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5">
      <c r="A25" s="55" t="inlineStr">
        <is>
          <t>H-02</t>
        </is>
      </c>
      <c r="B25" s="55" t="inlineStr">
        <is>
          <t>Dimensiones del inventario de cárcavas</t>
        </is>
      </c>
      <c r="C25" s="55" t="inlineStr">
        <is>
          <t>Se registran 0 rasgos erosivos, pero longitud, profundidad y ancho no fueron medidos instrumentalmente</t>
        </is>
      </c>
      <c r="D25" s="55" t="inlineStr">
        <is>
          <t>NO SUSTANTIVA</t>
        </is>
      </c>
      <c r="E25" s="55" t="inlineStr">
        <is>
          <t>El conteo registrado no debe usarse para calcular densidad de cárcavas por hectárea. Pendiente de levantamiento con GPS submétrico. (Verificación heredada de la ficha de resumen V6.)</t>
        </is>
      </c>
    </row>
    <row r="26">
      <c r="A26" s="56" t="inlineStr">
        <is>
          <t>H-03</t>
        </is>
      </c>
      <c r="B26" s="56" t="inlineStr">
        <is>
          <t>Elenco florístico</t>
        </is>
      </c>
      <c r="C26" s="56" t="inlineStr">
        <is>
          <t>La ficha registra 10 taxones, por debajo del mínimo de 15 que exige el formato V5</t>
        </is>
      </c>
      <c r="D26" s="56" t="inlineStr">
        <is>
          <t>SUSTANTIVA</t>
        </is>
      </c>
      <c r="E26" s="56" t="inlineStr">
        <is>
          <t>Registro florístico preliminar, sin colecta ni determinación botánica formal. Debe cerrarse con colecta botánica en la siguiente campaña. (Verificación heredada de la ficha de resumen V6.)</t>
        </is>
      </c>
    </row>
    <row r="27">
      <c r="A27" s="55" t="inlineStr">
        <is>
          <t>H-04</t>
        </is>
      </c>
      <c r="B27" s="55" t="inlineStr">
        <is>
          <t>Centro poblado asociado</t>
        </is>
      </c>
      <c r="C27" s="55" t="inlineStr">
        <is>
          <t>La ficha DT declara «Santa Rosa de Chirimoyos»; el cruce INEI-Bloques V5 identifica 1 centro(s) poblado(s) en el bloque: SANTA ROSA DE CHIRIMOYOS</t>
        </is>
      </c>
      <c r="D27" s="55" t="inlineStr">
        <is>
          <t>CONFORME</t>
        </is>
      </c>
      <c r="E27" s="55" t="inlineStr">
        <is>
          <t>Se conserva el registro de campo como referencia y se adopta el listado INEI para el diagnóstico social y el cálculo de población beneficiaria. (Verificación heredada de la ficha de resumen V6.)</t>
        </is>
      </c>
    </row>
    <row r="29">
      <c r="A29" s="57" t="inlineStr">
        <is>
          <t>RESUMEN</t>
        </is>
      </c>
      <c r="B29" s="58" t="inlineStr">
        <is>
          <t>19 verificaciones</t>
        </is>
      </c>
      <c r="C29" s="58" t="inlineStr">
        <is>
          <t>SUSTANTIVA: 2 · NO SUSTANTIVA: 2 · CORREGIDO: 3 · CONFORME: 12</t>
        </is>
      </c>
    </row>
    <row r="31">
      <c r="A31"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31:E31"/>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42</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1. Identificación y localización</t>
        </is>
      </c>
      <c r="B9" s="55" t="inlineStr">
        <is>
          <t>Comunidad campesina</t>
        </is>
      </c>
      <c r="C9" s="55" t="inlineStr">
        <is>
          <t>Predios de propiedad privada y comunal</t>
        </is>
      </c>
      <c r="D9" s="55" t="inlineStr">
        <is>
          <t>Ptedios de propiedad privada y comunal</t>
        </is>
      </c>
      <c r="E9" s="55" t="inlineStr">
        <is>
          <t>Dato de campo</t>
        </is>
      </c>
    </row>
    <row r="10">
      <c r="A10" s="56" t="inlineStr">
        <is>
          <t>8. Responsable y modalidad de la evaluación</t>
        </is>
      </c>
      <c r="B10" s="56" t="inlineStr">
        <is>
          <t>Responsable de la evaluación</t>
        </is>
      </c>
      <c r="C10" s="56" t="inlineStr">
        <is>
          <t>Ing. Héctor S. Cahuas Miller / J.C. Domínguez V. / P. Talledo H.</t>
        </is>
      </c>
      <c r="D10" s="56" t="inlineStr">
        <is>
          <t>Ing. Héctor S. Cahuas Miller; Ing. Juan Carlos Domínguez Varas; Ing. Pedro Talledo Hernández</t>
        </is>
      </c>
      <c r="E10" s="56" t="inlineStr">
        <is>
          <t>Dato de campo</t>
        </is>
      </c>
    </row>
    <row r="11">
      <c r="A11" s="55" t="inlineStr">
        <is>
          <t>8. Responsable y modalidad de la evaluación</t>
        </is>
      </c>
      <c r="B11" s="55" t="inlineStr">
        <is>
          <t>Fecha de evaluación</t>
        </is>
      </c>
      <c r="C11" s="55" t="inlineStr">
        <is>
          <t>2026-06-03</t>
        </is>
      </c>
      <c r="D11" s="55" t="inlineStr">
        <is>
          <t>02-06-2026</t>
        </is>
      </c>
      <c r="E11" s="55" t="inlineStr">
        <is>
          <t>Dato de campo</t>
        </is>
      </c>
    </row>
    <row r="13">
      <c r="A13" s="53" t="inlineStr">
        <is>
          <t>B. HECHOS APORTADOS ÚNICAMENTE POR LA FICHA DE CAMPO</t>
        </is>
      </c>
    </row>
    <row r="14">
      <c r="A14" s="54" t="inlineStr">
        <is>
          <t>Sección</t>
        </is>
      </c>
      <c r="B14" s="54" t="inlineStr">
        <is>
          <t>Hecho</t>
        </is>
      </c>
      <c r="C14" s="54" t="inlineStr">
        <is>
          <t>Valor</t>
        </is>
      </c>
      <c r="D14" s="54" t="inlineStr">
        <is>
          <t>Unidad</t>
        </is>
      </c>
    </row>
    <row r="15">
      <c r="A15" s="55" t="inlineStr">
        <is>
          <t>1. Identificación y localización</t>
        </is>
      </c>
      <c r="B15" s="55" t="inlineStr">
        <is>
          <t>UTM ESTE del punto de muestreo (m)</t>
        </is>
      </c>
      <c r="C15" s="55" t="inlineStr">
        <is>
          <t>624753</t>
        </is>
      </c>
      <c r="D15" s="55" t="inlineStr">
        <is>
          <t>m</t>
        </is>
      </c>
    </row>
    <row r="16">
      <c r="A16" s="56" t="inlineStr">
        <is>
          <t>1. Identificación y localización</t>
        </is>
      </c>
      <c r="B16" s="56" t="inlineStr">
        <is>
          <t>UTM NORTE del punto de muestreo (m)</t>
        </is>
      </c>
      <c r="C16" s="56" t="inlineStr">
        <is>
          <t>9434727</t>
        </is>
      </c>
      <c r="D16" s="56" t="inlineStr">
        <is>
          <t>m</t>
        </is>
      </c>
    </row>
    <row r="17">
      <c r="A17" s="55" t="inlineStr">
        <is>
          <t>2. Parámetros físicos del terreno</t>
        </is>
      </c>
      <c r="B17" s="55" t="inlineStr">
        <is>
          <t>Altitud GPS del punto de muestreo (msnm)</t>
        </is>
      </c>
      <c r="C17" s="55" t="inlineStr">
        <is>
          <t>1400</t>
        </is>
      </c>
      <c r="D17" s="55" t="inlineStr">
        <is>
          <t>msnm</t>
        </is>
      </c>
    </row>
    <row r="18">
      <c r="A18" s="56" t="inlineStr">
        <is>
          <t>2. Parámetros físicos del terreno</t>
        </is>
      </c>
      <c r="B18" s="56" t="inlineStr">
        <is>
          <t>Piso altitudinal del punto de muestreo</t>
        </is>
      </c>
      <c r="C18" s="56" t="inlineStr">
        <is>
          <t>1000-1500 m (Quechua baja)</t>
        </is>
      </c>
      <c r="D18" s="56" t="inlineStr"/>
    </row>
    <row r="19">
      <c r="A19" s="55" t="inlineStr">
        <is>
          <t>2. Parámetros físicos del terreno</t>
        </is>
      </c>
      <c r="B19" s="55" t="inlineStr">
        <is>
          <t>Paisaje dominante descrito en campo</t>
        </is>
      </c>
      <c r="C19" s="55" t="inlineStr">
        <is>
          <t>Laderas de colina y montaña con mosaico de bosque estacionalmente seco (Bes-cm) y áreas agropecuarias; quebradas encajonadas y trochas con taludes de corte.</t>
        </is>
      </c>
      <c r="D19" s="55" t="inlineStr"/>
    </row>
    <row r="20">
      <c r="A20" s="56" t="inlineStr">
        <is>
          <t>2. Parámetros físicos del terreno</t>
        </is>
      </c>
      <c r="B20" s="56" t="inlineStr">
        <is>
          <t>Reptación de suelo</t>
        </is>
      </c>
      <c r="C20" s="56" t="inlineStr">
        <is>
          <t>No</t>
        </is>
      </c>
      <c r="D20" s="56" t="inlineStr"/>
    </row>
    <row r="21">
      <c r="A21" s="55" t="inlineStr">
        <is>
          <t>2. Parámetros físicos del terreno</t>
        </is>
      </c>
      <c r="B21" s="55" t="inlineStr">
        <is>
          <t>Deslizamientos antiguos</t>
        </is>
      </c>
      <c r="C21" s="55" t="inlineStr">
        <is>
          <t>No</t>
        </is>
      </c>
      <c r="D21" s="55" t="inlineStr"/>
    </row>
    <row r="22">
      <c r="A22" s="56" t="inlineStr">
        <is>
          <t>4. Suelos y erosión (F-DT-02)</t>
        </is>
      </c>
      <c r="B22" s="56" t="inlineStr">
        <is>
          <t>Nivel de erosión - síntesis de campo</t>
        </is>
      </c>
      <c r="C22" s="56" t="inlineStr">
        <is>
          <t>Moderada (surcos)</t>
        </is>
      </c>
      <c r="D22" s="56" t="inlineStr"/>
    </row>
    <row r="23">
      <c r="A23" s="55" t="inlineStr">
        <is>
          <t>4. Suelos y erosión (F-DT-02)</t>
        </is>
      </c>
      <c r="B23" s="55" t="inlineStr">
        <is>
          <t>Sellamiento / costra superficial</t>
        </is>
      </c>
      <c r="C23" s="55" t="inlineStr">
        <is>
          <t>No</t>
        </is>
      </c>
      <c r="D23" s="55" t="inlineStr"/>
    </row>
    <row r="24">
      <c r="A24" s="56" t="inlineStr">
        <is>
          <t>4. Suelos y erosión (F-DT-02)</t>
        </is>
      </c>
      <c r="B24" s="56" t="inlineStr">
        <is>
          <t>Compactación por pisoteo</t>
        </is>
      </c>
      <c r="C24" s="56" t="inlineStr">
        <is>
          <t>Sí</t>
        </is>
      </c>
      <c r="D24" s="56" t="inlineStr"/>
    </row>
    <row r="25">
      <c r="A25" s="55" t="inlineStr">
        <is>
          <t>4. Suelos y erosión (F-DT-02)</t>
        </is>
      </c>
      <c r="B25" s="55" t="inlineStr">
        <is>
          <t>Raíces expuestas</t>
        </is>
      </c>
      <c r="C25" s="55" t="inlineStr">
        <is>
          <t>No</t>
        </is>
      </c>
      <c r="D25" s="55" t="inlineStr"/>
    </row>
    <row r="26">
      <c r="A26" s="56" t="inlineStr">
        <is>
          <t>4. Suelos y erosión (F-DT-02)</t>
        </is>
      </c>
      <c r="B26" s="56" t="inlineStr">
        <is>
          <t>Socavamiento de cauce</t>
        </is>
      </c>
      <c r="C26" s="56" t="inlineStr">
        <is>
          <t>Sí</t>
        </is>
      </c>
      <c r="D26" s="56" t="inlineStr"/>
    </row>
    <row r="27">
      <c r="A27" s="55" t="inlineStr">
        <is>
          <t>5. Ecosistema, cobertura y flora (F-DT-03)</t>
        </is>
      </c>
      <c r="B27" s="55" t="inlineStr">
        <is>
          <t>Presencia de epífitas</t>
        </is>
      </c>
      <c r="C27" s="55" t="inlineStr">
        <is>
          <t>Sí</t>
        </is>
      </c>
      <c r="D27" s="55" t="inlineStr"/>
    </row>
    <row r="28">
      <c r="A28" s="56" t="inlineStr">
        <is>
          <t>5. Ecosistema, cobertura y flora (F-DT-03)</t>
        </is>
      </c>
      <c r="B28" s="56" t="inlineStr">
        <is>
          <t>Fenología dominante</t>
        </is>
      </c>
      <c r="C28" s="56" t="inlineStr">
        <is>
          <t>Vegetativo</t>
        </is>
      </c>
      <c r="D28" s="56" t="inlineStr"/>
    </row>
    <row r="29">
      <c r="A29" s="55" t="inlineStr">
        <is>
          <t>6. Degradación, causas y urgencia (F-DT-04)</t>
        </is>
      </c>
      <c r="B29" s="55" t="inlineStr">
        <is>
          <t>Causas directas de la degradación</t>
        </is>
      </c>
      <c r="C29" s="55" t="inlineStr">
        <is>
          <t>Sobrepastoreo y ganadería extensiva; cambio de uso a agricultura (maíz) y pastos; apertura de trocha carrozable con desestabilización de taludes; erosión hídrica en quebradas.</t>
        </is>
      </c>
      <c r="D29" s="55" t="inlineStr"/>
    </row>
    <row r="30">
      <c r="A30" s="56" t="inlineStr">
        <is>
          <t>6. Degradación, causas y urgencia (F-DT-04)</t>
        </is>
      </c>
      <c r="B30" s="56" t="inlineStr">
        <is>
          <t>N.° de causas activas en la matriz F-DT-04</t>
        </is>
      </c>
      <c r="C30" s="56" t="inlineStr">
        <is>
          <t>9</t>
        </is>
      </c>
      <c r="D30" s="56" t="inlineStr"/>
    </row>
    <row r="31">
      <c r="A31" s="55" t="inlineStr">
        <is>
          <t>7. Hidrología, acceso y logística (F-DT-05)</t>
        </is>
      </c>
      <c r="B31" s="55" t="inlineStr">
        <is>
          <t>Escorrentía concentrada</t>
        </is>
      </c>
      <c r="C31" s="55" t="inlineStr">
        <is>
          <t>Sí</t>
        </is>
      </c>
      <c r="D31" s="55" t="inlineStr"/>
    </row>
    <row r="32">
      <c r="A32" s="56" t="inlineStr">
        <is>
          <t>7. Hidrología, acceso y logística (F-DT-05)</t>
        </is>
      </c>
      <c r="B32" s="56" t="inlineStr">
        <is>
          <t>Interferencia con riego</t>
        </is>
      </c>
      <c r="C32" s="56" t="inlineStr">
        <is>
          <t>No</t>
        </is>
      </c>
      <c r="D32" s="56" t="inlineStr"/>
    </row>
    <row r="33">
      <c r="A33" s="55" t="inlineStr">
        <is>
          <t>7. Hidrología, acceso y logística (F-DT-05)</t>
        </is>
      </c>
      <c r="B33" s="55" t="inlineStr">
        <is>
          <t>Vía principal de acceso</t>
        </is>
      </c>
      <c r="C33" s="55" t="inlineStr">
        <is>
          <t>Carretera PI-805 + trocha carrozable + camino de herradura</t>
        </is>
      </c>
      <c r="D33" s="55" t="inlineStr"/>
    </row>
    <row r="34">
      <c r="A34" s="56" t="inlineStr">
        <is>
          <t>7. Hidrología, acceso y logística (F-DT-05)</t>
        </is>
      </c>
      <c r="B34" s="56" t="inlineStr">
        <is>
          <t>Tipo de vía del tramo final</t>
        </is>
      </c>
      <c r="C34" s="56" t="inlineStr">
        <is>
          <t>Camino de herradura</t>
        </is>
      </c>
      <c r="D34" s="56" t="inlineStr"/>
    </row>
    <row r="35">
      <c r="A35" s="55" t="inlineStr">
        <is>
          <t>7. Hidrología, acceso y logística (F-DT-05)</t>
        </is>
      </c>
      <c r="B35" s="55" t="inlineStr">
        <is>
          <t>Transitabilidad en época seca</t>
        </is>
      </c>
      <c r="C35" s="55" t="inlineStr">
        <is>
          <t>Medio</t>
        </is>
      </c>
      <c r="D35" s="55" t="inlineStr"/>
    </row>
    <row r="36">
      <c r="A36" s="56" t="inlineStr">
        <is>
          <t>7. Hidrología, acceso y logística (F-DT-05)</t>
        </is>
      </c>
      <c r="B36" s="56" t="inlineStr">
        <is>
          <t>Transitabilidad en época lluviosa</t>
        </is>
      </c>
      <c r="C36" s="56" t="inlineStr">
        <is>
          <t>Bajo</t>
        </is>
      </c>
      <c r="D36" s="56" t="inlineStr"/>
    </row>
    <row r="37">
      <c r="A37" s="55" t="inlineStr">
        <is>
          <t>7. Hidrología, acceso y logística (F-DT-05)</t>
        </is>
      </c>
      <c r="B37" s="55" t="inlineStr">
        <is>
          <t>Tiempo a la capital distrital (min)</t>
        </is>
      </c>
      <c r="C37" s="55" t="inlineStr">
        <is>
          <t>25</t>
        </is>
      </c>
      <c r="D37" s="55" t="inlineStr">
        <is>
          <t>min</t>
        </is>
      </c>
    </row>
    <row r="38">
      <c r="A38" s="56" t="inlineStr">
        <is>
          <t>7. Hidrología, acceso y logística (F-DT-05)</t>
        </is>
      </c>
      <c r="B38" s="56" t="inlineStr">
        <is>
          <t>Señal celular</t>
        </is>
      </c>
      <c r="C38" s="56" t="inlineStr">
        <is>
          <t>Parcial</t>
        </is>
      </c>
      <c r="D38" s="56" t="inlineStr"/>
    </row>
    <row r="39">
      <c r="A39" s="55" t="inlineStr">
        <is>
          <t>7. Hidrología, acceso y logística (F-DT-05)</t>
        </is>
      </c>
      <c r="B39" s="55" t="inlineStr">
        <is>
          <t>Operador con cobertura</t>
        </is>
      </c>
      <c r="C39" s="55" t="inlineStr">
        <is>
          <t>Bitel</t>
        </is>
      </c>
      <c r="D39" s="55" t="inlineStr"/>
    </row>
    <row r="40">
      <c r="A40" s="56" t="inlineStr">
        <is>
          <t>7. Hidrología, acceso y logística (F-DT-05)</t>
        </is>
      </c>
      <c r="B40" s="56" t="inlineStr">
        <is>
          <t>Alojamiento disponible en la zona</t>
        </is>
      </c>
      <c r="C40" s="56" t="inlineStr">
        <is>
          <t>No</t>
        </is>
      </c>
      <c r="D40" s="56" t="inlineStr"/>
    </row>
    <row r="41">
      <c r="A41" s="55" t="inlineStr">
        <is>
          <t>7. Hidrología, acceso y logística (F-DT-05)</t>
        </is>
      </c>
      <c r="B41" s="55" t="inlineStr">
        <is>
          <t>Requiere coordinación con ronda / comunidad</t>
        </is>
      </c>
      <c r="C41" s="55" t="inlineStr">
        <is>
          <t>No</t>
        </is>
      </c>
      <c r="D41" s="55" t="inlineStr"/>
    </row>
    <row r="43">
      <c r="A43" s="53" t="inlineStr">
        <is>
          <t>C. PROCEDENCIA DE LOS HECHOS DECLARADOS</t>
        </is>
      </c>
    </row>
    <row r="44">
      <c r="A44" s="54" t="inlineStr">
        <is>
          <t>Fuente</t>
        </is>
      </c>
      <c r="B44" s="54" t="inlineStr">
        <is>
          <t>Hechos</t>
        </is>
      </c>
      <c r="C44" s="54" t="inlineStr">
        <is>
          <t>Alcance de la fuente</t>
        </is>
      </c>
    </row>
    <row r="45">
      <c r="A45" s="55" t="inlineStr">
        <is>
          <t>Dato de campo</t>
        </is>
      </c>
      <c r="B45" s="55" t="n">
        <v>54</v>
      </c>
      <c r="C45" s="55" t="inlineStr">
        <is>
          <t>Verificación en campo. Fichas F-DT-01 a F-DT-05 de la Plantilla DT Campo Check Validada V5, suscritas por el evaluador.</t>
        </is>
      </c>
    </row>
    <row r="46">
      <c r="A46" s="56" t="inlineStr">
        <is>
          <t>Gabinete (GIS / teledetección)</t>
        </is>
      </c>
      <c r="B46" s="56" t="n">
        <v>24</v>
      </c>
      <c r="C46" s="56" t="inlineStr">
        <is>
          <t>Gabinete. Estadística zonal sobre el MDE y compuestos Sentinel-2 (NDVI mediana 2025, MSAVI 2024 por clase DN).</t>
        </is>
      </c>
    </row>
    <row r="47">
      <c r="A47" s="55" t="inlineStr">
        <is>
          <t>Fuente oficial</t>
        </is>
      </c>
      <c r="B47" s="55" t="n">
        <v>14</v>
      </c>
      <c r="C47" s="55" t="inlineStr">
        <is>
          <t>Fuente oficial. Catálogo maestro Bloques V5/V6, división política INEI y codificación de microcuencas de la ANA.</t>
        </is>
      </c>
    </row>
    <row r="49">
      <c r="A49" s="53" t="inlineStr">
        <is>
          <t>D. ESTADO DEL CRUCE ENTRE FUENTES</t>
        </is>
      </c>
    </row>
    <row r="50">
      <c r="A50" s="54" t="inlineStr">
        <is>
          <t>Estado</t>
        </is>
      </c>
      <c r="B50" s="54" t="inlineStr">
        <is>
          <t>Hechos</t>
        </is>
      </c>
      <c r="C50" s="54" t="inlineStr">
        <is>
          <t>Significado</t>
        </is>
      </c>
    </row>
    <row r="51">
      <c r="A51" s="55" t="inlineStr">
        <is>
          <t>CONFORME</t>
        </is>
      </c>
      <c r="B51" s="55" t="n">
        <v>85</v>
      </c>
      <c r="C51" s="55" t="inlineStr">
        <is>
          <t>Las dos fuentes declaran lo mismo, o solo la fuente que manda sobre el hecho lo declara.</t>
        </is>
      </c>
    </row>
    <row r="52">
      <c r="A52" s="56" t="inlineStr">
        <is>
          <t>COMPLEMENTADO</t>
        </is>
      </c>
      <c r="B52" s="56" t="n">
        <v>4</v>
      </c>
      <c r="C52" s="56" t="inlineStr">
        <is>
          <t>Solo una de las fuentes lo declara y se adopta ese valor.</t>
        </is>
      </c>
    </row>
    <row r="53">
      <c r="A53" s="55" t="inlineStr">
        <is>
          <t>ACTUALIZADO</t>
        </is>
      </c>
      <c r="B53" s="55" t="n">
        <v>3</v>
      </c>
      <c r="C53" s="55" t="inlineStr">
        <is>
          <t>La verificación de campo vigente corrige lo que traía el libro de resumen.</t>
        </is>
      </c>
    </row>
    <row r="54">
      <c r="A54" s="56" t="inlineStr">
        <is>
          <t>DISCREPANTE</t>
        </is>
      </c>
      <c r="B54" s="56" t="n">
        <v>0</v>
      </c>
      <c r="C54" s="56" t="inlineStr">
        <is>
          <t>Las fuentes se contradicen; prevalece la que manda sobre el hecho y la otra queda declarada.</t>
        </is>
      </c>
    </row>
    <row r="55">
      <c r="A55" s="55" t="inlineStr">
        <is>
          <t>PENDIENTE</t>
        </is>
      </c>
      <c r="B55" s="55" t="n">
        <v>22</v>
      </c>
      <c r="C55"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42</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Sin cárcavas inventariadas en el tramo verificado</t>
        </is>
      </c>
      <c r="B9" s="55" t="inlineStr"/>
      <c r="C9" s="55" t="inlineStr"/>
      <c r="D9" s="55" t="inlineStr"/>
      <c r="E9" s="55" t="inlineStr"/>
      <c r="F9" s="55" t="inlineStr"/>
      <c r="G9" s="55" t="inlineStr"/>
      <c r="H9" s="55" t="inlineStr"/>
      <c r="I9" s="55" t="inlineStr"/>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Chirimoya silvestre</t>
        </is>
      </c>
      <c r="C13" s="55" t="inlineStr">
        <is>
          <t>Annona cherimola</t>
        </is>
      </c>
      <c r="D13" s="55" t="inlineStr"/>
      <c r="E13" s="55" t="inlineStr">
        <is>
          <t>Arbóreo medio (8-15 m)</t>
        </is>
      </c>
      <c r="F13" s="55" t="inlineStr">
        <is>
          <t>Nativa</t>
        </is>
      </c>
      <c r="G13" s="55" t="inlineStr">
        <is>
          <t>Abundante (20-40%)</t>
        </is>
      </c>
      <c r="H13" s="55" t="n"/>
      <c r="I13" s="55" t="n"/>
    </row>
    <row r="14">
      <c r="A14" s="56" t="inlineStr">
        <is>
          <t>2</t>
        </is>
      </c>
      <c r="B14" s="56" t="inlineStr">
        <is>
          <t>Angolo</t>
        </is>
      </c>
      <c r="C14" s="56" t="inlineStr">
        <is>
          <t>Pithecellobium multifloru</t>
        </is>
      </c>
      <c r="D14" s="56" t="inlineStr"/>
      <c r="E14" s="56" t="inlineStr">
        <is>
          <t>Arbóreo superior (&gt;15 m)</t>
        </is>
      </c>
      <c r="F14" s="56" t="inlineStr">
        <is>
          <t>Nativa</t>
        </is>
      </c>
      <c r="G14" s="56" t="inlineStr">
        <is>
          <t>Ocasional (1-5%)</t>
        </is>
      </c>
      <c r="H14" s="56" t="n"/>
      <c r="I14" s="56" t="n"/>
    </row>
    <row r="15">
      <c r="A15" s="55" t="inlineStr">
        <is>
          <t>3</t>
        </is>
      </c>
      <c r="B15" s="55" t="inlineStr">
        <is>
          <t>Pasallo</t>
        </is>
      </c>
      <c r="C15" s="55" t="inlineStr">
        <is>
          <t>Eriotheca ruizii</t>
        </is>
      </c>
      <c r="D15" s="55" t="inlineStr"/>
      <c r="E15" s="55" t="inlineStr">
        <is>
          <t>Arbóreo superior (&gt;15 m)</t>
        </is>
      </c>
      <c r="F15" s="55" t="inlineStr">
        <is>
          <t>Nativa</t>
        </is>
      </c>
      <c r="G15" s="55" t="inlineStr">
        <is>
          <t>Ocasional (1-5%)</t>
        </is>
      </c>
      <c r="H15" s="55" t="n"/>
      <c r="I15" s="55" t="n"/>
    </row>
    <row r="16">
      <c r="A16" s="56" t="inlineStr">
        <is>
          <t>4</t>
        </is>
      </c>
      <c r="B16" s="56" t="inlineStr">
        <is>
          <t>Tara silvestre</t>
        </is>
      </c>
      <c r="C16" s="56" t="inlineStr">
        <is>
          <t>Caesalpinia spinosa</t>
        </is>
      </c>
      <c r="D16" s="56" t="inlineStr"/>
      <c r="E16" s="56" t="inlineStr">
        <is>
          <t>Arbóreo bajo (4-8 m)</t>
        </is>
      </c>
      <c r="F16" s="56" t="inlineStr">
        <is>
          <t>Nativa</t>
        </is>
      </c>
      <c r="G16" s="56" t="inlineStr">
        <is>
          <t>Rara (&lt;1%)</t>
        </is>
      </c>
      <c r="H16" s="56" t="n"/>
      <c r="I16" s="56" t="n"/>
    </row>
    <row r="17">
      <c r="A17" s="55" t="inlineStr">
        <is>
          <t>5</t>
        </is>
      </c>
      <c r="B17" s="55" t="inlineStr">
        <is>
          <t>Higuerón</t>
        </is>
      </c>
      <c r="C17" s="55" t="inlineStr">
        <is>
          <t>Ficus sp.</t>
        </is>
      </c>
      <c r="D17" s="55" t="inlineStr"/>
      <c r="E17" s="55" t="inlineStr">
        <is>
          <t>Arbóreo superior (&gt;15 m)</t>
        </is>
      </c>
      <c r="F17" s="55" t="inlineStr">
        <is>
          <t>Nativa</t>
        </is>
      </c>
      <c r="G17" s="55" t="inlineStr">
        <is>
          <t>Frecuente (5-20%)</t>
        </is>
      </c>
      <c r="H17" s="55" t="n"/>
      <c r="I17" s="55" t="n"/>
    </row>
    <row r="18">
      <c r="A18" s="56" t="inlineStr">
        <is>
          <t>6</t>
        </is>
      </c>
      <c r="B18" s="56" t="inlineStr">
        <is>
          <t>Guayacán</t>
        </is>
      </c>
      <c r="C18" s="56" t="inlineStr"/>
      <c r="D18" s="56" t="inlineStr"/>
      <c r="E18" s="56" t="inlineStr">
        <is>
          <t>Arbóreo medio (8-15 m)</t>
        </is>
      </c>
      <c r="F18" s="56" t="inlineStr">
        <is>
          <t>Nativa</t>
        </is>
      </c>
      <c r="G18" s="56" t="inlineStr">
        <is>
          <t>Frecuente (5-20%)</t>
        </is>
      </c>
      <c r="H18" s="56" t="n"/>
      <c r="I18" s="56" t="n"/>
    </row>
    <row r="19">
      <c r="A19" s="55" t="inlineStr">
        <is>
          <t>7</t>
        </is>
      </c>
      <c r="B19" s="55" t="inlineStr">
        <is>
          <t>Faique</t>
        </is>
      </c>
      <c r="C19" s="55" t="inlineStr">
        <is>
          <t>Vachellia macracantha</t>
        </is>
      </c>
      <c r="D19" s="55" t="inlineStr"/>
      <c r="E19" s="55" t="inlineStr">
        <is>
          <t>Arbóreo medio (8-15 m)</t>
        </is>
      </c>
      <c r="F19" s="55" t="inlineStr">
        <is>
          <t>Nativa</t>
        </is>
      </c>
      <c r="G19" s="55" t="inlineStr">
        <is>
          <t>Abundante (20-40%)</t>
        </is>
      </c>
      <c r="H19" s="55" t="n"/>
      <c r="I19" s="55" t="n"/>
    </row>
    <row r="20">
      <c r="A20" s="56" t="inlineStr">
        <is>
          <t>8</t>
        </is>
      </c>
      <c r="B20" s="56" t="inlineStr">
        <is>
          <t>Caña Guayaquil</t>
        </is>
      </c>
      <c r="C20" s="56" t="inlineStr">
        <is>
          <t>Guadua angustifolia</t>
        </is>
      </c>
      <c r="D20" s="56" t="inlineStr"/>
      <c r="E20" s="56" t="inlineStr">
        <is>
          <t>Arbustivo alto (1.5-4 m)</t>
        </is>
      </c>
      <c r="F20" s="56" t="inlineStr">
        <is>
          <t>Introducida</t>
        </is>
      </c>
      <c r="G20" s="56" t="inlineStr">
        <is>
          <t>Frecuente (5-20%)</t>
        </is>
      </c>
      <c r="H20" s="56" t="n"/>
      <c r="I20" s="56" t="n"/>
    </row>
    <row r="21">
      <c r="A21" s="55" t="inlineStr">
        <is>
          <t>9</t>
        </is>
      </c>
      <c r="B21" s="55" t="inlineStr">
        <is>
          <t>Maíz</t>
        </is>
      </c>
      <c r="C21" s="55" t="inlineStr">
        <is>
          <t>Zea mays</t>
        </is>
      </c>
      <c r="D21" s="55" t="inlineStr"/>
      <c r="E21" s="55" t="inlineStr">
        <is>
          <t>Herbáceo (&lt;0.5 m)</t>
        </is>
      </c>
      <c r="F21" s="55" t="inlineStr">
        <is>
          <t>Introducida</t>
        </is>
      </c>
      <c r="G21" s="55" t="inlineStr">
        <is>
          <t>Frecuente (5-20%)</t>
        </is>
      </c>
      <c r="H21" s="55" t="n"/>
      <c r="I21" s="55" t="n"/>
    </row>
    <row r="22">
      <c r="A22" s="56" t="inlineStr">
        <is>
          <t>10</t>
        </is>
      </c>
      <c r="B22" s="56" t="inlineStr">
        <is>
          <t>Pastos cultivados</t>
        </is>
      </c>
      <c r="C22" s="56" t="inlineStr"/>
      <c r="D22" s="56" t="inlineStr"/>
      <c r="E22" s="56" t="inlineStr">
        <is>
          <t>Herbáceo (&lt;0.5 m)</t>
        </is>
      </c>
      <c r="F22" s="56" t="inlineStr">
        <is>
          <t>Introducida</t>
        </is>
      </c>
      <c r="G22" s="56" t="inlineStr">
        <is>
          <t>Frecuente (5-20%)</t>
        </is>
      </c>
      <c r="H22" s="56" t="n"/>
      <c r="I22" s="56" t="n"/>
    </row>
    <row r="24">
      <c r="A24" s="53" t="inlineStr">
        <is>
          <t>F-DT-03 · ESPECIES CLAVE GEORREFERENCIADAS</t>
        </is>
      </c>
    </row>
    <row r="25">
      <c r="A25" s="54" t="inlineStr">
        <is>
          <t>N.o</t>
        </is>
      </c>
      <c r="B25" s="54" t="inlineStr">
        <is>
          <t>Especie</t>
        </is>
      </c>
      <c r="C25" s="54" t="inlineStr">
        <is>
          <t>Categoría</t>
        </is>
      </c>
      <c r="D25" s="54" t="inlineStr">
        <is>
          <t>Estado UICN</t>
        </is>
      </c>
      <c r="E25" s="54" t="inlineStr">
        <is>
          <t>UTM ESTE</t>
        </is>
      </c>
      <c r="F25" s="54" t="inlineStr">
        <is>
          <t>UTM NORTE</t>
        </is>
      </c>
      <c r="G25" s="54" t="inlineStr">
        <is>
          <t>N.° individuos</t>
        </is>
      </c>
      <c r="H25" s="54" t="inlineStr">
        <is>
          <t>Observación</t>
        </is>
      </c>
    </row>
    <row r="27">
      <c r="A27" s="53" t="inlineStr">
        <is>
          <t>F-DT-04 · MATRIZ DE CAUSAS DE DEGRADACIÓN</t>
        </is>
      </c>
    </row>
    <row r="28">
      <c r="A28" s="54" t="inlineStr">
        <is>
          <t>N.o</t>
        </is>
      </c>
      <c r="B28" s="54" t="inlineStr">
        <is>
          <t>Causa</t>
        </is>
      </c>
      <c r="C28" s="54" t="inlineStr">
        <is>
          <t>Presencia</t>
        </is>
      </c>
      <c r="D28" s="54" t="inlineStr">
        <is>
          <t>Intensidad</t>
        </is>
      </c>
      <c r="E28" s="54" t="inlineStr">
        <is>
          <t>Extensión</t>
        </is>
      </c>
      <c r="F28" s="54" t="inlineStr">
        <is>
          <t>Antigüedad</t>
        </is>
      </c>
      <c r="G28" s="54" t="inlineStr">
        <is>
          <t>Evidencia</t>
        </is>
      </c>
    </row>
    <row r="29">
      <c r="A29" s="55" t="inlineStr">
        <is>
          <t>1</t>
        </is>
      </c>
      <c r="B29" s="55" t="inlineStr">
        <is>
          <t>Sobrepastoreo (caprino/vacuno)</t>
        </is>
      </c>
      <c r="C29" s="55" t="inlineStr">
        <is>
          <t>Sí</t>
        </is>
      </c>
      <c r="D29" s="55" t="inlineStr">
        <is>
          <t>Moderada</t>
        </is>
      </c>
      <c r="E29" s="55" t="inlineStr"/>
      <c r="F29" s="55" t="inlineStr"/>
      <c r="G29" s="55" t="inlineStr">
        <is>
          <t>Ganado vacuno/caprino y pastos cultivados en laderas; sendas de pisoteo.</t>
        </is>
      </c>
    </row>
    <row r="30">
      <c r="A30" s="56" t="inlineStr">
        <is>
          <t>2</t>
        </is>
      </c>
      <c r="B30" s="56" t="inlineStr">
        <is>
          <t>Tala para leña</t>
        </is>
      </c>
      <c r="C30" s="56" t="inlineStr">
        <is>
          <t>Sí</t>
        </is>
      </c>
      <c r="D30" s="56" t="inlineStr">
        <is>
          <t>Moderada</t>
        </is>
      </c>
      <c r="E30" s="56" t="inlineStr"/>
      <c r="F30" s="56" t="inlineStr"/>
      <c r="G30" s="56" t="inlineStr"/>
    </row>
    <row r="31">
      <c r="A31" s="55" t="inlineStr">
        <is>
          <t>3</t>
        </is>
      </c>
      <c r="B31" s="55" t="inlineStr">
        <is>
          <t>Tala para carbón</t>
        </is>
      </c>
      <c r="C31" s="55" t="inlineStr">
        <is>
          <t>No</t>
        </is>
      </c>
      <c r="D31" s="55" t="inlineStr">
        <is>
          <t>Nula</t>
        </is>
      </c>
      <c r="E31" s="55" t="inlineStr"/>
      <c r="F31" s="55" t="inlineStr"/>
      <c r="G31" s="55" t="inlineStr"/>
    </row>
    <row r="32">
      <c r="A32" s="56" t="inlineStr">
        <is>
          <t>4</t>
        </is>
      </c>
      <c r="B32" s="56" t="inlineStr">
        <is>
          <t>Tala para madera</t>
        </is>
      </c>
      <c r="C32" s="56" t="inlineStr">
        <is>
          <t>Sí</t>
        </is>
      </c>
      <c r="D32" s="56" t="inlineStr">
        <is>
          <t>Moderada</t>
        </is>
      </c>
      <c r="E32" s="56" t="inlineStr"/>
      <c r="F32" s="56" t="inlineStr"/>
      <c r="G32" s="56" t="inlineStr"/>
    </row>
    <row r="33">
      <c r="A33" s="55" t="inlineStr">
        <is>
          <t>5</t>
        </is>
      </c>
      <c r="B33" s="55" t="inlineStr">
        <is>
          <t>Quema (renovación de pastos)</t>
        </is>
      </c>
      <c r="C33" s="55" t="inlineStr">
        <is>
          <t>No</t>
        </is>
      </c>
      <c r="D33" s="55" t="inlineStr">
        <is>
          <t>Nula</t>
        </is>
      </c>
      <c r="E33" s="55" t="inlineStr"/>
      <c r="F33" s="55" t="inlineStr"/>
      <c r="G33" s="55" t="inlineStr"/>
    </row>
    <row r="34">
      <c r="A34" s="56" t="inlineStr">
        <is>
          <t>6</t>
        </is>
      </c>
      <c r="B34" s="56" t="inlineStr">
        <is>
          <t>Quema accidental / Incendio</t>
        </is>
      </c>
      <c r="C34" s="56" t="inlineStr">
        <is>
          <t>No</t>
        </is>
      </c>
      <c r="D34" s="56" t="inlineStr">
        <is>
          <t>Nula</t>
        </is>
      </c>
      <c r="E34" s="56" t="inlineStr"/>
      <c r="F34" s="56" t="inlineStr"/>
      <c r="G34" s="56" t="inlineStr"/>
    </row>
    <row r="35">
      <c r="A35" s="55" t="inlineStr">
        <is>
          <t>7</t>
        </is>
      </c>
      <c r="B35" s="55" t="inlineStr">
        <is>
          <t>Cambio de uso a agricultura</t>
        </is>
      </c>
      <c r="C35" s="55" t="inlineStr">
        <is>
          <t>Sí</t>
        </is>
      </c>
      <c r="D35" s="55" t="inlineStr">
        <is>
          <t>Moderada</t>
        </is>
      </c>
      <c r="E35" s="55" t="inlineStr"/>
      <c r="F35" s="55" t="inlineStr"/>
      <c r="G35" s="55" t="inlineStr">
        <is>
          <t>Cultivos de maíz en laderas dentro y colindantes al bloque.</t>
        </is>
      </c>
    </row>
    <row r="36">
      <c r="A36" s="56" t="inlineStr">
        <is>
          <t>8</t>
        </is>
      </c>
      <c r="B36" s="56" t="inlineStr">
        <is>
          <t>Cambio de uso a pastoreo</t>
        </is>
      </c>
      <c r="C36" s="56" t="inlineStr">
        <is>
          <t>Sí</t>
        </is>
      </c>
      <c r="D36" s="56" t="inlineStr">
        <is>
          <t>Moderada</t>
        </is>
      </c>
      <c r="E36" s="56" t="inlineStr"/>
      <c r="F36" s="56" t="inlineStr"/>
      <c r="G36" s="56" t="inlineStr">
        <is>
          <t>Pastos cultivados y caña Guayaquil con fines ganaderos.</t>
        </is>
      </c>
    </row>
    <row r="37">
      <c r="A37" s="55" t="inlineStr">
        <is>
          <t>9</t>
        </is>
      </c>
      <c r="B37" s="55" t="inlineStr">
        <is>
          <t>Expansión urbana / vial</t>
        </is>
      </c>
      <c r="C37" s="55" t="inlineStr">
        <is>
          <t>Sí</t>
        </is>
      </c>
      <c r="D37" s="55" t="inlineStr">
        <is>
          <t>Fuerte</t>
        </is>
      </c>
      <c r="E37" s="55" t="inlineStr"/>
      <c r="F37" s="55" t="inlineStr"/>
      <c r="G37" s="55" t="inlineStr">
        <is>
          <t>Trocha carrozable con taludes de corte inestables y suelo expuesto a lo largo de la vía de acceso.</t>
        </is>
      </c>
    </row>
    <row r="38">
      <c r="A38" s="56" t="inlineStr">
        <is>
          <t>10</t>
        </is>
      </c>
      <c r="B38" s="56" t="inlineStr">
        <is>
          <t>Minería informal</t>
        </is>
      </c>
      <c r="C38" s="56" t="inlineStr">
        <is>
          <t>No</t>
        </is>
      </c>
      <c r="D38" s="56" t="inlineStr">
        <is>
          <t>Nula</t>
        </is>
      </c>
      <c r="E38" s="56" t="inlineStr"/>
      <c r="F38" s="56" t="inlineStr"/>
      <c r="G38" s="56" t="inlineStr"/>
    </row>
    <row r="39">
      <c r="A39" s="55" t="inlineStr">
        <is>
          <t>11</t>
        </is>
      </c>
      <c r="B39" s="55" t="inlineStr">
        <is>
          <t>Extracción de áridos (cauces)</t>
        </is>
      </c>
      <c r="C39" s="55" t="inlineStr">
        <is>
          <t>No</t>
        </is>
      </c>
      <c r="D39" s="55" t="inlineStr">
        <is>
          <t>Nula</t>
        </is>
      </c>
      <c r="E39" s="55" t="inlineStr"/>
      <c r="F39" s="55" t="inlineStr"/>
      <c r="G39" s="55" t="inlineStr"/>
    </row>
    <row r="40">
      <c r="A40" s="56" t="inlineStr">
        <is>
          <t>12</t>
        </is>
      </c>
      <c r="B40" s="56" t="inlineStr">
        <is>
          <t>Especies invasoras</t>
        </is>
      </c>
      <c r="C40" s="56" t="inlineStr">
        <is>
          <t>No</t>
        </is>
      </c>
      <c r="D40" s="56" t="inlineStr">
        <is>
          <t>Nula</t>
        </is>
      </c>
      <c r="E40" s="56" t="inlineStr"/>
      <c r="F40" s="56" t="inlineStr"/>
      <c r="G40" s="56" t="inlineStr"/>
    </row>
    <row r="41">
      <c r="A41" s="55" t="inlineStr">
        <is>
          <t>13</t>
        </is>
      </c>
      <c r="B41" s="55" t="inlineStr">
        <is>
          <t>Erosión natural severa</t>
        </is>
      </c>
      <c r="C41" s="55" t="inlineStr">
        <is>
          <t>Sí</t>
        </is>
      </c>
      <c r="D41" s="55" t="inlineStr">
        <is>
          <t>Moderada</t>
        </is>
      </c>
      <c r="E41" s="55" t="inlineStr"/>
      <c r="F41" s="55" t="inlineStr"/>
      <c r="G41" s="55" t="inlineStr">
        <is>
          <t>Cárcavas y socavamiento en márgenes de quebrada; caída de material en taludes de corte.</t>
        </is>
      </c>
    </row>
    <row r="42">
      <c r="A42" s="56" t="inlineStr">
        <is>
          <t>14</t>
        </is>
      </c>
      <c r="B42" s="56" t="inlineStr">
        <is>
          <t>Sequía prolongada / CC</t>
        </is>
      </c>
      <c r="C42" s="56" t="inlineStr">
        <is>
          <t>Sí</t>
        </is>
      </c>
      <c r="D42" s="56" t="inlineStr">
        <is>
          <t>Moderada</t>
        </is>
      </c>
      <c r="E42" s="56" t="inlineStr"/>
      <c r="F42" s="56" t="inlineStr"/>
      <c r="G42" s="56" t="inlineStr"/>
    </row>
    <row r="43">
      <c r="A43" s="55" t="inlineStr">
        <is>
          <t>15</t>
        </is>
      </c>
      <c r="B43" s="55" t="inlineStr">
        <is>
          <t>Plagas o enfermedades forestales</t>
        </is>
      </c>
      <c r="C43" s="55" t="inlineStr">
        <is>
          <t>Sí</t>
        </is>
      </c>
      <c r="D43" s="55" t="inlineStr">
        <is>
          <t>Moderada</t>
        </is>
      </c>
      <c r="E43" s="55" t="inlineStr"/>
      <c r="F43" s="55" t="inlineStr"/>
      <c r="G43" s="55" t="inlineStr">
        <is>
          <t>Presencia de mosca minadora y de la fruta</t>
        </is>
      </c>
    </row>
    <row r="44">
      <c r="A44" s="56" t="inlineStr">
        <is>
          <t>16</t>
        </is>
      </c>
      <c r="B44" s="56" t="inlineStr">
        <is>
          <t>Otro</t>
        </is>
      </c>
      <c r="C44" s="56" t="inlineStr">
        <is>
          <t>No</t>
        </is>
      </c>
      <c r="D44" s="56" t="inlineStr">
        <is>
          <t>Nula</t>
        </is>
      </c>
      <c r="E44" s="56" t="inlineStr"/>
      <c r="F44" s="56" t="inlineStr"/>
      <c r="G44" s="56" t="inlineStr"/>
    </row>
    <row r="46">
      <c r="A46" s="53" t="inlineStr">
        <is>
          <t>F-DT-04 · INDICADORES CUANTITATIVOS</t>
        </is>
      </c>
    </row>
    <row r="47">
      <c r="A47" s="54" t="inlineStr">
        <is>
          <t>N.o</t>
        </is>
      </c>
      <c r="B47" s="54" t="inlineStr">
        <is>
          <t>Indicador</t>
        </is>
      </c>
      <c r="C47" s="54" t="inlineStr">
        <is>
          <t>Unidad</t>
        </is>
      </c>
      <c r="D47" s="54" t="inlineStr">
        <is>
          <t>Valor</t>
        </is>
      </c>
      <c r="E47" s="54" t="inlineStr">
        <is>
          <t>Fuente</t>
        </is>
      </c>
      <c r="F47" s="54" t="inlineStr">
        <is>
          <t>Umbral</t>
        </is>
      </c>
      <c r="G47" s="54" t="inlineStr">
        <is>
          <t>Nivel</t>
        </is>
      </c>
    </row>
    <row r="48">
      <c r="A48" s="55" t="inlineStr">
        <is>
          <t>1</t>
        </is>
      </c>
      <c r="B48" s="55" t="inlineStr">
        <is>
          <t>Cobertura vegetal total</t>
        </is>
      </c>
      <c r="C48" s="55" t="inlineStr">
        <is>
          <t>%</t>
        </is>
      </c>
      <c r="D48" s="55" t="inlineStr">
        <is>
          <t>70</t>
        </is>
      </c>
      <c r="E48" s="55" t="inlineStr">
        <is>
          <t>Estimación de campo + MSAVI 2024</t>
        </is>
      </c>
      <c r="F48" s="55" t="inlineStr">
        <is>
          <t>&gt;60% bueno; 30-60% medio; &lt;30% malo</t>
        </is>
      </c>
      <c r="G48" s="55" t="inlineStr">
        <is>
          <t>Alto</t>
        </is>
      </c>
    </row>
    <row r="49">
      <c r="A49" s="56" t="inlineStr">
        <is>
          <t>2</t>
        </is>
      </c>
      <c r="B49" s="56" t="inlineStr">
        <is>
          <t>Porcentaje de suelo desnudo</t>
        </is>
      </c>
      <c r="C49" s="56" t="inlineStr">
        <is>
          <t>%</t>
        </is>
      </c>
      <c r="D49" s="56" t="inlineStr">
        <is>
          <t>10</t>
        </is>
      </c>
      <c r="E49" s="56" t="inlineStr">
        <is>
          <t>Estimación de campo</t>
        </is>
      </c>
      <c r="F49" s="56" t="inlineStr">
        <is>
          <t>&lt;10% bueno; 10-30% medio; &gt;30% malo</t>
        </is>
      </c>
      <c r="G49" s="56" t="inlineStr">
        <is>
          <t>Medio</t>
        </is>
      </c>
    </row>
    <row r="50">
      <c r="A50" s="55" t="inlineStr">
        <is>
          <t>3</t>
        </is>
      </c>
      <c r="B50" s="55" t="inlineStr">
        <is>
          <t>Densidad de cárcavas</t>
        </is>
      </c>
      <c r="C50" s="55" t="inlineStr">
        <is>
          <t>N°/ha</t>
        </is>
      </c>
      <c r="D50" s="55" t="inlineStr"/>
      <c r="E50" s="55" t="inlineStr"/>
      <c r="F50" s="55" t="inlineStr">
        <is>
          <t>0 nulo; 1-3 medio; &gt;3 alto</t>
        </is>
      </c>
      <c r="G50" s="55" t="inlineStr"/>
    </row>
    <row r="51">
      <c r="A51" s="56" t="inlineStr">
        <is>
          <t>4</t>
        </is>
      </c>
      <c r="B51" s="56" t="inlineStr">
        <is>
          <t>Presencia de especies invasoras</t>
        </is>
      </c>
      <c r="C51" s="56" t="inlineStr">
        <is>
          <t>% área</t>
        </is>
      </c>
      <c r="D51" s="56" t="inlineStr"/>
      <c r="E51" s="56" t="inlineStr"/>
      <c r="F51" s="56" t="inlineStr">
        <is>
          <t>&lt;5% bueno; 5-20% medio; &gt;20% alto</t>
        </is>
      </c>
      <c r="G51" s="56" t="inlineStr"/>
    </row>
    <row r="52">
      <c r="A52" s="55" t="inlineStr">
        <is>
          <t>5</t>
        </is>
      </c>
      <c r="B52" s="55" t="inlineStr">
        <is>
          <t>Carga ganadera estimada</t>
        </is>
      </c>
      <c r="C52" s="55" t="inlineStr">
        <is>
          <t>UA/ha</t>
        </is>
      </c>
      <c r="D52" s="55" t="inlineStr"/>
      <c r="E52" s="55" t="inlineStr"/>
      <c r="F52" s="55" t="inlineStr">
        <is>
          <t>Según tipo de ecosistema</t>
        </is>
      </c>
      <c r="G52" s="55" t="inlineStr"/>
    </row>
    <row r="53">
      <c r="A53" s="56" t="inlineStr">
        <is>
          <t>6</t>
        </is>
      </c>
      <c r="B53" s="56" t="inlineStr">
        <is>
          <t>Frecuencia de quemas últimos 5 años</t>
        </is>
      </c>
      <c r="C53" s="56" t="inlineStr">
        <is>
          <t>N°</t>
        </is>
      </c>
      <c r="D53" s="56" t="inlineStr">
        <is>
          <t>0</t>
        </is>
      </c>
      <c r="E53" s="56" t="inlineStr">
        <is>
          <t>Observación de campo</t>
        </is>
      </c>
      <c r="F53" s="56" t="inlineStr">
        <is>
          <t>0 nulo; 1-2 medio; &gt;2 alto</t>
        </is>
      </c>
      <c r="G53" s="56" t="inlineStr">
        <is>
          <t>Bajo</t>
        </is>
      </c>
    </row>
    <row r="54">
      <c r="A54" s="55" t="inlineStr">
        <is>
          <t>7</t>
        </is>
      </c>
      <c r="B54" s="55" t="inlineStr">
        <is>
          <t>% área con pendiente &gt;50%</t>
        </is>
      </c>
      <c r="C54" s="55" t="inlineStr">
        <is>
          <t>%</t>
        </is>
      </c>
      <c r="D54" s="55" t="inlineStr"/>
      <c r="E54" s="55" t="inlineStr"/>
      <c r="F54" s="55" t="inlineStr">
        <is>
          <t>Factor de susceptibilidad</t>
        </is>
      </c>
      <c r="G54" s="55" t="inlineStr"/>
    </row>
    <row r="55">
      <c r="A55" s="56" t="inlineStr">
        <is>
          <t>8</t>
        </is>
      </c>
      <c r="B55" s="56" t="inlineStr">
        <is>
          <t>Distancia a vía vecinal más cercana</t>
        </is>
      </c>
      <c r="C55" s="56" t="inlineStr">
        <is>
          <t>m</t>
        </is>
      </c>
      <c r="D55" s="56" t="inlineStr"/>
      <c r="E55" s="56" t="inlineStr"/>
      <c r="F55" s="56" t="inlineStr">
        <is>
          <t>A menor distancia → mayor presión</t>
        </is>
      </c>
      <c r="G55" s="56" t="inlineStr"/>
    </row>
    <row r="57">
      <c r="A57" s="53" t="inlineStr">
        <is>
          <t>F-DT-05 · FUENTES DE AGUA INVENTARIADAS</t>
        </is>
      </c>
    </row>
    <row r="58">
      <c r="A58" s="54" t="inlineStr">
        <is>
          <t>N.o</t>
        </is>
      </c>
      <c r="B58" s="54" t="inlineStr">
        <is>
          <t>Tipo de fuente</t>
        </is>
      </c>
      <c r="C58" s="54" t="inlineStr">
        <is>
          <t>UTM ESTE</t>
        </is>
      </c>
      <c r="D58" s="54" t="inlineStr">
        <is>
          <t>UTM NORTE</t>
        </is>
      </c>
      <c r="E58" s="54" t="inlineStr">
        <is>
          <t>Régimen</t>
        </is>
      </c>
      <c r="F58" s="54" t="inlineStr">
        <is>
          <t>Calidad</t>
        </is>
      </c>
      <c r="G58" s="54" t="inlineStr">
        <is>
          <t>Distancia (m)</t>
        </is>
      </c>
      <c r="H58" s="54" t="inlineStr">
        <is>
          <t>Uso / observación</t>
        </is>
      </c>
    </row>
    <row r="61">
      <c r="A61" s="53" t="inlineStr">
        <is>
          <t>OBSERVACIONES DEL EVALUADOR POR FICHA</t>
        </is>
      </c>
    </row>
    <row r="62">
      <c r="A62" s="54" t="inlineStr">
        <is>
          <t>Ficha</t>
        </is>
      </c>
      <c r="B62" s="54" t="inlineStr">
        <is>
          <t>Observación registrada en campo</t>
        </is>
      </c>
    </row>
    <row r="63">
      <c r="A63" s="55" t="inlineStr">
        <is>
          <t>F-DT-01</t>
        </is>
      </c>
      <c r="B63" s="55" t="inlineStr">
        <is>
          <t>Recorrido del bloque a pie (track GPS Garmin 66sr). El interior del bloque presenta cobertura vegetal predominantemente alta y relieve estable en superficie; las evidencias de inestabilidad activa (taludes de corte con caída de material) se concentran a lo largo de la vía de acceso (trocha), fuera del polígono. Altitud promedio del bloque (≈1400 msnm); rango del bloque ≈1100–1500 msnm. Centroide oficial del bloque: 625152 E / 9435011 N. Acceso por carretera PI-805 desde Santa Catalina de Mossa.</t>
        </is>
      </c>
    </row>
    <row r="64">
      <c r="A64" s="56" t="inlineStr">
        <is>
          <t>F-DT-02</t>
        </is>
      </c>
      <c r="B64" s="56" t="inlineStr">
        <is>
          <t>No se ejecutó inventario métrico de cárcavas en el interior del bloque durante la inspección rápida. La erosión severa documentada (fallas y socavamiento) corresponde a taludes de corte de la vía de acceso: 17M 624665/9439087, 621086/9433217 y 621203/9433325. En el interior predomina erosión laminar a en surcos sobre sendas y suelo expuesto. Valores porcentuales pendientes de cuantificación.</t>
        </is>
      </c>
    </row>
    <row r="65">
      <c r="A65" s="55" t="inlineStr">
        <is>
          <t>F-DT-03</t>
        </is>
      </c>
      <c r="B65" s="55" t="inlineStr">
        <is>
          <t>Cobertura vegetal total y estructura: estimación ocular apoyada en MSAVI_Piura_2024 (predominio de la clase &gt;0,6139). Las especies nativas se concentran en las partes altas e inaccesibles. Lista florística preliminar: nombres comunes según reporte de campo/local; nombres científicos preliminares y sujetos a verificación. Estrato, abundancia, DAP, alturas y especies clave/indicadoras (UICN/D.S. 043-2006-AG) quedan pendientes de inventario especializado.</t>
        </is>
      </c>
    </row>
    <row r="66">
      <c r="A66" s="56" t="inlineStr">
        <is>
          <t>F-DT-04</t>
        </is>
      </c>
      <c r="B66" s="56" t="inlineStr">
        <is>
          <t>La degradación severa (fallas de talud y socavamiento) se concentra a lo largo de la vía de acceso; el interior del bloque presenta cobertura predominantemente vegetada con degradación localizada. Valores de extensión y antigüedad de causas pendientes de cuantificación.</t>
        </is>
      </c>
    </row>
    <row r="67">
      <c r="A67" s="55" t="inlineStr">
        <is>
          <t>F-DT-05</t>
        </is>
      </c>
      <c r="B67" s="55" t="inlineStr">
        <is>
          <t>Quebradas observadas en el entorno del bloque y a lo largo de la vía de acceso; bloque en zona de origen/recarga de la microcuenca. Acceso por carretera PI-805 desde Santa Catalina de Mossa, luego trocha carrozable y camino de herradura; recorrido interior a pie. Infraestructura de concreto (cruce/pontón) sobre la vía de acceso (≈17M 621086/9433217). Predios de propiedad privada. Señal celular, tiempos de acceso y captación poblacional pendientes de registro.</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2"/>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42</t>
        </is>
      </c>
    </row>
    <row r="7">
      <c r="A7" s="53" t="inlineStr">
        <is>
          <t>Hechos declarados por fuente</t>
        </is>
      </c>
    </row>
    <row r="8">
      <c r="A8" s="54" t="inlineStr">
        <is>
          <t>Fuente</t>
        </is>
      </c>
      <c r="B8" s="54" t="inlineStr">
        <is>
          <t>Hechos</t>
        </is>
      </c>
    </row>
    <row r="9">
      <c r="A9" s="55" t="inlineStr">
        <is>
          <t>Dato de campo</t>
        </is>
      </c>
      <c r="B9" s="55" t="n">
        <v>54</v>
      </c>
    </row>
    <row r="10">
      <c r="A10" s="56" t="inlineStr">
        <is>
          <t>Gabinete (GIS / teledetección)</t>
        </is>
      </c>
      <c r="B10" s="56" t="n">
        <v>24</v>
      </c>
    </row>
    <row r="11">
      <c r="A11" s="55" t="inlineStr">
        <is>
          <t>Fuente oficial</t>
        </is>
      </c>
      <c r="B11" s="55" t="n">
        <v>14</v>
      </c>
    </row>
    <row r="28">
      <c r="A28" s="53" t="inlineStr">
        <is>
          <t>Estado del cruce entre fuentes</t>
        </is>
      </c>
    </row>
    <row r="29">
      <c r="A29" s="54" t="inlineStr">
        <is>
          <t>Estado</t>
        </is>
      </c>
      <c r="B29" s="54" t="inlineStr">
        <is>
          <t>Hechos</t>
        </is>
      </c>
    </row>
    <row r="30">
      <c r="A30" s="55" t="inlineStr">
        <is>
          <t>CONFORME</t>
        </is>
      </c>
      <c r="B30" s="55" t="n">
        <v>85</v>
      </c>
    </row>
    <row r="31">
      <c r="A31" s="56" t="inlineStr">
        <is>
          <t>COMPLEMENTADO</t>
        </is>
      </c>
      <c r="B31" s="56" t="n">
        <v>4</v>
      </c>
    </row>
    <row r="32">
      <c r="A32" s="55" t="inlineStr">
        <is>
          <t>ACTUALIZADO</t>
        </is>
      </c>
      <c r="B32" s="55" t="n">
        <v>3</v>
      </c>
    </row>
    <row r="33">
      <c r="A33" s="56" t="inlineStr">
        <is>
          <t>DISCREPANTE</t>
        </is>
      </c>
      <c r="B33" s="56" t="n">
        <v>0</v>
      </c>
    </row>
    <row r="34">
      <c r="A34" s="55" t="inlineStr">
        <is>
          <t>PENDIENTE</t>
        </is>
      </c>
      <c r="B34" s="55" t="n">
        <v>22</v>
      </c>
    </row>
    <row r="51">
      <c r="A51" s="53" t="inlineStr">
        <is>
          <t>Cobertura por estrato — campo (%)</t>
        </is>
      </c>
    </row>
    <row r="52">
      <c r="A52" s="54" t="inlineStr">
        <is>
          <t>Estrato</t>
        </is>
      </c>
      <c r="B52" s="54" t="inlineStr">
        <is>
          <t>% del área</t>
        </is>
      </c>
    </row>
    <row r="53">
      <c r="A53" s="55" t="inlineStr">
        <is>
          <t>Suelo desnudo</t>
        </is>
      </c>
      <c r="B53" s="60" t="n">
        <v>10</v>
      </c>
    </row>
    <row r="70">
      <c r="A70" s="53" t="inlineStr">
        <is>
          <t>Causas activas de degradación (F-DT-04)</t>
        </is>
      </c>
    </row>
    <row r="71">
      <c r="A71" s="54" t="inlineStr">
        <is>
          <t>Causa</t>
        </is>
      </c>
      <c r="B71" s="54" t="inlineStr">
        <is>
          <t>Intensidad (1 ligera - 4 muy fuerte)</t>
        </is>
      </c>
    </row>
    <row r="72">
      <c r="A72" s="55" t="inlineStr">
        <is>
          <t>Expansión urbana / vial</t>
        </is>
      </c>
      <c r="B72" s="55" t="n">
        <v>3</v>
      </c>
    </row>
    <row r="73">
      <c r="A73" s="56" t="inlineStr">
        <is>
          <t>Cambio de uso a agricultura</t>
        </is>
      </c>
      <c r="B73" s="56" t="n">
        <v>2</v>
      </c>
    </row>
    <row r="74">
      <c r="A74" s="55" t="inlineStr">
        <is>
          <t>Cambio de uso a pastoreo</t>
        </is>
      </c>
      <c r="B74" s="55" t="n">
        <v>2</v>
      </c>
    </row>
    <row r="75">
      <c r="A75" s="56" t="inlineStr">
        <is>
          <t>Erosión natural severa</t>
        </is>
      </c>
      <c r="B75" s="56" t="n">
        <v>2</v>
      </c>
    </row>
    <row r="76">
      <c r="A76" s="55" t="inlineStr">
        <is>
          <t>Plagas o enfermedades forestales</t>
        </is>
      </c>
      <c r="B76" s="55" t="n">
        <v>2</v>
      </c>
    </row>
    <row r="77">
      <c r="A77" s="56" t="inlineStr">
        <is>
          <t>Sequía prolongada / CC</t>
        </is>
      </c>
      <c r="B77" s="56" t="n">
        <v>2</v>
      </c>
    </row>
    <row r="78">
      <c r="A78" s="55" t="inlineStr">
        <is>
          <t>Sobrepastoreo (caprino/vacuno)</t>
        </is>
      </c>
      <c r="B78" s="55" t="n">
        <v>2</v>
      </c>
    </row>
    <row r="79">
      <c r="A79" s="56" t="inlineStr">
        <is>
          <t>Tala para leña</t>
        </is>
      </c>
      <c r="B79" s="56" t="n">
        <v>2</v>
      </c>
    </row>
    <row r="80">
      <c r="A80" s="55" t="inlineStr">
        <is>
          <t>Tala para madera</t>
        </is>
      </c>
      <c r="B80" s="55" t="n">
        <v>2</v>
      </c>
    </row>
    <row r="97">
      <c r="A97" s="53" t="inlineStr">
        <is>
          <t>Control de consistencia por calificación</t>
        </is>
      </c>
    </row>
    <row r="98">
      <c r="A98" s="54" t="inlineStr">
        <is>
          <t>Calificación</t>
        </is>
      </c>
      <c r="B98" s="54" t="inlineStr">
        <is>
          <t>Verificaciones</t>
        </is>
      </c>
    </row>
    <row r="99">
      <c r="A99" s="55" t="inlineStr">
        <is>
          <t>SUSTANTIVA</t>
        </is>
      </c>
      <c r="B99" s="55" t="n">
        <v>2</v>
      </c>
    </row>
    <row r="100">
      <c r="A100" s="56" t="inlineStr">
        <is>
          <t>NO SUSTANTIVA</t>
        </is>
      </c>
      <c r="B100" s="56" t="n">
        <v>2</v>
      </c>
    </row>
    <row r="101">
      <c r="A101" s="55" t="inlineStr">
        <is>
          <t>CORREGIDO</t>
        </is>
      </c>
      <c r="B101" s="55" t="n">
        <v>3</v>
      </c>
    </row>
    <row r="102">
      <c r="A102" s="56" t="inlineStr">
        <is>
          <t>CONFORME</t>
        </is>
      </c>
      <c r="B102" s="56"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42 — IN Piura</dc:title>
  <dc:subject>Diagnóstico Territorial por bloque de intervención</dc:subject>
  <dcterms:created xsi:type="dcterms:W3CDTF">2026-09-08T03:39:56Z</dcterms:created>
  <dcterms:modified xsi:type="dcterms:W3CDTF">2026-09-11T20:22:28Z</dcterms:modified>
</cp:coreProperties>
</file>