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integración'!$A$76:$A$78</f>
            </numRef>
          </cat>
          <val>
            <numRef>
              <f>'Gráficos de integración'!$B$76:$B$78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integración'!B96</f>
            </strRef>
          </tx>
          <spPr>
            <a:ln>
              <a:prstDash val="solid"/>
            </a:ln>
          </spPr>
          <cat>
            <numRef>
              <f>'Gráficos de integración'!$A$97:$A$100</f>
            </numRef>
          </cat>
          <val>
            <numRef>
              <f>'Gráficos de integración'!$B$97:$B$100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95</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84</t>
        </is>
      </c>
    </row>
    <row r="6" ht="24" customHeight="1">
      <c r="A6" s="4" t="inlineStr">
        <is>
          <t>Diagnóstico Territorial — Plantilla DT Campo Check Validada V5 | Sistema de referencia: UTM WGS 84 Zona 17S (EPSG:32717) · Integrado con la ficha de campo F-DT vigente (FDT_V5_Bloque84_IN_Piura_rev_hscm.xlsx) — V7 - resumen V6 + campo F-DT integrado</t>
        </is>
      </c>
    </row>
    <row r="7"/>
    <row r="8" ht="18" customHeight="1">
      <c r="A8" s="5" t="inlineStr">
        <is>
          <t>1. IDENTIFICACIÓN Y LOCALIZACIÓN</t>
        </is>
      </c>
    </row>
    <row r="9">
      <c r="A9" s="6" t="inlineStr">
        <is>
          <t>Código del bloque</t>
        </is>
      </c>
      <c r="B9" s="7" t="inlineStr">
        <is>
          <t>84</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Miguel Pampa (Miguelpampa)</t>
        </is>
      </c>
      <c r="C13" s="6" t="inlineStr">
        <is>
          <t>Comunidad campesina</t>
        </is>
      </c>
      <c r="D13" s="7" t="inlineStr">
        <is>
          <t>POR VERIFICAR — no consignada</t>
        </is>
      </c>
      <c r="E13" s="8" t="n"/>
      <c r="F13" s="8" t="n"/>
    </row>
    <row r="14">
      <c r="A14" s="6" t="inlineStr">
        <is>
          <t>Superficie de catálogo (V5/V6), ha</t>
        </is>
      </c>
      <c r="B14" s="7" t="n">
        <v>5.097</v>
      </c>
      <c r="C14" s="6" t="inlineStr">
        <is>
          <t>Fuente de superficie</t>
        </is>
      </c>
      <c r="D14" s="7" t="inlineStr">
        <is>
          <t>Catálogo maestro Bloques V5/V6</t>
        </is>
      </c>
      <c r="E14" s="8" t="n"/>
      <c r="F14" s="8" t="n"/>
    </row>
    <row r="15">
      <c r="A15" s="6" t="inlineStr">
        <is>
          <t>Centroide UTM ESTE (m)</t>
        </is>
      </c>
      <c r="B15" s="7" t="n">
        <v>640237</v>
      </c>
      <c r="C15" s="6" t="inlineStr">
        <is>
          <t>Centroide UTM NORTE (m)</t>
        </is>
      </c>
      <c r="D15" s="7" t="n">
        <v>9410714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0.2516</v>
      </c>
      <c r="C28" s="6" t="inlineStr">
        <is>
          <t>MSAVI 2024 — clase de la media</t>
        </is>
      </c>
      <c r="D28" s="7" t="inlineStr">
        <is>
          <t>&lt;= 0.2650 (Suelo desnudo / no vegetal)</t>
        </is>
      </c>
      <c r="E28" s="8" t="n"/>
      <c r="F28" s="8" t="n"/>
    </row>
    <row r="29">
      <c r="A29" s="6" t="inlineStr">
        <is>
          <t>Condición frente al umbral 0.4976</t>
        </is>
      </c>
      <c r="B29" s="7" t="inlineStr">
        <is>
          <t>BAJO umbral 0.4976</t>
        </is>
      </c>
      <c r="C29" s="6" t="inlineStr">
        <is>
          <t>NDVI mediana 2025 — clase modal</t>
        </is>
      </c>
      <c r="D29" s="7" t="inlineStr">
        <is>
          <t>Vegetación ligera (78.09 %)</t>
        </is>
      </c>
      <c r="E29" s="8" t="n"/>
      <c r="F29" s="8" t="n"/>
    </row>
    <row r="30">
      <c r="A30" s="6" t="inlineStr">
        <is>
          <t>Superficie clasificada NDVI 2025 (ha)</t>
        </is>
      </c>
      <c r="B30" s="7" t="n">
        <v>5.099</v>
      </c>
      <c r="C30" s="6" t="inlineStr">
        <is>
          <t>Desviación frente al catálogo (%)</t>
        </is>
      </c>
      <c r="D30" s="7" t="n">
        <v>0.03</v>
      </c>
      <c r="E30" s="8" t="n"/>
      <c r="F30" s="8" t="n"/>
    </row>
    <row r="31">
      <c r="A31" s="6" t="inlineStr">
        <is>
          <t>Superficie clasificada MSAVI 2024 (ha)</t>
        </is>
      </c>
      <c r="B31" s="38" t="n">
        <v>5.097</v>
      </c>
      <c r="C31" s="6" t="inlineStr">
        <is>
          <t>Desviación MSAVI frente al catálogo (%)</t>
        </is>
      </c>
      <c r="D31" s="39" t="n">
        <v>0</v>
      </c>
      <c r="E31" s="8" t="n"/>
      <c r="F31" s="8" t="n"/>
    </row>
    <row r="32">
      <c r="A32" s="6" t="inlineStr">
        <is>
          <t>Superficie bajo umbral MSAVI 0.4976 (ha)</t>
        </is>
      </c>
      <c r="B32" s="38" t="n">
        <v>5.097</v>
      </c>
      <c r="C32" s="6" t="inlineStr">
        <is>
          <t>% del bloque bajo umbral (brecha espectral)</t>
        </is>
      </c>
      <c r="D32" s="39" t="n">
        <v>100</v>
      </c>
      <c r="E32" s="8" t="n"/>
      <c r="F32" s="8" t="n"/>
    </row>
    <row r="33">
      <c r="A33" s="6" t="inlineStr">
        <is>
          <t>Clase DN dominante (MSAVI 2024)</t>
        </is>
      </c>
      <c r="B33" s="7" t="inlineStr">
        <is>
          <t>DN 1 · &lt;= 0.2650 (Suelo desnudo / no vegetal)</t>
        </is>
      </c>
      <c r="C33" s="6" t="inlineStr">
        <is>
          <t>N.° de polígonos MSAVI del bloque</t>
        </is>
      </c>
      <c r="D33" s="40" t="n">
        <v>37</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asignación POR VERIFICAR</t>
        </is>
      </c>
      <c r="C36" s="6" t="inlineStr">
        <is>
          <t>Superficie de ecosistema (ha)</t>
        </is>
      </c>
      <c r="D36" s="7" t="inlineStr">
        <is>
          <t>5.099 ha (100% del bloque)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n">
        <v>11</v>
      </c>
      <c r="E38" s="8" t="n"/>
      <c r="F38" s="8" t="n"/>
    </row>
    <row r="39">
      <c r="A39" s="6" t="inlineStr">
        <is>
          <t>Suelo desnudo — campo (%)</t>
        </is>
      </c>
      <c r="B39" s="7" t="n">
        <v>77</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50" t="inlineStr">
        <is>
          <t>No inventariadas</t>
        </is>
      </c>
      <c r="E40" s="8" t="n"/>
      <c r="F40" s="8" t="n"/>
    </row>
    <row r="41">
      <c r="A41" s="6" t="inlineStr">
        <is>
          <t>Elenco florístico (n.° de taxones)</t>
        </is>
      </c>
      <c r="B41" s="7" t="n">
        <v>15</v>
      </c>
      <c r="C41" s="6" t="inlineStr">
        <is>
          <t>Estado sanitario</t>
        </is>
      </c>
      <c r="D41" s="50" t="inlineStr">
        <is>
          <t>Sin consignar (sin mediciones)</t>
        </is>
      </c>
      <c r="E41" s="8" t="n"/>
      <c r="F41" s="8" t="n"/>
    </row>
    <row r="42"/>
    <row r="43" ht="18" customHeight="1">
      <c r="A43" s="5" t="inlineStr">
        <is>
          <t>5. RESPONSABLE Y MODALIDAD DE LA EVALUACIÓN</t>
        </is>
      </c>
    </row>
    <row r="44">
      <c r="A44" s="6" t="inlineStr">
        <is>
          <t>Responsable de la evaluación</t>
        </is>
      </c>
      <c r="B44" s="50" t="inlineStr">
        <is>
          <t>Gabinete SESDI · Levantamiento RPA 14-08-2026 (operador POR CONFIRMAR)</t>
        </is>
      </c>
      <c r="C44" s="6" t="inlineStr">
        <is>
          <t>Fecha de evaluación</t>
        </is>
      </c>
      <c r="D44" s="7" t="inlineStr">
        <is>
          <t>2026-08-14</t>
        </is>
      </c>
      <c r="E44" s="8" t="n"/>
      <c r="F44" s="8" t="n"/>
    </row>
    <row r="45">
      <c r="A45" s="6" t="inlineStr">
        <is>
          <t>Hora de registro</t>
        </is>
      </c>
      <c r="B45" s="7" t="inlineStr">
        <is>
          <t>10:36 h</t>
        </is>
      </c>
      <c r="C45" s="6" t="inlineStr">
        <is>
          <t>Correlativo de ficha</t>
        </is>
      </c>
      <c r="D45" s="7" t="inlineStr">
        <is>
          <t>F-DT-B84-01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 — fotointerpretación de ortofoto RPA</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régimen de manejo del pastoreo comunal, agravada por la ocupación efectiva del bloque y de su contorno</t>
        </is>
      </c>
      <c r="C51" s="6" t="inlineStr">
        <is>
          <t>Velocidad de degradación</t>
        </is>
      </c>
      <c r="D51" s="50" t="inlineStr">
        <is>
          <t>SIN CONSIGNAR — no se dispone de la serie Theil-Sen (TAU) ni de MSAVI multianual para el bloque</t>
        </is>
      </c>
      <c r="E51" s="8" t="n"/>
      <c r="F51" s="8" t="n"/>
    </row>
    <row r="52">
      <c r="A52" s="6" t="inlineStr">
        <is>
          <t>Reversibilidad técnica</t>
        </is>
      </c>
      <c r="B52" s="7" t="inlineStr">
        <is>
          <t>Difícilmente reversible</t>
        </is>
      </c>
      <c r="C52" s="6" t="inlineStr">
        <is>
          <t>Urgencia de intervención</t>
        </is>
      </c>
      <c r="D52" s="7" t="inlineStr">
        <is>
          <t>Crítica</t>
        </is>
      </c>
      <c r="E52" s="8" t="n"/>
      <c r="F52" s="8" t="n"/>
    </row>
    <row r="53">
      <c r="A53" s="6" t="inlineStr">
        <is>
          <t>Urgencia de control de erosión</t>
        </is>
      </c>
      <c r="B53" s="7" t="inlineStr">
        <is>
          <t>Crítica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v>
      </c>
      <c r="C11" s="21">
        <f>ROUND(B11/$B$15*100,2)</f>
        <v/>
      </c>
      <c r="D11" s="13" t="inlineStr">
        <is>
          <t>Vigor moderado</t>
        </is>
      </c>
      <c r="E11" s="13" t="inlineStr">
        <is>
          <t>Sobre umbral</t>
        </is>
      </c>
    </row>
    <row r="12">
      <c r="A12" s="7" t="inlineStr">
        <is>
          <t>0.3813 - 0.4976 · DN 3</t>
        </is>
      </c>
      <c r="B12" s="18" t="n">
        <v>0.0174</v>
      </c>
      <c r="C12" s="19">
        <f>ROUND(B12/$B$15*100,2)</f>
        <v/>
      </c>
      <c r="D12" s="11" t="inlineStr">
        <is>
          <t>Vigor bajo</t>
        </is>
      </c>
      <c r="E12" s="11" t="inlineStr">
        <is>
          <t>BAJO umbral 0.4976</t>
        </is>
      </c>
    </row>
    <row r="13">
      <c r="A13" s="12" t="inlineStr">
        <is>
          <t>0.2650 - 0.3813 · DN 2</t>
        </is>
      </c>
      <c r="B13" s="20" t="n">
        <v>1.7504</v>
      </c>
      <c r="C13" s="21">
        <f>ROUND(B13/$B$15*100,2)</f>
        <v/>
      </c>
      <c r="D13" s="13" t="inlineStr">
        <is>
          <t>Vigor muy bajo</t>
        </is>
      </c>
      <c r="E13" s="13" t="inlineStr">
        <is>
          <t>BAJO umbral 0.4976</t>
        </is>
      </c>
    </row>
    <row r="14">
      <c r="A14" s="14" t="inlineStr">
        <is>
          <t>&lt;= 0.2650 · DN 1</t>
        </is>
      </c>
      <c r="B14" s="32" t="n">
        <v>3.3293</v>
      </c>
      <c r="C14" s="31">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37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5.097</v>
      </c>
      <c r="C18" s="49" t="inlineStr">
        <is>
          <t>—</t>
        </is>
      </c>
      <c r="D18" s="46" t="inlineStr">
        <is>
          <t>Desviación planimétrica frente al catálogo</t>
        </is>
      </c>
      <c r="E18" s="46" t="inlineStr">
        <is>
          <t>+0.00 %</t>
        </is>
      </c>
    </row>
    <row r="19">
      <c r="A19" s="16" t="inlineStr">
        <is>
          <t>MSAVI 2024 — MEDIA DEL BLOQUE</t>
        </is>
      </c>
      <c r="B19" s="17" t="n">
        <v>0.251596</v>
      </c>
      <c r="C19" s="17" t="inlineStr">
        <is>
          <t>—</t>
        </is>
      </c>
      <c r="D19" s="17" t="inlineStr">
        <is>
          <t>Suelo desnudo / no vegetal · clase &lt;= 0.2650</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(0.2516)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0.0693</v>
      </c>
      <c r="C25" s="19" t="n">
        <v>1.36</v>
      </c>
      <c r="D25" s="11" t="inlineStr">
        <is>
          <t>Pastizal cultivado, matorral ralo, parcelas agrícolas</t>
        </is>
      </c>
      <c r="E25" s="11" t="inlineStr"/>
    </row>
    <row r="26">
      <c r="A26" s="12" t="inlineStr">
        <is>
          <t>Vegetación ligera</t>
        </is>
      </c>
      <c r="B26" s="20" t="n">
        <v>3.9816</v>
      </c>
      <c r="C26" s="21" t="n">
        <v>78.09</v>
      </c>
      <c r="D26" s="13" t="inlineStr">
        <is>
          <t>Cobertura discontinua, suelo parcialmente expuesto</t>
        </is>
      </c>
      <c r="E26" s="13" t="inlineStr"/>
    </row>
    <row r="27">
      <c r="A27" s="7" t="inlineStr">
        <is>
          <t>Tierra desnuda</t>
        </is>
      </c>
      <c r="B27" s="18" t="n">
        <v>1.0478</v>
      </c>
      <c r="C27" s="19" t="n">
        <v>20.55</v>
      </c>
      <c r="D27" s="11" t="inlineStr">
        <is>
          <t>Suelo desnudo, afloramientos, plataformas y taludes</t>
        </is>
      </c>
      <c r="E27" s="11" t="inlineStr"/>
    </row>
    <row r="28">
      <c r="A28" s="16" t="inlineStr">
        <is>
          <t>TOTAL CLASIFICADO</t>
        </is>
      </c>
      <c r="B28" s="22">
        <f>SUM(B25:B27)</f>
        <v/>
      </c>
      <c r="C28" s="23">
        <f>SUM(C25:C27)</f>
        <v/>
      </c>
      <c r="D28" s="17" t="inlineStr"/>
      <c r="E28" s="17" t="inlineStr"/>
    </row>
    <row r="29">
      <c r="A29" s="24" t="inlineStr">
        <is>
          <t>Superficie de catálogo (V5/V6)</t>
        </is>
      </c>
      <c r="B29" s="25" t="n">
        <v>5.097</v>
      </c>
      <c r="C29" s="25" t="inlineStr">
        <is>
          <t>—</t>
        </is>
      </c>
      <c r="D29" s="25" t="inlineStr">
        <is>
          <t>Desviación planimétrica frente al catálogo</t>
        </is>
      </c>
      <c r="E29" s="25" t="inlineStr">
        <is>
          <t>+0.03 %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11 % frente a un 0.00 % del polígono clasificado como «Vegetación alta» por el NDVI 2025; la observación de campo corresponde a una parcela o recorrido puntual y no es estadísticamente representativa de las 5.097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84</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640174</v>
      </c>
      <c r="D10" s="26" t="n">
        <v>9410693</v>
      </c>
      <c r="E10" s="11" t="n">
        <v>66.40000000000001</v>
      </c>
      <c r="F10" s="11" t="inlineStr"/>
      <c r="G10" s="11" t="inlineStr">
        <is>
          <t>Coordenada consignada en F-DT-01</t>
        </is>
      </c>
    </row>
    <row r="11">
      <c r="A11" s="12" t="inlineStr">
        <is>
          <t>H-01</t>
        </is>
      </c>
      <c r="B11" s="13" t="inlineStr">
        <is>
          <t>Fuente de agua — Río</t>
        </is>
      </c>
      <c r="C11" s="27" t="n">
        <v>640140</v>
      </c>
      <c r="D11" s="27" t="n">
        <v>9410947</v>
      </c>
      <c r="E11" s="13" t="n">
        <v>252.4</v>
      </c>
      <c r="F11" s="13" t="inlineStr">
        <is>
          <t>Permanente</t>
        </is>
      </c>
      <c r="G11" s="13" t="inlineStr">
        <is>
          <t>Cauce principal que limita el bloque por el norte</t>
        </is>
      </c>
    </row>
    <row r="12">
      <c r="A12" s="7" t="inlineStr">
        <is>
          <t>H-02</t>
        </is>
      </c>
      <c r="B12" s="11" t="inlineStr">
        <is>
          <t>Fuente de agua — Quebrada estacional</t>
        </is>
      </c>
      <c r="C12" s="26" t="n">
        <v>640174</v>
      </c>
      <c r="D12" s="26" t="n">
        <v>9410693</v>
      </c>
      <c r="E12" s="11" t="n">
        <v>66.40000000000001</v>
      </c>
      <c r="F12" s="11" t="inlineStr">
        <is>
          <t>Estacional</t>
        </is>
      </c>
      <c r="G12" s="11" t="inlineStr">
        <is>
          <t>Cauce interior con incisión</t>
        </is>
      </c>
    </row>
    <row r="13">
      <c r="A13" s="12" t="inlineStr">
        <is>
          <t>H-03</t>
        </is>
      </c>
      <c r="B13" s="13" t="inlineStr">
        <is>
          <t>Fuente de agua — Quebrada estacional</t>
        </is>
      </c>
      <c r="C13" s="27" t="n">
        <v>640361</v>
      </c>
      <c r="D13" s="27" t="n">
        <v>9410542</v>
      </c>
      <c r="E13" s="13" t="n">
        <v>212</v>
      </c>
      <c r="F13" s="13" t="inlineStr">
        <is>
          <t>Estacional</t>
        </is>
      </c>
      <c r="G13" s="13" t="inlineStr">
        <is>
          <t>Cauce del flanco suroriental</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640237</v>
      </c>
      <c r="C16" s="6" t="inlineStr">
        <is>
          <t>Centroide del bloque — UTM NORTE (m)</t>
        </is>
      </c>
      <c r="D16" s="7" t="n">
        <v>9410714</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32"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NO REGISTRADO EN LOS CATÁLOGOS «Bloques V4» NI «Bloques V5»; procede del REPORTE_BLOQUES_V6 y de la capa «Bloques extras». Registro añadido a la hoja auxiliar exclusivamente para habilitar los VLOOKUP (D-02). CENTROIDE POR RESTITUCIÓN CARTOGRÁFICA (±30 m). ALTITUD GPS SIN CONSIGNAR: la cota EXIF de los fotogramas corresponde a LA AERONAVE y no al terreno (≈230-270 msnm). Rango altitudinal y pendiente REFERENCIALES, derivados de un transecto de 214 m en Google Earth (mín. 232 · media 241 · máx. 253 msnm; pendiente media 9.8%, máxima 37.5%); NO equivalen a estadística zonal del DEM, no disponible para este bloque.</t>
        </is>
      </c>
      <c r="B19" s="41" t="n"/>
      <c r="C19" s="41" t="n"/>
      <c r="D19" s="41" t="n"/>
      <c r="E19" s="41" t="n"/>
      <c r="F19" s="41" t="n"/>
      <c r="G19" s="42"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84</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c r="I15" s="2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c r="I17" s="21" t="n">
        <v>100</v>
      </c>
    </row>
    <row r="18">
      <c r="A18" s="14" t="inlineStr">
        <is>
          <t>► 84</t>
        </is>
      </c>
      <c r="B18" s="30" t="n">
        <v>5.097</v>
      </c>
      <c r="C18" s="31" t="n">
        <v>1.28</v>
      </c>
      <c r="D18" s="15" t="inlineStr">
        <is>
          <t>Por determinar</t>
        </is>
      </c>
      <c r="E18" s="15" t="inlineStr">
        <is>
          <t>Por determinar</t>
        </is>
      </c>
      <c r="F18" s="15" t="inlineStr">
        <is>
          <t>Por determinar</t>
        </is>
      </c>
      <c r="G18" s="32" t="n">
        <v>0.2516</v>
      </c>
      <c r="H18" s="31" t="n">
        <v>0</v>
      </c>
      <c r="I18" s="31"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1" t="n"/>
      <c r="I20" s="42" t="n"/>
    </row>
    <row r="22" ht="48" customHeight="1">
      <c r="A22" s="9" t="inlineStr">
        <is>
          <t>LECTURA INTRAMICROCUENCA. El bloque 84 ocupa el puesto 9 de 9 por superficie dentro de la microcuenca C1081-Q9583 (1.28 % de las 398.04 ha preliminares de la microcuenca). El cuadro conserva todos los bloques catalogados en la microcuenca, incluidos los descartados en el tamizaje, para referencia del conjunto. Los bloques sin ficha DT figuran con sus parámetros de gabinete. BRECHA ESPECTRAL. El 100.00 % de la superficie del bloque (5.097 ha de 5.097 ha) se sitúa bajo el umbral MSAVI 0.4976, por encima del promedio local de la microcuenca (76.96 %)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84</t>
        </is>
      </c>
    </row>
    <row r="6">
      <c r="A6" s="52" t="inlineStr">
        <is>
          <t>Cruce de la ficha de campo F-DT vigente con la ficha de resumen de gabinete y el catálogo maestro. Integración 2026-09-11 20:22:33.</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«C1081-Q9583».</t>
        </is>
      </c>
      <c r="D9" s="56" t="inlineStr">
        <is>
          <t>CONFORME</t>
        </is>
      </c>
      <c r="E9" s="56" t="inlineStr">
        <is>
          <t>Sin acción.</t>
        </is>
      </c>
    </row>
    <row r="10">
      <c r="A10" s="57" t="inlineStr">
        <is>
          <t>G-02</t>
        </is>
      </c>
      <c r="B10" s="57" t="inlineStr">
        <is>
          <t>UTM del punto de muestreo</t>
        </is>
      </c>
      <c r="C10" s="57" t="inlineStr">
        <is>
          <t>El punto de muestreo declarado dista 66.4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(5.099 ha) se desvía 0.04 % de la superficie de catálogo (5.10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(5.097 ha) se desvía 0.00 % de la superficie de catálogo (5.10 ha).</t>
        </is>
      </c>
      <c r="D14" s="57" t="inlineStr">
        <is>
          <t>CONFORME</t>
        </is>
      </c>
      <c r="E14" s="57" t="inlineStr">
        <is>
          <t>Sin acción: la segmentación valida la geometría del bloque.</t>
        </is>
      </c>
    </row>
    <row r="15">
      <c r="A15" s="56" t="inlineStr">
        <is>
          <t>G-07</t>
        </is>
      </c>
      <c r="B15" s="56" t="inlineStr">
        <is>
          <t>Brecha espectral MSAVI</t>
        </is>
      </c>
      <c r="C15" s="56" t="inlineStr">
        <is>
          <t>El 100.00 % del bloque queda bajo el umbral 0.4976; superficie de brecha 5.0971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5.0971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(0.2516) cae en la clase «&lt;= 0.2650 (Suelo desnudo / no vegetal)» y la clase DN dominante por superficie es «DN 1 · &lt;= 0.2650 (Suelo desnudo / no vegetal)».</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Responsable de la evaluación</t>
        </is>
      </c>
      <c r="C19" s="56" t="inlineStr">
        <is>
          <t>El libro de resumen V6 consignaba «Ing. Héctor Salomón Cahuas Miller — SESDI»; la ficha de campo vigente declara «Gabinete SESDI · Levantamiento RPA 14-08-2026 (operador POR CONFIRMAR)».</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89.3 % de los campos esperados).</t>
        </is>
      </c>
      <c r="D20" s="57" t="inlineStr">
        <is>
          <t>CONFORME</t>
        </is>
      </c>
      <c r="E20" s="57" t="inlineStr">
        <is>
          <t>Sin acción.</t>
        </is>
      </c>
    </row>
    <row r="21">
      <c r="A21" s="56" t="inlineStr">
        <is>
          <t>F-02</t>
        </is>
      </c>
      <c r="B21" s="56" t="inlineStr">
        <is>
          <t>Cobertura de la integración</t>
        </is>
      </c>
      <c r="C21" s="56" t="inlineStr">
        <is>
          <t>Se declararon 91 de 114 hechos integrados (79.8 %); 23 quedan sin dato en ninguna fuente.</t>
        </is>
      </c>
      <c r="D21" s="56" t="inlineStr">
        <is>
          <t>CONFORME</t>
        </is>
      </c>
      <c r="E21" s="56" t="inlineStr">
        <is>
          <t>Sin acción.</t>
        </is>
      </c>
    </row>
    <row r="22">
      <c r="A22" s="57" t="inlineStr">
        <is>
          <t>H-01</t>
        </is>
      </c>
      <c r="B22" s="57" t="inlineStr">
        <is>
          <t>Rango de pendiente dominante</t>
        </is>
      </c>
      <c r="C22" s="57" t="inlineStr">
        <is>
          <t>La ficha DT declara «8-15% (Mod. inclinado)»; la estadística zonal sobre el MDE arroja una pendiente promedio de 0.00 %, que corresponde a la clase «0-8% (Plano-lig. inclinado)»</t>
        </is>
      </c>
      <c r="D22" s="57" t="inlineStr">
        <is>
          <t>NO SUSTANTIVA</t>
        </is>
      </c>
      <c r="E22"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
      <c r="A23" s="56" t="inlineStr">
        <is>
          <t>H-02</t>
        </is>
      </c>
      <c r="B23" s="56" t="inlineStr">
        <is>
          <t>Cobertura vegetal total</t>
        </is>
      </c>
      <c r="C23" s="56" t="inlineStr">
        <is>
          <t>La ficha DT estima 11 % de cobertura vegetal en campo; el NDVI mediana 2025 clasifica 79.45 % del polígono en clases de vegetación</t>
        </is>
      </c>
      <c r="D23" s="56" t="inlineStr">
        <is>
          <t>NO SUSTANTIVA</t>
        </is>
      </c>
      <c r="E23"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7" t="inlineStr">
        <is>
          <t>H-03</t>
        </is>
      </c>
      <c r="B24" s="57" t="inlineStr">
        <is>
          <t>Representatividad del levantamiento</t>
        </is>
      </c>
      <c r="C24" s="57" t="inlineStr">
        <is>
          <t>Ninguna de las estaciones fotográficas georreferenciadas se localiza dentro del polígono del bloque</t>
        </is>
      </c>
      <c r="D24" s="57" t="inlineStr">
        <is>
          <t>SUSTANTIVA</t>
        </is>
      </c>
      <c r="E24" s="57" t="inlineStr">
        <is>
          <t>La verificación documenta el perímetro y la vista panorámica del bloque, no su interior. Los parámetros que exigen recorrido interno se consignan «Por determinar». (Verificación heredada de la ficha de resumen V6.)</t>
        </is>
      </c>
    </row>
    <row r="25">
      <c r="A25" s="56" t="inlineStr">
        <is>
          <t>H-04</t>
        </is>
      </c>
      <c r="B25" s="56" t="inlineStr">
        <is>
          <t>F-DT-01</t>
        </is>
      </c>
      <c r="C25" s="56" t="inlineStr">
        <is>
          <t>D-02: bloque NO registrado en «Bloques V4» ni «Bloques V5»; procede del REPORTE_BLOQUES_V6 y de «Bloques extras»</t>
        </is>
      </c>
      <c r="D25" s="56" t="inlineStr">
        <is>
          <t>SUSTANTIVA</t>
        </is>
      </c>
      <c r="E25" s="56" t="inlineStr">
        <is>
          <t>Regularizar en el catálogo maestro (Verificación heredada de la ficha de resumen V6.)</t>
        </is>
      </c>
    </row>
    <row r="26">
      <c r="A26" s="57" t="inlineStr">
        <is>
          <t>H-05</t>
        </is>
      </c>
      <c r="B26" s="57" t="inlineStr">
        <is>
          <t>F-DT-02</t>
        </is>
      </c>
      <c r="C26" s="57" t="inlineStr">
        <is>
          <t>Inventario georreferenciado de cárcavas no ejecutado pese a calificar la erosión como Fuerte y la urgencia como Crítica</t>
        </is>
      </c>
      <c r="D26" s="57" t="inlineStr">
        <is>
          <t>SUSTANTIVA</t>
        </is>
      </c>
      <c r="E26" s="57" t="inlineStr">
        <is>
          <t>Levantamiento prioritario (Verificación heredada de la ficha de resumen V6.)</t>
        </is>
      </c>
    </row>
    <row r="27">
      <c r="A27" s="56" t="inlineStr">
        <is>
          <t>H-06</t>
        </is>
      </c>
      <c r="B27" s="56" t="inlineStr">
        <is>
          <t>F-DT-03</t>
        </is>
      </c>
      <c r="C27" s="56" t="inlineStr">
        <is>
          <t>Las 15 especies se REPLICAN de los bloques 85, 86 y 87; no hay muestreo propio del bloque 84</t>
        </is>
      </c>
      <c r="D27" s="56" t="inlineStr">
        <is>
          <t>SUSTANTIVA</t>
        </is>
      </c>
      <c r="E27" s="56" t="inlineStr">
        <is>
          <t>No constituye inventario del bloque (Verificación heredada de la ficha de resumen V6.)</t>
        </is>
      </c>
    </row>
    <row r="28">
      <c r="A28" s="57" t="inlineStr">
        <is>
          <t>H-07</t>
        </is>
      </c>
      <c r="B28" s="57" t="inlineStr">
        <is>
          <t>F-DT-04</t>
        </is>
      </c>
      <c r="C28" s="57" t="inlineStr">
        <is>
          <t>Velocidad de degradación sin consignar (falta serie TAU y MSAVI multianual)</t>
        </is>
      </c>
      <c r="D28" s="57" t="inlineStr">
        <is>
          <t>SUSTANTIVA</t>
        </is>
      </c>
      <c r="E28" s="57" t="inlineStr">
        <is>
          <t>Procesar serie temporal (Verificación heredada de la ficha de resumen V6.)</t>
        </is>
      </c>
    </row>
    <row r="29">
      <c r="A29" s="56" t="inlineStr">
        <is>
          <t>H-08</t>
        </is>
      </c>
      <c r="B29" s="56" t="inlineStr">
        <is>
          <t>F-DT-05</t>
        </is>
      </c>
      <c r="C29" s="56" t="inlineStr">
        <is>
          <t>Viviendas, corrales, cercos de piedra y terrazas de cultivo en el borde y posiblemente DENTRO del polígono</t>
        </is>
      </c>
      <c r="D29" s="56" t="inlineStr">
        <is>
          <t>SUSTANTIVA</t>
        </is>
      </c>
      <c r="E29" s="56" t="inlineStr">
        <is>
          <t>Elevado a la Subdirección: redelimitación y tamizaje predial previos al Expediente de Liberación de Áreas (Verificación heredada de la ficha de resumen V6.)</t>
        </is>
      </c>
    </row>
    <row r="31">
      <c r="A31" s="58" t="inlineStr">
        <is>
          <t>RESUMEN</t>
        </is>
      </c>
      <c r="B31" s="59" t="inlineStr">
        <is>
          <t>21 verificaciones</t>
        </is>
      </c>
      <c r="C31" s="59" t="inlineStr">
        <is>
          <t>SUSTANTIVA: 7 · NO SUSTANTIVA: 3 · CORREGIDO: 1 · CONFORME: 10</t>
        </is>
      </c>
    </row>
    <row r="33">
      <c r="A33"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84</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8. Responsable y modalidad de la evaluación</t>
        </is>
      </c>
      <c r="B9" s="56" t="inlineStr">
        <is>
          <t>Responsable de la evaluación</t>
        </is>
      </c>
      <c r="C9" s="56" t="inlineStr">
        <is>
          <t>Ing. Héctor Salomón Cahuas Miller — SESDI</t>
        </is>
      </c>
      <c r="D9" s="56" t="inlineStr">
        <is>
          <t>Gabinete SESDI · Levantamiento RPA 14-08-2026 (operador POR CONFIRMAR)</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640174</t>
        </is>
      </c>
      <c r="D13" s="56" t="inlineStr">
        <is>
          <t>m</t>
        </is>
      </c>
    </row>
    <row r="14">
      <c r="A14" s="57" t="inlineStr">
        <is>
          <t>1. Identificación y localización</t>
        </is>
      </c>
      <c r="B14" s="57" t="inlineStr">
        <is>
          <t>UTM NORTE del punto de muestreo (m)</t>
        </is>
      </c>
      <c r="C14" s="57" t="inlineStr">
        <is>
          <t>9410693</t>
        </is>
      </c>
      <c r="D14" s="57" t="inlineStr">
        <is>
          <t>m</t>
        </is>
      </c>
    </row>
    <row r="15">
      <c r="A15" s="56" t="inlineStr">
        <is>
          <t>2. Parámetros físicos del terreno</t>
        </is>
      </c>
      <c r="B15" s="56" t="inlineStr">
        <is>
          <t>Piso altitudinal del punto de muestreo</t>
        </is>
      </c>
      <c r="C15" s="56" t="inlineStr">
        <is>
          <t>&lt;1000 m (Yunga)</t>
        </is>
      </c>
      <c r="D15" s="56" t="inlineStr"/>
    </row>
    <row r="16">
      <c r="A16" s="57" t="inlineStr">
        <is>
          <t>2. Parámetros físicos del terreno</t>
        </is>
      </c>
      <c r="B16" s="57" t="inlineStr">
        <is>
          <t>Paisaje dominante descrito en campo</t>
        </is>
      </c>
      <c r="C16" s="57" t="inlineStr">
        <is>
          <t>Lomada baja y alargada en dirección N-S, encajada entre el cauce del valle y la vía asfaltada al norte y el macizo oriental; superficie casi íntegramente decapitada, con individuos leñosos aislados, cercos de piedra, viviendas dispersas y trochas de acceso.</t>
        </is>
      </c>
      <c r="D16" s="57" t="inlineStr"/>
    </row>
    <row r="17">
      <c r="A17" s="56" t="inlineStr">
        <is>
          <t>2. Parámetros físicos del terreno</t>
        </is>
      </c>
      <c r="B17" s="56" t="inlineStr">
        <is>
          <t>Reptación de suelo</t>
        </is>
      </c>
      <c r="C17" s="56" t="inlineStr">
        <is>
          <t>Sí</t>
        </is>
      </c>
      <c r="D17" s="56" t="inlineStr"/>
    </row>
    <row r="18">
      <c r="A18" s="57" t="inlineStr">
        <is>
          <t>2. Parámetros físicos del terreno</t>
        </is>
      </c>
      <c r="B18" s="57" t="inlineStr">
        <is>
          <t>Deslizamientos antiguos</t>
        </is>
      </c>
      <c r="C18" s="57" t="inlineStr">
        <is>
          <t>No</t>
        </is>
      </c>
      <c r="D18" s="57" t="inlineStr"/>
    </row>
    <row r="19">
      <c r="A19" s="56" t="inlineStr">
        <is>
          <t>4. Suelos y erosión (F-DT-02)</t>
        </is>
      </c>
      <c r="B19" s="56" t="inlineStr">
        <is>
          <t>Nivel de erosión - síntesis de campo</t>
        </is>
      </c>
      <c r="C19" s="56" t="inlineStr">
        <is>
          <t>Fuerte (cárcavas incipientes)</t>
        </is>
      </c>
      <c r="D19" s="56" t="inlineStr"/>
    </row>
    <row r="20">
      <c r="A20" s="57" t="inlineStr">
        <is>
          <t>4. Suelos y erosión (F-DT-02)</t>
        </is>
      </c>
      <c r="B20" s="57" t="inlineStr">
        <is>
          <t>Sellamiento / costra superficial</t>
        </is>
      </c>
      <c r="C20" s="57" t="inlineStr">
        <is>
          <t>Sí</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Erosión laminar (% del bloque)</t>
        </is>
      </c>
      <c r="C23" s="56" t="inlineStr">
        <is>
          <t>85</t>
        </is>
      </c>
      <c r="D23" s="56" t="inlineStr">
        <is>
          <t>%</t>
        </is>
      </c>
    </row>
    <row r="24">
      <c r="A24" s="57" t="inlineStr">
        <is>
          <t>5. Ecosistema, cobertura y flora (F-DT-03)</t>
        </is>
      </c>
      <c r="B24" s="57" t="inlineStr">
        <is>
          <t>Cobertura del dosel (%)</t>
        </is>
      </c>
      <c r="C24" s="57" t="inlineStr">
        <is>
          <t>6</t>
        </is>
      </c>
      <c r="D24" s="57" t="inlineStr">
        <is>
          <t>%</t>
        </is>
      </c>
    </row>
    <row r="25">
      <c r="A25" s="56" t="inlineStr">
        <is>
          <t>5. Ecosistema, cobertura y flora (F-DT-03)</t>
        </is>
      </c>
      <c r="B25" s="56" t="inlineStr">
        <is>
          <t>Cobertura arbustiva (%)</t>
        </is>
      </c>
      <c r="C25" s="56" t="inlineStr">
        <is>
          <t>3</t>
        </is>
      </c>
      <c r="D25" s="56" t="inlineStr">
        <is>
          <t>%</t>
        </is>
      </c>
    </row>
    <row r="26">
      <c r="A26" s="57" t="inlineStr">
        <is>
          <t>5. Ecosistema, cobertura y flora (F-DT-03)</t>
        </is>
      </c>
      <c r="B26" s="57" t="inlineStr">
        <is>
          <t>Cobertura herbácea (%)</t>
        </is>
      </c>
      <c r="C26" s="57" t="inlineStr">
        <is>
          <t>2</t>
        </is>
      </c>
      <c r="D26" s="57" t="inlineStr">
        <is>
          <t>%</t>
        </is>
      </c>
    </row>
    <row r="27">
      <c r="A27" s="56" t="inlineStr">
        <is>
          <t>5. Ecosistema, cobertura y flora (F-DT-03)</t>
        </is>
      </c>
      <c r="B27" s="56" t="inlineStr">
        <is>
          <t>Cobertura de hojarasca (%)</t>
        </is>
      </c>
      <c r="C27" s="56" t="inlineStr">
        <is>
          <t>12</t>
        </is>
      </c>
      <c r="D27" s="56" t="inlineStr">
        <is>
          <t>%</t>
        </is>
      </c>
    </row>
    <row r="28">
      <c r="A28" s="57" t="inlineStr">
        <is>
          <t>5. Ecosistema, cobertura y flora (F-DT-03)</t>
        </is>
      </c>
      <c r="B28" s="57" t="inlineStr">
        <is>
          <t>Presencia de epífitas</t>
        </is>
      </c>
      <c r="C28" s="57" t="inlineStr">
        <is>
          <t>No</t>
        </is>
      </c>
      <c r="D28" s="57" t="inlineStr"/>
    </row>
    <row r="29">
      <c r="A29" s="56" t="inlineStr">
        <is>
          <t>5. Ecosistema, cobertura y flora (F-DT-03)</t>
        </is>
      </c>
      <c r="B29" s="56" t="inlineStr">
        <is>
          <t>Especies clave georreferenciadas</t>
        </is>
      </c>
      <c r="C29" s="56" t="inlineStr">
        <is>
          <t>8</t>
        </is>
      </c>
      <c r="D29" s="56" t="inlineStr"/>
    </row>
    <row r="30">
      <c r="A30" s="57" t="inlineStr">
        <is>
          <t>6. Degradación, causas y urgencia (F-DT-04)</t>
        </is>
      </c>
      <c r="B30" s="57" t="inlineStr">
        <is>
          <t>Causas directas de la degradación</t>
        </is>
      </c>
      <c r="C30" s="57" t="inlineStr">
        <is>
          <t>Sobrepastoreo caprino-vacuno de larga data sobre una lomada de escasa capacidad de retención hídrica, combinado con la presión directa del corredor vial asfaltado, las viviendas dispersas y los corrales que ocupan el borde del polígono. La red de terracetas cubre prácticamente la totalidad de la superficie.</t>
        </is>
      </c>
      <c r="D30" s="57" t="inlineStr"/>
    </row>
    <row r="31">
      <c r="A31" s="56" t="inlineStr">
        <is>
          <t>6. Degradación, causas y urgencia (F-DT-04)</t>
        </is>
      </c>
      <c r="B31" s="56" t="inlineStr">
        <is>
          <t>N.° de causas activas en la matriz F-DT-04</t>
        </is>
      </c>
      <c r="C31" s="56" t="inlineStr">
        <is>
          <t>3</t>
        </is>
      </c>
      <c r="D31" s="56" t="inlineStr"/>
    </row>
    <row r="32">
      <c r="A32" s="57" t="inlineStr">
        <is>
          <t>7. Hidrología, acceso y logística (F-DT-05)</t>
        </is>
      </c>
      <c r="B32" s="57" t="inlineStr">
        <is>
          <t>Escorrentía concentrada</t>
        </is>
      </c>
      <c r="C32" s="57" t="inlineStr">
        <is>
          <t>Sí</t>
        </is>
      </c>
      <c r="D32" s="57" t="inlineStr"/>
    </row>
    <row r="33">
      <c r="A33" s="56" t="inlineStr">
        <is>
          <t>7. Hidrología, acceso y logística (F-DT-05)</t>
        </is>
      </c>
      <c r="B33" s="56" t="inlineStr">
        <is>
          <t>Fuentes de agua inventariadas</t>
        </is>
      </c>
      <c r="C33" s="56" t="inlineStr">
        <is>
          <t>3</t>
        </is>
      </c>
      <c r="D33" s="56" t="inlineStr"/>
    </row>
    <row r="34">
      <c r="A34" s="57" t="inlineStr">
        <is>
          <t>7. Hidrología, acceso y logística (F-DT-05)</t>
        </is>
      </c>
      <c r="B34" s="57" t="inlineStr">
        <is>
          <t>Interferencia con riego</t>
        </is>
      </c>
      <c r="C34" s="57" t="inlineStr">
        <is>
          <t>Sí</t>
        </is>
      </c>
      <c r="D34" s="57" t="inlineStr"/>
    </row>
    <row r="35">
      <c r="A35" s="56" t="inlineStr">
        <is>
          <t>7. Hidrología, acceso y logística (F-DT-05)</t>
        </is>
      </c>
      <c r="B35" s="56" t="inlineStr">
        <is>
          <t>Vía principal de acceso</t>
        </is>
      </c>
      <c r="C35" s="56" t="inlineStr">
        <is>
          <t>Vía asfaltada de acceso al sector Miguel Pampa (San Juan de Bigote) — código MTC POR VERIFICAR</t>
        </is>
      </c>
      <c r="D35" s="56" t="inlineStr"/>
    </row>
    <row r="36">
      <c r="A36" s="57" t="inlineStr">
        <is>
          <t>7. Hidrología, acceso y logística (F-DT-05)</t>
        </is>
      </c>
      <c r="B36" s="57" t="inlineStr">
        <is>
          <t>Tipo de vía del tramo final</t>
        </is>
      </c>
      <c r="C36" s="57" t="inlineStr">
        <is>
          <t>Trocha carrozable</t>
        </is>
      </c>
      <c r="D36" s="57" t="inlineStr"/>
    </row>
    <row r="37">
      <c r="A37" s="56" t="inlineStr">
        <is>
          <t>7. Hidrología, acceso y logística (F-DT-05)</t>
        </is>
      </c>
      <c r="B37" s="56" t="inlineStr">
        <is>
          <t>Transitabilidad en época seca</t>
        </is>
      </c>
      <c r="C37" s="56" t="inlineStr">
        <is>
          <t>Alto</t>
        </is>
      </c>
      <c r="D37" s="56" t="inlineStr"/>
    </row>
    <row r="39">
      <c r="A39" s="54" t="inlineStr">
        <is>
          <t>C. PROCEDENCIA DE LOS HECHOS DECLARADOS</t>
        </is>
      </c>
    </row>
    <row r="40">
      <c r="A40" s="55" t="inlineStr">
        <is>
          <t>Fuente</t>
        </is>
      </c>
      <c r="B40" s="55" t="inlineStr">
        <is>
          <t>Hechos</t>
        </is>
      </c>
      <c r="C40" s="55" t="inlineStr">
        <is>
          <t>Alcance de la fuente</t>
        </is>
      </c>
    </row>
    <row r="41">
      <c r="A41" s="56" t="inlineStr">
        <is>
          <t>Dato de campo</t>
        </is>
      </c>
      <c r="B41" s="56" t="n">
        <v>52</v>
      </c>
      <c r="C41" s="56" t="inlineStr">
        <is>
          <t>Verificación en campo. Fichas F-DT-01 a F-DT-05 de la Plantilla DT Campo Check Validada V5, suscritas por el evaluador.</t>
        </is>
      </c>
    </row>
    <row r="42">
      <c r="A42" s="57" t="inlineStr">
        <is>
          <t>Gabinete (GIS / teledetección)</t>
        </is>
      </c>
      <c r="B42" s="57" t="n">
        <v>25</v>
      </c>
      <c r="C42" s="57" t="inlineStr">
        <is>
          <t>Gabinete. Estadística zonal sobre el MDE y compuestos Sentinel-2 (NDVI mediana 2025, MSAVI 2024 por clase DN).</t>
        </is>
      </c>
    </row>
    <row r="43">
      <c r="A43" s="56" t="inlineStr">
        <is>
          <t>Fuente oficial</t>
        </is>
      </c>
      <c r="B43" s="56" t="n">
        <v>14</v>
      </c>
      <c r="C43" s="56" t="inlineStr">
        <is>
          <t>Fuente oficial. Catálogo maestro Bloques V5/V6, división política INEI y codificación de microcuencas de la ANA.</t>
        </is>
      </c>
    </row>
    <row r="45">
      <c r="A45" s="54" t="inlineStr">
        <is>
          <t>D. ESTADO DEL CRUCE ENTRE FUENTES</t>
        </is>
      </c>
    </row>
    <row r="46">
      <c r="A46" s="55" t="inlineStr">
        <is>
          <t>Estado</t>
        </is>
      </c>
      <c r="B46" s="55" t="inlineStr">
        <is>
          <t>Hechos</t>
        </is>
      </c>
      <c r="C46" s="55" t="inlineStr">
        <is>
          <t>Significado</t>
        </is>
      </c>
    </row>
    <row r="47">
      <c r="A47" s="56" t="inlineStr">
        <is>
          <t>CONFORME</t>
        </is>
      </c>
      <c r="B47" s="56" t="n">
        <v>86</v>
      </c>
      <c r="C47" s="56" t="inlineStr">
        <is>
          <t>Las dos fuentes declaran lo mismo, o solo la fuente que manda sobre el hecho lo declara.</t>
        </is>
      </c>
    </row>
    <row r="48">
      <c r="A48" s="57" t="inlineStr">
        <is>
          <t>COMPLEMENTADO</t>
        </is>
      </c>
      <c r="B48" s="57" t="n">
        <v>4</v>
      </c>
      <c r="C48" s="57" t="inlineStr">
        <is>
          <t>Solo una de las fuentes lo declara y se adopta ese valor.</t>
        </is>
      </c>
    </row>
    <row r="49">
      <c r="A49" s="56" t="inlineStr">
        <is>
          <t>ACTUALIZADO</t>
        </is>
      </c>
      <c r="B49" s="56" t="n">
        <v>1</v>
      </c>
      <c r="C49" s="56" t="inlineStr">
        <is>
          <t>La verificación de campo vigente corrige lo que traía el libro de resumen.</t>
        </is>
      </c>
    </row>
    <row r="50">
      <c r="A50" s="57" t="inlineStr">
        <is>
          <t>DISCREPANTE</t>
        </is>
      </c>
      <c r="B50" s="57" t="n">
        <v>0</v>
      </c>
      <c r="C50" s="57" t="inlineStr">
        <is>
          <t>Las fuentes se contradicen; prevalece la que manda sobre el hecho y la otra queda declarada.</t>
        </is>
      </c>
    </row>
    <row r="51">
      <c r="A51" s="56" t="inlineStr">
        <is>
          <t>PENDIENTE</t>
        </is>
      </c>
      <c r="B51" s="56" t="n">
        <v>23</v>
      </c>
      <c r="C5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84</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Ceibo</t>
        </is>
      </c>
      <c r="C13" s="56" t="inlineStr">
        <is>
          <t>Ceiba trischistandra</t>
        </is>
      </c>
      <c r="D13" s="56" t="inlineStr">
        <is>
          <t>Malvaceae</t>
        </is>
      </c>
      <c r="E13" s="56" t="inlineStr">
        <is>
          <t>Arbóreo medio (8-15 m)</t>
        </is>
      </c>
      <c r="F13" s="56" t="inlineStr">
        <is>
          <t>Nativa</t>
        </is>
      </c>
      <c r="G13" s="56" t="inlineStr"/>
      <c r="H13" s="56" t="n"/>
      <c r="I13" s="56" t="n"/>
    </row>
    <row r="14">
      <c r="A14" s="57" t="inlineStr">
        <is>
          <t>2</t>
        </is>
      </c>
      <c r="B14" s="57" t="inlineStr">
        <is>
          <t>Charán</t>
        </is>
      </c>
      <c r="C14" s="57" t="inlineStr">
        <is>
          <t>Coulteria paipai</t>
        </is>
      </c>
      <c r="D14" s="57" t="inlineStr">
        <is>
          <t>Fabaceae</t>
        </is>
      </c>
      <c r="E14" s="57" t="inlineStr">
        <is>
          <t>Arbóreo bajo (4-8 m)</t>
        </is>
      </c>
      <c r="F14" s="57" t="inlineStr">
        <is>
          <t>Nativa</t>
        </is>
      </c>
      <c r="G14" s="57" t="inlineStr"/>
      <c r="H14" s="57" t="n"/>
      <c r="I14" s="57" t="n"/>
    </row>
    <row r="15">
      <c r="A15" s="56" t="inlineStr">
        <is>
          <t>3</t>
        </is>
      </c>
      <c r="B15" s="56" t="inlineStr">
        <is>
          <t>Faique</t>
        </is>
      </c>
      <c r="C15" s="56" t="inlineStr">
        <is>
          <t>Vachellia macracantha</t>
        </is>
      </c>
      <c r="D15" s="56" t="inlineStr">
        <is>
          <t>Fabaceae</t>
        </is>
      </c>
      <c r="E15" s="56" t="inlineStr">
        <is>
          <t>Arbóreo bajo (4-8 m)</t>
        </is>
      </c>
      <c r="F15" s="56" t="inlineStr">
        <is>
          <t>Nativa</t>
        </is>
      </c>
      <c r="G15" s="56" t="inlineStr"/>
      <c r="H15" s="56" t="n"/>
      <c r="I15" s="56" t="n"/>
    </row>
    <row r="16">
      <c r="A16" s="57" t="inlineStr">
        <is>
          <t>4</t>
        </is>
      </c>
      <c r="B16" s="57" t="inlineStr">
        <is>
          <t>Algarrobo</t>
        </is>
      </c>
      <c r="C16" s="57" t="inlineStr">
        <is>
          <t>Neltuma pallida</t>
        </is>
      </c>
      <c r="D16" s="57" t="inlineStr">
        <is>
          <t>Fabaceae</t>
        </is>
      </c>
      <c r="E16" s="57" t="inlineStr">
        <is>
          <t>Arbóreo medio (8-15 m)</t>
        </is>
      </c>
      <c r="F16" s="57" t="inlineStr">
        <is>
          <t>Nativa</t>
        </is>
      </c>
      <c r="G16" s="57" t="inlineStr"/>
      <c r="H16" s="57" t="n"/>
      <c r="I16" s="57" t="n"/>
    </row>
    <row r="17">
      <c r="A17" s="56" t="inlineStr">
        <is>
          <t>5</t>
        </is>
      </c>
      <c r="B17" s="56" t="inlineStr">
        <is>
          <t>Sapote</t>
        </is>
      </c>
      <c r="C17" s="56" t="inlineStr">
        <is>
          <t>Colicodendron scabridum</t>
        </is>
      </c>
      <c r="D17" s="56" t="inlineStr">
        <is>
          <t>Capparaceae</t>
        </is>
      </c>
      <c r="E17" s="56" t="inlineStr">
        <is>
          <t>Arbóreo bajo (4-8 m)</t>
        </is>
      </c>
      <c r="F17" s="56" t="inlineStr">
        <is>
          <t>Nativa</t>
        </is>
      </c>
      <c r="G17" s="56" t="inlineStr"/>
      <c r="H17" s="56" t="n"/>
      <c r="I17" s="56" t="n"/>
    </row>
    <row r="18">
      <c r="A18" s="57" t="inlineStr">
        <is>
          <t>6</t>
        </is>
      </c>
      <c r="B18" s="57" t="inlineStr">
        <is>
          <t>Hualtaco</t>
        </is>
      </c>
      <c r="C18" s="57" t="inlineStr">
        <is>
          <t>Loxopterygium huasango</t>
        </is>
      </c>
      <c r="D18" s="57" t="inlineStr">
        <is>
          <t>Anacardiaceae</t>
        </is>
      </c>
      <c r="E18" s="57" t="inlineStr">
        <is>
          <t>Arbóreo medio (8-15 m)</t>
        </is>
      </c>
      <c r="F18" s="57" t="inlineStr">
        <is>
          <t>Nativa</t>
        </is>
      </c>
      <c r="G18" s="57" t="inlineStr"/>
      <c r="H18" s="57" t="n"/>
      <c r="I18" s="57" t="n"/>
    </row>
    <row r="19">
      <c r="A19" s="56" t="inlineStr">
        <is>
          <t>7</t>
        </is>
      </c>
      <c r="B19" s="56" t="inlineStr">
        <is>
          <t>Overo</t>
        </is>
      </c>
      <c r="C19" s="56" t="inlineStr">
        <is>
          <t>Cordia lutea</t>
        </is>
      </c>
      <c r="D19" s="56" t="inlineStr">
        <is>
          <t>Cordiaceae</t>
        </is>
      </c>
      <c r="E19" s="56" t="inlineStr">
        <is>
          <t>Arbustivo alto (1.5-4 m)</t>
        </is>
      </c>
      <c r="F19" s="56" t="inlineStr">
        <is>
          <t>Nativa</t>
        </is>
      </c>
      <c r="G19" s="56" t="inlineStr"/>
      <c r="H19" s="56" t="n"/>
      <c r="I19" s="56" t="n"/>
    </row>
    <row r="20">
      <c r="A20" s="57" t="inlineStr">
        <is>
          <t>8</t>
        </is>
      </c>
      <c r="B20" s="57" t="inlineStr">
        <is>
          <t>Cactáceas</t>
        </is>
      </c>
      <c r="C20" s="57" t="inlineStr">
        <is>
          <t>Cactaceae — género por verificar</t>
        </is>
      </c>
      <c r="D20" s="57" t="inlineStr">
        <is>
          <t>Cactaceae</t>
        </is>
      </c>
      <c r="E20" s="57" t="inlineStr">
        <is>
          <t>Arbustivo alto (1.5-4 m)</t>
        </is>
      </c>
      <c r="F20" s="57" t="inlineStr">
        <is>
          <t>Nativa</t>
        </is>
      </c>
      <c r="G20" s="57" t="inlineStr"/>
      <c r="H20" s="57" t="n"/>
      <c r="I20" s="57" t="n"/>
    </row>
    <row r="21">
      <c r="A21" s="56" t="inlineStr">
        <is>
          <t>9</t>
        </is>
      </c>
      <c r="B21" s="56" t="inlineStr">
        <is>
          <t>Borrachera</t>
        </is>
      </c>
      <c r="C21" s="56" t="inlineStr">
        <is>
          <t>Ipomoea carnea</t>
        </is>
      </c>
      <c r="D21" s="56" t="inlineStr">
        <is>
          <t>Convolvulaceae</t>
        </is>
      </c>
      <c r="E21" s="56" t="inlineStr">
        <is>
          <t>Arbustivo alto (1.5-4 m)</t>
        </is>
      </c>
      <c r="F21" s="56" t="inlineStr">
        <is>
          <t>Nativa</t>
        </is>
      </c>
      <c r="G21" s="56" t="inlineStr"/>
      <c r="H21" s="56" t="n"/>
      <c r="I21" s="56" t="n"/>
    </row>
    <row r="22">
      <c r="A22" s="57" t="inlineStr">
        <is>
          <t>10</t>
        </is>
      </c>
      <c r="B22" s="57" t="inlineStr">
        <is>
          <t>Palo santo</t>
        </is>
      </c>
      <c r="C22" s="57" t="inlineStr">
        <is>
          <t>Bursera graveolens</t>
        </is>
      </c>
      <c r="D22" s="57" t="inlineStr">
        <is>
          <t>Burseraceae</t>
        </is>
      </c>
      <c r="E22" s="57" t="inlineStr">
        <is>
          <t>Arbóreo bajo (4-8 m)</t>
        </is>
      </c>
      <c r="F22" s="57" t="inlineStr">
        <is>
          <t>Nativa</t>
        </is>
      </c>
      <c r="G22" s="57" t="inlineStr"/>
      <c r="H22" s="57" t="n"/>
      <c r="I22" s="57" t="n"/>
    </row>
    <row r="23">
      <c r="A23" s="56" t="inlineStr">
        <is>
          <t>11</t>
        </is>
      </c>
      <c r="B23" s="56" t="inlineStr">
        <is>
          <t>Frijolillo</t>
        </is>
      </c>
      <c r="C23" s="56" t="inlineStr">
        <is>
          <t>Determinación por verificar</t>
        </is>
      </c>
      <c r="D23" s="56" t="inlineStr">
        <is>
          <t>Por verificar</t>
        </is>
      </c>
      <c r="E23" s="56" t="inlineStr">
        <is>
          <t>Arbustivo alto (1.5-4 m)</t>
        </is>
      </c>
      <c r="F23" s="56" t="inlineStr">
        <is>
          <t>Nativa</t>
        </is>
      </c>
      <c r="G23" s="56" t="inlineStr"/>
      <c r="H23" s="56" t="n"/>
      <c r="I23" s="56" t="n"/>
    </row>
    <row r="24">
      <c r="A24" s="57" t="inlineStr">
        <is>
          <t>12</t>
        </is>
      </c>
      <c r="B24" s="57" t="inlineStr">
        <is>
          <t>Pasallo</t>
        </is>
      </c>
      <c r="C24" s="57" t="inlineStr">
        <is>
          <t>Eriotheca ruizii</t>
        </is>
      </c>
      <c r="D24" s="57" t="inlineStr">
        <is>
          <t>Malvaceae</t>
        </is>
      </c>
      <c r="E24" s="57" t="inlineStr">
        <is>
          <t>Arbóreo medio (8-15 m)</t>
        </is>
      </c>
      <c r="F24" s="57" t="inlineStr">
        <is>
          <t>Nativa</t>
        </is>
      </c>
      <c r="G24" s="57" t="inlineStr"/>
      <c r="H24" s="57" t="n"/>
      <c r="I24" s="57" t="n"/>
    </row>
    <row r="25">
      <c r="A25" s="56" t="inlineStr">
        <is>
          <t>13</t>
        </is>
      </c>
      <c r="B25" s="56" t="inlineStr">
        <is>
          <t>Barbasco</t>
        </is>
      </c>
      <c r="C25" s="56" t="inlineStr">
        <is>
          <t>Lonchocarpus sp.</t>
        </is>
      </c>
      <c r="D25" s="56" t="inlineStr">
        <is>
          <t>Fabaceae</t>
        </is>
      </c>
      <c r="E25" s="56" t="inlineStr">
        <is>
          <t>Arbustivo alto (1.5-4 m)</t>
        </is>
      </c>
      <c r="F25" s="56" t="inlineStr">
        <is>
          <t>Nativa</t>
        </is>
      </c>
      <c r="G25" s="56" t="inlineStr"/>
      <c r="H25" s="56" t="n"/>
      <c r="I25" s="56" t="n"/>
    </row>
    <row r="26">
      <c r="A26" s="57" t="inlineStr">
        <is>
          <t>14</t>
        </is>
      </c>
      <c r="B26" s="57" t="inlineStr">
        <is>
          <t>Chamelico</t>
        </is>
      </c>
      <c r="C26" s="57" t="inlineStr">
        <is>
          <t>Sapindus saponaria</t>
        </is>
      </c>
      <c r="D26" s="57" t="inlineStr">
        <is>
          <t>Sapindaceae</t>
        </is>
      </c>
      <c r="E26" s="57" t="inlineStr">
        <is>
          <t>Arbóreo bajo (4-8 m)</t>
        </is>
      </c>
      <c r="F26" s="57" t="inlineStr">
        <is>
          <t>Nativa</t>
        </is>
      </c>
      <c r="G26" s="57" t="inlineStr"/>
      <c r="H26" s="57" t="n"/>
      <c r="I26" s="57" t="n"/>
    </row>
    <row r="27">
      <c r="A27" s="56" t="inlineStr">
        <is>
          <t>15</t>
        </is>
      </c>
      <c r="B27" s="56" t="inlineStr">
        <is>
          <t>Huasimo</t>
        </is>
      </c>
      <c r="C27" s="56" t="inlineStr">
        <is>
          <t>Guazuma ulmifolia</t>
        </is>
      </c>
      <c r="D27" s="56" t="inlineStr">
        <is>
          <t>Malvaceae</t>
        </is>
      </c>
      <c r="E27" s="56" t="inlineStr">
        <is>
          <t>Arbóreo medio (8-15 m)</t>
        </is>
      </c>
      <c r="F27" s="56" t="inlineStr">
        <is>
          <t>Nativa</t>
        </is>
      </c>
      <c r="G27" s="56" t="inlineStr"/>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Hualtaco (Loxopterygium huasango)</t>
        </is>
      </c>
      <c r="C31" s="56" t="inlineStr">
        <is>
          <t>Amenazada (D.S. 043-2006-AG)</t>
        </is>
      </c>
      <c r="D31" s="56" t="inlineStr">
        <is>
          <t>CR — En Peligro Crítico</t>
        </is>
      </c>
      <c r="E31" s="56" t="n"/>
      <c r="F31" s="56" t="n"/>
      <c r="G31" s="56" t="n"/>
      <c r="H31" s="56" t="inlineStr">
        <is>
          <t>Categoría de referencia del proyecto. Presencia POR VERIFICAR en campo.</t>
        </is>
      </c>
    </row>
    <row r="32">
      <c r="A32" s="57" t="inlineStr">
        <is>
          <t>2</t>
        </is>
      </c>
      <c r="B32" s="57" t="inlineStr">
        <is>
          <t>Sapote (Colicodendron scabridum)</t>
        </is>
      </c>
      <c r="C32" s="57" t="inlineStr">
        <is>
          <t>Amenazada (D.S. 043-2006-AG)</t>
        </is>
      </c>
      <c r="D32" s="57" t="inlineStr">
        <is>
          <t>CR — En Peligro Crítico</t>
        </is>
      </c>
      <c r="E32" s="57" t="n"/>
      <c r="F32" s="57" t="n"/>
      <c r="G32" s="57" t="n"/>
      <c r="H32" s="57" t="inlineStr">
        <is>
          <t>Categoría de referencia del proyecto. Presencia POR VERIFICAR en campo.</t>
        </is>
      </c>
    </row>
    <row r="33">
      <c r="A33" s="56" t="inlineStr">
        <is>
          <t>3</t>
        </is>
      </c>
      <c r="B33" s="56" t="inlineStr">
        <is>
          <t>Palo santo (Bursera graveolens)</t>
        </is>
      </c>
      <c r="C33" s="56" t="inlineStr">
        <is>
          <t>Amenazada (D.S. 043-2006-AG)</t>
        </is>
      </c>
      <c r="D33" s="56" t="inlineStr">
        <is>
          <t>CR — En Peligro Crítico</t>
        </is>
      </c>
      <c r="E33" s="56" t="n"/>
      <c r="F33" s="56" t="n"/>
      <c r="G33" s="56" t="n"/>
      <c r="H33" s="56" t="inlineStr">
        <is>
          <t>Categoría de referencia del proyecto. Presencia POR VERIFICAR en campo.</t>
        </is>
      </c>
    </row>
    <row r="34">
      <c r="A34" s="57" t="inlineStr">
        <is>
          <t>4</t>
        </is>
      </c>
      <c r="B34" s="57" t="inlineStr">
        <is>
          <t>Algarrobo (Neltuma pallida)</t>
        </is>
      </c>
      <c r="C34" s="57" t="inlineStr">
        <is>
          <t>Amenazada (D.S. 043-2006-AG)</t>
        </is>
      </c>
      <c r="D34" s="57" t="inlineStr">
        <is>
          <t>VU — Vulnerable</t>
        </is>
      </c>
      <c r="E34" s="57" t="n"/>
      <c r="F34" s="57" t="n"/>
      <c r="G34" s="57" t="n"/>
      <c r="H34" s="57" t="inlineStr">
        <is>
          <t>Categoría de referencia del proyecto. Presencia POR VERIFICAR en campo.</t>
        </is>
      </c>
    </row>
    <row r="35">
      <c r="A35" s="56" t="inlineStr">
        <is>
          <t>5</t>
        </is>
      </c>
      <c r="B35" s="56" t="inlineStr">
        <is>
          <t>Faique (Vachellia macracantha)</t>
        </is>
      </c>
      <c r="C35" s="56" t="inlineStr">
        <is>
          <t>Amenazada (D.S. 043-2006-AG)</t>
        </is>
      </c>
      <c r="D35" s="56" t="inlineStr">
        <is>
          <t>NT — Casi Amenazado</t>
        </is>
      </c>
      <c r="E35" s="56" t="n"/>
      <c r="F35" s="56" t="n"/>
      <c r="G35" s="56" t="n"/>
      <c r="H35" s="56" t="inlineStr">
        <is>
          <t>Categoría de referencia del proyecto. Presencia POR VERIFICAR en campo.</t>
        </is>
      </c>
    </row>
    <row r="36">
      <c r="A36" s="57" t="inlineStr">
        <is>
          <t>6</t>
        </is>
      </c>
      <c r="B36" s="57" t="inlineStr">
        <is>
          <t>Ceibo (Ceiba trischistandra)</t>
        </is>
      </c>
      <c r="C36" s="57" t="inlineStr">
        <is>
          <t>Indicadora de buen estado</t>
        </is>
      </c>
      <c r="D36" s="57" t="inlineStr">
        <is>
          <t>NE — No Evaluado</t>
        </is>
      </c>
      <c r="E36" s="57" t="n"/>
      <c r="F36" s="57" t="n"/>
      <c r="G36" s="57" t="n"/>
      <c r="H36" s="57" t="inlineStr">
        <is>
          <t>Condición bajo D.S. 043-2006-AG no verificada documentalmente.</t>
        </is>
      </c>
    </row>
    <row r="37">
      <c r="A37" s="56" t="inlineStr">
        <is>
          <t>7</t>
        </is>
      </c>
      <c r="B37" s="56" t="inlineStr">
        <is>
          <t>Pasallo (Eriotheca ruizii)</t>
        </is>
      </c>
      <c r="C37" s="56" t="inlineStr">
        <is>
          <t>Indicadora de buen estado</t>
        </is>
      </c>
      <c r="D37" s="56" t="inlineStr">
        <is>
          <t>NE — No Evaluado</t>
        </is>
      </c>
      <c r="E37" s="56" t="n"/>
      <c r="F37" s="56" t="n"/>
      <c r="G37" s="56" t="n"/>
      <c r="H37" s="56" t="inlineStr">
        <is>
          <t>Condición bajo D.S. 043-2006-AG no verificada documentalmente.</t>
        </is>
      </c>
    </row>
    <row r="38">
      <c r="A38" s="57" t="inlineStr">
        <is>
          <t>8</t>
        </is>
      </c>
      <c r="B38" s="57" t="inlineStr">
        <is>
          <t>Borrachera (Ipomoea carnea)</t>
        </is>
      </c>
      <c r="C38" s="57" t="inlineStr">
        <is>
          <t>Indicadora de perturbación</t>
        </is>
      </c>
      <c r="D38" s="57" t="inlineStr">
        <is>
          <t>No aplica</t>
        </is>
      </c>
      <c r="E38" s="57" t="n"/>
      <c r="F38" s="57" t="n"/>
      <c r="G38" s="57" t="n"/>
      <c r="H38" s="57" t="inlineStr">
        <is>
          <t>Colonizadora de suelos alterados y sobrepastoreados; no consumida por el ganado.</t>
        </is>
      </c>
    </row>
    <row r="40">
      <c r="A40" s="54" t="inlineStr">
        <is>
          <t>F-DT-04 · MATRIZ DE CAUSAS DE DEGRADACIÓN</t>
        </is>
      </c>
    </row>
    <row r="41">
      <c r="A41" s="55" t="inlineStr">
        <is>
          <t>N.o</t>
        </is>
      </c>
      <c r="B41" s="55" t="inlineStr">
        <is>
          <t>Causa</t>
        </is>
      </c>
      <c r="C41" s="55" t="inlineStr">
        <is>
          <t>Presencia</t>
        </is>
      </c>
      <c r="D41" s="55" t="inlineStr">
        <is>
          <t>Intensidad</t>
        </is>
      </c>
      <c r="E41" s="55" t="inlineStr">
        <is>
          <t>Extensión</t>
        </is>
      </c>
      <c r="F41" s="55" t="inlineStr">
        <is>
          <t>Antigüedad</t>
        </is>
      </c>
      <c r="G41" s="55" t="inlineStr">
        <is>
          <t>Evidencia</t>
        </is>
      </c>
    </row>
    <row r="42">
      <c r="A42" s="56" t="inlineStr">
        <is>
          <t>1</t>
        </is>
      </c>
      <c r="B42" s="56" t="inlineStr">
        <is>
          <t>Sobrepastoreo (caprino/vacuno)</t>
        </is>
      </c>
      <c r="C42" s="56" t="inlineStr">
        <is>
          <t>Sí</t>
        </is>
      </c>
      <c r="D42" s="56" t="inlineStr">
        <is>
          <t>Muy fuerte</t>
        </is>
      </c>
      <c r="E42" s="56" t="inlineStr">
        <is>
          <t>90</t>
        </is>
      </c>
      <c r="F42" s="56" t="inlineStr"/>
      <c r="G42" s="56" t="inlineStr">
        <is>
          <t>Red reticulada densa de huellas de ganado (terracetas) visible en la totalidad de las ortofotos RPA; estrato herbáceo vivo prácticamente ausente; pedestales y raíces expuestas.</t>
        </is>
      </c>
    </row>
    <row r="43">
      <c r="A43" s="57" t="inlineStr">
        <is>
          <t>2</t>
        </is>
      </c>
      <c r="B43" s="57" t="inlineStr">
        <is>
          <t>Tala para leña</t>
        </is>
      </c>
      <c r="C43" s="57" t="inlineStr"/>
      <c r="D43" s="57" t="inlineStr"/>
      <c r="E43" s="57" t="inlineStr"/>
      <c r="F43" s="57" t="inlineStr"/>
      <c r="G43" s="57" t="inlineStr"/>
    </row>
    <row r="44">
      <c r="A44" s="56" t="inlineStr">
        <is>
          <t>3</t>
        </is>
      </c>
      <c r="B44" s="56" t="inlineStr">
        <is>
          <t>Tala para carbón</t>
        </is>
      </c>
      <c r="C44" s="56" t="inlineStr"/>
      <c r="D44" s="56" t="inlineStr"/>
      <c r="E44" s="56" t="inlineStr"/>
      <c r="F44" s="56" t="inlineStr"/>
      <c r="G44" s="56" t="inlineStr"/>
    </row>
    <row r="45">
      <c r="A45" s="57" t="inlineStr">
        <is>
          <t>4</t>
        </is>
      </c>
      <c r="B45" s="57" t="inlineStr">
        <is>
          <t>Tala para madera</t>
        </is>
      </c>
      <c r="C45" s="57" t="inlineStr"/>
      <c r="D45" s="57" t="inlineStr"/>
      <c r="E45" s="57" t="inlineStr"/>
      <c r="F45" s="57" t="inlineStr"/>
      <c r="G45" s="57" t="inlineStr"/>
    </row>
    <row r="46">
      <c r="A46" s="56" t="inlineStr">
        <is>
          <t>5</t>
        </is>
      </c>
      <c r="B46" s="56" t="inlineStr">
        <is>
          <t>Quema (renovación de pastos)</t>
        </is>
      </c>
      <c r="C46" s="56" t="inlineStr"/>
      <c r="D46" s="56" t="inlineStr"/>
      <c r="E46" s="56" t="inlineStr"/>
      <c r="F46" s="56" t="inlineStr"/>
      <c r="G46" s="56" t="inlineStr"/>
    </row>
    <row r="47">
      <c r="A47" s="57" t="inlineStr">
        <is>
          <t>6</t>
        </is>
      </c>
      <c r="B47" s="57" t="inlineStr">
        <is>
          <t>Quema accidental / Incendio</t>
        </is>
      </c>
      <c r="C47" s="57" t="inlineStr"/>
      <c r="D47" s="57" t="inlineStr"/>
      <c r="E47" s="57" t="inlineStr"/>
      <c r="F47" s="57" t="inlineStr"/>
      <c r="G47" s="57" t="inlineStr"/>
    </row>
    <row r="48">
      <c r="A48" s="56" t="inlineStr">
        <is>
          <t>7</t>
        </is>
      </c>
      <c r="B48" s="56" t="inlineStr">
        <is>
          <t>Cambio de uso a agricultura</t>
        </is>
      </c>
      <c r="C48" s="56" t="inlineStr">
        <is>
          <t>Sí</t>
        </is>
      </c>
      <c r="D48" s="56" t="inlineStr">
        <is>
          <t>Ligera</t>
        </is>
      </c>
      <c r="E48" s="56" t="inlineStr">
        <is>
          <t>10</t>
        </is>
      </c>
      <c r="F48" s="56" t="inlineStr"/>
      <c r="G48" s="56" t="inlineStr">
        <is>
          <t>Terrazas de cultivo y parcelas bajo riego que ascienden desde el fondo de valle hacia el flanco oriental del bloque (fotograma DJI_0347).</t>
        </is>
      </c>
    </row>
    <row r="49">
      <c r="A49" s="57" t="inlineStr">
        <is>
          <t>8</t>
        </is>
      </c>
      <c r="B49" s="57" t="inlineStr">
        <is>
          <t>Cambio de uso a pastoreo</t>
        </is>
      </c>
      <c r="C49" s="57" t="inlineStr"/>
      <c r="D49" s="57" t="inlineStr"/>
      <c r="E49" s="57" t="inlineStr"/>
      <c r="F49" s="57" t="inlineStr"/>
      <c r="G49" s="57" t="inlineStr"/>
    </row>
    <row r="50">
      <c r="A50" s="56" t="inlineStr">
        <is>
          <t>9</t>
        </is>
      </c>
      <c r="B50" s="56" t="inlineStr">
        <is>
          <t>Expansión urbana / vial</t>
        </is>
      </c>
      <c r="C50" s="56" t="inlineStr">
        <is>
          <t>Sí</t>
        </is>
      </c>
      <c r="D50" s="56" t="inlineStr">
        <is>
          <t>Moderada</t>
        </is>
      </c>
      <c r="E50" s="56" t="inlineStr">
        <is>
          <t>15</t>
        </is>
      </c>
      <c r="F50" s="56" t="inlineStr"/>
      <c r="G50" s="56" t="inlineStr">
        <is>
          <t>Vía asfaltada con badenes de concreto, trochas de acceso, viviendas dispersas y corrales en el borde del polígono (fotogramas DJI_0347, DJI_0354, DJI_0370, DJI_0377).</t>
        </is>
      </c>
    </row>
    <row r="51">
      <c r="A51" s="57" t="inlineStr">
        <is>
          <t>10</t>
        </is>
      </c>
      <c r="B51" s="57" t="inlineStr">
        <is>
          <t>Minería informal</t>
        </is>
      </c>
      <c r="C51" s="57" t="inlineStr"/>
      <c r="D51" s="57" t="inlineStr"/>
      <c r="E51" s="57" t="inlineStr"/>
      <c r="F51" s="57" t="inlineStr"/>
      <c r="G51" s="57" t="inlineStr"/>
    </row>
    <row r="52">
      <c r="A52" s="56" t="inlineStr">
        <is>
          <t>11</t>
        </is>
      </c>
      <c r="B52" s="56" t="inlineStr">
        <is>
          <t>Extracción de áridos (cauces)</t>
        </is>
      </c>
      <c r="C52" s="56" t="inlineStr"/>
      <c r="D52" s="56" t="inlineStr"/>
      <c r="E52" s="56" t="inlineStr"/>
      <c r="F52" s="56" t="inlineStr"/>
      <c r="G52" s="56" t="inlineStr"/>
    </row>
    <row r="53">
      <c r="A53" s="57" t="inlineStr">
        <is>
          <t>12</t>
        </is>
      </c>
      <c r="B53" s="57" t="inlineStr">
        <is>
          <t>Especies invasoras</t>
        </is>
      </c>
      <c r="C53" s="57" t="inlineStr"/>
      <c r="D53" s="57" t="inlineStr"/>
      <c r="E53" s="57" t="inlineStr"/>
      <c r="F53" s="57" t="inlineStr"/>
      <c r="G53" s="57" t="inlineStr"/>
    </row>
    <row r="54">
      <c r="A54" s="56" t="inlineStr">
        <is>
          <t>13</t>
        </is>
      </c>
      <c r="B54" s="56" t="inlineStr">
        <is>
          <t>Erosión natural severa</t>
        </is>
      </c>
      <c r="C54" s="56" t="inlineStr"/>
      <c r="D54" s="56" t="inlineStr"/>
      <c r="E54" s="56" t="inlineStr"/>
      <c r="F54" s="56" t="inlineStr"/>
      <c r="G54" s="56" t="inlineStr"/>
    </row>
    <row r="55">
      <c r="A55" s="57" t="inlineStr">
        <is>
          <t>14</t>
        </is>
      </c>
      <c r="B55" s="57" t="inlineStr">
        <is>
          <t>Sequía prolongada / CC</t>
        </is>
      </c>
      <c r="C55" s="57" t="inlineStr"/>
      <c r="D55" s="57" t="inlineStr"/>
      <c r="E55" s="57" t="inlineStr"/>
      <c r="F55" s="57" t="inlineStr"/>
      <c r="G55" s="57" t="inlineStr"/>
    </row>
    <row r="56">
      <c r="A56" s="56" t="inlineStr">
        <is>
          <t>15</t>
        </is>
      </c>
      <c r="B56" s="56" t="inlineStr">
        <is>
          <t>Plagas o enfermedades forestales</t>
        </is>
      </c>
      <c r="C56" s="56" t="inlineStr"/>
      <c r="D56" s="56" t="inlineStr"/>
      <c r="E56" s="56" t="inlineStr"/>
      <c r="F56" s="56" t="inlineStr"/>
      <c r="G56" s="56" t="inlineStr"/>
    </row>
    <row r="57">
      <c r="A57" s="57" t="inlineStr">
        <is>
          <t>16</t>
        </is>
      </c>
      <c r="B57" s="57" t="inlineStr">
        <is>
          <t>Otro</t>
        </is>
      </c>
      <c r="C57" s="57" t="inlineStr"/>
      <c r="D57" s="57" t="inlineStr"/>
      <c r="E57" s="57" t="inlineStr"/>
      <c r="F57" s="57" t="inlineStr"/>
      <c r="G57" s="57" t="inlineStr"/>
    </row>
    <row r="59">
      <c r="A59" s="54" t="inlineStr">
        <is>
          <t>F-DT-04 · INDICADORES CUANTITATIVOS</t>
        </is>
      </c>
    </row>
    <row r="60">
      <c r="A60" s="55" t="inlineStr">
        <is>
          <t>N.o</t>
        </is>
      </c>
      <c r="B60" s="55" t="inlineStr">
        <is>
          <t>Indicador</t>
        </is>
      </c>
      <c r="C60" s="55" t="inlineStr">
        <is>
          <t>Unidad</t>
        </is>
      </c>
      <c r="D60" s="55" t="inlineStr">
        <is>
          <t>Valor</t>
        </is>
      </c>
      <c r="E60" s="55" t="inlineStr">
        <is>
          <t>Fuente</t>
        </is>
      </c>
      <c r="F60" s="55" t="inlineStr">
        <is>
          <t>Umbral</t>
        </is>
      </c>
      <c r="G60" s="55" t="inlineStr">
        <is>
          <t>Nivel</t>
        </is>
      </c>
    </row>
    <row r="61">
      <c r="A61" s="56" t="inlineStr">
        <is>
          <t>1</t>
        </is>
      </c>
      <c r="B61" s="56" t="inlineStr">
        <is>
          <t>Cobertura vegetal total</t>
        </is>
      </c>
      <c r="C61" s="56" t="inlineStr">
        <is>
          <t>%</t>
        </is>
      </c>
      <c r="D61" s="56" t="inlineStr">
        <is>
          <t>11</t>
        </is>
      </c>
      <c r="E61" s="56" t="inlineStr">
        <is>
          <t>Fotointerpretación ortofoto RPA 14-08-2026</t>
        </is>
      </c>
      <c r="F61" s="56" t="inlineStr">
        <is>
          <t>&gt;60% bueno; 30-60% medio; &lt;30% malo</t>
        </is>
      </c>
      <c r="G61" s="56" t="inlineStr">
        <is>
          <t>Alto</t>
        </is>
      </c>
    </row>
    <row r="62">
      <c r="A62" s="57" t="inlineStr">
        <is>
          <t>2</t>
        </is>
      </c>
      <c r="B62" s="57" t="inlineStr">
        <is>
          <t>Porcentaje de suelo desnudo</t>
        </is>
      </c>
      <c r="C62" s="57" t="inlineStr">
        <is>
          <t>%</t>
        </is>
      </c>
      <c r="D62" s="57" t="inlineStr">
        <is>
          <t>77</t>
        </is>
      </c>
      <c r="E62" s="57" t="inlineStr">
        <is>
          <t>Fotointerpretación ortofoto RPA 14-08-2026</t>
        </is>
      </c>
      <c r="F62" s="57" t="inlineStr">
        <is>
          <t>&lt;10% bueno; 10-30% medio; &gt;30% malo</t>
        </is>
      </c>
      <c r="G62" s="57" t="inlineStr">
        <is>
          <t>Alto</t>
        </is>
      </c>
    </row>
    <row r="63">
      <c r="A63" s="56" t="inlineStr">
        <is>
          <t>3</t>
        </is>
      </c>
      <c r="B63" s="56" t="inlineStr">
        <is>
          <t>Densidad de cárcavas</t>
        </is>
      </c>
      <c r="C63" s="56" t="inlineStr">
        <is>
          <t>N°/ha</t>
        </is>
      </c>
      <c r="D63" s="56" t="inlineStr"/>
      <c r="E63" s="56" t="inlineStr">
        <is>
          <t>POR VERIFICAR — no evaluado</t>
        </is>
      </c>
      <c r="F63" s="56" t="inlineStr">
        <is>
          <t>0 nulo; 1-3 medio; &gt;3 alto</t>
        </is>
      </c>
      <c r="G63" s="56" t="inlineStr"/>
    </row>
    <row r="64">
      <c r="A64" s="57" t="inlineStr">
        <is>
          <t>4</t>
        </is>
      </c>
      <c r="B64" s="57" t="inlineStr">
        <is>
          <t>Presencia de especies invasoras</t>
        </is>
      </c>
      <c r="C64" s="57" t="inlineStr">
        <is>
          <t>% área</t>
        </is>
      </c>
      <c r="D64" s="57" t="inlineStr"/>
      <c r="E64" s="57" t="inlineStr">
        <is>
          <t>POR VERIFICAR — no evaluado</t>
        </is>
      </c>
      <c r="F64" s="57" t="inlineStr">
        <is>
          <t>&lt;5% bueno; 5-20% medio; &gt;20% alto</t>
        </is>
      </c>
      <c r="G64" s="57" t="inlineStr"/>
    </row>
    <row r="65">
      <c r="A65" s="56" t="inlineStr">
        <is>
          <t>5</t>
        </is>
      </c>
      <c r="B65" s="56" t="inlineStr">
        <is>
          <t>Carga ganadera estimada</t>
        </is>
      </c>
      <c r="C65" s="56" t="inlineStr">
        <is>
          <t>UA/ha</t>
        </is>
      </c>
      <c r="D65" s="56" t="inlineStr"/>
      <c r="E65" s="56" t="inlineStr">
        <is>
          <t>POR VERIFICAR — no evaluado</t>
        </is>
      </c>
      <c r="F65" s="56" t="inlineStr">
        <is>
          <t>Según tipo de ecosistema</t>
        </is>
      </c>
      <c r="G65" s="56" t="inlineStr"/>
    </row>
    <row r="66">
      <c r="A66" s="57" t="inlineStr">
        <is>
          <t>6</t>
        </is>
      </c>
      <c r="B66" s="57" t="inlineStr">
        <is>
          <t>Frecuencia de quemas últimos 5 años</t>
        </is>
      </c>
      <c r="C66" s="57" t="inlineStr">
        <is>
          <t>N°</t>
        </is>
      </c>
      <c r="D66" s="57" t="inlineStr"/>
      <c r="E66" s="57" t="inlineStr">
        <is>
          <t>POR VERIFICAR — no evaluado</t>
        </is>
      </c>
      <c r="F66" s="57" t="inlineStr">
        <is>
          <t>0 nulo; 1-2 medio; &gt;2 alto</t>
        </is>
      </c>
      <c r="G66" s="57" t="inlineStr"/>
    </row>
    <row r="67">
      <c r="A67" s="56" t="inlineStr">
        <is>
          <t>7</t>
        </is>
      </c>
      <c r="B67" s="56" t="inlineStr">
        <is>
          <t>% área con pendiente &gt;50%</t>
        </is>
      </c>
      <c r="C67" s="56" t="inlineStr">
        <is>
          <t>%</t>
        </is>
      </c>
      <c r="D67" s="56" t="inlineStr"/>
      <c r="E67" s="56" t="inlineStr">
        <is>
          <t>POR VERIFICAR — no evaluado</t>
        </is>
      </c>
      <c r="F67" s="56" t="inlineStr">
        <is>
          <t>Factor de susceptibilidad</t>
        </is>
      </c>
      <c r="G67" s="56" t="inlineStr"/>
    </row>
    <row r="68">
      <c r="A68" s="57" t="inlineStr">
        <is>
          <t>8</t>
        </is>
      </c>
      <c r="B68" s="57" t="inlineStr">
        <is>
          <t>Distancia a vía vecinal más cercana</t>
        </is>
      </c>
      <c r="C68" s="57" t="inlineStr">
        <is>
          <t>m</t>
        </is>
      </c>
      <c r="D68" s="57" t="inlineStr">
        <is>
          <t>0</t>
        </is>
      </c>
      <c r="E68" s="57" t="inlineStr">
        <is>
          <t>Ortofoto RPA 14-08-2026 — la vía asfaltada bordea el polígono</t>
        </is>
      </c>
      <c r="F68" s="57" t="inlineStr">
        <is>
          <t>A menor distancia → mayor presión</t>
        </is>
      </c>
      <c r="G68" s="57" t="inlineStr">
        <is>
          <t>Alto</t>
        </is>
      </c>
    </row>
    <row r="70">
      <c r="A70" s="54" t="inlineStr">
        <is>
          <t>F-DT-05 · FUENTES DE AGUA INVENTARIADAS</t>
        </is>
      </c>
    </row>
    <row r="71">
      <c r="A71" s="55" t="inlineStr">
        <is>
          <t>N.o</t>
        </is>
      </c>
      <c r="B71" s="55" t="inlineStr">
        <is>
          <t>Tipo de fuente</t>
        </is>
      </c>
      <c r="C71" s="55" t="inlineStr">
        <is>
          <t>UTM ESTE</t>
        </is>
      </c>
      <c r="D71" s="55" t="inlineStr">
        <is>
          <t>UTM NORTE</t>
        </is>
      </c>
      <c r="E71" s="55" t="inlineStr">
        <is>
          <t>Régimen</t>
        </is>
      </c>
      <c r="F71" s="55" t="inlineStr">
        <is>
          <t>Calidad</t>
        </is>
      </c>
      <c r="G71" s="55" t="inlineStr">
        <is>
          <t>Distancia (m)</t>
        </is>
      </c>
      <c r="H71" s="55" t="inlineStr">
        <is>
          <t>Uso / observación</t>
        </is>
      </c>
    </row>
    <row r="72">
      <c r="A72" s="56" t="inlineStr">
        <is>
          <t>1</t>
        </is>
      </c>
      <c r="B72" s="56" t="inlineStr">
        <is>
          <t>Río</t>
        </is>
      </c>
      <c r="C72" s="61" t="n">
        <v>640140</v>
      </c>
      <c r="D72" s="61" t="n">
        <v>9410947</v>
      </c>
      <c r="E72" s="56" t="inlineStr">
        <is>
          <t>Permanente</t>
        </is>
      </c>
      <c r="F72" s="56" t="inlineStr">
        <is>
          <t>No evaluable</t>
        </is>
      </c>
      <c r="G72" s="56" t="n"/>
      <c r="H72" s="56" t="inlineStr">
        <is>
          <t>Cauce principal que limita el bloque por el norte. Fotogramas DJI_0343 y DJI_0344 (10:34 h): agua superficial corriente y faja ribereña continua y vigorosa en plena estación seca. Constituye el principal activo hídrico y ecológico del sector. Aforo, régimen y derechos de uso POR VERIFICAR.</t>
        </is>
      </c>
    </row>
    <row r="73">
      <c r="A73" s="57" t="inlineStr">
        <is>
          <t>2</t>
        </is>
      </c>
      <c r="B73" s="57" t="inlineStr">
        <is>
          <t>Quebrada estacional</t>
        </is>
      </c>
      <c r="C73" s="62" t="n">
        <v>640174</v>
      </c>
      <c r="D73" s="62" t="n">
        <v>9410693</v>
      </c>
      <c r="E73" s="57" t="inlineStr">
        <is>
          <t>Estacional (lluvias)</t>
        </is>
      </c>
      <c r="F73" s="57" t="inlineStr">
        <is>
          <t>No evaluable</t>
        </is>
      </c>
      <c r="G73" s="57" t="n"/>
      <c r="H73" s="57" t="inlineStr">
        <is>
          <t>Cauce interior con incisión y lecho pedregoso, que descarga sobre la vía asfaltada. Fotograma DJI_0370 (10:36 h). Régimen POR VERIFICAR.</t>
        </is>
      </c>
    </row>
    <row r="74">
      <c r="A74" s="56" t="inlineStr">
        <is>
          <t>3</t>
        </is>
      </c>
      <c r="B74" s="56" t="inlineStr">
        <is>
          <t>Quebrada estacional</t>
        </is>
      </c>
      <c r="C74" s="61" t="n">
        <v>640361</v>
      </c>
      <c r="D74" s="61" t="n">
        <v>9410542</v>
      </c>
      <c r="E74" s="56" t="inlineStr">
        <is>
          <t>Estacional (lluvias)</t>
        </is>
      </c>
      <c r="F74" s="56" t="inlineStr">
        <is>
          <t>No evaluable</t>
        </is>
      </c>
      <c r="G74" s="56" t="n"/>
      <c r="H74" s="56" t="inlineStr">
        <is>
          <t>Cauce del flanco suroriental, junto a viviendas y terrazas de cultivo. Fotograma DJI_0377 (10:36 h). Régimen POR VERIFICAR.</t>
        </is>
      </c>
    </row>
    <row r="77">
      <c r="A77" s="54" t="inlineStr">
        <is>
          <t>OBSERVACIONES DEL EVALUADOR POR FICHA</t>
        </is>
      </c>
    </row>
    <row r="78">
      <c r="A78" s="55" t="inlineStr">
        <is>
          <t>Ficha</t>
        </is>
      </c>
      <c r="B78" s="55" t="inlineStr">
        <is>
          <t>Observación registrada en campo</t>
        </is>
      </c>
    </row>
    <row r="79">
      <c r="A79" s="56" t="inlineStr">
        <is>
          <t>F-DT-01</t>
        </is>
      </c>
      <c r="B79" s="56" t="inlineStr">
        <is>
          <t>Bloque NO registrado en el catálogo «Bloques V4» de esta plantilla ni en «Bloques V5»; procede del REPORTE_BLOQUES_V6 y de la capa cartográfica «Bloques extras». Se añadió el registro a la hoja auxiliar exclusivamente para habilitar los VLOOKUP (ver D-02 del informe). Centroide por restitución cartográfica (± 30 m). Altitud GPS SIN CONSIGNAR: la cota EXIF de los fotogramas corresponde a la aeronave y no al terreno (≈ 230–270 msnm). Rango altitudinal y pendiente REFERENCIALES, derivados de un transecto de 214 m en Google Earth (mín. 232 · media 241 · máx. 253 msnm; pendiente media 9.8 %, máxima 37.5 %); no equivalen a estadística zonal del DEM, no disponible para este bloque.</t>
        </is>
      </c>
    </row>
    <row r="80">
      <c r="A80" s="57" t="inlineStr">
        <is>
          <t>F-DT-02</t>
        </is>
      </c>
      <c r="B80" s="57" t="inlineStr">
        <is>
          <t>Calificación derivada de fotointerpretación de ortofotos RPA del 14-08-2026, no de medición directa. Se sustenta en: pavimento de piedras y bolonería continuos; red reticulada extraordinariamente densa de huellas de ganado que cubre la práctica totalidad de la superficie; cauces interiores con incisión y arrastre de clastos que descargan directamente sobre la vía asfaltada; raíces expuestas y pedestales en la base de los individuos aislados. El inventario georreferenciado de cárcavas NO fue ejecutado: número total, longitud, porcentaje afectado, patrón dominante y socavamiento de cauce se dejan en blanco. La ausencia de registro no equivale a ausencia del proceso.</t>
        </is>
      </c>
    </row>
    <row r="81">
      <c r="A81" s="56" t="inlineStr">
        <is>
          <t>F-DT-03</t>
        </is>
      </c>
      <c r="B81" s="56" t="inlineStr">
        <is>
          <t>Las doce especies consignadas se replican de los bloques 85, 86 y 87 por indicación de la Subdirección; NO proceden de un muestreo por parcela ejecutado en el bloque 84. No se registran abundancia relativa, DAP ni altura. Determinaciones PRELIMINARES sujetas a colecta y determinación botánica. Los porcentajes de estructura son estimaciones por fotointerpretación de ortofoto, no mediciones de campo. Altura del estrato dominante, altura máxima, DAP promedio y estado sanitario del dosel SIN CONSIGNAR por carecer de mediciones. Asignación Bes-cm POR VERIFICAR contra el Mapa Nacional de Ecosistemas (MINAM).</t>
        </is>
      </c>
    </row>
    <row r="82">
      <c r="A82" s="57" t="inlineStr">
        <is>
          <t>F-DT-04</t>
        </is>
      </c>
      <c r="B82" s="57" t="inlineStr">
        <is>
          <t>Velocidad de degradación SIN CONSIGNAR: no se dispone de la serie Theil-Sen (TAU) ni de MSAVI multianual para el bloque. MSAVI 2024 del bloque = 0.2516, un 49 % por debajo de la media del universo de 129 bloques (0.4909): se sitúa entre los valores más bajos del proyecto. Segmentación de la lámina NDVI mediana 2025: tierra desnuda 21.0 %, vegetación ligera 77.7 %, vegetación mediana 1.3 %, vegetación alta 0.0 %. Las causas no consignadas NO fueron objeto de verificación; su no consignación no equivale a ausencia.</t>
        </is>
      </c>
    </row>
    <row r="83">
      <c r="A83" s="56" t="inlineStr">
        <is>
          <t>F-DT-05</t>
        </is>
      </c>
      <c r="B83" s="56" t="inlineStr">
        <is>
          <t>Inventario NO levantado en campo; coordenadas correspondientes al centro del fotograma. Régimen, calidad, caudal y distancias POR VERIFICAR. HALLAZGO: los fotogramas DJI_0343 y DJI_0344, adquiridos el 14 de agosto (plena estación seca), muestran agua superficial corriente y faja ribereña continua en el cauce que limita el bloque por el norte; ello condiciona favorablemente la viabilidad de un vivero de proximidad y el riego de establecimiento. Los fotogramas DJI_0347, DJI_0354 y DJI_0377 muestran viviendas, corrales, cercos de piedra y terrazas de cultivo en el borde —y posiblemente dentro— del polígono: asunto elevado a la Subdirección para redelimitación y tamizaje predial previos al Expediente de Liberación de Áreas. La vía es ASFALTADA con badenes de concreto. Código MTC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84</t>
        </is>
      </c>
    </row>
    <row r="7">
      <c r="A7" s="54" t="inlineStr">
        <is>
          <t>Hechos declarados por fuente</t>
        </is>
      </c>
    </row>
    <row r="8">
      <c r="A8" s="55" t="inlineStr">
        <is>
          <t>Fuente</t>
        </is>
      </c>
      <c r="B8" s="55" t="inlineStr">
        <is>
          <t>Hechos</t>
        </is>
      </c>
    </row>
    <row r="9">
      <c r="A9" s="56" t="inlineStr">
        <is>
          <t>Dato de campo</t>
        </is>
      </c>
      <c r="B9" s="56" t="n">
        <v>52</v>
      </c>
    </row>
    <row r="10">
      <c r="A10" s="57" t="inlineStr">
        <is>
          <t>Gabinete (GIS / teledetección)</t>
        </is>
      </c>
      <c r="B10" s="57" t="n">
        <v>25</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86</v>
      </c>
    </row>
    <row r="31">
      <c r="A31" s="57" t="inlineStr">
        <is>
          <t>COMPLEMENTADO</t>
        </is>
      </c>
      <c r="B31" s="57" t="n">
        <v>4</v>
      </c>
    </row>
    <row r="32">
      <c r="A32" s="56" t="inlineStr">
        <is>
          <t>ACTUALIZADO</t>
        </is>
      </c>
      <c r="B32" s="56" t="n">
        <v>1</v>
      </c>
    </row>
    <row r="33">
      <c r="A33" s="57" t="inlineStr">
        <is>
          <t>DISCREPANTE</t>
        </is>
      </c>
      <c r="B33" s="57" t="n">
        <v>0</v>
      </c>
    </row>
    <row r="34">
      <c r="A34" s="56" t="inlineStr">
        <is>
          <t>PENDIENTE</t>
        </is>
      </c>
      <c r="B34" s="56" t="n">
        <v>23</v>
      </c>
    </row>
    <row r="51">
      <c r="A51" s="54" t="inlineStr">
        <is>
          <t>Cobertura por estrato — campo (%)</t>
        </is>
      </c>
    </row>
    <row r="52">
      <c r="A52" s="55" t="inlineStr">
        <is>
          <t>Estrato</t>
        </is>
      </c>
      <c r="B52" s="55" t="inlineStr">
        <is>
          <t>% del área</t>
        </is>
      </c>
    </row>
    <row r="53">
      <c r="A53" s="56" t="inlineStr">
        <is>
          <t>Dosel</t>
        </is>
      </c>
      <c r="B53" s="63" t="n">
        <v>6</v>
      </c>
    </row>
    <row r="54">
      <c r="A54" s="57" t="inlineStr">
        <is>
          <t>Arbustiva</t>
        </is>
      </c>
      <c r="B54" s="64" t="n">
        <v>3</v>
      </c>
    </row>
    <row r="55">
      <c r="A55" s="56" t="inlineStr">
        <is>
          <t>Herbácea</t>
        </is>
      </c>
      <c r="B55" s="63" t="n">
        <v>2</v>
      </c>
    </row>
    <row r="56">
      <c r="A56" s="57" t="inlineStr">
        <is>
          <t>Hojarasca</t>
        </is>
      </c>
      <c r="B56" s="62" t="n">
        <v>12</v>
      </c>
    </row>
    <row r="57">
      <c r="A57" s="56" t="inlineStr">
        <is>
          <t>Suelo desnudo</t>
        </is>
      </c>
      <c r="B57" s="61" t="n">
        <v>77</v>
      </c>
    </row>
    <row r="74">
      <c r="A74" s="54" t="inlineStr">
        <is>
          <t>Causas activas de degradación (F-DT-04)</t>
        </is>
      </c>
    </row>
    <row r="75">
      <c r="A75" s="55" t="inlineStr">
        <is>
          <t>Causa</t>
        </is>
      </c>
      <c r="B75" s="55" t="inlineStr">
        <is>
          <t>Intensidad (1 ligera - 4 muy fuerte)</t>
        </is>
      </c>
    </row>
    <row r="76">
      <c r="A76" s="56" t="inlineStr">
        <is>
          <t>Sobrepastoreo (caprino/vacuno)</t>
        </is>
      </c>
      <c r="B76" s="56" t="n">
        <v>4</v>
      </c>
    </row>
    <row r="77">
      <c r="A77" s="57" t="inlineStr">
        <is>
          <t>Expansión urbana / vial</t>
        </is>
      </c>
      <c r="B77" s="57" t="n">
        <v>2</v>
      </c>
    </row>
    <row r="78">
      <c r="A78" s="56" t="inlineStr">
        <is>
          <t>Cambio de uso a agricultura</t>
        </is>
      </c>
      <c r="B78" s="56" t="n">
        <v>1</v>
      </c>
    </row>
    <row r="95">
      <c r="A95" s="54" t="inlineStr">
        <is>
          <t>Control de consistencia por calificación</t>
        </is>
      </c>
    </row>
    <row r="96">
      <c r="A96" s="55" t="inlineStr">
        <is>
          <t>Calificación</t>
        </is>
      </c>
      <c r="B96" s="55" t="inlineStr">
        <is>
          <t>Verificaciones</t>
        </is>
      </c>
    </row>
    <row r="97">
      <c r="A97" s="56" t="inlineStr">
        <is>
          <t>SUSTANTIVA</t>
        </is>
      </c>
      <c r="B97" s="56" t="n">
        <v>7</v>
      </c>
    </row>
    <row r="98">
      <c r="A98" s="57" t="inlineStr">
        <is>
          <t>NO SUSTANTIVA</t>
        </is>
      </c>
      <c r="B98" s="57" t="n">
        <v>3</v>
      </c>
    </row>
    <row r="99">
      <c r="A99" s="56" t="inlineStr">
        <is>
          <t>CORREGIDO</t>
        </is>
      </c>
      <c r="B99" s="56" t="n">
        <v>1</v>
      </c>
    </row>
    <row r="100">
      <c r="A100" s="57" t="inlineStr">
        <is>
          <t>CONFORME</t>
        </is>
      </c>
      <c r="B100"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84 — IN Piura</dc:title>
  <dc:subject>Diagnóstico Territorial por bloque de intervención</dc:subject>
  <dcterms:created xsi:type="dcterms:W3CDTF">2026-09-08T03:39:59Z</dcterms:created>
  <dcterms:modified xsi:type="dcterms:W3CDTF">2026-09-11T20:22:33Z</dcterms:modified>
</cp:coreProperties>
</file>