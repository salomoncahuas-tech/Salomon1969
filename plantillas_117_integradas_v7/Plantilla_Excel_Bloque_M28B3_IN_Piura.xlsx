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integración'!$A$47:$A$49</f>
            </numRef>
          </cat>
          <val>
            <numRef>
              <f>'Gráficos de integración'!$B$47:$B$49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integración'!$A$66:$A$69</f>
            </numRef>
          </cat>
          <val>
            <numRef>
              <f>'Gráficos de integración'!$B$66:$B$69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M28B3</t>
        </is>
      </c>
    </row>
    <row r="6" ht="24" customHeight="1">
      <c r="A6" s="4" t="inlineStr">
        <is>
          <t>Diagnóstico Territorial — Plantilla DT Campo Check Validada V5 | Sistema de referencia: UTM WGS 84 Zona 17S (EPSG:32717) · Integrado con la ficha de campo F-DT vigente (FDT_M28B3_Diagnostico_Territorial.xlsx) — V7 - resumen V6 + campo F-DT integrado</t>
        </is>
      </c>
    </row>
    <row r="7"/>
    <row r="8" ht="18" customHeight="1">
      <c r="A8" s="5" t="inlineStr">
        <is>
          <t>1. IDENTIFICACIÓN Y LOCALIZACIÓN</t>
        </is>
      </c>
    </row>
    <row r="9">
      <c r="A9" s="6" t="inlineStr">
        <is>
          <t>Código del bloque</t>
        </is>
      </c>
      <c r="B9" s="7" t="inlineStr">
        <is>
          <t>M28B3</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Ricardo Palma</t>
        </is>
      </c>
      <c r="C13" s="6" t="inlineStr">
        <is>
          <t>Comunidad campesina</t>
        </is>
      </c>
      <c r="D13" s="49" t="inlineStr">
        <is>
          <t>No consignada</t>
        </is>
      </c>
      <c r="E13" s="8" t="n"/>
      <c r="F13" s="8" t="n"/>
    </row>
    <row r="14">
      <c r="A14" s="6" t="inlineStr">
        <is>
          <t>Superficie de catálogo (V5/V6), ha</t>
        </is>
      </c>
      <c r="B14" s="7" t="n">
        <v>58.29</v>
      </c>
      <c r="C14" s="6" t="inlineStr">
        <is>
          <t>Fuente de superficie</t>
        </is>
      </c>
      <c r="D14" s="7" t="inlineStr">
        <is>
          <t>Catálogo maestro Bloques V5/V6</t>
        </is>
      </c>
      <c r="E14" s="8" t="n"/>
      <c r="F14" s="8" t="n"/>
    </row>
    <row r="15">
      <c r="A15" s="6" t="inlineStr">
        <is>
          <t>Centroide UTM ESTE (m)</t>
        </is>
      </c>
      <c r="B15" s="7" t="n">
        <v>634061</v>
      </c>
      <c r="C15" s="6" t="inlineStr">
        <is>
          <t>Centroide UTM NORTE (m)</t>
        </is>
      </c>
      <c r="D15" s="7" t="n">
        <v>9426778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73</v>
      </c>
      <c r="C19" s="6" t="inlineStr">
        <is>
          <t>Altitud máxima (msnm)</t>
        </is>
      </c>
      <c r="D19" s="7" t="n">
        <v>777</v>
      </c>
      <c r="E19" s="8" t="n"/>
      <c r="F19" s="8" t="n"/>
    </row>
    <row r="20">
      <c r="A20" s="6" t="inlineStr">
        <is>
          <t>Amplitud altitudinal (m)</t>
        </is>
      </c>
      <c r="B20" s="7" t="n">
        <v>704</v>
      </c>
      <c r="C20" s="6" t="inlineStr">
        <is>
          <t>Piso altitudinal dominante</t>
        </is>
      </c>
      <c r="D20" s="7" t="inlineStr">
        <is>
          <t>&lt;1000 m (Yunga)</t>
        </is>
      </c>
      <c r="E20" s="8" t="n"/>
      <c r="F20" s="8" t="n"/>
    </row>
    <row r="21">
      <c r="A21" s="6" t="inlineStr">
        <is>
          <t>Pendiente promedio (%)</t>
        </is>
      </c>
      <c r="B21" s="7" t="n">
        <v>22.13</v>
      </c>
      <c r="C21" s="6" t="inlineStr">
        <is>
          <t>Pendiente promedio (grados)</t>
        </is>
      </c>
      <c r="D21" s="7" t="n">
        <v>12.5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0.5075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(48.80 %)</t>
        </is>
      </c>
      <c r="E29" s="8" t="n"/>
      <c r="F29" s="8" t="n"/>
    </row>
    <row r="30">
      <c r="A30" s="6" t="inlineStr">
        <is>
          <t>Superficie clasificada NDVI 2025 (ha)</t>
        </is>
      </c>
      <c r="B30" s="7" t="n">
        <v>58.312</v>
      </c>
      <c r="C30" s="6" t="inlineStr">
        <is>
          <t>Desviación frente al catálogo (%)</t>
        </is>
      </c>
      <c r="D30" s="7" t="n">
        <v>0.04</v>
      </c>
      <c r="E30" s="8" t="n"/>
      <c r="F30" s="8" t="n"/>
    </row>
    <row r="31">
      <c r="A31" s="6" t="inlineStr">
        <is>
          <t>Superficie clasificada MSAVI 2024 (ha)</t>
        </is>
      </c>
      <c r="B31" s="37" t="n">
        <v>58.292</v>
      </c>
      <c r="C31" s="6" t="inlineStr">
        <is>
          <t>Desviación MSAVI frente al catálogo (%)</t>
        </is>
      </c>
      <c r="D31" s="38" t="n">
        <v>0</v>
      </c>
      <c r="E31" s="8" t="n"/>
      <c r="F31" s="8" t="n"/>
    </row>
    <row r="32">
      <c r="A32" s="6" t="inlineStr">
        <is>
          <t>Superficie bajo umbral MSAVI 0.4976 (ha)</t>
        </is>
      </c>
      <c r="B32" s="37" t="n">
        <v>28.952</v>
      </c>
      <c r="C32" s="6" t="inlineStr">
        <is>
          <t>% del bloque bajo umbral (brecha espectral)</t>
        </is>
      </c>
      <c r="D32" s="38" t="n">
        <v>49.67</v>
      </c>
      <c r="E32" s="8" t="n"/>
      <c r="F32" s="8" t="n"/>
    </row>
    <row r="33">
      <c r="A33" s="6" t="inlineStr">
        <is>
          <t>Clase DN dominante (MSAVI 2024)</t>
        </is>
      </c>
      <c r="B33" s="7" t="inlineStr">
        <is>
          <t>DN 3 · 0.3813 - 0.4976 (Vigor bajo)</t>
        </is>
      </c>
      <c r="C33" s="6" t="inlineStr">
        <is>
          <t>N.° de polígonos MSAVI del bloque</t>
        </is>
      </c>
      <c r="D33" s="39" t="n">
        <v>234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58.29 ha (100% del bloque)</t>
        </is>
      </c>
      <c r="E36" s="8" t="n"/>
      <c r="F36" s="8" t="n"/>
    </row>
    <row r="37">
      <c r="A37" s="6" t="inlineStr">
        <is>
          <t>Estado de conservación</t>
        </is>
      </c>
      <c r="B37" s="7" t="inlineStr">
        <is>
          <t>Medianamente alterado</t>
        </is>
      </c>
      <c r="C37" s="6" t="inlineStr">
        <is>
          <t>Uso actual dominante del suelo</t>
        </is>
      </c>
      <c r="D37" s="49" t="inlineStr">
        <is>
          <t>Agricultura secano</t>
        </is>
      </c>
      <c r="E37" s="8" t="n"/>
      <c r="F37" s="8" t="n"/>
    </row>
    <row r="38">
      <c r="A38" s="6" t="inlineStr">
        <is>
          <t>Tipo de cobertura dominante</t>
        </is>
      </c>
      <c r="B38" s="7" t="inlineStr">
        <is>
          <t>Bosque ralo (30-70%)</t>
        </is>
      </c>
      <c r="C38" s="6" t="inlineStr">
        <is>
          <t>Cobertura vegetal total — campo (%)</t>
        </is>
      </c>
      <c r="D38" s="49" t="inlineStr">
        <is>
          <t>Sin registro en ficha</t>
        </is>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Juan Dominguez</t>
        </is>
      </c>
      <c r="C44" s="6" t="inlineStr">
        <is>
          <t>Fecha de evaluación</t>
        </is>
      </c>
      <c r="D44" s="7" t="inlineStr">
        <is>
          <t>2026-05-25</t>
        </is>
      </c>
      <c r="E44" s="8" t="n"/>
      <c r="F44" s="8" t="n"/>
    </row>
    <row r="45">
      <c r="A45" s="6" t="inlineStr">
        <is>
          <t>Hora de registro</t>
        </is>
      </c>
      <c r="B45" s="7" t="inlineStr">
        <is>
          <t>16:45 - 17:30 h</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8.965299999999999</v>
      </c>
      <c r="C10" s="19">
        <f>ROUND(B10/$B$15*100,2)</f>
        <v/>
      </c>
      <c r="D10" s="11" t="inlineStr">
        <is>
          <t>Vigor alto</t>
        </is>
      </c>
      <c r="E10" s="11" t="inlineStr">
        <is>
          <t>Sobre umbral</t>
        </is>
      </c>
    </row>
    <row r="11">
      <c r="A11" s="12" t="inlineStr">
        <is>
          <t>0.4976 - 0.6139 · DN 4</t>
        </is>
      </c>
      <c r="B11" s="31" t="n">
        <v>20.3742</v>
      </c>
      <c r="C11" s="30">
        <f>ROUND(B11/$B$15*100,2)</f>
        <v/>
      </c>
      <c r="D11" s="13" t="inlineStr">
        <is>
          <t>Vigor moderado</t>
        </is>
      </c>
      <c r="E11" s="13" t="inlineStr">
        <is>
          <t>Sobre umbral</t>
        </is>
      </c>
    </row>
    <row r="12">
      <c r="A12" s="7" t="inlineStr">
        <is>
          <t>0.3813 - 0.4976 · DN 3</t>
        </is>
      </c>
      <c r="B12" s="18" t="n">
        <v>22.8277</v>
      </c>
      <c r="C12" s="19">
        <f>ROUND(B12/$B$15*100,2)</f>
        <v/>
      </c>
      <c r="D12" s="11" t="inlineStr">
        <is>
          <t>Vigor bajo</t>
        </is>
      </c>
      <c r="E12" s="11" t="inlineStr">
        <is>
          <t>BAJO umbral 0.4976</t>
        </is>
      </c>
    </row>
    <row r="13">
      <c r="A13" s="14" t="inlineStr">
        <is>
          <t>0.2650 - 0.3813 · DN 2</t>
        </is>
      </c>
      <c r="B13" s="20" t="n">
        <v>6.0368</v>
      </c>
      <c r="C13" s="21">
        <f>ROUND(B13/$B$15*100,2)</f>
        <v/>
      </c>
      <c r="D13" s="15" t="inlineStr">
        <is>
          <t>Vigor muy bajo</t>
        </is>
      </c>
      <c r="E13" s="15" t="inlineStr">
        <is>
          <t>BAJO umbral 0.4976</t>
        </is>
      </c>
    </row>
    <row r="14">
      <c r="A14" s="7" t="inlineStr">
        <is>
          <t>&lt;= 0.2650 · DN 1</t>
        </is>
      </c>
      <c r="B14" s="18" t="n">
        <v>0.08790000000000001</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234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58.29</v>
      </c>
      <c r="C18" s="48" t="inlineStr">
        <is>
          <t>—</t>
        </is>
      </c>
      <c r="D18" s="45" t="inlineStr">
        <is>
          <t>Desviación planimétrica frente al catálogo</t>
        </is>
      </c>
      <c r="E18" s="45" t="inlineStr">
        <is>
          <t>+0.00 %</t>
        </is>
      </c>
    </row>
    <row r="19">
      <c r="A19" s="16" t="inlineStr">
        <is>
          <t>MSAVI 2024 — MEDIA DEL BLOQUE</t>
        </is>
      </c>
      <c r="B19" s="17" t="n">
        <v>0.507529</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234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(0.5075)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26.3986</v>
      </c>
      <c r="C25" s="19" t="n">
        <v>45.27</v>
      </c>
      <c r="D25" s="11" t="inlineStr">
        <is>
          <t>Dosel continuo, matorral denso o mosaico agroforestal</t>
        </is>
      </c>
      <c r="E25" s="11" t="inlineStr"/>
    </row>
    <row r="26">
      <c r="A26" s="14" t="inlineStr">
        <is>
          <t>Vegetación mediana</t>
        </is>
      </c>
      <c r="B26" s="20" t="n">
        <v>28.4587</v>
      </c>
      <c r="C26" s="21" t="n">
        <v>48.8</v>
      </c>
      <c r="D26" s="15" t="inlineStr">
        <is>
          <t>Pastizal cultivado, matorral ralo, parcelas agrícolas</t>
        </is>
      </c>
      <c r="E26" s="15" t="inlineStr"/>
    </row>
    <row r="27">
      <c r="A27" s="7" t="inlineStr">
        <is>
          <t>Vegetación ligera</t>
        </is>
      </c>
      <c r="B27" s="18" t="n">
        <v>3.2264</v>
      </c>
      <c r="C27" s="19" t="n">
        <v>5.53</v>
      </c>
      <c r="D27" s="11" t="inlineStr">
        <is>
          <t>Cobertura discontinua, suelo parcialmente expuesto</t>
        </is>
      </c>
      <c r="E27" s="11" t="inlineStr"/>
    </row>
    <row r="28">
      <c r="A28" s="14" t="inlineStr">
        <is>
          <t>Tierra desnuda</t>
        </is>
      </c>
      <c r="B28" s="20" t="n">
        <v>0.2288</v>
      </c>
      <c r="C28" s="21" t="n">
        <v>0.39</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58.29</v>
      </c>
      <c r="C30" s="25" t="inlineStr">
        <is>
          <t>—</t>
        </is>
      </c>
      <c r="D30" s="25" t="inlineStr">
        <is>
          <t>Desviación planimétrica frente al catálogo</t>
        </is>
      </c>
      <c r="E30" s="25" t="inlineStr">
        <is>
          <t>+0.04 %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M28B3</t>
        </is>
      </c>
    </row>
    <row r="6" ht="24" customHeight="1">
      <c r="A6" s="4" t="inlineStr">
        <is>
          <t>Levantamiento del 2026-05-25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9426864</v>
      </c>
      <c r="E10" s="11" t="n">
        <v>11514.3</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634061</v>
      </c>
      <c r="C13" s="6" t="inlineStr">
        <is>
          <t>Centroide del bloque — UTM NORTE (m)</t>
        </is>
      </c>
      <c r="D13" s="7" t="n">
        <v>9426778</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el distrito de Yamango al CC.PP. Ricardo Palma; la camioneta se detuvo en el centro poblado, al pie del bloque sobre la vía afirmada. Se ingresó al bloque por la zona oeste, colindante a la vía. En el interior del bloque se evidenciaron actividades agrícolas (siembra de maíz, bambú y plátano). La zona próxima a la vía y al CC.PP. es la parte más degradada del bloque. También se evidenció presencia de ganado caprino.</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M28B3</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7" t="n">
        <v>283.43</v>
      </c>
      <c r="C10" s="19" t="n">
        <v>58.52</v>
      </c>
      <c r="D10" s="11" t="inlineStr">
        <is>
          <t>297 – 634</t>
        </is>
      </c>
      <c r="E10" s="11" t="n">
        <v>337</v>
      </c>
      <c r="F10" s="11" t="n">
        <v>13.75</v>
      </c>
      <c r="G10" s="18" t="n">
        <v>0.4275</v>
      </c>
      <c r="H10" s="19" t="n">
        <v>18.09</v>
      </c>
      <c r="I10" s="19" t="n">
        <v>74.81</v>
      </c>
    </row>
    <row r="11">
      <c r="A11" s="14" t="inlineStr">
        <is>
          <t>M28B2</t>
        </is>
      </c>
      <c r="B11" s="28" t="n">
        <v>90.2</v>
      </c>
      <c r="C11" s="21" t="n">
        <v>18.62</v>
      </c>
      <c r="D11" s="15" t="inlineStr">
        <is>
          <t>754 – 1111</t>
        </is>
      </c>
      <c r="E11" s="15" t="n">
        <v>357</v>
      </c>
      <c r="F11" s="15" t="n">
        <v>20.65</v>
      </c>
      <c r="G11" s="20" t="n">
        <v>0.4753</v>
      </c>
      <c r="H11" s="21" t="n">
        <v>37.12</v>
      </c>
      <c r="I11" s="21" t="n">
        <v>62.19</v>
      </c>
    </row>
    <row r="12">
      <c r="A12" s="12" t="inlineStr">
        <is>
          <t>► M28B3</t>
        </is>
      </c>
      <c r="B12" s="29" t="n">
        <v>58.29</v>
      </c>
      <c r="C12" s="30" t="n">
        <v>12.04</v>
      </c>
      <c r="D12" s="13" t="inlineStr">
        <is>
          <t>73 – 777</t>
        </is>
      </c>
      <c r="E12" s="13" t="n">
        <v>704</v>
      </c>
      <c r="F12" s="13" t="n">
        <v>22.13</v>
      </c>
      <c r="G12" s="31" t="n">
        <v>0.5075</v>
      </c>
      <c r="H12" s="30" t="n">
        <v>45.27</v>
      </c>
      <c r="I12" s="30" t="n">
        <v>49.67</v>
      </c>
    </row>
    <row r="13">
      <c r="A13" s="14" t="inlineStr">
        <is>
          <t>46</t>
        </is>
      </c>
      <c r="B13" s="28" t="n">
        <v>18.87</v>
      </c>
      <c r="C13" s="21" t="n">
        <v>3.9</v>
      </c>
      <c r="D13" s="15" t="inlineStr">
        <is>
          <t>1371 – 1655</t>
        </is>
      </c>
      <c r="E13" s="15" t="n">
        <v>284</v>
      </c>
      <c r="F13" s="15" t="n">
        <v>31.77</v>
      </c>
      <c r="G13" s="20" t="n">
        <v>0.7244</v>
      </c>
      <c r="H13" s="21" t="inlineStr">
        <is>
          <t>Por determinar</t>
        </is>
      </c>
      <c r="I13" s="15" t="inlineStr">
        <is>
          <t>s/d</t>
        </is>
      </c>
    </row>
    <row r="14">
      <c r="A14" s="7" t="inlineStr">
        <is>
          <t>49</t>
        </is>
      </c>
      <c r="B14" s="27" t="n">
        <v>15.84</v>
      </c>
      <c r="C14" s="19" t="n">
        <v>3.27</v>
      </c>
      <c r="D14" s="11" t="inlineStr">
        <is>
          <t>3065 – 3246</t>
        </is>
      </c>
      <c r="E14" s="11" t="n">
        <v>181</v>
      </c>
      <c r="F14" s="11" t="n">
        <v>25.96</v>
      </c>
      <c r="G14" s="18" t="n">
        <v>0.6860000000000001</v>
      </c>
      <c r="H14" s="19" t="n">
        <v>98.8</v>
      </c>
      <c r="I14" s="19" t="n">
        <v>3.64</v>
      </c>
    </row>
    <row r="15">
      <c r="A15" s="14" t="inlineStr">
        <is>
          <t>52</t>
        </is>
      </c>
      <c r="B15" s="28" t="n">
        <v>11.06</v>
      </c>
      <c r="C15" s="21" t="n">
        <v>2.28</v>
      </c>
      <c r="D15" s="15" t="inlineStr">
        <is>
          <t>3011 – 3164</t>
        </is>
      </c>
      <c r="E15" s="15" t="n">
        <v>153</v>
      </c>
      <c r="F15" s="15" t="n">
        <v>26.16</v>
      </c>
      <c r="G15" s="20" t="n">
        <v>0.6685</v>
      </c>
      <c r="H15" s="21" t="n">
        <v>97.31999999999999</v>
      </c>
      <c r="I15" s="21" t="n">
        <v>3.8</v>
      </c>
    </row>
    <row r="16">
      <c r="A16" s="7" t="inlineStr">
        <is>
          <t>48</t>
        </is>
      </c>
      <c r="B16" s="27" t="n">
        <v>5.75</v>
      </c>
      <c r="C16" s="19" t="n">
        <v>1.19</v>
      </c>
      <c r="D16" s="11" t="inlineStr">
        <is>
          <t>1458 – 1595</t>
        </is>
      </c>
      <c r="E16" s="11" t="n">
        <v>137</v>
      </c>
      <c r="F16" s="11" t="n">
        <v>33.6</v>
      </c>
      <c r="G16" s="18" t="n">
        <v>0.6978</v>
      </c>
      <c r="H16" s="19" t="inlineStr">
        <is>
          <t>Por determinar</t>
        </is>
      </c>
      <c r="I16" s="11" t="inlineStr">
        <is>
          <t>s/d</t>
        </is>
      </c>
    </row>
    <row r="17">
      <c r="A17" s="14" t="inlineStr">
        <is>
          <t>55</t>
        </is>
      </c>
      <c r="B17" s="28" t="n">
        <v>0.86</v>
      </c>
      <c r="C17" s="21" t="n">
        <v>0.18</v>
      </c>
      <c r="D17" s="15" t="inlineStr">
        <is>
          <t>3066 – 3131</t>
        </is>
      </c>
      <c r="E17" s="15" t="n">
        <v>65</v>
      </c>
      <c r="F17" s="15" t="n">
        <v>30.04</v>
      </c>
      <c r="G17" s="20" t="n">
        <v>0.63</v>
      </c>
      <c r="H17" s="21" t="n">
        <v>100</v>
      </c>
      <c r="I17" s="21" t="n">
        <v>1.76</v>
      </c>
    </row>
    <row r="18">
      <c r="A18" s="16" t="inlineStr">
        <is>
          <t>TOTAL / PROMEDIO</t>
        </is>
      </c>
      <c r="B18" s="32">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0" t="n"/>
      <c r="C19" s="40" t="n"/>
      <c r="D19" s="40" t="n"/>
      <c r="E19" s="40" t="n"/>
      <c r="F19" s="40" t="n"/>
      <c r="G19" s="40" t="n"/>
      <c r="H19" s="40" t="n"/>
      <c r="I19" s="41" t="n"/>
    </row>
    <row r="21" ht="84" customHeight="1">
      <c r="A21" s="9" t="inlineStr">
        <is>
          <t>LECTURA INTRAMICROCUENCA. El bloque M28B3 ocupa el puesto 3 de 8 por superficie dentro de la microcuenca C1086-Q9575 (12.04 % de las 484.30 ha preliminares de la microcuenca). Su pendiente promedio (22.13 %, clase «15-25% (Fuert. inclinado)») es la 3.ª más baja de 8 y se sitúa por debajo del promedio de la microcuenca (25.51 %). Su MSAVI 2024 (0.5075) es el 6.º de 8 y queda por debajo del promedio local (0.6021). Amplitud altitudinal del bloque: 704 m (73–777 msnm). El cuadro conserva todos los bloques catalogados en la microcuenca, incluidos los descartados en el tamizaje, para referencia del conjunto. Los bloques sin ficha DT figuran con sus parámetros de gabinete. BRECHA ESPECTRAL. El 49.67 % de la superficie del bloque (28.952 ha de 58.292 ha) se sitúa bajo el umbral MSAVI 0.4976, por encima del promedio local de la microcuenca (32.64 %) calculado sobre los bloques con dato MSAVI disponible.</t>
        </is>
      </c>
      <c r="B21" s="40" t="n"/>
      <c r="C21" s="40" t="n"/>
      <c r="D21" s="40" t="n"/>
      <c r="E21" s="40" t="n"/>
      <c r="F21" s="40" t="n"/>
      <c r="G21" s="40" t="n"/>
      <c r="H21" s="40" t="n"/>
      <c r="I21" s="41"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0" t="n"/>
      <c r="C23" s="40" t="n"/>
      <c r="D23" s="40" t="n"/>
      <c r="E23" s="40" t="n"/>
      <c r="F23" s="40" t="n"/>
      <c r="G23" s="40" t="n"/>
      <c r="H23" s="40" t="n"/>
      <c r="I23" s="41" t="n"/>
    </row>
  </sheetData>
  <mergeCells count="10">
    <mergeCell ref="A19:I19"/>
    <mergeCell ref="A2:I2"/>
    <mergeCell ref="A5:I5"/>
    <mergeCell ref="A1:I1"/>
    <mergeCell ref="A23:I23"/>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M28B3</t>
        </is>
      </c>
    </row>
    <row r="6">
      <c r="A6" s="51" t="inlineStr">
        <is>
          <t>Cruce de la ficha de campo F-DT vigente con la ficha de resumen de gabinete y el catálogo maestro. Integración 2026-09-11 21:26:35.</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«C1086-Q9575».</t>
        </is>
      </c>
      <c r="D9" s="55" t="inlineStr">
        <is>
          <t>CONFORME</t>
        </is>
      </c>
      <c r="E9" s="55" t="inlineStr">
        <is>
          <t>Sin acción.</t>
        </is>
      </c>
    </row>
    <row r="10">
      <c r="A10" s="56" t="inlineStr">
        <is>
          <t>G-02</t>
        </is>
      </c>
      <c r="B10" s="56" t="inlineStr">
        <is>
          <t>UTM del punto de muestreo</t>
        </is>
      </c>
      <c r="C10" s="56" t="inlineStr">
        <is>
          <t>El punto de muestreo declarado dista 304.4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(600 msnm) cae dentro del rango altitudinal del bloque (73 - 777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(58.312 ha) se desvía 0.04 % de la superficie de catálogo (58.29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(58.292 ha) se desvía 0.00 % de la superficie de catálogo (58.29 ha).</t>
        </is>
      </c>
      <c r="D14" s="56" t="inlineStr">
        <is>
          <t>CONFORME</t>
        </is>
      </c>
      <c r="E14" s="56" t="inlineStr">
        <is>
          <t>Sin acción: la segmentación valida la geometría del bloque.</t>
        </is>
      </c>
    </row>
    <row r="15">
      <c r="A15" s="55" t="inlineStr">
        <is>
          <t>G-07</t>
        </is>
      </c>
      <c r="B15" s="55" t="inlineStr">
        <is>
          <t>Brecha espectral MSAVI</t>
        </is>
      </c>
      <c r="C15" s="55" t="inlineStr">
        <is>
          <t>El 49.67 % del bloque queda bajo el umbral 0.4976; superficie de brecha 28.95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58.29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(0.5075) cae en la clase «0.4976 - 0.6139 (Vigor moderado)» y la clase DN dominante por superficie es «DN 3 · 0.3813 - 0.4976 (Vigor bajo)».</t>
        </is>
      </c>
      <c r="D17" s="55" t="inlineStr">
        <is>
          <t>NO SUSTANTIVA</t>
        </is>
      </c>
      <c r="E17" s="55" t="inlineStr">
        <is>
          <t>Se declaran ambas lecturas: la media resume el bloque y la clase dominante su reparto areal.</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Uso actual dominante del suelo</t>
        </is>
      </c>
      <c r="C19" s="55" t="inlineStr">
        <is>
          <t>El libro de resumen V6 consignaba «Agricultura en secano»; la ficha de campo vigente declara «Agricultura secano».</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Responsable de la evaluación</t>
        </is>
      </c>
      <c r="C20" s="56" t="inlineStr">
        <is>
          <t>El libro de resumen V6 consignaba «Juan Domínguez y Pedro Talledo»; la ficha de campo vigente declara «Ing. Juan Dominguez».</t>
        </is>
      </c>
      <c r="D20" s="56" t="inlineStr">
        <is>
          <t>CORREGIDO</t>
        </is>
      </c>
      <c r="E20" s="56" t="inlineStr">
        <is>
          <t>Se adopta el valor de campo por ser la fuente que manda sobre el dato y la más reciente. El valor anterior queda declarado para trazabilidad.</t>
        </is>
      </c>
    </row>
    <row r="21">
      <c r="A21" s="55" t="inlineStr">
        <is>
          <t>F-01</t>
        </is>
      </c>
      <c r="B21" s="55" t="inlineStr">
        <is>
          <t>Fichas F-DT levantadas</t>
        </is>
      </c>
      <c r="C21" s="55" t="inlineStr">
        <is>
          <t>La plantilla de campo trae las cinco fichas F-DT-01 a F-DT-05 (completitud 96.4 % de los campos esperados).</t>
        </is>
      </c>
      <c r="D21" s="55" t="inlineStr">
        <is>
          <t>CONFORME</t>
        </is>
      </c>
      <c r="E21" s="55" t="inlineStr">
        <is>
          <t>Sin acción.</t>
        </is>
      </c>
    </row>
    <row r="22">
      <c r="A22" s="56" t="inlineStr">
        <is>
          <t>F-02</t>
        </is>
      </c>
      <c r="B22" s="56" t="inlineStr">
        <is>
          <t>Cobertura de la integración</t>
        </is>
      </c>
      <c r="C22" s="56" t="inlineStr">
        <is>
          <t>Se declararon 96 de 114 hechos integrados (84.2 %); 18 quedan sin dato en ninguna fuente.</t>
        </is>
      </c>
      <c r="D22" s="56" t="inlineStr">
        <is>
          <t>CONFORME</t>
        </is>
      </c>
      <c r="E22" s="56" t="inlineStr">
        <is>
          <t>Sin acción.</t>
        </is>
      </c>
    </row>
    <row r="23">
      <c r="A23" s="55" t="inlineStr">
        <is>
          <t>H-01</t>
        </is>
      </c>
      <c r="B23" s="55" t="inlineStr">
        <is>
          <t>Rango de pendiente dominante</t>
        </is>
      </c>
      <c r="C23" s="55" t="inlineStr">
        <is>
          <t>La ficha DT declara «25-50% (Mod. escarpado)»; la estadística zonal sobre el MDE arroja una pendiente promedio de 22.13 %, que corresponde a la clase «15-25% (Fuert. inclinado)»</t>
        </is>
      </c>
      <c r="D23" s="55" t="inlineStr">
        <is>
          <t>NO SUSTANTIVA</t>
        </is>
      </c>
      <c r="E23"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6" t="inlineStr">
        <is>
          <t>H-02</t>
        </is>
      </c>
      <c r="B24" s="56" t="inlineStr">
        <is>
          <t>Elenco florístico</t>
        </is>
      </c>
      <c r="C24" s="56" t="inlineStr">
        <is>
          <t>La ficha registra 4 taxones, por debajo del mínimo de 15 que exige el formato V5</t>
        </is>
      </c>
      <c r="D24" s="56" t="inlineStr">
        <is>
          <t>SUSTANTIVA</t>
        </is>
      </c>
      <c r="E24" s="56" t="inlineStr">
        <is>
          <t>Registro florístico preliminar, sin colecta ni determinación botánica formal. Debe cerrarse con colecta botánica en la siguiente campaña. (Verificación heredada de la ficha de resumen V6.)</t>
        </is>
      </c>
    </row>
    <row r="25">
      <c r="A25" s="55" t="inlineStr">
        <is>
          <t>H-03</t>
        </is>
      </c>
      <c r="B25" s="55" t="inlineStr">
        <is>
          <t>Representatividad del levantamiento</t>
        </is>
      </c>
      <c r="C25" s="55" t="inlineStr">
        <is>
          <t>Ninguna de las estaciones fotográficas georreferenciadas se localiza dentro del polígono del bloque</t>
        </is>
      </c>
      <c r="D25" s="55" t="inlineStr">
        <is>
          <t>SUSTANTIVA</t>
        </is>
      </c>
      <c r="E25" s="55" t="inlineStr">
        <is>
          <t>La verificación documenta el perímetro y la vista panorámica del bloque, no su interior. Los parámetros que exigen recorrido interno se consignan «Por determinar». (Verificación heredada de la ficha de resumen V6.)</t>
        </is>
      </c>
    </row>
    <row r="26">
      <c r="A26" s="56" t="inlineStr">
        <is>
          <t>H-04</t>
        </is>
      </c>
      <c r="B26" s="56" t="inlineStr">
        <is>
          <t>Centro poblado asociado</t>
        </is>
      </c>
      <c r="C26" s="56" t="inlineStr">
        <is>
          <t>La ficha DT declara «Ricardo Palma»; el cruce INEI-Bloques V5 identifica 1 centro(s) poblado(s) en el bloque: RICARDO PALMA</t>
        </is>
      </c>
      <c r="D26" s="56" t="inlineStr">
        <is>
          <t>CONFORME</t>
        </is>
      </c>
      <c r="E26" s="56" t="inlineStr">
        <is>
          <t>Se conserva el registro de campo como referencia y se adopta el listado INEI para el diagnóstico social y el cálculo de población beneficiaria. (Verificación heredada de la ficha de resumen V6.)</t>
        </is>
      </c>
    </row>
    <row r="27">
      <c r="A27" s="55" t="inlineStr">
        <is>
          <t>H-05</t>
        </is>
      </c>
      <c r="B27" s="55" t="inlineStr">
        <is>
          <t>F-DT-01</t>
        </is>
      </c>
      <c r="C27" s="55" t="inlineStr">
        <is>
          <t>Las coordenadas declaradas (645 575 E / 9 426 864 N) corresponden al valor por defecto de ESTE de la plantilla y distan ~11.5 km del centroide del bloque en el catálogo (634 061 E / 9 426 780 N)</t>
        </is>
      </c>
      <c r="D27" s="55" t="inlineStr">
        <is>
          <t>SUSTANTIVA</t>
        </is>
      </c>
      <c r="E27" s="55" t="inlineStr">
        <is>
          <t>Se conserva la declaración de la ficha y se anota el centroide del catálogo; requiere ratificación del punto de muestreo (Verificación heredada de la ficha de resumen V6.)</t>
        </is>
      </c>
    </row>
    <row r="28">
      <c r="A28" s="56" t="inlineStr">
        <is>
          <t>H-06</t>
        </is>
      </c>
      <c r="B28" s="56" t="inlineStr">
        <is>
          <t>F-DT-03 / F-DT-04</t>
        </is>
      </c>
      <c r="C28" s="56" t="inlineStr">
        <is>
          <t>El contenido de las secciones F-DT-03 y F-DT-04 es IDÉNTICO al de la ficha del bloque M28B2 (mismas coberturas, mismos 4 taxones con iguales DAP y alturas, misma matriz de causas y mismos indicadores)</t>
        </is>
      </c>
      <c r="D28" s="56" t="inlineStr">
        <is>
          <t>SUSTANTIVA</t>
        </is>
      </c>
      <c r="E28" s="56" t="inlineStr">
        <is>
          <t>Se registra como probable transferencia de ficha entre bloques; requiere verificación de campo diferenciada (Verificación heredada de la ficha de resumen V6.)</t>
        </is>
      </c>
    </row>
    <row r="29">
      <c r="A29" s="55" t="inlineStr">
        <is>
          <t>H-07</t>
        </is>
      </c>
      <c r="B29" s="55" t="inlineStr">
        <is>
          <t>F-DT-05</t>
        </is>
      </c>
      <c r="C29" s="55" t="inlineStr">
        <is>
          <t>Inventario de fuentes de agua vacío</t>
        </is>
      </c>
      <c r="D29" s="55" t="inlineStr">
        <is>
          <t>NO SUSTANTIVA</t>
        </is>
      </c>
      <c r="E29" s="55" t="inlineStr">
        <is>
          <t>Evaluación en época seca; requiere verificación en época húmeda (Verificación heredada de la ficha de resumen V6.)</t>
        </is>
      </c>
    </row>
    <row r="31">
      <c r="A31" s="57" t="inlineStr">
        <is>
          <t>RESUMEN</t>
        </is>
      </c>
      <c r="B31" s="58" t="inlineStr">
        <is>
          <t>21 verificaciones</t>
        </is>
      </c>
      <c r="C31" s="58" t="inlineStr">
        <is>
          <t>SUSTANTIVA: 5 · NO SUSTANTIVA: 3 · CORREGIDO: 2 · CONFORME: 11</t>
        </is>
      </c>
    </row>
    <row r="33">
      <c r="A33"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M28B3</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5. Ecosistema, cobertura y flora (F-DT-03)</t>
        </is>
      </c>
      <c r="B9" s="55" t="inlineStr">
        <is>
          <t>Uso actual dominante del suelo</t>
        </is>
      </c>
      <c r="C9" s="55" t="inlineStr">
        <is>
          <t>Agricultura en secano</t>
        </is>
      </c>
      <c r="D9" s="55" t="inlineStr">
        <is>
          <t>Agricultura secano</t>
        </is>
      </c>
      <c r="E9" s="55" t="inlineStr">
        <is>
          <t>Dato de campo</t>
        </is>
      </c>
    </row>
    <row r="10">
      <c r="A10" s="56" t="inlineStr">
        <is>
          <t>8. Responsable y modalidad de la evaluación</t>
        </is>
      </c>
      <c r="B10" s="56" t="inlineStr">
        <is>
          <t>Responsable de la evaluación</t>
        </is>
      </c>
      <c r="C10" s="56" t="inlineStr">
        <is>
          <t>Juan Domínguez y Pedro Talledo</t>
        </is>
      </c>
      <c r="D10" s="56" t="inlineStr">
        <is>
          <t>Ing. Juan Dominguez</t>
        </is>
      </c>
      <c r="E10" s="56" t="inlineStr">
        <is>
          <t>Dato de campo</t>
        </is>
      </c>
    </row>
    <row r="12">
      <c r="A12" s="53" t="inlineStr">
        <is>
          <t>B. HECHOS APORTADOS ÚNICAMENTE POR LA FICHA DE CAMPO</t>
        </is>
      </c>
    </row>
    <row r="13">
      <c r="A13" s="54" t="inlineStr">
        <is>
          <t>Sección</t>
        </is>
      </c>
      <c r="B13" s="54" t="inlineStr">
        <is>
          <t>Hecho</t>
        </is>
      </c>
      <c r="C13" s="54" t="inlineStr">
        <is>
          <t>Valor</t>
        </is>
      </c>
      <c r="D13" s="54" t="inlineStr">
        <is>
          <t>Unidad</t>
        </is>
      </c>
    </row>
    <row r="14">
      <c r="A14" s="55" t="inlineStr">
        <is>
          <t>1. Identificación y localización</t>
        </is>
      </c>
      <c r="B14" s="55" t="inlineStr">
        <is>
          <t>UTM ESTE del punto de muestreo (m)</t>
        </is>
      </c>
      <c r="C14" s="55" t="inlineStr">
        <is>
          <t>634353</t>
        </is>
      </c>
      <c r="D14" s="55" t="inlineStr">
        <is>
          <t>m</t>
        </is>
      </c>
    </row>
    <row r="15">
      <c r="A15" s="56" t="inlineStr">
        <is>
          <t>1. Identificación y localización</t>
        </is>
      </c>
      <c r="B15" s="56" t="inlineStr">
        <is>
          <t>UTM NORTE del punto de muestreo (m)</t>
        </is>
      </c>
      <c r="C15" s="56" t="inlineStr">
        <is>
          <t>9426864</t>
        </is>
      </c>
      <c r="D15" s="56" t="inlineStr">
        <is>
          <t>m</t>
        </is>
      </c>
    </row>
    <row r="16">
      <c r="A16" s="55" t="inlineStr">
        <is>
          <t>2. Parámetros físicos del terreno</t>
        </is>
      </c>
      <c r="B16" s="55" t="inlineStr">
        <is>
          <t>Altitud GPS del punto de muestreo (msnm)</t>
        </is>
      </c>
      <c r="C16" s="55" t="inlineStr">
        <is>
          <t>600</t>
        </is>
      </c>
      <c r="D16" s="55" t="inlineStr">
        <is>
          <t>msnm</t>
        </is>
      </c>
    </row>
    <row r="17">
      <c r="A17" s="56" t="inlineStr">
        <is>
          <t>2. Parámetros físicos del terreno</t>
        </is>
      </c>
      <c r="B17" s="56" t="inlineStr">
        <is>
          <t>Piso altitudinal del punto de muestreo</t>
        </is>
      </c>
      <c r="C17" s="56" t="inlineStr">
        <is>
          <t>580 - 750 msnm</t>
        </is>
      </c>
      <c r="D17" s="56" t="inlineStr"/>
    </row>
    <row r="18">
      <c r="A18" s="55" t="inlineStr">
        <is>
          <t>2. Parámetros físicos del terreno</t>
        </is>
      </c>
      <c r="B18" s="55" t="inlineStr">
        <is>
          <t>Paisaje dominante descrito en campo</t>
        </is>
      </c>
      <c r="C18" s="55" t="inlineStr">
        <is>
          <t>Sistema de laderas convexo-cóncavas tributarias de la quebrada Q9575 (microcuenca C1086), con altitudes de 580 a 750 msnm y desniveles internos. Paisaje de colina baja, dominado por bosque estacionalmente seco de colina.</t>
        </is>
      </c>
      <c r="D18" s="55" t="inlineStr"/>
    </row>
    <row r="19">
      <c r="A19" s="56" t="inlineStr">
        <is>
          <t>2. Parámetros físicos del terreno</t>
        </is>
      </c>
      <c r="B19" s="56" t="inlineStr">
        <is>
          <t>Reptación de suelo</t>
        </is>
      </c>
      <c r="C19" s="56" t="inlineStr">
        <is>
          <t>No</t>
        </is>
      </c>
      <c r="D19" s="56" t="inlineStr"/>
    </row>
    <row r="20">
      <c r="A20" s="55" t="inlineStr">
        <is>
          <t>2. Parámetros físicos del terreno</t>
        </is>
      </c>
      <c r="B20" s="55" t="inlineStr">
        <is>
          <t>Deslizamientos antiguos</t>
        </is>
      </c>
      <c r="C20" s="55" t="inlineStr">
        <is>
          <t>Sí</t>
        </is>
      </c>
      <c r="D20" s="55" t="inlineStr"/>
    </row>
    <row r="21">
      <c r="A21" s="56" t="inlineStr">
        <is>
          <t>4. Suelos y erosión (F-DT-02)</t>
        </is>
      </c>
      <c r="B21" s="56" t="inlineStr">
        <is>
          <t>Nivel de erosión - síntesis de campo</t>
        </is>
      </c>
      <c r="C21" s="56" t="inlineStr">
        <is>
          <t>Ligera (laminar)</t>
        </is>
      </c>
      <c r="D21" s="56" t="inlineStr"/>
    </row>
    <row r="22">
      <c r="A22" s="55" t="inlineStr">
        <is>
          <t>4. Suelos y erosión (F-DT-02)</t>
        </is>
      </c>
      <c r="B22" s="55" t="inlineStr">
        <is>
          <t>Sellamiento / costra superficial</t>
        </is>
      </c>
      <c r="C22" s="55" t="inlineStr">
        <is>
          <t>No</t>
        </is>
      </c>
      <c r="D22" s="55" t="inlineStr"/>
    </row>
    <row r="23">
      <c r="A23" s="56" t="inlineStr">
        <is>
          <t>4. Suelos y erosión (F-DT-02)</t>
        </is>
      </c>
      <c r="B23" s="56" t="inlineStr">
        <is>
          <t>Compactación por pisoteo</t>
        </is>
      </c>
      <c r="C23" s="56" t="inlineStr">
        <is>
          <t>Sí</t>
        </is>
      </c>
      <c r="D23" s="56" t="inlineStr"/>
    </row>
    <row r="24">
      <c r="A24" s="55" t="inlineStr">
        <is>
          <t>4. Suelos y erosión (F-DT-02)</t>
        </is>
      </c>
      <c r="B24" s="55" t="inlineStr">
        <is>
          <t>Raíces expuestas</t>
        </is>
      </c>
      <c r="C24" s="55" t="inlineStr">
        <is>
          <t>No</t>
        </is>
      </c>
      <c r="D24" s="55" t="inlineStr"/>
    </row>
    <row r="25">
      <c r="A25" s="56" t="inlineStr">
        <is>
          <t>4. Suelos y erosión (F-DT-02)</t>
        </is>
      </c>
      <c r="B25" s="56" t="inlineStr">
        <is>
          <t>% del bloque afectado por cárcavas</t>
        </is>
      </c>
      <c r="C25" s="56" t="inlineStr">
        <is>
          <t>0</t>
        </is>
      </c>
      <c r="D25" s="56" t="inlineStr">
        <is>
          <t>%</t>
        </is>
      </c>
    </row>
    <row r="26">
      <c r="A26" s="55" t="inlineStr">
        <is>
          <t>4. Suelos y erosión (F-DT-02)</t>
        </is>
      </c>
      <c r="B26" s="55" t="inlineStr">
        <is>
          <t>Socavamiento de cauce</t>
        </is>
      </c>
      <c r="C26" s="55" t="inlineStr">
        <is>
          <t>No</t>
        </is>
      </c>
      <c r="D26" s="55" t="inlineStr"/>
    </row>
    <row r="27">
      <c r="A27" s="56" t="inlineStr">
        <is>
          <t>5. Ecosistema, cobertura y flora (F-DT-03)</t>
        </is>
      </c>
      <c r="B27" s="56" t="inlineStr">
        <is>
          <t>Cobertura del dosel (%)</t>
        </is>
      </c>
      <c r="C27" s="56" t="inlineStr">
        <is>
          <t>60</t>
        </is>
      </c>
      <c r="D27" s="56" t="inlineStr">
        <is>
          <t>%</t>
        </is>
      </c>
    </row>
    <row r="28">
      <c r="A28" s="55" t="inlineStr">
        <is>
          <t>5. Ecosistema, cobertura y flora (F-DT-03)</t>
        </is>
      </c>
      <c r="B28" s="55" t="inlineStr">
        <is>
          <t>Cobertura herbácea (%)</t>
        </is>
      </c>
      <c r="C28" s="55" t="inlineStr">
        <is>
          <t>30</t>
        </is>
      </c>
      <c r="D28" s="55" t="inlineStr">
        <is>
          <t>%</t>
        </is>
      </c>
    </row>
    <row r="29">
      <c r="A29" s="56" t="inlineStr">
        <is>
          <t>5. Ecosistema, cobertura y flora (F-DT-03)</t>
        </is>
      </c>
      <c r="B29" s="56" t="inlineStr">
        <is>
          <t>Altura máxima registrada (m)</t>
        </is>
      </c>
      <c r="C29" s="56" t="inlineStr">
        <is>
          <t>8</t>
        </is>
      </c>
      <c r="D29" s="56" t="inlineStr">
        <is>
          <t>m</t>
        </is>
      </c>
    </row>
    <row r="30">
      <c r="A30" s="55" t="inlineStr">
        <is>
          <t>5. Ecosistema, cobertura y flora (F-DT-03)</t>
        </is>
      </c>
      <c r="B30" s="55" t="inlineStr">
        <is>
          <t>Presencia de epífitas</t>
        </is>
      </c>
      <c r="C30" s="55" t="inlineStr">
        <is>
          <t>Sí</t>
        </is>
      </c>
      <c r="D30" s="55" t="inlineStr"/>
    </row>
    <row r="31">
      <c r="A31" s="56" t="inlineStr">
        <is>
          <t>5. Ecosistema, cobertura y flora (F-DT-03)</t>
        </is>
      </c>
      <c r="B31" s="56" t="inlineStr">
        <is>
          <t>Fenología dominante</t>
        </is>
      </c>
      <c r="C31" s="56" t="inlineStr">
        <is>
          <t>Vegetativo</t>
        </is>
      </c>
      <c r="D31" s="56" t="inlineStr"/>
    </row>
    <row r="32">
      <c r="A32" s="55" t="inlineStr">
        <is>
          <t>6. Degradación, causas y urgencia (F-DT-04)</t>
        </is>
      </c>
      <c r="B32" s="55" t="inlineStr">
        <is>
          <t>Causas directas de la degradación</t>
        </is>
      </c>
      <c r="C32" s="55" t="inlineStr">
        <is>
          <t>Extraccion de individuos para leña y sobrepastoreo de ganado caprino.</t>
        </is>
      </c>
      <c r="D32" s="55" t="inlineStr"/>
    </row>
    <row r="33">
      <c r="A33" s="56" t="inlineStr">
        <is>
          <t>6. Degradación, causas y urgencia (F-DT-04)</t>
        </is>
      </c>
      <c r="B33" s="56" t="inlineStr">
        <is>
          <t>N.° de causas activas en la matriz F-DT-04</t>
        </is>
      </c>
      <c r="C33" s="56" t="inlineStr">
        <is>
          <t>4</t>
        </is>
      </c>
      <c r="D33" s="56" t="inlineStr"/>
    </row>
    <row r="34">
      <c r="A34" s="55" t="inlineStr">
        <is>
          <t>7. Hidrología, acceso y logística (F-DT-05)</t>
        </is>
      </c>
      <c r="B34" s="55" t="inlineStr">
        <is>
          <t>Escorrentía concentrada</t>
        </is>
      </c>
      <c r="C34" s="55" t="inlineStr">
        <is>
          <t>No</t>
        </is>
      </c>
      <c r="D34" s="55" t="inlineStr"/>
    </row>
    <row r="35">
      <c r="A35" s="56" t="inlineStr">
        <is>
          <t>7. Hidrología, acceso y logística (F-DT-05)</t>
        </is>
      </c>
      <c r="B35" s="56" t="inlineStr">
        <is>
          <t>Interferencia con riego</t>
        </is>
      </c>
      <c r="C35" s="56" t="inlineStr">
        <is>
          <t>No</t>
        </is>
      </c>
      <c r="D35" s="56" t="inlineStr"/>
    </row>
    <row r="36">
      <c r="A36" s="55" t="inlineStr">
        <is>
          <t>7. Hidrología, acceso y logística (F-DT-05)</t>
        </is>
      </c>
      <c r="B36" s="55" t="inlineStr">
        <is>
          <t>Tipo de vía del tramo final</t>
        </is>
      </c>
      <c r="C36" s="55" t="inlineStr">
        <is>
          <t>Vecinal afirmada</t>
        </is>
      </c>
      <c r="D36" s="55" t="inlineStr"/>
    </row>
    <row r="37">
      <c r="A37" s="56" t="inlineStr">
        <is>
          <t>7. Hidrología, acceso y logística (F-DT-05)</t>
        </is>
      </c>
      <c r="B37" s="56" t="inlineStr">
        <is>
          <t>Transitabilidad en época seca</t>
        </is>
      </c>
      <c r="C37" s="56" t="inlineStr">
        <is>
          <t>Bajo</t>
        </is>
      </c>
      <c r="D37" s="56" t="inlineStr"/>
    </row>
    <row r="38">
      <c r="A38" s="55" t="inlineStr">
        <is>
          <t>7. Hidrología, acceso y logística (F-DT-05)</t>
        </is>
      </c>
      <c r="B38" s="55" t="inlineStr">
        <is>
          <t>Transitabilidad en época lluviosa</t>
        </is>
      </c>
      <c r="C38" s="55" t="inlineStr">
        <is>
          <t>Bajo</t>
        </is>
      </c>
      <c r="D38" s="55" t="inlineStr"/>
    </row>
    <row r="39">
      <c r="A39" s="56" t="inlineStr">
        <is>
          <t>7. Hidrología, acceso y logística (F-DT-05)</t>
        </is>
      </c>
      <c r="B39" s="56" t="inlineStr">
        <is>
          <t>Tiempo a la capital distrital (min)</t>
        </is>
      </c>
      <c r="C39" s="56" t="inlineStr">
        <is>
          <t>10</t>
        </is>
      </c>
      <c r="D39" s="56" t="inlineStr">
        <is>
          <t>min</t>
        </is>
      </c>
    </row>
    <row r="40">
      <c r="A40" s="55" t="inlineStr">
        <is>
          <t>7. Hidrología, acceso y logística (F-DT-05)</t>
        </is>
      </c>
      <c r="B40" s="55" t="inlineStr">
        <is>
          <t>Señal celular</t>
        </is>
      </c>
      <c r="C40" s="55" t="inlineStr">
        <is>
          <t>Intermitente</t>
        </is>
      </c>
      <c r="D40" s="55" t="inlineStr"/>
    </row>
    <row r="41">
      <c r="A41" s="56" t="inlineStr">
        <is>
          <t>7. Hidrología, acceso y logística (F-DT-05)</t>
        </is>
      </c>
      <c r="B41" s="56" t="inlineStr">
        <is>
          <t>Operador con cobertura</t>
        </is>
      </c>
      <c r="C41" s="56" t="inlineStr">
        <is>
          <t>Entel</t>
        </is>
      </c>
      <c r="D41" s="56" t="inlineStr"/>
    </row>
    <row r="42">
      <c r="A42" s="55" t="inlineStr">
        <is>
          <t>7. Hidrología, acceso y logística (F-DT-05)</t>
        </is>
      </c>
      <c r="B42" s="55" t="inlineStr">
        <is>
          <t>Alojamiento disponible en la zona</t>
        </is>
      </c>
      <c r="C42" s="55" t="inlineStr">
        <is>
          <t>No</t>
        </is>
      </c>
      <c r="D42" s="55" t="inlineStr"/>
    </row>
    <row r="43">
      <c r="A43" s="56" t="inlineStr">
        <is>
          <t>7. Hidrología, acceso y logística (F-DT-05)</t>
        </is>
      </c>
      <c r="B43" s="56" t="inlineStr">
        <is>
          <t>Requiere coordinación con ronda / comunidad</t>
        </is>
      </c>
      <c r="C43" s="56" t="inlineStr">
        <is>
          <t>Sí</t>
        </is>
      </c>
      <c r="D43" s="56" t="inlineStr"/>
    </row>
    <row r="45">
      <c r="A45" s="53" t="inlineStr">
        <is>
          <t>C. PROCEDENCIA DE LOS HECHOS DECLARADOS</t>
        </is>
      </c>
    </row>
    <row r="46">
      <c r="A46" s="54" t="inlineStr">
        <is>
          <t>Fuente</t>
        </is>
      </c>
      <c r="B46" s="54" t="inlineStr">
        <is>
          <t>Hechos</t>
        </is>
      </c>
      <c r="C46" s="54" t="inlineStr">
        <is>
          <t>Alcance de la fuente</t>
        </is>
      </c>
    </row>
    <row r="47">
      <c r="A47" s="55" t="inlineStr">
        <is>
          <t>Dato de campo</t>
        </is>
      </c>
      <c r="B47" s="55" t="n">
        <v>57</v>
      </c>
      <c r="C47" s="55" t="inlineStr">
        <is>
          <t>Verificación en campo. Fichas F-DT-01 a F-DT-05 de la Plantilla DT Campo Check Validada V5, suscritas por el evaluador.</t>
        </is>
      </c>
    </row>
    <row r="48">
      <c r="A48" s="56" t="inlineStr">
        <is>
          <t>Gabinete (GIS / teledetección)</t>
        </is>
      </c>
      <c r="B48" s="56" t="n">
        <v>25</v>
      </c>
      <c r="C48" s="56" t="inlineStr">
        <is>
          <t>Gabinete. Estadística zonal sobre el MDE y compuestos Sentinel-2 (NDVI mediana 2025, MSAVI 2024 por clase DN).</t>
        </is>
      </c>
    </row>
    <row r="49">
      <c r="A49" s="55" t="inlineStr">
        <is>
          <t>Fuente oficial</t>
        </is>
      </c>
      <c r="B49" s="55" t="n">
        <v>14</v>
      </c>
      <c r="C49" s="55" t="inlineStr">
        <is>
          <t>Fuente oficial. Catálogo maestro Bloques V5/V6, división política INEI y codificación de microcuencas de la ANA.</t>
        </is>
      </c>
    </row>
    <row r="51">
      <c r="A51" s="53" t="inlineStr">
        <is>
          <t>D. ESTADO DEL CRUCE ENTRE FUENTES</t>
        </is>
      </c>
    </row>
    <row r="52">
      <c r="A52" s="54" t="inlineStr">
        <is>
          <t>Estado</t>
        </is>
      </c>
      <c r="B52" s="54" t="inlineStr">
        <is>
          <t>Hechos</t>
        </is>
      </c>
      <c r="C52" s="54" t="inlineStr">
        <is>
          <t>Significado</t>
        </is>
      </c>
    </row>
    <row r="53">
      <c r="A53" s="55" t="inlineStr">
        <is>
          <t>CONFORME</t>
        </is>
      </c>
      <c r="B53" s="55" t="n">
        <v>91</v>
      </c>
      <c r="C53" s="55" t="inlineStr">
        <is>
          <t>Las dos fuentes declaran lo mismo, o solo la fuente que manda sobre el hecho lo declara.</t>
        </is>
      </c>
    </row>
    <row r="54">
      <c r="A54" s="56" t="inlineStr">
        <is>
          <t>COMPLEMENTADO</t>
        </is>
      </c>
      <c r="B54" s="56" t="n">
        <v>3</v>
      </c>
      <c r="C54" s="56" t="inlineStr">
        <is>
          <t>Solo una de las fuentes lo declara y se adopta ese valor.</t>
        </is>
      </c>
    </row>
    <row r="55">
      <c r="A55" s="55" t="inlineStr">
        <is>
          <t>ACTUALIZADO</t>
        </is>
      </c>
      <c r="B55" s="55" t="n">
        <v>2</v>
      </c>
      <c r="C55" s="55" t="inlineStr">
        <is>
          <t>La verificación de campo vigente corrige lo que traía el libro de resumen.</t>
        </is>
      </c>
    </row>
    <row r="56">
      <c r="A56" s="56" t="inlineStr">
        <is>
          <t>DISCREPANTE</t>
        </is>
      </c>
      <c r="B56" s="56" t="n">
        <v>0</v>
      </c>
      <c r="C56" s="56" t="inlineStr">
        <is>
          <t>Las fuentes se contradicen; prevalece la que manda sobre el hecho y la otra queda declarada.</t>
        </is>
      </c>
    </row>
    <row r="57">
      <c r="A57" s="55" t="inlineStr">
        <is>
          <t>PENDIENTE</t>
        </is>
      </c>
      <c r="B57" s="55" t="n">
        <v>18</v>
      </c>
      <c r="C57"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M28B3</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Pasallo</t>
        </is>
      </c>
      <c r="C13" s="55" t="inlineStr"/>
      <c r="D13" s="55" t="inlineStr"/>
      <c r="E13" s="55" t="inlineStr">
        <is>
          <t>Arbóreo medio (8-15 m)</t>
        </is>
      </c>
      <c r="F13" s="55" t="inlineStr">
        <is>
          <t>Nativa</t>
        </is>
      </c>
      <c r="G13" s="55" t="inlineStr">
        <is>
          <t>Abundante (20-40%)</t>
        </is>
      </c>
      <c r="H13" s="60" t="n">
        <v>30</v>
      </c>
      <c r="I13" s="61" t="n">
        <v>8</v>
      </c>
    </row>
    <row r="14">
      <c r="A14" s="56" t="inlineStr">
        <is>
          <t>2</t>
        </is>
      </c>
      <c r="B14" s="56" t="inlineStr">
        <is>
          <t>Charan</t>
        </is>
      </c>
      <c r="C14" s="56" t="inlineStr"/>
      <c r="D14" s="56" t="inlineStr"/>
      <c r="E14" s="56" t="inlineStr">
        <is>
          <t>Arbóreo bajo (4-8 m)</t>
        </is>
      </c>
      <c r="F14" s="56" t="inlineStr">
        <is>
          <t>Nativa</t>
        </is>
      </c>
      <c r="G14" s="56" t="inlineStr">
        <is>
          <t>Dominante (&gt;40%)</t>
        </is>
      </c>
      <c r="H14" s="62" t="n">
        <v>20</v>
      </c>
      <c r="I14" s="63" t="n">
        <v>5</v>
      </c>
    </row>
    <row r="15">
      <c r="A15" s="55" t="inlineStr">
        <is>
          <t>3</t>
        </is>
      </c>
      <c r="B15" s="55" t="inlineStr">
        <is>
          <t>Ceibo</t>
        </is>
      </c>
      <c r="C15" s="55" t="inlineStr"/>
      <c r="D15" s="55" t="inlineStr"/>
      <c r="E15" s="55" t="inlineStr">
        <is>
          <t>Arbóreo medio (8-15 m)</t>
        </is>
      </c>
      <c r="F15" s="55" t="inlineStr">
        <is>
          <t>Nativa</t>
        </is>
      </c>
      <c r="G15" s="55" t="inlineStr">
        <is>
          <t>Ocasional (1-5%)</t>
        </is>
      </c>
      <c r="H15" s="60" t="n">
        <v>40</v>
      </c>
      <c r="I15" s="60" t="n">
        <v>12</v>
      </c>
    </row>
    <row r="16">
      <c r="A16" s="56" t="inlineStr">
        <is>
          <t>4</t>
        </is>
      </c>
      <c r="B16" s="56" t="inlineStr">
        <is>
          <t>Palo Santo</t>
        </is>
      </c>
      <c r="C16" s="56" t="inlineStr"/>
      <c r="D16" s="56" t="inlineStr"/>
      <c r="E16" s="56" t="inlineStr">
        <is>
          <t>Arbóreo medio (8-15 m)</t>
        </is>
      </c>
      <c r="F16" s="56" t="inlineStr">
        <is>
          <t>Nativa</t>
        </is>
      </c>
      <c r="G16" s="56" t="inlineStr">
        <is>
          <t>Ocasional (1-5%)</t>
        </is>
      </c>
      <c r="H16" s="62" t="n">
        <v>30</v>
      </c>
      <c r="I16" s="63" t="n">
        <v>7</v>
      </c>
    </row>
    <row r="18">
      <c r="A18" s="53" t="inlineStr">
        <is>
          <t>F-DT-03 · ESPECIES CLAVE GEORREFERENCIADAS</t>
        </is>
      </c>
    </row>
    <row r="19">
      <c r="A19" s="54" t="inlineStr">
        <is>
          <t>N.o</t>
        </is>
      </c>
      <c r="B19" s="54" t="inlineStr">
        <is>
          <t>Especie</t>
        </is>
      </c>
      <c r="C19" s="54" t="inlineStr">
        <is>
          <t>Categoría</t>
        </is>
      </c>
      <c r="D19" s="54" t="inlineStr">
        <is>
          <t>Estado UICN</t>
        </is>
      </c>
      <c r="E19" s="54" t="inlineStr">
        <is>
          <t>UTM ESTE</t>
        </is>
      </c>
      <c r="F19" s="54" t="inlineStr">
        <is>
          <t>UTM NORTE</t>
        </is>
      </c>
      <c r="G19" s="54" t="inlineStr">
        <is>
          <t>N.° individuos</t>
        </is>
      </c>
      <c r="H19" s="54" t="inlineStr">
        <is>
          <t>Observación</t>
        </is>
      </c>
    </row>
    <row r="21">
      <c r="A21" s="53" t="inlineStr">
        <is>
          <t>F-DT-04 · MATRIZ DE CAUSAS DE DEGRADACIÓN</t>
        </is>
      </c>
    </row>
    <row r="22">
      <c r="A22" s="54" t="inlineStr">
        <is>
          <t>N.o</t>
        </is>
      </c>
      <c r="B22" s="54" t="inlineStr">
        <is>
          <t>Causa</t>
        </is>
      </c>
      <c r="C22" s="54" t="inlineStr">
        <is>
          <t>Presencia</t>
        </is>
      </c>
      <c r="D22" s="54" t="inlineStr">
        <is>
          <t>Intensidad</t>
        </is>
      </c>
      <c r="E22" s="54" t="inlineStr">
        <is>
          <t>Extensión</t>
        </is>
      </c>
      <c r="F22" s="54" t="inlineStr">
        <is>
          <t>Antigüedad</t>
        </is>
      </c>
      <c r="G22" s="54" t="inlineStr">
        <is>
          <t>Evidencia</t>
        </is>
      </c>
    </row>
    <row r="23">
      <c r="A23" s="55" t="inlineStr">
        <is>
          <t>1</t>
        </is>
      </c>
      <c r="B23" s="55" t="inlineStr">
        <is>
          <t>Sobrepastoreo (caprino/vacuno)</t>
        </is>
      </c>
      <c r="C23" s="55" t="inlineStr">
        <is>
          <t>Sí</t>
        </is>
      </c>
      <c r="D23" s="55" t="inlineStr">
        <is>
          <t>Moderada</t>
        </is>
      </c>
      <c r="E23" s="55" t="inlineStr">
        <is>
          <t>25</t>
        </is>
      </c>
      <c r="F23" s="55" t="inlineStr">
        <is>
          <t>20</t>
        </is>
      </c>
      <c r="G23" s="55" t="inlineStr">
        <is>
          <t>Se observo ganado caprino en areas cercanas al talud</t>
        </is>
      </c>
    </row>
    <row r="24">
      <c r="A24" s="56" t="inlineStr">
        <is>
          <t>2</t>
        </is>
      </c>
      <c r="B24" s="56" t="inlineStr">
        <is>
          <t>Tala para leña</t>
        </is>
      </c>
      <c r="C24" s="56" t="inlineStr">
        <is>
          <t>Sí</t>
        </is>
      </c>
      <c r="D24" s="56" t="inlineStr">
        <is>
          <t>Moderada</t>
        </is>
      </c>
      <c r="E24" s="56" t="inlineStr">
        <is>
          <t>10</t>
        </is>
      </c>
      <c r="F24" s="56" t="inlineStr">
        <is>
          <t>10</t>
        </is>
      </c>
      <c r="G24" s="56" t="inlineStr">
        <is>
          <t>Se observaron tocones en areas cercanas al talud</t>
        </is>
      </c>
    </row>
    <row r="25">
      <c r="A25" s="55" t="inlineStr">
        <is>
          <t>3</t>
        </is>
      </c>
      <c r="B25" s="55" t="inlineStr">
        <is>
          <t>Tala para carbón</t>
        </is>
      </c>
      <c r="C25" s="55" t="inlineStr"/>
      <c r="D25" s="55" t="inlineStr"/>
      <c r="E25" s="55" t="inlineStr"/>
      <c r="F25" s="55" t="inlineStr"/>
      <c r="G25" s="55" t="inlineStr"/>
    </row>
    <row r="26">
      <c r="A26" s="56" t="inlineStr">
        <is>
          <t>4</t>
        </is>
      </c>
      <c r="B26" s="56" t="inlineStr">
        <is>
          <t>Tala para madera</t>
        </is>
      </c>
      <c r="C26" s="56" t="inlineStr"/>
      <c r="D26" s="56" t="inlineStr"/>
      <c r="E26" s="56" t="inlineStr"/>
      <c r="F26" s="56" t="inlineStr"/>
      <c r="G26" s="56" t="inlineStr"/>
    </row>
    <row r="27">
      <c r="A27" s="55" t="inlineStr">
        <is>
          <t>5</t>
        </is>
      </c>
      <c r="B27" s="55" t="inlineStr">
        <is>
          <t>Quema (renovación de pastos)</t>
        </is>
      </c>
      <c r="C27" s="55" t="inlineStr"/>
      <c r="D27" s="55" t="inlineStr"/>
      <c r="E27" s="55" t="inlineStr"/>
      <c r="F27" s="55" t="inlineStr"/>
      <c r="G27" s="55" t="inlineStr"/>
    </row>
    <row r="28">
      <c r="A28" s="56" t="inlineStr">
        <is>
          <t>6</t>
        </is>
      </c>
      <c r="B28" s="56" t="inlineStr">
        <is>
          <t>Quema accidental / Incendio</t>
        </is>
      </c>
      <c r="C28" s="56" t="inlineStr"/>
      <c r="D28" s="56" t="inlineStr"/>
      <c r="E28" s="56" t="inlineStr"/>
      <c r="F28" s="56" t="inlineStr"/>
      <c r="G28" s="56" t="inlineStr"/>
    </row>
    <row r="29">
      <c r="A29" s="55" t="inlineStr">
        <is>
          <t>7</t>
        </is>
      </c>
      <c r="B29" s="55" t="inlineStr">
        <is>
          <t>Cambio de uso a agricultura</t>
        </is>
      </c>
      <c r="C29" s="55" t="inlineStr">
        <is>
          <t>Si</t>
        </is>
      </c>
      <c r="D29" s="55" t="inlineStr">
        <is>
          <t>Moderada</t>
        </is>
      </c>
      <c r="E29" s="55" t="inlineStr">
        <is>
          <t>30</t>
        </is>
      </c>
      <c r="F29" s="55" t="inlineStr">
        <is>
          <t>20</t>
        </is>
      </c>
      <c r="G29" s="55" t="inlineStr">
        <is>
          <t>Se observaron parcelas de maiz</t>
        </is>
      </c>
    </row>
    <row r="30">
      <c r="A30" s="56" t="inlineStr">
        <is>
          <t>8</t>
        </is>
      </c>
      <c r="B30" s="56" t="inlineStr">
        <is>
          <t>Cambio de uso a pastoreo</t>
        </is>
      </c>
      <c r="C30" s="56" t="inlineStr">
        <is>
          <t>Sí</t>
        </is>
      </c>
      <c r="D30" s="56" t="inlineStr">
        <is>
          <t>Ligera</t>
        </is>
      </c>
      <c r="E30" s="56" t="inlineStr">
        <is>
          <t>25</t>
        </is>
      </c>
      <c r="F30" s="56" t="inlineStr">
        <is>
          <t>10</t>
        </is>
      </c>
      <c r="G30" s="56" t="inlineStr">
        <is>
          <t>Se observo ganado caprino en areas cercanas al talud</t>
        </is>
      </c>
    </row>
    <row r="31">
      <c r="A31" s="55" t="inlineStr">
        <is>
          <t>9</t>
        </is>
      </c>
      <c r="B31" s="55" t="inlineStr">
        <is>
          <t>Expansión urbana / vial</t>
        </is>
      </c>
      <c r="C31" s="55" t="inlineStr"/>
      <c r="D31" s="55" t="inlineStr"/>
      <c r="E31" s="55" t="inlineStr"/>
      <c r="F31" s="55" t="inlineStr"/>
      <c r="G31" s="55" t="inlineStr"/>
    </row>
    <row r="32">
      <c r="A32" s="56" t="inlineStr">
        <is>
          <t>10</t>
        </is>
      </c>
      <c r="B32" s="56" t="inlineStr">
        <is>
          <t>Minería informal</t>
        </is>
      </c>
      <c r="C32" s="56" t="inlineStr"/>
      <c r="D32" s="56" t="inlineStr"/>
      <c r="E32" s="56" t="inlineStr"/>
      <c r="F32" s="56" t="inlineStr"/>
      <c r="G32" s="56" t="inlineStr"/>
    </row>
    <row r="33">
      <c r="A33" s="55" t="inlineStr">
        <is>
          <t>11</t>
        </is>
      </c>
      <c r="B33" s="55" t="inlineStr">
        <is>
          <t>Extracción de áridos (cauces)</t>
        </is>
      </c>
      <c r="C33" s="55" t="inlineStr"/>
      <c r="D33" s="55" t="inlineStr"/>
      <c r="E33" s="55" t="inlineStr"/>
      <c r="F33" s="55" t="inlineStr"/>
      <c r="G33" s="55" t="inlineStr"/>
    </row>
    <row r="34">
      <c r="A34" s="56" t="inlineStr">
        <is>
          <t>12</t>
        </is>
      </c>
      <c r="B34" s="56" t="inlineStr">
        <is>
          <t>Especies invasoras</t>
        </is>
      </c>
      <c r="C34" s="56" t="inlineStr"/>
      <c r="D34" s="56" t="inlineStr"/>
      <c r="E34" s="56" t="inlineStr"/>
      <c r="F34" s="56" t="inlineStr"/>
      <c r="G34" s="56" t="inlineStr"/>
    </row>
    <row r="35">
      <c r="A35" s="55" t="inlineStr">
        <is>
          <t>13</t>
        </is>
      </c>
      <c r="B35" s="55" t="inlineStr">
        <is>
          <t>Erosión natural severa</t>
        </is>
      </c>
      <c r="C35" s="55" t="inlineStr"/>
      <c r="D35" s="55" t="inlineStr"/>
      <c r="E35" s="55" t="inlineStr"/>
      <c r="F35" s="55" t="inlineStr"/>
      <c r="G35" s="55" t="inlineStr"/>
    </row>
    <row r="36">
      <c r="A36" s="56" t="inlineStr">
        <is>
          <t>14</t>
        </is>
      </c>
      <c r="B36" s="56" t="inlineStr">
        <is>
          <t>Sequía prolongada / CC</t>
        </is>
      </c>
      <c r="C36" s="56" t="inlineStr"/>
      <c r="D36" s="56" t="inlineStr"/>
      <c r="E36" s="56" t="inlineStr"/>
      <c r="F36" s="56" t="inlineStr"/>
      <c r="G36" s="56" t="inlineStr"/>
    </row>
    <row r="37">
      <c r="A37" s="55" t="inlineStr">
        <is>
          <t>15</t>
        </is>
      </c>
      <c r="B37" s="55" t="inlineStr">
        <is>
          <t>Plagas o enfermedades forestales</t>
        </is>
      </c>
      <c r="C37" s="55" t="inlineStr"/>
      <c r="D37" s="55" t="inlineStr"/>
      <c r="E37" s="55" t="inlineStr"/>
      <c r="F37" s="55" t="inlineStr"/>
      <c r="G37" s="55" t="inlineStr"/>
    </row>
    <row r="38">
      <c r="A38" s="56" t="inlineStr">
        <is>
          <t>16</t>
        </is>
      </c>
      <c r="B38" s="56" t="inlineStr">
        <is>
          <t>Otro</t>
        </is>
      </c>
      <c r="C38" s="56" t="inlineStr"/>
      <c r="D38" s="56" t="inlineStr"/>
      <c r="E38" s="56" t="inlineStr"/>
      <c r="F38" s="56" t="inlineStr"/>
      <c r="G38" s="56" t="inlineStr"/>
    </row>
    <row r="40">
      <c r="A40" s="53" t="inlineStr">
        <is>
          <t>F-DT-04 · INDICADORES CUANTITATIVOS</t>
        </is>
      </c>
    </row>
    <row r="41">
      <c r="A41" s="54" t="inlineStr">
        <is>
          <t>N.o</t>
        </is>
      </c>
      <c r="B41" s="54" t="inlineStr">
        <is>
          <t>Indicador</t>
        </is>
      </c>
      <c r="C41" s="54" t="inlineStr">
        <is>
          <t>Unidad</t>
        </is>
      </c>
      <c r="D41" s="54" t="inlineStr">
        <is>
          <t>Valor</t>
        </is>
      </c>
      <c r="E41" s="54" t="inlineStr">
        <is>
          <t>Fuente</t>
        </is>
      </c>
      <c r="F41" s="54" t="inlineStr">
        <is>
          <t>Umbral</t>
        </is>
      </c>
      <c r="G41" s="54" t="inlineStr">
        <is>
          <t>Nivel</t>
        </is>
      </c>
    </row>
    <row r="42">
      <c r="A42" s="55" t="inlineStr">
        <is>
          <t>1</t>
        </is>
      </c>
      <c r="B42" s="55" t="inlineStr">
        <is>
          <t>Cobertura vegetal total</t>
        </is>
      </c>
      <c r="C42" s="55" t="inlineStr">
        <is>
          <t>%</t>
        </is>
      </c>
      <c r="D42" s="55" t="inlineStr">
        <is>
          <t>60</t>
        </is>
      </c>
      <c r="E42" s="55" t="inlineStr">
        <is>
          <t>Estimación visual de campo</t>
        </is>
      </c>
      <c r="F42" s="55" t="inlineStr">
        <is>
          <t>&gt;60% bueno; 30-60% medio; &lt;30% malo</t>
        </is>
      </c>
      <c r="G42" s="55" t="inlineStr">
        <is>
          <t>Alto</t>
        </is>
      </c>
    </row>
    <row r="43">
      <c r="A43" s="56" t="inlineStr">
        <is>
          <t>2</t>
        </is>
      </c>
      <c r="B43" s="56" t="inlineStr">
        <is>
          <t>Porcentaje de suelo desnudo</t>
        </is>
      </c>
      <c r="C43" s="56" t="inlineStr">
        <is>
          <t>%</t>
        </is>
      </c>
      <c r="D43" s="56" t="inlineStr">
        <is>
          <t>15</t>
        </is>
      </c>
      <c r="E43" s="56" t="inlineStr">
        <is>
          <t>Estimación visual</t>
        </is>
      </c>
      <c r="F43" s="56" t="inlineStr">
        <is>
          <t>&lt;10% bueno; 10-30% medio; &gt;30% malo</t>
        </is>
      </c>
      <c r="G43" s="56" t="inlineStr">
        <is>
          <t>Bajo</t>
        </is>
      </c>
    </row>
    <row r="44">
      <c r="A44" s="55" t="inlineStr">
        <is>
          <t>3</t>
        </is>
      </c>
      <c r="B44" s="55" t="inlineStr">
        <is>
          <t>Densidad de cárcavas</t>
        </is>
      </c>
      <c r="C44" s="55" t="inlineStr">
        <is>
          <t>N°/ha</t>
        </is>
      </c>
      <c r="D44" s="55" t="inlineStr"/>
      <c r="E44" s="55" t="inlineStr"/>
      <c r="F44" s="55" t="inlineStr">
        <is>
          <t>0 nulo; 1-3 medio; &gt;3 alto</t>
        </is>
      </c>
      <c r="G44" s="55" t="inlineStr"/>
    </row>
    <row r="45">
      <c r="A45" s="56" t="inlineStr">
        <is>
          <t>4</t>
        </is>
      </c>
      <c r="B45" s="56" t="inlineStr">
        <is>
          <t>Presencia de especies invasoras</t>
        </is>
      </c>
      <c r="C45" s="56" t="inlineStr">
        <is>
          <t>% área</t>
        </is>
      </c>
      <c r="D45" s="56" t="inlineStr"/>
      <c r="E45" s="56" t="inlineStr"/>
      <c r="F45" s="56" t="inlineStr">
        <is>
          <t>&lt;5% bueno; 5-20% medio; &gt;20% alto</t>
        </is>
      </c>
      <c r="G45" s="56" t="inlineStr"/>
    </row>
    <row r="46">
      <c r="A46" s="55" t="inlineStr">
        <is>
          <t>5</t>
        </is>
      </c>
      <c r="B46" s="55" t="inlineStr">
        <is>
          <t>Carga ganadera estimada</t>
        </is>
      </c>
      <c r="C46" s="55" t="inlineStr">
        <is>
          <t>UA/ha</t>
        </is>
      </c>
      <c r="D46" s="55" t="inlineStr">
        <is>
          <t>2</t>
        </is>
      </c>
      <c r="E46" s="55" t="inlineStr">
        <is>
          <t>Estimación pastoreo extensivo (UA/ha)</t>
        </is>
      </c>
      <c r="F46" s="55" t="inlineStr">
        <is>
          <t>Según tipo de ecosistema</t>
        </is>
      </c>
      <c r="G46" s="55" t="inlineStr">
        <is>
          <t>Bajo</t>
        </is>
      </c>
    </row>
    <row r="47">
      <c r="A47" s="56" t="inlineStr">
        <is>
          <t>6</t>
        </is>
      </c>
      <c r="B47" s="56" t="inlineStr">
        <is>
          <t>Frecuencia de quemas últimos 5 años</t>
        </is>
      </c>
      <c r="C47" s="56" t="inlineStr">
        <is>
          <t>N°</t>
        </is>
      </c>
      <c r="D47" s="56" t="inlineStr"/>
      <c r="E47" s="56" t="inlineStr"/>
      <c r="F47" s="56" t="inlineStr">
        <is>
          <t>0 nulo; 1-2 medio; &gt;2 alto</t>
        </is>
      </c>
      <c r="G47" s="56" t="inlineStr"/>
    </row>
    <row r="48">
      <c r="A48" s="55" t="inlineStr">
        <is>
          <t>7</t>
        </is>
      </c>
      <c r="B48" s="55" t="inlineStr">
        <is>
          <t>% área con pendiente &gt;50%</t>
        </is>
      </c>
      <c r="C48" s="55" t="inlineStr">
        <is>
          <t>%</t>
        </is>
      </c>
      <c r="D48" s="55" t="inlineStr"/>
      <c r="E48" s="55" t="inlineStr"/>
      <c r="F48" s="55" t="inlineStr">
        <is>
          <t>Factor de susceptibilidad</t>
        </is>
      </c>
      <c r="G48" s="55" t="inlineStr"/>
    </row>
    <row r="49">
      <c r="A49" s="56" t="inlineStr">
        <is>
          <t>8</t>
        </is>
      </c>
      <c r="B49" s="56" t="inlineStr">
        <is>
          <t>Distancia a vía vecinal más cercana</t>
        </is>
      </c>
      <c r="C49" s="56" t="inlineStr">
        <is>
          <t>m</t>
        </is>
      </c>
      <c r="D49" s="56" t="inlineStr">
        <is>
          <t>0</t>
        </is>
      </c>
      <c r="E49" s="56" t="inlineStr">
        <is>
          <t>Via asfaltada contigua al bloque</t>
        </is>
      </c>
      <c r="F49" s="56" t="inlineStr">
        <is>
          <t>A menor distancia → mayor presión</t>
        </is>
      </c>
      <c r="G49" s="56" t="inlineStr">
        <is>
          <t>Alto</t>
        </is>
      </c>
    </row>
    <row r="51">
      <c r="A51" s="53" t="inlineStr">
        <is>
          <t>F-DT-05 · FUENTES DE AGUA INVENTARIADAS</t>
        </is>
      </c>
    </row>
    <row r="52">
      <c r="A52" s="54" t="inlineStr">
        <is>
          <t>N.o</t>
        </is>
      </c>
      <c r="B52" s="54" t="inlineStr">
        <is>
          <t>Tipo de fuente</t>
        </is>
      </c>
      <c r="C52" s="54" t="inlineStr">
        <is>
          <t>UTM ESTE</t>
        </is>
      </c>
      <c r="D52" s="54" t="inlineStr">
        <is>
          <t>UTM NORTE</t>
        </is>
      </c>
      <c r="E52" s="54" t="inlineStr">
        <is>
          <t>Régimen</t>
        </is>
      </c>
      <c r="F52" s="54" t="inlineStr">
        <is>
          <t>Calidad</t>
        </is>
      </c>
      <c r="G52" s="54" t="inlineStr">
        <is>
          <t>Distancia (m)</t>
        </is>
      </c>
      <c r="H52" s="54" t="inlineStr">
        <is>
          <t>Uso / observación</t>
        </is>
      </c>
    </row>
    <row r="55">
      <c r="A55" s="53" t="inlineStr">
        <is>
          <t>OBSERVACIONES DEL EVALUADOR POR FICHA</t>
        </is>
      </c>
    </row>
    <row r="56">
      <c r="A56" s="54" t="inlineStr">
        <is>
          <t>Ficha</t>
        </is>
      </c>
      <c r="B56" s="54" t="inlineStr">
        <is>
          <t>Observación registrada en campo</t>
        </is>
      </c>
    </row>
    <row r="57">
      <c r="A57" s="55" t="inlineStr">
        <is>
          <t>F-DT-01</t>
        </is>
      </c>
      <c r="B57" s="55" t="inlineStr">
        <is>
          <t>Acceso por via vecinal, ruta desde el distrito de Yamango al CCPP de Ricardo Palma, punto en el que se detuvo la camioneta en el centro poblado y al pie del bloque en la via afirmada. Se ingreso al bloque por la zona oeste, colindante a la via. En el interior del bloque se evidenció actividades agricolas como siembra de maiz, bambu y platano. La zona proxima a la via y al CCPP es la parte del bloque que se encuentra mas degradada. Tambien se evidenció presencia de ganado caprino.</t>
        </is>
      </c>
    </row>
    <row r="58">
      <c r="A58" s="56" t="inlineStr">
        <is>
          <t>F-DT-02</t>
        </is>
      </c>
      <c r="B58" s="56" t="inlineStr">
        <is>
          <t>En el terrno no se evidenciaron carcavas desarrolladas, solo se observaron algunos surcos menores en formacion. La mayor afectacion a nivel de suelo se debe a erosion laminar, producido por la lluvia.</t>
        </is>
      </c>
    </row>
    <row r="59">
      <c r="A59" s="55" t="inlineStr">
        <is>
          <t>F-DT-03</t>
        </is>
      </c>
      <c r="B59" s="55" t="inlineStr">
        <is>
          <t>El bosque se encuentra degradado en zonas cercanas al centro poblado ya que la poblacion es menos densa y los arboles se encuentran dispersos con alturas menores a 10 m y clases diametricas menores a 40 cm. En zonas proximas a los CCPP se desarrolla actividades agricolas como la siembra de maiz, caña y platanos.</t>
        </is>
      </c>
    </row>
    <row r="60">
      <c r="A60" s="56" t="inlineStr">
        <is>
          <t>F-DT-04</t>
        </is>
      </c>
      <c r="B60" s="56" t="inlineStr">
        <is>
          <t>El bloque se encuentra degradado a nivel de cobertura vegetal y suelo en zonas proximas a la via y cercanas al CCPP. En el interior del bloque se puede evidenciar claros productos de la extraccion algunos individuos arboreos cercanos a la carretera. Hay cambio de uso del suelo por parcelas agricolas.</t>
        </is>
      </c>
    </row>
    <row r="61">
      <c r="A61" s="55" t="inlineStr">
        <is>
          <t>F-DT-05</t>
        </is>
      </c>
      <c r="B61" s="55" t="inlineStr">
        <is>
          <t>Las quebradas que discurren del bloque estaban secas debido a que se evaluo en epoca seca.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M28B3</t>
        </is>
      </c>
    </row>
    <row r="7">
      <c r="A7" s="53" t="inlineStr">
        <is>
          <t>Hechos declarados por fuente</t>
        </is>
      </c>
    </row>
    <row r="8">
      <c r="A8" s="54" t="inlineStr">
        <is>
          <t>Fuente</t>
        </is>
      </c>
      <c r="B8" s="54" t="inlineStr">
        <is>
          <t>Hechos</t>
        </is>
      </c>
    </row>
    <row r="9">
      <c r="A9" s="55" t="inlineStr">
        <is>
          <t>Dato de campo</t>
        </is>
      </c>
      <c r="B9" s="55" t="n">
        <v>57</v>
      </c>
    </row>
    <row r="10">
      <c r="A10" s="56" t="inlineStr">
        <is>
          <t>Gabinete (GIS / teledetección)</t>
        </is>
      </c>
      <c r="B10" s="56" t="n">
        <v>25</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91</v>
      </c>
    </row>
    <row r="29">
      <c r="A29" s="56" t="inlineStr">
        <is>
          <t>COMPLEMENTADO</t>
        </is>
      </c>
      <c r="B29" s="56" t="n">
        <v>3</v>
      </c>
    </row>
    <row r="30">
      <c r="A30" s="55" t="inlineStr">
        <is>
          <t>ACTUALIZADO</t>
        </is>
      </c>
      <c r="B30" s="55" t="n">
        <v>2</v>
      </c>
    </row>
    <row r="31">
      <c r="A31" s="56" t="inlineStr">
        <is>
          <t>DISCREPANTE</t>
        </is>
      </c>
      <c r="B31" s="56" t="n">
        <v>0</v>
      </c>
    </row>
    <row r="32">
      <c r="A32" s="55" t="inlineStr">
        <is>
          <t>PENDIENTE</t>
        </is>
      </c>
      <c r="B32" s="55" t="n">
        <v>18</v>
      </c>
    </row>
    <row r="45">
      <c r="A45" s="53" t="inlineStr">
        <is>
          <t>Cobertura por estrato — campo (%)</t>
        </is>
      </c>
    </row>
    <row r="46">
      <c r="A46" s="54" t="inlineStr">
        <is>
          <t>Estrato</t>
        </is>
      </c>
      <c r="B46" s="54" t="inlineStr">
        <is>
          <t>% del área</t>
        </is>
      </c>
    </row>
    <row r="47">
      <c r="A47" s="55" t="inlineStr">
        <is>
          <t>Dosel</t>
        </is>
      </c>
      <c r="B47" s="60" t="n">
        <v>60</v>
      </c>
    </row>
    <row r="48">
      <c r="A48" s="56" t="inlineStr">
        <is>
          <t>Herbácea</t>
        </is>
      </c>
      <c r="B48" s="62" t="n">
        <v>30</v>
      </c>
    </row>
    <row r="49">
      <c r="A49" s="55" t="inlineStr">
        <is>
          <t>Suelo desnudo</t>
        </is>
      </c>
      <c r="B49" s="60" t="n">
        <v>20</v>
      </c>
    </row>
    <row r="64">
      <c r="A64" s="53" t="inlineStr">
        <is>
          <t>Causas activas de degradación (F-DT-04)</t>
        </is>
      </c>
    </row>
    <row r="65">
      <c r="A65" s="54" t="inlineStr">
        <is>
          <t>Causa</t>
        </is>
      </c>
      <c r="B65" s="54" t="inlineStr">
        <is>
          <t>Intensidad (1 ligera - 4 muy fuerte)</t>
        </is>
      </c>
    </row>
    <row r="66">
      <c r="A66" s="55" t="inlineStr">
        <is>
          <t>Cambio de uso a agricultura</t>
        </is>
      </c>
      <c r="B66" s="55" t="n">
        <v>2</v>
      </c>
    </row>
    <row r="67">
      <c r="A67" s="56" t="inlineStr">
        <is>
          <t>Sobrepastoreo (caprino/vacuno)</t>
        </is>
      </c>
      <c r="B67" s="56" t="n">
        <v>2</v>
      </c>
    </row>
    <row r="68">
      <c r="A68" s="55" t="inlineStr">
        <is>
          <t>Tala para leña</t>
        </is>
      </c>
      <c r="B68" s="55" t="n">
        <v>2</v>
      </c>
    </row>
    <row r="69">
      <c r="A69" s="56" t="inlineStr">
        <is>
          <t>Cambio de uso a pastoreo</t>
        </is>
      </c>
      <c r="B69" s="56" t="n">
        <v>1</v>
      </c>
    </row>
    <row r="83">
      <c r="A83" s="53" t="inlineStr">
        <is>
          <t>Control de consistencia por calificación</t>
        </is>
      </c>
    </row>
    <row r="84">
      <c r="A84" s="54" t="inlineStr">
        <is>
          <t>Calificación</t>
        </is>
      </c>
      <c r="B84" s="54" t="inlineStr">
        <is>
          <t>Verificaciones</t>
        </is>
      </c>
    </row>
    <row r="85">
      <c r="A85" s="55" t="inlineStr">
        <is>
          <t>SUSTANTIVA</t>
        </is>
      </c>
      <c r="B85" s="55" t="n">
        <v>5</v>
      </c>
    </row>
    <row r="86">
      <c r="A86" s="56" t="inlineStr">
        <is>
          <t>NO SUSTANTIVA</t>
        </is>
      </c>
      <c r="B86" s="56" t="n">
        <v>3</v>
      </c>
    </row>
    <row r="87">
      <c r="A87" s="55" t="inlineStr">
        <is>
          <t>CORREGIDO</t>
        </is>
      </c>
      <c r="B87" s="55" t="n">
        <v>2</v>
      </c>
    </row>
    <row r="88">
      <c r="A88" s="56" t="inlineStr">
        <is>
          <t>CONFORME</t>
        </is>
      </c>
      <c r="B88"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M28B3 — IN Piura</dc:title>
  <dc:subject>Diagnóstico Territorial por bloque de intervención</dc:subject>
  <dcterms:created xsi:type="dcterms:W3CDTF">2026-09-08T03:39:58Z</dcterms:created>
  <dcterms:modified xsi:type="dcterms:W3CDTF">2026-09-11T21:26:35Z</dcterms:modified>
</cp:coreProperties>
</file>