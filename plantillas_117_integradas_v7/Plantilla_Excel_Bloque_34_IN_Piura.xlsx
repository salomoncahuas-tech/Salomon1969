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integración'!$A$76:$A$81</f>
            </numRef>
          </cat>
          <val>
            <numRef>
              <f>'Gráficos de integración'!$B$76:$B$81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integración'!B99</f>
            </strRef>
          </tx>
          <spPr>
            <a:ln>
              <a:prstDash val="solid"/>
            </a:ln>
          </spPr>
          <cat>
            <numRef>
              <f>'Gráficos de integración'!$A$100:$A$103</f>
            </numRef>
          </cat>
          <val>
            <numRef>
              <f>'Gráficos de integración'!$B$100:$B$103</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98</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34</t>
        </is>
      </c>
    </row>
    <row r="6" ht="24" customHeight="1">
      <c r="A6" s="4" t="inlineStr">
        <is>
          <t>Diagnóstico Territorial — Plantilla DT Campo Check Validada V5 | Sistema de referencia: UTM WGS 84 Zona 17S (EPSG:32717) · Integrado con la ficha de campo F-DT vigente (Plantilla_DT_Campo_V5_Bloque34_IN_Piura.xlsx) — V7 - resumen V6 + campo F-DT integrado</t>
        </is>
      </c>
    </row>
    <row r="7"/>
    <row r="8" ht="18" customHeight="1">
      <c r="A8" s="5" t="inlineStr">
        <is>
          <t>1. IDENTIFICACIÓN Y LOCALIZACIÓN</t>
        </is>
      </c>
    </row>
    <row r="9">
      <c r="A9" s="6" t="inlineStr">
        <is>
          <t>Código del bloque</t>
        </is>
      </c>
      <c r="B9" s="7" t="inlineStr">
        <is>
          <t>34</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C1081-Q9590</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Maray Chico (142 hab.) / Maray Grande — cap. dist. Tunal</t>
        </is>
      </c>
      <c r="C13" s="6" t="inlineStr">
        <is>
          <t>Comunidad campesina</t>
        </is>
      </c>
      <c r="D13" s="7" t="inlineStr">
        <is>
          <t>Por determinar</t>
        </is>
      </c>
      <c r="E13" s="8" t="n"/>
      <c r="F13" s="8" t="n"/>
    </row>
    <row r="14">
      <c r="A14" s="6" t="inlineStr">
        <is>
          <t>Superficie de catálogo (V5/V6), ha</t>
        </is>
      </c>
      <c r="B14" s="7" t="n">
        <v>28.45</v>
      </c>
      <c r="C14" s="6" t="inlineStr">
        <is>
          <t>Fuente de superficie</t>
        </is>
      </c>
      <c r="D14" s="7" t="inlineStr">
        <is>
          <t>Catálogo maestro Bloques V5/V6</t>
        </is>
      </c>
      <c r="E14" s="8" t="n"/>
      <c r="F14" s="8" t="n"/>
    </row>
    <row r="15">
      <c r="A15" s="6" t="inlineStr">
        <is>
          <t>Centroide UTM ESTE (m)</t>
        </is>
      </c>
      <c r="B15" s="7" t="n">
        <v>646483</v>
      </c>
      <c r="C15" s="6" t="inlineStr">
        <is>
          <t>Centroide UTM NORTE (m)</t>
        </is>
      </c>
      <c r="D15" s="7" t="n">
        <v>9426305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1286</v>
      </c>
      <c r="C19" s="6" t="inlineStr">
        <is>
          <t>Altitud máxima (msnm)</t>
        </is>
      </c>
      <c r="D19" s="7" t="n">
        <v>1514</v>
      </c>
      <c r="E19" s="8" t="n"/>
      <c r="F19" s="8" t="n"/>
    </row>
    <row r="20">
      <c r="A20" s="6" t="inlineStr">
        <is>
          <t>Amplitud altitudinal (m)</t>
        </is>
      </c>
      <c r="B20" s="7" t="n">
        <v>228</v>
      </c>
      <c r="C20" s="6" t="inlineStr">
        <is>
          <t>Piso altitudinal dominante</t>
        </is>
      </c>
      <c r="D20" s="7" t="inlineStr">
        <is>
          <t>1000-1500 m (Quechua baja)</t>
        </is>
      </c>
      <c r="E20" s="8" t="n"/>
      <c r="F20" s="8" t="n"/>
    </row>
    <row r="21">
      <c r="A21" s="6" t="inlineStr">
        <is>
          <t>Pendiente promedio (%)</t>
        </is>
      </c>
      <c r="B21" s="7" t="n">
        <v>26.78</v>
      </c>
      <c r="C21" s="6" t="inlineStr">
        <is>
          <t>Pendiente promedio (grados)</t>
        </is>
      </c>
      <c r="D21" s="7" t="n">
        <v>15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0.649</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(99.42 %)</t>
        </is>
      </c>
      <c r="E29" s="8" t="n"/>
      <c r="F29" s="8" t="n"/>
    </row>
    <row r="30">
      <c r="A30" s="6" t="inlineStr">
        <is>
          <t>Superficie clasificada NDVI 2025 (ha)</t>
        </is>
      </c>
      <c r="B30" s="7" t="n">
        <v>28.458</v>
      </c>
      <c r="C30" s="6" t="inlineStr">
        <is>
          <t>Desviación frente al catálogo (%)</t>
        </is>
      </c>
      <c r="D30" s="7" t="n">
        <v>0.03</v>
      </c>
      <c r="E30" s="8" t="n"/>
      <c r="F30" s="8" t="n"/>
    </row>
    <row r="31">
      <c r="A31" s="6" t="inlineStr">
        <is>
          <t>Superficie clasificada MSAVI 2024 (ha)</t>
        </is>
      </c>
      <c r="B31" s="38" t="n">
        <v>28.45</v>
      </c>
      <c r="C31" s="6" t="inlineStr">
        <is>
          <t>Desviación MSAVI frente al catálogo (%)</t>
        </is>
      </c>
      <c r="D31" s="39" t="n">
        <v>0</v>
      </c>
      <c r="E31" s="8" t="n"/>
      <c r="F31" s="8" t="n"/>
    </row>
    <row r="32">
      <c r="A32" s="6" t="inlineStr">
        <is>
          <t>Superficie bajo umbral MSAVI 0.4976 (ha)</t>
        </is>
      </c>
      <c r="B32" s="38" t="n">
        <v>0.049</v>
      </c>
      <c r="C32" s="6" t="inlineStr">
        <is>
          <t>% del bloque bajo umbral (brecha espectral)</t>
        </is>
      </c>
      <c r="D32" s="39" t="n">
        <v>0.17</v>
      </c>
      <c r="E32" s="8" t="n"/>
      <c r="F32" s="8" t="n"/>
    </row>
    <row r="33">
      <c r="A33" s="6" t="inlineStr">
        <is>
          <t>Clase DN dominante (MSAVI 2024)</t>
        </is>
      </c>
      <c r="B33" s="7" t="inlineStr">
        <is>
          <t>DN 5 · &gt; 0.6139 (Vigor alto)</t>
        </is>
      </c>
      <c r="C33" s="6" t="inlineStr">
        <is>
          <t>N.° de polígonos MSAVI del bloque</t>
        </is>
      </c>
      <c r="D33" s="40" t="n">
        <v>66</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Zona agrícola 26.93 ha + Matorral andino 1.52 ha = 28.45 ha</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90</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2026-07-07</t>
        </is>
      </c>
      <c r="E44" s="8" t="n"/>
      <c r="F44" s="8" t="n"/>
    </row>
    <row r="45">
      <c r="A45" s="6" t="inlineStr">
        <is>
          <t>Hora de registro</t>
        </is>
      </c>
      <c r="B45" s="7" t="inlineStr">
        <is>
          <t>15:41 - 16:25 h</t>
        </is>
      </c>
      <c r="C45" s="6" t="inlineStr">
        <is>
          <t>Correlativo de ficha</t>
        </is>
      </c>
      <c r="D45" s="7" t="inlineStr">
        <is>
          <t>F-DT-01 / B34</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Agricultura de subsistencia sobre laderas de fuerte pendiente, en un territorio con escasa disponibilidad de tierras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17.9588</v>
      </c>
      <c r="C10" s="31">
        <f>ROUND(B10/$B$15*100,2)</f>
        <v/>
      </c>
      <c r="D10" s="12" t="inlineStr">
        <is>
          <t>Vigor alto</t>
        </is>
      </c>
      <c r="E10" s="12" t="inlineStr">
        <is>
          <t>Sobre umbral</t>
        </is>
      </c>
    </row>
    <row r="11">
      <c r="A11" s="13" t="inlineStr">
        <is>
          <t>0.4976 - 0.6139 · DN 4</t>
        </is>
      </c>
      <c r="B11" s="20" t="n">
        <v>10.4422</v>
      </c>
      <c r="C11" s="21">
        <f>ROUND(B11/$B$15*100,2)</f>
        <v/>
      </c>
      <c r="D11" s="14" t="inlineStr">
        <is>
          <t>Vigor moderado</t>
        </is>
      </c>
      <c r="E11" s="14" t="inlineStr">
        <is>
          <t>Sobre umbral</t>
        </is>
      </c>
    </row>
    <row r="12">
      <c r="A12" s="7" t="inlineStr">
        <is>
          <t>0.3813 - 0.4976 · DN 3</t>
        </is>
      </c>
      <c r="B12" s="18" t="n">
        <v>0.0495</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66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28.45</v>
      </c>
      <c r="C18" s="49" t="inlineStr">
        <is>
          <t>—</t>
        </is>
      </c>
      <c r="D18" s="46" t="inlineStr">
        <is>
          <t>Desviación planimétrica frente al catálogo</t>
        </is>
      </c>
      <c r="E18" s="46" t="inlineStr">
        <is>
          <t>+0.00 %</t>
        </is>
      </c>
    </row>
    <row r="19">
      <c r="A19" s="16" t="inlineStr">
        <is>
          <t>MSAVI 2024 — MEDIA DEL BLOQUE</t>
        </is>
      </c>
      <c r="B19" s="17" t="n">
        <v>0.648975</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(0.6490)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28.2939</v>
      </c>
      <c r="C25" s="19" t="n">
        <v>99.42</v>
      </c>
      <c r="D25" s="15" t="inlineStr">
        <is>
          <t>Dosel continuo, matorral denso o mosaico agroforestal</t>
        </is>
      </c>
      <c r="E25" s="15" t="inlineStr"/>
    </row>
    <row r="26">
      <c r="A26" s="13" t="inlineStr">
        <is>
          <t>Vegetación mediana</t>
        </is>
      </c>
      <c r="B26" s="20" t="n">
        <v>0.1642</v>
      </c>
      <c r="C26" s="21" t="n">
        <v>0.58</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28.45</v>
      </c>
      <c r="C28" s="25" t="inlineStr">
        <is>
          <t>—</t>
        </is>
      </c>
      <c r="D28" s="25" t="inlineStr">
        <is>
          <t>Desviación planimétrica frente al catálogo</t>
        </is>
      </c>
      <c r="E28" s="25" t="inlineStr">
        <is>
          <t>+0.03 %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99.42 % del polígono clasificado como «Vegetación alta» por el NDVI 2025; la observación de campo corresponde a una parcela o recorrido puntual y no es estadísticamente representativa de las 28.450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34</t>
        </is>
      </c>
    </row>
    <row r="6" ht="24" customHeight="1">
      <c r="A6" s="4" t="inlineStr">
        <is>
          <t>Levantamiento del 2026-07-07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646360</v>
      </c>
      <c r="D10" s="26" t="n">
        <v>9426461</v>
      </c>
      <c r="E10" s="15" t="n">
        <v>198.7</v>
      </c>
      <c r="F10" s="15" t="inlineStr"/>
      <c r="G10" s="15" t="inlineStr">
        <is>
          <t>Coordenada consignada en F-DT-01</t>
        </is>
      </c>
    </row>
    <row r="11">
      <c r="A11" s="13" t="inlineStr">
        <is>
          <t>S-01</t>
        </is>
      </c>
      <c r="B11" s="14" t="inlineStr">
        <is>
          <t>Rasgo erosivo — Surco activo (senda/camino)</t>
        </is>
      </c>
      <c r="C11" s="27" t="n">
        <v>646232</v>
      </c>
      <c r="D11" s="27" t="n">
        <v>9426505</v>
      </c>
      <c r="E11" s="14" t="n">
        <v>320.9</v>
      </c>
      <c r="F11" s="14" t="inlineStr">
        <is>
          <t>Activa</t>
        </is>
      </c>
      <c r="G11" s="14" t="inlineStr">
        <is>
          <t>Caminos / huellas de ganado</t>
        </is>
      </c>
    </row>
    <row r="12">
      <c r="A12" s="7" t="inlineStr">
        <is>
          <t>S-02</t>
        </is>
      </c>
      <c r="B12" s="15" t="inlineStr">
        <is>
          <t>Rasgo erosivo — Surco activo (senda/camino)</t>
        </is>
      </c>
      <c r="C12" s="26" t="n">
        <v>646603</v>
      </c>
      <c r="D12" s="26" t="n">
        <v>9426759</v>
      </c>
      <c r="E12" s="15" t="n">
        <v>469.6</v>
      </c>
      <c r="F12" s="15" t="inlineStr">
        <is>
          <t>Activa</t>
        </is>
      </c>
      <c r="G12" s="15" t="inlineStr">
        <is>
          <t>Caminos / huellas de ganado</t>
        </is>
      </c>
    </row>
    <row r="13">
      <c r="A13" s="13" t="inlineStr">
        <is>
          <t>H-01</t>
        </is>
      </c>
      <c r="B13" s="14" t="inlineStr">
        <is>
          <t>Fuente de agua — Río</t>
        </is>
      </c>
      <c r="C13" s="27" t="n">
        <v>646150</v>
      </c>
      <c r="D13" s="27" t="n">
        <v>9426520</v>
      </c>
      <c r="E13" s="14" t="n">
        <v>396.4</v>
      </c>
      <c r="F13" s="14" t="inlineStr">
        <is>
          <t>Permanente</t>
        </is>
      </c>
      <c r="G13" s="14" t="inlineStr">
        <is>
          <t>Curso principal</t>
        </is>
      </c>
    </row>
    <row r="14">
      <c r="A14" s="7" t="inlineStr">
        <is>
          <t>H-02</t>
        </is>
      </c>
      <c r="B14" s="15" t="inlineStr">
        <is>
          <t>Fuente de agua — Quebrada estacional</t>
        </is>
      </c>
      <c r="C14" s="26" t="n">
        <v>646700</v>
      </c>
      <c r="D14" s="26" t="n">
        <v>9426900</v>
      </c>
      <c r="E14" s="15" t="n">
        <v>633.3</v>
      </c>
      <c r="F14" s="15" t="inlineStr">
        <is>
          <t>Estacional (lluvias)</t>
        </is>
      </c>
      <c r="G14" s="15" t="inlineStr">
        <is>
          <t>Quebrada tributaria</t>
        </is>
      </c>
    </row>
    <row r="15">
      <c r="A15" s="13" t="inlineStr">
        <is>
          <t>B-03</t>
        </is>
      </c>
      <c r="B15" s="14" t="inlineStr">
        <is>
          <t>Especie clave — Melastomataceae (por determinar)</t>
        </is>
      </c>
      <c r="C15" s="27" t="n">
        <v>646477</v>
      </c>
      <c r="D15" s="27" t="n">
        <v>9426654</v>
      </c>
      <c r="E15" s="14" t="n">
        <v>349.1</v>
      </c>
      <c r="F15" s="14" t="inlineStr">
        <is>
          <t>Indicadora de buen estado</t>
        </is>
      </c>
      <c r="G15" s="14" t="inlineStr">
        <is>
          <t>NE</t>
        </is>
      </c>
    </row>
    <row r="16">
      <c r="A16" s="7" t="inlineStr">
        <is>
          <t>B-04</t>
        </is>
      </c>
      <c r="B16" s="15" t="inlineStr">
        <is>
          <t>Especie clave — Agave americana</t>
        </is>
      </c>
      <c r="C16" s="26" t="n">
        <v>646347</v>
      </c>
      <c r="D16" s="26" t="n">
        <v>9426469</v>
      </c>
      <c r="E16" s="15" t="n">
        <v>213.1</v>
      </c>
      <c r="F16" s="15" t="inlineStr">
        <is>
          <t>Indicadora de perturbación</t>
        </is>
      </c>
      <c r="G16" s="15" t="inlineStr">
        <is>
          <t>No aplica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646483</v>
      </c>
      <c r="C19" s="6" t="inlineStr">
        <is>
          <t>Centroide del bloque — UTM NORTE (m)</t>
        </is>
      </c>
      <c r="D19" s="7" t="n">
        <v>9426305</v>
      </c>
      <c r="E19" s="8" t="n"/>
      <c r="F19" s="8" t="n"/>
      <c r="G19" s="8" t="n"/>
      <c r="H19" s="8" t="n"/>
    </row>
    <row r="20">
      <c r="A20" s="6" t="inlineStr">
        <is>
          <t>N.° de estaciones fotográficas declaradas</t>
        </is>
      </c>
      <c r="B20" s="7" t="inlineStr">
        <is>
          <t>Sin registro en la ficha DT</t>
        </is>
      </c>
      <c r="C20" s="6" t="inlineStr">
        <is>
          <t>Estaciones dentro del polígono</t>
        </is>
      </c>
      <c r="D20" s="7" t="inlineStr">
        <is>
          <t>Por determinar</t>
        </is>
      </c>
      <c r="E20" s="8" t="n"/>
      <c r="F20" s="8" t="n"/>
      <c r="G20" s="8" t="n"/>
      <c r="H20" s="8" t="n"/>
    </row>
    <row r="22" ht="96"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Punto de muestreo consignado = talud de corte con desprendimiento de suelo residual rojizo (646225 E · 9426501, rumbo 132° SE). La pendiente promedio (33.6%) corresponde al perfil de elevación Google Earth del acceso (427 m), no a una parcela.</t>
        </is>
      </c>
      <c r="B22" s="41" t="n"/>
      <c r="C22" s="41" t="n"/>
      <c r="D22" s="41" t="n"/>
      <c r="E22" s="41" t="n"/>
      <c r="F22" s="41" t="n"/>
      <c r="G22" s="42"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34</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38</t>
        </is>
      </c>
      <c r="B10" s="28" t="n">
        <v>44.2</v>
      </c>
      <c r="C10" s="19" t="n">
        <v>29.78</v>
      </c>
      <c r="D10" s="15" t="inlineStr">
        <is>
          <t>1302 – 1533</t>
        </is>
      </c>
      <c r="E10" s="15" t="n">
        <v>231</v>
      </c>
      <c r="F10" s="15" t="n">
        <v>24.25</v>
      </c>
      <c r="G10" s="18" t="n">
        <v>0.6725</v>
      </c>
      <c r="H10" s="19" t="n">
        <v>99.3</v>
      </c>
      <c r="I10" s="19" t="n">
        <v>0.41</v>
      </c>
    </row>
    <row r="11">
      <c r="A11" s="13" t="inlineStr">
        <is>
          <t>33</t>
        </is>
      </c>
      <c r="B11" s="29" t="n">
        <v>29.68</v>
      </c>
      <c r="C11" s="21" t="n">
        <v>20</v>
      </c>
      <c r="D11" s="14" t="inlineStr">
        <is>
          <t>1841 – 2226</t>
        </is>
      </c>
      <c r="E11" s="14" t="n">
        <v>385</v>
      </c>
      <c r="F11" s="14" t="n">
        <v>36.6</v>
      </c>
      <c r="G11" s="20" t="n">
        <v>0.7192</v>
      </c>
      <c r="H11" s="21" t="inlineStr">
        <is>
          <t>Por determinar</t>
        </is>
      </c>
      <c r="I11" s="14" t="inlineStr">
        <is>
          <t>s/d</t>
        </is>
      </c>
    </row>
    <row r="12">
      <c r="A12" s="11" t="inlineStr">
        <is>
          <t>► 34</t>
        </is>
      </c>
      <c r="B12" s="30" t="n">
        <v>28.45</v>
      </c>
      <c r="C12" s="31" t="n">
        <v>19.17</v>
      </c>
      <c r="D12" s="12" t="inlineStr">
        <is>
          <t>1286 – 1514</t>
        </is>
      </c>
      <c r="E12" s="12" t="n">
        <v>228</v>
      </c>
      <c r="F12" s="12" t="n">
        <v>26.78</v>
      </c>
      <c r="G12" s="32" t="n">
        <v>0.649</v>
      </c>
      <c r="H12" s="31" t="n">
        <v>99.42</v>
      </c>
      <c r="I12" s="31" t="n">
        <v>0.17</v>
      </c>
    </row>
    <row r="13">
      <c r="A13" s="13" t="inlineStr">
        <is>
          <t>61</t>
        </is>
      </c>
      <c r="B13" s="29" t="n">
        <v>26.83</v>
      </c>
      <c r="C13" s="21" t="n">
        <v>18.08</v>
      </c>
      <c r="D13" s="14" t="inlineStr">
        <is>
          <t>1098 – 1336</t>
        </is>
      </c>
      <c r="E13" s="14" t="n">
        <v>238</v>
      </c>
      <c r="F13" s="14" t="n">
        <v>22.61</v>
      </c>
      <c r="G13" s="20" t="n">
        <v>0.6112</v>
      </c>
      <c r="H13" s="21" t="n">
        <v>80.15000000000001</v>
      </c>
      <c r="I13" s="21" t="n">
        <v>21.1</v>
      </c>
    </row>
    <row r="14">
      <c r="A14" s="7" t="inlineStr">
        <is>
          <t>50</t>
        </is>
      </c>
      <c r="B14" s="28" t="n">
        <v>19.27</v>
      </c>
      <c r="C14" s="19" t="n">
        <v>12.98</v>
      </c>
      <c r="D14" s="15" t="inlineStr">
        <is>
          <t>1468 – 1725</t>
        </is>
      </c>
      <c r="E14" s="15" t="n">
        <v>257</v>
      </c>
      <c r="F14" s="15" t="n">
        <v>30.47</v>
      </c>
      <c r="G14" s="18" t="n">
        <v>0.6831</v>
      </c>
      <c r="H14" s="19" t="n">
        <v>99.56999999999999</v>
      </c>
      <c r="I14" s="19" t="n">
        <v>0.36</v>
      </c>
    </row>
    <row r="15">
      <c r="A15" s="16" t="inlineStr">
        <is>
          <t>TOTAL / PROMEDIO</t>
        </is>
      </c>
      <c r="B15" s="33">
        <f>SUM(B10:B14)</f>
        <v/>
      </c>
      <c r="C15" s="23">
        <f>SUM(C10:C14)</f>
        <v/>
      </c>
      <c r="D15" s="17" t="inlineStr">
        <is>
          <t>1098 – 2226</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4 de los 5 bloques; el bloque restante carece de estadística zonal de NDVI. Los totales de ÁREA y % de microcuenca sí comprenden la totalidad de los 5 bloques. No se estima ningún valor ausente.</t>
        </is>
      </c>
      <c r="B16" s="41" t="n"/>
      <c r="C16" s="41" t="n"/>
      <c r="D16" s="41" t="n"/>
      <c r="E16" s="41" t="n"/>
      <c r="F16" s="41" t="n"/>
      <c r="G16" s="41" t="n"/>
      <c r="H16" s="41" t="n"/>
      <c r="I16" s="42" t="n"/>
    </row>
    <row r="18" ht="84" customHeight="1">
      <c r="A18" s="9" t="inlineStr">
        <is>
          <t>LECTURA INTRAMICROCUENCA. El bloque 34 ocupa el puesto 3 de 5 por superficie dentro de la microcuenca C1081-Q9590 (19.17 % de las 148.43 ha preliminares de la microcuenca). Su pendiente promedio (26.78 %, clase «25-50% (Mod. escarpado)») es la 3.ª más baja de 5 y se sitúa por debajo del promedio de la microcuenca (28.14 %). Su MSAVI 2024 (0.6490) es el 4.º de 5 y queda por debajo del promedio local (0.6670). Amplitud altitudinal del bloque: 228 m (1286–1514 msnm). El cuadro conserva todos los bloques catalogados en la microcuenca, incluidos los descartados en el tamizaje, para referencia del conjunto. Los bloques sin ficha DT figuran con sus parámetros de gabinete. BRECHA ESPECTRAL. El 0.17 % de la superficie del bloque (0.049 ha de 28.450 ha) se sitúa bajo el umbral MSAVI 0.4976, por debajo del promedio local de la microcuenca (5.51 %) calculado sobre los bloques con dato MSAVI disponible.</t>
        </is>
      </c>
      <c r="B18" s="41" t="n"/>
      <c r="C18" s="41" t="n"/>
      <c r="D18" s="41" t="n"/>
      <c r="E18" s="41" t="n"/>
      <c r="F18" s="41" t="n"/>
      <c r="G18" s="41" t="n"/>
      <c r="H18" s="41" t="n"/>
      <c r="I18" s="42" t="n"/>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1" t="n"/>
      <c r="C20" s="41" t="n"/>
      <c r="D20" s="41" t="n"/>
      <c r="E20" s="41" t="n"/>
      <c r="F20" s="41" t="n"/>
      <c r="G20" s="41" t="n"/>
      <c r="H20" s="41" t="n"/>
      <c r="I20" s="42" t="n"/>
    </row>
  </sheetData>
  <mergeCells count="10">
    <mergeCell ref="A2:I2"/>
    <mergeCell ref="A5:I5"/>
    <mergeCell ref="A1:I1"/>
    <mergeCell ref="A18:I18"/>
    <mergeCell ref="A8:I8"/>
    <mergeCell ref="A3:I3"/>
    <mergeCell ref="A6:I6"/>
    <mergeCell ref="A4:I4"/>
    <mergeCell ref="A20:I20"/>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34</t>
        </is>
      </c>
    </row>
    <row r="6">
      <c r="A6" s="51" t="inlineStr">
        <is>
          <t>Cruce de la ficha de campo F-DT vigente con la ficha de resumen de gabinete y el catálogo maestro. Integración 2026-09-11 20:22:27.</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«C1081-Q9590».</t>
        </is>
      </c>
      <c r="D9" s="55" t="inlineStr">
        <is>
          <t>CONFORME</t>
        </is>
      </c>
      <c r="E9" s="55" t="inlineStr">
        <is>
          <t>Sin acción.</t>
        </is>
      </c>
    </row>
    <row r="10">
      <c r="A10" s="56" t="inlineStr">
        <is>
          <t>G-02</t>
        </is>
      </c>
      <c r="B10" s="56" t="inlineStr">
        <is>
          <t>UTM del punto de muestreo</t>
        </is>
      </c>
      <c r="C10" s="56" t="inlineStr">
        <is>
          <t>El punto de muestreo declarado dista 198.7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(28.458 ha) se desvía 0.03 % de la superficie de catálogo (28.45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(28.450 ha) se desvía 0.00 % de la superficie de catálogo (28.45 ha).</t>
        </is>
      </c>
      <c r="D14" s="56" t="inlineStr">
        <is>
          <t>CONFORME</t>
        </is>
      </c>
      <c r="E14" s="56" t="inlineStr">
        <is>
          <t>Sin acción: la segmentación valida la geometría del bloque.</t>
        </is>
      </c>
    </row>
    <row r="15">
      <c r="A15" s="55" t="inlineStr">
        <is>
          <t>G-07</t>
        </is>
      </c>
      <c r="B15" s="55" t="inlineStr">
        <is>
          <t>Brecha espectral MSAVI</t>
        </is>
      </c>
      <c r="C15" s="55" t="inlineStr">
        <is>
          <t>El 0.17 % del bloque queda bajo el umbral 0.4976; superficie de brecha 0.0495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28.45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(0.6490) cae en la clase «&gt; 0.6139 (Vigor alto)» y la clase DN dominante por superficie es «DN 5 · &gt; 0.6139 (Vigor alto)».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96.4 % de los campos esperados).</t>
        </is>
      </c>
      <c r="D19" s="55" t="inlineStr">
        <is>
          <t>CONFORME</t>
        </is>
      </c>
      <c r="E19" s="55" t="inlineStr">
        <is>
          <t>Sin acción.</t>
        </is>
      </c>
    </row>
    <row r="20">
      <c r="A20" s="56" t="inlineStr">
        <is>
          <t>F-02</t>
        </is>
      </c>
      <c r="B20" s="56" t="inlineStr">
        <is>
          <t>Cobertura de la integración</t>
        </is>
      </c>
      <c r="C20" s="56" t="inlineStr">
        <is>
          <t>Se declararon 101 de 114 hechos integrados (88.6 %); 13 quedan sin dato en ninguna fuente.</t>
        </is>
      </c>
      <c r="D20" s="56" t="inlineStr">
        <is>
          <t>CONFORME</t>
        </is>
      </c>
      <c r="E20" s="56" t="inlineStr">
        <is>
          <t>Sin acción.</t>
        </is>
      </c>
    </row>
    <row r="21">
      <c r="A21" s="55" t="inlineStr">
        <is>
          <t>H-01</t>
        </is>
      </c>
      <c r="B21" s="55" t="inlineStr">
        <is>
          <t>Dimensiones del inventario de cárcavas</t>
        </is>
      </c>
      <c r="C21" s="55" t="inlineStr">
        <is>
          <t>Se registran 0 rasgos erosivos, pero longitud, profundidad y ancho no fueron medidos instrumentalmente</t>
        </is>
      </c>
      <c r="D21" s="55" t="inlineStr">
        <is>
          <t>NO SUSTANTIVA</t>
        </is>
      </c>
      <c r="E21" s="55" t="inlineStr">
        <is>
          <t>El conteo registrado no debe usarse para calcular densidad de cárcavas por hectárea. Pendiente de levantamiento con GPS submétrico. (Verificación heredada de la ficha de resumen V6.)</t>
        </is>
      </c>
    </row>
    <row r="22">
      <c r="A22" s="56" t="inlineStr">
        <is>
          <t>H-02</t>
        </is>
      </c>
      <c r="B22" s="56" t="inlineStr">
        <is>
          <t>Centro poblado asociado</t>
        </is>
      </c>
      <c r="C22" s="56" t="inlineStr">
        <is>
          <t>La ficha DT declara «Maray Chico (142 hab.) / Maray Grande — cap. dist. Tunal»; el cruce INEI-Bloques V5 identifica 2 centro(s) poblado(s) en el bloque: MARAY CHICO, MARAY GRANDE</t>
        </is>
      </c>
      <c r="D22" s="56" t="inlineStr">
        <is>
          <t>CONFORME</t>
        </is>
      </c>
      <c r="E22" s="56" t="inlineStr">
        <is>
          <t>Se conserva el registro de campo como referencia y se adopta el listado INEI para el diagnóstico social y el cálculo de población beneficiaria. (Verificación heredada de la ficha de resumen V6.)</t>
        </is>
      </c>
    </row>
    <row r="24">
      <c r="A24" s="57" t="inlineStr">
        <is>
          <t>RESUMEN</t>
        </is>
      </c>
      <c r="B24" s="58" t="inlineStr">
        <is>
          <t>14 verificaciones</t>
        </is>
      </c>
      <c r="C24" s="58" t="inlineStr">
        <is>
          <t>SUSTANTIVA: 1 · NO SUSTANTIVA: 2 · CONFORME: 11</t>
        </is>
      </c>
    </row>
    <row r="26">
      <c r="A26"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6:E26"/>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34</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646360</t>
        </is>
      </c>
      <c r="D13" s="55" t="inlineStr">
        <is>
          <t>m</t>
        </is>
      </c>
    </row>
    <row r="14">
      <c r="A14" s="56" t="inlineStr">
        <is>
          <t>1. Identificación y localización</t>
        </is>
      </c>
      <c r="B14" s="56" t="inlineStr">
        <is>
          <t>UTM NORTE del punto de muestreo (m)</t>
        </is>
      </c>
      <c r="C14" s="56" t="inlineStr">
        <is>
          <t>9426461</t>
        </is>
      </c>
      <c r="D14" s="56" t="inlineStr">
        <is>
          <t>m</t>
        </is>
      </c>
    </row>
    <row r="15">
      <c r="A15" s="55" t="inlineStr">
        <is>
          <t>2. Parámetros físicos del terreno</t>
        </is>
      </c>
      <c r="B15" s="55" t="inlineStr">
        <is>
          <t>Piso altitudinal del punto de muestreo</t>
        </is>
      </c>
      <c r="C15" s="55" t="inlineStr">
        <is>
          <t>1000-1500 m (Quechua baja)</t>
        </is>
      </c>
      <c r="D15" s="55" t="inlineStr"/>
    </row>
    <row r="16">
      <c r="A16" s="56" t="inlineStr">
        <is>
          <t>2. Parámetros físicos del terreno</t>
        </is>
      </c>
      <c r="B16" s="56" t="inlineStr">
        <is>
          <t>Paisaje dominante descrito en campo</t>
        </is>
      </c>
      <c r="C16" s="56" t="inlineStr">
        <is>
          <t>Ladera montañosa de fuerte pendiente sobre la margen izquierda del curso principal, frente al C.P. Tunal (Lalaquiz). Mosaico de matorral secundario denso, rodales de bambú en fondos de quebrada, parcelas de maíz y agroforestería de café/cacao/plátano. Neblina frecuente en cimas.</t>
        </is>
      </c>
      <c r="D16" s="56" t="inlineStr"/>
    </row>
    <row r="17">
      <c r="A17" s="55" t="inlineStr">
        <is>
          <t>2. Parámetros físicos del terreno</t>
        </is>
      </c>
      <c r="B17" s="55" t="inlineStr">
        <is>
          <t>Reptación de suelo</t>
        </is>
      </c>
      <c r="C17" s="55" t="inlineStr">
        <is>
          <t>No</t>
        </is>
      </c>
      <c r="D17" s="55" t="inlineStr"/>
    </row>
    <row r="18">
      <c r="A18" s="56" t="inlineStr">
        <is>
          <t>2. Parámetros físicos del terreno</t>
        </is>
      </c>
      <c r="B18" s="56" t="inlineStr">
        <is>
          <t>Deslizamientos antiguos</t>
        </is>
      </c>
      <c r="C18" s="56" t="inlineStr">
        <is>
          <t>No</t>
        </is>
      </c>
      <c r="D18" s="56" t="inlineStr"/>
    </row>
    <row r="19">
      <c r="A19" s="55" t="inlineStr">
        <is>
          <t>4. Suelos y erosión (F-DT-02)</t>
        </is>
      </c>
      <c r="B19" s="55" t="inlineStr">
        <is>
          <t>Nivel de erosión - síntesis de campo</t>
        </is>
      </c>
      <c r="C19" s="55" t="inlineStr">
        <is>
          <t>Moderada (surcos)</t>
        </is>
      </c>
      <c r="D19" s="55" t="inlineStr"/>
    </row>
    <row r="20">
      <c r="A20" s="56" t="inlineStr">
        <is>
          <t>4. Suelos y erosión (F-DT-02)</t>
        </is>
      </c>
      <c r="B20" s="56" t="inlineStr">
        <is>
          <t>Sellamiento / costra superficial</t>
        </is>
      </c>
      <c r="C20" s="56" t="inlineStr">
        <is>
          <t>No</t>
        </is>
      </c>
      <c r="D20" s="56" t="inlineStr"/>
    </row>
    <row r="21">
      <c r="A21" s="55" t="inlineStr">
        <is>
          <t>4. Suelos y erosión (F-DT-02)</t>
        </is>
      </c>
      <c r="B21" s="55" t="inlineStr">
        <is>
          <t>Compactación por pisoteo</t>
        </is>
      </c>
      <c r="C21" s="55" t="inlineStr">
        <is>
          <t>Sí</t>
        </is>
      </c>
      <c r="D21" s="55" t="inlineStr"/>
    </row>
    <row r="22">
      <c r="A22" s="56" t="inlineStr">
        <is>
          <t>4. Suelos y erosión (F-DT-02)</t>
        </is>
      </c>
      <c r="B22" s="56" t="inlineStr">
        <is>
          <t>Raíces expuestas</t>
        </is>
      </c>
      <c r="C22" s="56" t="inlineStr">
        <is>
          <t>Sí</t>
        </is>
      </c>
      <c r="D22" s="56" t="inlineStr"/>
    </row>
    <row r="23">
      <c r="A23" s="55" t="inlineStr">
        <is>
          <t>4. Suelos y erosión (F-DT-02)</t>
        </is>
      </c>
      <c r="B23" s="55" t="inlineStr">
        <is>
          <t>% del bloque afectado por cárcavas</t>
        </is>
      </c>
      <c r="C23" s="55" t="inlineStr">
        <is>
          <t>0</t>
        </is>
      </c>
      <c r="D23" s="55" t="inlineStr">
        <is>
          <t>%</t>
        </is>
      </c>
    </row>
    <row r="24">
      <c r="A24" s="56" t="inlineStr">
        <is>
          <t>4. Suelos y erosión (F-DT-02)</t>
        </is>
      </c>
      <c r="B24" s="56" t="inlineStr">
        <is>
          <t>Erosión laminar (% del bloque)</t>
        </is>
      </c>
      <c r="C24" s="56" t="inlineStr">
        <is>
          <t>5</t>
        </is>
      </c>
      <c r="D24" s="56" t="inlineStr">
        <is>
          <t>%</t>
        </is>
      </c>
    </row>
    <row r="25">
      <c r="A25" s="55" t="inlineStr">
        <is>
          <t>4. Suelos y erosión (F-DT-02)</t>
        </is>
      </c>
      <c r="B25" s="55" t="inlineStr">
        <is>
          <t>Patrón de cárcavas</t>
        </is>
      </c>
      <c r="C25" s="55" t="inlineStr">
        <is>
          <t>Lineal</t>
        </is>
      </c>
      <c r="D25" s="55" t="inlineStr"/>
    </row>
    <row r="26">
      <c r="A26" s="56" t="inlineStr">
        <is>
          <t>4. Suelos y erosión (F-DT-02)</t>
        </is>
      </c>
      <c r="B26" s="56" t="inlineStr">
        <is>
          <t>Socavamiento de cauce</t>
        </is>
      </c>
      <c r="C26" s="56" t="inlineStr">
        <is>
          <t>No</t>
        </is>
      </c>
      <c r="D26" s="56" t="inlineStr"/>
    </row>
    <row r="27">
      <c r="A27" s="55" t="inlineStr">
        <is>
          <t>5. Ecosistema, cobertura y flora (F-DT-03)</t>
        </is>
      </c>
      <c r="B27" s="55" t="inlineStr">
        <is>
          <t>Cobertura del dosel (%)</t>
        </is>
      </c>
      <c r="C27" s="55" t="inlineStr">
        <is>
          <t>30</t>
        </is>
      </c>
      <c r="D27" s="55" t="inlineStr">
        <is>
          <t>%</t>
        </is>
      </c>
    </row>
    <row r="28">
      <c r="A28" s="56" t="inlineStr">
        <is>
          <t>5. Ecosistema, cobertura y flora (F-DT-03)</t>
        </is>
      </c>
      <c r="B28" s="56" t="inlineStr">
        <is>
          <t>Cobertura arbustiva (%)</t>
        </is>
      </c>
      <c r="C28" s="56" t="inlineStr">
        <is>
          <t>35</t>
        </is>
      </c>
      <c r="D28" s="56" t="inlineStr">
        <is>
          <t>%</t>
        </is>
      </c>
    </row>
    <row r="29">
      <c r="A29" s="55" t="inlineStr">
        <is>
          <t>5. Ecosistema, cobertura y flora (F-DT-03)</t>
        </is>
      </c>
      <c r="B29" s="55" t="inlineStr">
        <is>
          <t>Cobertura herbácea (%)</t>
        </is>
      </c>
      <c r="C29" s="55" t="inlineStr">
        <is>
          <t>30</t>
        </is>
      </c>
      <c r="D29" s="55" t="inlineStr">
        <is>
          <t>%</t>
        </is>
      </c>
    </row>
    <row r="30">
      <c r="A30" s="56" t="inlineStr">
        <is>
          <t>5. Ecosistema, cobertura y flora (F-DT-03)</t>
        </is>
      </c>
      <c r="B30" s="56" t="inlineStr">
        <is>
          <t>Cobertura de hojarasca (%)</t>
        </is>
      </c>
      <c r="C30" s="56" t="inlineStr">
        <is>
          <t>20</t>
        </is>
      </c>
      <c r="D30" s="56" t="inlineStr">
        <is>
          <t>%</t>
        </is>
      </c>
    </row>
    <row r="31">
      <c r="A31" s="55" t="inlineStr">
        <is>
          <t>5. Ecosistema, cobertura y flora (F-DT-03)</t>
        </is>
      </c>
      <c r="B31" s="55" t="inlineStr">
        <is>
          <t>Presencia de epífitas</t>
        </is>
      </c>
      <c r="C31" s="55" t="inlineStr">
        <is>
          <t>Sí</t>
        </is>
      </c>
      <c r="D31" s="55" t="inlineStr"/>
    </row>
    <row r="32">
      <c r="A32" s="56" t="inlineStr">
        <is>
          <t>5. Ecosistema, cobertura y flora (F-DT-03)</t>
        </is>
      </c>
      <c r="B32" s="56" t="inlineStr">
        <is>
          <t>Fenología dominante</t>
        </is>
      </c>
      <c r="C32" s="56" t="inlineStr">
        <is>
          <t>Floración</t>
        </is>
      </c>
      <c r="D32" s="56" t="inlineStr"/>
    </row>
    <row r="33">
      <c r="A33" s="55" t="inlineStr">
        <is>
          <t>5. Ecosistema, cobertura y flora (F-DT-03)</t>
        </is>
      </c>
      <c r="B33" s="55" t="inlineStr">
        <is>
          <t>Dimensiones de la parcela (m)</t>
        </is>
      </c>
      <c r="C33" s="55" t="inlineStr">
        <is>
          <t>No aplica</t>
        </is>
      </c>
      <c r="D33" s="55" t="inlineStr"/>
    </row>
    <row r="34">
      <c r="A34" s="56" t="inlineStr">
        <is>
          <t>5. Ecosistema, cobertura y flora (F-DT-03)</t>
        </is>
      </c>
      <c r="B34" s="56" t="inlineStr">
        <is>
          <t>Pendiente de la parcela (%)</t>
        </is>
      </c>
      <c r="C34" s="56" t="inlineStr">
        <is>
          <t>33.6</t>
        </is>
      </c>
      <c r="D34" s="56" t="inlineStr">
        <is>
          <t>%</t>
        </is>
      </c>
    </row>
    <row r="35">
      <c r="A35" s="55" t="inlineStr">
        <is>
          <t>5. Ecosistema, cobertura y flora (F-DT-03)</t>
        </is>
      </c>
      <c r="B35" s="55" t="inlineStr">
        <is>
          <t>Especies clave georreferenciadas</t>
        </is>
      </c>
      <c r="C35" s="55" t="inlineStr">
        <is>
          <t>4</t>
        </is>
      </c>
      <c r="D35" s="55" t="inlineStr"/>
    </row>
    <row r="36">
      <c r="A36" s="56" t="inlineStr">
        <is>
          <t>6. Degradación, causas y urgencia (F-DT-04)</t>
        </is>
      </c>
      <c r="B36" s="56" t="inlineStr">
        <is>
          <t>Causas directas de la degradación</t>
        </is>
      </c>
      <c r="C36" s="56" t="inlineStr">
        <is>
          <t>Cambio de uso a agricultura de ladera (maíz y agroforestería de café/cacao/plátano) sin prácticas de conservación de suelos; apertura y corte de taludes para caminos de herradura; pastoreo y tala puntual para leña; presencia de Agave americana en bordes.</t>
        </is>
      </c>
      <c r="D36" s="56" t="inlineStr"/>
    </row>
    <row r="37">
      <c r="A37" s="55" t="inlineStr">
        <is>
          <t>6. Degradación, causas y urgencia (F-DT-04)</t>
        </is>
      </c>
      <c r="B37" s="55" t="inlineStr">
        <is>
          <t>N.° de causas activas en la matriz F-DT-04</t>
        </is>
      </c>
      <c r="C37" s="55" t="inlineStr">
        <is>
          <t>6</t>
        </is>
      </c>
      <c r="D37" s="55" t="inlineStr"/>
    </row>
    <row r="38">
      <c r="A38" s="56" t="inlineStr">
        <is>
          <t>7. Hidrología, acceso y logística (F-DT-05)</t>
        </is>
      </c>
      <c r="B38" s="56" t="inlineStr">
        <is>
          <t>Escorrentía concentrada</t>
        </is>
      </c>
      <c r="C38" s="56" t="inlineStr">
        <is>
          <t>Sí</t>
        </is>
      </c>
      <c r="D38" s="56" t="inlineStr"/>
    </row>
    <row r="39">
      <c r="A39" s="55" t="inlineStr">
        <is>
          <t>7. Hidrología, acceso y logística (F-DT-05)</t>
        </is>
      </c>
      <c r="B39" s="55" t="inlineStr">
        <is>
          <t>Fuentes de agua inventariadas</t>
        </is>
      </c>
      <c r="C39" s="55" t="inlineStr">
        <is>
          <t>2</t>
        </is>
      </c>
      <c r="D39" s="55" t="inlineStr"/>
    </row>
    <row r="40">
      <c r="A40" s="56" t="inlineStr">
        <is>
          <t>7. Hidrología, acceso y logística (F-DT-05)</t>
        </is>
      </c>
      <c r="B40" s="56" t="inlineStr">
        <is>
          <t>Interferencia con riego</t>
        </is>
      </c>
      <c r="C40" s="56" t="inlineStr">
        <is>
          <t>No</t>
        </is>
      </c>
      <c r="D40" s="56" t="inlineStr"/>
    </row>
    <row r="41">
      <c r="A41" s="55" t="inlineStr">
        <is>
          <t>7. Hidrología, acceso y logística (F-DT-05)</t>
        </is>
      </c>
      <c r="B41" s="55" t="inlineStr">
        <is>
          <t>Tipo de vía del tramo final</t>
        </is>
      </c>
      <c r="C41" s="55" t="inlineStr">
        <is>
          <t>Camino de herradura</t>
        </is>
      </c>
      <c r="D41" s="55" t="inlineStr"/>
    </row>
    <row r="42">
      <c r="A42" s="56" t="inlineStr">
        <is>
          <t>7. Hidrología, acceso y logística (F-DT-05)</t>
        </is>
      </c>
      <c r="B42" s="56" t="inlineStr">
        <is>
          <t>Transitabilidad en época seca</t>
        </is>
      </c>
      <c r="C42" s="56" t="inlineStr">
        <is>
          <t>Medio</t>
        </is>
      </c>
      <c r="D42" s="56" t="inlineStr"/>
    </row>
    <row r="43">
      <c r="A43" s="55" t="inlineStr">
        <is>
          <t>7. Hidrología, acceso y logística (F-DT-05)</t>
        </is>
      </c>
      <c r="B43" s="55" t="inlineStr">
        <is>
          <t>Transitabilidad en época lluviosa</t>
        </is>
      </c>
      <c r="C43" s="55" t="inlineStr">
        <is>
          <t>Bajo</t>
        </is>
      </c>
      <c r="D43" s="55" t="inlineStr"/>
    </row>
    <row r="44">
      <c r="A44" s="56" t="inlineStr">
        <is>
          <t>7. Hidrología, acceso y logística (F-DT-05)</t>
        </is>
      </c>
      <c r="B44" s="56" t="inlineStr">
        <is>
          <t>Señal celular</t>
        </is>
      </c>
      <c r="C44" s="56" t="inlineStr">
        <is>
          <t>Parcial</t>
        </is>
      </c>
      <c r="D44" s="56" t="inlineStr"/>
    </row>
    <row r="45">
      <c r="A45" s="55" t="inlineStr">
        <is>
          <t>7. Hidrología, acceso y logística (F-DT-05)</t>
        </is>
      </c>
      <c r="B45" s="55" t="inlineStr">
        <is>
          <t>Operador con cobertura</t>
        </is>
      </c>
      <c r="C45" s="55" t="inlineStr">
        <is>
          <t>Bitel</t>
        </is>
      </c>
      <c r="D45" s="55" t="inlineStr"/>
    </row>
    <row r="46">
      <c r="A46" s="56" t="inlineStr">
        <is>
          <t>7. Hidrología, acceso y logística (F-DT-05)</t>
        </is>
      </c>
      <c r="B46" s="56" t="inlineStr">
        <is>
          <t>Alojamiento disponible en la zona</t>
        </is>
      </c>
      <c r="C46" s="56" t="inlineStr">
        <is>
          <t>No</t>
        </is>
      </c>
      <c r="D46" s="56" t="inlineStr"/>
    </row>
    <row r="47">
      <c r="A47" s="55" t="inlineStr">
        <is>
          <t>7. Hidrología, acceso y logística (F-DT-05)</t>
        </is>
      </c>
      <c r="B47" s="55" t="inlineStr">
        <is>
          <t>Requiere coordinación con ronda / comunidad</t>
        </is>
      </c>
      <c r="C47" s="55" t="inlineStr">
        <is>
          <t>Sí</t>
        </is>
      </c>
      <c r="D47" s="55" t="inlineStr"/>
    </row>
    <row r="49">
      <c r="A49" s="53" t="inlineStr">
        <is>
          <t>C. PROCEDENCIA DE LOS HECHOS DECLARADOS</t>
        </is>
      </c>
    </row>
    <row r="50">
      <c r="A50" s="54" t="inlineStr">
        <is>
          <t>Fuente</t>
        </is>
      </c>
      <c r="B50" s="54" t="inlineStr">
        <is>
          <t>Hechos</t>
        </is>
      </c>
      <c r="C50" s="54" t="inlineStr">
        <is>
          <t>Alcance de la fuente</t>
        </is>
      </c>
    </row>
    <row r="51">
      <c r="A51" s="55" t="inlineStr">
        <is>
          <t>Dato de campo</t>
        </is>
      </c>
      <c r="B51" s="55" t="n">
        <v>66</v>
      </c>
      <c r="C51" s="55" t="inlineStr">
        <is>
          <t>Verificación en campo. Fichas F-DT-01 a F-DT-05 de la Plantilla DT Campo Check Validada V5, suscritas por el evaluador.</t>
        </is>
      </c>
    </row>
    <row r="52">
      <c r="A52" s="56" t="inlineStr">
        <is>
          <t>Gabinete (GIS / teledetección)</t>
        </is>
      </c>
      <c r="B52" s="56" t="n">
        <v>21</v>
      </c>
      <c r="C52" s="56" t="inlineStr">
        <is>
          <t>Gabinete. Estadística zonal sobre el MDE y compuestos Sentinel-2 (NDVI mediana 2025, MSAVI 2024 por clase DN).</t>
        </is>
      </c>
    </row>
    <row r="53">
      <c r="A53" s="55" t="inlineStr">
        <is>
          <t>Fuente oficial</t>
        </is>
      </c>
      <c r="B53" s="55" t="n">
        <v>14</v>
      </c>
      <c r="C53" s="55" t="inlineStr">
        <is>
          <t>Fuente oficial. Catálogo maestro Bloques V5/V6, división política INEI y codificación de microcuencas de la ANA.</t>
        </is>
      </c>
    </row>
    <row r="55">
      <c r="A55" s="53" t="inlineStr">
        <is>
          <t>D. ESTADO DEL CRUCE ENTRE FUENTES</t>
        </is>
      </c>
    </row>
    <row r="56">
      <c r="A56" s="54" t="inlineStr">
        <is>
          <t>Estado</t>
        </is>
      </c>
      <c r="B56" s="54" t="inlineStr">
        <is>
          <t>Hechos</t>
        </is>
      </c>
      <c r="C56" s="54" t="inlineStr">
        <is>
          <t>Significado</t>
        </is>
      </c>
    </row>
    <row r="57">
      <c r="A57" s="55" t="inlineStr">
        <is>
          <t>CONFORME</t>
        </is>
      </c>
      <c r="B57" s="55" t="n">
        <v>101</v>
      </c>
      <c r="C57" s="55" t="inlineStr">
        <is>
          <t>Las dos fuentes declaran lo mismo, o solo la fuente que manda sobre el hecho lo declara.</t>
        </is>
      </c>
    </row>
    <row r="58">
      <c r="A58" s="56" t="inlineStr">
        <is>
          <t>COMPLEMENTADO</t>
        </is>
      </c>
      <c r="B58" s="56" t="n">
        <v>0</v>
      </c>
      <c r="C58" s="56" t="inlineStr">
        <is>
          <t>Solo una de las fuentes lo declara y se adopta ese valor.</t>
        </is>
      </c>
    </row>
    <row r="59">
      <c r="A59" s="55" t="inlineStr">
        <is>
          <t>ACTUALIZADO</t>
        </is>
      </c>
      <c r="B59" s="55" t="n">
        <v>0</v>
      </c>
      <c r="C59" s="55" t="inlineStr">
        <is>
          <t>La verificación de campo vigente corrige lo que traía el libro de resumen.</t>
        </is>
      </c>
    </row>
    <row r="60">
      <c r="A60" s="56" t="inlineStr">
        <is>
          <t>DISCREPANTE</t>
        </is>
      </c>
      <c r="B60" s="56" t="n">
        <v>0</v>
      </c>
      <c r="C60" s="56" t="inlineStr">
        <is>
          <t>Las fuentes se contradicen; prevalece la que manda sobre el hecho y la otra queda declarada.</t>
        </is>
      </c>
    </row>
    <row r="61">
      <c r="A61" s="55" t="inlineStr">
        <is>
          <t>PENDIENTE</t>
        </is>
      </c>
      <c r="B61" s="55" t="n">
        <v>13</v>
      </c>
      <c r="C61"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34</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S-01</t>
        </is>
      </c>
      <c r="B9" s="55" t="inlineStr">
        <is>
          <t>Surco (&lt;30 cm)</t>
        </is>
      </c>
      <c r="C9" s="60" t="n">
        <v>646232</v>
      </c>
      <c r="D9" s="60" t="n">
        <v>9426505</v>
      </c>
      <c r="E9" s="55" t="n"/>
      <c r="F9" s="55" t="n"/>
      <c r="G9" s="55" t="n"/>
      <c r="H9" s="55" t="inlineStr">
        <is>
          <t>Activa</t>
        </is>
      </c>
      <c r="I9" s="55" t="inlineStr">
        <is>
          <t>Caminos / huellas de ganado</t>
        </is>
      </c>
    </row>
    <row r="10">
      <c r="A10" s="56" t="inlineStr">
        <is>
          <t>S-02</t>
        </is>
      </c>
      <c r="B10" s="56" t="inlineStr">
        <is>
          <t>Surco (&lt;30 cm)</t>
        </is>
      </c>
      <c r="C10" s="61" t="n">
        <v>646603</v>
      </c>
      <c r="D10" s="61" t="n">
        <v>9426759</v>
      </c>
      <c r="E10" s="56" t="n"/>
      <c r="F10" s="56" t="n"/>
      <c r="G10" s="56" t="n"/>
      <c r="H10" s="56" t="inlineStr">
        <is>
          <t>Activa</t>
        </is>
      </c>
      <c r="I10" s="56" t="inlineStr">
        <is>
          <t>Caminos / huellas de ganado</t>
        </is>
      </c>
    </row>
    <row r="12">
      <c r="A12" s="53" t="inlineStr">
        <is>
          <t>F-DT-03 · ELENCO FLORÍSTICO</t>
        </is>
      </c>
    </row>
    <row r="13">
      <c r="A13" s="54" t="inlineStr">
        <is>
          <t>N.o</t>
        </is>
      </c>
      <c r="B13" s="54" t="inlineStr">
        <is>
          <t>Nombre común</t>
        </is>
      </c>
      <c r="C13" s="54" t="inlineStr">
        <is>
          <t>Nombre científico</t>
        </is>
      </c>
      <c r="D13" s="54" t="inlineStr">
        <is>
          <t>Familia</t>
        </is>
      </c>
      <c r="E13" s="54" t="inlineStr">
        <is>
          <t>Estrato</t>
        </is>
      </c>
      <c r="F13" s="54" t="inlineStr">
        <is>
          <t>Origen</t>
        </is>
      </c>
      <c r="G13" s="54" t="inlineStr">
        <is>
          <t>Abundancia</t>
        </is>
      </c>
      <c r="H13" s="54" t="inlineStr">
        <is>
          <t>DAP (cm)</t>
        </is>
      </c>
      <c r="I13" s="54" t="inlineStr">
        <is>
          <t>Altura (m)</t>
        </is>
      </c>
    </row>
    <row r="14">
      <c r="A14" s="55" t="inlineStr">
        <is>
          <t>1</t>
        </is>
      </c>
      <c r="B14" s="55" t="inlineStr">
        <is>
          <t>Higuerón</t>
        </is>
      </c>
      <c r="C14" s="55" t="inlineStr">
        <is>
          <t>Ficus sp.</t>
        </is>
      </c>
      <c r="D14" s="55" t="inlineStr">
        <is>
          <t>Moraceae</t>
        </is>
      </c>
      <c r="E14" s="55" t="inlineStr">
        <is>
          <t>Arbóreo medio (8-15 m)</t>
        </is>
      </c>
      <c r="F14" s="55" t="inlineStr">
        <is>
          <t>Nativa</t>
        </is>
      </c>
      <c r="G14" s="55" t="inlineStr">
        <is>
          <t>Rara (&lt;1%)</t>
        </is>
      </c>
      <c r="H14" s="55" t="n"/>
      <c r="I14" s="55" t="n"/>
    </row>
    <row r="15">
      <c r="A15" s="56" t="inlineStr">
        <is>
          <t>2</t>
        </is>
      </c>
      <c r="B15" s="56" t="inlineStr">
        <is>
          <t>Grevilea</t>
        </is>
      </c>
      <c r="C15" s="56" t="inlineStr">
        <is>
          <t>Grevillea robusta</t>
        </is>
      </c>
      <c r="D15" s="56" t="inlineStr">
        <is>
          <t>Proteaceae</t>
        </is>
      </c>
      <c r="E15" s="56" t="inlineStr">
        <is>
          <t>Arbóreo superior (&gt;15 m)</t>
        </is>
      </c>
      <c r="F15" s="56" t="inlineStr">
        <is>
          <t>Introducida</t>
        </is>
      </c>
      <c r="G15" s="56" t="inlineStr">
        <is>
          <t>Ocasional (1-5%)</t>
        </is>
      </c>
      <c r="H15" s="56" t="n"/>
      <c r="I15" s="56" t="n"/>
    </row>
    <row r="16">
      <c r="A16" s="55" t="inlineStr">
        <is>
          <t>3</t>
        </is>
      </c>
      <c r="B16" s="55" t="inlineStr">
        <is>
          <t>Romerillo / Podocarpus</t>
        </is>
      </c>
      <c r="C16" s="55" t="inlineStr">
        <is>
          <t>Podocarpus sp.</t>
        </is>
      </c>
      <c r="D16" s="55" t="inlineStr">
        <is>
          <t>Podocarpaceae</t>
        </is>
      </c>
      <c r="E16" s="55" t="inlineStr">
        <is>
          <t>Arbóreo superior (&gt;15 m)</t>
        </is>
      </c>
      <c r="F16" s="55" t="inlineStr">
        <is>
          <t>Nativa</t>
        </is>
      </c>
      <c r="G16" s="55" t="inlineStr">
        <is>
          <t>Rara (&lt;1%)</t>
        </is>
      </c>
      <c r="H16" s="55" t="n"/>
      <c r="I16" s="55" t="n"/>
    </row>
    <row r="17">
      <c r="A17" s="56" t="inlineStr">
        <is>
          <t>4</t>
        </is>
      </c>
      <c r="B17" s="56" t="inlineStr">
        <is>
          <t>Pacae</t>
        </is>
      </c>
      <c r="C17" s="56" t="inlineStr">
        <is>
          <t>Inga sp.</t>
        </is>
      </c>
      <c r="D17" s="56" t="inlineStr">
        <is>
          <t>Fabaceae</t>
        </is>
      </c>
      <c r="E17" s="56" t="inlineStr">
        <is>
          <t>Arbóreo medio (8-15 m)</t>
        </is>
      </c>
      <c r="F17" s="56" t="inlineStr">
        <is>
          <t>Nativa</t>
        </is>
      </c>
      <c r="G17" s="56" t="inlineStr">
        <is>
          <t>Frecuente (5-20%)</t>
        </is>
      </c>
      <c r="H17" s="56" t="n"/>
      <c r="I17" s="56" t="n"/>
    </row>
    <row r="18">
      <c r="A18" s="55" t="inlineStr">
        <is>
          <t>5</t>
        </is>
      </c>
      <c r="B18" s="55" t="inlineStr">
        <is>
          <t>Chirimoyo silvestre</t>
        </is>
      </c>
      <c r="C18" s="55" t="inlineStr">
        <is>
          <t>Annona sp.</t>
        </is>
      </c>
      <c r="D18" s="55" t="inlineStr">
        <is>
          <t>Annonaceae</t>
        </is>
      </c>
      <c r="E18" s="55" t="inlineStr">
        <is>
          <t>Arbóreo bajo (4-8 m)</t>
        </is>
      </c>
      <c r="F18" s="55" t="inlineStr">
        <is>
          <t>Nativa</t>
        </is>
      </c>
      <c r="G18" s="55" t="inlineStr">
        <is>
          <t>Ocasional (1-5%)</t>
        </is>
      </c>
      <c r="H18" s="55" t="n"/>
      <c r="I18" s="55" t="n"/>
    </row>
    <row r="19">
      <c r="A19" s="56" t="inlineStr">
        <is>
          <t>6</t>
        </is>
      </c>
      <c r="B19" s="56" t="inlineStr">
        <is>
          <t>Bambú</t>
        </is>
      </c>
      <c r="C19" s="56" t="inlineStr">
        <is>
          <t>Bambusoideae (gén. por determinar)</t>
        </is>
      </c>
      <c r="D19" s="56" t="inlineStr">
        <is>
          <t>Poaceae</t>
        </is>
      </c>
      <c r="E19" s="56" t="inlineStr">
        <is>
          <t>Arbóreo bajo (4-8 m)</t>
        </is>
      </c>
      <c r="F19" s="56" t="inlineStr"/>
      <c r="G19" s="56" t="inlineStr">
        <is>
          <t>Abundante (20-40%)</t>
        </is>
      </c>
      <c r="H19" s="56" t="n"/>
      <c r="I19" s="56" t="n"/>
    </row>
    <row r="20">
      <c r="A20" s="55" t="inlineStr">
        <is>
          <t>7</t>
        </is>
      </c>
      <c r="B20" s="55" t="inlineStr">
        <is>
          <t>Melastomatácea (nombre local por determinar)</t>
        </is>
      </c>
      <c r="C20" s="55" t="inlineStr">
        <is>
          <t>Por determinar</t>
        </is>
      </c>
      <c r="D20" s="55" t="inlineStr">
        <is>
          <t>Melastomataceae</t>
        </is>
      </c>
      <c r="E20" s="55" t="inlineStr">
        <is>
          <t>Arbustivo alto (1.5-4 m)</t>
        </is>
      </c>
      <c r="F20" s="55" t="inlineStr">
        <is>
          <t>Nativa</t>
        </is>
      </c>
      <c r="G20" s="55" t="inlineStr">
        <is>
          <t>Frecuente (5-20%)</t>
        </is>
      </c>
      <c r="H20" s="55" t="n"/>
      <c r="I20" s="55" t="n"/>
    </row>
    <row r="21">
      <c r="A21" s="56" t="inlineStr">
        <is>
          <t>8</t>
        </is>
      </c>
      <c r="B21" s="56" t="inlineStr">
        <is>
          <t>Chilca</t>
        </is>
      </c>
      <c r="C21" s="56" t="inlineStr">
        <is>
          <t>Baccharis sp.</t>
        </is>
      </c>
      <c r="D21" s="56" t="inlineStr">
        <is>
          <t>Asteraceae</t>
        </is>
      </c>
      <c r="E21" s="56" t="inlineStr">
        <is>
          <t>Arbustivo alto (1.5-4 m)</t>
        </is>
      </c>
      <c r="F21" s="56" t="inlineStr">
        <is>
          <t>Nativa</t>
        </is>
      </c>
      <c r="G21" s="56" t="inlineStr">
        <is>
          <t>Frecuente (5-20%)</t>
        </is>
      </c>
      <c r="H21" s="56" t="n"/>
      <c r="I21" s="56" t="n"/>
    </row>
    <row r="22">
      <c r="A22" s="55" t="inlineStr">
        <is>
          <t>9</t>
        </is>
      </c>
      <c r="B22" s="55" t="inlineStr">
        <is>
          <t>Agave / Penca</t>
        </is>
      </c>
      <c r="C22" s="55" t="inlineStr">
        <is>
          <t>Agave americana</t>
        </is>
      </c>
      <c r="D22" s="55" t="inlineStr">
        <is>
          <t>Asparagaceae</t>
        </is>
      </c>
      <c r="E22" s="55" t="inlineStr">
        <is>
          <t>Arbustivo alto (1.5-4 m)</t>
        </is>
      </c>
      <c r="F22" s="55" t="inlineStr">
        <is>
          <t>Introducida</t>
        </is>
      </c>
      <c r="G22" s="55" t="inlineStr">
        <is>
          <t>Ocasional (1-5%)</t>
        </is>
      </c>
      <c r="H22" s="55" t="n"/>
      <c r="I22" s="55" t="n"/>
    </row>
    <row r="23">
      <c r="A23" s="56" t="inlineStr">
        <is>
          <t>10</t>
        </is>
      </c>
      <c r="B23" s="56" t="inlineStr">
        <is>
          <t>Falsa yuca</t>
        </is>
      </c>
      <c r="C23" s="56" t="inlineStr">
        <is>
          <t>Por determinar</t>
        </is>
      </c>
      <c r="D23" s="56" t="inlineStr">
        <is>
          <t>Por determinar</t>
        </is>
      </c>
      <c r="E23" s="56" t="inlineStr">
        <is>
          <t>Arbustivo alto (1.5-4 m)</t>
        </is>
      </c>
      <c r="F23" s="56" t="inlineStr"/>
      <c r="G23" s="56" t="inlineStr">
        <is>
          <t>Ocasional (1-5%)</t>
        </is>
      </c>
      <c r="H23" s="56" t="n"/>
      <c r="I23" s="56" t="n"/>
    </row>
    <row r="24">
      <c r="A24" s="55" t="inlineStr">
        <is>
          <t>11</t>
        </is>
      </c>
      <c r="B24" s="55" t="inlineStr">
        <is>
          <t>Café</t>
        </is>
      </c>
      <c r="C24" s="55" t="inlineStr">
        <is>
          <t>Coffea arabica</t>
        </is>
      </c>
      <c r="D24" s="55" t="inlineStr">
        <is>
          <t>Rubiaceae</t>
        </is>
      </c>
      <c r="E24" s="55" t="inlineStr">
        <is>
          <t>Arbustivo alto (1.5-4 m)</t>
        </is>
      </c>
      <c r="F24" s="55" t="inlineStr">
        <is>
          <t>Introducida</t>
        </is>
      </c>
      <c r="G24" s="55" t="inlineStr">
        <is>
          <t>Frecuente (5-20%)</t>
        </is>
      </c>
      <c r="H24" s="55" t="n"/>
      <c r="I24" s="55" t="n"/>
    </row>
    <row r="25">
      <c r="A25" s="56" t="inlineStr">
        <is>
          <t>12</t>
        </is>
      </c>
      <c r="B25" s="56" t="inlineStr">
        <is>
          <t>Cacao</t>
        </is>
      </c>
      <c r="C25" s="56" t="inlineStr">
        <is>
          <t>Theobroma cacao</t>
        </is>
      </c>
      <c r="D25" s="56" t="inlineStr">
        <is>
          <t>Malvaceae</t>
        </is>
      </c>
      <c r="E25" s="56" t="inlineStr">
        <is>
          <t>Arbustivo alto (1.5-4 m)</t>
        </is>
      </c>
      <c r="F25" s="56" t="inlineStr">
        <is>
          <t>Introducida</t>
        </is>
      </c>
      <c r="G25" s="56" t="inlineStr">
        <is>
          <t>Ocasional (1-5%)</t>
        </is>
      </c>
      <c r="H25" s="56" t="n"/>
      <c r="I25" s="56" t="n"/>
    </row>
    <row r="26">
      <c r="A26" s="55" t="inlineStr">
        <is>
          <t>13</t>
        </is>
      </c>
      <c r="B26" s="55" t="inlineStr">
        <is>
          <t>Plátano</t>
        </is>
      </c>
      <c r="C26" s="55" t="inlineStr">
        <is>
          <t>Musa × paradisiaca</t>
        </is>
      </c>
      <c r="D26" s="55" t="inlineStr">
        <is>
          <t>Musaceae</t>
        </is>
      </c>
      <c r="E26" s="55" t="inlineStr">
        <is>
          <t>Arbustivo alto (1.5-4 m)</t>
        </is>
      </c>
      <c r="F26" s="55" t="inlineStr">
        <is>
          <t>Introducida</t>
        </is>
      </c>
      <c r="G26" s="55" t="inlineStr">
        <is>
          <t>Ocasional (1-5%)</t>
        </is>
      </c>
      <c r="H26" s="55" t="n"/>
      <c r="I26" s="55" t="n"/>
    </row>
    <row r="27">
      <c r="A27" s="56" t="inlineStr">
        <is>
          <t>14</t>
        </is>
      </c>
      <c r="B27" s="56" t="inlineStr">
        <is>
          <t>Maíz</t>
        </is>
      </c>
      <c r="C27" s="56" t="inlineStr">
        <is>
          <t>Zea mays</t>
        </is>
      </c>
      <c r="D27" s="56" t="inlineStr">
        <is>
          <t>Poaceae</t>
        </is>
      </c>
      <c r="E27" s="56" t="inlineStr">
        <is>
          <t>Arbustivo bajo (0.5-1.5 m)</t>
        </is>
      </c>
      <c r="F27" s="56" t="inlineStr">
        <is>
          <t>Introducida</t>
        </is>
      </c>
      <c r="G27" s="56" t="inlineStr">
        <is>
          <t>Frecuente (5-20%)</t>
        </is>
      </c>
      <c r="H27" s="56" t="n"/>
      <c r="I27" s="56" t="n"/>
    </row>
    <row r="28">
      <c r="A28" s="55" t="inlineStr">
        <is>
          <t>15</t>
        </is>
      </c>
      <c r="B28" s="55" t="inlineStr">
        <is>
          <t>Arbusto de flores rojas (nombre local por determinar)</t>
        </is>
      </c>
      <c r="C28" s="55" t="inlineStr">
        <is>
          <t>Por determinar</t>
        </is>
      </c>
      <c r="D28" s="55" t="inlineStr">
        <is>
          <t>Por determinar</t>
        </is>
      </c>
      <c r="E28" s="55" t="inlineStr">
        <is>
          <t>Arbustivo alto (1.5-4 m)</t>
        </is>
      </c>
      <c r="F28" s="55" t="inlineStr"/>
      <c r="G28" s="55" t="inlineStr">
        <is>
          <t>Abundante (20-40%)</t>
        </is>
      </c>
      <c r="H28" s="55" t="n"/>
      <c r="I28" s="55" t="n"/>
    </row>
    <row r="30">
      <c r="A30" s="53" t="inlineStr">
        <is>
          <t>F-DT-03 · ESPECIES CLAVE GEORREFERENCIADAS</t>
        </is>
      </c>
    </row>
    <row r="31">
      <c r="A31" s="54" t="inlineStr">
        <is>
          <t>N.o</t>
        </is>
      </c>
      <c r="B31" s="54" t="inlineStr">
        <is>
          <t>Especie</t>
        </is>
      </c>
      <c r="C31" s="54" t="inlineStr">
        <is>
          <t>Categoría</t>
        </is>
      </c>
      <c r="D31" s="54" t="inlineStr">
        <is>
          <t>Estado UICN</t>
        </is>
      </c>
      <c r="E31" s="54" t="inlineStr">
        <is>
          <t>UTM ESTE</t>
        </is>
      </c>
      <c r="F31" s="54" t="inlineStr">
        <is>
          <t>UTM NORTE</t>
        </is>
      </c>
      <c r="G31" s="54" t="inlineStr">
        <is>
          <t>N.° individuos</t>
        </is>
      </c>
      <c r="H31" s="54" t="inlineStr">
        <is>
          <t>Observación</t>
        </is>
      </c>
    </row>
    <row r="32">
      <c r="A32" s="55" t="inlineStr">
        <is>
          <t>1</t>
        </is>
      </c>
      <c r="B32" s="55" t="inlineStr">
        <is>
          <t>Podocarpus sp. (Romerillo)</t>
        </is>
      </c>
      <c r="C32" s="55" t="inlineStr">
        <is>
          <t>Indicadora de buen estado</t>
        </is>
      </c>
      <c r="D32" s="55" t="inlineStr">
        <is>
          <t>NE — No Evaluado</t>
        </is>
      </c>
      <c r="E32" s="55" t="n"/>
      <c r="F32" s="55" t="n"/>
      <c r="G32" s="55" t="n"/>
      <c r="H32" s="55" t="inlineStr">
        <is>
          <t>Género con especies incluidas en el D.S. 043-2006-AG; la categoría depende de la determinación a nivel de especie (por verificar).</t>
        </is>
      </c>
    </row>
    <row r="33">
      <c r="A33" s="56" t="inlineStr">
        <is>
          <t>2</t>
        </is>
      </c>
      <c r="B33" s="56" t="inlineStr">
        <is>
          <t>Ficus sp. (Higuerón)</t>
        </is>
      </c>
      <c r="C33" s="56" t="inlineStr">
        <is>
          <t>Indicadora de buen estado</t>
        </is>
      </c>
      <c r="D33" s="56" t="inlineStr">
        <is>
          <t>NE — No Evaluado</t>
        </is>
      </c>
      <c r="E33" s="56" t="n"/>
      <c r="F33" s="56" t="n"/>
      <c r="G33" s="56" t="n"/>
      <c r="H33" s="56" t="inlineStr">
        <is>
          <t>Relicto arbóreo de gran porte en fondo de quebrada; determinación botánica pendiente.</t>
        </is>
      </c>
    </row>
    <row r="34">
      <c r="A34" s="55" t="inlineStr">
        <is>
          <t>3</t>
        </is>
      </c>
      <c r="B34" s="55" t="inlineStr">
        <is>
          <t>Melastomataceae (por determinar)</t>
        </is>
      </c>
      <c r="C34" s="55" t="inlineStr">
        <is>
          <t>Indicadora de buen estado</t>
        </is>
      </c>
      <c r="D34" s="55" t="inlineStr">
        <is>
          <t>NE — No Evaluado</t>
        </is>
      </c>
      <c r="E34" s="60" t="n">
        <v>646477</v>
      </c>
      <c r="F34" s="60" t="n">
        <v>9426654</v>
      </c>
      <c r="G34" s="55" t="n"/>
      <c r="H34" s="55" t="inlineStr">
        <is>
          <t>Arbusto de venación acródroma característica; género por determinar.</t>
        </is>
      </c>
    </row>
    <row r="35">
      <c r="A35" s="56" t="inlineStr">
        <is>
          <t>4</t>
        </is>
      </c>
      <c r="B35" s="56" t="inlineStr">
        <is>
          <t>Agave americana</t>
        </is>
      </c>
      <c r="C35" s="56" t="inlineStr">
        <is>
          <t>Indicadora de perturbación</t>
        </is>
      </c>
      <c r="D35" s="56" t="inlineStr">
        <is>
          <t>No aplica</t>
        </is>
      </c>
      <c r="E35" s="61" t="n">
        <v>646347</v>
      </c>
      <c r="F35" s="61" t="n">
        <v>9426469</v>
      </c>
      <c r="G35" s="56" t="n"/>
      <c r="H35" s="56" t="inlineStr">
        <is>
          <t>Especie introducida en taludes y bordes de camino.</t>
        </is>
      </c>
    </row>
    <row r="37">
      <c r="A37" s="53" t="inlineStr">
        <is>
          <t>F-DT-04 · MATRIZ DE CAUSAS DE DEGRADACIÓN</t>
        </is>
      </c>
    </row>
    <row r="38">
      <c r="A38" s="54" t="inlineStr">
        <is>
          <t>N.o</t>
        </is>
      </c>
      <c r="B38" s="54" t="inlineStr">
        <is>
          <t>Causa</t>
        </is>
      </c>
      <c r="C38" s="54" t="inlineStr">
        <is>
          <t>Presencia</t>
        </is>
      </c>
      <c r="D38" s="54" t="inlineStr">
        <is>
          <t>Intensidad</t>
        </is>
      </c>
      <c r="E38" s="54" t="inlineStr">
        <is>
          <t>Extensión</t>
        </is>
      </c>
      <c r="F38" s="54" t="inlineStr">
        <is>
          <t>Antigüedad</t>
        </is>
      </c>
      <c r="G38" s="54" t="inlineStr">
        <is>
          <t>Evidencia</t>
        </is>
      </c>
    </row>
    <row r="39">
      <c r="A39" s="55" t="inlineStr">
        <is>
          <t>1</t>
        </is>
      </c>
      <c r="B39" s="55" t="inlineStr">
        <is>
          <t>Sobrepastoreo (caprino/vacuno)</t>
        </is>
      </c>
      <c r="C39" s="55" t="inlineStr">
        <is>
          <t>Sí</t>
        </is>
      </c>
      <c r="D39" s="55" t="inlineStr">
        <is>
          <t>Ligera</t>
        </is>
      </c>
      <c r="E39" s="55" t="inlineStr">
        <is>
          <t>10</t>
        </is>
      </c>
      <c r="F39" s="55" t="inlineStr"/>
      <c r="G39" s="55" t="inlineStr">
        <is>
          <t>Potrero cercado y pastizal en ladera (F-11, F-13); carga ganadera por verificar</t>
        </is>
      </c>
    </row>
    <row r="40">
      <c r="A40" s="56" t="inlineStr">
        <is>
          <t>2</t>
        </is>
      </c>
      <c r="B40" s="56" t="inlineStr">
        <is>
          <t>Tala para leña</t>
        </is>
      </c>
      <c r="C40" s="56" t="inlineStr">
        <is>
          <t>Sí</t>
        </is>
      </c>
      <c r="D40" s="56" t="inlineStr">
        <is>
          <t>Ligera</t>
        </is>
      </c>
      <c r="E40" s="56" t="inlineStr"/>
      <c r="F40" s="56" t="inlineStr"/>
      <c r="G40" s="56" t="inlineStr">
        <is>
          <t>Ramas y fustes cortados junto a sendas (F-07, F-14); extracción puntual, por verificar</t>
        </is>
      </c>
    </row>
    <row r="41">
      <c r="A41" s="55" t="inlineStr">
        <is>
          <t>3</t>
        </is>
      </c>
      <c r="B41" s="55" t="inlineStr">
        <is>
          <t>Tala para carbón</t>
        </is>
      </c>
      <c r="C41" s="55" t="inlineStr">
        <is>
          <t>No</t>
        </is>
      </c>
      <c r="D41" s="55" t="inlineStr">
        <is>
          <t>Nula</t>
        </is>
      </c>
      <c r="E41" s="55" t="inlineStr"/>
      <c r="F41" s="55" t="inlineStr"/>
      <c r="G41" s="55" t="inlineStr">
        <is>
          <t>No evidenciada en el recorrido</t>
        </is>
      </c>
    </row>
    <row r="42">
      <c r="A42" s="56" t="inlineStr">
        <is>
          <t>4</t>
        </is>
      </c>
      <c r="B42" s="56" t="inlineStr">
        <is>
          <t>Tala para madera</t>
        </is>
      </c>
      <c r="C42" s="56" t="inlineStr">
        <is>
          <t>No</t>
        </is>
      </c>
      <c r="D42" s="56" t="inlineStr">
        <is>
          <t>Nula</t>
        </is>
      </c>
      <c r="E42" s="56" t="inlineStr"/>
      <c r="F42" s="56" t="inlineStr"/>
      <c r="G42" s="56" t="inlineStr">
        <is>
          <t>No evidenciada en el recorrido</t>
        </is>
      </c>
    </row>
    <row r="43">
      <c r="A43" s="55" t="inlineStr">
        <is>
          <t>5</t>
        </is>
      </c>
      <c r="B43" s="55" t="inlineStr">
        <is>
          <t>Quema (renovación de pastos)</t>
        </is>
      </c>
      <c r="C43" s="55" t="inlineStr">
        <is>
          <t>No</t>
        </is>
      </c>
      <c r="D43" s="55" t="inlineStr">
        <is>
          <t>Nula</t>
        </is>
      </c>
      <c r="E43" s="55" t="inlineStr"/>
      <c r="F43" s="55" t="inlineStr"/>
      <c r="G43" s="55" t="inlineStr">
        <is>
          <t>No se observaron pastizales quemados</t>
        </is>
      </c>
    </row>
    <row r="44">
      <c r="A44" s="56" t="inlineStr">
        <is>
          <t>6</t>
        </is>
      </c>
      <c r="B44" s="56" t="inlineStr">
        <is>
          <t>Quema accidental / Incendio</t>
        </is>
      </c>
      <c r="C44" s="56" t="inlineStr">
        <is>
          <t>No</t>
        </is>
      </c>
      <c r="D44" s="56" t="inlineStr">
        <is>
          <t>Nula</t>
        </is>
      </c>
      <c r="E44" s="56" t="inlineStr"/>
      <c r="F44" s="56" t="inlineStr"/>
      <c r="G44" s="56" t="inlineStr">
        <is>
          <t>No se observaron cicatrices de incendio</t>
        </is>
      </c>
    </row>
    <row r="45">
      <c r="A45" s="55" t="inlineStr">
        <is>
          <t>7</t>
        </is>
      </c>
      <c r="B45" s="55" t="inlineStr">
        <is>
          <t>Cambio de uso a agricultura</t>
        </is>
      </c>
      <c r="C45" s="55" t="inlineStr">
        <is>
          <t>Sí</t>
        </is>
      </c>
      <c r="D45" s="55" t="inlineStr">
        <is>
          <t>Moderada</t>
        </is>
      </c>
      <c r="E45" s="55" t="inlineStr">
        <is>
          <t>50</t>
        </is>
      </c>
      <c r="F45" s="55" t="inlineStr"/>
      <c r="G45" s="55" t="inlineStr">
        <is>
          <t>Parcelas de maíz y agroforestería de café/cacao/plátano en ladera (F-10); agroforestería reportada en campo. Cartografía MINAM: Zona agrícola 26.93 ha (94.7 % del bloque)</t>
        </is>
      </c>
    </row>
    <row r="46">
      <c r="A46" s="56" t="inlineStr">
        <is>
          <t>8</t>
        </is>
      </c>
      <c r="B46" s="56" t="inlineStr">
        <is>
          <t>Cambio de uso a pastoreo</t>
        </is>
      </c>
      <c r="C46" s="56" t="inlineStr">
        <is>
          <t>Sí</t>
        </is>
      </c>
      <c r="D46" s="56" t="inlineStr">
        <is>
          <t>Ligera</t>
        </is>
      </c>
      <c r="E46" s="56" t="inlineStr">
        <is>
          <t>10</t>
        </is>
      </c>
      <c r="F46" s="56" t="inlineStr"/>
      <c r="G46" s="56" t="inlineStr">
        <is>
          <t>Pastizal cultivado y potrero cercado (F-11, F-13)</t>
        </is>
      </c>
    </row>
    <row r="47">
      <c r="A47" s="55" t="inlineStr">
        <is>
          <t>9</t>
        </is>
      </c>
      <c r="B47" s="55" t="inlineStr">
        <is>
          <t>Expansión urbana / vial</t>
        </is>
      </c>
      <c r="C47" s="55" t="inlineStr">
        <is>
          <t>Sí</t>
        </is>
      </c>
      <c r="D47" s="55" t="inlineStr">
        <is>
          <t>Ligera</t>
        </is>
      </c>
      <c r="E47" s="55" t="inlineStr">
        <is>
          <t>5</t>
        </is>
      </c>
      <c r="F47" s="55" t="inlineStr"/>
      <c r="G47" s="55" t="inlineStr">
        <is>
          <t>Taludes de corte inestables en camino de herradura/trocha (F-04, F-05); proximidad al C.P. Tunal y a Maray</t>
        </is>
      </c>
    </row>
    <row r="48">
      <c r="A48" s="56" t="inlineStr">
        <is>
          <t>10</t>
        </is>
      </c>
      <c r="B48" s="56" t="inlineStr">
        <is>
          <t>Minería informal</t>
        </is>
      </c>
      <c r="C48" s="56" t="inlineStr">
        <is>
          <t>No</t>
        </is>
      </c>
      <c r="D48" s="56" t="inlineStr">
        <is>
          <t>Nula</t>
        </is>
      </c>
      <c r="E48" s="56" t="inlineStr"/>
      <c r="F48" s="56" t="inlineStr"/>
      <c r="G48" s="56" t="inlineStr">
        <is>
          <t>No observada</t>
        </is>
      </c>
    </row>
    <row r="49">
      <c r="A49" s="55" t="inlineStr">
        <is>
          <t>11</t>
        </is>
      </c>
      <c r="B49" s="55" t="inlineStr">
        <is>
          <t>Extracción de áridos (cauces)</t>
        </is>
      </c>
      <c r="C49" s="55" t="inlineStr">
        <is>
          <t>No</t>
        </is>
      </c>
      <c r="D49" s="55" t="inlineStr">
        <is>
          <t>Nula</t>
        </is>
      </c>
      <c r="E49" s="55" t="inlineStr"/>
      <c r="F49" s="55" t="inlineStr"/>
      <c r="G49" s="55" t="inlineStr">
        <is>
          <t>No observada</t>
        </is>
      </c>
    </row>
    <row r="50">
      <c r="A50" s="56" t="inlineStr">
        <is>
          <t>12</t>
        </is>
      </c>
      <c r="B50" s="56" t="inlineStr">
        <is>
          <t>Especies invasoras</t>
        </is>
      </c>
      <c r="C50" s="56" t="inlineStr">
        <is>
          <t>Sí</t>
        </is>
      </c>
      <c r="D50" s="56" t="inlineStr">
        <is>
          <t>Ligera</t>
        </is>
      </c>
      <c r="E50" s="56" t="inlineStr">
        <is>
          <t>5</t>
        </is>
      </c>
      <c r="F50" s="56" t="inlineStr"/>
      <c r="G50" s="56" t="inlineStr">
        <is>
          <t>Agave americana en taludes y bordes de camino (F-09)</t>
        </is>
      </c>
    </row>
    <row r="51">
      <c r="A51" s="55" t="inlineStr">
        <is>
          <t>13</t>
        </is>
      </c>
      <c r="B51" s="55" t="inlineStr">
        <is>
          <t>Erosión natural severa</t>
        </is>
      </c>
      <c r="C51" s="55" t="inlineStr">
        <is>
          <t>No</t>
        </is>
      </c>
      <c r="D51" s="55" t="inlineStr">
        <is>
          <t>Nula</t>
        </is>
      </c>
      <c r="E51" s="55" t="inlineStr"/>
      <c r="F51" s="55" t="inlineStr"/>
      <c r="G51" s="55" t="inlineStr">
        <is>
          <t>Sin evidencia de erosión natural severa en la superficie recorrida</t>
        </is>
      </c>
    </row>
    <row r="52">
      <c r="A52" s="56" t="inlineStr">
        <is>
          <t>14</t>
        </is>
      </c>
      <c r="B52" s="56" t="inlineStr">
        <is>
          <t>Sequía prolongada / CC</t>
        </is>
      </c>
      <c r="C52" s="56" t="inlineStr">
        <is>
          <t>No</t>
        </is>
      </c>
      <c r="D52" s="56" t="inlineStr">
        <is>
          <t>Nula</t>
        </is>
      </c>
      <c r="E52" s="56" t="inlineStr"/>
      <c r="F52" s="56" t="inlineStr"/>
      <c r="G52" s="56" t="inlineStr">
        <is>
          <t>No evidenciada; visita en época de alta cobertura vegetal</t>
        </is>
      </c>
    </row>
    <row r="53">
      <c r="A53" s="55" t="inlineStr">
        <is>
          <t>15</t>
        </is>
      </c>
      <c r="B53" s="55" t="inlineStr">
        <is>
          <t>Plagas o enfermedades forestales</t>
        </is>
      </c>
      <c r="C53" s="55" t="inlineStr">
        <is>
          <t>No</t>
        </is>
      </c>
      <c r="D53" s="55" t="inlineStr">
        <is>
          <t>Nula</t>
        </is>
      </c>
      <c r="E53" s="55" t="inlineStr"/>
      <c r="F53" s="55" t="inlineStr"/>
      <c r="G53" s="55" t="inlineStr">
        <is>
          <t>Dosel de aspecto sano; sin signos de plaga o enfermedad</t>
        </is>
      </c>
    </row>
    <row r="54">
      <c r="A54" s="56" t="inlineStr">
        <is>
          <t>16</t>
        </is>
      </c>
      <c r="B54" s="56" t="inlineStr">
        <is>
          <t>Otro</t>
        </is>
      </c>
      <c r="C54" s="56" t="inlineStr"/>
      <c r="D54" s="56" t="inlineStr"/>
      <c r="E54" s="56" t="inlineStr"/>
      <c r="F54" s="56" t="inlineStr"/>
      <c r="G54" s="56" t="inlineStr"/>
    </row>
    <row r="56">
      <c r="A56" s="53" t="inlineStr">
        <is>
          <t>F-DT-04 · INDICADORES CUANTITATIVOS</t>
        </is>
      </c>
    </row>
    <row r="57">
      <c r="A57" s="54" t="inlineStr">
        <is>
          <t>N.o</t>
        </is>
      </c>
      <c r="B57" s="54" t="inlineStr">
        <is>
          <t>Indicador</t>
        </is>
      </c>
      <c r="C57" s="54" t="inlineStr">
        <is>
          <t>Unidad</t>
        </is>
      </c>
      <c r="D57" s="54" t="inlineStr">
        <is>
          <t>Valor</t>
        </is>
      </c>
      <c r="E57" s="54" t="inlineStr">
        <is>
          <t>Fuente</t>
        </is>
      </c>
      <c r="F57" s="54" t="inlineStr">
        <is>
          <t>Umbral</t>
        </is>
      </c>
      <c r="G57" s="54" t="inlineStr">
        <is>
          <t>Nivel</t>
        </is>
      </c>
    </row>
    <row r="58">
      <c r="A58" s="55" t="inlineStr">
        <is>
          <t>1</t>
        </is>
      </c>
      <c r="B58" s="55" t="inlineStr">
        <is>
          <t>Cobertura vegetal total</t>
        </is>
      </c>
      <c r="C58" s="55" t="inlineStr">
        <is>
          <t>%</t>
        </is>
      </c>
      <c r="D58" s="55" t="inlineStr">
        <is>
          <t>90</t>
        </is>
      </c>
      <c r="E58" s="55" t="inlineStr">
        <is>
          <t>Estimación ocular + MSAVI 2024 (media 0.649)</t>
        </is>
      </c>
      <c r="F58" s="55" t="inlineStr">
        <is>
          <t>&gt;60% bueno; 30-60% medio; &lt;30% malo</t>
        </is>
      </c>
      <c r="G58" s="55" t="inlineStr">
        <is>
          <t>Alto</t>
        </is>
      </c>
    </row>
    <row r="59">
      <c r="A59" s="56" t="inlineStr">
        <is>
          <t>2</t>
        </is>
      </c>
      <c r="B59" s="56" t="inlineStr">
        <is>
          <t>Porcentaje de suelo desnudo</t>
        </is>
      </c>
      <c r="C59" s="56" t="inlineStr">
        <is>
          <t>%</t>
        </is>
      </c>
      <c r="D59" s="56" t="inlineStr">
        <is>
          <t>5</t>
        </is>
      </c>
      <c r="E59" s="56" t="inlineStr">
        <is>
          <t>Estimación ocular de campo</t>
        </is>
      </c>
      <c r="F59" s="56" t="inlineStr">
        <is>
          <t>&lt;10% bueno; 10-30% medio; &gt;30% malo</t>
        </is>
      </c>
      <c r="G59" s="56" t="inlineStr">
        <is>
          <t>Bajo</t>
        </is>
      </c>
    </row>
    <row r="60">
      <c r="A60" s="55" t="inlineStr">
        <is>
          <t>3</t>
        </is>
      </c>
      <c r="B60" s="55" t="inlineStr">
        <is>
          <t>Densidad de cárcavas</t>
        </is>
      </c>
      <c r="C60" s="55" t="inlineStr">
        <is>
          <t>N°/ha</t>
        </is>
      </c>
      <c r="D60" s="55" t="inlineStr">
        <is>
          <t>0</t>
        </is>
      </c>
      <c r="E60" s="55" t="inlineStr">
        <is>
          <t>Recorrido de reconocimiento (0 cárcavas registradas)</t>
        </is>
      </c>
      <c r="F60" s="55" t="inlineStr">
        <is>
          <t>0 nulo; 1-3 medio; &gt;3 alto</t>
        </is>
      </c>
      <c r="G60" s="55" t="inlineStr">
        <is>
          <t>Bajo</t>
        </is>
      </c>
    </row>
    <row r="61">
      <c r="A61" s="56" t="inlineStr">
        <is>
          <t>4</t>
        </is>
      </c>
      <c r="B61" s="56" t="inlineStr">
        <is>
          <t>Presencia de especies invasoras</t>
        </is>
      </c>
      <c r="C61" s="56" t="inlineStr">
        <is>
          <t>% área</t>
        </is>
      </c>
      <c r="D61" s="56" t="inlineStr">
        <is>
          <t>5</t>
        </is>
      </c>
      <c r="E61" s="56" t="inlineStr">
        <is>
          <t>Estimación ocular (Agave americana)</t>
        </is>
      </c>
      <c r="F61" s="56" t="inlineStr">
        <is>
          <t>&lt;5% bueno; 5-20% medio; &gt;20% alto</t>
        </is>
      </c>
      <c r="G61" s="56" t="inlineStr">
        <is>
          <t>Medio</t>
        </is>
      </c>
    </row>
    <row r="62">
      <c r="A62" s="55" t="inlineStr">
        <is>
          <t>5</t>
        </is>
      </c>
      <c r="B62" s="55" t="inlineStr">
        <is>
          <t>Carga ganadera estimada</t>
        </is>
      </c>
      <c r="C62" s="55" t="inlineStr">
        <is>
          <t>UA/ha</t>
        </is>
      </c>
      <c r="D62" s="55" t="inlineStr">
        <is>
          <t>Por determinar</t>
        </is>
      </c>
      <c r="E62" s="55" t="inlineStr">
        <is>
          <t>Pendiente de cuantificación</t>
        </is>
      </c>
      <c r="F62" s="55" t="inlineStr">
        <is>
          <t>Según tipo de ecosistema</t>
        </is>
      </c>
      <c r="G62" s="55" t="inlineStr"/>
    </row>
    <row r="63">
      <c r="A63" s="56" t="inlineStr">
        <is>
          <t>6</t>
        </is>
      </c>
      <c r="B63" s="56" t="inlineStr">
        <is>
          <t>Frecuencia de quemas últimos 5 años</t>
        </is>
      </c>
      <c r="C63" s="56" t="inlineStr">
        <is>
          <t>N°</t>
        </is>
      </c>
      <c r="D63" s="56" t="inlineStr">
        <is>
          <t>Por determinar</t>
        </is>
      </c>
      <c r="E63" s="56" t="inlineStr">
        <is>
          <t>Pendiente de cuantificación</t>
        </is>
      </c>
      <c r="F63" s="56" t="inlineStr">
        <is>
          <t>0 nulo; 1-2 medio; &gt;2 alto</t>
        </is>
      </c>
      <c r="G63" s="56" t="inlineStr"/>
    </row>
    <row r="64">
      <c r="A64" s="55" t="inlineStr">
        <is>
          <t>7</t>
        </is>
      </c>
      <c r="B64" s="55" t="inlineStr">
        <is>
          <t>% área con pendiente &gt;50%</t>
        </is>
      </c>
      <c r="C64" s="55" t="inlineStr">
        <is>
          <t>%</t>
        </is>
      </c>
      <c r="D64" s="55" t="inlineStr">
        <is>
          <t>Por determinar</t>
        </is>
      </c>
      <c r="E64" s="55" t="inlineStr">
        <is>
          <t>Perfil de elevación Google Earth: media 33.6 %, máxima 66.3 %</t>
        </is>
      </c>
      <c r="F64" s="55" t="inlineStr">
        <is>
          <t>Factor de susceptibilidad</t>
        </is>
      </c>
      <c r="G64" s="55" t="inlineStr">
        <is>
          <t>Medio</t>
        </is>
      </c>
    </row>
    <row r="65">
      <c r="A65" s="56" t="inlineStr">
        <is>
          <t>8</t>
        </is>
      </c>
      <c r="B65" s="56" t="inlineStr">
        <is>
          <t>Distancia a vía vecinal más cercana</t>
        </is>
      </c>
      <c r="C65" s="56" t="inlineStr">
        <is>
          <t>m</t>
        </is>
      </c>
      <c r="D65" s="56" t="inlineStr">
        <is>
          <t>0</t>
        </is>
      </c>
      <c r="E65" s="56" t="inlineStr">
        <is>
          <t>Camino de herradura atraviesa el bloque</t>
        </is>
      </c>
      <c r="F65" s="56" t="inlineStr">
        <is>
          <t>A menor distancia → mayor presión</t>
        </is>
      </c>
      <c r="G65" s="56" t="inlineStr">
        <is>
          <t>Alto</t>
        </is>
      </c>
    </row>
    <row r="67">
      <c r="A67" s="53" t="inlineStr">
        <is>
          <t>F-DT-05 · FUENTES DE AGUA INVENTARIADAS</t>
        </is>
      </c>
    </row>
    <row r="68">
      <c r="A68" s="54" t="inlineStr">
        <is>
          <t>N.o</t>
        </is>
      </c>
      <c r="B68" s="54" t="inlineStr">
        <is>
          <t>Tipo de fuente</t>
        </is>
      </c>
      <c r="C68" s="54" t="inlineStr">
        <is>
          <t>UTM ESTE</t>
        </is>
      </c>
      <c r="D68" s="54" t="inlineStr">
        <is>
          <t>UTM NORTE</t>
        </is>
      </c>
      <c r="E68" s="54" t="inlineStr">
        <is>
          <t>Régimen</t>
        </is>
      </c>
      <c r="F68" s="54" t="inlineStr">
        <is>
          <t>Calidad</t>
        </is>
      </c>
      <c r="G68" s="54" t="inlineStr">
        <is>
          <t>Distancia (m)</t>
        </is>
      </c>
      <c r="H68" s="54" t="inlineStr">
        <is>
          <t>Uso / observación</t>
        </is>
      </c>
    </row>
    <row r="69">
      <c r="A69" s="55" t="inlineStr">
        <is>
          <t>1</t>
        </is>
      </c>
      <c r="B69" s="55" t="inlineStr">
        <is>
          <t>Río</t>
        </is>
      </c>
      <c r="C69" s="60" t="n">
        <v>646150</v>
      </c>
      <c r="D69" s="60" t="n">
        <v>9426520</v>
      </c>
      <c r="E69" s="55" t="inlineStr">
        <is>
          <t>Permanente</t>
        </is>
      </c>
      <c r="F69" s="55" t="inlineStr">
        <is>
          <t>No evaluable</t>
        </is>
      </c>
      <c r="G69" s="55" t="n"/>
      <c r="H69" s="55" t="inlineStr">
        <is>
          <t>Curso principal que discurre por el borde occidental del bloque, frente al C.P. Tunal; ubicación aproximada sobre imagen satelital, por verificar</t>
        </is>
      </c>
    </row>
    <row r="70">
      <c r="A70" s="56" t="inlineStr">
        <is>
          <t>2</t>
        </is>
      </c>
      <c r="B70" s="56" t="inlineStr">
        <is>
          <t>Quebrada estacional</t>
        </is>
      </c>
      <c r="C70" s="61" t="n">
        <v>646700</v>
      </c>
      <c r="D70" s="61" t="n">
        <v>9426900</v>
      </c>
      <c r="E70" s="56" t="inlineStr">
        <is>
          <t>Estacional</t>
        </is>
      </c>
      <c r="F70" s="56" t="inlineStr">
        <is>
          <t>No evaluable</t>
        </is>
      </c>
      <c r="G70" s="56" t="n"/>
      <c r="H70" s="56" t="inlineStr">
        <is>
          <t>Quebrada tributaria que diseca el sector al NE; ubicación aproximada, por verificar</t>
        </is>
      </c>
    </row>
    <row r="73">
      <c r="A73" s="53" t="inlineStr">
        <is>
          <t>OBSERVACIONES DEL EVALUADOR POR FICHA</t>
        </is>
      </c>
    </row>
    <row r="74">
      <c r="A74" s="54" t="inlineStr">
        <is>
          <t>Ficha</t>
        </is>
      </c>
      <c r="B74" s="54" t="inlineStr">
        <is>
          <t>Observación registrada en campo</t>
        </is>
      </c>
    </row>
    <row r="75">
      <c r="A75" s="55" t="inlineStr">
        <is>
          <t>F-DT-02</t>
        </is>
      </c>
      <c r="B75" s="55" t="inlineStr">
        <is>
          <t>No se registraron cárcavas propiamente dichas (0). Se inventariaron 2 grupos de surcos activos asociados a sendas y caminos de herradura; sus dimensiones (longitud, profundidad, ancho) NO fueron medidas instrumentalmente y quedan por determinar. La longitud total de cárcavas queda "Por determinar" por la misma razón. Erosión laminar estimada ocularmente (≈5 %). Punto de muestreo consignado = talud de corte con desprendimiento de suelo residual rojizo (17M 646 225 · 9 426 501, rumbo 132° SE, foto F-04).</t>
        </is>
      </c>
    </row>
    <row r="76">
      <c r="A76" s="56" t="inlineStr">
        <is>
          <t>F-DT-03</t>
        </is>
      </c>
      <c r="B76" s="56" t="inlineStr">
        <is>
          <t>Composición florística PRELIMINAR: nombres científicos a nivel de especie y categorías de conservación sujetos a determinación botánica formal. Coberturas por estrato = estimación ocular (no suman 100 %; son proyecciones independientes por estrato). Altura del estrato dominante, altura máxima y DAP no se midieron instrumentalmente. El "Origen" de Bambú, Falsa yuca y el arbusto de flores rojas se deja en blanco por no corresponder aún a una categoría verificable. Maíz (Zea mays) se asigna al estrato "Arbustivo bajo" por altura observada, aun siendo herbácea. Ecosistema MINAM del bloque: Zona agrícola (Agri) 26.93 ha + Matorral andino (Ma) 1.52 ha = 28.45 ha. La pendiente promedio (33.6 %) corresponde al perfil de elevación Google Earth del acceso (427 m), no a una parcela.</t>
        </is>
      </c>
    </row>
    <row r="77">
      <c r="A77" s="55" t="inlineStr">
        <is>
          <t>F-DT-05</t>
        </is>
      </c>
      <c r="B77" s="55" t="inlineStr">
        <is>
          <t>Recorrido a pie por camino de herradura desde el C.P. Tunal (perfil Google Earth del acceso: 427 m, desnivel +147 m, pendiente media 33.6 %, máxima 66.3 %). Señal celular, operador dominante y alojamiento rural no fueron registrados en campo y quedan sin dato. No se identificaron manantiales ni captaciones poblacionales dentro del recorrido; la distancia a la captación más cercana y el nombre de la JASS quedan por determinar. No se requirió autorización de Ronda Campesina durante la visita; su formalización queda por confirmar con las autoridades locales. Coordenadas de las fuentes de agua son aproximadas (digitalización sobre imagen satelital).</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34</t>
        </is>
      </c>
    </row>
    <row r="7">
      <c r="A7" s="53" t="inlineStr">
        <is>
          <t>Hechos declarados por fuente</t>
        </is>
      </c>
    </row>
    <row r="8">
      <c r="A8" s="54" t="inlineStr">
        <is>
          <t>Fuente</t>
        </is>
      </c>
      <c r="B8" s="54" t="inlineStr">
        <is>
          <t>Hechos</t>
        </is>
      </c>
    </row>
    <row r="9">
      <c r="A9" s="55" t="inlineStr">
        <is>
          <t>Dato de campo</t>
        </is>
      </c>
      <c r="B9" s="55" t="n">
        <v>66</v>
      </c>
    </row>
    <row r="10">
      <c r="A10" s="56" t="inlineStr">
        <is>
          <t>Gabinete (GIS / teledetección)</t>
        </is>
      </c>
      <c r="B10" s="56" t="n">
        <v>21</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101</v>
      </c>
    </row>
    <row r="31">
      <c r="A31" s="56" t="inlineStr">
        <is>
          <t>COMPLEMENTADO</t>
        </is>
      </c>
      <c r="B31" s="56" t="n">
        <v>0</v>
      </c>
    </row>
    <row r="32">
      <c r="A32" s="55" t="inlineStr">
        <is>
          <t>ACTUALIZADO</t>
        </is>
      </c>
      <c r="B32" s="55" t="n">
        <v>0</v>
      </c>
    </row>
    <row r="33">
      <c r="A33" s="56" t="inlineStr">
        <is>
          <t>DISCREPANTE</t>
        </is>
      </c>
      <c r="B33" s="56" t="n">
        <v>0</v>
      </c>
    </row>
    <row r="34">
      <c r="A34" s="55" t="inlineStr">
        <is>
          <t>PENDIENTE</t>
        </is>
      </c>
      <c r="B34" s="55" t="n">
        <v>13</v>
      </c>
    </row>
    <row r="51">
      <c r="A51" s="53" t="inlineStr">
        <is>
          <t>Cobertura por estrato — campo (%)</t>
        </is>
      </c>
    </row>
    <row r="52">
      <c r="A52" s="54" t="inlineStr">
        <is>
          <t>Estrato</t>
        </is>
      </c>
      <c r="B52" s="54" t="inlineStr">
        <is>
          <t>% del área</t>
        </is>
      </c>
    </row>
    <row r="53">
      <c r="A53" s="55" t="inlineStr">
        <is>
          <t>Dosel</t>
        </is>
      </c>
      <c r="B53" s="60" t="n">
        <v>30</v>
      </c>
    </row>
    <row r="54">
      <c r="A54" s="56" t="inlineStr">
        <is>
          <t>Arbustiva</t>
        </is>
      </c>
      <c r="B54" s="61" t="n">
        <v>35</v>
      </c>
    </row>
    <row r="55">
      <c r="A55" s="55" t="inlineStr">
        <is>
          <t>Herbácea</t>
        </is>
      </c>
      <c r="B55" s="60" t="n">
        <v>30</v>
      </c>
    </row>
    <row r="56">
      <c r="A56" s="56" t="inlineStr">
        <is>
          <t>Hojarasca</t>
        </is>
      </c>
      <c r="B56" s="61" t="n">
        <v>20</v>
      </c>
    </row>
    <row r="57">
      <c r="A57" s="55" t="inlineStr">
        <is>
          <t>Suelo desnudo</t>
        </is>
      </c>
      <c r="B57" s="62" t="n">
        <v>5</v>
      </c>
    </row>
    <row r="74">
      <c r="A74" s="53" t="inlineStr">
        <is>
          <t>Causas activas de degradación (F-DT-04)</t>
        </is>
      </c>
    </row>
    <row r="75">
      <c r="A75" s="54" t="inlineStr">
        <is>
          <t>Causa</t>
        </is>
      </c>
      <c r="B75" s="54" t="inlineStr">
        <is>
          <t>Intensidad (1 ligera - 4 muy fuerte)</t>
        </is>
      </c>
    </row>
    <row r="76">
      <c r="A76" s="55" t="inlineStr">
        <is>
          <t>Cambio de uso a agricultura</t>
        </is>
      </c>
      <c r="B76" s="55" t="n">
        <v>2</v>
      </c>
    </row>
    <row r="77">
      <c r="A77" s="56" t="inlineStr">
        <is>
          <t>Cambio de uso a pastoreo</t>
        </is>
      </c>
      <c r="B77" s="56" t="n">
        <v>1</v>
      </c>
    </row>
    <row r="78">
      <c r="A78" s="55" t="inlineStr">
        <is>
          <t>Especies invasoras</t>
        </is>
      </c>
      <c r="B78" s="55" t="n">
        <v>1</v>
      </c>
    </row>
    <row r="79">
      <c r="A79" s="56" t="inlineStr">
        <is>
          <t>Expansión urbana / vial</t>
        </is>
      </c>
      <c r="B79" s="56" t="n">
        <v>1</v>
      </c>
    </row>
    <row r="80">
      <c r="A80" s="55" t="inlineStr">
        <is>
          <t>Sobrepastoreo (caprino/vacuno)</t>
        </is>
      </c>
      <c r="B80" s="55" t="n">
        <v>1</v>
      </c>
    </row>
    <row r="81">
      <c r="A81" s="56" t="inlineStr">
        <is>
          <t>Tala para leña</t>
        </is>
      </c>
      <c r="B81" s="56" t="n">
        <v>1</v>
      </c>
    </row>
    <row r="98">
      <c r="A98" s="53" t="inlineStr">
        <is>
          <t>Control de consistencia por calificación</t>
        </is>
      </c>
    </row>
    <row r="99">
      <c r="A99" s="54" t="inlineStr">
        <is>
          <t>Calificación</t>
        </is>
      </c>
      <c r="B99" s="54" t="inlineStr">
        <is>
          <t>Verificaciones</t>
        </is>
      </c>
    </row>
    <row r="100">
      <c r="A100" s="55" t="inlineStr">
        <is>
          <t>SUSTANTIVA</t>
        </is>
      </c>
      <c r="B100" s="55" t="n">
        <v>1</v>
      </c>
    </row>
    <row r="101">
      <c r="A101" s="56" t="inlineStr">
        <is>
          <t>NO SUSTANTIVA</t>
        </is>
      </c>
      <c r="B101" s="56" t="n">
        <v>2</v>
      </c>
    </row>
    <row r="102">
      <c r="A102" s="55" t="inlineStr">
        <is>
          <t>CORREGIDO</t>
        </is>
      </c>
      <c r="B102" s="55" t="n">
        <v>0</v>
      </c>
    </row>
    <row r="103">
      <c r="A103" s="56" t="inlineStr">
        <is>
          <t>CONFORME</t>
        </is>
      </c>
      <c r="B103"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34 — IN Piura</dc:title>
  <dc:subject>Diagnóstico Territorial por bloque de intervención</dc:subject>
  <dcterms:created xsi:type="dcterms:W3CDTF">2026-09-08T03:39:55Z</dcterms:created>
  <dcterms:modified xsi:type="dcterms:W3CDTF">2026-09-11T20:22:27Z</dcterms:modified>
</cp:coreProperties>
</file>