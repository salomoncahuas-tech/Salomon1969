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integración'!$A$53:$A$55</f>
            </numRef>
          </cat>
          <val>
            <numRef>
              <f>'Gráficos de integración'!$B$53:$B$55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integración'!B73</f>
            </strRef>
          </tx>
          <spPr>
            <a:ln>
              <a:prstDash val="solid"/>
            </a:ln>
          </spPr>
          <cat>
            <numRef>
              <f>'Gráficos de integración'!$A$74:$A$76</f>
            </numRef>
          </cat>
          <val>
            <numRef>
              <f>'Gráficos de integración'!$B$74:$B$76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integración'!B94</f>
            </strRef>
          </tx>
          <spPr>
            <a:ln>
              <a:prstDash val="solid"/>
            </a:ln>
          </spPr>
          <cat>
            <numRef>
              <f>'Gráficos de integración'!$A$95:$A$98</f>
            </numRef>
          </cat>
          <val>
            <numRef>
              <f>'Gráficos de integración'!$B$95:$B$98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72</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M7B2</t>
        </is>
      </c>
    </row>
    <row r="6" ht="24" customHeight="1">
      <c r="A6" s="4" t="inlineStr">
        <is>
          <t>Diagnóstico Territorial — Plantilla DT Campo Check Validada V5 | Sistema de referencia: UTM WGS 84 Zona 17S (EPSG:32717) · Integrado con la ficha de campo F-DT vigente (FDT_M7B2_IN_Piura.xlsx) — V7 - resumen V6 + campo F-DT integrado</t>
        </is>
      </c>
    </row>
    <row r="7"/>
    <row r="8" ht="18" customHeight="1">
      <c r="A8" s="5" t="inlineStr">
        <is>
          <t>1. IDENTIFICACIÓN Y LOCALIZACIÓN</t>
        </is>
      </c>
    </row>
    <row r="9">
      <c r="A9" s="6" t="inlineStr">
        <is>
          <t>Código del bloque</t>
        </is>
      </c>
      <c r="B9" s="7" t="inlineStr">
        <is>
          <t>M7B2</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50" t="inlineStr">
        <is>
          <t>Palo Blanco, El Cerezo y La Alberca</t>
        </is>
      </c>
      <c r="C13" s="6" t="inlineStr">
        <is>
          <t>Comunidad campesina</t>
        </is>
      </c>
      <c r="D13" s="7" t="inlineStr">
        <is>
          <t>No consignada</t>
        </is>
      </c>
      <c r="E13" s="8" t="n"/>
      <c r="F13" s="8" t="n"/>
    </row>
    <row r="14">
      <c r="A14" s="6" t="inlineStr">
        <is>
          <t>Superficie de catálogo (V5/V6), ha</t>
        </is>
      </c>
      <c r="B14" s="7" t="n">
        <v>115.38</v>
      </c>
      <c r="C14" s="6" t="inlineStr">
        <is>
          <t>Fuente de superficie</t>
        </is>
      </c>
      <c r="D14" s="7" t="inlineStr">
        <is>
          <t>Catálogo maestro Bloques V5/V6</t>
        </is>
      </c>
      <c r="E14" s="8" t="n"/>
      <c r="F14" s="8" t="n"/>
    </row>
    <row r="15">
      <c r="A15" s="6" t="inlineStr">
        <is>
          <t>Centroide UTM ESTE (m)</t>
        </is>
      </c>
      <c r="B15" s="7" t="n">
        <v>631438</v>
      </c>
      <c r="C15" s="6" t="inlineStr">
        <is>
          <t>Centroide UTM NORTE (m)</t>
        </is>
      </c>
      <c r="D15" s="7" t="n">
        <v>9403547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204</v>
      </c>
      <c r="C19" s="6" t="inlineStr">
        <is>
          <t>Altitud máxima (msnm)</t>
        </is>
      </c>
      <c r="D19" s="7" t="n">
        <v>362</v>
      </c>
      <c r="E19" s="8" t="n"/>
      <c r="F19" s="8" t="n"/>
    </row>
    <row r="20">
      <c r="A20" s="6" t="inlineStr">
        <is>
          <t>Amplitud altitudinal (m)</t>
        </is>
      </c>
      <c r="B20" s="7" t="n">
        <v>158</v>
      </c>
      <c r="C20" s="6" t="inlineStr">
        <is>
          <t>Piso altitudinal dominante</t>
        </is>
      </c>
      <c r="D20" s="7" t="inlineStr">
        <is>
          <t>&lt;1000 m (Yunga)</t>
        </is>
      </c>
      <c r="E20" s="8" t="n"/>
      <c r="F20" s="8" t="n"/>
    </row>
    <row r="21">
      <c r="A21" s="6" t="inlineStr">
        <is>
          <t>Pendiente promedio (%)</t>
        </is>
      </c>
      <c r="B21" s="7" t="n">
        <v>14.01</v>
      </c>
      <c r="C21" s="6" t="inlineStr">
        <is>
          <t>Pendiente promedio (grados)</t>
        </is>
      </c>
      <c r="D21" s="7" t="n">
        <v>8</v>
      </c>
      <c r="E21" s="8" t="n"/>
      <c r="F21" s="8" t="n"/>
    </row>
    <row r="22">
      <c r="A22" s="6" t="inlineStr">
        <is>
          <t>Clase de pendiente equivalente</t>
        </is>
      </c>
      <c r="B22" s="7" t="inlineStr">
        <is>
          <t>8-15% (Mod.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0.2877</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(52.05 %)</t>
        </is>
      </c>
      <c r="E29" s="8" t="n"/>
      <c r="F29" s="8" t="n"/>
    </row>
    <row r="30">
      <c r="A30" s="6" t="inlineStr">
        <is>
          <t>Superficie clasificada NDVI 2025 (ha)</t>
        </is>
      </c>
      <c r="B30" s="7" t="n">
        <v>115.422</v>
      </c>
      <c r="C30" s="6" t="inlineStr">
        <is>
          <t>Desviación frente al catálogo (%)</t>
        </is>
      </c>
      <c r="D30" s="7" t="n">
        <v>0.04</v>
      </c>
      <c r="E30" s="8" t="n"/>
      <c r="F30" s="8" t="n"/>
    </row>
    <row r="31">
      <c r="A31" s="6" t="inlineStr">
        <is>
          <t>Superficie clasificada MSAVI 2024 (ha)</t>
        </is>
      </c>
      <c r="B31" s="38" t="n">
        <v>115.379</v>
      </c>
      <c r="C31" s="6" t="inlineStr">
        <is>
          <t>Desviación MSAVI frente al catálogo (%)</t>
        </is>
      </c>
      <c r="D31" s="39" t="n">
        <v>0</v>
      </c>
      <c r="E31" s="8" t="n"/>
      <c r="F31" s="8" t="n"/>
    </row>
    <row r="32">
      <c r="A32" s="6" t="inlineStr">
        <is>
          <t>Superficie bajo umbral MSAVI 0.4976 (ha)</t>
        </is>
      </c>
      <c r="B32" s="38" t="n">
        <v>114.899</v>
      </c>
      <c r="C32" s="6" t="inlineStr">
        <is>
          <t>% del bloque bajo umbral (brecha espectral)</t>
        </is>
      </c>
      <c r="D32" s="39" t="n">
        <v>99.58</v>
      </c>
      <c r="E32" s="8" t="n"/>
      <c r="F32" s="8" t="n"/>
    </row>
    <row r="33">
      <c r="A33" s="6" t="inlineStr">
        <is>
          <t>Clase DN dominante (MSAVI 2024)</t>
        </is>
      </c>
      <c r="B33" s="7" t="inlineStr">
        <is>
          <t>DN 2 · 0.2650 - 0.3813 (Vigor muy bajo)</t>
        </is>
      </c>
      <c r="C33" s="6" t="inlineStr">
        <is>
          <t>N.° de polígonos MSAVI del bloque</t>
        </is>
      </c>
      <c r="D33" s="40" t="n">
        <v>460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514.36 ha DECLARADAS EN LA FICHA — VALOR ERRÓNEO: corresponde al bloque M6B2-1; el área real de M7B2 es 115.38 ha</t>
        </is>
      </c>
      <c r="E36" s="8" t="n"/>
      <c r="F36" s="8" t="n"/>
    </row>
    <row r="37">
      <c r="A37" s="6" t="inlineStr">
        <is>
          <t>Estado de conservación</t>
        </is>
      </c>
      <c r="B37" s="50" t="inlineStr">
        <is>
          <t>Levemente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inlineStr">
        <is>
          <t>Por determinar</t>
        </is>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50" t="inlineStr">
        <is>
          <t>7</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Carlos Domínguez Varas</t>
        </is>
      </c>
      <c r="C44" s="6" t="inlineStr">
        <is>
          <t>Fecha de evaluación</t>
        </is>
      </c>
      <c r="D44" s="7" t="inlineStr">
        <is>
          <t>2026-05-21</t>
        </is>
      </c>
      <c r="E44" s="8" t="n"/>
      <c r="F44" s="8" t="n"/>
    </row>
    <row r="45">
      <c r="A45" s="6" t="inlineStr">
        <is>
          <t>Hora de registro</t>
        </is>
      </c>
      <c r="B45" s="50" t="inlineStr">
        <is>
          <t>11:35 – 12:15</t>
        </is>
      </c>
      <c r="C45" s="6" t="inlineStr">
        <is>
          <t>Correlativo de ficha</t>
        </is>
      </c>
      <c r="D45" s="50" t="inlineStr">
        <is>
          <t>3</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0.4799</v>
      </c>
      <c r="C11" s="21">
        <f>ROUND(B11/$B$15*100,2)</f>
        <v/>
      </c>
      <c r="D11" s="13" t="inlineStr">
        <is>
          <t>Vigor moderado</t>
        </is>
      </c>
      <c r="E11" s="13" t="inlineStr">
        <is>
          <t>Sobre umbral</t>
        </is>
      </c>
    </row>
    <row r="12">
      <c r="A12" s="7" t="inlineStr">
        <is>
          <t>0.3813 - 0.4976 · DN 3</t>
        </is>
      </c>
      <c r="B12" s="18" t="n">
        <v>2.1794</v>
      </c>
      <c r="C12" s="19">
        <f>ROUND(B12/$B$15*100,2)</f>
        <v/>
      </c>
      <c r="D12" s="11" t="inlineStr">
        <is>
          <t>Vigor bajo</t>
        </is>
      </c>
      <c r="E12" s="11" t="inlineStr">
        <is>
          <t>BAJO umbral 0.4976</t>
        </is>
      </c>
    </row>
    <row r="13">
      <c r="A13" s="14" t="inlineStr">
        <is>
          <t>0.2650 - 0.3813 · DN 2</t>
        </is>
      </c>
      <c r="B13" s="30" t="n">
        <v>78.1974</v>
      </c>
      <c r="C13" s="29">
        <f>ROUND(B13/$B$15*100,2)</f>
        <v/>
      </c>
      <c r="D13" s="15" t="inlineStr">
        <is>
          <t>Vigor muy bajo</t>
        </is>
      </c>
      <c r="E13" s="15" t="inlineStr">
        <is>
          <t>BAJO umbral 0.4976</t>
        </is>
      </c>
    </row>
    <row r="14">
      <c r="A14" s="7" t="inlineStr">
        <is>
          <t>&lt;= 0.2650 · DN 1</t>
        </is>
      </c>
      <c r="B14" s="18" t="n">
        <v>34.5222</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460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115.38</v>
      </c>
      <c r="C18" s="49" t="inlineStr">
        <is>
          <t>—</t>
        </is>
      </c>
      <c r="D18" s="46" t="inlineStr">
        <is>
          <t>Desviación planimétrica frente al catálogo</t>
        </is>
      </c>
      <c r="E18" s="46" t="inlineStr">
        <is>
          <t>+0.00 %</t>
        </is>
      </c>
    </row>
    <row r="19">
      <c r="A19" s="16" t="inlineStr">
        <is>
          <t>MSAVI 2024 — MEDIA DEL BLOQUE</t>
        </is>
      </c>
      <c r="B19" s="17" t="n">
        <v>0.287689</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460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(0.2877)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1.054</v>
      </c>
      <c r="C25" s="19" t="n">
        <v>0.91</v>
      </c>
      <c r="D25" s="11" t="inlineStr">
        <is>
          <t>Dosel continuo, matorral denso o mosaico agroforestal</t>
        </is>
      </c>
      <c r="E25" s="11" t="inlineStr"/>
    </row>
    <row r="26">
      <c r="A26" s="12" t="inlineStr">
        <is>
          <t>Vegetación mediana</t>
        </is>
      </c>
      <c r="B26" s="20" t="n">
        <v>60.0822</v>
      </c>
      <c r="C26" s="21" t="n">
        <v>52.05</v>
      </c>
      <c r="D26" s="13" t="inlineStr">
        <is>
          <t>Pastizal cultivado, matorral ralo, parcelas agrícolas</t>
        </is>
      </c>
      <c r="E26" s="13" t="inlineStr"/>
    </row>
    <row r="27">
      <c r="A27" s="7" t="inlineStr">
        <is>
          <t>Vegetación ligera</t>
        </is>
      </c>
      <c r="B27" s="18" t="n">
        <v>53.7375</v>
      </c>
      <c r="C27" s="19" t="n">
        <v>46.56</v>
      </c>
      <c r="D27" s="11" t="inlineStr">
        <is>
          <t>Cobertura discontinua, suelo parcialmente expuesto</t>
        </is>
      </c>
      <c r="E27" s="11" t="inlineStr"/>
    </row>
    <row r="28">
      <c r="A28" s="12" t="inlineStr">
        <is>
          <t>Tierra desnuda</t>
        </is>
      </c>
      <c r="B28" s="20" t="n">
        <v>0.5481</v>
      </c>
      <c r="C28" s="21" t="n">
        <v>0.47</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115.38</v>
      </c>
      <c r="C30" s="25" t="inlineStr">
        <is>
          <t>—</t>
        </is>
      </c>
      <c r="D30" s="25" t="inlineStr">
        <is>
          <t>Desviación planimétrica frente al catálogo</t>
        </is>
      </c>
      <c r="E30" s="25" t="inlineStr">
        <is>
          <t>+0.04 %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M7B2</t>
        </is>
      </c>
    </row>
    <row r="6" ht="24" customHeight="1">
      <c r="A6" s="4" t="inlineStr">
        <is>
          <t>Levantamiento del 2026-05-21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9416185</v>
      </c>
      <c r="E10" s="11" t="n">
        <v>18962.4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631438</v>
      </c>
      <c r="C13" s="6" t="inlineStr">
        <is>
          <t>Centroide del bloque — UTM NORTE (m)</t>
        </is>
      </c>
      <c r="D13" s="7" t="n">
        <v>9403547</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32"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 MOMENTO DE LA EVALUACIÓN LA ACCESIBILIDAD AL BLOQUE ERA LIMITADA POR LA PRESENCIA DE TERRENOS DE CULTIVOS Y POTREROS DE PROPIETARIOS PRIVADOS. NO SE PUDO ACCEDER AL INTERIOR DEL BLOQUE (duración del registro: 15 minutos). ADVERTENCIA MAYOR: LA FICHA REPRODUCE ÍNTEGRAMENTE EL CONTENIDO DE LA FICHA DEL BLOQUE M6B2-1 (mismo paisaje —quebrada Q9566, microcuenca C1077—, mismas coberturas, misma superficie de ecosistema 514.36 ha, mismo UTM Este 645 575 · Norte 9 416 185 que no corresponde al centroide de M7B2, 631 438 · 9 403 550). EL CONTENIDO NO ES ESPECÍFICO DE ESTE BLOQUE.</t>
        </is>
      </c>
      <c r="B16" s="41" t="n"/>
      <c r="C16" s="41" t="n"/>
      <c r="D16" s="41" t="n"/>
      <c r="E16" s="41" t="n"/>
      <c r="F16" s="41" t="n"/>
      <c r="G16" s="42"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M7B2</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M7B1</t>
        </is>
      </c>
      <c r="B10" s="27" t="n">
        <v>130.43</v>
      </c>
      <c r="C10" s="19" t="n">
        <v>32.38</v>
      </c>
      <c r="D10" s="11" t="inlineStr">
        <is>
          <t>183 – 357</t>
        </is>
      </c>
      <c r="E10" s="11" t="n">
        <v>174</v>
      </c>
      <c r="F10" s="11" t="n">
        <v>17.35</v>
      </c>
      <c r="G10" s="18" t="n">
        <v>0.3136</v>
      </c>
      <c r="H10" s="19" t="n">
        <v>4.28</v>
      </c>
      <c r="I10" s="19" t="n">
        <v>99.78</v>
      </c>
    </row>
    <row r="11">
      <c r="A11" s="14" t="inlineStr">
        <is>
          <t>► M7B2</t>
        </is>
      </c>
      <c r="B11" s="28" t="n">
        <v>115.38</v>
      </c>
      <c r="C11" s="29" t="n">
        <v>28.64</v>
      </c>
      <c r="D11" s="15" t="inlineStr">
        <is>
          <t>204 – 362</t>
        </is>
      </c>
      <c r="E11" s="15" t="n">
        <v>158</v>
      </c>
      <c r="F11" s="15" t="n">
        <v>14.01</v>
      </c>
      <c r="G11" s="30" t="n">
        <v>0.2877</v>
      </c>
      <c r="H11" s="29" t="n">
        <v>0.91</v>
      </c>
      <c r="I11" s="29" t="n">
        <v>99.58</v>
      </c>
    </row>
    <row r="12">
      <c r="A12" s="7" t="inlineStr">
        <is>
          <t>M7B6</t>
        </is>
      </c>
      <c r="B12" s="27" t="n">
        <v>91.29000000000001</v>
      </c>
      <c r="C12" s="19" t="n">
        <v>22.66</v>
      </c>
      <c r="D12" s="11" t="inlineStr">
        <is>
          <t>228 – 453</t>
        </is>
      </c>
      <c r="E12" s="11" t="n">
        <v>225</v>
      </c>
      <c r="F12" s="11" t="n">
        <v>16.87</v>
      </c>
      <c r="G12" s="18" t="n">
        <v>0.2878</v>
      </c>
      <c r="H12" s="19" t="n">
        <v>0.73</v>
      </c>
      <c r="I12" s="19" t="n">
        <v>99.95999999999999</v>
      </c>
    </row>
    <row r="13">
      <c r="A13" s="12" t="inlineStr">
        <is>
          <t>M7B3</t>
        </is>
      </c>
      <c r="B13" s="31" t="n">
        <v>65.73999999999999</v>
      </c>
      <c r="C13" s="21" t="n">
        <v>16.32</v>
      </c>
      <c r="D13" s="13" t="inlineStr">
        <is>
          <t>209 – 372</t>
        </is>
      </c>
      <c r="E13" s="13" t="n">
        <v>163</v>
      </c>
      <c r="F13" s="13" t="n">
        <v>19.61</v>
      </c>
      <c r="G13" s="20" t="n">
        <v>0.298</v>
      </c>
      <c r="H13" s="21" t="n">
        <v>1.32</v>
      </c>
      <c r="I13" s="21" t="n">
        <v>99.84999999999999</v>
      </c>
    </row>
    <row r="14">
      <c r="A14" s="16" t="inlineStr">
        <is>
          <t>TOTAL / PROMEDIO</t>
        </is>
      </c>
      <c r="B14" s="32">
        <f>SUM(B10:B13)</f>
        <v/>
      </c>
      <c r="C14" s="23">
        <f>SUM(C10:C13)</f>
        <v/>
      </c>
      <c r="D14" s="17" t="inlineStr">
        <is>
          <t>183 – 453</t>
        </is>
      </c>
      <c r="E14" s="17" t="inlineStr"/>
      <c r="F14" s="17">
        <f>ROUND(AVERAGE(F10:F13),2)</f>
        <v/>
      </c>
      <c r="G14" s="22">
        <f>ROUND(AVERAGE(G10:G13),4)</f>
        <v/>
      </c>
      <c r="H14" s="23">
        <f>ROUND(AVERAGE(H10:H13),2)</f>
        <v/>
      </c>
      <c r="I14" s="23">
        <f>ROUND(AVERAGE(I10:I13),2)</f>
        <v/>
      </c>
    </row>
    <row r="16" ht="84" customHeight="1">
      <c r="A16" s="9" t="inlineStr">
        <is>
          <t>LECTURA INTRAMICROCUENCA. El bloque M7B2 ocupa el puesto 2 de 4 por superficie dentro de la microcuenca C1076-Q9581 (28.64 % de las 402.84 ha preliminares de la microcuenca). Su pendiente promedio (14.01 %, clase «8-15% (Mod. inclinado)») es la 1.ª más baja de 4 y se sitúa por debajo del promedio de la microcuenca (16.96 %). Su MSAVI 2024 (0.2877) es el 4.º de 4 y queda por debajo del promedio local (0.2968). Amplitud altitudinal del bloque: 158 m (204–362 msnm). El cuadro conserva todos los bloques catalogados en la microcuenca, incluidos los descartados en el tamizaje, para referencia del conjunto. Los bloques sin ficha DT figuran con sus parámetros de gabinete. BRECHA ESPECTRAL. El 99.58 % de la superficie del bloque (114.899 ha de 115.379 ha) se sitúa bajo el umbral MSAVI 0.4976, por debajo del promedio local de la microcuenca (99.79 %) calculado sobre los bloques con dato MSAVI disponible.</t>
        </is>
      </c>
      <c r="B16" s="41" t="n"/>
      <c r="C16" s="41" t="n"/>
      <c r="D16" s="41" t="n"/>
      <c r="E16" s="41" t="n"/>
      <c r="F16" s="41" t="n"/>
      <c r="G16" s="41" t="n"/>
      <c r="H16" s="41" t="n"/>
      <c r="I16" s="42" t="n"/>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1" t="n"/>
      <c r="C18" s="41" t="n"/>
      <c r="D18" s="41" t="n"/>
      <c r="E18" s="41" t="n"/>
      <c r="F18" s="41" t="n"/>
      <c r="G18" s="41" t="n"/>
      <c r="H18" s="41" t="n"/>
      <c r="I18" s="42" t="n"/>
    </row>
  </sheetData>
  <mergeCells count="9">
    <mergeCell ref="A2:I2"/>
    <mergeCell ref="A5:I5"/>
    <mergeCell ref="A1:I1"/>
    <mergeCell ref="A18:I18"/>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M7B2</t>
        </is>
      </c>
    </row>
    <row r="6">
      <c r="A6" s="52" t="inlineStr">
        <is>
          <t>Cruce de la ficha de campo F-DT vigente con la ficha de resumen de gabinete y el catálogo maestro. Integración 2026-09-11 20:22:40.</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«C1076-Q9581».</t>
        </is>
      </c>
      <c r="D9" s="56" t="inlineStr">
        <is>
          <t>CONFORME</t>
        </is>
      </c>
      <c r="E9" s="56" t="inlineStr">
        <is>
          <t>Sin acción.</t>
        </is>
      </c>
    </row>
    <row r="10">
      <c r="A10" s="57" t="inlineStr">
        <is>
          <t>G-02</t>
        </is>
      </c>
      <c r="B10" s="57" t="inlineStr">
        <is>
          <t>UTM del punto de muestreo</t>
        </is>
      </c>
      <c r="C10" s="57" t="inlineStr">
        <is>
          <t>No es posible contrastar el punto de muestreo con el centroide: falta una de las dos coordenadas.</t>
        </is>
      </c>
      <c r="D10" s="57" t="inlineStr">
        <is>
          <t>SUSTANTIVA</t>
        </is>
      </c>
      <c r="E10" s="57" t="inlineStr">
        <is>
          <t>Debe consignarse la coordenada del punto de muestreo en F-DT-01.</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(200 msnm) cae dentro del rango altitudinal del bloque (204 - 362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(115.422 ha) se desvía 0.04 % de la superficie de catálogo (115.38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(115.379 ha) se desvía -0.00 % de la superficie de catálogo (115.38 ha).</t>
        </is>
      </c>
      <c r="D14" s="57" t="inlineStr">
        <is>
          <t>CONFORME</t>
        </is>
      </c>
      <c r="E14" s="57" t="inlineStr">
        <is>
          <t>Sin acción: la segmentación valida la geometría del bloque.</t>
        </is>
      </c>
    </row>
    <row r="15">
      <c r="A15" s="56" t="inlineStr">
        <is>
          <t>G-07</t>
        </is>
      </c>
      <c r="B15" s="56" t="inlineStr">
        <is>
          <t>Brecha espectral MSAVI</t>
        </is>
      </c>
      <c r="C15" s="56" t="inlineStr">
        <is>
          <t>El 99.58 % del bloque queda bajo el umbral 0.4976; superficie de brecha 114.90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115.38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(0.2877) cae en la clase «0.2650 - 0.3813 (Vigor muy bajo)» y la clase DN dominante por superficie es «DN 2 · 0.2650 - 0.3813 (Vigor muy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Centro poblado asociado</t>
        </is>
      </c>
      <c r="C19" s="56" t="inlineStr">
        <is>
          <t>El libro de resumen V6 consignaba «Buenos Aires»; la ficha de campo vigente declara «Palo Blanco, El Cerezo y La Alberca».</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Estado de conservación</t>
        </is>
      </c>
      <c r="C20" s="57" t="inlineStr">
        <is>
          <t>El libro de resumen V6 consignaba «Medianamente alterado»; la ficha de campo vigente declara «Levemente alterado».</t>
        </is>
      </c>
      <c r="D20" s="57" t="inlineStr">
        <is>
          <t>CORREGIDO</t>
        </is>
      </c>
      <c r="E20" s="57" t="inlineStr">
        <is>
          <t>Se adopta el valor de campo por ser la fuente que manda sobre el dato y la más reciente. El valor anterior queda declarado para trazabilidad.</t>
        </is>
      </c>
    </row>
    <row r="21">
      <c r="A21" s="56" t="inlineStr">
        <is>
          <t>I-03</t>
        </is>
      </c>
      <c r="B21" s="56" t="inlineStr">
        <is>
          <t>Elenco florístico (n.o de taxones)</t>
        </is>
      </c>
      <c r="C21" s="56" t="inlineStr">
        <is>
          <t>El libro de resumen V6 consignaba «0»; la ficha de campo vigente declara «7».</t>
        </is>
      </c>
      <c r="D21" s="56" t="inlineStr">
        <is>
          <t>CORREGIDO</t>
        </is>
      </c>
      <c r="E21" s="56" t="inlineStr">
        <is>
          <t>Se adopta el valor de campo por ser la fuente que manda sobre el dato y la más reciente. El valor anterior queda declarado para trazabilidad.</t>
        </is>
      </c>
    </row>
    <row r="22">
      <c r="A22" s="57" t="inlineStr">
        <is>
          <t>I-04</t>
        </is>
      </c>
      <c r="B22" s="57" t="inlineStr">
        <is>
          <t>Hora de registro</t>
        </is>
      </c>
      <c r="C22" s="57" t="inlineStr">
        <is>
          <t>El libro de resumen V6 consignaba «14:00 - 14:15 h»; la ficha de campo vigente declara «11:35 – 12:15».</t>
        </is>
      </c>
      <c r="D22" s="57" t="inlineStr">
        <is>
          <t>CORREGIDO</t>
        </is>
      </c>
      <c r="E22" s="57" t="inlineStr">
        <is>
          <t>Se adopta el valor de campo por ser la fuente que manda sobre el dato y la más reciente. El valor anterior queda declarado para trazabilidad.</t>
        </is>
      </c>
    </row>
    <row r="23">
      <c r="A23" s="56" t="inlineStr">
        <is>
          <t>I-05</t>
        </is>
      </c>
      <c r="B23" s="56" t="inlineStr">
        <is>
          <t>Correlativo de ficha</t>
        </is>
      </c>
      <c r="C23" s="56" t="inlineStr">
        <is>
          <t>El libro de resumen V6 consignaba «Sin registro en ficha»; la ficha de campo vigente declara «3».</t>
        </is>
      </c>
      <c r="D23" s="56" t="inlineStr">
        <is>
          <t>CORREGIDO</t>
        </is>
      </c>
      <c r="E23" s="56" t="inlineStr">
        <is>
          <t>Se adopta el valor de campo por ser la fuente que manda sobre el dato y la más reciente. El valor anterior queda declarado para trazabilidad.</t>
        </is>
      </c>
    </row>
    <row r="24">
      <c r="A24" s="57" t="inlineStr">
        <is>
          <t>F-01</t>
        </is>
      </c>
      <c r="B24" s="57" t="inlineStr">
        <is>
          <t>Fichas F-DT levantadas</t>
        </is>
      </c>
      <c r="C24" s="57" t="inlineStr">
        <is>
          <t>La plantilla de campo trae las cinco fichas F-DT-01 a F-DT-05 (completitud 92.9 % de los campos esperados).</t>
        </is>
      </c>
      <c r="D24" s="57" t="inlineStr">
        <is>
          <t>CONFORME</t>
        </is>
      </c>
      <c r="E24" s="57" t="inlineStr">
        <is>
          <t>Sin acción.</t>
        </is>
      </c>
    </row>
    <row r="25">
      <c r="A25" s="56" t="inlineStr">
        <is>
          <t>F-02</t>
        </is>
      </c>
      <c r="B25" s="56" t="inlineStr">
        <is>
          <t>Cobertura de la integración</t>
        </is>
      </c>
      <c r="C25" s="56" t="inlineStr">
        <is>
          <t>Se declararon 101 de 114 hechos integrados (88.6 %); 13 quedan sin dato en ninguna fuente.</t>
        </is>
      </c>
      <c r="D25" s="56" t="inlineStr">
        <is>
          <t>CONFORME</t>
        </is>
      </c>
      <c r="E25" s="56" t="inlineStr">
        <is>
          <t>Sin acción.</t>
        </is>
      </c>
    </row>
    <row r="26">
      <c r="A26" s="57" t="inlineStr">
        <is>
          <t>H-01</t>
        </is>
      </c>
      <c r="B26" s="57" t="inlineStr">
        <is>
          <t>Rango de pendiente dominante</t>
        </is>
      </c>
      <c r="C26" s="57" t="inlineStr">
        <is>
          <t>La ficha DT declara «25-50% (Mod. escarpado)»; la estadística zonal sobre el MDE arroja una pendiente promedio de 14.01 %, que corresponde a la clase «8-15% (Mod. inclinado)»</t>
        </is>
      </c>
      <c r="D26" s="57" t="inlineStr">
        <is>
          <t>NO SUSTANTIVA</t>
        </is>
      </c>
      <c r="E26"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7">
      <c r="A27" s="56" t="inlineStr">
        <is>
          <t>H-02</t>
        </is>
      </c>
      <c r="B27" s="56" t="inlineStr">
        <is>
          <t>Representatividad del levantamiento</t>
        </is>
      </c>
      <c r="C27" s="56" t="inlineStr">
        <is>
          <t>Ninguna de las estaciones fotográficas georreferenciadas se localiza dentro del polígono del bloque</t>
        </is>
      </c>
      <c r="D27" s="56" t="inlineStr">
        <is>
          <t>SUSTANTIVA</t>
        </is>
      </c>
      <c r="E27" s="56" t="inlineStr">
        <is>
          <t>La verificación documenta el perímetro y la vista panorámica del bloque, no su interior. Los parámetros que exigen recorrido interno se consignan «Por determinar». (Verificación heredada de la ficha de resumen V6.)</t>
        </is>
      </c>
    </row>
    <row r="28">
      <c r="A28" s="57" t="inlineStr">
        <is>
          <t>H-03</t>
        </is>
      </c>
      <c r="B28" s="57" t="inlineStr">
        <is>
          <t>Plan de Ingreso</t>
        </is>
      </c>
      <c r="C28" s="57" t="inlineStr">
        <is>
          <t>Altitud = 0 msnm (captura por defecto del aplicativo)</t>
        </is>
      </c>
      <c r="D28" s="57" t="inlineStr">
        <is>
          <t>CORREGIDO</t>
        </is>
      </c>
      <c r="E28" s="57" t="inlineStr">
        <is>
          <t>Se reemplaza por la altitud GPS de campo (200 msnm) (Verificación heredada de la ficha de resumen V6.)</t>
        </is>
      </c>
    </row>
    <row r="29">
      <c r="A29" s="56" t="inlineStr">
        <is>
          <t>H-04</t>
        </is>
      </c>
      <c r="B29" s="56" t="inlineStr">
        <is>
          <t>Ficha DT</t>
        </is>
      </c>
      <c r="C29" s="56" t="inlineStr">
        <is>
          <t>EL CONTENIDO DE LA FICHA ES UNA COPIA DEL DE M6B2-1: mismo paisaje (quebrada Q9566, microcuenca C1077), mismas coberturas, misma superficie de ecosistema (514.36 ha) y mismo UTM (645 575 · 9 416 185)</t>
        </is>
      </c>
      <c r="D29" s="56" t="inlineStr">
        <is>
          <t>SUSTANTIVA</t>
        </is>
      </c>
      <c r="E29" s="56" t="inlineStr">
        <is>
          <t>LA FICHA NO ES VÁLIDA PARA ESTE BLOQUE: levantamiento propio indispensable (Verificación heredada de la ficha de resumen V6.)</t>
        </is>
      </c>
    </row>
    <row r="30">
      <c r="A30" s="57" t="inlineStr">
        <is>
          <t>H-05</t>
        </is>
      </c>
      <c r="B30" s="57" t="inlineStr">
        <is>
          <t>F-DT-03</t>
        </is>
      </c>
      <c r="C30" s="57" t="inlineStr">
        <is>
          <t>Superficie de ecosistema declarada 514.36 ha frente a las 115.38 ha reales del bloque</t>
        </is>
      </c>
      <c r="D30" s="57" t="inlineStr">
        <is>
          <t>SUSTANTIVA</t>
        </is>
      </c>
      <c r="E30" s="57" t="inlineStr">
        <is>
          <t>Valor erróneo heredado de M6B2-1 (Verificación heredada de la ficha de resumen V6.)</t>
        </is>
      </c>
    </row>
    <row r="31">
      <c r="A31" s="56" t="inlineStr">
        <is>
          <t>H-06</t>
        </is>
      </c>
      <c r="B31" s="56" t="inlineStr">
        <is>
          <t>F-DT-01</t>
        </is>
      </c>
      <c r="C31" s="56" t="inlineStr">
        <is>
          <t>No se pudo acceder al interior del bloque (registro de 15 minutos) por predios privados</t>
        </is>
      </c>
      <c r="D31" s="56" t="inlineStr">
        <is>
          <t>SUSTANTIVA</t>
        </is>
      </c>
      <c r="E31" s="56" t="inlineStr">
        <is>
          <t>Gestión predial previa indispensable (Verificación heredada de la ficha de resumen V6.)</t>
        </is>
      </c>
    </row>
    <row r="32">
      <c r="A32" s="57" t="inlineStr">
        <is>
          <t>H-07</t>
        </is>
      </c>
      <c r="B32" s="57" t="inlineStr">
        <is>
          <t>F-DT-04</t>
        </is>
      </c>
      <c r="C32" s="57" t="inlineStr">
        <is>
          <t>Matriz de causas completamente vacía (16/16) y ningún indicador cuantitativo diligenciado</t>
        </is>
      </c>
      <c r="D32" s="57" t="inlineStr">
        <is>
          <t>SUSTANTIVA</t>
        </is>
      </c>
      <c r="E32" s="57" t="inlineStr">
        <is>
          <t>Levantamiento pendiente en su totalidad (Verificación heredada de la ficha de resumen V6.)</t>
        </is>
      </c>
    </row>
    <row r="33">
      <c r="A33" s="56" t="inlineStr">
        <is>
          <t>H-08</t>
        </is>
      </c>
      <c r="B33" s="56" t="inlineStr">
        <is>
          <t>F-DT-05</t>
        </is>
      </c>
      <c r="C33" s="56" t="inlineStr">
        <is>
          <t>Inventario de fuentes de agua vacío</t>
        </is>
      </c>
      <c r="D33" s="56" t="inlineStr">
        <is>
          <t>SUSTANTIVA</t>
        </is>
      </c>
      <c r="E33" s="56" t="inlineStr">
        <is>
          <t>Levantamiento pendiente (Verificación heredada de la ficha de resumen V6.)</t>
        </is>
      </c>
    </row>
    <row r="35">
      <c r="A35" s="58" t="inlineStr">
        <is>
          <t>RESUMEN</t>
        </is>
      </c>
      <c r="B35" s="59" t="inlineStr">
        <is>
          <t>25 verificaciones</t>
        </is>
      </c>
      <c r="C35" s="59" t="inlineStr">
        <is>
          <t>SUSTANTIVA: 8 · NO SUSTANTIVA: 1 · CORREGIDO: 6 · CONFORME: 10</t>
        </is>
      </c>
    </row>
    <row r="37">
      <c r="A37"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7:E37"/>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M7B2</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1. Identificación y localización</t>
        </is>
      </c>
      <c r="B9" s="56" t="inlineStr">
        <is>
          <t>Centro poblado asociado</t>
        </is>
      </c>
      <c r="C9" s="56" t="inlineStr">
        <is>
          <t>Buenos Aires</t>
        </is>
      </c>
      <c r="D9" s="56" t="inlineStr">
        <is>
          <t>Palo Blanco, El Cerezo y La Alberca</t>
        </is>
      </c>
      <c r="E9" s="56" t="inlineStr">
        <is>
          <t>Dato de campo</t>
        </is>
      </c>
    </row>
    <row r="10">
      <c r="A10" s="57" t="inlineStr">
        <is>
          <t>5. Ecosistema, cobertura y flora (F-DT-03)</t>
        </is>
      </c>
      <c r="B10" s="57" t="inlineStr">
        <is>
          <t>Estado de conservación</t>
        </is>
      </c>
      <c r="C10" s="57" t="inlineStr">
        <is>
          <t>Medianamente alterado</t>
        </is>
      </c>
      <c r="D10" s="57" t="inlineStr">
        <is>
          <t>Levemente alterado</t>
        </is>
      </c>
      <c r="E10" s="57" t="inlineStr">
        <is>
          <t>Dato de campo</t>
        </is>
      </c>
    </row>
    <row r="11">
      <c r="A11" s="56" t="inlineStr">
        <is>
          <t>5. Ecosistema, cobertura y flora (F-DT-03)</t>
        </is>
      </c>
      <c r="B11" s="56" t="inlineStr">
        <is>
          <t>Elenco florístico (n.o de taxones)</t>
        </is>
      </c>
      <c r="C11" s="56" t="inlineStr">
        <is>
          <t>0</t>
        </is>
      </c>
      <c r="D11" s="56" t="inlineStr">
        <is>
          <t>7</t>
        </is>
      </c>
      <c r="E11" s="56" t="inlineStr">
        <is>
          <t>Dato de campo</t>
        </is>
      </c>
    </row>
    <row r="12">
      <c r="A12" s="57" t="inlineStr">
        <is>
          <t>8. Responsable y modalidad de la evaluación</t>
        </is>
      </c>
      <c r="B12" s="57" t="inlineStr">
        <is>
          <t>Hora de registro</t>
        </is>
      </c>
      <c r="C12" s="57" t="inlineStr">
        <is>
          <t>14:00 - 14:15 h</t>
        </is>
      </c>
      <c r="D12" s="57" t="inlineStr">
        <is>
          <t>11:35 – 12:15</t>
        </is>
      </c>
      <c r="E12" s="57" t="inlineStr">
        <is>
          <t>Dato de campo</t>
        </is>
      </c>
    </row>
    <row r="13">
      <c r="A13" s="56" t="inlineStr">
        <is>
          <t>8. Responsable y modalidad de la evaluación</t>
        </is>
      </c>
      <c r="B13" s="56" t="inlineStr">
        <is>
          <t>Correlativo de ficha</t>
        </is>
      </c>
      <c r="C13" s="56" t="inlineStr">
        <is>
          <t>Sin registro en ficha</t>
        </is>
      </c>
      <c r="D13" s="56" t="inlineStr">
        <is>
          <t>3</t>
        </is>
      </c>
      <c r="E13" s="56" t="inlineStr">
        <is>
          <t>Dato de campo</t>
        </is>
      </c>
    </row>
    <row r="15">
      <c r="A15" s="54" t="inlineStr">
        <is>
          <t>B. HECHOS APORTADOS ÚNICAMENTE POR LA FICHA DE CAMPO</t>
        </is>
      </c>
    </row>
    <row r="16">
      <c r="A16" s="55" t="inlineStr">
        <is>
          <t>Sección</t>
        </is>
      </c>
      <c r="B16" s="55" t="inlineStr">
        <is>
          <t>Hecho</t>
        </is>
      </c>
      <c r="C16" s="55" t="inlineStr">
        <is>
          <t>Valor</t>
        </is>
      </c>
      <c r="D16" s="55" t="inlineStr">
        <is>
          <t>Unidad</t>
        </is>
      </c>
    </row>
    <row r="17">
      <c r="A17" s="56" t="inlineStr">
        <is>
          <t>2. Parámetros físicos del terreno</t>
        </is>
      </c>
      <c r="B17" s="56" t="inlineStr">
        <is>
          <t>Altitud GPS del punto de muestreo (msnm)</t>
        </is>
      </c>
      <c r="C17" s="56" t="inlineStr">
        <is>
          <t>200</t>
        </is>
      </c>
      <c r="D17" s="56" t="inlineStr">
        <is>
          <t>msnm</t>
        </is>
      </c>
    </row>
    <row r="18">
      <c r="A18" s="57" t="inlineStr">
        <is>
          <t>2. Parámetros físicos del terreno</t>
        </is>
      </c>
      <c r="B18" s="57" t="inlineStr">
        <is>
          <t>Piso altitudinal del punto de muestreo</t>
        </is>
      </c>
      <c r="C18" s="57" t="inlineStr">
        <is>
          <t>&lt;1000 m (Yunga)</t>
        </is>
      </c>
      <c r="D18" s="57" t="inlineStr"/>
    </row>
    <row r="19">
      <c r="A19" s="56" t="inlineStr">
        <is>
          <t>2. Parámetros físicos del terreno</t>
        </is>
      </c>
      <c r="B19" s="56" t="inlineStr">
        <is>
          <t>Paisaje dominante descrito en campo</t>
        </is>
      </c>
      <c r="C19" s="56" t="inlineStr">
        <is>
          <t>Ladera de colina baja convexo-cóncava tributaria de la quebrada Q9581 (microcuenca C1076), en la margen izquierda del río Serrán. Paisaje de colina dominado por bosque estacionalmente seco de colina y montaña, con una franja marginal de zona agrícola. El bloque se ubica al pie de la vía nacional asfaltada y se prolonga paralelamente a esta. Poca piedra dispersa sobre el terreno; sin afloramientos rocosos.</t>
        </is>
      </c>
      <c r="D19" s="56" t="inlineStr"/>
    </row>
    <row r="20">
      <c r="A20" s="57" t="inlineStr">
        <is>
          <t>2. Parámetros físicos del terreno</t>
        </is>
      </c>
      <c r="B20" s="57" t="inlineStr">
        <is>
          <t>Reptación de suelo</t>
        </is>
      </c>
      <c r="C20" s="57" t="inlineStr">
        <is>
          <t>No</t>
        </is>
      </c>
      <c r="D20" s="57" t="inlineStr"/>
    </row>
    <row r="21">
      <c r="A21" s="56" t="inlineStr">
        <is>
          <t>2. Parámetros físicos del terreno</t>
        </is>
      </c>
      <c r="B21" s="56" t="inlineStr">
        <is>
          <t>Deslizamientos antiguos</t>
        </is>
      </c>
      <c r="C21" s="56" t="inlineStr">
        <is>
          <t>No</t>
        </is>
      </c>
      <c r="D21" s="56" t="inlineStr"/>
    </row>
    <row r="22">
      <c r="A22" s="57" t="inlineStr">
        <is>
          <t>4. Suelos y erosión (F-DT-02)</t>
        </is>
      </c>
      <c r="B22" s="57" t="inlineStr">
        <is>
          <t>Nivel de erosión - síntesis de campo</t>
        </is>
      </c>
      <c r="C22" s="57" t="inlineStr">
        <is>
          <t>Ligera (laminar)</t>
        </is>
      </c>
      <c r="D22" s="57" t="inlineStr"/>
    </row>
    <row r="23">
      <c r="A23" s="56" t="inlineStr">
        <is>
          <t>4. Suelos y erosión (F-DT-02)</t>
        </is>
      </c>
      <c r="B23" s="56" t="inlineStr">
        <is>
          <t>Sellamiento / costra superficial</t>
        </is>
      </c>
      <c r="C23" s="56" t="inlineStr">
        <is>
          <t>No</t>
        </is>
      </c>
      <c r="D23" s="56" t="inlineStr"/>
    </row>
    <row r="24">
      <c r="A24" s="57" t="inlineStr">
        <is>
          <t>4. Suelos y erosión (F-DT-02)</t>
        </is>
      </c>
      <c r="B24" s="57" t="inlineStr">
        <is>
          <t>Compactación por pisoteo</t>
        </is>
      </c>
      <c r="C24" s="57" t="inlineStr">
        <is>
          <t>Sí</t>
        </is>
      </c>
      <c r="D24" s="57" t="inlineStr"/>
    </row>
    <row r="25">
      <c r="A25" s="56" t="inlineStr">
        <is>
          <t>4. Suelos y erosión (F-DT-02)</t>
        </is>
      </c>
      <c r="B25" s="56" t="inlineStr">
        <is>
          <t>Raíces expuestas</t>
        </is>
      </c>
      <c r="C25" s="56" t="inlineStr">
        <is>
          <t>No</t>
        </is>
      </c>
      <c r="D25" s="56" t="inlineStr"/>
    </row>
    <row r="26">
      <c r="A26" s="57" t="inlineStr">
        <is>
          <t>4. Suelos y erosión (F-DT-02)</t>
        </is>
      </c>
      <c r="B26" s="57" t="inlineStr">
        <is>
          <t>Longitud total de cárcavas (m)</t>
        </is>
      </c>
      <c r="C26" s="57" t="inlineStr">
        <is>
          <t>0</t>
        </is>
      </c>
      <c r="D26" s="57" t="inlineStr">
        <is>
          <t>m</t>
        </is>
      </c>
    </row>
    <row r="27">
      <c r="A27" s="56" t="inlineStr">
        <is>
          <t>4. Suelos y erosión (F-DT-02)</t>
        </is>
      </c>
      <c r="B27" s="56" t="inlineStr">
        <is>
          <t>% del bloque afectado por cárcavas</t>
        </is>
      </c>
      <c r="C27" s="56" t="inlineStr">
        <is>
          <t>0</t>
        </is>
      </c>
      <c r="D27" s="56" t="inlineStr">
        <is>
          <t>%</t>
        </is>
      </c>
    </row>
    <row r="28">
      <c r="A28" s="57" t="inlineStr">
        <is>
          <t>4. Suelos y erosión (F-DT-02)</t>
        </is>
      </c>
      <c r="B28" s="57" t="inlineStr">
        <is>
          <t>Patrón de cárcavas</t>
        </is>
      </c>
      <c r="C28" s="57" t="inlineStr">
        <is>
          <t>Aislado</t>
        </is>
      </c>
      <c r="D28" s="57" t="inlineStr"/>
    </row>
    <row r="29">
      <c r="A29" s="56" t="inlineStr">
        <is>
          <t>4. Suelos y erosión (F-DT-02)</t>
        </is>
      </c>
      <c r="B29" s="56" t="inlineStr">
        <is>
          <t>Socavamiento de cauce</t>
        </is>
      </c>
      <c r="C29" s="56" t="inlineStr">
        <is>
          <t>No</t>
        </is>
      </c>
      <c r="D29" s="56" t="inlineStr"/>
    </row>
    <row r="30">
      <c r="A30" s="57" t="inlineStr">
        <is>
          <t>5. Ecosistema, cobertura y flora (F-DT-03)</t>
        </is>
      </c>
      <c r="B30" s="57" t="inlineStr">
        <is>
          <t>Cobertura del dosel (%)</t>
        </is>
      </c>
      <c r="C30" s="57" t="inlineStr">
        <is>
          <t>70</t>
        </is>
      </c>
      <c r="D30" s="57" t="inlineStr">
        <is>
          <t>%</t>
        </is>
      </c>
    </row>
    <row r="31">
      <c r="A31" s="56" t="inlineStr">
        <is>
          <t>5. Ecosistema, cobertura y flora (F-DT-03)</t>
        </is>
      </c>
      <c r="B31" s="56" t="inlineStr">
        <is>
          <t>Cobertura herbácea (%)</t>
        </is>
      </c>
      <c r="C31" s="56" t="inlineStr">
        <is>
          <t>20</t>
        </is>
      </c>
      <c r="D31" s="56" t="inlineStr">
        <is>
          <t>%</t>
        </is>
      </c>
    </row>
    <row r="32">
      <c r="A32" s="57" t="inlineStr">
        <is>
          <t>5. Ecosistema, cobertura y flora (F-DT-03)</t>
        </is>
      </c>
      <c r="B32" s="57" t="inlineStr">
        <is>
          <t>Altura máxima registrada (m)</t>
        </is>
      </c>
      <c r="C32" s="57" t="inlineStr">
        <is>
          <t>8</t>
        </is>
      </c>
      <c r="D32" s="57" t="inlineStr">
        <is>
          <t>m</t>
        </is>
      </c>
    </row>
    <row r="33">
      <c r="A33" s="56" t="inlineStr">
        <is>
          <t>5. Ecosistema, cobertura y flora (F-DT-03)</t>
        </is>
      </c>
      <c r="B33" s="56" t="inlineStr">
        <is>
          <t>Presencia de epífitas</t>
        </is>
      </c>
      <c r="C33" s="56" t="inlineStr">
        <is>
          <t>No</t>
        </is>
      </c>
      <c r="D33" s="56" t="inlineStr"/>
    </row>
    <row r="34">
      <c r="A34" s="57" t="inlineStr">
        <is>
          <t>5. Ecosistema, cobertura y flora (F-DT-03)</t>
        </is>
      </c>
      <c r="B34" s="57" t="inlineStr">
        <is>
          <t>Fenología dominante</t>
        </is>
      </c>
      <c r="C34" s="57" t="inlineStr">
        <is>
          <t>Vegetativo</t>
        </is>
      </c>
      <c r="D34" s="57" t="inlineStr"/>
    </row>
    <row r="35">
      <c r="A35" s="56" t="inlineStr">
        <is>
          <t>5. Ecosistema, cobertura y flora (F-DT-03)</t>
        </is>
      </c>
      <c r="B35" s="56" t="inlineStr">
        <is>
          <t>Pendiente de la parcela (%)</t>
        </is>
      </c>
      <c r="C35" s="56" t="inlineStr">
        <is>
          <t>14.01</t>
        </is>
      </c>
      <c r="D35" s="56" t="inlineStr">
        <is>
          <t>%</t>
        </is>
      </c>
    </row>
    <row r="36">
      <c r="A36" s="57" t="inlineStr">
        <is>
          <t>5. Ecosistema, cobertura y flora (F-DT-03)</t>
        </is>
      </c>
      <c r="B36" s="57" t="inlineStr">
        <is>
          <t>Especies clave georreferenciadas</t>
        </is>
      </c>
      <c r="C36" s="57" t="inlineStr">
        <is>
          <t>3</t>
        </is>
      </c>
      <c r="D36" s="57" t="inlineStr"/>
    </row>
    <row r="37">
      <c r="A37" s="56" t="inlineStr">
        <is>
          <t>6. Degradación, causas y urgencia (F-DT-04)</t>
        </is>
      </c>
      <c r="B37" s="56" t="inlineStr">
        <is>
          <t>Causas directas de la degradación</t>
        </is>
      </c>
      <c r="C37" s="56" t="inlineStr">
        <is>
          <t>Sobrepastoreo de ganado caprino.</t>
        </is>
      </c>
      <c r="D37" s="56" t="inlineStr"/>
    </row>
    <row r="38">
      <c r="A38" s="57" t="inlineStr">
        <is>
          <t>6. Degradación, causas y urgencia (F-DT-04)</t>
        </is>
      </c>
      <c r="B38" s="57" t="inlineStr">
        <is>
          <t>N.° de causas activas en la matriz F-DT-04</t>
        </is>
      </c>
      <c r="C38" s="57" t="inlineStr">
        <is>
          <t>3</t>
        </is>
      </c>
      <c r="D38" s="57" t="inlineStr"/>
    </row>
    <row r="39">
      <c r="A39" s="56" t="inlineStr">
        <is>
          <t>7. Hidrología, acceso y logística (F-DT-05)</t>
        </is>
      </c>
      <c r="B39" s="56" t="inlineStr">
        <is>
          <t>Escorrentía concentrada</t>
        </is>
      </c>
      <c r="C39" s="56" t="inlineStr">
        <is>
          <t>No</t>
        </is>
      </c>
      <c r="D39" s="56" t="inlineStr"/>
    </row>
    <row r="40">
      <c r="A40" s="57" t="inlineStr">
        <is>
          <t>7. Hidrología, acceso y logística (F-DT-05)</t>
        </is>
      </c>
      <c r="B40" s="57" t="inlineStr">
        <is>
          <t>Distancia a captación (m)</t>
        </is>
      </c>
      <c r="C40" s="57" t="inlineStr">
        <is>
          <t>1000</t>
        </is>
      </c>
      <c r="D40" s="57" t="inlineStr">
        <is>
          <t>m</t>
        </is>
      </c>
    </row>
    <row r="41">
      <c r="A41" s="56" t="inlineStr">
        <is>
          <t>7. Hidrología, acceso y logística (F-DT-05)</t>
        </is>
      </c>
      <c r="B41" s="56" t="inlineStr">
        <is>
          <t>Interferencia con riego</t>
        </is>
      </c>
      <c r="C41" s="56" t="inlineStr">
        <is>
          <t>No</t>
        </is>
      </c>
      <c r="D41" s="56" t="inlineStr"/>
    </row>
    <row r="42">
      <c r="A42" s="57" t="inlineStr">
        <is>
          <t>7. Hidrología, acceso y logística (F-DT-05)</t>
        </is>
      </c>
      <c r="B42" s="57" t="inlineStr">
        <is>
          <t>Vía principal de acceso</t>
        </is>
      </c>
      <c r="C42" s="57" t="inlineStr">
        <is>
          <t>Vía nacional asfaltada Buenos Aires – Serrán (margen izquierda del río Serrán) y vía vecinal afirmada de acceso final</t>
        </is>
      </c>
      <c r="D42" s="57" t="inlineStr"/>
    </row>
    <row r="43">
      <c r="A43" s="56" t="inlineStr">
        <is>
          <t>7. Hidrología, acceso y logística (F-DT-05)</t>
        </is>
      </c>
      <c r="B43" s="56" t="inlineStr">
        <is>
          <t>Tipo de vía del tramo final</t>
        </is>
      </c>
      <c r="C43" s="56" t="inlineStr">
        <is>
          <t>Vecinal afirmada</t>
        </is>
      </c>
      <c r="D43" s="56" t="inlineStr"/>
    </row>
    <row r="44">
      <c r="A44" s="57" t="inlineStr">
        <is>
          <t>7. Hidrología, acceso y logística (F-DT-05)</t>
        </is>
      </c>
      <c r="B44" s="57" t="inlineStr">
        <is>
          <t>Transitabilidad en época seca</t>
        </is>
      </c>
      <c r="C44" s="57" t="inlineStr">
        <is>
          <t>Bajo</t>
        </is>
      </c>
      <c r="D44" s="57" t="inlineStr"/>
    </row>
    <row r="45">
      <c r="A45" s="56" t="inlineStr">
        <is>
          <t>7. Hidrología, acceso y logística (F-DT-05)</t>
        </is>
      </c>
      <c r="B45" s="56" t="inlineStr">
        <is>
          <t>Transitabilidad en época lluviosa</t>
        </is>
      </c>
      <c r="C45" s="56" t="inlineStr">
        <is>
          <t>Bajo</t>
        </is>
      </c>
      <c r="D45" s="56" t="inlineStr"/>
    </row>
    <row r="46">
      <c r="A46" s="57" t="inlineStr">
        <is>
          <t>7. Hidrología, acceso y logística (F-DT-05)</t>
        </is>
      </c>
      <c r="B46" s="57" t="inlineStr">
        <is>
          <t>Tiempo a la capital distrital (min)</t>
        </is>
      </c>
      <c r="C46" s="57" t="inlineStr">
        <is>
          <t>60</t>
        </is>
      </c>
      <c r="D46" s="57" t="inlineStr">
        <is>
          <t>min</t>
        </is>
      </c>
    </row>
    <row r="47">
      <c r="A47" s="56" t="inlineStr">
        <is>
          <t>7. Hidrología, acceso y logística (F-DT-05)</t>
        </is>
      </c>
      <c r="B47" s="56" t="inlineStr">
        <is>
          <t>Señal celular</t>
        </is>
      </c>
      <c r="C47" s="56" t="inlineStr">
        <is>
          <t>Intermitente</t>
        </is>
      </c>
      <c r="D47" s="56" t="inlineStr"/>
    </row>
    <row r="48">
      <c r="A48" s="57" t="inlineStr">
        <is>
          <t>7. Hidrología, acceso y logística (F-DT-05)</t>
        </is>
      </c>
      <c r="B48" s="57" t="inlineStr">
        <is>
          <t>Operador con cobertura</t>
        </is>
      </c>
      <c r="C48" s="57" t="inlineStr">
        <is>
          <t>Entel</t>
        </is>
      </c>
      <c r="D48" s="57" t="inlineStr"/>
    </row>
    <row r="49">
      <c r="A49" s="56" t="inlineStr">
        <is>
          <t>7. Hidrología, acceso y logística (F-DT-05)</t>
        </is>
      </c>
      <c r="B49" s="56" t="inlineStr">
        <is>
          <t>Alojamiento disponible en la zona</t>
        </is>
      </c>
      <c r="C49" s="56" t="inlineStr">
        <is>
          <t>No</t>
        </is>
      </c>
      <c r="D49" s="56" t="inlineStr"/>
    </row>
    <row r="50">
      <c r="A50" s="57" t="inlineStr">
        <is>
          <t>7. Hidrología, acceso y logística (F-DT-05)</t>
        </is>
      </c>
      <c r="B50" s="57" t="inlineStr">
        <is>
          <t>Requiere coordinación con ronda / comunidad</t>
        </is>
      </c>
      <c r="C50" s="57" t="inlineStr">
        <is>
          <t>Sí</t>
        </is>
      </c>
      <c r="D50" s="57" t="inlineStr"/>
    </row>
    <row r="52">
      <c r="A52" s="54" t="inlineStr">
        <is>
          <t>C. PROCEDENCIA DE LOS HECHOS DECLARADOS</t>
        </is>
      </c>
    </row>
    <row r="53">
      <c r="A53" s="55" t="inlineStr">
        <is>
          <t>Fuente</t>
        </is>
      </c>
      <c r="B53" s="55" t="inlineStr">
        <is>
          <t>Hechos</t>
        </is>
      </c>
      <c r="C53" s="55" t="inlineStr">
        <is>
          <t>Alcance de la fuente</t>
        </is>
      </c>
    </row>
    <row r="54">
      <c r="A54" s="56" t="inlineStr">
        <is>
          <t>Dato de campo</t>
        </is>
      </c>
      <c r="B54" s="56" t="n">
        <v>65</v>
      </c>
      <c r="C54" s="56" t="inlineStr">
        <is>
          <t>Verificación en campo. Fichas F-DT-01 a F-DT-05 de la Plantilla DT Campo Check Validada V5, suscritas por el evaluador.</t>
        </is>
      </c>
    </row>
    <row r="55">
      <c r="A55" s="57" t="inlineStr">
        <is>
          <t>Gabinete (GIS / teledetección)</t>
        </is>
      </c>
      <c r="B55" s="57" t="n">
        <v>22</v>
      </c>
      <c r="C55" s="57" t="inlineStr">
        <is>
          <t>Gabinete. Estadística zonal sobre el MDE y compuestos Sentinel-2 (NDVI mediana 2025, MSAVI 2024 por clase DN).</t>
        </is>
      </c>
    </row>
    <row r="56">
      <c r="A56" s="56" t="inlineStr">
        <is>
          <t>Fuente oficial</t>
        </is>
      </c>
      <c r="B56" s="56" t="n">
        <v>14</v>
      </c>
      <c r="C56" s="56" t="inlineStr">
        <is>
          <t>Fuente oficial. Catálogo maestro Bloques V5/V6, división política INEI y codificación de microcuencas de la ANA.</t>
        </is>
      </c>
    </row>
    <row r="58">
      <c r="A58" s="54" t="inlineStr">
        <is>
          <t>D. ESTADO DEL CRUCE ENTRE FUENTES</t>
        </is>
      </c>
    </row>
    <row r="59">
      <c r="A59" s="55" t="inlineStr">
        <is>
          <t>Estado</t>
        </is>
      </c>
      <c r="B59" s="55" t="inlineStr">
        <is>
          <t>Hechos</t>
        </is>
      </c>
      <c r="C59" s="55" t="inlineStr">
        <is>
          <t>Significado</t>
        </is>
      </c>
    </row>
    <row r="60">
      <c r="A60" s="56" t="inlineStr">
        <is>
          <t>CONFORME</t>
        </is>
      </c>
      <c r="B60" s="56" t="n">
        <v>95</v>
      </c>
      <c r="C60" s="56" t="inlineStr">
        <is>
          <t>Las dos fuentes declaran lo mismo, o solo la fuente que manda sobre el hecho lo declara.</t>
        </is>
      </c>
    </row>
    <row r="61">
      <c r="A61" s="57" t="inlineStr">
        <is>
          <t>COMPLEMENTADO</t>
        </is>
      </c>
      <c r="B61" s="57" t="n">
        <v>1</v>
      </c>
      <c r="C61" s="57" t="inlineStr">
        <is>
          <t>Solo una de las fuentes lo declara y se adopta ese valor.</t>
        </is>
      </c>
    </row>
    <row r="62">
      <c r="A62" s="56" t="inlineStr">
        <is>
          <t>ACTUALIZADO</t>
        </is>
      </c>
      <c r="B62" s="56" t="n">
        <v>5</v>
      </c>
      <c r="C62" s="56" t="inlineStr">
        <is>
          <t>La verificación de campo vigente corrige lo que traía el libro de resumen.</t>
        </is>
      </c>
    </row>
    <row r="63">
      <c r="A63" s="57" t="inlineStr">
        <is>
          <t>DISCREPANTE</t>
        </is>
      </c>
      <c r="B63" s="57" t="n">
        <v>0</v>
      </c>
      <c r="C63" s="57" t="inlineStr">
        <is>
          <t>Las fuentes se contradicen; prevalece la que manda sobre el hecho y la otra queda declarada.</t>
        </is>
      </c>
    </row>
    <row r="64">
      <c r="A64" s="56" t="inlineStr">
        <is>
          <t>PENDIENTE</t>
        </is>
      </c>
      <c r="B64" s="56" t="n">
        <v>13</v>
      </c>
      <c r="C64"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M7B2</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Pasallo</t>
        </is>
      </c>
      <c r="C13" s="56" t="inlineStr">
        <is>
          <t>Eriotheca ruizii</t>
        </is>
      </c>
      <c r="D13" s="56" t="inlineStr">
        <is>
          <t>Malvaceae</t>
        </is>
      </c>
      <c r="E13" s="56" t="inlineStr">
        <is>
          <t>Arbóreo medio (8-15 m)</t>
        </is>
      </c>
      <c r="F13" s="56" t="inlineStr">
        <is>
          <t>Nativa</t>
        </is>
      </c>
      <c r="G13" s="56" t="inlineStr">
        <is>
          <t>Abundante (20-40%)</t>
        </is>
      </c>
      <c r="H13" s="61" t="n">
        <v>30</v>
      </c>
      <c r="I13" s="62" t="n">
        <v>8</v>
      </c>
    </row>
    <row r="14">
      <c r="A14" s="57" t="inlineStr">
        <is>
          <t>2</t>
        </is>
      </c>
      <c r="B14" s="57" t="inlineStr">
        <is>
          <t>Charán</t>
        </is>
      </c>
      <c r="C14" s="57" t="inlineStr">
        <is>
          <t>Caesalpinia paipai</t>
        </is>
      </c>
      <c r="D14" s="57" t="inlineStr">
        <is>
          <t>Fabaceae</t>
        </is>
      </c>
      <c r="E14" s="57" t="inlineStr">
        <is>
          <t>Arbóreo bajo (4-8 m)</t>
        </is>
      </c>
      <c r="F14" s="57" t="inlineStr">
        <is>
          <t>Nativa</t>
        </is>
      </c>
      <c r="G14" s="57" t="inlineStr">
        <is>
          <t>Abundante (20-40%)</t>
        </is>
      </c>
      <c r="H14" s="63" t="n">
        <v>20</v>
      </c>
      <c r="I14" s="64" t="n">
        <v>5</v>
      </c>
    </row>
    <row r="15">
      <c r="A15" s="56" t="inlineStr">
        <is>
          <t>3</t>
        </is>
      </c>
      <c r="B15" s="56" t="inlineStr">
        <is>
          <t>Palo santo</t>
        </is>
      </c>
      <c r="C15" s="56" t="inlineStr">
        <is>
          <t>Bursera graveolens</t>
        </is>
      </c>
      <c r="D15" s="56" t="inlineStr">
        <is>
          <t>Burseraceae</t>
        </is>
      </c>
      <c r="E15" s="56" t="inlineStr">
        <is>
          <t>Arbóreo bajo (4-8 m)</t>
        </is>
      </c>
      <c r="F15" s="56" t="inlineStr">
        <is>
          <t>Nativa</t>
        </is>
      </c>
      <c r="G15" s="56" t="inlineStr">
        <is>
          <t>Frecuente (5-20%)</t>
        </is>
      </c>
      <c r="H15" s="61" t="n">
        <v>25</v>
      </c>
      <c r="I15" s="62" t="n">
        <v>6</v>
      </c>
    </row>
    <row r="16">
      <c r="A16" s="57" t="inlineStr">
        <is>
          <t>4</t>
        </is>
      </c>
      <c r="B16" s="57" t="inlineStr">
        <is>
          <t>Hualtaco</t>
        </is>
      </c>
      <c r="C16" s="57" t="inlineStr">
        <is>
          <t>Loxopterygium huasango</t>
        </is>
      </c>
      <c r="D16" s="57" t="inlineStr">
        <is>
          <t>Anacardiaceae</t>
        </is>
      </c>
      <c r="E16" s="57" t="inlineStr">
        <is>
          <t>Arbóreo medio (8-15 m)</t>
        </is>
      </c>
      <c r="F16" s="57" t="inlineStr">
        <is>
          <t>Nativa</t>
        </is>
      </c>
      <c r="G16" s="57" t="inlineStr">
        <is>
          <t>Ocasional (1-5%)</t>
        </is>
      </c>
      <c r="H16" s="63" t="n">
        <v>35</v>
      </c>
      <c r="I16" s="63" t="n">
        <v>10</v>
      </c>
    </row>
    <row r="17">
      <c r="A17" s="56" t="inlineStr">
        <is>
          <t>5</t>
        </is>
      </c>
      <c r="B17" s="56" t="inlineStr">
        <is>
          <t>Borrachera</t>
        </is>
      </c>
      <c r="C17" s="56" t="inlineStr">
        <is>
          <t>Ipomoea carnea</t>
        </is>
      </c>
      <c r="D17" s="56" t="inlineStr">
        <is>
          <t>Convolvulaceae</t>
        </is>
      </c>
      <c r="E17" s="56" t="inlineStr">
        <is>
          <t>Arbustivo alto (1.5-4 m)</t>
        </is>
      </c>
      <c r="F17" s="56" t="inlineStr">
        <is>
          <t>Nativa</t>
        </is>
      </c>
      <c r="G17" s="56" t="inlineStr"/>
      <c r="H17" s="56" t="n"/>
      <c r="I17" s="56" t="n"/>
    </row>
    <row r="18">
      <c r="A18" s="57" t="inlineStr">
        <is>
          <t>6</t>
        </is>
      </c>
      <c r="B18" s="57" t="inlineStr">
        <is>
          <t>Overo</t>
        </is>
      </c>
      <c r="C18" s="57" t="inlineStr">
        <is>
          <t>Cordia lutea</t>
        </is>
      </c>
      <c r="D18" s="57" t="inlineStr">
        <is>
          <t>Boraginaceae</t>
        </is>
      </c>
      <c r="E18" s="57" t="inlineStr">
        <is>
          <t>Arbustivo alto (1.5-4 m)</t>
        </is>
      </c>
      <c r="F18" s="57" t="inlineStr">
        <is>
          <t>Nativa</t>
        </is>
      </c>
      <c r="G18" s="57" t="inlineStr"/>
      <c r="H18" s="57" t="n"/>
      <c r="I18" s="57" t="n"/>
    </row>
    <row r="19">
      <c r="A19" s="56" t="inlineStr">
        <is>
          <t>7</t>
        </is>
      </c>
      <c r="B19" s="56" t="inlineStr">
        <is>
          <t>Cardo</t>
        </is>
      </c>
      <c r="C19" s="56" t="inlineStr">
        <is>
          <t>Armatocereus cartwrightianus</t>
        </is>
      </c>
      <c r="D19" s="56" t="inlineStr">
        <is>
          <t>Cactaceae</t>
        </is>
      </c>
      <c r="E19" s="56" t="inlineStr">
        <is>
          <t>Arbustivo alto (1.5-4 m)</t>
        </is>
      </c>
      <c r="F19" s="56" t="inlineStr">
        <is>
          <t>Nativa</t>
        </is>
      </c>
      <c r="G19" s="56" t="inlineStr"/>
      <c r="H19" s="56" t="n"/>
      <c r="I19" s="56" t="n"/>
    </row>
    <row r="21">
      <c r="A21" s="54" t="inlineStr">
        <is>
          <t>F-DT-03 · ESPECIES CLAVE GEORREFERENCIADAS</t>
        </is>
      </c>
    </row>
    <row r="22">
      <c r="A22" s="55" t="inlineStr">
        <is>
          <t>N.o</t>
        </is>
      </c>
      <c r="B22" s="55" t="inlineStr">
        <is>
          <t>Especie</t>
        </is>
      </c>
      <c r="C22" s="55" t="inlineStr">
        <is>
          <t>Categoría</t>
        </is>
      </c>
      <c r="D22" s="55" t="inlineStr">
        <is>
          <t>Estado UICN</t>
        </is>
      </c>
      <c r="E22" s="55" t="inlineStr">
        <is>
          <t>UTM ESTE</t>
        </is>
      </c>
      <c r="F22" s="55" t="inlineStr">
        <is>
          <t>UTM NORTE</t>
        </is>
      </c>
      <c r="G22" s="55" t="inlineStr">
        <is>
          <t>N.° individuos</t>
        </is>
      </c>
      <c r="H22" s="55" t="inlineStr">
        <is>
          <t>Observación</t>
        </is>
      </c>
    </row>
    <row r="23">
      <c r="A23" s="56" t="inlineStr">
        <is>
          <t>1</t>
        </is>
      </c>
      <c r="B23" s="56" t="inlineStr">
        <is>
          <t>Hualtaco (Loxopterygium huasango)</t>
        </is>
      </c>
      <c r="C23" s="56" t="inlineStr">
        <is>
          <t>Amenazada (D.S. 043-2006-AG)</t>
        </is>
      </c>
      <c r="D23" s="56" t="inlineStr">
        <is>
          <t>VU — Vulnerable</t>
        </is>
      </c>
      <c r="E23" s="56" t="n"/>
      <c r="F23" s="56" t="n"/>
      <c r="G23" s="56" t="n"/>
      <c r="H23" s="56" t="inlineStr">
        <is>
          <t>Abundancia ocasional; los individuos de mayor porte del bloque (DAP 35 cm, altura 10 m).</t>
        </is>
      </c>
    </row>
    <row r="24">
      <c r="A24" s="57" t="inlineStr">
        <is>
          <t>2</t>
        </is>
      </c>
      <c r="B24" s="57" t="inlineStr">
        <is>
          <t>Palo santo (Bursera graveolens)</t>
        </is>
      </c>
      <c r="C24" s="57" t="inlineStr">
        <is>
          <t>Amenazada (D.S. 043-2006-AG)</t>
        </is>
      </c>
      <c r="D24" s="57" t="inlineStr">
        <is>
          <t>NT — Casi Amenazado</t>
        </is>
      </c>
      <c r="E24" s="57" t="n"/>
      <c r="F24" s="57" t="n"/>
      <c r="G24" s="57" t="n"/>
      <c r="H24" s="57" t="inlineStr">
        <is>
          <t>Abundancia frecuente; concentrado en las partes altas de la ladera.</t>
        </is>
      </c>
    </row>
    <row r="25">
      <c r="A25" s="56" t="inlineStr">
        <is>
          <t>3</t>
        </is>
      </c>
      <c r="B25" s="56" t="inlineStr">
        <is>
          <t>Pasallo (Eriotheca ruizii)</t>
        </is>
      </c>
      <c r="C25" s="56" t="inlineStr">
        <is>
          <t>Indicadora de buen estado</t>
        </is>
      </c>
      <c r="D25" s="56" t="inlineStr">
        <is>
          <t>No aplica</t>
        </is>
      </c>
      <c r="E25" s="56" t="n"/>
      <c r="F25" s="56" t="n"/>
      <c r="G25" s="56" t="n"/>
      <c r="H25" s="56" t="inlineStr">
        <is>
          <t>Especie abundante del estrato arbóreo; DAP 30 cm y altura 8 m.</t>
        </is>
      </c>
    </row>
    <row r="27">
      <c r="A27" s="54" t="inlineStr">
        <is>
          <t>F-DT-04 · MATRIZ DE CAUSAS DE DEGRADACIÓN</t>
        </is>
      </c>
    </row>
    <row r="28">
      <c r="A28" s="55" t="inlineStr">
        <is>
          <t>N.o</t>
        </is>
      </c>
      <c r="B28" s="55" t="inlineStr">
        <is>
          <t>Causa</t>
        </is>
      </c>
      <c r="C28" s="55" t="inlineStr">
        <is>
          <t>Presencia</t>
        </is>
      </c>
      <c r="D28" s="55" t="inlineStr">
        <is>
          <t>Intensidad</t>
        </is>
      </c>
      <c r="E28" s="55" t="inlineStr">
        <is>
          <t>Extensión</t>
        </is>
      </c>
      <c r="F28" s="55" t="inlineStr">
        <is>
          <t>Antigüedad</t>
        </is>
      </c>
      <c r="G28" s="55" t="inlineStr">
        <is>
          <t>Evidencia</t>
        </is>
      </c>
    </row>
    <row r="29">
      <c r="A29" s="56" t="inlineStr">
        <is>
          <t>1</t>
        </is>
      </c>
      <c r="B29" s="56" t="inlineStr">
        <is>
          <t>Sobrepastoreo (caprino/vacuno)</t>
        </is>
      </c>
      <c r="C29" s="56" t="inlineStr">
        <is>
          <t>Sí</t>
        </is>
      </c>
      <c r="D29" s="56" t="inlineStr">
        <is>
          <t>Fuerte</t>
        </is>
      </c>
      <c r="E29" s="56" t="inlineStr">
        <is>
          <t>25</t>
        </is>
      </c>
      <c r="F29" s="56" t="inlineStr">
        <is>
          <t>20</t>
        </is>
      </c>
      <c r="G29" s="56" t="inlineStr">
        <is>
          <t>Se observó ganado caprino en pastoreo en la parte media de la ladera.</t>
        </is>
      </c>
    </row>
    <row r="30">
      <c r="A30" s="57" t="inlineStr">
        <is>
          <t>2</t>
        </is>
      </c>
      <c r="B30" s="57" t="inlineStr">
        <is>
          <t>Tala para leña</t>
        </is>
      </c>
      <c r="C30" s="57" t="inlineStr">
        <is>
          <t>Sí</t>
        </is>
      </c>
      <c r="D30" s="57" t="inlineStr">
        <is>
          <t>Ligera</t>
        </is>
      </c>
      <c r="E30" s="57" t="inlineStr">
        <is>
          <t>5</t>
        </is>
      </c>
      <c r="F30" s="57" t="inlineStr">
        <is>
          <t>10</t>
        </is>
      </c>
      <c r="G30" s="57" t="inlineStr">
        <is>
          <t>Extracción de leña para uso doméstico de la población cercana.</t>
        </is>
      </c>
    </row>
    <row r="31">
      <c r="A31" s="56" t="inlineStr">
        <is>
          <t>3</t>
        </is>
      </c>
      <c r="B31" s="56" t="inlineStr">
        <is>
          <t>Tala para carbón</t>
        </is>
      </c>
      <c r="C31" s="56" t="inlineStr"/>
      <c r="D31" s="56" t="inlineStr"/>
      <c r="E31" s="56" t="inlineStr"/>
      <c r="F31" s="56" t="inlineStr"/>
      <c r="G31" s="56" t="inlineStr"/>
    </row>
    <row r="32">
      <c r="A32" s="57" t="inlineStr">
        <is>
          <t>4</t>
        </is>
      </c>
      <c r="B32" s="57" t="inlineStr">
        <is>
          <t>Tala para madera</t>
        </is>
      </c>
      <c r="C32" s="57" t="inlineStr"/>
      <c r="D32" s="57" t="inlineStr"/>
      <c r="E32" s="57" t="inlineStr"/>
      <c r="F32" s="57" t="inlineStr"/>
      <c r="G32" s="57" t="inlineStr"/>
    </row>
    <row r="33">
      <c r="A33" s="56" t="inlineStr">
        <is>
          <t>5</t>
        </is>
      </c>
      <c r="B33" s="56" t="inlineStr">
        <is>
          <t>Quema (renovación de pastos)</t>
        </is>
      </c>
      <c r="C33" s="56" t="inlineStr"/>
      <c r="D33" s="56" t="inlineStr"/>
      <c r="E33" s="56" t="inlineStr"/>
      <c r="F33" s="56" t="inlineStr"/>
      <c r="G33" s="56" t="inlineStr"/>
    </row>
    <row r="34">
      <c r="A34" s="57" t="inlineStr">
        <is>
          <t>6</t>
        </is>
      </c>
      <c r="B34" s="57" t="inlineStr">
        <is>
          <t>Quema accidental / Incendio</t>
        </is>
      </c>
      <c r="C34" s="57" t="inlineStr"/>
      <c r="D34" s="57" t="inlineStr"/>
      <c r="E34" s="57" t="inlineStr"/>
      <c r="F34" s="57" t="inlineStr"/>
      <c r="G34" s="57" t="inlineStr"/>
    </row>
    <row r="35">
      <c r="A35" s="56" t="inlineStr">
        <is>
          <t>7</t>
        </is>
      </c>
      <c r="B35" s="56" t="inlineStr">
        <is>
          <t>Cambio de uso a agricultura</t>
        </is>
      </c>
      <c r="C35" s="56" t="inlineStr"/>
      <c r="D35" s="56" t="inlineStr"/>
      <c r="E35" s="56" t="inlineStr"/>
      <c r="F35" s="56" t="inlineStr"/>
      <c r="G35" s="56" t="inlineStr"/>
    </row>
    <row r="36">
      <c r="A36" s="57" t="inlineStr">
        <is>
          <t>8</t>
        </is>
      </c>
      <c r="B36" s="57" t="inlineStr">
        <is>
          <t>Cambio de uso a pastoreo</t>
        </is>
      </c>
      <c r="C36" s="57" t="inlineStr">
        <is>
          <t>Sí</t>
        </is>
      </c>
      <c r="D36" s="57" t="inlineStr">
        <is>
          <t>Ligera</t>
        </is>
      </c>
      <c r="E36" s="57" t="inlineStr">
        <is>
          <t>25</t>
        </is>
      </c>
      <c r="F36" s="57" t="inlineStr">
        <is>
          <t>10</t>
        </is>
      </c>
      <c r="G36" s="57" t="inlineStr">
        <is>
          <t>Se observó ganado caprino; zonas de pastoreo en la parte media de la ladera.</t>
        </is>
      </c>
    </row>
    <row r="37">
      <c r="A37" s="56" t="inlineStr">
        <is>
          <t>9</t>
        </is>
      </c>
      <c r="B37" s="56" t="inlineStr">
        <is>
          <t>Expansión urbana / vial</t>
        </is>
      </c>
      <c r="C37" s="56" t="inlineStr"/>
      <c r="D37" s="56" t="inlineStr"/>
      <c r="E37" s="56" t="inlineStr"/>
      <c r="F37" s="56" t="inlineStr"/>
      <c r="G37" s="56" t="inlineStr"/>
    </row>
    <row r="38">
      <c r="A38" s="57" t="inlineStr">
        <is>
          <t>10</t>
        </is>
      </c>
      <c r="B38" s="57" t="inlineStr">
        <is>
          <t>Minería informal</t>
        </is>
      </c>
      <c r="C38" s="57" t="inlineStr"/>
      <c r="D38" s="57" t="inlineStr"/>
      <c r="E38" s="57" t="inlineStr"/>
      <c r="F38" s="57" t="inlineStr"/>
      <c r="G38" s="57" t="inlineStr"/>
    </row>
    <row r="39">
      <c r="A39" s="56" t="inlineStr">
        <is>
          <t>11</t>
        </is>
      </c>
      <c r="B39" s="56" t="inlineStr">
        <is>
          <t>Extracción de áridos (cauces)</t>
        </is>
      </c>
      <c r="C39" s="56" t="inlineStr"/>
      <c r="D39" s="56" t="inlineStr"/>
      <c r="E39" s="56" t="inlineStr"/>
      <c r="F39" s="56" t="inlineStr"/>
      <c r="G39" s="56" t="inlineStr"/>
    </row>
    <row r="40">
      <c r="A40" s="57" t="inlineStr">
        <is>
          <t>12</t>
        </is>
      </c>
      <c r="B40" s="57" t="inlineStr">
        <is>
          <t>Especies invasoras</t>
        </is>
      </c>
      <c r="C40" s="57" t="inlineStr"/>
      <c r="D40" s="57" t="inlineStr"/>
      <c r="E40" s="57" t="inlineStr"/>
      <c r="F40" s="57" t="inlineStr"/>
      <c r="G40" s="57" t="inlineStr"/>
    </row>
    <row r="41">
      <c r="A41" s="56" t="inlineStr">
        <is>
          <t>13</t>
        </is>
      </c>
      <c r="B41" s="56" t="inlineStr">
        <is>
          <t>Erosión natural severa</t>
        </is>
      </c>
      <c r="C41" s="56" t="inlineStr"/>
      <c r="D41" s="56" t="inlineStr"/>
      <c r="E41" s="56" t="inlineStr"/>
      <c r="F41" s="56" t="inlineStr"/>
      <c r="G41" s="56" t="inlineStr"/>
    </row>
    <row r="42">
      <c r="A42" s="57" t="inlineStr">
        <is>
          <t>14</t>
        </is>
      </c>
      <c r="B42" s="57" t="inlineStr">
        <is>
          <t>Sequía prolongada / CC</t>
        </is>
      </c>
      <c r="C42" s="57" t="inlineStr"/>
      <c r="D42" s="57" t="inlineStr"/>
      <c r="E42" s="57" t="inlineStr"/>
      <c r="F42" s="57" t="inlineStr"/>
      <c r="G42" s="57" t="inlineStr"/>
    </row>
    <row r="43">
      <c r="A43" s="56" t="inlineStr">
        <is>
          <t>15</t>
        </is>
      </c>
      <c r="B43" s="56" t="inlineStr">
        <is>
          <t>Plagas o enfermedades forestales</t>
        </is>
      </c>
      <c r="C43" s="56" t="inlineStr"/>
      <c r="D43" s="56" t="inlineStr"/>
      <c r="E43" s="56" t="inlineStr"/>
      <c r="F43" s="56" t="inlineStr"/>
      <c r="G43" s="56" t="inlineStr"/>
    </row>
    <row r="44">
      <c r="A44" s="57" t="inlineStr">
        <is>
          <t>16</t>
        </is>
      </c>
      <c r="B44" s="57" t="inlineStr">
        <is>
          <t>Otro</t>
        </is>
      </c>
      <c r="C44" s="57" t="inlineStr"/>
      <c r="D44" s="57" t="inlineStr"/>
      <c r="E44" s="57" t="inlineStr"/>
      <c r="F44" s="57" t="inlineStr"/>
      <c r="G44" s="57" t="inlineStr"/>
    </row>
    <row r="46">
      <c r="A46" s="54" t="inlineStr">
        <is>
          <t>F-DT-04 · INDICADORES CUANTITATIVOS</t>
        </is>
      </c>
    </row>
    <row r="47">
      <c r="A47" s="55" t="inlineStr">
        <is>
          <t>N.o</t>
        </is>
      </c>
      <c r="B47" s="55" t="inlineStr">
        <is>
          <t>Indicador</t>
        </is>
      </c>
      <c r="C47" s="55" t="inlineStr">
        <is>
          <t>Unidad</t>
        </is>
      </c>
      <c r="D47" s="55" t="inlineStr">
        <is>
          <t>Valor</t>
        </is>
      </c>
      <c r="E47" s="55" t="inlineStr">
        <is>
          <t>Fuente</t>
        </is>
      </c>
      <c r="F47" s="55" t="inlineStr">
        <is>
          <t>Umbral</t>
        </is>
      </c>
      <c r="G47" s="55" t="inlineStr">
        <is>
          <t>Nivel</t>
        </is>
      </c>
    </row>
    <row r="48">
      <c r="A48" s="56" t="inlineStr">
        <is>
          <t>1</t>
        </is>
      </c>
      <c r="B48" s="56" t="inlineStr">
        <is>
          <t>Cobertura vegetal total</t>
        </is>
      </c>
      <c r="C48" s="56" t="inlineStr">
        <is>
          <t>%</t>
        </is>
      </c>
      <c r="D48" s="56" t="inlineStr">
        <is>
          <t>80</t>
        </is>
      </c>
      <c r="E48" s="56" t="inlineStr">
        <is>
          <t>Estimación visual de campo</t>
        </is>
      </c>
      <c r="F48" s="56" t="inlineStr">
        <is>
          <t>&gt;60% bueno; 30-60% medio; &lt;30% malo</t>
        </is>
      </c>
      <c r="G48" s="56" t="inlineStr">
        <is>
          <t>Alto</t>
        </is>
      </c>
    </row>
    <row r="49">
      <c r="A49" s="57" t="inlineStr">
        <is>
          <t>2</t>
        </is>
      </c>
      <c r="B49" s="57" t="inlineStr">
        <is>
          <t>Porcentaje de suelo desnudo</t>
        </is>
      </c>
      <c r="C49" s="57" t="inlineStr">
        <is>
          <t>%</t>
        </is>
      </c>
      <c r="D49" s="57" t="inlineStr">
        <is>
          <t>10</t>
        </is>
      </c>
      <c r="E49" s="57" t="inlineStr">
        <is>
          <t>Estimación visual de campo</t>
        </is>
      </c>
      <c r="F49" s="57" t="inlineStr">
        <is>
          <t>&lt;10% bueno; 10-30% medio; &gt;30% malo</t>
        </is>
      </c>
      <c r="G49" s="57" t="inlineStr">
        <is>
          <t>Bajo</t>
        </is>
      </c>
    </row>
    <row r="50">
      <c r="A50" s="56" t="inlineStr">
        <is>
          <t>3</t>
        </is>
      </c>
      <c r="B50" s="56" t="inlineStr">
        <is>
          <t>Densidad de cárcavas</t>
        </is>
      </c>
      <c r="C50" s="56" t="inlineStr">
        <is>
          <t>N°/ha</t>
        </is>
      </c>
      <c r="D50" s="56" t="inlineStr"/>
      <c r="E50" s="56" t="inlineStr"/>
      <c r="F50" s="56" t="inlineStr">
        <is>
          <t>0 nulo; 1-3 medio; &gt;3 alto</t>
        </is>
      </c>
      <c r="G50" s="56" t="inlineStr"/>
    </row>
    <row r="51">
      <c r="A51" s="57" t="inlineStr">
        <is>
          <t>4</t>
        </is>
      </c>
      <c r="B51" s="57" t="inlineStr">
        <is>
          <t>Presencia de especies invasoras</t>
        </is>
      </c>
      <c r="C51" s="57" t="inlineStr">
        <is>
          <t>% área</t>
        </is>
      </c>
      <c r="D51" s="57" t="inlineStr"/>
      <c r="E51" s="57" t="inlineStr"/>
      <c r="F51" s="57" t="inlineStr">
        <is>
          <t>&lt;5% bueno; 5-20% medio; &gt;20% alto</t>
        </is>
      </c>
      <c r="G51" s="57" t="inlineStr"/>
    </row>
    <row r="52">
      <c r="A52" s="56" t="inlineStr">
        <is>
          <t>5</t>
        </is>
      </c>
      <c r="B52" s="56" t="inlineStr">
        <is>
          <t>Carga ganadera estimada</t>
        </is>
      </c>
      <c r="C52" s="56" t="inlineStr">
        <is>
          <t>UA/ha</t>
        </is>
      </c>
      <c r="D52" s="56" t="inlineStr">
        <is>
          <t>3</t>
        </is>
      </c>
      <c r="E52" s="56" t="inlineStr">
        <is>
          <t>Estimación de carga de pastoreo</t>
        </is>
      </c>
      <c r="F52" s="56" t="inlineStr">
        <is>
          <t>Según tipo de ecosistema</t>
        </is>
      </c>
      <c r="G52" s="56" t="inlineStr">
        <is>
          <t>Bajo</t>
        </is>
      </c>
    </row>
    <row r="53">
      <c r="A53" s="57" t="inlineStr">
        <is>
          <t>6</t>
        </is>
      </c>
      <c r="B53" s="57" t="inlineStr">
        <is>
          <t>Frecuencia de quemas últimos 5 años</t>
        </is>
      </c>
      <c r="C53" s="57" t="inlineStr">
        <is>
          <t>N°</t>
        </is>
      </c>
      <c r="D53" s="57" t="inlineStr"/>
      <c r="E53" s="57" t="inlineStr"/>
      <c r="F53" s="57" t="inlineStr">
        <is>
          <t>0 nulo; 1-2 medio; &gt;2 alto</t>
        </is>
      </c>
      <c r="G53" s="57" t="inlineStr"/>
    </row>
    <row r="54">
      <c r="A54" s="56" t="inlineStr">
        <is>
          <t>7</t>
        </is>
      </c>
      <c r="B54" s="56" t="inlineStr">
        <is>
          <t>% área con pendiente &gt;50%</t>
        </is>
      </c>
      <c r="C54" s="56" t="inlineStr">
        <is>
          <t>%</t>
        </is>
      </c>
      <c r="D54" s="56" t="inlineStr"/>
      <c r="E54" s="56" t="inlineStr"/>
      <c r="F54" s="56" t="inlineStr">
        <is>
          <t>Factor de susceptibilidad</t>
        </is>
      </c>
      <c r="G54" s="56" t="inlineStr"/>
    </row>
    <row r="55">
      <c r="A55" s="57" t="inlineStr">
        <is>
          <t>8</t>
        </is>
      </c>
      <c r="B55" s="57" t="inlineStr">
        <is>
          <t>Distancia a vía vecinal más cercana</t>
        </is>
      </c>
      <c r="C55" s="57" t="inlineStr">
        <is>
          <t>m</t>
        </is>
      </c>
      <c r="D55" s="57" t="inlineStr">
        <is>
          <t>10</t>
        </is>
      </c>
      <c r="E55" s="57" t="inlineStr">
        <is>
          <t>Vía nacional asfaltada colindante</t>
        </is>
      </c>
      <c r="F55" s="57" t="inlineStr">
        <is>
          <t>A menor distancia → mayor presión</t>
        </is>
      </c>
      <c r="G55" s="57" t="inlineStr">
        <is>
          <t>Medio</t>
        </is>
      </c>
    </row>
    <row r="57">
      <c r="A57" s="54" t="inlineStr">
        <is>
          <t>F-DT-05 · FUENTES DE AGUA INVENTARIADAS</t>
        </is>
      </c>
    </row>
    <row r="58">
      <c r="A58" s="55" t="inlineStr">
        <is>
          <t>N.o</t>
        </is>
      </c>
      <c r="B58" s="55" t="inlineStr">
        <is>
          <t>Tipo de fuente</t>
        </is>
      </c>
      <c r="C58" s="55" t="inlineStr">
        <is>
          <t>UTM ESTE</t>
        </is>
      </c>
      <c r="D58" s="55" t="inlineStr">
        <is>
          <t>UTM NORTE</t>
        </is>
      </c>
      <c r="E58" s="55" t="inlineStr">
        <is>
          <t>Régimen</t>
        </is>
      </c>
      <c r="F58" s="55" t="inlineStr">
        <is>
          <t>Calidad</t>
        </is>
      </c>
      <c r="G58" s="55" t="inlineStr">
        <is>
          <t>Distancia (m)</t>
        </is>
      </c>
      <c r="H58" s="55" t="inlineStr">
        <is>
          <t>Uso / observación</t>
        </is>
      </c>
    </row>
    <row r="61">
      <c r="A61" s="54" t="inlineStr">
        <is>
          <t>OBSERVACIONES DEL EVALUADOR POR FICHA</t>
        </is>
      </c>
    </row>
    <row r="62">
      <c r="A62" s="55" t="inlineStr">
        <is>
          <t>Ficha</t>
        </is>
      </c>
      <c r="B62" s="55" t="inlineStr">
        <is>
          <t>Observación registrada en campo</t>
        </is>
      </c>
    </row>
    <row r="63">
      <c r="A63" s="56" t="inlineStr">
        <is>
          <t>F-DT-01</t>
        </is>
      </c>
      <c r="B63" s="56" t="inlineStr">
        <is>
          <t>Registro de campo (21-05-2026, 11:35–12:15 h, Ing. Juan Carlos Domínguez Varas): el acceso es por la vía nacional asfaltada Buenos Aires – Serrán, cruzando los centros poblados de Palo Blanco, El Cerezo y La Alberca. El bloque se ubica al pie de la vía asfaltada y se prolonga paralelamente por esta. La ladera tiene una pendiente menor al 50%, con QUEBRADAS QUE DESFOGAN EL AGUA COLECTADA EN LA COLINA HACIA LA VÍA Y LOS CENTROS POBLADOS para terminar en el río Serrán, lo que genera preocupación en la población durante la temporada de lluvias. No se evidenció presencia de afloramientos rocosos y existe poca piedra sobre el terreno. Las áreas más próximas a los centros poblados y a la vía se encuentran MÁS ALTERADAS en comparación con el área más próxima al ÁREA DE CONSERVACIÓN REGIONAL SALITRAL – HUARMACA, colindante al bloque. Sin escarpes activos, reptación, deslizamientos antiguos ni remociones en masa activas. || GABINETE (DEM): rango altitudinal 204–362 msnm; pendiente promedio del bloque 14.01% (clase 8–15%). El rango de campo (25–50%) corresponde al recorrido efectivo sobre la ladera. || INCONSISTENCIA DE REGISTRO: en el aplicativo, la coordenada UTM Este del punto de muestreo figura como 645 575 m —fuera del ámbito del bloque (centroide E 631 438 / N 9 403 547)— y la coordenada Norte no fue registrada. NO SE CONSIGNAN; POR VERIFICAR con el GPS de brigada. || ADVERTENCIA SOBRE VERSIONES DE FICHA: existe una segunda exportación del aplicativo para M7B2 (generada el 28-06-2026) con datos divergentes y erróneos — superficie de ecosistema de 514.36 ha (que corresponde al bloque M6B2-1), paisaje referido a la quebrada Q9566 de la microcuenca C1077 (que corresponde a M6B2), estado 'Medianamente alterado' y la anotación 'no se pudo acceder al interior del bloque'. El presente diagnóstico se sustenta en la ficha del Segundo Entregable OS 1993-2026 (generada el 14-06-2026), internamente consistente con el catálogo y con el levantamiento completo. Se recomienda depurar el registro duplicado en el aplicativo. || PARÁMETROS GEOESPACIALES DEL BLOQUE (gabinete): rango altitudinal 204–362 msnm; pendiente promedio 14.01%; MSAVI medio 2024 = 0.2877; área 115.38 ha; microcuenca C1076-Q9581; zona Z07; centroide E 631,438 / N 9,403,547 (UTM WGS84 17S).</t>
        </is>
      </c>
    </row>
    <row r="64">
      <c r="A64" s="57" t="inlineStr">
        <is>
          <t>F-DT-02</t>
        </is>
      </c>
      <c r="B64" s="57" t="inlineStr">
        <is>
          <t>Registro de campo [E2]: en el terreno no se evidenciaron cárcavas, pero sí EROSIÓN LAMINAR debida al pisoteo por sobrecarga de ganado caprino. No se registra sellamiento superficial ni raíces expuestas; sí compactación por pisoteo. No se evidencia socavamiento de cauce. La urgencia de control se clasifica como baja. || Las áreas más próximas a los centros poblados y a la vía asfaltada se encuentran más alteradas que el sector contiguo al Área de Conservación Regional Salitral – Huarmaca. || POR VERIFICAR EN CAMPO: porcentaje de erosión laminar del bloque, no estimado en el levantamiento.</t>
        </is>
      </c>
    </row>
    <row r="65">
      <c r="A65" s="56" t="inlineStr">
        <is>
          <t>F-DT-04</t>
        </is>
      </c>
      <c r="B65" s="56" t="inlineStr">
        <is>
          <t>Registro de campo [E2]: el bloque presenta zonas de pastoreo de cabras en la parte media de la ladera. El sobrepastoreo caprino se registró con intensidad FUERTE sobre el 25% del bloque y 20 años de antigüedad, siendo la presión dominante; la tala para leña y el cambio de uso a pastoreo se registraron con intensidad ligera. || VACÍOS DEL LEVANTAMIENTO: los indicadores 3 (densidad de cárcavas), 4 (especies invasoras), 6 (frecuencia de quemas) y 7 (% área con pendiente &gt;50%) NO fueron valorados y quedan vacíos. POR COMPLETAR. || OBSERVACIÓN TÉCNICA SESDI: la síntesis califica la degradación como lenta, totalmente reversible y de urgencia baja, lo que resulta difícil de conciliar con una intensidad FUERTE de sobrepastoreo sobre el 25% del bloque, un 15% de suelo desnudo y el MSAVI más bajo del paquete (0.2877). Se recomienda revisar la calificación de urgencia antes de emplearla como criterio de priorización de la cartera. || El indicador 1 (cobertura vegetal total 80%) fue calificado con nivel 'Alto'; según el umbral de la ficha (&gt;60% = bueno) correspondería nivel 'Bajo' de degradación. Misma observación formulada para M9B1.</t>
        </is>
      </c>
    </row>
    <row r="66">
      <c r="A66" s="57" t="inlineStr">
        <is>
          <t>F-DT-05</t>
        </is>
      </c>
      <c r="B66" s="57" t="inlineStr">
        <is>
          <t>Registro de campo [E2]: las quebradas que discurren del bloque estaban secas debido a que la evaluación se realizó en época seca. Por el bloque discurren varias quebradas de RÉGIMEN ESTACIONAL que recolectan el agua de lluvia de la parte alta de la colina y la desfogan hacia la vía asfaltada (carretera Buenos Aires – Serrán) y los centros poblados (Palo Blanco, El Cerezo, La Alberca), para finalmente terminar en el río Serrán, LO QUE GENERA PREOCUPACIÓN EN LA POBLACIÓN DURANTE LA TEMPORADA DE LLUVIAS. No se identificaron zonas de recarga hídrica, humedad persistente ni escorrentía concentrada al momento de la visita, ni interferencia con sistemas de riego. Distancia a la captación poblacional más cercana: 1 000 m. || Las quebradas no fueron inventariadas individualmente: las 10 filas del inventario quedan vacías. POR COMPLETAR con levantamiento georreferenciado en época de lluvias; es la información de mayor valor para el dimensionamiento de las medidas en este bloque. || El bloque REQUIERE AUTORIZACIÓN DE RONDA CAMPESINA; el nombre y contacto del responsable NO fueron consignados: POR VERIFICAR, es condición habilitante para el ingreso. || El bloque colinda con el Área de Conservación Regional Salitral – Huarmaca, lo que requiere coordinación con la autoridad regional competente.</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M7B2</t>
        </is>
      </c>
    </row>
    <row r="7">
      <c r="A7" s="54" t="inlineStr">
        <is>
          <t>Hechos declarados por fuente</t>
        </is>
      </c>
    </row>
    <row r="8">
      <c r="A8" s="55" t="inlineStr">
        <is>
          <t>Fuente</t>
        </is>
      </c>
      <c r="B8" s="55" t="inlineStr">
        <is>
          <t>Hechos</t>
        </is>
      </c>
    </row>
    <row r="9">
      <c r="A9" s="56" t="inlineStr">
        <is>
          <t>Dato de campo</t>
        </is>
      </c>
      <c r="B9" s="56" t="n">
        <v>65</v>
      </c>
    </row>
    <row r="10">
      <c r="A10" s="57" t="inlineStr">
        <is>
          <t>Gabinete (GIS / teledetección)</t>
        </is>
      </c>
      <c r="B10" s="57" t="n">
        <v>22</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95</v>
      </c>
    </row>
    <row r="31">
      <c r="A31" s="57" t="inlineStr">
        <is>
          <t>COMPLEMENTADO</t>
        </is>
      </c>
      <c r="B31" s="57" t="n">
        <v>1</v>
      </c>
    </row>
    <row r="32">
      <c r="A32" s="56" t="inlineStr">
        <is>
          <t>ACTUALIZADO</t>
        </is>
      </c>
      <c r="B32" s="56" t="n">
        <v>5</v>
      </c>
    </row>
    <row r="33">
      <c r="A33" s="57" t="inlineStr">
        <is>
          <t>DISCREPANTE</t>
        </is>
      </c>
      <c r="B33" s="57" t="n">
        <v>0</v>
      </c>
    </row>
    <row r="34">
      <c r="A34" s="56" t="inlineStr">
        <is>
          <t>PENDIENTE</t>
        </is>
      </c>
      <c r="B34" s="56" t="n">
        <v>13</v>
      </c>
    </row>
    <row r="51">
      <c r="A51" s="54" t="inlineStr">
        <is>
          <t>Cobertura por estrato — campo (%)</t>
        </is>
      </c>
    </row>
    <row r="52">
      <c r="A52" s="55" t="inlineStr">
        <is>
          <t>Estrato</t>
        </is>
      </c>
      <c r="B52" s="55" t="inlineStr">
        <is>
          <t>% del área</t>
        </is>
      </c>
    </row>
    <row r="53">
      <c r="A53" s="56" t="inlineStr">
        <is>
          <t>Dosel</t>
        </is>
      </c>
      <c r="B53" s="61" t="n">
        <v>70</v>
      </c>
    </row>
    <row r="54">
      <c r="A54" s="57" t="inlineStr">
        <is>
          <t>Herbácea</t>
        </is>
      </c>
      <c r="B54" s="63" t="n">
        <v>20</v>
      </c>
    </row>
    <row r="55">
      <c r="A55" s="56" t="inlineStr">
        <is>
          <t>Suelo desnudo</t>
        </is>
      </c>
      <c r="B55" s="61" t="n">
        <v>15</v>
      </c>
    </row>
    <row r="72">
      <c r="A72" s="54" t="inlineStr">
        <is>
          <t>Causas activas de degradación (F-DT-04)</t>
        </is>
      </c>
    </row>
    <row r="73">
      <c r="A73" s="55" t="inlineStr">
        <is>
          <t>Causa</t>
        </is>
      </c>
      <c r="B73" s="55" t="inlineStr">
        <is>
          <t>Intensidad (1 ligera - 4 muy fuerte)</t>
        </is>
      </c>
    </row>
    <row r="74">
      <c r="A74" s="56" t="inlineStr">
        <is>
          <t>Sobrepastoreo (caprino/vacuno)</t>
        </is>
      </c>
      <c r="B74" s="56" t="n">
        <v>3</v>
      </c>
    </row>
    <row r="75">
      <c r="A75" s="57" t="inlineStr">
        <is>
          <t>Cambio de uso a pastoreo</t>
        </is>
      </c>
      <c r="B75" s="57" t="n">
        <v>1</v>
      </c>
    </row>
    <row r="76">
      <c r="A76" s="56" t="inlineStr">
        <is>
          <t>Tala para leña</t>
        </is>
      </c>
      <c r="B76" s="56" t="n">
        <v>1</v>
      </c>
    </row>
    <row r="93">
      <c r="A93" s="54" t="inlineStr">
        <is>
          <t>Control de consistencia por calificación</t>
        </is>
      </c>
    </row>
    <row r="94">
      <c r="A94" s="55" t="inlineStr">
        <is>
          <t>Calificación</t>
        </is>
      </c>
      <c r="B94" s="55" t="inlineStr">
        <is>
          <t>Verificaciones</t>
        </is>
      </c>
    </row>
    <row r="95">
      <c r="A95" s="56" t="inlineStr">
        <is>
          <t>SUSTANTIVA</t>
        </is>
      </c>
      <c r="B95" s="56" t="n">
        <v>8</v>
      </c>
    </row>
    <row r="96">
      <c r="A96" s="57" t="inlineStr">
        <is>
          <t>NO SUSTANTIVA</t>
        </is>
      </c>
      <c r="B96" s="57" t="n">
        <v>1</v>
      </c>
    </row>
    <row r="97">
      <c r="A97" s="56" t="inlineStr">
        <is>
          <t>CORREGIDO</t>
        </is>
      </c>
      <c r="B97" s="56" t="n">
        <v>6</v>
      </c>
    </row>
    <row r="98">
      <c r="A98" s="57" t="inlineStr">
        <is>
          <t>CONFORME</t>
        </is>
      </c>
      <c r="B98"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M7B2 — IN Piura</dc:title>
  <dc:subject>Diagnóstico Territorial por bloque de intervención</dc:subject>
  <dcterms:created xsi:type="dcterms:W3CDTF">2026-09-08T03:39:59Z</dcterms:created>
  <dcterms:modified xsi:type="dcterms:W3CDTF">2026-09-11T20:22:40Z</dcterms:modified>
</cp:coreProperties>
</file>