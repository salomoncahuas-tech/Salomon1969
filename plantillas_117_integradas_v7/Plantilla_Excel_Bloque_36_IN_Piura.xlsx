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sumen" sheetId="1" state="visible" r:id="rId1"/>
    <sheet name="Cobertura MSAVI-NDVI" sheetId="2" state="visible" r:id="rId2"/>
    <sheet name="Estaciones fotográficas" sheetId="3" state="visible" r:id="rId3"/>
    <sheet name="Microcuenca" sheetId="4" state="visible" r:id="rId4"/>
    <sheet name="Control de consistencia" sheetId="5" state="visible" r:id="rId5"/>
    <sheet name="Integración de campo" sheetId="6" state="visible" r:id="rId6"/>
    <sheet name="Registro de campo F-DT" sheetId="7" state="visible" r:id="rId7"/>
    <sheet name="Gráficos de integración" sheetId="8" state="visible" r:id="rId8"/>
  </sheets>
  <definedNames/>
  <calcPr calcId="124519" fullCalcOnLoad="1"/>
</workbook>
</file>

<file path=xl/styles.xml><?xml version="1.0" encoding="utf-8"?>
<styleSheet xmlns="http://schemas.openxmlformats.org/spreadsheetml/2006/main">
  <numFmts count="3">
    <numFmt numFmtId="164" formatCode="0.0000"/>
    <numFmt numFmtId="165" formatCode="0.000"/>
    <numFmt numFmtId="166" formatCode="#,##0.0000"/>
  </numFmts>
  <fonts count="14">
    <font>
      <name val="Calibri"/>
      <family val="2"/>
      <color theme="1"/>
      <sz val="11"/>
      <scheme val="minor"/>
    </font>
    <font>
      <name val="Arial"/>
      <b val="1"/>
      <color rgb="00FFFFFF"/>
      <sz val="10"/>
    </font>
    <font>
      <name val="Arial"/>
      <color rgb="00FFFFFF"/>
      <sz val="8"/>
    </font>
    <font>
      <name val="Arial"/>
      <b val="1"/>
      <color rgb="001B4D2E"/>
      <sz val="12"/>
    </font>
    <font>
      <name val="Arial"/>
      <i val="1"/>
      <color rgb="00555555"/>
      <sz val="8"/>
    </font>
    <font>
      <name val="Arial"/>
      <b val="1"/>
      <sz val="9"/>
    </font>
    <font>
      <name val="Arial"/>
      <sz val="9"/>
    </font>
    <font>
      <name val="Arial"/>
      <i val="1"/>
      <color rgb="00333333"/>
      <sz val="8"/>
    </font>
    <font>
      <name val="Arial"/>
      <b val="1"/>
      <color rgb="00FFFFFF"/>
      <sz val="9"/>
    </font>
    <font>
      <name val="Arial"/>
      <b val="1"/>
      <color rgb="001B4D2E"/>
      <sz val="9"/>
    </font>
    <font>
      <name val="Arial"/>
      <i val="1"/>
      <sz val="8"/>
    </font>
    <font>
      <name val="Arial"/>
      <b val="1"/>
      <color rgb="00FFFFFF"/>
      <sz val="12"/>
    </font>
    <font>
      <name val="Arial"/>
      <b val="1"/>
      <color rgb="001B4F72"/>
      <sz val="10"/>
    </font>
    <font>
      <name val="Arial"/>
      <i val="1"/>
      <sz val="7.5"/>
    </font>
  </fonts>
  <fills count="9">
    <fill>
      <patternFill/>
    </fill>
    <fill>
      <patternFill patternType="gray125"/>
    </fill>
    <fill>
      <patternFill patternType="solid">
        <fgColor rgb="001B4D2E"/>
      </patternFill>
    </fill>
    <fill>
      <patternFill patternType="solid">
        <fgColor rgb="001B4F72"/>
      </patternFill>
    </fill>
    <fill>
      <patternFill patternType="solid">
        <fgColor rgb="00E8F0EA"/>
      </patternFill>
    </fill>
    <fill>
      <patternFill patternType="solid">
        <fgColor rgb="00F2F2F2"/>
      </patternFill>
    </fill>
    <fill>
      <patternFill patternType="solid">
        <fgColor rgb="00FFF2CC"/>
      </patternFill>
    </fill>
    <fill>
      <patternFill patternType="solid">
        <fgColor rgb="00D9E1F2"/>
      </patternFill>
    </fill>
    <fill>
      <patternFill patternType="solid">
        <fgColor rgb="00F8CBAD"/>
      </patternFill>
    </fill>
  </fills>
  <borders count="8">
    <border>
      <left/>
      <right/>
      <top/>
      <bottom/>
      <diagonal/>
    </border>
    <border>
      <left style="thin">
        <color rgb="009C9C9C"/>
      </left>
      <right style="thin">
        <color rgb="009C9C9C"/>
      </right>
      <top style="thin">
        <color rgb="009C9C9C"/>
      </top>
      <bottom style="thin">
        <color rgb="009C9C9C"/>
      </bottom>
    </border>
    <border>
      <left/>
      <right/>
      <top style="thin">
        <color rgb="009C9C9C"/>
      </top>
      <bottom/>
      <diagonal/>
    </border>
    <border>
      <left/>
      <right style="thin">
        <color rgb="009C9C9C"/>
      </right>
      <top style="thin">
        <color rgb="009C9C9C"/>
      </top>
      <bottom/>
      <diagonal/>
    </border>
    <border>
      <left/>
      <right/>
      <top style="thin">
        <color rgb="009C9C9C"/>
      </top>
      <bottom style="thin">
        <color rgb="009C9C9C"/>
      </bottom>
      <diagonal/>
    </border>
    <border>
      <left/>
      <right style="thin">
        <color rgb="009C9C9C"/>
      </right>
      <top style="thin">
        <color rgb="009C9C9C"/>
      </top>
      <bottom style="thin">
        <color rgb="009C9C9C"/>
      </bottom>
      <diagonal/>
    </border>
    <border>
      <left style="thin">
        <color rgb="00B7C4BA"/>
      </left>
      <right style="thin">
        <color rgb="00B7C4BA"/>
      </right>
      <top style="thin">
        <color rgb="00B7C4BA"/>
      </top>
      <bottom style="thin">
        <color rgb="00B7C4BA"/>
      </bottom>
    </border>
    <border>
      <left style="thin">
        <color rgb="00BFBFBF"/>
      </left>
      <right style="thin">
        <color rgb="00BFBFBF"/>
      </right>
      <top style="thin">
        <color rgb="00BFBFBF"/>
      </top>
      <bottom style="thin">
        <color rgb="00BFBFBF"/>
      </bottom>
    </border>
  </borders>
  <cellStyleXfs count="1">
    <xf numFmtId="0" fontId="0" fillId="0" borderId="0"/>
  </cellStyleXfs>
  <cellXfs count="64">
    <xf numFmtId="0" fontId="0" fillId="0" borderId="0" pivotButton="0" quotePrefix="0" xfId="0"/>
    <xf numFmtId="0" fontId="1" fillId="2" borderId="0" applyAlignment="1" pivotButton="0" quotePrefix="0" xfId="0">
      <alignment horizontal="center" vertical="center" wrapText="1"/>
    </xf>
    <xf numFmtId="0" fontId="2" fillId="3" borderId="0" applyAlignment="1" pivotButton="0" quotePrefix="0" xfId="0">
      <alignment horizontal="center" vertical="center" wrapText="1"/>
    </xf>
    <xf numFmtId="0" fontId="3" fillId="4" borderId="0" applyAlignment="1" pivotButton="0" quotePrefix="0" xfId="0">
      <alignment horizontal="center" vertical="center"/>
    </xf>
    <xf numFmtId="0" fontId="4" fillId="0" borderId="0" applyAlignment="1" pivotButton="0" quotePrefix="0" xfId="0">
      <alignment horizontal="center" vertical="center" wrapText="1"/>
    </xf>
    <xf numFmtId="0" fontId="1" fillId="2" borderId="0" applyAlignment="1" pivotButton="0" quotePrefix="0" xfId="0">
      <alignment horizontal="left" vertical="center" indent="1"/>
    </xf>
    <xf numFmtId="0" fontId="5" fillId="5" borderId="1" applyAlignment="1" pivotButton="0" quotePrefix="0" xfId="0">
      <alignment horizontal="left" vertical="center" wrapText="1" indent="1"/>
    </xf>
    <xf numFmtId="0" fontId="6" fillId="0" borderId="1" applyAlignment="1" pivotButton="0" quotePrefix="0" xfId="0">
      <alignment horizontal="left" vertical="center" wrapText="1" indent="1"/>
    </xf>
    <xf numFmtId="0" fontId="0" fillId="0" borderId="1" pivotButton="0" quotePrefix="0" xfId="0"/>
    <xf numFmtId="0" fontId="7" fillId="0" borderId="1" applyAlignment="1" pivotButton="0" quotePrefix="0" xfId="0">
      <alignment horizontal="justify" vertical="top" wrapText="1"/>
    </xf>
    <xf numFmtId="0" fontId="8" fillId="2" borderId="1" applyAlignment="1" pivotButton="0" quotePrefix="0" xfId="0">
      <alignment horizontal="center" vertical="center" wrapText="1"/>
    </xf>
    <xf numFmtId="0" fontId="6" fillId="0" borderId="1" applyAlignment="1" pivotButton="0" quotePrefix="0" xfId="0">
      <alignment horizontal="center" vertical="center" wrapText="1"/>
    </xf>
    <xf numFmtId="0" fontId="5" fillId="6" borderId="1" applyAlignment="1" pivotButton="0" quotePrefix="0" xfId="0">
      <alignment horizontal="left" vertical="center" wrapText="1" indent="1"/>
    </xf>
    <xf numFmtId="0" fontId="5" fillId="6" borderId="1" applyAlignment="1" pivotButton="0" quotePrefix="0" xfId="0">
      <alignment horizontal="center" vertical="center" wrapText="1"/>
    </xf>
    <xf numFmtId="0" fontId="6" fillId="4" borderId="1" applyAlignment="1" pivotButton="0" quotePrefix="0" xfId="0">
      <alignment horizontal="left" vertical="center" wrapText="1" indent="1"/>
    </xf>
    <xf numFmtId="0" fontId="6" fillId="4" borderId="1" applyAlignment="1" pivotButton="0" quotePrefix="0" xfId="0">
      <alignment horizontal="center" vertical="center" wrapText="1"/>
    </xf>
    <xf numFmtId="0" fontId="5" fillId="4" borderId="1" applyAlignment="1" pivotButton="0" quotePrefix="0" xfId="0">
      <alignment horizontal="left" vertical="center" wrapText="1" indent="1"/>
    </xf>
    <xf numFmtId="0" fontId="5" fillId="4" borderId="1" applyAlignment="1" pivotButton="0" quotePrefix="0" xfId="0">
      <alignment horizontal="center" vertical="center" wrapText="1"/>
    </xf>
    <xf numFmtId="164" fontId="6" fillId="0" borderId="1" applyAlignment="1" pivotButton="0" quotePrefix="0" xfId="0">
      <alignment horizontal="center" vertical="center" wrapText="1"/>
    </xf>
    <xf numFmtId="2" fontId="6" fillId="0" borderId="1" applyAlignment="1" pivotButton="0" quotePrefix="0" xfId="0">
      <alignment horizontal="center" vertical="center" wrapText="1"/>
    </xf>
    <xf numFmtId="164" fontId="6" fillId="4" borderId="1" applyAlignment="1" pivotButton="0" quotePrefix="0" xfId="0">
      <alignment horizontal="center" vertical="center" wrapText="1"/>
    </xf>
    <xf numFmtId="2" fontId="6" fillId="4" borderId="1" applyAlignment="1" pivotButton="0" quotePrefix="0" xfId="0">
      <alignment horizontal="center" vertical="center" wrapText="1"/>
    </xf>
    <xf numFmtId="164" fontId="5" fillId="4" borderId="1" applyAlignment="1" pivotButton="0" quotePrefix="0" xfId="0">
      <alignment horizontal="center" vertical="center" wrapText="1"/>
    </xf>
    <xf numFmtId="2" fontId="5" fillId="4" borderId="1" applyAlignment="1" pivotButton="0" quotePrefix="0" xfId="0">
      <alignment horizontal="center" vertical="center" wrapText="1"/>
    </xf>
    <xf numFmtId="0" fontId="5" fillId="0" borderId="1" applyAlignment="1" pivotButton="0" quotePrefix="0" xfId="0">
      <alignment horizontal="left" vertical="center" wrapText="1" indent="1"/>
    </xf>
    <xf numFmtId="0" fontId="5" fillId="0" borderId="1" applyAlignment="1" pivotButton="0" quotePrefix="0" xfId="0">
      <alignment horizontal="center" vertical="center" wrapText="1"/>
    </xf>
    <xf numFmtId="3" fontId="6" fillId="0" borderId="1" applyAlignment="1" pivotButton="0" quotePrefix="0" xfId="0">
      <alignment horizontal="center" vertical="center" wrapText="1"/>
    </xf>
    <xf numFmtId="3" fontId="6" fillId="4" borderId="1" applyAlignment="1" pivotButton="0" quotePrefix="0" xfId="0">
      <alignment horizontal="center" vertical="center" wrapText="1"/>
    </xf>
    <xf numFmtId="165" fontId="6" fillId="0" borderId="1" applyAlignment="1" pivotButton="0" quotePrefix="0" xfId="0">
      <alignment horizontal="center" vertical="center" wrapText="1"/>
    </xf>
    <xf numFmtId="165" fontId="6" fillId="4" borderId="1" applyAlignment="1" pivotButton="0" quotePrefix="0" xfId="0">
      <alignment horizontal="center" vertical="center" wrapText="1"/>
    </xf>
    <xf numFmtId="165" fontId="5" fillId="6" borderId="1" applyAlignment="1" pivotButton="0" quotePrefix="0" xfId="0">
      <alignment horizontal="center" vertical="center" wrapText="1"/>
    </xf>
    <xf numFmtId="2" fontId="5" fillId="6" borderId="1" applyAlignment="1" pivotButton="0" quotePrefix="0" xfId="0">
      <alignment horizontal="center" vertical="center" wrapText="1"/>
    </xf>
    <xf numFmtId="164" fontId="5" fillId="6" borderId="1" applyAlignment="1" pivotButton="0" quotePrefix="0" xfId="0">
      <alignment horizontal="center" vertical="center" wrapText="1"/>
    </xf>
    <xf numFmtId="165" fontId="5" fillId="4" borderId="1" applyAlignment="1" pivotButton="0" quotePrefix="0" xfId="0">
      <alignment horizontal="center" vertical="center" wrapText="1"/>
    </xf>
    <xf numFmtId="0" fontId="6" fillId="0" borderId="1" applyAlignment="1" pivotButton="0" quotePrefix="0" xfId="0">
      <alignment horizontal="left" vertical="top" wrapText="1" indent="1"/>
    </xf>
    <xf numFmtId="0" fontId="5" fillId="7" borderId="1" applyAlignment="1" pivotButton="0" quotePrefix="0" xfId="0">
      <alignment horizontal="center" vertical="center" wrapText="1"/>
    </xf>
    <xf numFmtId="0" fontId="6" fillId="4" borderId="1" applyAlignment="1" pivotButton="0" quotePrefix="0" xfId="0">
      <alignment horizontal="left" vertical="top" wrapText="1" indent="1"/>
    </xf>
    <xf numFmtId="0" fontId="5" fillId="8" borderId="1" applyAlignment="1" pivotButton="0" quotePrefix="0" xfId="0">
      <alignment horizontal="center" vertical="center" wrapText="1"/>
    </xf>
    <xf numFmtId="165" fontId="6" fillId="0" borderId="1" applyAlignment="1" pivotButton="0" quotePrefix="0" xfId="0">
      <alignment horizontal="left" vertical="center" wrapText="1" indent="1"/>
    </xf>
    <xf numFmtId="2" fontId="6" fillId="0" borderId="1" applyAlignment="1" pivotButton="0" quotePrefix="0" xfId="0">
      <alignment horizontal="left" vertical="center" wrapText="1" indent="1"/>
    </xf>
    <xf numFmtId="1" fontId="6" fillId="0" borderId="1" applyAlignment="1" pivotButton="0" quotePrefix="0" xfId="0">
      <alignment horizontal="left" vertical="center" wrapText="1" indent="1"/>
    </xf>
    <xf numFmtId="0" fontId="0" fillId="0" borderId="4" pivotButton="0" quotePrefix="0" xfId="0"/>
    <xf numFmtId="0" fontId="0" fillId="0" borderId="5" pivotButton="0" quotePrefix="0" xfId="0"/>
    <xf numFmtId="0" fontId="5" fillId="4" borderId="6" applyAlignment="1" pivotButton="0" quotePrefix="0" xfId="0">
      <alignment horizontal="left" vertical="center" wrapText="1"/>
    </xf>
    <xf numFmtId="164" fontId="5" fillId="4" borderId="6" applyAlignment="1" pivotButton="0" quotePrefix="0" xfId="0">
      <alignment horizontal="center" vertical="center" wrapText="1"/>
    </xf>
    <xf numFmtId="2" fontId="5" fillId="4" borderId="6" applyAlignment="1" pivotButton="0" quotePrefix="0" xfId="0">
      <alignment horizontal="center" vertical="center" wrapText="1"/>
    </xf>
    <xf numFmtId="0" fontId="6" fillId="0" borderId="6" applyAlignment="1" pivotButton="0" quotePrefix="0" xfId="0">
      <alignment horizontal="left" vertical="center" wrapText="1"/>
    </xf>
    <xf numFmtId="164" fontId="6" fillId="0" borderId="6" applyAlignment="1" pivotButton="0" quotePrefix="0" xfId="0">
      <alignment horizontal="center" vertical="center" wrapText="1"/>
    </xf>
    <xf numFmtId="2" fontId="6" fillId="0" borderId="6" applyAlignment="1" pivotButton="0" quotePrefix="0" xfId="0">
      <alignment horizontal="center" vertical="center" wrapText="1"/>
    </xf>
    <xf numFmtId="0" fontId="6" fillId="0" borderId="6" applyAlignment="1" pivotButton="0" quotePrefix="0" xfId="0">
      <alignment horizontal="center" vertical="center" wrapText="1"/>
    </xf>
    <xf numFmtId="0" fontId="6" fillId="0" borderId="1" applyAlignment="1" pivotButton="0" quotePrefix="0" xfId="0">
      <alignment vertical="top" wrapText="1"/>
    </xf>
    <xf numFmtId="0" fontId="9" fillId="0" borderId="0" pivotButton="0" quotePrefix="0" xfId="0"/>
    <xf numFmtId="0" fontId="10" fillId="0" borderId="0" pivotButton="0" quotePrefix="0" xfId="0"/>
    <xf numFmtId="0" fontId="11" fillId="2" borderId="0" applyAlignment="1" pivotButton="0" quotePrefix="0" xfId="0">
      <alignment horizontal="center" vertical="center"/>
    </xf>
    <xf numFmtId="0" fontId="12" fillId="0" borderId="0" pivotButton="0" quotePrefix="0" xfId="0"/>
    <xf numFmtId="0" fontId="8" fillId="2" borderId="7" applyAlignment="1" pivotButton="0" quotePrefix="0" xfId="0">
      <alignment horizontal="center" wrapText="1"/>
    </xf>
    <xf numFmtId="0" fontId="6" fillId="0" borderId="7" pivotButton="0" quotePrefix="0" xfId="0"/>
    <xf numFmtId="0" fontId="6" fillId="5" borderId="7" pivotButton="0" quotePrefix="0" xfId="0"/>
    <xf numFmtId="0" fontId="5" fillId="0" borderId="0" pivotButton="0" quotePrefix="0" xfId="0"/>
    <xf numFmtId="0" fontId="6" fillId="0" borderId="0" pivotButton="0" quotePrefix="0" xfId="0"/>
    <xf numFmtId="0" fontId="13" fillId="0" borderId="0" applyAlignment="1" pivotButton="0" quotePrefix="0" xfId="0">
      <alignment vertical="top" wrapText="1"/>
    </xf>
    <xf numFmtId="4" fontId="6" fillId="0" borderId="7" pivotButton="0" quotePrefix="0" xfId="0"/>
    <xf numFmtId="166" fontId="6" fillId="0" borderId="7" pivotButton="0" quotePrefix="0" xfId="0"/>
    <xf numFmtId="4" fontId="6" fillId="5" borderId="7"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charts/chart1.xml><?xml version="1.0" encoding="utf-8"?>
<chartSpace xmlns:a="http://schemas.openxmlformats.org/drawingml/2006/main" xmlns="http://schemas.openxmlformats.org/drawingml/2006/chart">
  <chart>
    <title>
      <tx>
        <rich>
          <a:bodyPr/>
          <a:p>
            <a:pPr>
              <a:defRPr/>
            </a:pPr>
            <a:r>
              <a:t>Procedencia de los hechos declarados</a:t>
            </a:r>
          </a:p>
        </rich>
      </tx>
    </title>
    <plotArea>
      <pieChart>
        <varyColors val="1"/>
        <ser>
          <idx val="0"/>
          <order val="0"/>
          <tx>
            <strRef>
              <f>'Gráficos de integración'!B8</f>
            </strRef>
          </tx>
          <spPr>
            <a:ln>
              <a:prstDash val="solid"/>
            </a:ln>
          </spPr>
          <cat>
            <numRef>
              <f>'Gráficos de integración'!$A$9:$A$11</f>
            </numRef>
          </cat>
          <val>
            <numRef>
              <f>'Gráficos de integración'!$B$9:$B$11</f>
            </numRef>
          </val>
        </ser>
        <firstSliceAng val="0"/>
      </pieChart>
    </plotArea>
    <legend>
      <legendPos val="r"/>
    </legend>
    <plotVisOnly val="1"/>
    <dispBlanksAs val="gap"/>
  </chart>
</chartSpace>
</file>

<file path=xl/charts/chart2.xml><?xml version="1.0" encoding="utf-8"?>
<chartSpace xmlns:a="http://schemas.openxmlformats.org/drawingml/2006/main" xmlns="http://schemas.openxmlformats.org/drawingml/2006/chart">
  <style val="10"/>
  <chart>
    <title>
      <tx>
        <rich>
          <a:bodyPr/>
          <a:p>
            <a:pPr>
              <a:defRPr/>
            </a:pPr>
            <a:r>
              <a:t>Estado del cruce entre fuentes</a:t>
            </a:r>
          </a:p>
        </rich>
      </tx>
    </title>
    <plotArea>
      <barChart>
        <barDir val="col"/>
        <grouping val="clustered"/>
        <ser>
          <idx val="0"/>
          <order val="0"/>
          <tx>
            <strRef>
              <f>'Gráficos de integración'!B29</f>
            </strRef>
          </tx>
          <spPr>
            <a:ln>
              <a:prstDash val="solid"/>
            </a:ln>
          </spPr>
          <cat>
            <numRef>
              <f>'Gráficos de integración'!$A$30:$A$34</f>
            </numRef>
          </cat>
          <val>
            <numRef>
              <f>'Gráficos de integración'!$B$30:$B$34</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title>
          <tx>
            <rich>
              <a:bodyPr/>
              <a:p>
                <a:pPr>
                  <a:defRPr/>
                </a:pPr>
                <a:r>
                  <a:t>Hechos</a:t>
                </a:r>
              </a:p>
            </rich>
          </tx>
        </title>
        <majorTickMark val="none"/>
        <minorTickMark val="none"/>
        <crossAx val="10"/>
      </valAx>
    </plotArea>
    <plotVisOnly val="1"/>
    <dispBlanksAs val="gap"/>
  </chart>
</chartSpace>
</file>

<file path=xl/charts/chart3.xml><?xml version="1.0" encoding="utf-8"?>
<chartSpace xmlns:a="http://schemas.openxmlformats.org/drawingml/2006/main" xmlns="http://schemas.openxmlformats.org/drawingml/2006/chart">
  <style val="10"/>
  <chart>
    <title>
      <tx>
        <rich>
          <a:bodyPr/>
          <a:p>
            <a:pPr>
              <a:defRPr/>
            </a:pPr>
            <a:r>
              <a:t>Cobertura por estrato (%)</a:t>
            </a:r>
          </a:p>
        </rich>
      </tx>
    </title>
    <plotArea>
      <barChart>
        <barDir val="col"/>
        <grouping val="clustered"/>
        <ser>
          <idx val="0"/>
          <order val="0"/>
          <tx>
            <strRef>
              <f>'Gráficos de integración'!B52</f>
            </strRef>
          </tx>
          <spPr>
            <a:ln>
              <a:prstDash val="solid"/>
            </a:ln>
          </spPr>
          <cat>
            <numRef>
              <f>'Gráficos de integración'!$A$53:$A$55</f>
            </numRef>
          </cat>
          <val>
            <numRef>
              <f>'Gráficos de integración'!$B$53:$B$55</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title>
          <tx>
            <rich>
              <a:bodyPr/>
              <a:p>
                <a:pPr>
                  <a:defRPr/>
                </a:pPr>
                <a:r>
                  <a:t>%</a:t>
                </a:r>
              </a:p>
            </rich>
          </tx>
        </title>
        <majorTickMark val="none"/>
        <minorTickMark val="none"/>
        <crossAx val="10"/>
      </valAx>
    </plotArea>
    <plotVisOnly val="1"/>
    <dispBlanksAs val="gap"/>
  </chart>
</chartSpace>
</file>

<file path=xl/charts/chart4.xml><?xml version="1.0" encoding="utf-8"?>
<chartSpace xmlns:a="http://schemas.openxmlformats.org/drawingml/2006/main" xmlns="http://schemas.openxmlformats.org/drawingml/2006/chart">
  <style val="10"/>
  <chart>
    <title>
      <tx>
        <rich>
          <a:bodyPr/>
          <a:p>
            <a:pPr>
              <a:defRPr/>
            </a:pPr>
            <a:r>
              <a:t>Causas activas por intensidad</a:t>
            </a:r>
          </a:p>
        </rich>
      </tx>
    </title>
    <plotArea>
      <barChart>
        <barDir val="col"/>
        <grouping val="clustered"/>
        <ser>
          <idx val="0"/>
          <order val="0"/>
          <tx>
            <strRef>
              <f>'Gráficos de integración'!B73</f>
            </strRef>
          </tx>
          <spPr>
            <a:ln>
              <a:prstDash val="solid"/>
            </a:ln>
          </spPr>
          <cat>
            <numRef>
              <f>'Gráficos de integración'!$A$74:$A$80</f>
            </numRef>
          </cat>
          <val>
            <numRef>
              <f>'Gráficos de integración'!$B$74:$B$80</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title>
          <tx>
            <rich>
              <a:bodyPr/>
              <a:p>
                <a:pPr>
                  <a:defRPr/>
                </a:pPr>
                <a:r>
                  <a:t>Intensidad</a:t>
                </a:r>
              </a:p>
            </rich>
          </tx>
        </title>
        <majorTickMark val="none"/>
        <minorTickMark val="none"/>
        <crossAx val="10"/>
      </valAx>
    </plotArea>
    <plotVisOnly val="1"/>
    <dispBlanksAs val="gap"/>
  </chart>
</chartSpace>
</file>

<file path=xl/charts/chart5.xml><?xml version="1.0" encoding="utf-8"?>
<chartSpace xmlns:a="http://schemas.openxmlformats.org/drawingml/2006/main" xmlns="http://schemas.openxmlformats.org/drawingml/2006/chart">
  <chart>
    <title>
      <tx>
        <rich>
          <a:bodyPr/>
          <a:p>
            <a:pPr>
              <a:defRPr/>
            </a:pPr>
            <a:r>
              <a:t>Control de consistencia</a:t>
            </a:r>
          </a:p>
        </rich>
      </tx>
    </title>
    <plotArea>
      <pieChart>
        <varyColors val="1"/>
        <ser>
          <idx val="0"/>
          <order val="0"/>
          <tx>
            <strRef>
              <f>'Gráficos de integración'!B98</f>
            </strRef>
          </tx>
          <spPr>
            <a:ln>
              <a:prstDash val="solid"/>
            </a:ln>
          </spPr>
          <cat>
            <numRef>
              <f>'Gráficos de integración'!$A$99:$A$102</f>
            </numRef>
          </cat>
          <val>
            <numRef>
              <f>'Gráficos de integración'!$B$99:$B$102</f>
            </numRef>
          </val>
        </ser>
        <firstSliceAng val="0"/>
      </pieChart>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 Type="http://schemas.openxmlformats.org/officeDocument/2006/relationships/chart" Target="/xl/charts/chart5.xml" Id="rId5"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3</col>
      <colOff>0</colOff>
      <row>7</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oneCellAnchor>
    <from>
      <col>3</col>
      <colOff>0</colOff>
      <row>28</row>
      <rowOff>0</rowOff>
    </from>
    <ext cx="5760000" cy="2880000"/>
    <graphicFrame>
      <nvGraphicFramePr>
        <cNvPr id="2" name="Chart 2"/>
        <cNvGraphicFramePr/>
      </nvGraphicFramePr>
      <xfrm/>
      <a:graphic>
        <a:graphicData uri="http://schemas.openxmlformats.org/drawingml/2006/chart">
          <c:chart r:id="rId2"/>
        </a:graphicData>
      </a:graphic>
    </graphicFrame>
    <clientData/>
  </oneCellAnchor>
  <oneCellAnchor>
    <from>
      <col>3</col>
      <colOff>0</colOff>
      <row>51</row>
      <rowOff>0</rowOff>
    </from>
    <ext cx="5760000" cy="2880000"/>
    <graphicFrame>
      <nvGraphicFramePr>
        <cNvPr id="3" name="Chart 3"/>
        <cNvGraphicFramePr/>
      </nvGraphicFramePr>
      <xfrm/>
      <a:graphic>
        <a:graphicData uri="http://schemas.openxmlformats.org/drawingml/2006/chart">
          <c:chart r:id="rId3"/>
        </a:graphicData>
      </a:graphic>
    </graphicFrame>
    <clientData/>
  </oneCellAnchor>
  <oneCellAnchor>
    <from>
      <col>3</col>
      <colOff>0</colOff>
      <row>72</row>
      <rowOff>0</rowOff>
    </from>
    <ext cx="5760000" cy="2880000"/>
    <graphicFrame>
      <nvGraphicFramePr>
        <cNvPr id="4" name="Chart 4"/>
        <cNvGraphicFramePr/>
      </nvGraphicFramePr>
      <xfrm/>
      <a:graphic>
        <a:graphicData uri="http://schemas.openxmlformats.org/drawingml/2006/chart">
          <c:chart r:id="rId4"/>
        </a:graphicData>
      </a:graphic>
    </graphicFrame>
    <clientData/>
  </oneCellAnchor>
  <oneCellAnchor>
    <from>
      <col>3</col>
      <colOff>0</colOff>
      <row>97</row>
      <rowOff>0</rowOff>
    </from>
    <ext cx="4320000" cy="2880000"/>
    <graphicFrame>
      <nvGraphicFramePr>
        <cNvPr id="5" name="Chart 5"/>
        <cNvGraphicFramePr/>
      </nvGraphicFramePr>
      <xfrm/>
      <a:graphic>
        <a:graphicData uri="http://schemas.openxmlformats.org/drawingml/2006/chart">
          <c:chart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8.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F57"/>
  <sheetViews>
    <sheetView showGridLines="0" workbookViewId="0">
      <pane ySplit="6" topLeftCell="A7" activePane="bottomLeft" state="frozen"/>
      <selection pane="bottomLeft" activeCell="A1" sqref="A1"/>
    </sheetView>
  </sheetViews>
  <sheetFormatPr baseColWidth="8" defaultRowHeight="15"/>
  <cols>
    <col width="26" customWidth="1" min="1" max="1"/>
    <col width="30" customWidth="1" min="2" max="2"/>
    <col width="26" customWidth="1" min="3" max="3"/>
    <col width="30" customWidth="1" min="4" max="4"/>
    <col width="14" customWidth="1" min="5" max="5"/>
    <col width="14" customWidth="1" min="6" max="6"/>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FICHA RESUMEN — BLOQUE PRELIMINAR DE INTERVENCIÓN 36</t>
        </is>
      </c>
    </row>
    <row r="6" ht="24" customHeight="1">
      <c r="A6" s="4" t="inlineStr">
        <is>
          <t>Diagnóstico Territorial — Plantilla DT Campo Check Validada V5 | Sistema de referencia: UTM WGS 84 Zona 17S (EPSG:32717) · Integrado con la ficha de campo F-DT vigente (DT_Campo_Bloque36_V5.xlsx) — V7 - resumen V6 + campo F-DT integrado</t>
        </is>
      </c>
    </row>
    <row r="7"/>
    <row r="8" ht="18" customHeight="1">
      <c r="A8" s="5" t="inlineStr">
        <is>
          <t>1. IDENTIFICACIÓN Y LOCALIZACIÓN</t>
        </is>
      </c>
    </row>
    <row r="9">
      <c r="A9" s="6" t="inlineStr">
        <is>
          <t>Código del bloque</t>
        </is>
      </c>
      <c r="B9" s="7" t="inlineStr">
        <is>
          <t>36</t>
        </is>
      </c>
      <c r="C9" s="6" t="inlineStr">
        <is>
          <t>Microcuenca (catálogo)</t>
        </is>
      </c>
      <c r="D9" s="7" t="inlineStr">
        <is>
          <t>C1096-Q9547</t>
        </is>
      </c>
      <c r="E9" s="8" t="n"/>
      <c r="F9" s="8" t="n"/>
    </row>
    <row r="10">
      <c r="A10" s="6" t="inlineStr">
        <is>
          <t>Zona de planificación</t>
        </is>
      </c>
      <c r="B10" s="7" t="inlineStr">
        <is>
          <t>Z02</t>
        </is>
      </c>
      <c r="C10" s="6" t="inlineStr">
        <is>
          <t>Microcuenca declarada en ficha DT</t>
        </is>
      </c>
      <c r="D10" s="7" t="inlineStr">
        <is>
          <t>C1096-Q9547</t>
        </is>
      </c>
      <c r="E10" s="8" t="n"/>
      <c r="F10" s="8" t="n"/>
    </row>
    <row r="11">
      <c r="A11" s="6" t="inlineStr">
        <is>
          <t>Departamento</t>
        </is>
      </c>
      <c r="B11" s="7" t="inlineStr">
        <is>
          <t>Piura</t>
        </is>
      </c>
      <c r="C11" s="6" t="inlineStr">
        <is>
          <t>Provincia</t>
        </is>
      </c>
      <c r="D11" s="7" t="inlineStr">
        <is>
          <t>Ayabaca</t>
        </is>
      </c>
      <c r="E11" s="8" t="n"/>
      <c r="F11" s="8" t="n"/>
    </row>
    <row r="12">
      <c r="A12" s="6" t="inlineStr">
        <is>
          <t>Distrito</t>
        </is>
      </c>
      <c r="B12" s="7" t="inlineStr">
        <is>
          <t>Frias</t>
        </is>
      </c>
      <c r="C12" s="6" t="inlineStr">
        <is>
          <t>Capital distrital</t>
        </is>
      </c>
      <c r="D12" s="7" t="inlineStr">
        <is>
          <t>Frias</t>
        </is>
      </c>
      <c r="E12" s="8" t="n"/>
      <c r="F12" s="8" t="n"/>
    </row>
    <row r="13">
      <c r="A13" s="6" t="inlineStr">
        <is>
          <t>Centro poblado asociado</t>
        </is>
      </c>
      <c r="B13" s="7" t="inlineStr">
        <is>
          <t>Guabal</t>
        </is>
      </c>
      <c r="C13" s="6" t="inlineStr">
        <is>
          <t>Comunidad campesina</t>
        </is>
      </c>
      <c r="D13" s="7" t="inlineStr">
        <is>
          <t>Por verificar</t>
        </is>
      </c>
      <c r="E13" s="8" t="n"/>
      <c r="F13" s="8" t="n"/>
    </row>
    <row r="14">
      <c r="A14" s="6" t="inlineStr">
        <is>
          <t>Superficie de catálogo (V5/V6), ha</t>
        </is>
      </c>
      <c r="B14" s="7" t="n">
        <v>24.84</v>
      </c>
      <c r="C14" s="6" t="inlineStr">
        <is>
          <t>Fuente de superficie</t>
        </is>
      </c>
      <c r="D14" s="7" t="inlineStr">
        <is>
          <t>Catálogo maestro Bloques V5/V6</t>
        </is>
      </c>
      <c r="E14" s="8" t="n"/>
      <c r="F14" s="8" t="n"/>
    </row>
    <row r="15">
      <c r="A15" s="6" t="inlineStr">
        <is>
          <t>Centroide UTM ESTE (m)</t>
        </is>
      </c>
      <c r="B15" s="7" t="n">
        <v>606468</v>
      </c>
      <c r="C15" s="6" t="inlineStr">
        <is>
          <t>Centroide UTM NORTE (m)</t>
        </is>
      </c>
      <c r="D15" s="7" t="n">
        <v>9454689</v>
      </c>
      <c r="E15" s="8" t="n"/>
      <c r="F15" s="8" t="n"/>
    </row>
    <row r="16">
      <c r="A16" s="6" t="inlineStr">
        <is>
          <t>Sistema de coordenadas</t>
        </is>
      </c>
      <c r="B16" s="7" t="inlineStr">
        <is>
          <t>UTM WGS 84 Zona 17S (EPSG:32717)</t>
        </is>
      </c>
      <c r="C16" s="6" t="inlineStr">
        <is>
          <t>Tipo de intervención</t>
        </is>
      </c>
      <c r="D16" s="7" t="inlineStr">
        <is>
          <t>Restauración</t>
        </is>
      </c>
      <c r="E16" s="8" t="n"/>
      <c r="F16" s="8" t="n"/>
    </row>
    <row r="17"/>
    <row r="18" ht="18" customHeight="1">
      <c r="A18" s="5" t="inlineStr">
        <is>
          <t>2. PARÁMETROS FÍSICOS (ESTADÍSTICA ZONAL SOBRE MDE)</t>
        </is>
      </c>
    </row>
    <row r="19">
      <c r="A19" s="6" t="inlineStr">
        <is>
          <t>Altitud mínima (msnm)</t>
        </is>
      </c>
      <c r="B19" s="7" t="n">
        <v>1239</v>
      </c>
      <c r="C19" s="6" t="inlineStr">
        <is>
          <t>Altitud máxima (msnm)</t>
        </is>
      </c>
      <c r="D19" s="7" t="n">
        <v>1476</v>
      </c>
      <c r="E19" s="8" t="n"/>
      <c r="F19" s="8" t="n"/>
    </row>
    <row r="20">
      <c r="A20" s="6" t="inlineStr">
        <is>
          <t>Amplitud altitudinal (m)</t>
        </is>
      </c>
      <c r="B20" s="7" t="n">
        <v>237</v>
      </c>
      <c r="C20" s="6" t="inlineStr">
        <is>
          <t>Piso altitudinal dominante</t>
        </is>
      </c>
      <c r="D20" s="7" t="inlineStr">
        <is>
          <t>1000-1500 m (Quechua baja)</t>
        </is>
      </c>
      <c r="E20" s="8" t="n"/>
      <c r="F20" s="8" t="n"/>
    </row>
    <row r="21">
      <c r="A21" s="6" t="inlineStr">
        <is>
          <t>Pendiente promedio (%)</t>
        </is>
      </c>
      <c r="B21" s="7" t="n">
        <v>30.65</v>
      </c>
      <c r="C21" s="6" t="inlineStr">
        <is>
          <t>Pendiente promedio (grados)</t>
        </is>
      </c>
      <c r="D21" s="7" t="n">
        <v>17</v>
      </c>
      <c r="E21" s="8" t="n"/>
      <c r="F21" s="8" t="n"/>
    </row>
    <row r="22">
      <c r="A22" s="6" t="inlineStr">
        <is>
          <t>Clase de pendiente equivalente</t>
        </is>
      </c>
      <c r="B22" s="7" t="inlineStr">
        <is>
          <t>25-50% (Mod. escarpado)</t>
        </is>
      </c>
      <c r="C22" s="6" t="inlineStr">
        <is>
          <t>Rango de pendiente declarado en campo</t>
        </is>
      </c>
      <c r="D22" s="7" t="inlineStr">
        <is>
          <t>25-50% (Mod. escarpado)</t>
        </is>
      </c>
      <c r="E22" s="8" t="n"/>
      <c r="F22" s="8" t="n"/>
    </row>
    <row r="23">
      <c r="A23" s="6" t="inlineStr">
        <is>
          <t>Forma predominante del terreno</t>
        </is>
      </c>
      <c r="B23" s="7" t="inlineStr">
        <is>
          <t>Montañoso</t>
        </is>
      </c>
      <c r="C23" s="6" t="inlineStr">
        <is>
          <t>Posición fisiográfica</t>
        </is>
      </c>
      <c r="D23" s="7" t="inlineStr">
        <is>
          <t>Ladera media</t>
        </is>
      </c>
      <c r="E23" s="8" t="n"/>
      <c r="F23" s="8" t="n"/>
    </row>
    <row r="24">
      <c r="A24" s="6" t="inlineStr">
        <is>
          <t>Exposición / orientación</t>
        </is>
      </c>
      <c r="B24" s="7" t="inlineStr">
        <is>
          <t>Suroeste</t>
        </is>
      </c>
      <c r="C24" s="6" t="inlineStr">
        <is>
          <t>Afloramientos rocosos</t>
        </is>
      </c>
      <c r="D24" s="7" t="inlineStr">
        <is>
          <t>Sí</t>
        </is>
      </c>
      <c r="E24" s="8" t="n"/>
      <c r="F24" s="8" t="n"/>
    </row>
    <row r="25">
      <c r="A25" s="6" t="inlineStr">
        <is>
          <t>Escarpes activos</t>
        </is>
      </c>
      <c r="B25" s="7" t="inlineStr">
        <is>
          <t>No</t>
        </is>
      </c>
      <c r="C25" s="6" t="inlineStr">
        <is>
          <t>Remociones en masa activas</t>
        </is>
      </c>
      <c r="D25" s="7" t="inlineStr">
        <is>
          <t>No</t>
        </is>
      </c>
      <c r="E25" s="8" t="n"/>
      <c r="F25" s="8" t="n"/>
    </row>
    <row r="26"/>
    <row r="27" ht="18" customHeight="1">
      <c r="A27" s="5" t="inlineStr">
        <is>
          <t>3. ÍNDICES DE VEGETACIÓN (SENTINEL-2)</t>
        </is>
      </c>
    </row>
    <row r="28">
      <c r="A28" s="6" t="inlineStr">
        <is>
          <t>MSAVI 2024 — media del bloque</t>
        </is>
      </c>
      <c r="B28" s="7" t="n">
        <v>0.5395</v>
      </c>
      <c r="C28" s="6" t="inlineStr">
        <is>
          <t>MSAVI 2024 — clase de la media</t>
        </is>
      </c>
      <c r="D28" s="7" t="inlineStr">
        <is>
          <t>0.4976 - 0.6139 (Vigor moderado)</t>
        </is>
      </c>
      <c r="E28" s="8" t="n"/>
      <c r="F28" s="8" t="n"/>
    </row>
    <row r="29">
      <c r="A29" s="6" t="inlineStr">
        <is>
          <t>Condición frente al umbral 0.4976</t>
        </is>
      </c>
      <c r="B29" s="7" t="inlineStr">
        <is>
          <t>Sobre umbral</t>
        </is>
      </c>
      <c r="C29" s="6" t="inlineStr">
        <is>
          <t>NDVI mediana 2025 — clase modal</t>
        </is>
      </c>
      <c r="D29" s="7" t="inlineStr">
        <is>
          <t>Vegetación mediana (50.07 %)</t>
        </is>
      </c>
      <c r="E29" s="8" t="n"/>
      <c r="F29" s="8" t="n"/>
    </row>
    <row r="30">
      <c r="A30" s="6" t="inlineStr">
        <is>
          <t>Superficie clasificada NDVI 2025 (ha)</t>
        </is>
      </c>
      <c r="B30" s="7" t="n">
        <v>24.856</v>
      </c>
      <c r="C30" s="6" t="inlineStr">
        <is>
          <t>Desviación frente al catálogo (%)</t>
        </is>
      </c>
      <c r="D30" s="7" t="n">
        <v>0.06</v>
      </c>
      <c r="E30" s="8" t="n"/>
      <c r="F30" s="8" t="n"/>
    </row>
    <row r="31">
      <c r="A31" s="6" t="inlineStr">
        <is>
          <t>Superficie clasificada MSAVI 2024 (ha)</t>
        </is>
      </c>
      <c r="B31" s="38" t="n">
        <v>24.843</v>
      </c>
      <c r="C31" s="6" t="inlineStr">
        <is>
          <t>Desviación MSAVI frente al catálogo (%)</t>
        </is>
      </c>
      <c r="D31" s="39" t="n">
        <v>0.01</v>
      </c>
      <c r="E31" s="8" t="n"/>
      <c r="F31" s="8" t="n"/>
    </row>
    <row r="32">
      <c r="A32" s="6" t="inlineStr">
        <is>
          <t>Superficie bajo umbral MSAVI 0.4976 (ha)</t>
        </is>
      </c>
      <c r="B32" s="38" t="n">
        <v>8.852</v>
      </c>
      <c r="C32" s="6" t="inlineStr">
        <is>
          <t>% del bloque bajo umbral (brecha espectral)</t>
        </is>
      </c>
      <c r="D32" s="39" t="n">
        <v>35.63</v>
      </c>
      <c r="E32" s="8" t="n"/>
      <c r="F32" s="8" t="n"/>
    </row>
    <row r="33">
      <c r="A33" s="6" t="inlineStr">
        <is>
          <t>Clase DN dominante (MSAVI 2024)</t>
        </is>
      </c>
      <c r="B33" s="7" t="inlineStr">
        <is>
          <t>DN 4 · 0.4976 - 0.6139 (Vigor moderado)</t>
        </is>
      </c>
      <c r="C33" s="6" t="inlineStr">
        <is>
          <t>N.° de polígonos MSAVI del bloque</t>
        </is>
      </c>
      <c r="D33" s="40" t="n">
        <v>103</v>
      </c>
      <c r="E33" s="8" t="n"/>
      <c r="F33" s="8" t="n"/>
    </row>
    <row r="34"/>
    <row r="35" ht="18" customHeight="1">
      <c r="A35" s="5" t="inlineStr">
        <is>
          <t>4. ECOSISTEMA Y ESTADO DE CONSERVACIÓN</t>
        </is>
      </c>
    </row>
    <row r="36">
      <c r="A36" s="6" t="inlineStr">
        <is>
          <t>Tipo de ecosistema (UP)</t>
        </is>
      </c>
      <c r="B36" s="7" t="inlineStr">
        <is>
          <t>Agroecosistema / Mosaico</t>
        </is>
      </c>
      <c r="C36" s="6" t="inlineStr">
        <is>
          <t>Superficie de ecosistema (ha)</t>
        </is>
      </c>
      <c r="D36" s="7" t="inlineStr">
        <is>
          <t>24.84 ha (MINAM: Zona agrícola 100%)</t>
        </is>
      </c>
      <c r="E36" s="8" t="n"/>
      <c r="F36" s="8" t="n"/>
    </row>
    <row r="37">
      <c r="A37" s="6" t="inlineStr">
        <is>
          <t>Estado de conservación</t>
        </is>
      </c>
      <c r="B37" s="7" t="inlineStr">
        <is>
          <t>Medianamente alterado</t>
        </is>
      </c>
      <c r="C37" s="6" t="inlineStr">
        <is>
          <t>Uso actual dominante del suelo</t>
        </is>
      </c>
      <c r="D37" s="7" t="inlineStr">
        <is>
          <t>Uso mixto</t>
        </is>
      </c>
      <c r="E37" s="8" t="n"/>
      <c r="F37" s="8" t="n"/>
    </row>
    <row r="38">
      <c r="A38" s="6" t="inlineStr">
        <is>
          <t>Tipo de cobertura dominante</t>
        </is>
      </c>
      <c r="B38" s="7" t="inlineStr">
        <is>
          <t>Mixto / Mosaico</t>
        </is>
      </c>
      <c r="C38" s="6" t="inlineStr">
        <is>
          <t>Cobertura vegetal total — campo (%)</t>
        </is>
      </c>
      <c r="D38" s="7" t="n">
        <v>85</v>
      </c>
      <c r="E38" s="8" t="n"/>
      <c r="F38" s="8" t="n"/>
    </row>
    <row r="39">
      <c r="A39" s="6" t="inlineStr">
        <is>
          <t>Suelo desnudo — campo (%)</t>
        </is>
      </c>
      <c r="B39" s="7" t="n">
        <v>10</v>
      </c>
      <c r="C39" s="6" t="inlineStr">
        <is>
          <t>Regeneración natural</t>
        </is>
      </c>
      <c r="D39" s="7" t="inlineStr">
        <is>
          <t>Regular (10-50 pl./100m²)</t>
        </is>
      </c>
      <c r="E39" s="8" t="n"/>
      <c r="F39" s="8" t="n"/>
    </row>
    <row r="40">
      <c r="A40" s="6" t="inlineStr">
        <is>
          <t>Nivel general de erosión</t>
        </is>
      </c>
      <c r="B40" s="7" t="inlineStr">
        <is>
          <t>Ligera (laminar)</t>
        </is>
      </c>
      <c r="C40" s="6" t="inlineStr">
        <is>
          <t>N.° de cárcavas registradas</t>
        </is>
      </c>
      <c r="D40" s="7" t="n">
        <v>0</v>
      </c>
      <c r="E40" s="8" t="n"/>
      <c r="F40" s="8" t="n"/>
    </row>
    <row r="41">
      <c r="A41" s="6" t="inlineStr">
        <is>
          <t>Elenco florístico (n.° de taxones)</t>
        </is>
      </c>
      <c r="B41" s="50" t="inlineStr">
        <is>
          <t>7</t>
        </is>
      </c>
      <c r="C41" s="6" t="inlineStr">
        <is>
          <t>Estado sanitario</t>
        </is>
      </c>
      <c r="D41" s="7" t="inlineStr">
        <is>
          <t>Sano</t>
        </is>
      </c>
      <c r="E41" s="8" t="n"/>
      <c r="F41" s="8" t="n"/>
    </row>
    <row r="42"/>
    <row r="43" ht="18" customHeight="1">
      <c r="A43" s="5" t="inlineStr">
        <is>
          <t>5. RESPONSABLE Y MODALIDAD DE LA EVALUACIÓN</t>
        </is>
      </c>
    </row>
    <row r="44">
      <c r="A44" s="6" t="inlineStr">
        <is>
          <t>Responsable de la evaluación</t>
        </is>
      </c>
      <c r="B44" s="50" t="inlineStr">
        <is>
          <t>Ing. Héctor S. Cahuas Miller (Ing. Forestal — ANIN/DIME-SESDI)</t>
        </is>
      </c>
      <c r="C44" s="6" t="inlineStr">
        <is>
          <t>Fecha de evaluación</t>
        </is>
      </c>
      <c r="D44" s="7" t="inlineStr">
        <is>
          <t>2026-06-23</t>
        </is>
      </c>
      <c r="E44" s="8" t="n"/>
      <c r="F44" s="8" t="n"/>
    </row>
    <row r="45">
      <c r="A45" s="6" t="inlineStr">
        <is>
          <t>Hora de registro</t>
        </is>
      </c>
      <c r="B45" s="7" t="inlineStr">
        <is>
          <t>10:47-12:03</t>
        </is>
      </c>
      <c r="C45" s="6" t="inlineStr">
        <is>
          <t>Correlativo de ficha</t>
        </is>
      </c>
      <c r="D45" s="7" t="inlineStr">
        <is>
          <t>DT-B36-01</t>
        </is>
      </c>
      <c r="E45" s="8" t="n"/>
      <c r="F45" s="8" t="n"/>
    </row>
    <row r="46">
      <c r="A46" s="6" t="inlineStr">
        <is>
          <t>Entidad</t>
        </is>
      </c>
      <c r="B46" s="7" t="inlineStr">
        <is>
          <t>ANIN - DIME - SESDI</t>
        </is>
      </c>
      <c r="C46" s="6" t="inlineStr">
        <is>
          <t>Fase del estudio</t>
        </is>
      </c>
      <c r="D46" s="7" t="inlineStr">
        <is>
          <t>Preinversión (Perfil) · Invierte.pe</t>
        </is>
      </c>
      <c r="E46" s="8" t="n"/>
      <c r="F46" s="8" t="n"/>
    </row>
    <row r="47">
      <c r="A47" s="6" t="inlineStr">
        <is>
          <t>Instrumento aplicado</t>
        </is>
      </c>
      <c r="B47" s="7" t="inlineStr">
        <is>
          <t>Fichas F-DT-01 a F-DT-05 (Plantilla V5)</t>
        </is>
      </c>
      <c r="C47" s="6" t="inlineStr">
        <is>
          <t>Parcela de muestreo</t>
        </is>
      </c>
      <c r="D47" s="7" t="inlineStr">
        <is>
          <t>Recorrido (sin parcela permanente)</t>
        </is>
      </c>
      <c r="E47" s="8" t="n"/>
      <c r="F47" s="8" t="n"/>
    </row>
    <row r="48">
      <c r="A48" s="6" t="inlineStr">
        <is>
          <t>Estaciones fotográficas georreferenciadas</t>
        </is>
      </c>
      <c r="B48" s="7" t="inlineStr">
        <is>
          <t>Sin registro en la ficha DT</t>
        </is>
      </c>
      <c r="C48" s="6" t="inlineStr">
        <is>
          <t>Modalidad de acceso</t>
        </is>
      </c>
      <c r="D48" s="7" t="inlineStr">
        <is>
          <t>Vehicular + caminata &lt;30 min</t>
        </is>
      </c>
      <c r="E48" s="8" t="n"/>
      <c r="F48" s="8" t="n"/>
    </row>
    <row r="49"/>
    <row r="50" ht="18" customHeight="1">
      <c r="A50" s="5" t="inlineStr">
        <is>
          <t>6. SÍNTESIS PARA LA GESTIÓN DEL RIESGO EN CONTEXTO DE CAMBIO CLIMÁTICO</t>
        </is>
      </c>
    </row>
    <row r="51">
      <c r="A51" s="6" t="inlineStr">
        <is>
          <t>Causa subyacente principal</t>
        </is>
      </c>
      <c r="B51" s="7" t="inlineStr">
        <is>
          <t>Presión agropecuaria de subsistencia sobre laderas, sin prácticas de conservación de suelos</t>
        </is>
      </c>
      <c r="C51" s="6" t="inlineStr">
        <is>
          <t>Velocidad de degradación</t>
        </is>
      </c>
      <c r="D51" s="7" t="inlineStr">
        <is>
          <t>Moderada</t>
        </is>
      </c>
      <c r="E51" s="8" t="n"/>
      <c r="F51" s="8" t="n"/>
    </row>
    <row r="52">
      <c r="A52" s="6" t="inlineStr">
        <is>
          <t>Reversibilidad técnica</t>
        </is>
      </c>
      <c r="B52" s="7" t="inlineStr">
        <is>
          <t>Parcialmente reversible</t>
        </is>
      </c>
      <c r="C52" s="6" t="inlineStr">
        <is>
          <t>Urgencia de intervención</t>
        </is>
      </c>
      <c r="D52" s="7" t="inlineStr">
        <is>
          <t>Media</t>
        </is>
      </c>
      <c r="E52" s="8" t="n"/>
      <c r="F52" s="8" t="n"/>
    </row>
    <row r="53">
      <c r="A53" s="6" t="inlineStr">
        <is>
          <t>Urgencia de control de erosión</t>
        </is>
      </c>
      <c r="B53" s="7" t="inlineStr">
        <is>
          <t>Baja</t>
        </is>
      </c>
      <c r="C53" s="6" t="inlineStr">
        <is>
          <t>Zona de recarga hídrica</t>
        </is>
      </c>
      <c r="D53" s="7" t="inlineStr">
        <is>
          <t>Sí</t>
        </is>
      </c>
      <c r="E53" s="8" t="n"/>
      <c r="F53" s="8" t="n"/>
    </row>
    <row r="54">
      <c r="A54" s="6" t="inlineStr">
        <is>
          <t>Peligro integrado preliminar (MCA-AHP)</t>
        </is>
      </c>
      <c r="B54" s="7" t="inlineStr">
        <is>
          <t>No disponible en los insumos; debe tomarse del modelamiento de mesolocalización</t>
        </is>
      </c>
      <c r="C54" s="6" t="inlineStr">
        <is>
          <t>Prioridad de intervención</t>
        </is>
      </c>
      <c r="D54" s="7" t="inlineStr">
        <is>
          <t>Por definir en mesolocalización</t>
        </is>
      </c>
      <c r="E54" s="8" t="n"/>
      <c r="F54" s="8" t="n"/>
    </row>
    <row r="55">
      <c r="A55" s="6" t="inlineStr">
        <is>
          <t>Estado de verificación de campo</t>
        </is>
      </c>
      <c r="B55" s="7" t="inlineStr">
        <is>
          <t>VERIFICADO</t>
        </is>
      </c>
      <c r="C55" s="6" t="inlineStr">
        <is>
          <t>Marco del indicador de brecha</t>
        </is>
      </c>
      <c r="D55" s="7" t="inlineStr">
        <is>
          <t>R.M. N.° 00213-2024-MINAM</t>
        </is>
      </c>
      <c r="E55" s="8" t="n"/>
      <c r="F55" s="8" t="n"/>
    </row>
    <row r="56"/>
    <row r="57" ht="72" customHeight="1">
      <c r="A57" s="9" t="inlineStr">
        <is>
          <t>DECLARACIÓN DE INTEGRIDAD DE DATOS. Ningún valor ausente ha sido estimado o inferido sin declararlo. Los campos que no pudieron sustentarse en observación de campo, estadística zonal o catálogo oficial se consignan como «Por determinar» o «Por verificar». La altitud y la pendiente proceden de estadística zonal sobre el modelo digital de elevación; el MSAVI 2024 y el NDVI mediana 2025 proceden de compuestos Sentinel-2. Las discrepancias detectadas entre campo, gabinete y catálogo se listan en la hoja «Control de consistencia». La distribución areal por clase de MSAVI 2024 procede de la estadística zonal del ráster MSAVI clasificado (AREAS_MSAVI_BLOQUES_V6_REV_HSCM) y se detalla en la hoja «Cobertura MSAVI-NDVI»; la equivalencia entre el valor de clase DN y los umbrales del proyecto se declara en la nota metodológica de esa hoja.</t>
        </is>
      </c>
      <c r="B57" s="41" t="n"/>
      <c r="C57" s="41" t="n"/>
      <c r="D57" s="41" t="n"/>
      <c r="E57" s="41" t="n"/>
      <c r="F57" s="42" t="n"/>
    </row>
  </sheetData>
  <mergeCells count="13">
    <mergeCell ref="A2:F2"/>
    <mergeCell ref="A43:F43"/>
    <mergeCell ref="A1:F1"/>
    <mergeCell ref="A5:F5"/>
    <mergeCell ref="A27:F27"/>
    <mergeCell ref="A8:F8"/>
    <mergeCell ref="A6:F6"/>
    <mergeCell ref="A50:F50"/>
    <mergeCell ref="A35:F35"/>
    <mergeCell ref="A18:F18"/>
    <mergeCell ref="A3:F3"/>
    <mergeCell ref="A4:F4"/>
    <mergeCell ref="A57:F57"/>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E31"/>
  <sheetViews>
    <sheetView showGridLines="0" workbookViewId="0">
      <pane ySplit="6" topLeftCell="A7" activePane="bottomLeft" state="frozen"/>
      <selection pane="bottomLeft" activeCell="A1" sqref="A1"/>
    </sheetView>
  </sheetViews>
  <sheetFormatPr baseColWidth="8" defaultRowHeight="15"/>
  <cols>
    <col width="24" customWidth="1" min="1" max="1"/>
    <col width="16" customWidth="1" min="2" max="2"/>
    <col width="20" customWidth="1" min="3" max="3"/>
    <col width="30" customWidth="1" min="4" max="4"/>
    <col width="28" customWidth="1" min="5" max="5"/>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DISTRIBUCIÓN AREAL DE CLASES ESPECTRALES — BLOQUE 36</t>
        </is>
      </c>
    </row>
    <row r="6" ht="24" customHeight="1">
      <c r="A6" s="4" t="inlineStr">
        <is>
          <t>MSAVI 2024 y NDVI mediana 2025 (Sentinel-2, mosaico Piura) · Umbral de brecha del proyecto: MSAVI = 0.4976</t>
        </is>
      </c>
    </row>
    <row r="8" ht="18" customHeight="1">
      <c r="A8" s="5" t="inlineStr">
        <is>
          <t>A. MSAVI 2024 — CLASIFICACIÓN POR UMBRALES DEL PROYECTO</t>
        </is>
      </c>
    </row>
    <row r="9" ht="28" customHeight="1">
      <c r="A9" s="10" t="inlineStr">
        <is>
          <t>Clase MSAVI</t>
        </is>
      </c>
      <c r="B9" s="10" t="inlineStr">
        <is>
          <t>Superficie (ha)</t>
        </is>
      </c>
      <c r="C9" s="10" t="inlineStr">
        <is>
          <t>% del área clasificada</t>
        </is>
      </c>
      <c r="D9" s="10" t="inlineStr">
        <is>
          <t>Interpretación</t>
        </is>
      </c>
      <c r="E9" s="10" t="inlineStr">
        <is>
          <t>Condición frente al umbral 0.4976</t>
        </is>
      </c>
    </row>
    <row r="10">
      <c r="A10" s="7" t="inlineStr">
        <is>
          <t>&gt; 0.6139 · DN 5</t>
        </is>
      </c>
      <c r="B10" s="18" t="n">
        <v>4.6963</v>
      </c>
      <c r="C10" s="19">
        <f>ROUND(B10/$B$15*100,2)</f>
        <v/>
      </c>
      <c r="D10" s="11" t="inlineStr">
        <is>
          <t>Vigor alto</t>
        </is>
      </c>
      <c r="E10" s="11" t="inlineStr">
        <is>
          <t>Sobre umbral</t>
        </is>
      </c>
    </row>
    <row r="11">
      <c r="A11" s="12" t="inlineStr">
        <is>
          <t>0.4976 - 0.6139 · DN 4</t>
        </is>
      </c>
      <c r="B11" s="32" t="n">
        <v>11.2948</v>
      </c>
      <c r="C11" s="31">
        <f>ROUND(B11/$B$15*100,2)</f>
        <v/>
      </c>
      <c r="D11" s="13" t="inlineStr">
        <is>
          <t>Vigor moderado</t>
        </is>
      </c>
      <c r="E11" s="13" t="inlineStr">
        <is>
          <t>Sobre umbral</t>
        </is>
      </c>
    </row>
    <row r="12">
      <c r="A12" s="7" t="inlineStr">
        <is>
          <t>0.3813 - 0.4976 · DN 3</t>
        </is>
      </c>
      <c r="B12" s="18" t="n">
        <v>8.5054</v>
      </c>
      <c r="C12" s="19">
        <f>ROUND(B12/$B$15*100,2)</f>
        <v/>
      </c>
      <c r="D12" s="11" t="inlineStr">
        <is>
          <t>Vigor bajo</t>
        </is>
      </c>
      <c r="E12" s="11" t="inlineStr">
        <is>
          <t>BAJO umbral 0.4976</t>
        </is>
      </c>
    </row>
    <row r="13">
      <c r="A13" s="14" t="inlineStr">
        <is>
          <t>0.2650 - 0.3813 · DN 2</t>
        </is>
      </c>
      <c r="B13" s="20" t="n">
        <v>0.3467</v>
      </c>
      <c r="C13" s="21">
        <f>ROUND(B13/$B$15*100,2)</f>
        <v/>
      </c>
      <c r="D13" s="15" t="inlineStr">
        <is>
          <t>Vigor muy bajo</t>
        </is>
      </c>
      <c r="E13" s="15" t="inlineStr">
        <is>
          <t>BAJO umbral 0.4976</t>
        </is>
      </c>
    </row>
    <row r="14">
      <c r="A14" s="7" t="inlineStr">
        <is>
          <t>&lt;= 0.2650 · DN 1</t>
        </is>
      </c>
      <c r="B14" s="18" t="n">
        <v>0</v>
      </c>
      <c r="C14" s="19">
        <f>ROUND(B14/$B$15*100,2)</f>
        <v/>
      </c>
      <c r="D14" s="11" t="inlineStr">
        <is>
          <t>Suelo desnudo / no vegetal</t>
        </is>
      </c>
      <c r="E14" s="11" t="inlineStr">
        <is>
          <t>BAJO umbral 0.4976</t>
        </is>
      </c>
    </row>
    <row r="15" ht="30" customHeight="1">
      <c r="A15" s="43" t="inlineStr">
        <is>
          <t>TOTAL CLASIFICADO MSAVI 2024</t>
        </is>
      </c>
      <c r="B15" s="44">
        <f>SUM(B10:B14)</f>
        <v/>
      </c>
      <c r="C15" s="45">
        <f>SUM(C10:C14)</f>
        <v/>
      </c>
      <c r="D15" s="43" t="inlineStr">
        <is>
          <t>Suma de la distribución areal · 103 polígonos</t>
        </is>
      </c>
      <c r="E15" s="43" t="inlineStr">
        <is>
          <t>—</t>
        </is>
      </c>
    </row>
    <row r="16" ht="30" customHeight="1">
      <c r="A16" s="46" t="inlineStr">
        <is>
          <t>Superficie SOBRE umbral 0.4976 (ha)</t>
        </is>
      </c>
      <c r="B16" s="47">
        <f>SUM(B10:B11)</f>
        <v/>
      </c>
      <c r="C16" s="48">
        <f>ROUND(B16/B15*100,2)</f>
        <v/>
      </c>
      <c r="D16" s="46" t="inlineStr">
        <is>
          <t>Vigor alto y moderado (DN 4 y DN 5)</t>
        </is>
      </c>
      <c r="E16" s="46" t="inlineStr">
        <is>
          <t>Sobre umbral 0.4976</t>
        </is>
      </c>
    </row>
    <row r="17" ht="30" customHeight="1">
      <c r="A17" s="46" t="inlineStr">
        <is>
          <t>Superficie BAJO umbral 0.4976 (ha) — brecha</t>
        </is>
      </c>
      <c r="B17" s="47">
        <f>SUM(B12:B14)</f>
        <v/>
      </c>
      <c r="C17" s="48">
        <f>ROUND(B17/B15*100,2)</f>
        <v/>
      </c>
      <c r="D17" s="46" t="inlineStr">
        <is>
          <t>Vigor bajo, muy bajo y suelo desnudo (DN 1 a DN 3)</t>
        </is>
      </c>
      <c r="E17" s="46" t="inlineStr">
        <is>
          <t>Base para el indicador de brecha (R.M. N.° 00213-2024-MINAM)</t>
        </is>
      </c>
    </row>
    <row r="18" ht="30" customHeight="1">
      <c r="A18" s="46" t="inlineStr">
        <is>
          <t>Superficie de catálogo (V5/V6) — contraste MSAVI</t>
        </is>
      </c>
      <c r="B18" s="47" t="n">
        <v>24.84</v>
      </c>
      <c r="C18" s="49" t="inlineStr">
        <is>
          <t>—</t>
        </is>
      </c>
      <c r="D18" s="46" t="inlineStr">
        <is>
          <t>Desviación planimétrica frente al catálogo</t>
        </is>
      </c>
      <c r="E18" s="46" t="inlineStr">
        <is>
          <t>+0.01 %</t>
        </is>
      </c>
    </row>
    <row r="19">
      <c r="A19" s="16" t="inlineStr">
        <is>
          <t>MSAVI 2024 — MEDIA DEL BLOQUE</t>
        </is>
      </c>
      <c r="B19" s="17" t="n">
        <v>0.539458</v>
      </c>
      <c r="C19" s="17" t="inlineStr">
        <is>
          <t>—</t>
        </is>
      </c>
      <c r="D19" s="17" t="inlineStr">
        <is>
          <t>Vigor moderado · clase 0.4976 - 0.6139</t>
        </is>
      </c>
      <c r="E19" s="17" t="inlineStr">
        <is>
          <t>Sobre umbral</t>
        </is>
      </c>
    </row>
    <row r="21" ht="72" customHeight="1">
      <c r="A21" s="9" t="inlineStr">
        <is>
          <t>NOTA METODOLÓGICA. La distribución areal por clase de MSAVI 2024 procede de la estadística zonal por polígono del ráster MSAVI clasificado (archivo AREAS_MSAVI_BLOQUES_V6_REV_HSCM.xlsx, hojas «Datos_Detalle» y «Resumen_por_Bloque»): 103 polígonos agregados para este bloque, con superficies obtenidas como Area_m2 / 10 000. El archivo fuente no documenta la semántica del valor de clase DN; la equivalencia DN 1 = clase inferior … DN 5 = clase superior se estableció por contraste con la media MSAVI 2024 del catálogo maestro de los 117 bloques (coeficiente de correlación 0.9965 y error absoluto medio 0.0091 al reconstruir la media con los puntos medios de clase; el orden inverso arroja correlación negativa), y debe ser confirmada por el especialista SIG del proyecto. La media del bloque (0.5395) se conserva del catálogo maestro y es dato oficial; la fila resaltada indica la clase en la que cae dicha media. Los totales y porcentajes se calculan con fórmulas sobre las filas del cuadro.</t>
        </is>
      </c>
      <c r="B21" s="41" t="n"/>
      <c r="C21" s="41" t="n"/>
      <c r="D21" s="41" t="n"/>
      <c r="E21" s="42" t="n"/>
    </row>
    <row r="23" ht="18" customHeight="1">
      <c r="A23" s="5" t="inlineStr">
        <is>
          <t>B. NDVI MEDIANA 2025 — DISTRIBUCIÓN AREAL (ESTADÍSTICA ZONAL)</t>
        </is>
      </c>
    </row>
    <row r="24" ht="28" customHeight="1">
      <c r="A24" s="10" t="inlineStr">
        <is>
          <t>Clase NDVI</t>
        </is>
      </c>
      <c r="B24" s="10" t="inlineStr">
        <is>
          <t>Superficie (ha)</t>
        </is>
      </c>
      <c r="C24" s="10" t="inlineStr">
        <is>
          <t>% del área clasificada</t>
        </is>
      </c>
      <c r="D24" s="10" t="inlineStr">
        <is>
          <t>Interpretación</t>
        </is>
      </c>
      <c r="E24" s="10" t="inlineStr">
        <is>
          <t>Observación</t>
        </is>
      </c>
    </row>
    <row r="25">
      <c r="A25" s="7" t="inlineStr">
        <is>
          <t>Vegetación alta</t>
        </is>
      </c>
      <c r="B25" s="18" t="n">
        <v>12.2064</v>
      </c>
      <c r="C25" s="19" t="n">
        <v>49.11</v>
      </c>
      <c r="D25" s="11" t="inlineStr">
        <is>
          <t>Dosel continuo, matorral denso o mosaico agroforestal</t>
        </is>
      </c>
      <c r="E25" s="11" t="inlineStr"/>
    </row>
    <row r="26">
      <c r="A26" s="14" t="inlineStr">
        <is>
          <t>Vegetación mediana</t>
        </is>
      </c>
      <c r="B26" s="20" t="n">
        <v>12.4461</v>
      </c>
      <c r="C26" s="21" t="n">
        <v>50.07</v>
      </c>
      <c r="D26" s="15" t="inlineStr">
        <is>
          <t>Pastizal cultivado, matorral ralo, parcelas agrícolas</t>
        </is>
      </c>
      <c r="E26" s="15" t="inlineStr"/>
    </row>
    <row r="27">
      <c r="A27" s="7" t="inlineStr">
        <is>
          <t>Vegetación ligera</t>
        </is>
      </c>
      <c r="B27" s="18" t="n">
        <v>0.2037</v>
      </c>
      <c r="C27" s="19" t="n">
        <v>0.82</v>
      </c>
      <c r="D27" s="11" t="inlineStr">
        <is>
          <t>Cobertura discontinua, suelo parcialmente expuesto</t>
        </is>
      </c>
      <c r="E27" s="11" t="inlineStr"/>
    </row>
    <row r="28">
      <c r="A28" s="16" t="inlineStr">
        <is>
          <t>TOTAL CLASIFICADO</t>
        </is>
      </c>
      <c r="B28" s="22">
        <f>SUM(B25:B27)</f>
        <v/>
      </c>
      <c r="C28" s="23">
        <f>SUM(C25:C27)</f>
        <v/>
      </c>
      <c r="D28" s="17" t="inlineStr"/>
      <c r="E28" s="17" t="inlineStr"/>
    </row>
    <row r="29">
      <c r="A29" s="24" t="inlineStr">
        <is>
          <t>Superficie de catálogo (V5/V6)</t>
        </is>
      </c>
      <c r="B29" s="25" t="n">
        <v>24.84</v>
      </c>
      <c r="C29" s="25" t="inlineStr">
        <is>
          <t>—</t>
        </is>
      </c>
      <c r="D29" s="25" t="inlineStr">
        <is>
          <t>Desviación planimétrica frente al catálogo</t>
        </is>
      </c>
      <c r="E29" s="25" t="inlineStr">
        <is>
          <t>+0.06 %</t>
        </is>
      </c>
    </row>
    <row r="31" ht="108" customHeight="1">
      <c r="A31" s="9" t="inlineStr">
        <is>
          <t>LECTURA CRÍTICA. Los índices MSAVI y NDVI miden vigor y densidad de biomasa, no composición ni integridad ecosistémica. Un valor alto NO equivale a ausencia de degradación: en bloques con mosaico agrícola, pastizal cultivado o plantaciones, la respuesta espectral puede ser alta sobre una unidad productora sustituida en su composición. La diferencia entre ambos productos no debe leerse como mejora entre 2024 y 2025: son índices distintos (el NDVI satura ante biomasa densa, el MSAVI conserva sensibilidad al suelo de fondo) aplicados sobre compuestos temporales distintos. Contraste registrado en este bloque: la cobertura vegetal estimada en campo es 85 % frente a un 49.11 % del polígono clasificado como «Vegetación alta» por el NDVI 2025; la observación de campo corresponde a una parcela o recorrido puntual y no es estadísticamente representativa de las 24.840 ha del bloque.</t>
        </is>
      </c>
      <c r="B31" s="41" t="n"/>
      <c r="C31" s="41" t="n"/>
      <c r="D31" s="41" t="n"/>
      <c r="E31" s="42" t="n"/>
    </row>
  </sheetData>
  <mergeCells count="10">
    <mergeCell ref="A21:E21"/>
    <mergeCell ref="A4:E4"/>
    <mergeCell ref="A2:E2"/>
    <mergeCell ref="A5:E5"/>
    <mergeCell ref="A1:E1"/>
    <mergeCell ref="A23:E23"/>
    <mergeCell ref="A8:E8"/>
    <mergeCell ref="A6:E6"/>
    <mergeCell ref="A31:E31"/>
    <mergeCell ref="A3:E3"/>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18"/>
  <sheetViews>
    <sheetView showGridLines="0" workbookViewId="0">
      <pane ySplit="6" topLeftCell="A7" activePane="bottomLeft" state="frozen"/>
      <selection pane="bottomLeft" activeCell="A1" sqref="A1"/>
    </sheetView>
  </sheetViews>
  <sheetFormatPr baseColWidth="8" defaultRowHeight="15"/>
  <cols>
    <col width="12" customWidth="1" min="1" max="1"/>
    <col width="34" customWidth="1" min="2" max="2"/>
    <col width="15" customWidth="1" min="3" max="3"/>
    <col width="15" customWidth="1" min="4" max="4"/>
    <col width="18" customWidth="1" min="5" max="5"/>
    <col width="22" customWidth="1" min="6" max="6"/>
    <col width="44" customWidth="1" min="7" max="7"/>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PUNTOS GEORREFERENCIADOS DE VERIFICACIÓN — BLOQUE 36</t>
        </is>
      </c>
    </row>
    <row r="6" ht="24" customHeight="1">
      <c r="A6" s="4" t="inlineStr">
        <is>
          <t>Levantamiento del 2026-06-23 · Sistema de referencia UTM WGS 84 Zona 17S (EPSG:32717)</t>
        </is>
      </c>
    </row>
    <row r="8" ht="18" customHeight="1">
      <c r="A8" s="5" t="inlineStr">
        <is>
          <t>INVENTARIO DE PUNTOS GEORREFERENCIADOS DE LA FICHA DT</t>
        </is>
      </c>
    </row>
    <row r="9" ht="28" customHeight="1">
      <c r="A9" s="10" t="inlineStr">
        <is>
          <t>Código</t>
        </is>
      </c>
      <c r="B9" s="10" t="inlineStr">
        <is>
          <t>Naturaleza del punto</t>
        </is>
      </c>
      <c r="C9" s="10" t="inlineStr">
        <is>
          <t>UTM ESTE (m)</t>
        </is>
      </c>
      <c r="D9" s="10" t="inlineStr">
        <is>
          <t>UTM NORTE (m)</t>
        </is>
      </c>
      <c r="E9" s="10" t="inlineStr">
        <is>
          <t>Dist. al centroide (m)</t>
        </is>
      </c>
      <c r="F9" s="10" t="inlineStr">
        <is>
          <t>Estado / régimen</t>
        </is>
      </c>
      <c r="G9" s="10" t="inlineStr">
        <is>
          <t>Contenido registrado</t>
        </is>
      </c>
    </row>
    <row r="10">
      <c r="A10" s="7" t="inlineStr">
        <is>
          <t>P-00</t>
        </is>
      </c>
      <c r="B10" s="11" t="inlineStr">
        <is>
          <t>Punto de muestreo declarado en ficha DT</t>
        </is>
      </c>
      <c r="C10" s="26" t="n">
        <v>606468</v>
      </c>
      <c r="D10" s="26" t="n">
        <v>9454689</v>
      </c>
      <c r="E10" s="11" t="n">
        <v>0</v>
      </c>
      <c r="F10" s="11" t="inlineStr"/>
      <c r="G10" s="11" t="inlineStr">
        <is>
          <t>Coordenada consignada en F-DT-01</t>
        </is>
      </c>
    </row>
    <row r="11">
      <c r="A11" s="14" t="inlineStr">
        <is>
          <t>H-01</t>
        </is>
      </c>
      <c r="B11" s="15" t="inlineStr">
        <is>
          <t>Fuente de agua — Quebrada estacional</t>
        </is>
      </c>
      <c r="C11" s="27" t="n">
        <v>606200</v>
      </c>
      <c r="D11" s="27" t="n">
        <v>9454450</v>
      </c>
      <c r="E11" s="15" t="n">
        <v>359.1</v>
      </c>
      <c r="F11" s="15" t="inlineStr">
        <is>
          <t>Estacional (lluvias)</t>
        </is>
      </c>
      <c r="G11" s="15" t="inlineStr">
        <is>
          <t>Quebrada tributaria</t>
        </is>
      </c>
    </row>
    <row r="12">
      <c r="A12" s="7" t="inlineStr">
        <is>
          <t>H-02</t>
        </is>
      </c>
      <c r="B12" s="11" t="inlineStr">
        <is>
          <t>Fuente de agua — Río</t>
        </is>
      </c>
      <c r="C12" s="26" t="n">
        <v>607400</v>
      </c>
      <c r="D12" s="26" t="n">
        <v>9454500</v>
      </c>
      <c r="E12" s="11" t="n">
        <v>951</v>
      </c>
      <c r="F12" s="11" t="inlineStr">
        <is>
          <t>Permanente</t>
        </is>
      </c>
      <c r="G12" s="11" t="inlineStr">
        <is>
          <t>Curso principal del sector</t>
        </is>
      </c>
    </row>
    <row r="13">
      <c r="A13" s="16" t="inlineStr">
        <is>
          <t>TOTAL: 3 puntos</t>
        </is>
      </c>
      <c r="B13" s="17" t="inlineStr"/>
      <c r="C13" s="17" t="inlineStr"/>
      <c r="D13" s="17" t="inlineStr"/>
      <c r="E13" s="17" t="inlineStr"/>
      <c r="F13" s="17" t="inlineStr"/>
      <c r="G13" s="17" t="inlineStr"/>
    </row>
    <row r="15">
      <c r="A15" s="6" t="inlineStr">
        <is>
          <t>Centroide del bloque — UTM ESTE (m)</t>
        </is>
      </c>
      <c r="B15" s="7" t="n">
        <v>606468</v>
      </c>
      <c r="C15" s="6" t="inlineStr">
        <is>
          <t>Centroide del bloque — UTM NORTE (m)</t>
        </is>
      </c>
      <c r="D15" s="7" t="n">
        <v>9454689</v>
      </c>
      <c r="E15" s="8" t="n"/>
      <c r="F15" s="8" t="n"/>
      <c r="G15" s="8" t="n"/>
      <c r="H15" s="8" t="n"/>
    </row>
    <row r="16">
      <c r="A16" s="6" t="inlineStr">
        <is>
          <t>N.° de estaciones fotográficas declaradas</t>
        </is>
      </c>
      <c r="B16" s="7" t="inlineStr">
        <is>
          <t>Sin registro en la ficha DT</t>
        </is>
      </c>
      <c r="C16" s="6" t="inlineStr">
        <is>
          <t>Estaciones dentro del polígono</t>
        </is>
      </c>
      <c r="D16" s="7" t="inlineStr">
        <is>
          <t>Por determinar</t>
        </is>
      </c>
      <c r="E16" s="8" t="n"/>
      <c r="F16" s="8" t="n"/>
      <c r="G16" s="8" t="n"/>
      <c r="H16" s="8" t="n"/>
    </row>
    <row r="18" ht="96" customHeight="1">
      <c r="A18" s="9" t="inlineStr">
        <is>
          <t>CONTROL GEOMÉTRICO. Las coordenadas de esta hoja proceden de la ficha DT del bloque (F-DT-01 a F-DT-05) y corresponden a rasgos erosivos, fuentes de agua, especies clave y al punto de muestreo declarado. La distancia al centroide se calcula sobre coordenadas UTM 17S y es referencial: no acredita inclusión ni exclusión respecto del polígono, que exige prueba de inclusión sobre la geometría del bloque. Las estaciones situadas a menos de ~30 m del límite deben considerarse SOBRE EL LÍMITE, dentro del margen de error de la georreferenciación (± 10-15 m). Verificación de campo 23/06/2026, recorrido por cima-ladera. Altitud GPS no registrada por la app fotográfica; el rango altitudinal del sector se ESTIMÓ a partir del perfil de elevación del Bloque 6 adyacente (misma microcuenca), por confirmar con MDE para el Bloque 36.</t>
        </is>
      </c>
      <c r="B18" s="41" t="n"/>
      <c r="C18" s="41" t="n"/>
      <c r="D18" s="41" t="n"/>
      <c r="E18" s="41" t="n"/>
      <c r="F18" s="41" t="n"/>
      <c r="G18" s="42" t="n"/>
    </row>
  </sheetData>
  <mergeCells count="8">
    <mergeCell ref="A1:G1"/>
    <mergeCell ref="A18:G18"/>
    <mergeCell ref="A8:G8"/>
    <mergeCell ref="A3:G3"/>
    <mergeCell ref="A6:G6"/>
    <mergeCell ref="A4:G4"/>
    <mergeCell ref="A2:G2"/>
    <mergeCell ref="A5:G5"/>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19"/>
  <sheetViews>
    <sheetView showGridLines="0" workbookViewId="0">
      <pane ySplit="6" topLeftCell="A7" activePane="bottomLeft" state="frozen"/>
      <selection pane="bottomLeft" activeCell="A1" sqref="A1"/>
    </sheetView>
  </sheetViews>
  <sheetFormatPr baseColWidth="8" defaultRowHeight="15"/>
  <cols>
    <col width="14" customWidth="1" min="1" max="1"/>
    <col width="13" customWidth="1" min="2" max="2"/>
    <col width="14" customWidth="1" min="3" max="3"/>
    <col width="24" customWidth="1" min="4" max="4"/>
    <col width="13" customWidth="1" min="5" max="5"/>
    <col width="18" customWidth="1" min="6" max="6"/>
    <col width="13" customWidth="1" min="7" max="7"/>
    <col width="20" customWidth="1" min="8" max="8"/>
    <col width="22" customWidth="1" min="9" max="9"/>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CONTEXTO INTRAMICROCUENCA C1096-Q9547 — BLOQUE 36</t>
        </is>
      </c>
    </row>
    <row r="6" ht="24" customHeight="1">
      <c r="A6" s="4" t="inlineStr">
        <is>
          <t>Distrito de Frias · Provincia de Ayabaca · Comparación de los bloques preliminares de intervención de la misma microcuenca</t>
        </is>
      </c>
    </row>
    <row r="8" ht="18" customHeight="1">
      <c r="A8" s="5" t="inlineStr">
        <is>
          <t>BLOQUES DE LA MICROCUENCA C1096-Q9547</t>
        </is>
      </c>
    </row>
    <row r="9" ht="28" customHeight="1">
      <c r="A9" s="10" t="inlineStr">
        <is>
          <t>Bloque</t>
        </is>
      </c>
      <c r="B9" s="10" t="inlineStr">
        <is>
          <t>Área (ha)</t>
        </is>
      </c>
      <c r="C9" s="10" t="inlineStr">
        <is>
          <t>% microcuenca</t>
        </is>
      </c>
      <c r="D9" s="10" t="inlineStr">
        <is>
          <t>Rango altitudinal (msnm)</t>
        </is>
      </c>
      <c r="E9" s="10" t="inlineStr">
        <is>
          <t>Amplitud (m)</t>
        </is>
      </c>
      <c r="F9" s="10" t="inlineStr">
        <is>
          <t>Pendiente prom. (%)</t>
        </is>
      </c>
      <c r="G9" s="10" t="inlineStr">
        <is>
          <t>MSAVI 2024</t>
        </is>
      </c>
      <c r="H9" s="10" t="inlineStr">
        <is>
          <t>NDVI 2025 — Veg. alta (%)</t>
        </is>
      </c>
      <c r="I9" s="10" t="inlineStr">
        <is>
          <t>MSAVI — % bajo umbral 0.4976</t>
        </is>
      </c>
    </row>
    <row r="10">
      <c r="A10" s="7" t="inlineStr">
        <is>
          <t>6</t>
        </is>
      </c>
      <c r="B10" s="28" t="n">
        <v>168.41</v>
      </c>
      <c r="C10" s="19" t="n">
        <v>53.36</v>
      </c>
      <c r="D10" s="11" t="inlineStr">
        <is>
          <t>1398 – 2016</t>
        </is>
      </c>
      <c r="E10" s="11" t="n">
        <v>618</v>
      </c>
      <c r="F10" s="11" t="n">
        <v>33.74</v>
      </c>
      <c r="G10" s="18" t="n">
        <v>0.5381</v>
      </c>
      <c r="H10" s="19" t="n">
        <v>40.11</v>
      </c>
      <c r="I10" s="19" t="n">
        <v>35.41</v>
      </c>
    </row>
    <row r="11">
      <c r="A11" s="14" t="inlineStr">
        <is>
          <t>M10B4</t>
        </is>
      </c>
      <c r="B11" s="29" t="n">
        <v>68.89</v>
      </c>
      <c r="C11" s="21" t="n">
        <v>21.83</v>
      </c>
      <c r="D11" s="15" t="inlineStr">
        <is>
          <t>170 – 313</t>
        </is>
      </c>
      <c r="E11" s="15" t="n">
        <v>143</v>
      </c>
      <c r="F11" s="15" t="n">
        <v>13.83</v>
      </c>
      <c r="G11" s="20" t="n">
        <v>0.3133</v>
      </c>
      <c r="H11" s="21" t="n">
        <v>0</v>
      </c>
      <c r="I11" s="21" t="n">
        <v>99.81</v>
      </c>
    </row>
    <row r="12">
      <c r="A12" s="7" t="inlineStr">
        <is>
          <t>25</t>
        </is>
      </c>
      <c r="B12" s="28" t="n">
        <v>53.48</v>
      </c>
      <c r="C12" s="19" t="n">
        <v>16.94</v>
      </c>
      <c r="D12" s="11" t="inlineStr">
        <is>
          <t>143 – 210</t>
        </is>
      </c>
      <c r="E12" s="11" t="n">
        <v>67</v>
      </c>
      <c r="F12" s="11" t="n">
        <v>11.68</v>
      </c>
      <c r="G12" s="18" t="n">
        <v>0.2565</v>
      </c>
      <c r="H12" s="19" t="inlineStr">
        <is>
          <t>Por determinar</t>
        </is>
      </c>
      <c r="I12" s="11" t="inlineStr">
        <is>
          <t>s/d</t>
        </is>
      </c>
    </row>
    <row r="13">
      <c r="A13" s="12" t="inlineStr">
        <is>
          <t>► 36</t>
        </is>
      </c>
      <c r="B13" s="30" t="n">
        <v>24.84</v>
      </c>
      <c r="C13" s="31" t="n">
        <v>7.87</v>
      </c>
      <c r="D13" s="13" t="inlineStr">
        <is>
          <t>1239 – 1476</t>
        </is>
      </c>
      <c r="E13" s="13" t="n">
        <v>237</v>
      </c>
      <c r="F13" s="13" t="n">
        <v>30.65</v>
      </c>
      <c r="G13" s="32" t="n">
        <v>0.5395</v>
      </c>
      <c r="H13" s="31" t="n">
        <v>49.11</v>
      </c>
      <c r="I13" s="31" t="n">
        <v>35.63</v>
      </c>
    </row>
    <row r="14">
      <c r="A14" s="16" t="inlineStr">
        <is>
          <t>TOTAL / PROMEDIO</t>
        </is>
      </c>
      <c r="B14" s="33">
        <f>SUM(B10:B13)</f>
        <v/>
      </c>
      <c r="C14" s="23">
        <f>SUM(C10:C13)</f>
        <v/>
      </c>
      <c r="D14" s="17" t="inlineStr">
        <is>
          <t>143 – 2016</t>
        </is>
      </c>
      <c r="E14" s="17" t="inlineStr"/>
      <c r="F14" s="17">
        <f>ROUND(AVERAGE(F10:F13),2)</f>
        <v/>
      </c>
      <c r="G14" s="22">
        <f>ROUND(AVERAGE(G10:G13),4)</f>
        <v/>
      </c>
      <c r="H14" s="23">
        <f>ROUND(AVERAGE(H10:H13),2)</f>
        <v/>
      </c>
      <c r="I14" s="23">
        <f>ROUND(AVERAGE(I10:I13),2)</f>
        <v/>
      </c>
    </row>
    <row r="15" ht="48" customHeight="1">
      <c r="A15" s="9" t="inlineStr">
        <is>
          <t>ALCANCE DE LOS PROMEDIOS. La fila TOTAL / PROMEDIO omite las celdas «Por determinar»: el promedio de VEGETACIÓN ALTA (NDVI 2025) se calcula sobre 3 de los 4 bloques; el bloque restante carece de estadística zonal de NDVI. Los totales de ÁREA y % de microcuenca sí comprenden la totalidad de los 4 bloques. No se estima ningún valor ausente.</t>
        </is>
      </c>
      <c r="B15" s="41" t="n"/>
      <c r="C15" s="41" t="n"/>
      <c r="D15" s="41" t="n"/>
      <c r="E15" s="41" t="n"/>
      <c r="F15" s="41" t="n"/>
      <c r="G15" s="41" t="n"/>
      <c r="H15" s="41" t="n"/>
      <c r="I15" s="42" t="n"/>
    </row>
    <row r="17" ht="84" customHeight="1">
      <c r="A17" s="9" t="inlineStr">
        <is>
          <t>LECTURA INTRAMICROCUENCA. El bloque 36 ocupa el puesto 4 de 4 por superficie dentro de la microcuenca C1096-Q9547 (7.87 % de las 315.62 ha preliminares de la microcuenca). Su pendiente promedio (30.65 %, clase «25-50% (Mod. escarpado)») es la 3.ª más baja de 4 y se sitúa por encima del promedio de la microcuenca (22.48 %). Su MSAVI 2024 (0.5395) es el 1.º de 4 y queda por encima del promedio local (0.4119). Amplitud altitudinal del bloque: 237 m (1239–1476 msnm). El cuadro conserva todos los bloques catalogados en la microcuenca, incluidos los descartados en el tamizaje, para referencia del conjunto. Los bloques sin ficha DT figuran con sus parámetros de gabinete. BRECHA ESPECTRAL. El 35.63 % de la superficie del bloque (8.852 ha de 24.843 ha) se sitúa bajo el umbral MSAVI 0.4976, por debajo del promedio local de la microcuenca (56.95 %) calculado sobre los bloques con dato MSAVI disponible.</t>
        </is>
      </c>
      <c r="B17" s="41" t="n"/>
      <c r="C17" s="41" t="n"/>
      <c r="D17" s="41" t="n"/>
      <c r="E17" s="41" t="n"/>
      <c r="F17" s="41" t="n"/>
      <c r="G17" s="41" t="n"/>
      <c r="H17" s="41" t="n"/>
      <c r="I17" s="42" t="n"/>
    </row>
    <row r="19" ht="60" customHeight="1">
      <c r="A19" s="9" t="inlineStr">
        <is>
          <t>NOTA METODOLÓGICA. Área y MSAVI 2024 proceden del catálogo maestro de bloques V5/V6. El rango altitudinal y la pendiente promedio proceden del reporte de estadística zonal sobre el MDE («Rango de altitud y Pendiente Promedio por Bloques V6»). El porcentaje de «Vegetación alta» procede de la estadística zonal del NDVI mediana 2025 (Sentinel-2). Los totales y promedios se calculan con fórmulas sobre las filas del cuadro. El porcentaje bajo el umbral MSAVI 0.4976 procede de la estadística zonal del ráster MSAVI 2024 clasificado (AREAS_MSAVI_BLOQUES_V6_REV_HSCM) y corresponde a la suma de las clases DN 1 a DN 3 sobre la superficie clasificada de cada bloque; «s/d» indica bloques del catálogo sin cobertura en ese archivo.</t>
        </is>
      </c>
      <c r="B19" s="41" t="n"/>
      <c r="C19" s="41" t="n"/>
      <c r="D19" s="41" t="n"/>
      <c r="E19" s="41" t="n"/>
      <c r="F19" s="41" t="n"/>
      <c r="G19" s="41" t="n"/>
      <c r="H19" s="41" t="n"/>
      <c r="I19" s="42" t="n"/>
    </row>
  </sheetData>
  <mergeCells count="10">
    <mergeCell ref="A15:I15"/>
    <mergeCell ref="A19:I19"/>
    <mergeCell ref="A2:I2"/>
    <mergeCell ref="A5:I5"/>
    <mergeCell ref="A1:I1"/>
    <mergeCell ref="A17:I17"/>
    <mergeCell ref="A8:I8"/>
    <mergeCell ref="A3:I3"/>
    <mergeCell ref="A6:I6"/>
    <mergeCell ref="A4:I4"/>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28"/>
  <sheetViews>
    <sheetView workbookViewId="0">
      <pane ySplit="8" topLeftCell="A9" activePane="bottomLeft" state="frozen"/>
      <selection pane="bottomLeft" activeCell="A1" sqref="A1"/>
    </sheetView>
  </sheetViews>
  <sheetFormatPr baseColWidth="8" defaultRowHeight="15"/>
  <cols>
    <col width="8" customWidth="1" min="1" max="1"/>
    <col width="30" customWidth="1" min="2" max="2"/>
    <col width="62" customWidth="1" min="3" max="3"/>
    <col width="16" customWidth="1" min="4" max="4"/>
    <col width="62" customWidth="1" min="5" max="5"/>
  </cols>
  <sheetData>
    <row r="1">
      <c r="A1" s="51" t="inlineStr">
        <is>
          <t>AUTORIDAD NACIONAL DE INFRAESTRUCTURA - ANIN</t>
        </is>
      </c>
    </row>
    <row r="2">
      <c r="A2" s="51" t="inlineStr">
        <is>
          <t>DIRECCION DE INTERVENCIONES MULTISECTORIALES Y DE EMERGENCIA - DIME</t>
        </is>
      </c>
    </row>
    <row r="3">
      <c r="A3" s="51" t="inlineStr">
        <is>
          <t>SUBDIRECCION DE ESTUDIOS DE INVERSION - SESDI</t>
        </is>
      </c>
    </row>
    <row r="4">
      <c r="A4" s="52" t="inlineStr">
        <is>
          <t>PROYECTO IN PIURA | CUI 2669244 | Recuperacion del servicio de regulacion de riesgos naturales y de ecosistemas degradados - Cuenca Alta del Rio Piura</t>
        </is>
      </c>
    </row>
    <row r="5" ht="22" customHeight="1">
      <c r="A5" s="53" t="inlineStr">
        <is>
          <t>CONTROL DE CONSISTENCIA — BLOQUE 36</t>
        </is>
      </c>
    </row>
    <row r="6">
      <c r="A6" s="52" t="inlineStr">
        <is>
          <t>Cruce de la ficha de campo F-DT vigente con la ficha de resumen de gabinete y el catálogo maestro. Integración 2026-09-11 20:22:27.</t>
        </is>
      </c>
    </row>
    <row r="7">
      <c r="A7" s="54" t="inlineStr">
        <is>
          <t>DISCREPANCIAS Y VERIFICACIONES</t>
        </is>
      </c>
    </row>
    <row r="8">
      <c r="A8" s="55" t="inlineStr">
        <is>
          <t>Cod.</t>
        </is>
      </c>
      <c r="B8" s="55" t="inlineStr">
        <is>
          <t>Campo afectado</t>
        </is>
      </c>
      <c r="C8" s="55" t="inlineStr">
        <is>
          <t>Discrepancia observada</t>
        </is>
      </c>
      <c r="D8" s="55" t="inlineStr">
        <is>
          <t>Calificación</t>
        </is>
      </c>
      <c r="E8" s="55" t="inlineStr">
        <is>
          <t>Tratamiento adoptado</t>
        </is>
      </c>
    </row>
    <row r="9">
      <c r="A9" s="56" t="inlineStr">
        <is>
          <t>G-01</t>
        </is>
      </c>
      <c r="B9" s="56" t="inlineStr">
        <is>
          <t>Código de microcuenca</t>
        </is>
      </c>
      <c r="C9" s="56" t="inlineStr">
        <is>
          <t>Ficha DT y catálogo maestro coinciden en «C1096-Q9547».</t>
        </is>
      </c>
      <c r="D9" s="56" t="inlineStr">
        <is>
          <t>CONFORME</t>
        </is>
      </c>
      <c r="E9" s="56" t="inlineStr">
        <is>
          <t>Sin acción.</t>
        </is>
      </c>
    </row>
    <row r="10">
      <c r="A10" s="57" t="inlineStr">
        <is>
          <t>G-02</t>
        </is>
      </c>
      <c r="B10" s="57" t="inlineStr">
        <is>
          <t>UTM del punto de muestreo</t>
        </is>
      </c>
      <c r="C10" s="57" t="inlineStr">
        <is>
          <t>El punto de muestreo declarado dista 0.0 m del centroide, dentro del radio de control.</t>
        </is>
      </c>
      <c r="D10" s="57" t="inlineStr">
        <is>
          <t>CONFORME</t>
        </is>
      </c>
      <c r="E10" s="57" t="inlineStr">
        <is>
          <t>Sin acción.</t>
        </is>
      </c>
    </row>
    <row r="11">
      <c r="A11" s="56" t="inlineStr">
        <is>
          <t>G-03</t>
        </is>
      </c>
      <c r="B11" s="56" t="inlineStr">
        <is>
          <t>Sistema de referencia UTM 17S</t>
        </is>
      </c>
      <c r="C11" s="56" t="inlineStr">
        <is>
          <t>Verificación de rango para EPSG:32717: Conforme.</t>
        </is>
      </c>
      <c r="D11" s="56" t="inlineStr">
        <is>
          <t>CONFORME</t>
        </is>
      </c>
      <c r="E11" s="56" t="inlineStr">
        <is>
          <t>Sin acción.</t>
        </is>
      </c>
    </row>
    <row r="12">
      <c r="A12" s="57" t="inlineStr">
        <is>
          <t>G-04</t>
        </is>
      </c>
      <c r="B12" s="57" t="inlineStr">
        <is>
          <t>Altitud del punto de muestreo</t>
        </is>
      </c>
      <c r="C12" s="57" t="inlineStr">
        <is>
          <t>No es posible contrastar la altitud GPS con el rango altitudinal del bloque: falta uno de los dos datos.</t>
        </is>
      </c>
      <c r="D12" s="57" t="inlineStr">
        <is>
          <t>NO SUSTANTIVA</t>
        </is>
      </c>
      <c r="E12" s="57" t="inlineStr">
        <is>
          <t>Se completa con la lectura GPS de F-DT-01 o con la estadística zonal del MDE.</t>
        </is>
      </c>
    </row>
    <row r="13">
      <c r="A13" s="56" t="inlineStr">
        <is>
          <t>G-05</t>
        </is>
      </c>
      <c r="B13" s="56" t="inlineStr">
        <is>
          <t>Superficie NDVI vs. catálogo</t>
        </is>
      </c>
      <c r="C13" s="56" t="inlineStr">
        <is>
          <t>La superficie clasificada por el NDVI mediana 2025 (24.856 ha) se desvía 0.06 % de la superficie de catálogo (24.84 ha).</t>
        </is>
      </c>
      <c r="D13" s="56" t="inlineStr">
        <is>
          <t>CONFORME</t>
        </is>
      </c>
      <c r="E13" s="56" t="inlineStr">
        <is>
          <t>Sin acción: la segmentación valida la geometría del bloque.</t>
        </is>
      </c>
    </row>
    <row r="14">
      <c r="A14" s="57" t="inlineStr">
        <is>
          <t>G-06</t>
        </is>
      </c>
      <c r="B14" s="57" t="inlineStr">
        <is>
          <t>Superficie MSAVI vs. catálogo</t>
        </is>
      </c>
      <c r="C14" s="57" t="inlineStr">
        <is>
          <t>La superficie clasificada por el MSAVI 2024 (24.843 ha) se desvía 0.01 % de la superficie de catálogo (24.84 ha).</t>
        </is>
      </c>
      <c r="D14" s="57" t="inlineStr">
        <is>
          <t>CONFORME</t>
        </is>
      </c>
      <c r="E14" s="57" t="inlineStr">
        <is>
          <t>Sin acción: la segmentación valida la geometría del bloque.</t>
        </is>
      </c>
    </row>
    <row r="15">
      <c r="A15" s="56" t="inlineStr">
        <is>
          <t>G-07</t>
        </is>
      </c>
      <c r="B15" s="56" t="inlineStr">
        <is>
          <t>Brecha espectral MSAVI</t>
        </is>
      </c>
      <c r="C15" s="56" t="inlineStr">
        <is>
          <t>El 35.63 % del bloque queda bajo el umbral 0.4976; superficie de brecha 8.8521 ha.</t>
        </is>
      </c>
      <c r="D15" s="56" t="inlineStr">
        <is>
          <t>CONFORME</t>
        </is>
      </c>
      <c r="E15" s="56" t="inlineStr">
        <is>
          <t>Sin acción: alimenta el indicador de brecha del proyecto.</t>
        </is>
      </c>
    </row>
    <row r="16">
      <c r="A16" s="57" t="inlineStr">
        <is>
          <t>G-08</t>
        </is>
      </c>
      <c r="B16" s="57" t="inlineStr">
        <is>
          <t>Distribución areal MSAVI 2024</t>
        </is>
      </c>
      <c r="C16" s="57" t="inlineStr">
        <is>
          <t>La hoja de cobertura declara 5 clases DN con superficie, 24.84 ha clasificadas en total.</t>
        </is>
      </c>
      <c r="D16" s="57" t="inlineStr">
        <is>
          <t>CONFORME</t>
        </is>
      </c>
      <c r="E16" s="57" t="inlineStr">
        <is>
          <t>Sin acción: procede de la estadística zonal del raster MSAVI 2024 clasificado.</t>
        </is>
      </c>
    </row>
    <row r="17">
      <c r="A17" s="56" t="inlineStr">
        <is>
          <t>G-09</t>
        </is>
      </c>
      <c r="B17" s="56" t="inlineStr">
        <is>
          <t>Media MSAVI vs. clase DN dominante</t>
        </is>
      </c>
      <c r="C17" s="56" t="inlineStr">
        <is>
          <t>La media del bloque (0.5395) cae en la clase «0.4976 - 0.6139 (Vigor moderado)» y la clase DN dominante por superficie es «DN 4 · 0.4976 - 0.6139 (Vigor moderado)».</t>
        </is>
      </c>
      <c r="D17" s="56" t="inlineStr">
        <is>
          <t>CONFORME</t>
        </is>
      </c>
      <c r="E17" s="56" t="inlineStr">
        <is>
          <t>Sin acción: media y clase dominante son coherentes.</t>
        </is>
      </c>
    </row>
    <row r="18">
      <c r="A18" s="57" t="inlineStr">
        <is>
          <t>G-10</t>
        </is>
      </c>
      <c r="B18" s="57" t="inlineStr">
        <is>
          <t>Peligro integrado (MCA-AHP)</t>
        </is>
      </c>
      <c r="C18" s="57" t="inlineStr">
        <is>
          <t>El nivel de peligro integrado no está disponible en los insumos de este entregable.</t>
        </is>
      </c>
      <c r="D18" s="57" t="inlineStr">
        <is>
          <t>SUSTANTIVA</t>
        </is>
      </c>
      <c r="E18" s="57" t="inlineStr">
        <is>
          <t>Debe tomarse del modelamiento de mesolocalización (MCA-AHP de PMM, EPH y PGI) antes de cerrar el perfil.</t>
        </is>
      </c>
    </row>
    <row r="19">
      <c r="A19" s="56" t="inlineStr">
        <is>
          <t>I-01</t>
        </is>
      </c>
      <c r="B19" s="56" t="inlineStr">
        <is>
          <t>Elenco florístico (n.o de taxones)</t>
        </is>
      </c>
      <c r="C19" s="56" t="inlineStr">
        <is>
          <t>El libro de resumen V6 consignaba «13»; la ficha de campo vigente declara «7».</t>
        </is>
      </c>
      <c r="D19" s="56" t="inlineStr">
        <is>
          <t>CORREGIDO</t>
        </is>
      </c>
      <c r="E19" s="56" t="inlineStr">
        <is>
          <t>Se adopta el valor de campo por ser la fuente que manda sobre el dato y la más reciente. El valor anterior queda declarado para trazabilidad.</t>
        </is>
      </c>
    </row>
    <row r="20">
      <c r="A20" s="57" t="inlineStr">
        <is>
          <t>I-02</t>
        </is>
      </c>
      <c r="B20" s="57" t="inlineStr">
        <is>
          <t>Responsable de la evaluación</t>
        </is>
      </c>
      <c r="C20" s="57" t="inlineStr">
        <is>
          <t>El libro de resumen V6 consignaba «Héctor Cahuas Miller / Pedro Talledo Hernández»; la ficha de campo vigente declara «Ing. Héctor S. Cahuas Miller (Ing. Forestal — ANIN/DIME-SESDI)».</t>
        </is>
      </c>
      <c r="D20" s="57" t="inlineStr">
        <is>
          <t>CORREGIDO</t>
        </is>
      </c>
      <c r="E20" s="57" t="inlineStr">
        <is>
          <t>Se adopta el valor de campo por ser la fuente que manda sobre el dato y la más reciente. El valor anterior queda declarado para trazabilidad.</t>
        </is>
      </c>
    </row>
    <row r="21">
      <c r="A21" s="56" t="inlineStr">
        <is>
          <t>F-01</t>
        </is>
      </c>
      <c r="B21" s="56" t="inlineStr">
        <is>
          <t>Fichas F-DT levantadas</t>
        </is>
      </c>
      <c r="C21" s="56" t="inlineStr">
        <is>
          <t>La plantilla de campo trae las cinco fichas F-DT-01 a F-DT-05 (completitud 92.9 % de los campos esperados).</t>
        </is>
      </c>
      <c r="D21" s="56" t="inlineStr">
        <is>
          <t>CONFORME</t>
        </is>
      </c>
      <c r="E21" s="56" t="inlineStr">
        <is>
          <t>Sin acción.</t>
        </is>
      </c>
    </row>
    <row r="22">
      <c r="A22" s="57" t="inlineStr">
        <is>
          <t>F-02</t>
        </is>
      </c>
      <c r="B22" s="57" t="inlineStr">
        <is>
          <t>Cobertura de la integración</t>
        </is>
      </c>
      <c r="C22" s="57" t="inlineStr">
        <is>
          <t>Se declararon 94 de 114 hechos integrados (82.5 %); 20 quedan sin dato en ninguna fuente.</t>
        </is>
      </c>
      <c r="D22" s="57" t="inlineStr">
        <is>
          <t>CONFORME</t>
        </is>
      </c>
      <c r="E22" s="57" t="inlineStr">
        <is>
          <t>Sin acción.</t>
        </is>
      </c>
    </row>
    <row r="23">
      <c r="A23" s="56" t="inlineStr">
        <is>
          <t>H-01</t>
        </is>
      </c>
      <c r="B23" s="56" t="inlineStr">
        <is>
          <t>Rango altitudinal / piso ecológico</t>
        </is>
      </c>
      <c r="C23" s="56" t="inlineStr">
        <is>
          <t>La ficha DT declara «1500-2000 m (Quechua media)»; el MDE sitúa el bloque entre 1239 y 1476 msnm, cuyo punto medio corresponde a «1000-1500 m (Quechua baja)»</t>
        </is>
      </c>
      <c r="D23" s="56" t="inlineStr">
        <is>
          <t>NO SUSTANTIVA</t>
        </is>
      </c>
      <c r="E23" s="56" t="inlineStr">
        <is>
          <t>Se declara la divergencia. El bloque abarca más de un piso altitudinal cuando la amplitud supera el ancho de la clase; el registro de campo corresponde al sector recorrido. (Verificación heredada de la ficha de resumen V6.)</t>
        </is>
      </c>
    </row>
    <row r="24">
      <c r="A24" s="57" t="inlineStr">
        <is>
          <t>H-02</t>
        </is>
      </c>
      <c r="B24" s="57" t="inlineStr">
        <is>
          <t>Centro poblado asociado</t>
        </is>
      </c>
      <c r="C24" s="57" t="inlineStr">
        <is>
          <t>La ficha DT declara «Guabal»; el cruce INEI-Bloques V5 identifica 1 centro(s) poblado(s) en el bloque: GUABAL</t>
        </is>
      </c>
      <c r="D24" s="57" t="inlineStr">
        <is>
          <t>CONFORME</t>
        </is>
      </c>
      <c r="E24" s="57" t="inlineStr">
        <is>
          <t>Se conserva el registro de campo como referencia y se adopta el listado INEI para el diagnóstico social y el cálculo de población beneficiaria. (Verificación heredada de la ficha de resumen V6.)</t>
        </is>
      </c>
    </row>
    <row r="26">
      <c r="A26" s="58" t="inlineStr">
        <is>
          <t>RESUMEN</t>
        </is>
      </c>
      <c r="B26" s="59" t="inlineStr">
        <is>
          <t>16 verificaciones</t>
        </is>
      </c>
      <c r="C26" s="59" t="inlineStr">
        <is>
          <t>SUSTANTIVA: 1 · NO SUSTANTIVA: 2 · CORREGIDO: 2 · CONFORME: 11</t>
        </is>
      </c>
    </row>
    <row r="28">
      <c r="A28" s="60" t="inlineStr">
        <is>
          <t>NOTA METODOLÓGICA. Este control se genera del cruce automático entre la plantilla DT de campo vigente (fichas F-DT-01 a F-DT-05) y la ficha de resumen de gabinete. Cada hecho territorial se declara una sola vez, con la fuente que manda sobre el: campo para lo observado en terreno, gabinete para lo derivado del MDE y de los compuestos Sentinel-2, y fuente oficial para el catálogo maestro de bloques, la división política INEI y la codificación de microcuencas de la ANA. Ningún valor ausente se estima: lo que ninguna fuente declara se consigna como pendiente. Sistema de referencia UTM WGS 84 Zona 17S (EPSG:32717).</t>
        </is>
      </c>
    </row>
  </sheetData>
  <mergeCells count="7">
    <mergeCell ref="A4:E4"/>
    <mergeCell ref="A2:E2"/>
    <mergeCell ref="A28:E28"/>
    <mergeCell ref="A1:E1"/>
    <mergeCell ref="A5:E5"/>
    <mergeCell ref="A6:E6"/>
    <mergeCell ref="A3:E3"/>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55"/>
  <sheetViews>
    <sheetView workbookViewId="0">
      <selection activeCell="A1" sqref="A1"/>
    </sheetView>
  </sheetViews>
  <sheetFormatPr baseColWidth="8" defaultRowHeight="15"/>
  <cols>
    <col width="34" customWidth="1" min="1" max="1"/>
    <col width="38" customWidth="1" min="2" max="2"/>
    <col width="44" customWidth="1" min="3" max="3"/>
    <col width="44" customWidth="1" min="4" max="4"/>
    <col width="24" customWidth="1" min="5" max="5"/>
    <col width="18" customWidth="1" min="6" max="6"/>
  </cols>
  <sheetData>
    <row r="1">
      <c r="A1" s="51" t="inlineStr">
        <is>
          <t>AUTORIDAD NACIONAL DE INFRAESTRUCTURA - ANIN</t>
        </is>
      </c>
    </row>
    <row r="2">
      <c r="A2" s="51" t="inlineStr">
        <is>
          <t>DIRECCION DE INTERVENCIONES MULTISECTORIALES Y DE EMERGENCIA - DIME</t>
        </is>
      </c>
    </row>
    <row r="3">
      <c r="A3" s="51" t="inlineStr">
        <is>
          <t>SUBDIRECCION DE ESTUDIOS DE INVERSION - SESDI</t>
        </is>
      </c>
    </row>
    <row r="4">
      <c r="A4" s="52" t="inlineStr">
        <is>
          <t>PROYECTO IN PIURA | CUI 2669244 | Recuperacion del servicio de regulacion de riesgos naturales y de ecosistemas degradados - Cuenca Alta del Rio Piura</t>
        </is>
      </c>
    </row>
    <row r="5" ht="22" customHeight="1">
      <c r="A5" s="53" t="inlineStr">
        <is>
          <t>INTEGRACIÓN DE LA FICHA DE CAMPO — BLOQUE 36</t>
        </is>
      </c>
    </row>
    <row r="7">
      <c r="A7" s="54" t="inlineStr">
        <is>
          <t>A. HECHOS ACTUALIZADOS POR LA VERIFICACIÓN DE CAMPO</t>
        </is>
      </c>
    </row>
    <row r="8">
      <c r="A8" s="55" t="inlineStr">
        <is>
          <t>Sección</t>
        </is>
      </c>
      <c r="B8" s="55" t="inlineStr">
        <is>
          <t>Hecho</t>
        </is>
      </c>
      <c r="C8" s="55" t="inlineStr">
        <is>
          <t>Valor en la ficha V6</t>
        </is>
      </c>
      <c r="D8" s="55" t="inlineStr">
        <is>
          <t>Valor de campo vigente</t>
        </is>
      </c>
      <c r="E8" s="55" t="inlineStr">
        <is>
          <t>Fuente que manda</t>
        </is>
      </c>
    </row>
    <row r="9">
      <c r="A9" s="56" t="inlineStr">
        <is>
          <t>5. Ecosistema, cobertura y flora (F-DT-03)</t>
        </is>
      </c>
      <c r="B9" s="56" t="inlineStr">
        <is>
          <t>Elenco florístico (n.o de taxones)</t>
        </is>
      </c>
      <c r="C9" s="56" t="inlineStr">
        <is>
          <t>13</t>
        </is>
      </c>
      <c r="D9" s="56" t="inlineStr">
        <is>
          <t>7</t>
        </is>
      </c>
      <c r="E9" s="56" t="inlineStr">
        <is>
          <t>Dato de campo</t>
        </is>
      </c>
    </row>
    <row r="10">
      <c r="A10" s="57" t="inlineStr">
        <is>
          <t>8. Responsable y modalidad de la evaluación</t>
        </is>
      </c>
      <c r="B10" s="57" t="inlineStr">
        <is>
          <t>Responsable de la evaluación</t>
        </is>
      </c>
      <c r="C10" s="57" t="inlineStr">
        <is>
          <t>Héctor Cahuas Miller / Pedro Talledo Hernández</t>
        </is>
      </c>
      <c r="D10" s="57" t="inlineStr">
        <is>
          <t>Ing. Héctor S. Cahuas Miller (Ing. Forestal — ANIN/DIME-SESDI)</t>
        </is>
      </c>
      <c r="E10" s="57" t="inlineStr">
        <is>
          <t>Dato de campo</t>
        </is>
      </c>
    </row>
    <row r="12">
      <c r="A12" s="54" t="inlineStr">
        <is>
          <t>B. HECHOS APORTADOS ÚNICAMENTE POR LA FICHA DE CAMPO</t>
        </is>
      </c>
    </row>
    <row r="13">
      <c r="A13" s="55" t="inlineStr">
        <is>
          <t>Sección</t>
        </is>
      </c>
      <c r="B13" s="55" t="inlineStr">
        <is>
          <t>Hecho</t>
        </is>
      </c>
      <c r="C13" s="55" t="inlineStr">
        <is>
          <t>Valor</t>
        </is>
      </c>
      <c r="D13" s="55" t="inlineStr">
        <is>
          <t>Unidad</t>
        </is>
      </c>
    </row>
    <row r="14">
      <c r="A14" s="56" t="inlineStr">
        <is>
          <t>1. Identificación y localización</t>
        </is>
      </c>
      <c r="B14" s="56" t="inlineStr">
        <is>
          <t>UTM ESTE del punto de muestreo (m)</t>
        </is>
      </c>
      <c r="C14" s="56" t="inlineStr">
        <is>
          <t>606468</t>
        </is>
      </c>
      <c r="D14" s="56" t="inlineStr">
        <is>
          <t>m</t>
        </is>
      </c>
    </row>
    <row r="15">
      <c r="A15" s="57" t="inlineStr">
        <is>
          <t>1. Identificación y localización</t>
        </is>
      </c>
      <c r="B15" s="57" t="inlineStr">
        <is>
          <t>UTM NORTE del punto de muestreo (m)</t>
        </is>
      </c>
      <c r="C15" s="57" t="inlineStr">
        <is>
          <t>9454689</t>
        </is>
      </c>
      <c r="D15" s="57" t="inlineStr">
        <is>
          <t>m</t>
        </is>
      </c>
    </row>
    <row r="16">
      <c r="A16" s="56" t="inlineStr">
        <is>
          <t>2. Parámetros físicos del terreno</t>
        </is>
      </c>
      <c r="B16" s="56" t="inlineStr">
        <is>
          <t>Piso altitudinal del punto de muestreo</t>
        </is>
      </c>
      <c r="C16" s="56" t="inlineStr">
        <is>
          <t>1500-2000 m (Quechua media)</t>
        </is>
      </c>
      <c r="D16" s="56" t="inlineStr"/>
    </row>
    <row r="17">
      <c r="A17" s="57" t="inlineStr">
        <is>
          <t>2. Parámetros físicos del terreno</t>
        </is>
      </c>
      <c r="B17" s="57" t="inlineStr">
        <is>
          <t>Paisaje dominante descrito en campo</t>
        </is>
      </c>
      <c r="C17" s="57" t="inlineStr">
        <is>
          <t>Ladera montañosa disectada por quebradas tributarias; mosaico de pastizales cultivados, parcelas de maíz y relictos de bosque/matorral en las quebradas, con árboles nativos dispersos. Neblina frecuente en cimas.</t>
        </is>
      </c>
      <c r="D17" s="57" t="inlineStr"/>
    </row>
    <row r="18">
      <c r="A18" s="56" t="inlineStr">
        <is>
          <t>2. Parámetros físicos del terreno</t>
        </is>
      </c>
      <c r="B18" s="56" t="inlineStr">
        <is>
          <t>Reptación de suelo</t>
        </is>
      </c>
      <c r="C18" s="56" t="inlineStr">
        <is>
          <t>No</t>
        </is>
      </c>
      <c r="D18" s="56" t="inlineStr"/>
    </row>
    <row r="19">
      <c r="A19" s="57" t="inlineStr">
        <is>
          <t>2. Parámetros físicos del terreno</t>
        </is>
      </c>
      <c r="B19" s="57" t="inlineStr">
        <is>
          <t>Deslizamientos antiguos</t>
        </is>
      </c>
      <c r="C19" s="57" t="inlineStr">
        <is>
          <t>No</t>
        </is>
      </c>
      <c r="D19" s="57" t="inlineStr"/>
    </row>
    <row r="20">
      <c r="A20" s="56" t="inlineStr">
        <is>
          <t>4. Suelos y erosión (F-DT-02)</t>
        </is>
      </c>
      <c r="B20" s="56" t="inlineStr">
        <is>
          <t>Nivel de erosión - síntesis de campo</t>
        </is>
      </c>
      <c r="C20" s="56" t="inlineStr">
        <is>
          <t>Ligera (laminar)</t>
        </is>
      </c>
      <c r="D20" s="56" t="inlineStr"/>
    </row>
    <row r="21">
      <c r="A21" s="57" t="inlineStr">
        <is>
          <t>4. Suelos y erosión (F-DT-02)</t>
        </is>
      </c>
      <c r="B21" s="57" t="inlineStr">
        <is>
          <t>Sellamiento / costra superficial</t>
        </is>
      </c>
      <c r="C21" s="57" t="inlineStr">
        <is>
          <t>No</t>
        </is>
      </c>
      <c r="D21" s="57" t="inlineStr"/>
    </row>
    <row r="22">
      <c r="A22" s="56" t="inlineStr">
        <is>
          <t>4. Suelos y erosión (F-DT-02)</t>
        </is>
      </c>
      <c r="B22" s="56" t="inlineStr">
        <is>
          <t>Compactación por pisoteo</t>
        </is>
      </c>
      <c r="C22" s="56" t="inlineStr">
        <is>
          <t>Sí</t>
        </is>
      </c>
      <c r="D22" s="56" t="inlineStr"/>
    </row>
    <row r="23">
      <c r="A23" s="57" t="inlineStr">
        <is>
          <t>4. Suelos y erosión (F-DT-02)</t>
        </is>
      </c>
      <c r="B23" s="57" t="inlineStr">
        <is>
          <t>Raíces expuestas</t>
        </is>
      </c>
      <c r="C23" s="57" t="inlineStr">
        <is>
          <t>No</t>
        </is>
      </c>
      <c r="D23" s="57" t="inlineStr"/>
    </row>
    <row r="24">
      <c r="A24" s="56" t="inlineStr">
        <is>
          <t>4. Suelos y erosión (F-DT-02)</t>
        </is>
      </c>
      <c r="B24" s="56" t="inlineStr">
        <is>
          <t>Longitud total de cárcavas (m)</t>
        </is>
      </c>
      <c r="C24" s="56" t="inlineStr">
        <is>
          <t>0</t>
        </is>
      </c>
      <c r="D24" s="56" t="inlineStr">
        <is>
          <t>m</t>
        </is>
      </c>
    </row>
    <row r="25">
      <c r="A25" s="57" t="inlineStr">
        <is>
          <t>4. Suelos y erosión (F-DT-02)</t>
        </is>
      </c>
      <c r="B25" s="57" t="inlineStr">
        <is>
          <t>% del bloque afectado por cárcavas</t>
        </is>
      </c>
      <c r="C25" s="57" t="inlineStr">
        <is>
          <t>0</t>
        </is>
      </c>
      <c r="D25" s="57" t="inlineStr">
        <is>
          <t>%</t>
        </is>
      </c>
    </row>
    <row r="26">
      <c r="A26" s="56" t="inlineStr">
        <is>
          <t>4. Suelos y erosión (F-DT-02)</t>
        </is>
      </c>
      <c r="B26" s="56" t="inlineStr">
        <is>
          <t>Erosión laminar (% del bloque)</t>
        </is>
      </c>
      <c r="C26" s="56" t="inlineStr">
        <is>
          <t>10</t>
        </is>
      </c>
      <c r="D26" s="56" t="inlineStr">
        <is>
          <t>%</t>
        </is>
      </c>
    </row>
    <row r="27">
      <c r="A27" s="57" t="inlineStr">
        <is>
          <t>4. Suelos y erosión (F-DT-02)</t>
        </is>
      </c>
      <c r="B27" s="57" t="inlineStr">
        <is>
          <t>Socavamiento de cauce</t>
        </is>
      </c>
      <c r="C27" s="57" t="inlineStr">
        <is>
          <t>No</t>
        </is>
      </c>
      <c r="D27" s="57" t="inlineStr"/>
    </row>
    <row r="28">
      <c r="A28" s="56" t="inlineStr">
        <is>
          <t>5. Ecosistema, cobertura y flora (F-DT-03)</t>
        </is>
      </c>
      <c r="B28" s="56" t="inlineStr">
        <is>
          <t>Cobertura del dosel (%)</t>
        </is>
      </c>
      <c r="C28" s="56" t="inlineStr">
        <is>
          <t>20</t>
        </is>
      </c>
      <c r="D28" s="56" t="inlineStr">
        <is>
          <t>%</t>
        </is>
      </c>
    </row>
    <row r="29">
      <c r="A29" s="57" t="inlineStr">
        <is>
          <t>5. Ecosistema, cobertura y flora (F-DT-03)</t>
        </is>
      </c>
      <c r="B29" s="57" t="inlineStr">
        <is>
          <t>Cobertura herbácea (%)</t>
        </is>
      </c>
      <c r="C29" s="57" t="inlineStr">
        <is>
          <t>40</t>
        </is>
      </c>
      <c r="D29" s="57" t="inlineStr">
        <is>
          <t>%</t>
        </is>
      </c>
    </row>
    <row r="30">
      <c r="A30" s="56" t="inlineStr">
        <is>
          <t>5. Ecosistema, cobertura y flora (F-DT-03)</t>
        </is>
      </c>
      <c r="B30" s="56" t="inlineStr">
        <is>
          <t>Fenología dominante</t>
        </is>
      </c>
      <c r="C30" s="56" t="inlineStr">
        <is>
          <t>Vegetativo</t>
        </is>
      </c>
      <c r="D30" s="56" t="inlineStr"/>
    </row>
    <row r="31">
      <c r="A31" s="57" t="inlineStr">
        <is>
          <t>5. Ecosistema, cobertura y flora (F-DT-03)</t>
        </is>
      </c>
      <c r="B31" s="57" t="inlineStr">
        <is>
          <t>Dimensiones de la parcela (m)</t>
        </is>
      </c>
      <c r="C31" s="57" t="inlineStr">
        <is>
          <t>No aplica (recorrido)</t>
        </is>
      </c>
      <c r="D31" s="57" t="inlineStr"/>
    </row>
    <row r="32">
      <c r="A32" s="56" t="inlineStr">
        <is>
          <t>5. Ecosistema, cobertura y flora (F-DT-03)</t>
        </is>
      </c>
      <c r="B32" s="56" t="inlineStr">
        <is>
          <t>Especies clave georreferenciadas</t>
        </is>
      </c>
      <c r="C32" s="56" t="inlineStr">
        <is>
          <t>1</t>
        </is>
      </c>
      <c r="D32" s="56" t="inlineStr"/>
    </row>
    <row r="33">
      <c r="A33" s="57" t="inlineStr">
        <is>
          <t>6. Degradación, causas y urgencia (F-DT-04)</t>
        </is>
      </c>
      <c r="B33" s="57" t="inlineStr">
        <is>
          <t>Causas directas de la degradación</t>
        </is>
      </c>
      <c r="C33" s="57" t="inlineStr">
        <is>
          <t>Conversión de cobertura a pastos cultivados y parcelas de cultivo (maíz) en laderas de fuerte pendiente; pastoreo extensivo; presión menor por cercanía a CC.PP. y caminos; presencia de Agave en bordes.</t>
        </is>
      </c>
      <c r="D33" s="57" t="inlineStr"/>
    </row>
    <row r="34">
      <c r="A34" s="56" t="inlineStr">
        <is>
          <t>6. Degradación, causas y urgencia (F-DT-04)</t>
        </is>
      </c>
      <c r="B34" s="56" t="inlineStr">
        <is>
          <t>N.° de causas activas en la matriz F-DT-04</t>
        </is>
      </c>
      <c r="C34" s="56" t="inlineStr">
        <is>
          <t>7</t>
        </is>
      </c>
      <c r="D34" s="56" t="inlineStr"/>
    </row>
    <row r="35">
      <c r="A35" s="57" t="inlineStr">
        <is>
          <t>7. Hidrología, acceso y logística (F-DT-05)</t>
        </is>
      </c>
      <c r="B35" s="57" t="inlineStr">
        <is>
          <t>Escorrentía concentrada</t>
        </is>
      </c>
      <c r="C35" s="57" t="inlineStr">
        <is>
          <t>Sí</t>
        </is>
      </c>
      <c r="D35" s="57" t="inlineStr"/>
    </row>
    <row r="36">
      <c r="A36" s="56" t="inlineStr">
        <is>
          <t>7. Hidrología, acceso y logística (F-DT-05)</t>
        </is>
      </c>
      <c r="B36" s="56" t="inlineStr">
        <is>
          <t>Fuentes de agua inventariadas</t>
        </is>
      </c>
      <c r="C36" s="56" t="inlineStr">
        <is>
          <t>2</t>
        </is>
      </c>
      <c r="D36" s="56" t="inlineStr"/>
    </row>
    <row r="37">
      <c r="A37" s="57" t="inlineStr">
        <is>
          <t>7. Hidrología, acceso y logística (F-DT-05)</t>
        </is>
      </c>
      <c r="B37" s="57" t="inlineStr">
        <is>
          <t>Interferencia con riego</t>
        </is>
      </c>
      <c r="C37" s="57" t="inlineStr">
        <is>
          <t>No</t>
        </is>
      </c>
      <c r="D37" s="57" t="inlineStr"/>
    </row>
    <row r="38">
      <c r="A38" s="56" t="inlineStr">
        <is>
          <t>7. Hidrología, acceso y logística (F-DT-05)</t>
        </is>
      </c>
      <c r="B38" s="56" t="inlineStr">
        <is>
          <t>Vía principal de acceso</t>
        </is>
      </c>
      <c r="C38" s="56" t="inlineStr">
        <is>
          <t>Trocha carrozable (acceso desde Frías hacia CC.PP. Guabal/Huabal) + camino de herradura</t>
        </is>
      </c>
      <c r="D38" s="56" t="inlineStr"/>
    </row>
    <row r="39">
      <c r="A39" s="57" t="inlineStr">
        <is>
          <t>7. Hidrología, acceso y logística (F-DT-05)</t>
        </is>
      </c>
      <c r="B39" s="57" t="inlineStr">
        <is>
          <t>Tipo de vía del tramo final</t>
        </is>
      </c>
      <c r="C39" s="57" t="inlineStr">
        <is>
          <t>Camino de herradura</t>
        </is>
      </c>
      <c r="D39" s="57" t="inlineStr"/>
    </row>
    <row r="40">
      <c r="A40" s="56" t="inlineStr">
        <is>
          <t>7. Hidrología, acceso y logística (F-DT-05)</t>
        </is>
      </c>
      <c r="B40" s="56" t="inlineStr">
        <is>
          <t>Transitabilidad en época seca</t>
        </is>
      </c>
      <c r="C40" s="56" t="inlineStr">
        <is>
          <t>Medio</t>
        </is>
      </c>
      <c r="D40" s="56" t="inlineStr"/>
    </row>
    <row r="41">
      <c r="A41" s="57" t="inlineStr">
        <is>
          <t>7. Hidrología, acceso y logística (F-DT-05)</t>
        </is>
      </c>
      <c r="B41" s="57" t="inlineStr">
        <is>
          <t>Transitabilidad en época lluviosa</t>
        </is>
      </c>
      <c r="C41" s="57" t="inlineStr">
        <is>
          <t>Bajo</t>
        </is>
      </c>
      <c r="D41" s="57" t="inlineStr"/>
    </row>
    <row r="43">
      <c r="A43" s="54" t="inlineStr">
        <is>
          <t>C. PROCEDENCIA DE LOS HECHOS DECLARADOS</t>
        </is>
      </c>
    </row>
    <row r="44">
      <c r="A44" s="55" t="inlineStr">
        <is>
          <t>Fuente</t>
        </is>
      </c>
      <c r="B44" s="55" t="inlineStr">
        <is>
          <t>Hechos</t>
        </is>
      </c>
      <c r="C44" s="55" t="inlineStr">
        <is>
          <t>Alcance de la fuente</t>
        </is>
      </c>
    </row>
    <row r="45">
      <c r="A45" s="56" t="inlineStr">
        <is>
          <t>Dato de campo</t>
        </is>
      </c>
      <c r="B45" s="56" t="n">
        <v>59</v>
      </c>
      <c r="C45" s="56" t="inlineStr">
        <is>
          <t>Verificación en campo. Fichas F-DT-01 a F-DT-05 de la Plantilla DT Campo Check Validada V5, suscritas por el evaluador.</t>
        </is>
      </c>
    </row>
    <row r="46">
      <c r="A46" s="57" t="inlineStr">
        <is>
          <t>Gabinete (GIS / teledetección)</t>
        </is>
      </c>
      <c r="B46" s="57" t="n">
        <v>21</v>
      </c>
      <c r="C46" s="57" t="inlineStr">
        <is>
          <t>Gabinete. Estadística zonal sobre el MDE y compuestos Sentinel-2 (NDVI mediana 2025, MSAVI 2024 por clase DN).</t>
        </is>
      </c>
    </row>
    <row r="47">
      <c r="A47" s="56" t="inlineStr">
        <is>
          <t>Fuente oficial</t>
        </is>
      </c>
      <c r="B47" s="56" t="n">
        <v>14</v>
      </c>
      <c r="C47" s="56" t="inlineStr">
        <is>
          <t>Fuente oficial. Catálogo maestro Bloques V5/V6, división política INEI y codificación de microcuencas de la ANA.</t>
        </is>
      </c>
    </row>
    <row r="49">
      <c r="A49" s="54" t="inlineStr">
        <is>
          <t>D. ESTADO DEL CRUCE ENTRE FUENTES</t>
        </is>
      </c>
    </row>
    <row r="50">
      <c r="A50" s="55" t="inlineStr">
        <is>
          <t>Estado</t>
        </is>
      </c>
      <c r="B50" s="55" t="inlineStr">
        <is>
          <t>Hechos</t>
        </is>
      </c>
      <c r="C50" s="55" t="inlineStr">
        <is>
          <t>Significado</t>
        </is>
      </c>
    </row>
    <row r="51">
      <c r="A51" s="56" t="inlineStr">
        <is>
          <t>CONFORME</t>
        </is>
      </c>
      <c r="B51" s="56" t="n">
        <v>92</v>
      </c>
      <c r="C51" s="56" t="inlineStr">
        <is>
          <t>Las dos fuentes declaran lo mismo, o solo la fuente que manda sobre el hecho lo declara.</t>
        </is>
      </c>
    </row>
    <row r="52">
      <c r="A52" s="57" t="inlineStr">
        <is>
          <t>COMPLEMENTADO</t>
        </is>
      </c>
      <c r="B52" s="57" t="n">
        <v>0</v>
      </c>
      <c r="C52" s="57" t="inlineStr">
        <is>
          <t>Solo una de las fuentes lo declara y se adopta ese valor.</t>
        </is>
      </c>
    </row>
    <row r="53">
      <c r="A53" s="56" t="inlineStr">
        <is>
          <t>ACTUALIZADO</t>
        </is>
      </c>
      <c r="B53" s="56" t="n">
        <v>2</v>
      </c>
      <c r="C53" s="56" t="inlineStr">
        <is>
          <t>La verificación de campo vigente corrige lo que traía el libro de resumen.</t>
        </is>
      </c>
    </row>
    <row r="54">
      <c r="A54" s="57" t="inlineStr">
        <is>
          <t>DISCREPANTE</t>
        </is>
      </c>
      <c r="B54" s="57" t="n">
        <v>0</v>
      </c>
      <c r="C54" s="57" t="inlineStr">
        <is>
          <t>Las fuentes se contradicen; prevalece la que manda sobre el hecho y la otra queda declarada.</t>
        </is>
      </c>
    </row>
    <row r="55">
      <c r="A55" s="56" t="inlineStr">
        <is>
          <t>PENDIENTE</t>
        </is>
      </c>
      <c r="B55" s="56" t="n">
        <v>20</v>
      </c>
      <c r="C55" s="56" t="inlineStr">
        <is>
          <t>Ninguna fuente lo declara; no se estima valor alguno.</t>
        </is>
      </c>
    </row>
  </sheetData>
  <mergeCells count="5">
    <mergeCell ref="A2:F2"/>
    <mergeCell ref="A1:F1"/>
    <mergeCell ref="A5:F5"/>
    <mergeCell ref="A4:F4"/>
    <mergeCell ref="A3:F3"/>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I66"/>
  <sheetViews>
    <sheetView workbookViewId="0">
      <selection activeCell="A1" sqref="A1"/>
    </sheetView>
  </sheetViews>
  <sheetFormatPr baseColWidth="8" defaultRowHeight="15"/>
  <cols>
    <col width="8" customWidth="1" min="1" max="1"/>
    <col width="30" customWidth="1" min="2" max="2"/>
    <col width="30" customWidth="1" min="3" max="3"/>
    <col width="22" customWidth="1" min="4" max="4"/>
    <col width="20" customWidth="1" min="5" max="5"/>
    <col width="16" customWidth="1" min="6" max="6"/>
    <col width="16" customWidth="1" min="7" max="7"/>
    <col width="20" customWidth="1" min="8" max="8"/>
    <col width="34" customWidth="1" min="9" max="9"/>
  </cols>
  <sheetData>
    <row r="1">
      <c r="A1" s="51" t="inlineStr">
        <is>
          <t>AUTORIDAD NACIONAL DE INFRAESTRUCTURA - ANIN</t>
        </is>
      </c>
    </row>
    <row r="2">
      <c r="A2" s="51" t="inlineStr">
        <is>
          <t>DIRECCION DE INTERVENCIONES MULTISECTORIALES Y DE EMERGENCIA - DIME</t>
        </is>
      </c>
    </row>
    <row r="3">
      <c r="A3" s="51" t="inlineStr">
        <is>
          <t>SUBDIRECCION DE ESTUDIOS DE INVERSION - SESDI</t>
        </is>
      </c>
    </row>
    <row r="4">
      <c r="A4" s="52" t="inlineStr">
        <is>
          <t>PROYECTO IN PIURA | CUI 2669244 | Recuperacion del servicio de regulacion de riesgos naturales y de ecosistemas degradados - Cuenca Alta del Rio Piura</t>
        </is>
      </c>
    </row>
    <row r="5" ht="22" customHeight="1">
      <c r="A5" s="53" t="inlineStr">
        <is>
          <t>REGISTRO DE CAMPO F-DT-01 A F-DT-05 — BLOQUE 36</t>
        </is>
      </c>
    </row>
    <row r="7">
      <c r="A7" s="54" t="inlineStr">
        <is>
          <t>F-DT-02 · INVENTARIO DE CÁRCAVAS</t>
        </is>
      </c>
    </row>
    <row r="8">
      <c r="A8" s="55" t="inlineStr">
        <is>
          <t>Código</t>
        </is>
      </c>
      <c r="B8" s="55" t="inlineStr">
        <is>
          <t>Tipo</t>
        </is>
      </c>
      <c r="C8" s="55" t="inlineStr">
        <is>
          <t>UTM E ini.</t>
        </is>
      </c>
      <c r="D8" s="55" t="inlineStr">
        <is>
          <t>UTM N ini.</t>
        </is>
      </c>
      <c r="E8" s="55" t="inlineStr">
        <is>
          <t>Longitud (m)</t>
        </is>
      </c>
      <c r="F8" s="55" t="inlineStr">
        <is>
          <t>Prof. (m)</t>
        </is>
      </c>
      <c r="G8" s="55" t="inlineStr">
        <is>
          <t>Ancho (m)</t>
        </is>
      </c>
      <c r="H8" s="55" t="inlineStr">
        <is>
          <t>Estado</t>
        </is>
      </c>
      <c r="I8" s="55" t="inlineStr">
        <is>
          <t>Causa</t>
        </is>
      </c>
    </row>
    <row r="9">
      <c r="A9" s="56" t="inlineStr">
        <is>
          <t>Sin cárcavas inventariadas en el tramo verificado</t>
        </is>
      </c>
      <c r="B9" s="56" t="inlineStr"/>
      <c r="C9" s="56" t="inlineStr"/>
      <c r="D9" s="56" t="inlineStr"/>
      <c r="E9" s="56" t="inlineStr"/>
      <c r="F9" s="56" t="inlineStr"/>
      <c r="G9" s="56" t="inlineStr"/>
      <c r="H9" s="56" t="inlineStr"/>
      <c r="I9" s="56" t="inlineStr"/>
    </row>
    <row r="11">
      <c r="A11" s="54" t="inlineStr">
        <is>
          <t>F-DT-03 · ELENCO FLORÍSTICO</t>
        </is>
      </c>
    </row>
    <row r="12">
      <c r="A12" s="55" t="inlineStr">
        <is>
          <t>N.o</t>
        </is>
      </c>
      <c r="B12" s="55" t="inlineStr">
        <is>
          <t>Nombre común</t>
        </is>
      </c>
      <c r="C12" s="55" t="inlineStr">
        <is>
          <t>Nombre científico</t>
        </is>
      </c>
      <c r="D12" s="55" t="inlineStr">
        <is>
          <t>Familia</t>
        </is>
      </c>
      <c r="E12" s="55" t="inlineStr">
        <is>
          <t>Estrato</t>
        </is>
      </c>
      <c r="F12" s="55" t="inlineStr">
        <is>
          <t>Origen</t>
        </is>
      </c>
      <c r="G12" s="55" t="inlineStr">
        <is>
          <t>Abundancia</t>
        </is>
      </c>
      <c r="H12" s="55" t="inlineStr">
        <is>
          <t>DAP (cm)</t>
        </is>
      </c>
      <c r="I12" s="55" t="inlineStr">
        <is>
          <t>Altura (m)</t>
        </is>
      </c>
    </row>
    <row r="13">
      <c r="A13" s="56" t="inlineStr">
        <is>
          <t>1</t>
        </is>
      </c>
      <c r="B13" s="56" t="inlineStr">
        <is>
          <t>Pastos cultivados</t>
        </is>
      </c>
      <c r="C13" s="56" t="inlineStr">
        <is>
          <t>Poaceae (indet.)</t>
        </is>
      </c>
      <c r="D13" s="56" t="inlineStr">
        <is>
          <t>Poaceae</t>
        </is>
      </c>
      <c r="E13" s="56" t="inlineStr">
        <is>
          <t>Herbáceo (&lt;0.5 m)</t>
        </is>
      </c>
      <c r="F13" s="56" t="inlineStr">
        <is>
          <t>Introducida</t>
        </is>
      </c>
      <c r="G13" s="56" t="inlineStr">
        <is>
          <t>Dominante (&gt;40%)</t>
        </is>
      </c>
      <c r="H13" s="56" t="n"/>
      <c r="I13" s="56" t="n"/>
    </row>
    <row r="14">
      <c r="A14" s="57" t="inlineStr">
        <is>
          <t>2</t>
        </is>
      </c>
      <c r="B14" s="57" t="inlineStr">
        <is>
          <t>Maíz</t>
        </is>
      </c>
      <c r="C14" s="57" t="inlineStr">
        <is>
          <t>Zea mays</t>
        </is>
      </c>
      <c r="D14" s="57" t="inlineStr">
        <is>
          <t>Poaceae</t>
        </is>
      </c>
      <c r="E14" s="57" t="inlineStr">
        <is>
          <t>Herbáceo (&lt;0.5 m)</t>
        </is>
      </c>
      <c r="F14" s="57" t="inlineStr">
        <is>
          <t>Introducida</t>
        </is>
      </c>
      <c r="G14" s="57" t="inlineStr">
        <is>
          <t>Frecuente (5-20%)</t>
        </is>
      </c>
      <c r="H14" s="57" t="n"/>
      <c r="I14" s="57" t="n"/>
    </row>
    <row r="15">
      <c r="A15" s="56" t="inlineStr">
        <is>
          <t>3</t>
        </is>
      </c>
      <c r="B15" s="56" t="inlineStr">
        <is>
          <t>Agave</t>
        </is>
      </c>
      <c r="C15" s="56" t="inlineStr">
        <is>
          <t>Agave americana</t>
        </is>
      </c>
      <c r="D15" s="56" t="inlineStr">
        <is>
          <t>Asparagaceae</t>
        </is>
      </c>
      <c r="E15" s="56" t="inlineStr">
        <is>
          <t>Arbustivo alto (1.5-4 m)</t>
        </is>
      </c>
      <c r="F15" s="56" t="inlineStr">
        <is>
          <t>Introducida</t>
        </is>
      </c>
      <c r="G15" s="56" t="inlineStr">
        <is>
          <t>Ocasional (1-5%)</t>
        </is>
      </c>
      <c r="H15" s="56" t="n"/>
      <c r="I15" s="56" t="n"/>
    </row>
    <row r="16">
      <c r="A16" s="57" t="inlineStr">
        <is>
          <t>4</t>
        </is>
      </c>
      <c r="B16" s="57" t="inlineStr">
        <is>
          <t>Higuerilla</t>
        </is>
      </c>
      <c r="C16" s="57" t="inlineStr">
        <is>
          <t>Ricinus communis</t>
        </is>
      </c>
      <c r="D16" s="57" t="inlineStr">
        <is>
          <t>Euphorbiaceae</t>
        </is>
      </c>
      <c r="E16" s="57" t="inlineStr">
        <is>
          <t>Arbustivo bajo (0.5-1.5 m)</t>
        </is>
      </c>
      <c r="F16" s="57" t="inlineStr">
        <is>
          <t>Nativa</t>
        </is>
      </c>
      <c r="G16" s="57" t="inlineStr">
        <is>
          <t>Frecuente (5-20%)</t>
        </is>
      </c>
      <c r="H16" s="57" t="n"/>
      <c r="I16" s="57" t="n"/>
    </row>
    <row r="17">
      <c r="A17" s="56" t="inlineStr">
        <is>
          <t>5</t>
        </is>
      </c>
      <c r="B17" s="56" t="inlineStr">
        <is>
          <t>Árbol nativo de quebrada</t>
        </is>
      </c>
      <c r="C17" s="56" t="inlineStr">
        <is>
          <t>Indet.</t>
        </is>
      </c>
      <c r="D17" s="56" t="inlineStr">
        <is>
          <t>Indet.</t>
        </is>
      </c>
      <c r="E17" s="56" t="inlineStr">
        <is>
          <t>Arbóreo medio (8-15 m)</t>
        </is>
      </c>
      <c r="F17" s="56" t="inlineStr">
        <is>
          <t>Nativa</t>
        </is>
      </c>
      <c r="G17" s="56" t="inlineStr">
        <is>
          <t>Frecuente (5-20%)</t>
        </is>
      </c>
      <c r="H17" s="56" t="n"/>
      <c r="I17" s="56" t="n"/>
    </row>
    <row r="18">
      <c r="A18" s="57" t="inlineStr">
        <is>
          <t>6</t>
        </is>
      </c>
      <c r="B18" s="57" t="inlineStr">
        <is>
          <t>Árbol nativo de ladera/talud</t>
        </is>
      </c>
      <c r="C18" s="57" t="inlineStr">
        <is>
          <t>Indet.</t>
        </is>
      </c>
      <c r="D18" s="57" t="inlineStr">
        <is>
          <t>Indet.</t>
        </is>
      </c>
      <c r="E18" s="57" t="inlineStr">
        <is>
          <t>Arbóreo bajo (4-8 m)</t>
        </is>
      </c>
      <c r="F18" s="57" t="inlineStr">
        <is>
          <t>Nativa</t>
        </is>
      </c>
      <c r="G18" s="57" t="inlineStr">
        <is>
          <t>Ocasional (1-5%)</t>
        </is>
      </c>
      <c r="H18" s="57" t="n"/>
      <c r="I18" s="57" t="n"/>
    </row>
    <row r="19">
      <c r="A19" s="56" t="inlineStr">
        <is>
          <t>7</t>
        </is>
      </c>
      <c r="B19" s="56" t="inlineStr">
        <is>
          <t>Herbáceas y flores silvestres de borde</t>
        </is>
      </c>
      <c r="C19" s="56" t="inlineStr">
        <is>
          <t>Indet.</t>
        </is>
      </c>
      <c r="D19" s="56" t="inlineStr">
        <is>
          <t>Indet.</t>
        </is>
      </c>
      <c r="E19" s="56" t="inlineStr">
        <is>
          <t>Herbáceo (&lt;0.5 m)</t>
        </is>
      </c>
      <c r="F19" s="56" t="inlineStr">
        <is>
          <t>Nativa</t>
        </is>
      </c>
      <c r="G19" s="56" t="inlineStr">
        <is>
          <t>Frecuente (5-20%)</t>
        </is>
      </c>
      <c r="H19" s="56" t="n"/>
      <c r="I19" s="56" t="n"/>
    </row>
    <row r="21">
      <c r="A21" s="54" t="inlineStr">
        <is>
          <t>F-DT-03 · ESPECIES CLAVE GEORREFERENCIADAS</t>
        </is>
      </c>
    </row>
    <row r="22">
      <c r="A22" s="55" t="inlineStr">
        <is>
          <t>N.o</t>
        </is>
      </c>
      <c r="B22" s="55" t="inlineStr">
        <is>
          <t>Especie</t>
        </is>
      </c>
      <c r="C22" s="55" t="inlineStr">
        <is>
          <t>Categoría</t>
        </is>
      </c>
      <c r="D22" s="55" t="inlineStr">
        <is>
          <t>Estado UICN</t>
        </is>
      </c>
      <c r="E22" s="55" t="inlineStr">
        <is>
          <t>UTM ESTE</t>
        </is>
      </c>
      <c r="F22" s="55" t="inlineStr">
        <is>
          <t>UTM NORTE</t>
        </is>
      </c>
      <c r="G22" s="55" t="inlineStr">
        <is>
          <t>N.° individuos</t>
        </is>
      </c>
      <c r="H22" s="55" t="inlineStr">
        <is>
          <t>Observación</t>
        </is>
      </c>
    </row>
    <row r="23">
      <c r="A23" s="56" t="inlineStr">
        <is>
          <t>1</t>
        </is>
      </c>
      <c r="B23" s="56" t="inlineStr">
        <is>
          <t>Agave americana</t>
        </is>
      </c>
      <c r="C23" s="56" t="inlineStr">
        <is>
          <t>Indicadora de perturbación</t>
        </is>
      </c>
      <c r="D23" s="56" t="inlineStr">
        <is>
          <t>No aplica</t>
        </is>
      </c>
      <c r="E23" s="61" t="n">
        <v>606441</v>
      </c>
      <c r="F23" s="61" t="n">
        <v>9454877</v>
      </c>
      <c r="G23" s="62" t="n">
        <v>1</v>
      </c>
      <c r="H23" s="56" t="inlineStr">
        <is>
          <t>En talud/borde de ladera; especie introducida indicadora de borde perturbado</t>
        </is>
      </c>
    </row>
    <row r="25">
      <c r="A25" s="54" t="inlineStr">
        <is>
          <t>F-DT-04 · MATRIZ DE CAUSAS DE DEGRADACIÓN</t>
        </is>
      </c>
    </row>
    <row r="26">
      <c r="A26" s="55" t="inlineStr">
        <is>
          <t>N.o</t>
        </is>
      </c>
      <c r="B26" s="55" t="inlineStr">
        <is>
          <t>Causa</t>
        </is>
      </c>
      <c r="C26" s="55" t="inlineStr">
        <is>
          <t>Presencia</t>
        </is>
      </c>
      <c r="D26" s="55" t="inlineStr">
        <is>
          <t>Intensidad</t>
        </is>
      </c>
      <c r="E26" s="55" t="inlineStr">
        <is>
          <t>Extensión</t>
        </is>
      </c>
      <c r="F26" s="55" t="inlineStr">
        <is>
          <t>Antigüedad</t>
        </is>
      </c>
      <c r="G26" s="55" t="inlineStr">
        <is>
          <t>Evidencia</t>
        </is>
      </c>
    </row>
    <row r="27">
      <c r="A27" s="56" t="inlineStr">
        <is>
          <t>1</t>
        </is>
      </c>
      <c r="B27" s="56" t="inlineStr">
        <is>
          <t>Sobrepastoreo (caprino/vacuno)</t>
        </is>
      </c>
      <c r="C27" s="56" t="inlineStr">
        <is>
          <t>Sí</t>
        </is>
      </c>
      <c r="D27" s="56" t="inlineStr">
        <is>
          <t>Moderada</t>
        </is>
      </c>
      <c r="E27" s="56" t="inlineStr">
        <is>
          <t>≈35</t>
        </is>
      </c>
      <c r="F27" s="56" t="inlineStr">
        <is>
          <t>Por verificar</t>
        </is>
      </c>
      <c r="G27" s="56" t="inlineStr">
        <is>
          <t>Pastizales cultivados dominantes en laderas; uso pecuario del sector</t>
        </is>
      </c>
    </row>
    <row r="28">
      <c r="A28" s="57" t="inlineStr">
        <is>
          <t>2</t>
        </is>
      </c>
      <c r="B28" s="57" t="inlineStr">
        <is>
          <t>Tala para leña</t>
        </is>
      </c>
      <c r="C28" s="57" t="inlineStr">
        <is>
          <t>Sí</t>
        </is>
      </c>
      <c r="D28" s="57" t="inlineStr">
        <is>
          <t>Ligera</t>
        </is>
      </c>
      <c r="E28" s="57" t="inlineStr">
        <is>
          <t>—</t>
        </is>
      </c>
      <c r="F28" s="57" t="inlineStr">
        <is>
          <t>Por verificar</t>
        </is>
      </c>
      <c r="G28" s="57" t="inlineStr">
        <is>
          <t>Extracción puntual de leña (por verificar)</t>
        </is>
      </c>
    </row>
    <row r="29">
      <c r="A29" s="56" t="inlineStr">
        <is>
          <t>3</t>
        </is>
      </c>
      <c r="B29" s="56" t="inlineStr">
        <is>
          <t>Tala para carbón</t>
        </is>
      </c>
      <c r="C29" s="56" t="inlineStr"/>
      <c r="D29" s="56" t="inlineStr"/>
      <c r="E29" s="56" t="inlineStr"/>
      <c r="F29" s="56" t="inlineStr"/>
      <c r="G29" s="56" t="inlineStr"/>
    </row>
    <row r="30">
      <c r="A30" s="57" t="inlineStr">
        <is>
          <t>4</t>
        </is>
      </c>
      <c r="B30" s="57" t="inlineStr">
        <is>
          <t>Tala para madera</t>
        </is>
      </c>
      <c r="C30" s="57" t="inlineStr"/>
      <c r="D30" s="57" t="inlineStr"/>
      <c r="E30" s="57" t="inlineStr"/>
      <c r="F30" s="57" t="inlineStr"/>
      <c r="G30" s="57" t="inlineStr"/>
    </row>
    <row r="31">
      <c r="A31" s="56" t="inlineStr">
        <is>
          <t>5</t>
        </is>
      </c>
      <c r="B31" s="56" t="inlineStr">
        <is>
          <t>Quema (renovación de pastos)</t>
        </is>
      </c>
      <c r="C31" s="56" t="inlineStr"/>
      <c r="D31" s="56" t="inlineStr"/>
      <c r="E31" s="56" t="inlineStr"/>
      <c r="F31" s="56" t="inlineStr"/>
      <c r="G31" s="56" t="inlineStr"/>
    </row>
    <row r="32">
      <c r="A32" s="57" t="inlineStr">
        <is>
          <t>6</t>
        </is>
      </c>
      <c r="B32" s="57" t="inlineStr">
        <is>
          <t>Quema accidental / Incendio</t>
        </is>
      </c>
      <c r="C32" s="57" t="inlineStr"/>
      <c r="D32" s="57" t="inlineStr"/>
      <c r="E32" s="57" t="inlineStr"/>
      <c r="F32" s="57" t="inlineStr"/>
      <c r="G32" s="57" t="inlineStr"/>
    </row>
    <row r="33">
      <c r="A33" s="56" t="inlineStr">
        <is>
          <t>7</t>
        </is>
      </c>
      <c r="B33" s="56" t="inlineStr">
        <is>
          <t>Cambio de uso a agricultura</t>
        </is>
      </c>
      <c r="C33" s="56" t="inlineStr">
        <is>
          <t>Sí</t>
        </is>
      </c>
      <c r="D33" s="56" t="inlineStr">
        <is>
          <t>Moderada</t>
        </is>
      </c>
      <c r="E33" s="56" t="inlineStr">
        <is>
          <t>≈25</t>
        </is>
      </c>
      <c r="F33" s="56" t="inlineStr">
        <is>
          <t>Por verificar</t>
        </is>
      </c>
      <c r="G33" s="56" t="inlineStr">
        <is>
          <t>Parcelas de maíz y cultivos en ladera de fuerte pendiente</t>
        </is>
      </c>
    </row>
    <row r="34">
      <c r="A34" s="57" t="inlineStr">
        <is>
          <t>8</t>
        </is>
      </c>
      <c r="B34" s="57" t="inlineStr">
        <is>
          <t>Cambio de uso a pastoreo</t>
        </is>
      </c>
      <c r="C34" s="57" t="inlineStr">
        <is>
          <t>Sí</t>
        </is>
      </c>
      <c r="D34" s="57" t="inlineStr">
        <is>
          <t>Moderada</t>
        </is>
      </c>
      <c r="E34" s="57" t="inlineStr">
        <is>
          <t>≈35</t>
        </is>
      </c>
      <c r="F34" s="57" t="inlineStr">
        <is>
          <t>Por verificar</t>
        </is>
      </c>
      <c r="G34" s="57" t="inlineStr">
        <is>
          <t>Pastos cultivados dominantes (cambio de uso a pastoreo)</t>
        </is>
      </c>
    </row>
    <row r="35">
      <c r="A35" s="56" t="inlineStr">
        <is>
          <t>9</t>
        </is>
      </c>
      <c r="B35" s="56" t="inlineStr">
        <is>
          <t>Expansión urbana / vial</t>
        </is>
      </c>
      <c r="C35" s="56" t="inlineStr">
        <is>
          <t>Sí</t>
        </is>
      </c>
      <c r="D35" s="56" t="inlineStr">
        <is>
          <t>Ligera</t>
        </is>
      </c>
      <c r="E35" s="56" t="inlineStr">
        <is>
          <t>≈5</t>
        </is>
      </c>
      <c r="F35" s="56" t="inlineStr">
        <is>
          <t>Por verificar</t>
        </is>
      </c>
      <c r="G35" s="56" t="inlineStr">
        <is>
          <t>Cercanía a CC.PP. Guabal/Huabal y caminos de herradura</t>
        </is>
      </c>
    </row>
    <row r="36">
      <c r="A36" s="57" t="inlineStr">
        <is>
          <t>10</t>
        </is>
      </c>
      <c r="B36" s="57" t="inlineStr">
        <is>
          <t>Minería informal</t>
        </is>
      </c>
      <c r="C36" s="57" t="inlineStr"/>
      <c r="D36" s="57" t="inlineStr"/>
      <c r="E36" s="57" t="inlineStr"/>
      <c r="F36" s="57" t="inlineStr"/>
      <c r="G36" s="57" t="inlineStr"/>
    </row>
    <row r="37">
      <c r="A37" s="56" t="inlineStr">
        <is>
          <t>11</t>
        </is>
      </c>
      <c r="B37" s="56" t="inlineStr">
        <is>
          <t>Extracción de áridos (cauces)</t>
        </is>
      </c>
      <c r="C37" s="56" t="inlineStr"/>
      <c r="D37" s="56" t="inlineStr"/>
      <c r="E37" s="56" t="inlineStr"/>
      <c r="F37" s="56" t="inlineStr"/>
      <c r="G37" s="56" t="inlineStr"/>
    </row>
    <row r="38">
      <c r="A38" s="57" t="inlineStr">
        <is>
          <t>12</t>
        </is>
      </c>
      <c r="B38" s="57" t="inlineStr">
        <is>
          <t>Especies invasoras</t>
        </is>
      </c>
      <c r="C38" s="57" t="inlineStr">
        <is>
          <t>Sí</t>
        </is>
      </c>
      <c r="D38" s="57" t="inlineStr">
        <is>
          <t>Ligera</t>
        </is>
      </c>
      <c r="E38" s="57" t="inlineStr">
        <is>
          <t>—</t>
        </is>
      </c>
      <c r="F38" s="57" t="inlineStr">
        <is>
          <t>Por verificar</t>
        </is>
      </c>
      <c r="G38" s="57" t="inlineStr">
        <is>
          <t>Agave americana en taludes y bordes</t>
        </is>
      </c>
    </row>
    <row r="39">
      <c r="A39" s="56" t="inlineStr">
        <is>
          <t>13</t>
        </is>
      </c>
      <c r="B39" s="56" t="inlineStr">
        <is>
          <t>Erosión natural severa</t>
        </is>
      </c>
      <c r="C39" s="56" t="inlineStr">
        <is>
          <t>Sí</t>
        </is>
      </c>
      <c r="D39" s="56" t="inlineStr">
        <is>
          <t>Ligera</t>
        </is>
      </c>
      <c r="E39" s="56" t="inlineStr">
        <is>
          <t>≈5</t>
        </is>
      </c>
      <c r="F39" s="56" t="inlineStr">
        <is>
          <t>Por verificar</t>
        </is>
      </c>
      <c r="G39" s="56" t="inlineStr">
        <is>
          <t>Surcos incipientes en sendas y bordes de cultivo</t>
        </is>
      </c>
    </row>
    <row r="40">
      <c r="A40" s="57" t="inlineStr">
        <is>
          <t>14</t>
        </is>
      </c>
      <c r="B40" s="57" t="inlineStr">
        <is>
          <t>Sequía prolongada / CC</t>
        </is>
      </c>
      <c r="C40" s="57" t="inlineStr"/>
      <c r="D40" s="57" t="inlineStr"/>
      <c r="E40" s="57" t="inlineStr"/>
      <c r="F40" s="57" t="inlineStr"/>
      <c r="G40" s="57" t="inlineStr"/>
    </row>
    <row r="41">
      <c r="A41" s="56" t="inlineStr">
        <is>
          <t>15</t>
        </is>
      </c>
      <c r="B41" s="56" t="inlineStr">
        <is>
          <t>Plagas o enfermedades forestales</t>
        </is>
      </c>
      <c r="C41" s="56" t="inlineStr"/>
      <c r="D41" s="56" t="inlineStr"/>
      <c r="E41" s="56" t="inlineStr"/>
      <c r="F41" s="56" t="inlineStr"/>
      <c r="G41" s="56" t="inlineStr"/>
    </row>
    <row r="42">
      <c r="A42" s="57" t="inlineStr">
        <is>
          <t>16</t>
        </is>
      </c>
      <c r="B42" s="57" t="inlineStr">
        <is>
          <t>Otro</t>
        </is>
      </c>
      <c r="C42" s="57" t="inlineStr"/>
      <c r="D42" s="57" t="inlineStr"/>
      <c r="E42" s="57" t="inlineStr"/>
      <c r="F42" s="57" t="inlineStr"/>
      <c r="G42" s="57" t="inlineStr"/>
    </row>
    <row r="44">
      <c r="A44" s="54" t="inlineStr">
        <is>
          <t>F-DT-04 · INDICADORES CUANTITATIVOS</t>
        </is>
      </c>
    </row>
    <row r="45">
      <c r="A45" s="55" t="inlineStr">
        <is>
          <t>N.o</t>
        </is>
      </c>
      <c r="B45" s="55" t="inlineStr">
        <is>
          <t>Indicador</t>
        </is>
      </c>
      <c r="C45" s="55" t="inlineStr">
        <is>
          <t>Unidad</t>
        </is>
      </c>
      <c r="D45" s="55" t="inlineStr">
        <is>
          <t>Valor</t>
        </is>
      </c>
      <c r="E45" s="55" t="inlineStr">
        <is>
          <t>Fuente</t>
        </is>
      </c>
      <c r="F45" s="55" t="inlineStr">
        <is>
          <t>Umbral</t>
        </is>
      </c>
      <c r="G45" s="55" t="inlineStr">
        <is>
          <t>Nivel</t>
        </is>
      </c>
    </row>
    <row r="46">
      <c r="A46" s="56" t="inlineStr">
        <is>
          <t>1</t>
        </is>
      </c>
      <c r="B46" s="56" t="inlineStr">
        <is>
          <t>Cobertura vegetal total</t>
        </is>
      </c>
      <c r="C46" s="56" t="inlineStr">
        <is>
          <t>%</t>
        </is>
      </c>
      <c r="D46" s="56" t="inlineStr">
        <is>
          <t>≈85</t>
        </is>
      </c>
      <c r="E46" s="56" t="inlineStr">
        <is>
          <t>Estimación ocular + MSAVI del sector</t>
        </is>
      </c>
      <c r="F46" s="56" t="inlineStr">
        <is>
          <t>&gt;60% bueno; 30-60% medio; &lt;30% malo</t>
        </is>
      </c>
      <c r="G46" s="56" t="inlineStr">
        <is>
          <t>Alto</t>
        </is>
      </c>
    </row>
    <row r="47">
      <c r="A47" s="57" t="inlineStr">
        <is>
          <t>2</t>
        </is>
      </c>
      <c r="B47" s="57" t="inlineStr">
        <is>
          <t>Porcentaje de suelo desnudo</t>
        </is>
      </c>
      <c r="C47" s="57" t="inlineStr">
        <is>
          <t>%</t>
        </is>
      </c>
      <c r="D47" s="57" t="inlineStr">
        <is>
          <t>≈10</t>
        </is>
      </c>
      <c r="E47" s="57" t="inlineStr">
        <is>
          <t>Estimación ocular de campo</t>
        </is>
      </c>
      <c r="F47" s="57" t="inlineStr">
        <is>
          <t>&lt;10% bueno; 10-30% medio; &gt;30% malo</t>
        </is>
      </c>
      <c r="G47" s="57" t="inlineStr">
        <is>
          <t>Bajo</t>
        </is>
      </c>
    </row>
    <row r="48">
      <c r="A48" s="56" t="inlineStr">
        <is>
          <t>3</t>
        </is>
      </c>
      <c r="B48" s="56" t="inlineStr">
        <is>
          <t>Densidad de cárcavas</t>
        </is>
      </c>
      <c r="C48" s="56" t="inlineStr">
        <is>
          <t>N°/ha</t>
        </is>
      </c>
      <c r="D48" s="56" t="inlineStr">
        <is>
          <t>Por determinar</t>
        </is>
      </c>
      <c r="E48" s="56" t="inlineStr">
        <is>
          <t>—</t>
        </is>
      </c>
      <c r="F48" s="56" t="inlineStr">
        <is>
          <t>0 nulo; 1-3 medio; &gt;3 alto</t>
        </is>
      </c>
      <c r="G48" s="56" t="inlineStr"/>
    </row>
    <row r="49">
      <c r="A49" s="57" t="inlineStr">
        <is>
          <t>4</t>
        </is>
      </c>
      <c r="B49" s="57" t="inlineStr">
        <is>
          <t>Presencia de especies invasoras</t>
        </is>
      </c>
      <c r="C49" s="57" t="inlineStr">
        <is>
          <t>% área</t>
        </is>
      </c>
      <c r="D49" s="57" t="inlineStr">
        <is>
          <t>≈5</t>
        </is>
      </c>
      <c r="E49" s="57" t="inlineStr">
        <is>
          <t>Estimación ocular</t>
        </is>
      </c>
      <c r="F49" s="57" t="inlineStr">
        <is>
          <t>&lt;5% bueno; 5-20% medio; &gt;20% alto</t>
        </is>
      </c>
      <c r="G49" s="57" t="inlineStr">
        <is>
          <t>Bajo</t>
        </is>
      </c>
    </row>
    <row r="50">
      <c r="A50" s="56" t="inlineStr">
        <is>
          <t>5</t>
        </is>
      </c>
      <c r="B50" s="56" t="inlineStr">
        <is>
          <t>Carga ganadera estimada</t>
        </is>
      </c>
      <c r="C50" s="56" t="inlineStr">
        <is>
          <t>UA/ha</t>
        </is>
      </c>
      <c r="D50" s="56" t="inlineStr">
        <is>
          <t>Por determinar</t>
        </is>
      </c>
      <c r="E50" s="56" t="inlineStr">
        <is>
          <t>—</t>
        </is>
      </c>
      <c r="F50" s="56" t="inlineStr">
        <is>
          <t>Según tipo de ecosistema</t>
        </is>
      </c>
      <c r="G50" s="56" t="inlineStr"/>
    </row>
    <row r="51">
      <c r="A51" s="57" t="inlineStr">
        <is>
          <t>6</t>
        </is>
      </c>
      <c r="B51" s="57" t="inlineStr">
        <is>
          <t>Frecuencia de quemas últimos 5 años</t>
        </is>
      </c>
      <c r="C51" s="57" t="inlineStr">
        <is>
          <t>N°</t>
        </is>
      </c>
      <c r="D51" s="57" t="inlineStr">
        <is>
          <t>Por determinar</t>
        </is>
      </c>
      <c r="E51" s="57" t="inlineStr">
        <is>
          <t>—</t>
        </is>
      </c>
      <c r="F51" s="57" t="inlineStr">
        <is>
          <t>0 nulo; 1-2 medio; &gt;2 alto</t>
        </is>
      </c>
      <c r="G51" s="57" t="inlineStr"/>
    </row>
    <row r="52">
      <c r="A52" s="56" t="inlineStr">
        <is>
          <t>7</t>
        </is>
      </c>
      <c r="B52" s="56" t="inlineStr">
        <is>
          <t>% área con pendiente &gt;50%</t>
        </is>
      </c>
      <c r="C52" s="56" t="inlineStr">
        <is>
          <t>%</t>
        </is>
      </c>
      <c r="D52" s="56" t="inlineStr">
        <is>
          <t>≈30</t>
        </is>
      </c>
      <c r="E52" s="56" t="inlineStr">
        <is>
          <t>Ref. perfil de elevación sector (Bloque 6: pend. media 46%, máx 68%)</t>
        </is>
      </c>
      <c r="F52" s="56" t="inlineStr">
        <is>
          <t>Factor de susceptibilidad</t>
        </is>
      </c>
      <c r="G52" s="56" t="inlineStr">
        <is>
          <t>Medio</t>
        </is>
      </c>
    </row>
    <row r="53">
      <c r="A53" s="57" t="inlineStr">
        <is>
          <t>8</t>
        </is>
      </c>
      <c r="B53" s="57" t="inlineStr">
        <is>
          <t>Distancia a vía vecinal más cercana</t>
        </is>
      </c>
      <c r="C53" s="57" t="inlineStr">
        <is>
          <t>m</t>
        </is>
      </c>
      <c r="D53" s="57" t="inlineStr">
        <is>
          <t>Por determinar</t>
        </is>
      </c>
      <c r="E53" s="57" t="inlineStr">
        <is>
          <t>—</t>
        </is>
      </c>
      <c r="F53" s="57" t="inlineStr">
        <is>
          <t>A menor distancia → mayor presión</t>
        </is>
      </c>
      <c r="G53" s="57" t="inlineStr"/>
    </row>
    <row r="55">
      <c r="A55" s="54" t="inlineStr">
        <is>
          <t>F-DT-05 · FUENTES DE AGUA INVENTARIADAS</t>
        </is>
      </c>
    </row>
    <row r="56">
      <c r="A56" s="55" t="inlineStr">
        <is>
          <t>N.o</t>
        </is>
      </c>
      <c r="B56" s="55" t="inlineStr">
        <is>
          <t>Tipo de fuente</t>
        </is>
      </c>
      <c r="C56" s="55" t="inlineStr">
        <is>
          <t>UTM ESTE</t>
        </is>
      </c>
      <c r="D56" s="55" t="inlineStr">
        <is>
          <t>UTM NORTE</t>
        </is>
      </c>
      <c r="E56" s="55" t="inlineStr">
        <is>
          <t>Régimen</t>
        </is>
      </c>
      <c r="F56" s="55" t="inlineStr">
        <is>
          <t>Calidad</t>
        </is>
      </c>
      <c r="G56" s="55" t="inlineStr">
        <is>
          <t>Distancia (m)</t>
        </is>
      </c>
      <c r="H56" s="55" t="inlineStr">
        <is>
          <t>Uso / observación</t>
        </is>
      </c>
    </row>
    <row r="57">
      <c r="A57" s="56" t="inlineStr">
        <is>
          <t>1</t>
        </is>
      </c>
      <c r="B57" s="56" t="inlineStr">
        <is>
          <t>Quebrada estacional</t>
        </is>
      </c>
      <c r="C57" s="61" t="n">
        <v>606200</v>
      </c>
      <c r="D57" s="61" t="n">
        <v>9454450</v>
      </c>
      <c r="E57" s="56" t="inlineStr">
        <is>
          <t>Estacional (lluvias)</t>
        </is>
      </c>
      <c r="F57" s="56" t="inlineStr">
        <is>
          <t>No evaluable</t>
        </is>
      </c>
      <c r="G57" s="62" t="n">
        <v>0</v>
      </c>
      <c r="H57" s="56" t="inlineStr">
        <is>
          <t>Quebrada tributaria que diseca el sector (ubic. aprox.; régimen por verificar)</t>
        </is>
      </c>
    </row>
    <row r="58">
      <c r="A58" s="57" t="inlineStr">
        <is>
          <t>2</t>
        </is>
      </c>
      <c r="B58" s="57" t="inlineStr">
        <is>
          <t>Río</t>
        </is>
      </c>
      <c r="C58" s="63" t="n">
        <v>607400</v>
      </c>
      <c r="D58" s="63" t="n">
        <v>9454500</v>
      </c>
      <c r="E58" s="57" t="inlineStr">
        <is>
          <t>Permanente</t>
        </is>
      </c>
      <c r="F58" s="57" t="inlineStr">
        <is>
          <t>No evaluable</t>
        </is>
      </c>
      <c r="G58" s="63" t="n">
        <v>700</v>
      </c>
      <c r="H58" s="57" t="inlineStr">
        <is>
          <t>Curso principal del sector, visible en imagen satelital al E (borde Guabal/Huabal; por verificar)</t>
        </is>
      </c>
    </row>
    <row r="61">
      <c r="A61" s="54" t="inlineStr">
        <is>
          <t>OBSERVACIONES DEL EVALUADOR POR FICHA</t>
        </is>
      </c>
    </row>
    <row r="62">
      <c r="A62" s="55" t="inlineStr">
        <is>
          <t>Ficha</t>
        </is>
      </c>
      <c r="B62" s="55" t="inlineStr">
        <is>
          <t>Observación registrada en campo</t>
        </is>
      </c>
    </row>
    <row r="63">
      <c r="A63" s="56" t="inlineStr">
        <is>
          <t>F-DT-01</t>
        </is>
      </c>
      <c r="B63" s="56" t="inlineStr">
        <is>
          <t>Bloque 36 (microcuenca C1096-Q9547, Frías–Ayabaca, Z02; 24.84 ha). Verificación de campo 23/06/2026, recorrido por cima-ladera (fotos índice 74–133, rumbos predominantes SO–O). Altitud GPS no registrada por la app fotográfica; rango altitudinal del sector estimado ≈ 1400–1830 msnm a partir del perfil de elevación del Bloque 6 adyacente (misma microcuenca), por confirmar con DEM para el Bloque 36. No se observaron remociones en masa activas en la superficie natural; sí afloramientos rocosos dispersos en laderas.</t>
        </is>
      </c>
    </row>
    <row r="64">
      <c r="A64" s="57" t="inlineStr">
        <is>
          <t>F-DT-02</t>
        </is>
      </c>
      <c r="B64" s="57" t="inlineStr">
        <is>
          <t>Cobertura vegetal alta (época húmeda) que reduce la erosión aparente; predominio de erosión laminar ligera, con surcos incipientes localizados en sendas y bordes de parcelas de cultivo en ladera (por verificar). No se identificaron cárcavas activas en el recorrido de reconocimiento; dimensiones, densidad por hectárea y % de bloque afectado quedan pendientes de levantamiento instrumental.</t>
        </is>
      </c>
    </row>
    <row r="65">
      <c r="A65" s="56" t="inlineStr">
        <is>
          <t>F-DT-03</t>
        </is>
      </c>
      <c r="B65" s="56" t="inlineStr">
        <is>
          <t>Lista florística PRELIMINAR y de campo, basada en lo observable en el recorrido fotográfico (índices 74–133). Predominan pastizales cultivados y cultivos (maíz) en ladera, con matorral nativo, árboles nativos dispersos y relictos boscosos en las quebradas. La determinación botánica a nivel de especie, las categorías de conservación, alturas, DAP y la presencia de epífitas quedan pendientes de colección y verificación. El ecosistema MINAM oficial del bloque es Zona agrícola (24.84 ha), inmerso en la matriz de Bosque Estacionalmente Seco de Colina y Montaña de la microcuenca C1096-Q9547.</t>
        </is>
      </c>
    </row>
    <row r="66">
      <c r="A66" s="57" t="inlineStr">
        <is>
          <t>F-DT-05</t>
        </is>
      </c>
      <c r="B66" s="57" t="inlineStr">
        <is>
          <t>Bloque en zona de origen y recarga de la microcuenca C1096-Q9547; condiciones de humedad evidenciadas por relictos boscosos densos y neblina en las quebradas. No se registraron manantiales ni captaciones dentro del recorrido. Distancia y datos de la captación poblacional/JASS, autorización de Ronda Campesina, señal celular y tiempos de viaje quedan POR VERIFICAR. Coordenadas de fuentes de agua son aproximadas (por confirmar en campo).</t>
        </is>
      </c>
    </row>
  </sheetData>
  <mergeCells count="5">
    <mergeCell ref="A2:I2"/>
    <mergeCell ref="A5:I5"/>
    <mergeCell ref="A1:I1"/>
    <mergeCell ref="A3:I3"/>
    <mergeCell ref="A4:I4"/>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H102"/>
  <sheetViews>
    <sheetView workbookViewId="0">
      <selection activeCell="A1" sqref="A1"/>
    </sheetView>
  </sheetViews>
  <sheetFormatPr baseColWidth="8" defaultRowHeight="15"/>
  <cols>
    <col width="44" customWidth="1" min="1" max="1"/>
    <col width="18" customWidth="1" min="2" max="2"/>
  </cols>
  <sheetData>
    <row r="1">
      <c r="A1" s="51" t="inlineStr">
        <is>
          <t>AUTORIDAD NACIONAL DE INFRAESTRUCTURA - ANIN</t>
        </is>
      </c>
    </row>
    <row r="2">
      <c r="A2" s="51" t="inlineStr">
        <is>
          <t>DIRECCION DE INTERVENCIONES MULTISECTORIALES Y DE EMERGENCIA - DIME</t>
        </is>
      </c>
    </row>
    <row r="3">
      <c r="A3" s="51" t="inlineStr">
        <is>
          <t>SUBDIRECCION DE ESTUDIOS DE INVERSION - SESDI</t>
        </is>
      </c>
    </row>
    <row r="4">
      <c r="A4" s="52" t="inlineStr">
        <is>
          <t>PROYECTO IN PIURA | CUI 2669244 | Recuperacion del servicio de regulacion de riesgos naturales y de ecosistemas degradados - Cuenca Alta del Rio Piura</t>
        </is>
      </c>
    </row>
    <row r="5" ht="22" customHeight="1">
      <c r="A5" s="53" t="inlineStr">
        <is>
          <t>GRÁFICOS DE LA INTEGRACIÓN — BLOQUE 36</t>
        </is>
      </c>
    </row>
    <row r="7">
      <c r="A7" s="54" t="inlineStr">
        <is>
          <t>Hechos declarados por fuente</t>
        </is>
      </c>
    </row>
    <row r="8">
      <c r="A8" s="55" t="inlineStr">
        <is>
          <t>Fuente</t>
        </is>
      </c>
      <c r="B8" s="55" t="inlineStr">
        <is>
          <t>Hechos</t>
        </is>
      </c>
    </row>
    <row r="9">
      <c r="A9" s="56" t="inlineStr">
        <is>
          <t>Dato de campo</t>
        </is>
      </c>
      <c r="B9" s="56" t="n">
        <v>59</v>
      </c>
    </row>
    <row r="10">
      <c r="A10" s="57" t="inlineStr">
        <is>
          <t>Gabinete (GIS / teledetección)</t>
        </is>
      </c>
      <c r="B10" s="57" t="n">
        <v>21</v>
      </c>
    </row>
    <row r="11">
      <c r="A11" s="56" t="inlineStr">
        <is>
          <t>Fuente oficial</t>
        </is>
      </c>
      <c r="B11" s="56" t="n">
        <v>14</v>
      </c>
    </row>
    <row r="28">
      <c r="A28" s="54" t="inlineStr">
        <is>
          <t>Estado del cruce entre fuentes</t>
        </is>
      </c>
    </row>
    <row r="29">
      <c r="A29" s="55" t="inlineStr">
        <is>
          <t>Estado</t>
        </is>
      </c>
      <c r="B29" s="55" t="inlineStr">
        <is>
          <t>Hechos</t>
        </is>
      </c>
    </row>
    <row r="30">
      <c r="A30" s="56" t="inlineStr">
        <is>
          <t>CONFORME</t>
        </is>
      </c>
      <c r="B30" s="56" t="n">
        <v>92</v>
      </c>
    </row>
    <row r="31">
      <c r="A31" s="57" t="inlineStr">
        <is>
          <t>COMPLEMENTADO</t>
        </is>
      </c>
      <c r="B31" s="57" t="n">
        <v>0</v>
      </c>
    </row>
    <row r="32">
      <c r="A32" s="56" t="inlineStr">
        <is>
          <t>ACTUALIZADO</t>
        </is>
      </c>
      <c r="B32" s="56" t="n">
        <v>2</v>
      </c>
    </row>
    <row r="33">
      <c r="A33" s="57" t="inlineStr">
        <is>
          <t>DISCREPANTE</t>
        </is>
      </c>
      <c r="B33" s="57" t="n">
        <v>0</v>
      </c>
    </row>
    <row r="34">
      <c r="A34" s="56" t="inlineStr">
        <is>
          <t>PENDIENTE</t>
        </is>
      </c>
      <c r="B34" s="56" t="n">
        <v>20</v>
      </c>
    </row>
    <row r="51">
      <c r="A51" s="54" t="inlineStr">
        <is>
          <t>Cobertura por estrato — campo (%)</t>
        </is>
      </c>
    </row>
    <row r="52">
      <c r="A52" s="55" t="inlineStr">
        <is>
          <t>Estrato</t>
        </is>
      </c>
      <c r="B52" s="55" t="inlineStr">
        <is>
          <t>% del área</t>
        </is>
      </c>
    </row>
    <row r="53">
      <c r="A53" s="56" t="inlineStr">
        <is>
          <t>Dosel</t>
        </is>
      </c>
      <c r="B53" s="61" t="n">
        <v>20</v>
      </c>
    </row>
    <row r="54">
      <c r="A54" s="57" t="inlineStr">
        <is>
          <t>Herbácea</t>
        </is>
      </c>
      <c r="B54" s="63" t="n">
        <v>40</v>
      </c>
    </row>
    <row r="55">
      <c r="A55" s="56" t="inlineStr">
        <is>
          <t>Suelo desnudo</t>
        </is>
      </c>
      <c r="B55" s="61" t="n">
        <v>10</v>
      </c>
    </row>
    <row r="72">
      <c r="A72" s="54" t="inlineStr">
        <is>
          <t>Causas activas de degradación (F-DT-04)</t>
        </is>
      </c>
    </row>
    <row r="73">
      <c r="A73" s="55" t="inlineStr">
        <is>
          <t>Causa</t>
        </is>
      </c>
      <c r="B73" s="55" t="inlineStr">
        <is>
          <t>Intensidad (1 ligera - 4 muy fuerte)</t>
        </is>
      </c>
    </row>
    <row r="74">
      <c r="A74" s="56" t="inlineStr">
        <is>
          <t>Cambio de uso a agricultura</t>
        </is>
      </c>
      <c r="B74" s="56" t="n">
        <v>2</v>
      </c>
    </row>
    <row r="75">
      <c r="A75" s="57" t="inlineStr">
        <is>
          <t>Cambio de uso a pastoreo</t>
        </is>
      </c>
      <c r="B75" s="57" t="n">
        <v>2</v>
      </c>
    </row>
    <row r="76">
      <c r="A76" s="56" t="inlineStr">
        <is>
          <t>Sobrepastoreo (caprino/vacuno)</t>
        </is>
      </c>
      <c r="B76" s="56" t="n">
        <v>2</v>
      </c>
    </row>
    <row r="77">
      <c r="A77" s="57" t="inlineStr">
        <is>
          <t>Erosión natural severa</t>
        </is>
      </c>
      <c r="B77" s="57" t="n">
        <v>1</v>
      </c>
    </row>
    <row r="78">
      <c r="A78" s="56" t="inlineStr">
        <is>
          <t>Especies invasoras</t>
        </is>
      </c>
      <c r="B78" s="56" t="n">
        <v>1</v>
      </c>
    </row>
    <row r="79">
      <c r="A79" s="57" t="inlineStr">
        <is>
          <t>Expansión urbana / vial</t>
        </is>
      </c>
      <c r="B79" s="57" t="n">
        <v>1</v>
      </c>
    </row>
    <row r="80">
      <c r="A80" s="56" t="inlineStr">
        <is>
          <t>Tala para leña</t>
        </is>
      </c>
      <c r="B80" s="56" t="n">
        <v>1</v>
      </c>
    </row>
    <row r="97">
      <c r="A97" s="54" t="inlineStr">
        <is>
          <t>Control de consistencia por calificación</t>
        </is>
      </c>
    </row>
    <row r="98">
      <c r="A98" s="55" t="inlineStr">
        <is>
          <t>Calificación</t>
        </is>
      </c>
      <c r="B98" s="55" t="inlineStr">
        <is>
          <t>Verificaciones</t>
        </is>
      </c>
    </row>
    <row r="99">
      <c r="A99" s="56" t="inlineStr">
        <is>
          <t>SUSTANTIVA</t>
        </is>
      </c>
      <c r="B99" s="56" t="n">
        <v>1</v>
      </c>
    </row>
    <row r="100">
      <c r="A100" s="57" t="inlineStr">
        <is>
          <t>NO SUSTANTIVA</t>
        </is>
      </c>
      <c r="B100" s="57" t="n">
        <v>2</v>
      </c>
    </row>
    <row r="101">
      <c r="A101" s="56" t="inlineStr">
        <is>
          <t>CORREGIDO</t>
        </is>
      </c>
      <c r="B101" s="56" t="n">
        <v>2</v>
      </c>
    </row>
    <row r="102">
      <c r="A102" s="57" t="inlineStr">
        <is>
          <t>CONFORME</t>
        </is>
      </c>
      <c r="B102" s="57" t="n">
        <v>11</v>
      </c>
    </row>
  </sheetData>
  <mergeCells count="5">
    <mergeCell ref="A1:H1"/>
    <mergeCell ref="A4:H4"/>
    <mergeCell ref="A3:H3"/>
    <mergeCell ref="A2:H2"/>
    <mergeCell ref="A5:H5"/>
  </mergeCells>
  <pageMargins left="0.75" right="0.75" top="1" bottom="1" header="0.5" footer="0.5"/>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ANIN - DIME - SESDI | Proyecto IN Piura (CUI 2669244)</dc:creator>
  <dc:title>Plantilla Excel — Bloque 36 — IN Piura</dc:title>
  <dc:subject>Diagnóstico Territorial por bloque de intervención</dc:subject>
  <dcterms:created xsi:type="dcterms:W3CDTF">2026-09-08T03:39:54Z</dcterms:created>
  <dcterms:modified xsi:type="dcterms:W3CDTF">2026-09-11T20:22:27Z</dcterms:modified>
</cp:coreProperties>
</file>