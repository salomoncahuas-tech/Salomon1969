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integración'!$A$47:$A$49</f>
            </numRef>
          </cat>
          <val>
            <numRef>
              <f>'Gráficos de integración'!$B$47:$B$49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36</t>
        </is>
      </c>
    </row>
    <row r="6" ht="24" customHeight="1">
      <c r="A6" s="4" t="inlineStr">
        <is>
          <t>Diagnóstico Territorial — Plantilla DT Campo Check Validada V5 | Sistema de referencia: UTM WGS 84 Zona 17S (EPSG:32717) · Integrado con la ficha de campo F-DT vigente (DT_Campo_Bloque36_V5.xlsx) — V7 - resumen V6 + campo F-DT integrado</t>
        </is>
      </c>
    </row>
    <row r="7"/>
    <row r="8" ht="18" customHeight="1">
      <c r="A8" s="5" t="inlineStr">
        <is>
          <t>1. IDENTIFICACIÓN Y LOCALIZACIÓN</t>
        </is>
      </c>
    </row>
    <row r="9">
      <c r="A9" s="6" t="inlineStr">
        <is>
          <t>Código del bloque</t>
        </is>
      </c>
      <c r="B9" s="7" t="inlineStr">
        <is>
          <t>36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t>
        </is>
      </c>
      <c r="C13" s="6" t="inlineStr">
        <is>
          <t>Comunidad campesina</t>
        </is>
      </c>
      <c r="D13" s="7" t="inlineStr">
        <is>
          <t>Por verificar</t>
        </is>
      </c>
      <c r="E13" s="8" t="n"/>
      <c r="F13" s="8" t="n"/>
    </row>
    <row r="14">
      <c r="A14" s="6" t="inlineStr">
        <is>
          <t>Superficie de catálogo (V5/V6), ha</t>
        </is>
      </c>
      <c r="B14" s="7" t="n">
        <v>24.84</v>
      </c>
      <c r="C14" s="6" t="inlineStr">
        <is>
          <t>Fuente de superficie</t>
        </is>
      </c>
      <c r="D14" s="7" t="inlineStr">
        <is>
          <t>Catálogo maestro Bloques V5/V6</t>
        </is>
      </c>
      <c r="E14" s="8" t="n"/>
      <c r="F14" s="8" t="n"/>
    </row>
    <row r="15">
      <c r="A15" s="6" t="inlineStr">
        <is>
          <t>Centroide UTM ESTE (m)</t>
        </is>
      </c>
      <c r="B15" s="7" t="n">
        <v>606468</v>
      </c>
      <c r="C15" s="6" t="inlineStr">
        <is>
          <t>Centroide UTM NORTE (m)</t>
        </is>
      </c>
      <c r="D15" s="7" t="n">
        <v>9454689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1239</v>
      </c>
      <c r="C19" s="6" t="inlineStr">
        <is>
          <t>Altitud máxima (msnm)</t>
        </is>
      </c>
      <c r="D19" s="7" t="n">
        <v>1476</v>
      </c>
      <c r="E19" s="8" t="n"/>
      <c r="F19" s="8" t="n"/>
    </row>
    <row r="20">
      <c r="A20" s="6" t="inlineStr">
        <is>
          <t>Amplitud altitudinal (m)</t>
        </is>
      </c>
      <c r="B20" s="7" t="n">
        <v>237</v>
      </c>
      <c r="C20" s="6" t="inlineStr">
        <is>
          <t>Piso altitudinal dominante</t>
        </is>
      </c>
      <c r="D20" s="7" t="inlineStr">
        <is>
          <t>1000-1500 m (Quechua baja)</t>
        </is>
      </c>
      <c r="E20" s="8" t="n"/>
      <c r="F20" s="8" t="n"/>
    </row>
    <row r="21">
      <c r="A21" s="6" t="inlineStr">
        <is>
          <t>Pendiente promedio (%)</t>
        </is>
      </c>
      <c r="B21" s="7" t="n">
        <v>30.65</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0.5395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(50.07 %)</t>
        </is>
      </c>
      <c r="E29" s="8" t="n"/>
      <c r="F29" s="8" t="n"/>
    </row>
    <row r="30">
      <c r="A30" s="6" t="inlineStr">
        <is>
          <t>Superficie clasificada NDVI 2025 (ha)</t>
        </is>
      </c>
      <c r="B30" s="7" t="n">
        <v>24.856</v>
      </c>
      <c r="C30" s="6" t="inlineStr">
        <is>
          <t>Desviación frente al catálogo (%)</t>
        </is>
      </c>
      <c r="D30" s="7" t="n">
        <v>0.06</v>
      </c>
      <c r="E30" s="8" t="n"/>
      <c r="F30" s="8" t="n"/>
    </row>
    <row r="31">
      <c r="A31" s="6" t="inlineStr">
        <is>
          <t>Superficie clasificada MSAVI 2024 (ha)</t>
        </is>
      </c>
      <c r="B31" s="38" t="n">
        <v>24.843</v>
      </c>
      <c r="C31" s="6" t="inlineStr">
        <is>
          <t>Desviación MSAVI frente al catálogo (%)</t>
        </is>
      </c>
      <c r="D31" s="39" t="n">
        <v>0.01</v>
      </c>
      <c r="E31" s="8" t="n"/>
      <c r="F31" s="8" t="n"/>
    </row>
    <row r="32">
      <c r="A32" s="6" t="inlineStr">
        <is>
          <t>Superficie bajo umbral MSAVI 0.4976 (ha)</t>
        </is>
      </c>
      <c r="B32" s="38" t="n">
        <v>8.852</v>
      </c>
      <c r="C32" s="6" t="inlineStr">
        <is>
          <t>% del bloque bajo umbral (brecha espectral)</t>
        </is>
      </c>
      <c r="D32" s="39" t="n">
        <v>35.63</v>
      </c>
      <c r="E32" s="8" t="n"/>
      <c r="F32" s="8" t="n"/>
    </row>
    <row r="33">
      <c r="A33" s="6" t="inlineStr">
        <is>
          <t>Clase DN dominante (MSAVI 2024)</t>
        </is>
      </c>
      <c r="B33" s="7" t="inlineStr">
        <is>
          <t>DN 4 · 0.4976 - 0.6139 (Vigor moderado)</t>
        </is>
      </c>
      <c r="C33" s="6" t="inlineStr">
        <is>
          <t>N.° de polígonos MSAVI del bloque</t>
        </is>
      </c>
      <c r="D33" s="40" t="n">
        <v>103</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24.84 ha (MINAM: Zona agrícola 100%)</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50" t="inlineStr">
        <is>
          <t>7</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 Cahuas Miller (Ing. Forestal — ANIN/DIME-SESDI)</t>
        </is>
      </c>
      <c r="C44" s="6" t="inlineStr">
        <is>
          <t>Fecha de evaluación</t>
        </is>
      </c>
      <c r="D44" s="7" t="inlineStr">
        <is>
          <t>2026-06-23</t>
        </is>
      </c>
      <c r="E44" s="8" t="n"/>
      <c r="F44" s="8" t="n"/>
    </row>
    <row r="45">
      <c r="A45" s="6" t="inlineStr">
        <is>
          <t>Hora de registro</t>
        </is>
      </c>
      <c r="B45" s="7" t="inlineStr">
        <is>
          <t>10:47-12:03</t>
        </is>
      </c>
      <c r="C45" s="6" t="inlineStr">
        <is>
          <t>Correlativo de ficha</t>
        </is>
      </c>
      <c r="D45" s="7" t="inlineStr">
        <is>
          <t>DT-B36-01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4.6963</v>
      </c>
      <c r="C10" s="19">
        <f>ROUND(B10/$B$15*100,2)</f>
        <v/>
      </c>
      <c r="D10" s="11" t="inlineStr">
        <is>
          <t>Vigor alto</t>
        </is>
      </c>
      <c r="E10" s="11" t="inlineStr">
        <is>
          <t>Sobre umbral</t>
        </is>
      </c>
    </row>
    <row r="11">
      <c r="A11" s="12" t="inlineStr">
        <is>
          <t>0.4976 - 0.6139 · DN 4</t>
        </is>
      </c>
      <c r="B11" s="32" t="n">
        <v>11.2948</v>
      </c>
      <c r="C11" s="31">
        <f>ROUND(B11/$B$15*100,2)</f>
        <v/>
      </c>
      <c r="D11" s="13" t="inlineStr">
        <is>
          <t>Vigor moderado</t>
        </is>
      </c>
      <c r="E11" s="13" t="inlineStr">
        <is>
          <t>Sobre umbral</t>
        </is>
      </c>
    </row>
    <row r="12">
      <c r="A12" s="7" t="inlineStr">
        <is>
          <t>0.3813 - 0.4976 · DN 3</t>
        </is>
      </c>
      <c r="B12" s="18" t="n">
        <v>8.5054</v>
      </c>
      <c r="C12" s="19">
        <f>ROUND(B12/$B$15*100,2)</f>
        <v/>
      </c>
      <c r="D12" s="11" t="inlineStr">
        <is>
          <t>Vigor bajo</t>
        </is>
      </c>
      <c r="E12" s="11" t="inlineStr">
        <is>
          <t>BAJO umbral 0.4976</t>
        </is>
      </c>
    </row>
    <row r="13">
      <c r="A13" s="14" t="inlineStr">
        <is>
          <t>0.2650 - 0.3813 · DN 2</t>
        </is>
      </c>
      <c r="B13" s="20" t="n">
        <v>0.3467</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103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24.84</v>
      </c>
      <c r="C18" s="49" t="inlineStr">
        <is>
          <t>—</t>
        </is>
      </c>
      <c r="D18" s="46" t="inlineStr">
        <is>
          <t>Desviación planimétrica frente al catálogo</t>
        </is>
      </c>
      <c r="E18" s="46" t="inlineStr">
        <is>
          <t>+0.01 %</t>
        </is>
      </c>
    </row>
    <row r="19">
      <c r="A19" s="16" t="inlineStr">
        <is>
          <t>MSAVI 2024 — MEDIA DEL BLOQUE</t>
        </is>
      </c>
      <c r="B19" s="17" t="n">
        <v>0.539458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(0.5395)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12.2064</v>
      </c>
      <c r="C25" s="19" t="n">
        <v>49.11</v>
      </c>
      <c r="D25" s="11" t="inlineStr">
        <is>
          <t>Dosel continuo, matorral denso o mosaico agroforestal</t>
        </is>
      </c>
      <c r="E25" s="11" t="inlineStr"/>
    </row>
    <row r="26">
      <c r="A26" s="14" t="inlineStr">
        <is>
          <t>Vegetación mediana</t>
        </is>
      </c>
      <c r="B26" s="20" t="n">
        <v>12.4461</v>
      </c>
      <c r="C26" s="21" t="n">
        <v>50.07</v>
      </c>
      <c r="D26" s="15" t="inlineStr">
        <is>
          <t>Pastizal cultivado, matorral ralo, parcelas agrícolas</t>
        </is>
      </c>
      <c r="E26" s="15" t="inlineStr"/>
    </row>
    <row r="27">
      <c r="A27" s="7" t="inlineStr">
        <is>
          <t>Vegetación ligera</t>
        </is>
      </c>
      <c r="B27" s="18" t="n">
        <v>0.2037</v>
      </c>
      <c r="C27" s="19" t="n">
        <v>0.82</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24.84</v>
      </c>
      <c r="C29" s="25" t="inlineStr">
        <is>
          <t>—</t>
        </is>
      </c>
      <c r="D29" s="25" t="inlineStr">
        <is>
          <t>Desviación planimétrica frente al catálogo</t>
        </is>
      </c>
      <c r="E29" s="25" t="inlineStr">
        <is>
          <t>+0.06 %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49.11 % del polígono clasificado como «Vegetación alta» por el NDVI 2025; la observación de campo corresponde a una parcela o recorrido puntual y no es estadísticamente representativa de las 24.840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36</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606468</v>
      </c>
      <c r="D10" s="26" t="n">
        <v>9454689</v>
      </c>
      <c r="E10" s="11" t="n">
        <v>0</v>
      </c>
      <c r="F10" s="11" t="inlineStr"/>
      <c r="G10" s="11" t="inlineStr">
        <is>
          <t>Coordenada consignada en F-DT-01</t>
        </is>
      </c>
    </row>
    <row r="11">
      <c r="A11" s="14" t="inlineStr">
        <is>
          <t>H-01</t>
        </is>
      </c>
      <c r="B11" s="15" t="inlineStr">
        <is>
          <t>Fuente de agua — Quebrada estacional</t>
        </is>
      </c>
      <c r="C11" s="27" t="n">
        <v>606200</v>
      </c>
      <c r="D11" s="27" t="n">
        <v>9454450</v>
      </c>
      <c r="E11" s="15" t="n">
        <v>359.1</v>
      </c>
      <c r="F11" s="15" t="inlineStr">
        <is>
          <t>Estacional (lluvias)</t>
        </is>
      </c>
      <c r="G11" s="15" t="inlineStr">
        <is>
          <t>Quebrada tributaria</t>
        </is>
      </c>
    </row>
    <row r="12">
      <c r="A12" s="7" t="inlineStr">
        <is>
          <t>H-02</t>
        </is>
      </c>
      <c r="B12" s="11" t="inlineStr">
        <is>
          <t>Fuente de agua — Río</t>
        </is>
      </c>
      <c r="C12" s="26" t="n">
        <v>607400</v>
      </c>
      <c r="D12" s="26" t="n">
        <v>9454500</v>
      </c>
      <c r="E12" s="11" t="n">
        <v>951</v>
      </c>
      <c r="F12" s="11" t="inlineStr">
        <is>
          <t>Permanente</t>
        </is>
      </c>
      <c r="G12" s="11" t="inlineStr">
        <is>
          <t>Curso principal del sector</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606468</v>
      </c>
      <c r="C15" s="6" t="inlineStr">
        <is>
          <t>Centroide del bloque — UTM NORTE (m)</t>
        </is>
      </c>
      <c r="D15" s="7" t="n">
        <v>9454689</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23/06/2026, recorrido por cima-ladera. Altitud GPS no registrada por la app fotográfica; el rango altitudinal del sector se ESTIMÓ a partir del perfil de elevación del Bloque 6 adyacente (misma microcuenca), por confirmar con MDE para el Bloque 36.</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36</t>
        </is>
      </c>
    </row>
    <row r="6" ht="24" customHeight="1">
      <c r="A6" s="4" t="inlineStr">
        <is>
          <t>Distrito de Frias · Provincia de Ayabaca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t>
        </is>
      </c>
      <c r="B10" s="28" t="n">
        <v>168.41</v>
      </c>
      <c r="C10" s="19" t="n">
        <v>53.36</v>
      </c>
      <c r="D10" s="11" t="inlineStr">
        <is>
          <t>1398 – 2016</t>
        </is>
      </c>
      <c r="E10" s="11" t="n">
        <v>618</v>
      </c>
      <c r="F10" s="11" t="n">
        <v>33.74</v>
      </c>
      <c r="G10" s="18" t="n">
        <v>0.5381</v>
      </c>
      <c r="H10" s="19" t="n">
        <v>40.11</v>
      </c>
      <c r="I10" s="19" t="n">
        <v>35.41</v>
      </c>
    </row>
    <row r="11">
      <c r="A11" s="14" t="inlineStr">
        <is>
          <t>M10B4</t>
        </is>
      </c>
      <c r="B11" s="29" t="n">
        <v>68.89</v>
      </c>
      <c r="C11" s="21" t="n">
        <v>21.83</v>
      </c>
      <c r="D11" s="15" t="inlineStr">
        <is>
          <t>170 – 313</t>
        </is>
      </c>
      <c r="E11" s="15" t="n">
        <v>143</v>
      </c>
      <c r="F11" s="15" t="n">
        <v>13.83</v>
      </c>
      <c r="G11" s="20" t="n">
        <v>0.3133</v>
      </c>
      <c r="H11" s="21" t="n">
        <v>0</v>
      </c>
      <c r="I11" s="21" t="n">
        <v>99.81</v>
      </c>
    </row>
    <row r="12">
      <c r="A12" s="7" t="inlineStr">
        <is>
          <t>25</t>
        </is>
      </c>
      <c r="B12" s="28" t="n">
        <v>53.48</v>
      </c>
      <c r="C12" s="19" t="n">
        <v>16.94</v>
      </c>
      <c r="D12" s="11" t="inlineStr">
        <is>
          <t>143 – 210</t>
        </is>
      </c>
      <c r="E12" s="11" t="n">
        <v>67</v>
      </c>
      <c r="F12" s="11" t="n">
        <v>11.68</v>
      </c>
      <c r="G12" s="18" t="n">
        <v>0.2565</v>
      </c>
      <c r="H12" s="19" t="inlineStr">
        <is>
          <t>Por determinar</t>
        </is>
      </c>
      <c r="I12" s="11" t="inlineStr">
        <is>
          <t>s/d</t>
        </is>
      </c>
    </row>
    <row r="13">
      <c r="A13" s="12" t="inlineStr">
        <is>
          <t>► 36</t>
        </is>
      </c>
      <c r="B13" s="30" t="n">
        <v>24.84</v>
      </c>
      <c r="C13" s="31" t="n">
        <v>7.87</v>
      </c>
      <c r="D13" s="13" t="inlineStr">
        <is>
          <t>1239 – 1476</t>
        </is>
      </c>
      <c r="E13" s="13" t="n">
        <v>237</v>
      </c>
      <c r="F13" s="13" t="n">
        <v>30.65</v>
      </c>
      <c r="G13" s="32" t="n">
        <v>0.5395</v>
      </c>
      <c r="H13" s="31" t="n">
        <v>49.11</v>
      </c>
      <c r="I13" s="31" t="n">
        <v>35.63</v>
      </c>
    </row>
    <row r="14">
      <c r="A14" s="16" t="inlineStr">
        <is>
          <t>TOTAL / PROMEDIO</t>
        </is>
      </c>
      <c r="B14" s="33">
        <f>SUM(B10:B13)</f>
        <v/>
      </c>
      <c r="C14" s="23">
        <f>SUM(C10:C13)</f>
        <v/>
      </c>
      <c r="D14" s="17" t="inlineStr">
        <is>
          <t>143 – 2016</t>
        </is>
      </c>
      <c r="E14" s="17" t="inlineStr"/>
      <c r="F14" s="17">
        <f>ROUND(AVERAGE(F10:F13),2)</f>
        <v/>
      </c>
      <c r="G14" s="22">
        <f>ROUND(AVERAGE(G10:G13),4)</f>
        <v/>
      </c>
      <c r="H14" s="23">
        <f>ROUND(AVERAGE(H10:H13),2)</f>
        <v/>
      </c>
      <c r="I14" s="23">
        <f>ROUND(AVERAGE(I10:I13),2)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1" t="n"/>
      <c r="I15" s="42" t="n"/>
    </row>
    <row r="17" ht="84" customHeight="1">
      <c r="A17" s="9" t="inlineStr">
        <is>
          <t>LECTURA INTRAMICROCUENCA. El bloque 36 ocupa el puesto 4 de 4 por superficie dentro de la microcuenca C1096-Q9547 (7.87 % de las 315.62 ha preliminares de la microcuenca). Su pendiente promedio (30.65 %, clase «25-50% (Mod. escarpado)») es la 3.ª más baja de 4 y se sitúa por encima del promedio de la microcuenca (22.48 %). Su MSAVI 2024 (0.5395) es el 1.º de 4 y queda por encima del promedio local (0.4119). Amplitud altitudinal del bloque: 237 m (1239–1476 msnm). El cuadro conserva todos los bloques catalogados en la microcuenca, incluidos los descartados en el tamizaje, para referencia del conjunto. Los bloques sin ficha DT figuran con sus parámetros de gabinete. BRECHA ESPECTRAL. El 35.63 % de la superficie del bloque (8.852 ha de 24.843 ha) se sitúa bajo el umbral MSAVI 0.4976, por debajo del promedio local de la microcuenca (56.95 %) calculado sobre los bloques con dato MSAVI disponible.</t>
        </is>
      </c>
      <c r="B17" s="41" t="n"/>
      <c r="C17" s="41" t="n"/>
      <c r="D17" s="41" t="n"/>
      <c r="E17" s="41" t="n"/>
      <c r="F17" s="41" t="n"/>
      <c r="G17" s="41" t="n"/>
      <c r="H17" s="41" t="n"/>
      <c r="I17" s="42"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1" t="n"/>
      <c r="I19" s="42" t="n"/>
    </row>
  </sheetData>
  <mergeCells count="10">
    <mergeCell ref="A15:I15"/>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36</t>
        </is>
      </c>
    </row>
    <row r="6">
      <c r="A6" s="52" t="inlineStr">
        <is>
          <t>Cruce de la ficha de campo F-DT vigente con la ficha de resumen de gabinete y el catálogo maestro. Integración 2026-09-11 21:26:25.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«C1096-Q9547».</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(24.856 ha) se desvía 0.06 % de la superficie de catálogo (24.84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(24.843 ha) se desvía 0.01 % de la superficie de catálogo (24.84 ha).</t>
        </is>
      </c>
      <c r="D14" s="57" t="inlineStr">
        <is>
          <t>CONFORME</t>
        </is>
      </c>
      <c r="E14" s="57" t="inlineStr">
        <is>
          <t>Sin acción: la segmentación valida la geometría del bloque.</t>
        </is>
      </c>
    </row>
    <row r="15">
      <c r="A15" s="56" t="inlineStr">
        <is>
          <t>G-07</t>
        </is>
      </c>
      <c r="B15" s="56" t="inlineStr">
        <is>
          <t>Brecha espectral MSAVI</t>
        </is>
      </c>
      <c r="C15" s="56" t="inlineStr">
        <is>
          <t>El 35.63 % del bloque queda bajo el umbral 0.4976; superficie de brecha 8.8521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24.84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(0.5395)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Elenco florístico (n.o de taxones)</t>
        </is>
      </c>
      <c r="C19" s="56" t="inlineStr">
        <is>
          <t>El libro de resumen V6 consignaba «13»; la ficha de campo vigente declara «7».</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Responsable de la evaluación</t>
        </is>
      </c>
      <c r="C20" s="57" t="inlineStr">
        <is>
          <t>El libro de resumen V6 consignaba «Héctor Cahuas Miller / Pedro Talledo Hernández»; la ficha de campo vigente declara «Ing. Héctor S. Cahuas Miller (Ing. Forestal — ANIN/DIME-SESDI)».</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92.9 % de los campos esperados).</t>
        </is>
      </c>
      <c r="D21" s="56" t="inlineStr">
        <is>
          <t>CONFORME</t>
        </is>
      </c>
      <c r="E21" s="56" t="inlineStr">
        <is>
          <t>Sin acción.</t>
        </is>
      </c>
    </row>
    <row r="22">
      <c r="A22" s="57" t="inlineStr">
        <is>
          <t>F-02</t>
        </is>
      </c>
      <c r="B22" s="57" t="inlineStr">
        <is>
          <t>Cobertura de la integración</t>
        </is>
      </c>
      <c r="C22" s="57" t="inlineStr">
        <is>
          <t>Se declararon 94 de 114 hechos integrados (82.5 %); 20 quedan sin dato en ninguna fuente.</t>
        </is>
      </c>
      <c r="D22" s="57" t="inlineStr">
        <is>
          <t>CONFORME</t>
        </is>
      </c>
      <c r="E22" s="57" t="inlineStr">
        <is>
          <t>Sin acción.</t>
        </is>
      </c>
    </row>
    <row r="23">
      <c r="A23" s="56" t="inlineStr">
        <is>
          <t>H-01</t>
        </is>
      </c>
      <c r="B23" s="56" t="inlineStr">
        <is>
          <t>Rango altitudinal / piso ecológico</t>
        </is>
      </c>
      <c r="C23" s="56" t="inlineStr">
        <is>
          <t>La ficha DT declara «1500-2000 m (Quechua media)»; el MDE sitúa el bloque entre 1239 y 1476 msnm, cuyo punto medio corresponde a «1000-1500 m (Quechua baja)»</t>
        </is>
      </c>
      <c r="D23" s="56" t="inlineStr">
        <is>
          <t>NO SUSTANTIVA</t>
        </is>
      </c>
      <c r="E23" s="56" t="inlineStr">
        <is>
          <t>Se declara la divergencia. El bloque abarca más de un piso altitudinal cuando la amplitud supera el ancho de la clase; el registro de campo corresponde al sector recorrido. (Verificación heredada de la ficha de resumen V6.)</t>
        </is>
      </c>
    </row>
    <row r="24">
      <c r="A24" s="57" t="inlineStr">
        <is>
          <t>H-02</t>
        </is>
      </c>
      <c r="B24" s="57" t="inlineStr">
        <is>
          <t>Centro poblado asociado</t>
        </is>
      </c>
      <c r="C24" s="57" t="inlineStr">
        <is>
          <t>La ficha DT declara «Guabal»; el cruce INEI-Bloques V5 identifica 1 centro(s) poblado(s) en el bloque: GUABAL</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1 · NO SUSTANTIVA: 2 · CORREGIDO: 2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36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Elenco florístico (n.o de taxones)</t>
        </is>
      </c>
      <c r="C9" s="56" t="inlineStr">
        <is>
          <t>13</t>
        </is>
      </c>
      <c r="D9" s="56" t="inlineStr">
        <is>
          <t>7</t>
        </is>
      </c>
      <c r="E9" s="56" t="inlineStr">
        <is>
          <t>Dato de campo</t>
        </is>
      </c>
    </row>
    <row r="10">
      <c r="A10" s="57" t="inlineStr">
        <is>
          <t>8. Responsable y modalidad de la evaluación</t>
        </is>
      </c>
      <c r="B10" s="57" t="inlineStr">
        <is>
          <t>Responsable de la evaluación</t>
        </is>
      </c>
      <c r="C10" s="57" t="inlineStr">
        <is>
          <t>Héctor Cahuas Miller / Pedro Talledo Hernández</t>
        </is>
      </c>
      <c r="D10" s="57" t="inlineStr">
        <is>
          <t>Ing. Héctor S. Cahuas Miller (Ing. Forestal — ANIN/DIME-SESDI)</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606468</t>
        </is>
      </c>
      <c r="D14" s="56" t="inlineStr">
        <is>
          <t>m</t>
        </is>
      </c>
    </row>
    <row r="15">
      <c r="A15" s="57" t="inlineStr">
        <is>
          <t>1. Identificación y localización</t>
        </is>
      </c>
      <c r="B15" s="57" t="inlineStr">
        <is>
          <t>UTM NORTE del punto de muestreo (m)</t>
        </is>
      </c>
      <c r="C15" s="57" t="inlineStr">
        <is>
          <t>9454689</t>
        </is>
      </c>
      <c r="D15" s="57" t="inlineStr">
        <is>
          <t>m</t>
        </is>
      </c>
    </row>
    <row r="16">
      <c r="A16" s="56" t="inlineStr">
        <is>
          <t>2. Parámetros físicos del terreno</t>
        </is>
      </c>
      <c r="B16" s="56" t="inlineStr">
        <is>
          <t>Piso altitudinal del punto de muestreo</t>
        </is>
      </c>
      <c r="C16" s="56" t="inlineStr">
        <is>
          <t>1500-2000 m (Quechua media)</t>
        </is>
      </c>
      <c r="D16" s="56" t="inlineStr"/>
    </row>
    <row r="17">
      <c r="A17" s="57" t="inlineStr">
        <is>
          <t>2. Parámetros físicos del terreno</t>
        </is>
      </c>
      <c r="B17" s="57" t="inlineStr">
        <is>
          <t>Paisaje dominante descrito en campo</t>
        </is>
      </c>
      <c r="C17" s="57" t="inlineStr">
        <is>
          <t>Ladera montañosa disectada por quebradas tributarias; mosaico de pastizales cultivados, parcelas de maíz y relictos de bosque/matorral en las quebradas, con árboles nativos dispersos. Neblina frecuente en cimas.</t>
        </is>
      </c>
      <c r="D17" s="57" t="inlineStr"/>
    </row>
    <row r="18">
      <c r="A18" s="56" t="inlineStr">
        <is>
          <t>2. Parámetros físicos del terreno</t>
        </is>
      </c>
      <c r="B18" s="56" t="inlineStr">
        <is>
          <t>Reptación de suelo</t>
        </is>
      </c>
      <c r="C18" s="56" t="inlineStr">
        <is>
          <t>No</t>
        </is>
      </c>
      <c r="D18" s="56" t="inlineStr"/>
    </row>
    <row r="19">
      <c r="A19" s="57" t="inlineStr">
        <is>
          <t>2. Parámetros físicos del terreno</t>
        </is>
      </c>
      <c r="B19" s="57" t="inlineStr">
        <is>
          <t>Deslizamientos antiguos</t>
        </is>
      </c>
      <c r="C19" s="57" t="inlineStr">
        <is>
          <t>No</t>
        </is>
      </c>
      <c r="D19" s="57" t="inlineStr"/>
    </row>
    <row r="20">
      <c r="A20" s="56" t="inlineStr">
        <is>
          <t>4. Suelos y erosión (F-DT-02)</t>
        </is>
      </c>
      <c r="B20" s="56" t="inlineStr">
        <is>
          <t>Nivel de erosión - síntesis de campo</t>
        </is>
      </c>
      <c r="C20" s="56" t="inlineStr">
        <is>
          <t>Ligera (laminar)</t>
        </is>
      </c>
      <c r="D20" s="56" t="inlineStr"/>
    </row>
    <row r="21">
      <c r="A21" s="57" t="inlineStr">
        <is>
          <t>4. Suelos y erosión (F-DT-02)</t>
        </is>
      </c>
      <c r="B21" s="57" t="inlineStr">
        <is>
          <t>Sellamiento / costra superficial</t>
        </is>
      </c>
      <c r="C21" s="57" t="inlineStr">
        <is>
          <t>No</t>
        </is>
      </c>
      <c r="D21" s="57" t="inlineStr"/>
    </row>
    <row r="22">
      <c r="A22" s="56" t="inlineStr">
        <is>
          <t>4. Suelos y erosión (F-DT-02)</t>
        </is>
      </c>
      <c r="B22" s="56" t="inlineStr">
        <is>
          <t>Compactación por pisoteo</t>
        </is>
      </c>
      <c r="C22" s="56" t="inlineStr">
        <is>
          <t>Sí</t>
        </is>
      </c>
      <c r="D22" s="56" t="inlineStr"/>
    </row>
    <row r="23">
      <c r="A23" s="57" t="inlineStr">
        <is>
          <t>4. Suelos y erosión (F-DT-02)</t>
        </is>
      </c>
      <c r="B23" s="57" t="inlineStr">
        <is>
          <t>Raíces expuestas</t>
        </is>
      </c>
      <c r="C23" s="57" t="inlineStr">
        <is>
          <t>No</t>
        </is>
      </c>
      <c r="D23" s="57" t="inlineStr"/>
    </row>
    <row r="24">
      <c r="A24" s="56" t="inlineStr">
        <is>
          <t>4. Suelos y erosión (F-DT-02)</t>
        </is>
      </c>
      <c r="B24" s="56" t="inlineStr">
        <is>
          <t>Longitud total de cárcavas (m)</t>
        </is>
      </c>
      <c r="C24" s="56" t="inlineStr">
        <is>
          <t>0</t>
        </is>
      </c>
      <c r="D24" s="56" t="inlineStr">
        <is>
          <t>m</t>
        </is>
      </c>
    </row>
    <row r="25">
      <c r="A25" s="57" t="inlineStr">
        <is>
          <t>4. Suelos y erosión (F-DT-02)</t>
        </is>
      </c>
      <c r="B25" s="57" t="inlineStr">
        <is>
          <t>% del bloque afectado por cárcavas</t>
        </is>
      </c>
      <c r="C25" s="57" t="inlineStr">
        <is>
          <t>0</t>
        </is>
      </c>
      <c r="D25" s="57" t="inlineStr">
        <is>
          <t>%</t>
        </is>
      </c>
    </row>
    <row r="26">
      <c r="A26" s="56" t="inlineStr">
        <is>
          <t>4. Suelos y erosión (F-DT-02)</t>
        </is>
      </c>
      <c r="B26" s="56" t="inlineStr">
        <is>
          <t>Erosión laminar (% del bloque)</t>
        </is>
      </c>
      <c r="C26" s="56" t="inlineStr">
        <is>
          <t>10</t>
        </is>
      </c>
      <c r="D26" s="56" t="inlineStr">
        <is>
          <t>%</t>
        </is>
      </c>
    </row>
    <row r="27">
      <c r="A27" s="57" t="inlineStr">
        <is>
          <t>4. Suelos y erosión (F-DT-02)</t>
        </is>
      </c>
      <c r="B27" s="57" t="inlineStr">
        <is>
          <t>Socavamiento de cauce</t>
        </is>
      </c>
      <c r="C27" s="57" t="inlineStr">
        <is>
          <t>No</t>
        </is>
      </c>
      <c r="D27" s="57" t="inlineStr"/>
    </row>
    <row r="28">
      <c r="A28" s="56" t="inlineStr">
        <is>
          <t>5. Ecosistema, cobertura y flora (F-DT-03)</t>
        </is>
      </c>
      <c r="B28" s="56" t="inlineStr">
        <is>
          <t>Cobertura del dosel (%)</t>
        </is>
      </c>
      <c r="C28" s="56" t="inlineStr">
        <is>
          <t>20</t>
        </is>
      </c>
      <c r="D28" s="56" t="inlineStr">
        <is>
          <t>%</t>
        </is>
      </c>
    </row>
    <row r="29">
      <c r="A29" s="57" t="inlineStr">
        <is>
          <t>5. Ecosistema, cobertura y flora (F-DT-03)</t>
        </is>
      </c>
      <c r="B29" s="57" t="inlineStr">
        <is>
          <t>Cobertura herbácea (%)</t>
        </is>
      </c>
      <c r="C29" s="57" t="inlineStr">
        <is>
          <t>40</t>
        </is>
      </c>
      <c r="D29" s="57" t="inlineStr">
        <is>
          <t>%</t>
        </is>
      </c>
    </row>
    <row r="30">
      <c r="A30" s="56" t="inlineStr">
        <is>
          <t>5. Ecosistema, cobertura y flora (F-DT-03)</t>
        </is>
      </c>
      <c r="B30" s="56" t="inlineStr">
        <is>
          <t>Fenología dominante</t>
        </is>
      </c>
      <c r="C30" s="56" t="inlineStr">
        <is>
          <t>Vegetativo</t>
        </is>
      </c>
      <c r="D30" s="56" t="inlineStr"/>
    </row>
    <row r="31">
      <c r="A31" s="57" t="inlineStr">
        <is>
          <t>5. Ecosistema, cobertura y flora (F-DT-03)</t>
        </is>
      </c>
      <c r="B31" s="57" t="inlineStr">
        <is>
          <t>Dimensiones de la parcela (m)</t>
        </is>
      </c>
      <c r="C31" s="57" t="inlineStr">
        <is>
          <t>No aplica (recorrido)</t>
        </is>
      </c>
      <c r="D31" s="57" t="inlineStr"/>
    </row>
    <row r="32">
      <c r="A32" s="56" t="inlineStr">
        <is>
          <t>5. Ecosistema, cobertura y flora (F-DT-03)</t>
        </is>
      </c>
      <c r="B32" s="56" t="inlineStr">
        <is>
          <t>Especies clave georreferenciadas</t>
        </is>
      </c>
      <c r="C32" s="56" t="inlineStr">
        <is>
          <t>1</t>
        </is>
      </c>
      <c r="D32" s="56" t="inlineStr"/>
    </row>
    <row r="33">
      <c r="A33" s="57" t="inlineStr">
        <is>
          <t>6. Degradación, causas y urgencia (F-DT-04)</t>
        </is>
      </c>
      <c r="B33" s="57" t="inlineStr">
        <is>
          <t>Causas directas de la degradación</t>
        </is>
      </c>
      <c r="C33" s="57" t="inlineStr">
        <is>
          <t>Conversión de cobertura a pastos cultivados y parcelas de cultivo (maíz) en laderas de fuerte pendiente; pastoreo extensivo; presión menor por cercanía a CC.PP. y caminos; presencia de Agave en bordes.</t>
        </is>
      </c>
      <c r="D33" s="57" t="inlineStr"/>
    </row>
    <row r="34">
      <c r="A34" s="56" t="inlineStr">
        <is>
          <t>6. Degradación, causas y urgencia (F-DT-04)</t>
        </is>
      </c>
      <c r="B34" s="56" t="inlineStr">
        <is>
          <t>N.° de causas activas en la matriz F-DT-04</t>
        </is>
      </c>
      <c r="C34" s="56" t="inlineStr">
        <is>
          <t>7</t>
        </is>
      </c>
      <c r="D34" s="56" t="inlineStr"/>
    </row>
    <row r="35">
      <c r="A35" s="57" t="inlineStr">
        <is>
          <t>7. Hidrología, acceso y logística (F-DT-05)</t>
        </is>
      </c>
      <c r="B35" s="57" t="inlineStr">
        <is>
          <t>Escorrentía concentrada</t>
        </is>
      </c>
      <c r="C35" s="57" t="inlineStr">
        <is>
          <t>Sí</t>
        </is>
      </c>
      <c r="D35" s="57" t="inlineStr"/>
    </row>
    <row r="36">
      <c r="A36" s="56" t="inlineStr">
        <is>
          <t>7. Hidrología, acceso y logística (F-DT-05)</t>
        </is>
      </c>
      <c r="B36" s="56" t="inlineStr">
        <is>
          <t>Fuentes de agua inventariadas</t>
        </is>
      </c>
      <c r="C36" s="56" t="inlineStr">
        <is>
          <t>2</t>
        </is>
      </c>
      <c r="D36" s="56" t="inlineStr"/>
    </row>
    <row r="37">
      <c r="A37" s="57" t="inlineStr">
        <is>
          <t>7. Hidrología, acceso y logística (F-DT-05)</t>
        </is>
      </c>
      <c r="B37" s="57" t="inlineStr">
        <is>
          <t>Interferencia con riego</t>
        </is>
      </c>
      <c r="C37" s="57" t="inlineStr">
        <is>
          <t>No</t>
        </is>
      </c>
      <c r="D37" s="57" t="inlineStr"/>
    </row>
    <row r="38">
      <c r="A38" s="56" t="inlineStr">
        <is>
          <t>7. Hidrología, acceso y logística (F-DT-05)</t>
        </is>
      </c>
      <c r="B38" s="56" t="inlineStr">
        <is>
          <t>Vía principal de acceso</t>
        </is>
      </c>
      <c r="C38" s="56" t="inlineStr">
        <is>
          <t>Trocha carrozable (acceso desde Frías hacia CC.PP. Guabal/Huabal) + camino de herradura</t>
        </is>
      </c>
      <c r="D38" s="56" t="inlineStr"/>
    </row>
    <row r="39">
      <c r="A39" s="57" t="inlineStr">
        <is>
          <t>7. Hidrología, acceso y logística (F-DT-05)</t>
        </is>
      </c>
      <c r="B39" s="57" t="inlineStr">
        <is>
          <t>Tipo de vía del tramo final</t>
        </is>
      </c>
      <c r="C39" s="57" t="inlineStr">
        <is>
          <t>Camino de herradura</t>
        </is>
      </c>
      <c r="D39" s="57" t="inlineStr"/>
    </row>
    <row r="40">
      <c r="A40" s="56" t="inlineStr">
        <is>
          <t>7. Hidrología, acceso y logística (F-DT-05)</t>
        </is>
      </c>
      <c r="B40" s="56" t="inlineStr">
        <is>
          <t>Transitabilidad en época seca</t>
        </is>
      </c>
      <c r="C40" s="56" t="inlineStr">
        <is>
          <t>Medio</t>
        </is>
      </c>
      <c r="D40" s="56" t="inlineStr"/>
    </row>
    <row r="41">
      <c r="A41" s="57" t="inlineStr">
        <is>
          <t>7. Hidrología, acceso y logística (F-DT-05)</t>
        </is>
      </c>
      <c r="B41" s="57" t="inlineStr">
        <is>
          <t>Transitabilidad en época lluviosa</t>
        </is>
      </c>
      <c r="C41" s="57" t="inlineStr">
        <is>
          <t>Bajo</t>
        </is>
      </c>
      <c r="D41" s="57" t="inlineStr"/>
    </row>
    <row r="43">
      <c r="A43" s="54" t="inlineStr">
        <is>
          <t>C. PROCEDENCIA DE LOS HECHOS DECLARADOS</t>
        </is>
      </c>
    </row>
    <row r="44">
      <c r="A44" s="55" t="inlineStr">
        <is>
          <t>Fuente</t>
        </is>
      </c>
      <c r="B44" s="55" t="inlineStr">
        <is>
          <t>Hechos</t>
        </is>
      </c>
      <c r="C44" s="55" t="inlineStr">
        <is>
          <t>Alcance de la fuente</t>
        </is>
      </c>
    </row>
    <row r="45">
      <c r="A45" s="56" t="inlineStr">
        <is>
          <t>Dato de campo</t>
        </is>
      </c>
      <c r="B45" s="56" t="n">
        <v>59</v>
      </c>
      <c r="C45" s="56" t="inlineStr">
        <is>
          <t>Verificación en campo. Fichas F-DT-01 a F-DT-05 de la Plantilla DT Campo Check Validada V5, suscritas por el evaluador.</t>
        </is>
      </c>
    </row>
    <row r="46">
      <c r="A46" s="57" t="inlineStr">
        <is>
          <t>Gabinete (GIS / teledetección)</t>
        </is>
      </c>
      <c r="B46" s="57" t="n">
        <v>21</v>
      </c>
      <c r="C46" s="57" t="inlineStr">
        <is>
          <t>Gabinete. Estadística zonal sobre el MDE y compuestos Sentinel-2 (NDVI mediana 2025, MSAVI 2024 por clase DN).</t>
        </is>
      </c>
    </row>
    <row r="47">
      <c r="A47" s="56" t="inlineStr">
        <is>
          <t>Fuente oficial</t>
        </is>
      </c>
      <c r="B47" s="56" t="n">
        <v>14</v>
      </c>
      <c r="C47" s="56" t="inlineStr">
        <is>
          <t>Fuente oficial. Catálogo maestro Bloques V5/V6, división política INEI y codificación de microcuencas de la ANA.</t>
        </is>
      </c>
    </row>
    <row r="49">
      <c r="A49" s="54" t="inlineStr">
        <is>
          <t>D. ESTADO DEL CRUCE ENTRE FUENTES</t>
        </is>
      </c>
    </row>
    <row r="50">
      <c r="A50" s="55" t="inlineStr">
        <is>
          <t>Estado</t>
        </is>
      </c>
      <c r="B50" s="55" t="inlineStr">
        <is>
          <t>Hechos</t>
        </is>
      </c>
      <c r="C50" s="55" t="inlineStr">
        <is>
          <t>Significado</t>
        </is>
      </c>
    </row>
    <row r="51">
      <c r="A51" s="56" t="inlineStr">
        <is>
          <t>CONFORME</t>
        </is>
      </c>
      <c r="B51" s="56" t="n">
        <v>92</v>
      </c>
      <c r="C51" s="56" t="inlineStr">
        <is>
          <t>Las dos fuentes declaran lo mismo, o solo la fuente que manda sobre el hecho lo declara.</t>
        </is>
      </c>
    </row>
    <row r="52">
      <c r="A52" s="57" t="inlineStr">
        <is>
          <t>COMPLEMENTADO</t>
        </is>
      </c>
      <c r="B52" s="57" t="n">
        <v>0</v>
      </c>
      <c r="C52" s="57" t="inlineStr">
        <is>
          <t>Solo una de las fuentes lo declara y se adopta ese valor.</t>
        </is>
      </c>
    </row>
    <row r="53">
      <c r="A53" s="56" t="inlineStr">
        <is>
          <t>ACTUALIZADO</t>
        </is>
      </c>
      <c r="B53" s="56" t="n">
        <v>2</v>
      </c>
      <c r="C53" s="56" t="inlineStr">
        <is>
          <t>La verificación de campo vigente corrige lo que traía el libro de resumen.</t>
        </is>
      </c>
    </row>
    <row r="54">
      <c r="A54" s="57" t="inlineStr">
        <is>
          <t>DISCREPANTE</t>
        </is>
      </c>
      <c r="B54" s="57" t="n">
        <v>0</v>
      </c>
      <c r="C54" s="57" t="inlineStr">
        <is>
          <t>Las fuentes se contradicen; prevalece la que manda sobre el hecho y la otra queda declarada.</t>
        </is>
      </c>
    </row>
    <row r="55">
      <c r="A55" s="56" t="inlineStr">
        <is>
          <t>PENDIENTE</t>
        </is>
      </c>
      <c r="B55" s="56" t="n">
        <v>20</v>
      </c>
      <c r="C55"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36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Pastos cultivados</t>
        </is>
      </c>
      <c r="C13" s="56" t="inlineStr">
        <is>
          <t>Poaceae (indet.)</t>
        </is>
      </c>
      <c r="D13" s="56" t="inlineStr">
        <is>
          <t>Poaceae</t>
        </is>
      </c>
      <c r="E13" s="56" t="inlineStr">
        <is>
          <t>Herbáceo (&lt;0.5 m)</t>
        </is>
      </c>
      <c r="F13" s="56" t="inlineStr">
        <is>
          <t>Introducida</t>
        </is>
      </c>
      <c r="G13" s="56" t="inlineStr">
        <is>
          <t>Dominante (&gt;40%)</t>
        </is>
      </c>
      <c r="H13" s="56" t="n"/>
      <c r="I13" s="56" t="n"/>
    </row>
    <row r="14">
      <c r="A14" s="57" t="inlineStr">
        <is>
          <t>2</t>
        </is>
      </c>
      <c r="B14" s="57" t="inlineStr">
        <is>
          <t>Maíz</t>
        </is>
      </c>
      <c r="C14" s="57" t="inlineStr">
        <is>
          <t>Zea mays</t>
        </is>
      </c>
      <c r="D14" s="57" t="inlineStr">
        <is>
          <t>Poaceae</t>
        </is>
      </c>
      <c r="E14" s="57" t="inlineStr">
        <is>
          <t>Herbáceo (&lt;0.5 m)</t>
        </is>
      </c>
      <c r="F14" s="57" t="inlineStr">
        <is>
          <t>Introducida</t>
        </is>
      </c>
      <c r="G14" s="57" t="inlineStr">
        <is>
          <t>Frecuente (5-20%)</t>
        </is>
      </c>
      <c r="H14" s="57" t="n"/>
      <c r="I14" s="57" t="n"/>
    </row>
    <row r="15">
      <c r="A15" s="56" t="inlineStr">
        <is>
          <t>3</t>
        </is>
      </c>
      <c r="B15" s="56" t="inlineStr">
        <is>
          <t>Agave</t>
        </is>
      </c>
      <c r="C15" s="56" t="inlineStr">
        <is>
          <t>Agave americana</t>
        </is>
      </c>
      <c r="D15" s="56" t="inlineStr">
        <is>
          <t>Asparagaceae</t>
        </is>
      </c>
      <c r="E15" s="56" t="inlineStr">
        <is>
          <t>Arbustivo alto (1.5-4 m)</t>
        </is>
      </c>
      <c r="F15" s="56" t="inlineStr">
        <is>
          <t>Introducida</t>
        </is>
      </c>
      <c r="G15" s="56" t="inlineStr">
        <is>
          <t>Ocasional (1-5%)</t>
        </is>
      </c>
      <c r="H15" s="56" t="n"/>
      <c r="I15" s="56" t="n"/>
    </row>
    <row r="16">
      <c r="A16" s="57" t="inlineStr">
        <is>
          <t>4</t>
        </is>
      </c>
      <c r="B16" s="57" t="inlineStr">
        <is>
          <t>Higuerilla</t>
        </is>
      </c>
      <c r="C16" s="57" t="inlineStr">
        <is>
          <t>Ricinus communis</t>
        </is>
      </c>
      <c r="D16" s="57" t="inlineStr">
        <is>
          <t>Euphorbiaceae</t>
        </is>
      </c>
      <c r="E16" s="57" t="inlineStr">
        <is>
          <t>Arbustivo bajo (0.5-1.5 m)</t>
        </is>
      </c>
      <c r="F16" s="57" t="inlineStr">
        <is>
          <t>Nativa</t>
        </is>
      </c>
      <c r="G16" s="57" t="inlineStr">
        <is>
          <t>Frecuente (5-20%)</t>
        </is>
      </c>
      <c r="H16" s="57" t="n"/>
      <c r="I16" s="57" t="n"/>
    </row>
    <row r="17">
      <c r="A17" s="56" t="inlineStr">
        <is>
          <t>5</t>
        </is>
      </c>
      <c r="B17" s="56" t="inlineStr">
        <is>
          <t>Árbol nativo de quebrada</t>
        </is>
      </c>
      <c r="C17" s="56" t="inlineStr">
        <is>
          <t>Indet.</t>
        </is>
      </c>
      <c r="D17" s="56" t="inlineStr">
        <is>
          <t>Indet.</t>
        </is>
      </c>
      <c r="E17" s="56" t="inlineStr">
        <is>
          <t>Arbóreo medio (8-15 m)</t>
        </is>
      </c>
      <c r="F17" s="56" t="inlineStr">
        <is>
          <t>Nativa</t>
        </is>
      </c>
      <c r="G17" s="56" t="inlineStr">
        <is>
          <t>Frecuente (5-20%)</t>
        </is>
      </c>
      <c r="H17" s="56" t="n"/>
      <c r="I17" s="56" t="n"/>
    </row>
    <row r="18">
      <c r="A18" s="57" t="inlineStr">
        <is>
          <t>6</t>
        </is>
      </c>
      <c r="B18" s="57" t="inlineStr">
        <is>
          <t>Árbol nativo de ladera/talud</t>
        </is>
      </c>
      <c r="C18" s="57" t="inlineStr">
        <is>
          <t>Indet.</t>
        </is>
      </c>
      <c r="D18" s="57" t="inlineStr">
        <is>
          <t>Indet.</t>
        </is>
      </c>
      <c r="E18" s="57" t="inlineStr">
        <is>
          <t>Arbóreo bajo (4-8 m)</t>
        </is>
      </c>
      <c r="F18" s="57" t="inlineStr">
        <is>
          <t>Nativa</t>
        </is>
      </c>
      <c r="G18" s="57" t="inlineStr">
        <is>
          <t>Ocasional (1-5%)</t>
        </is>
      </c>
      <c r="H18" s="57" t="n"/>
      <c r="I18" s="57" t="n"/>
    </row>
    <row r="19">
      <c r="A19" s="56" t="inlineStr">
        <is>
          <t>7</t>
        </is>
      </c>
      <c r="B19" s="56" t="inlineStr">
        <is>
          <t>Herbáceas y flores silvestres de borde</t>
        </is>
      </c>
      <c r="C19" s="56" t="inlineStr">
        <is>
          <t>Indet.</t>
        </is>
      </c>
      <c r="D19" s="56" t="inlineStr">
        <is>
          <t>Indet.</t>
        </is>
      </c>
      <c r="E19" s="56" t="inlineStr">
        <is>
          <t>Herbáceo (&lt;0.5 m)</t>
        </is>
      </c>
      <c r="F19" s="56" t="inlineStr">
        <is>
          <t>Nativa</t>
        </is>
      </c>
      <c r="G19" s="56" t="inlineStr">
        <is>
          <t>Frecuente (5-20%)</t>
        </is>
      </c>
      <c r="H19" s="56" t="n"/>
      <c r="I19" s="56" t="n"/>
    </row>
    <row r="21">
      <c r="A21" s="54" t="inlineStr">
        <is>
          <t>F-DT-03 · ESPECIES CLAVE GEORREFERENCIADAS</t>
        </is>
      </c>
    </row>
    <row r="22">
      <c r="A22" s="55" t="inlineStr">
        <is>
          <t>N.o</t>
        </is>
      </c>
      <c r="B22" s="55" t="inlineStr">
        <is>
          <t>Especie</t>
        </is>
      </c>
      <c r="C22" s="55" t="inlineStr">
        <is>
          <t>Categoría</t>
        </is>
      </c>
      <c r="D22" s="55" t="inlineStr">
        <is>
          <t>Estado UICN</t>
        </is>
      </c>
      <c r="E22" s="55" t="inlineStr">
        <is>
          <t>UTM ESTE</t>
        </is>
      </c>
      <c r="F22" s="55" t="inlineStr">
        <is>
          <t>UTM NORTE</t>
        </is>
      </c>
      <c r="G22" s="55" t="inlineStr">
        <is>
          <t>N.° individuos</t>
        </is>
      </c>
      <c r="H22" s="55" t="inlineStr">
        <is>
          <t>Observación</t>
        </is>
      </c>
    </row>
    <row r="23">
      <c r="A23" s="56" t="inlineStr">
        <is>
          <t>1</t>
        </is>
      </c>
      <c r="B23" s="56" t="inlineStr">
        <is>
          <t>Agave americana</t>
        </is>
      </c>
      <c r="C23" s="56" t="inlineStr">
        <is>
          <t>Indicadora de perturbación</t>
        </is>
      </c>
      <c r="D23" s="56" t="inlineStr">
        <is>
          <t>No aplica</t>
        </is>
      </c>
      <c r="E23" s="61" t="n">
        <v>606441</v>
      </c>
      <c r="F23" s="61" t="n">
        <v>9454877</v>
      </c>
      <c r="G23" s="62" t="n">
        <v>1</v>
      </c>
      <c r="H23" s="56" t="inlineStr">
        <is>
          <t>En talud/borde de ladera; especie introducida indicadora de borde perturbado</t>
        </is>
      </c>
    </row>
    <row r="25">
      <c r="A25" s="54" t="inlineStr">
        <is>
          <t>F-DT-04 · MATRIZ DE CAUSAS DE DEGRADACIÓN</t>
        </is>
      </c>
    </row>
    <row r="26">
      <c r="A26" s="55" t="inlineStr">
        <is>
          <t>N.o</t>
        </is>
      </c>
      <c r="B26" s="55" t="inlineStr">
        <is>
          <t>Causa</t>
        </is>
      </c>
      <c r="C26" s="55" t="inlineStr">
        <is>
          <t>Presencia</t>
        </is>
      </c>
      <c r="D26" s="55" t="inlineStr">
        <is>
          <t>Intensidad</t>
        </is>
      </c>
      <c r="E26" s="55" t="inlineStr">
        <is>
          <t>Extensión</t>
        </is>
      </c>
      <c r="F26" s="55" t="inlineStr">
        <is>
          <t>Antigüedad</t>
        </is>
      </c>
      <c r="G26" s="55" t="inlineStr">
        <is>
          <t>Evidencia</t>
        </is>
      </c>
    </row>
    <row r="27">
      <c r="A27" s="56" t="inlineStr">
        <is>
          <t>1</t>
        </is>
      </c>
      <c r="B27" s="56" t="inlineStr">
        <is>
          <t>Sobrepastoreo (caprino/vacuno)</t>
        </is>
      </c>
      <c r="C27" s="56" t="inlineStr">
        <is>
          <t>Sí</t>
        </is>
      </c>
      <c r="D27" s="56" t="inlineStr">
        <is>
          <t>Moderada</t>
        </is>
      </c>
      <c r="E27" s="56" t="inlineStr">
        <is>
          <t>≈35</t>
        </is>
      </c>
      <c r="F27" s="56" t="inlineStr">
        <is>
          <t>Por verificar</t>
        </is>
      </c>
      <c r="G27" s="56" t="inlineStr">
        <is>
          <t>Pastizales cultivados dominantes en laderas; uso pecuario del sector</t>
        </is>
      </c>
    </row>
    <row r="28">
      <c r="A28" s="57" t="inlineStr">
        <is>
          <t>2</t>
        </is>
      </c>
      <c r="B28" s="57" t="inlineStr">
        <is>
          <t>Tala para leña</t>
        </is>
      </c>
      <c r="C28" s="57" t="inlineStr">
        <is>
          <t>Sí</t>
        </is>
      </c>
      <c r="D28" s="57" t="inlineStr">
        <is>
          <t>Ligera</t>
        </is>
      </c>
      <c r="E28" s="57" t="inlineStr">
        <is>
          <t>—</t>
        </is>
      </c>
      <c r="F28" s="57" t="inlineStr">
        <is>
          <t>Por verificar</t>
        </is>
      </c>
      <c r="G28" s="57" t="inlineStr">
        <is>
          <t>Extracción puntual de leña (por verificar)</t>
        </is>
      </c>
    </row>
    <row r="29">
      <c r="A29" s="56" t="inlineStr">
        <is>
          <t>3</t>
        </is>
      </c>
      <c r="B29" s="56" t="inlineStr">
        <is>
          <t>Tala para carbón</t>
        </is>
      </c>
      <c r="C29" s="56" t="inlineStr"/>
      <c r="D29" s="56" t="inlineStr"/>
      <c r="E29" s="56" t="inlineStr"/>
      <c r="F29" s="56" t="inlineStr"/>
      <c r="G29" s="56" t="inlineStr"/>
    </row>
    <row r="30">
      <c r="A30" s="57" t="inlineStr">
        <is>
          <t>4</t>
        </is>
      </c>
      <c r="B30" s="57" t="inlineStr">
        <is>
          <t>Tala para madera</t>
        </is>
      </c>
      <c r="C30" s="57" t="inlineStr"/>
      <c r="D30" s="57" t="inlineStr"/>
      <c r="E30" s="57" t="inlineStr"/>
      <c r="F30" s="57" t="inlineStr"/>
      <c r="G30" s="57" t="inlineStr"/>
    </row>
    <row r="31">
      <c r="A31" s="56" t="inlineStr">
        <is>
          <t>5</t>
        </is>
      </c>
      <c r="B31" s="56" t="inlineStr">
        <is>
          <t>Quema (renovación de pastos)</t>
        </is>
      </c>
      <c r="C31" s="56" t="inlineStr"/>
      <c r="D31" s="56" t="inlineStr"/>
      <c r="E31" s="56" t="inlineStr"/>
      <c r="F31" s="56" t="inlineStr"/>
      <c r="G31" s="56" t="inlineStr"/>
    </row>
    <row r="32">
      <c r="A32" s="57" t="inlineStr">
        <is>
          <t>6</t>
        </is>
      </c>
      <c r="B32" s="57" t="inlineStr">
        <is>
          <t>Quema accidental / Incendio</t>
        </is>
      </c>
      <c r="C32" s="57" t="inlineStr"/>
      <c r="D32" s="57" t="inlineStr"/>
      <c r="E32" s="57" t="inlineStr"/>
      <c r="F32" s="57" t="inlineStr"/>
      <c r="G32" s="57" t="inlineStr"/>
    </row>
    <row r="33">
      <c r="A33" s="56" t="inlineStr">
        <is>
          <t>7</t>
        </is>
      </c>
      <c r="B33" s="56" t="inlineStr">
        <is>
          <t>Cambio de uso a agricultura</t>
        </is>
      </c>
      <c r="C33" s="56" t="inlineStr">
        <is>
          <t>Sí</t>
        </is>
      </c>
      <c r="D33" s="56" t="inlineStr">
        <is>
          <t>Moderada</t>
        </is>
      </c>
      <c r="E33" s="56" t="inlineStr">
        <is>
          <t>≈25</t>
        </is>
      </c>
      <c r="F33" s="56" t="inlineStr">
        <is>
          <t>Por verificar</t>
        </is>
      </c>
      <c r="G33" s="56" t="inlineStr">
        <is>
          <t>Parcelas de maíz y cultivos en ladera de fuerte pendiente</t>
        </is>
      </c>
    </row>
    <row r="34">
      <c r="A34" s="57" t="inlineStr">
        <is>
          <t>8</t>
        </is>
      </c>
      <c r="B34" s="57" t="inlineStr">
        <is>
          <t>Cambio de uso a pastoreo</t>
        </is>
      </c>
      <c r="C34" s="57" t="inlineStr">
        <is>
          <t>Sí</t>
        </is>
      </c>
      <c r="D34" s="57" t="inlineStr">
        <is>
          <t>Moderada</t>
        </is>
      </c>
      <c r="E34" s="57" t="inlineStr">
        <is>
          <t>≈35</t>
        </is>
      </c>
      <c r="F34" s="57" t="inlineStr">
        <is>
          <t>Por verificar</t>
        </is>
      </c>
      <c r="G34" s="57" t="inlineStr">
        <is>
          <t>Pastos cultivados dominantes (cambio de uso a pastoreo)</t>
        </is>
      </c>
    </row>
    <row r="35">
      <c r="A35" s="56" t="inlineStr">
        <is>
          <t>9</t>
        </is>
      </c>
      <c r="B35" s="56" t="inlineStr">
        <is>
          <t>Expansión urbana / vial</t>
        </is>
      </c>
      <c r="C35" s="56" t="inlineStr">
        <is>
          <t>Sí</t>
        </is>
      </c>
      <c r="D35" s="56" t="inlineStr">
        <is>
          <t>Ligera</t>
        </is>
      </c>
      <c r="E35" s="56" t="inlineStr">
        <is>
          <t>≈5</t>
        </is>
      </c>
      <c r="F35" s="56" t="inlineStr">
        <is>
          <t>Por verificar</t>
        </is>
      </c>
      <c r="G35" s="56" t="inlineStr">
        <is>
          <t>Cercanía a CC.PP. Guabal/Huabal y caminos de herradura</t>
        </is>
      </c>
    </row>
    <row r="36">
      <c r="A36" s="57" t="inlineStr">
        <is>
          <t>10</t>
        </is>
      </c>
      <c r="B36" s="57" t="inlineStr">
        <is>
          <t>Minería informal</t>
        </is>
      </c>
      <c r="C36" s="57" t="inlineStr"/>
      <c r="D36" s="57" t="inlineStr"/>
      <c r="E36" s="57" t="inlineStr"/>
      <c r="F36" s="57" t="inlineStr"/>
      <c r="G36" s="57" t="inlineStr"/>
    </row>
    <row r="37">
      <c r="A37" s="56" t="inlineStr">
        <is>
          <t>11</t>
        </is>
      </c>
      <c r="B37" s="56" t="inlineStr">
        <is>
          <t>Extracción de áridos (cauces)</t>
        </is>
      </c>
      <c r="C37" s="56" t="inlineStr"/>
      <c r="D37" s="56" t="inlineStr"/>
      <c r="E37" s="56" t="inlineStr"/>
      <c r="F37" s="56" t="inlineStr"/>
      <c r="G37" s="56" t="inlineStr"/>
    </row>
    <row r="38">
      <c r="A38" s="57" t="inlineStr">
        <is>
          <t>12</t>
        </is>
      </c>
      <c r="B38" s="57" t="inlineStr">
        <is>
          <t>Especies invasoras</t>
        </is>
      </c>
      <c r="C38" s="57" t="inlineStr">
        <is>
          <t>Sí</t>
        </is>
      </c>
      <c r="D38" s="57" t="inlineStr">
        <is>
          <t>Ligera</t>
        </is>
      </c>
      <c r="E38" s="57" t="inlineStr">
        <is>
          <t>—</t>
        </is>
      </c>
      <c r="F38" s="57" t="inlineStr">
        <is>
          <t>Por verificar</t>
        </is>
      </c>
      <c r="G38" s="57" t="inlineStr">
        <is>
          <t>Agave americana en taludes y bordes</t>
        </is>
      </c>
    </row>
    <row r="39">
      <c r="A39" s="56" t="inlineStr">
        <is>
          <t>13</t>
        </is>
      </c>
      <c r="B39" s="56" t="inlineStr">
        <is>
          <t>Erosión natural severa</t>
        </is>
      </c>
      <c r="C39" s="56" t="inlineStr">
        <is>
          <t>Sí</t>
        </is>
      </c>
      <c r="D39" s="56" t="inlineStr">
        <is>
          <t>Ligera</t>
        </is>
      </c>
      <c r="E39" s="56" t="inlineStr">
        <is>
          <t>≈5</t>
        </is>
      </c>
      <c r="F39" s="56" t="inlineStr">
        <is>
          <t>Por verificar</t>
        </is>
      </c>
      <c r="G39" s="56" t="inlineStr">
        <is>
          <t>Surcos incipientes en sendas y bordes de cultivo</t>
        </is>
      </c>
    </row>
    <row r="40">
      <c r="A40" s="57" t="inlineStr">
        <is>
          <t>14</t>
        </is>
      </c>
      <c r="B40" s="57" t="inlineStr">
        <is>
          <t>Sequía prolongada / CC</t>
        </is>
      </c>
      <c r="C40" s="57" t="inlineStr"/>
      <c r="D40" s="57" t="inlineStr"/>
      <c r="E40" s="57" t="inlineStr"/>
      <c r="F40" s="57" t="inlineStr"/>
      <c r="G40" s="57" t="inlineStr"/>
    </row>
    <row r="41">
      <c r="A41" s="56" t="inlineStr">
        <is>
          <t>15</t>
        </is>
      </c>
      <c r="B41" s="56" t="inlineStr">
        <is>
          <t>Plagas o enfermedades forestales</t>
        </is>
      </c>
      <c r="C41" s="56" t="inlineStr"/>
      <c r="D41" s="56" t="inlineStr"/>
      <c r="E41" s="56" t="inlineStr"/>
      <c r="F41" s="56" t="inlineStr"/>
      <c r="G41" s="56" t="inlineStr"/>
    </row>
    <row r="42">
      <c r="A42" s="57" t="inlineStr">
        <is>
          <t>16</t>
        </is>
      </c>
      <c r="B42" s="57" t="inlineStr">
        <is>
          <t>Otro</t>
        </is>
      </c>
      <c r="C42" s="57" t="inlineStr"/>
      <c r="D42" s="57" t="inlineStr"/>
      <c r="E42" s="57" t="inlineStr"/>
      <c r="F42" s="57" t="inlineStr"/>
      <c r="G42" s="57" t="inlineStr"/>
    </row>
    <row r="44">
      <c r="A44" s="54" t="inlineStr">
        <is>
          <t>F-DT-04 · INDICADORES CUANTITATIVOS</t>
        </is>
      </c>
    </row>
    <row r="45">
      <c r="A45" s="55" t="inlineStr">
        <is>
          <t>N.o</t>
        </is>
      </c>
      <c r="B45" s="55" t="inlineStr">
        <is>
          <t>Indicador</t>
        </is>
      </c>
      <c r="C45" s="55" t="inlineStr">
        <is>
          <t>Unidad</t>
        </is>
      </c>
      <c r="D45" s="55" t="inlineStr">
        <is>
          <t>Valor</t>
        </is>
      </c>
      <c r="E45" s="55" t="inlineStr">
        <is>
          <t>Fuente</t>
        </is>
      </c>
      <c r="F45" s="55" t="inlineStr">
        <is>
          <t>Umbral</t>
        </is>
      </c>
      <c r="G45" s="55" t="inlineStr">
        <is>
          <t>Nivel</t>
        </is>
      </c>
    </row>
    <row r="46">
      <c r="A46" s="56" t="inlineStr">
        <is>
          <t>1</t>
        </is>
      </c>
      <c r="B46" s="56" t="inlineStr">
        <is>
          <t>Cobertura vegetal total</t>
        </is>
      </c>
      <c r="C46" s="56" t="inlineStr">
        <is>
          <t>%</t>
        </is>
      </c>
      <c r="D46" s="56" t="inlineStr">
        <is>
          <t>≈85</t>
        </is>
      </c>
      <c r="E46" s="56" t="inlineStr">
        <is>
          <t>Estimación ocular + MSAVI del sector</t>
        </is>
      </c>
      <c r="F46" s="56" t="inlineStr">
        <is>
          <t>&gt;60% bueno; 30-60% medio; &lt;30% malo</t>
        </is>
      </c>
      <c r="G46" s="56" t="inlineStr">
        <is>
          <t>Alto</t>
        </is>
      </c>
    </row>
    <row r="47">
      <c r="A47" s="57" t="inlineStr">
        <is>
          <t>2</t>
        </is>
      </c>
      <c r="B47" s="57" t="inlineStr">
        <is>
          <t>Porcentaje de suelo desnudo</t>
        </is>
      </c>
      <c r="C47" s="57" t="inlineStr">
        <is>
          <t>%</t>
        </is>
      </c>
      <c r="D47" s="57" t="inlineStr">
        <is>
          <t>≈10</t>
        </is>
      </c>
      <c r="E47" s="57" t="inlineStr">
        <is>
          <t>Estimación ocular de campo</t>
        </is>
      </c>
      <c r="F47" s="57" t="inlineStr">
        <is>
          <t>&lt;10% bueno; 10-30% medio; &gt;30% malo</t>
        </is>
      </c>
      <c r="G47" s="57" t="inlineStr">
        <is>
          <t>Bajo</t>
        </is>
      </c>
    </row>
    <row r="48">
      <c r="A48" s="56" t="inlineStr">
        <is>
          <t>3</t>
        </is>
      </c>
      <c r="B48" s="56" t="inlineStr">
        <is>
          <t>Densidad de cárcavas</t>
        </is>
      </c>
      <c r="C48" s="56" t="inlineStr">
        <is>
          <t>N°/ha</t>
        </is>
      </c>
      <c r="D48" s="56" t="inlineStr">
        <is>
          <t>Por determinar</t>
        </is>
      </c>
      <c r="E48" s="56" t="inlineStr">
        <is>
          <t>—</t>
        </is>
      </c>
      <c r="F48" s="56" t="inlineStr">
        <is>
          <t>0 nulo; 1-3 medio; &gt;3 alto</t>
        </is>
      </c>
      <c r="G48" s="56" t="inlineStr"/>
    </row>
    <row r="49">
      <c r="A49" s="57" t="inlineStr">
        <is>
          <t>4</t>
        </is>
      </c>
      <c r="B49" s="57" t="inlineStr">
        <is>
          <t>Presencia de especies invasoras</t>
        </is>
      </c>
      <c r="C49" s="57" t="inlineStr">
        <is>
          <t>% área</t>
        </is>
      </c>
      <c r="D49" s="57" t="inlineStr">
        <is>
          <t>≈5</t>
        </is>
      </c>
      <c r="E49" s="57" t="inlineStr">
        <is>
          <t>Estimación ocular</t>
        </is>
      </c>
      <c r="F49" s="57" t="inlineStr">
        <is>
          <t>&lt;5% bueno; 5-20% medio; &gt;20% alto</t>
        </is>
      </c>
      <c r="G49" s="57" t="inlineStr">
        <is>
          <t>Bajo</t>
        </is>
      </c>
    </row>
    <row r="50">
      <c r="A50" s="56" t="inlineStr">
        <is>
          <t>5</t>
        </is>
      </c>
      <c r="B50" s="56" t="inlineStr">
        <is>
          <t>Carga ganadera estimada</t>
        </is>
      </c>
      <c r="C50" s="56" t="inlineStr">
        <is>
          <t>UA/ha</t>
        </is>
      </c>
      <c r="D50" s="56" t="inlineStr">
        <is>
          <t>Por determinar</t>
        </is>
      </c>
      <c r="E50" s="56" t="inlineStr">
        <is>
          <t>—</t>
        </is>
      </c>
      <c r="F50" s="56" t="inlineStr">
        <is>
          <t>Según tipo de ecosistema</t>
        </is>
      </c>
      <c r="G50" s="56" t="inlineStr"/>
    </row>
    <row r="51">
      <c r="A51" s="57" t="inlineStr">
        <is>
          <t>6</t>
        </is>
      </c>
      <c r="B51" s="57" t="inlineStr">
        <is>
          <t>Frecuencia de quemas últimos 5 años</t>
        </is>
      </c>
      <c r="C51" s="57" t="inlineStr">
        <is>
          <t>N°</t>
        </is>
      </c>
      <c r="D51" s="57" t="inlineStr">
        <is>
          <t>Por determinar</t>
        </is>
      </c>
      <c r="E51" s="57" t="inlineStr">
        <is>
          <t>—</t>
        </is>
      </c>
      <c r="F51" s="57" t="inlineStr">
        <is>
          <t>0 nulo; 1-2 medio; &gt;2 alto</t>
        </is>
      </c>
      <c r="G51" s="57" t="inlineStr"/>
    </row>
    <row r="52">
      <c r="A52" s="56" t="inlineStr">
        <is>
          <t>7</t>
        </is>
      </c>
      <c r="B52" s="56" t="inlineStr">
        <is>
          <t>% área con pendiente &gt;50%</t>
        </is>
      </c>
      <c r="C52" s="56" t="inlineStr">
        <is>
          <t>%</t>
        </is>
      </c>
      <c r="D52" s="56" t="inlineStr">
        <is>
          <t>≈30</t>
        </is>
      </c>
      <c r="E52" s="56" t="inlineStr">
        <is>
          <t>Ref. perfil de elevación sector (Bloque 6: pend. media 46%, máx 68%)</t>
        </is>
      </c>
      <c r="F52" s="56" t="inlineStr">
        <is>
          <t>Factor de susceptibilidad</t>
        </is>
      </c>
      <c r="G52" s="56" t="inlineStr">
        <is>
          <t>Medio</t>
        </is>
      </c>
    </row>
    <row r="53">
      <c r="A53" s="57" t="inlineStr">
        <is>
          <t>8</t>
        </is>
      </c>
      <c r="B53" s="57" t="inlineStr">
        <is>
          <t>Distancia a vía vecinal más cercana</t>
        </is>
      </c>
      <c r="C53" s="57" t="inlineStr">
        <is>
          <t>m</t>
        </is>
      </c>
      <c r="D53" s="57" t="inlineStr">
        <is>
          <t>Por determinar</t>
        </is>
      </c>
      <c r="E53" s="57" t="inlineStr">
        <is>
          <t>—</t>
        </is>
      </c>
      <c r="F53" s="57" t="inlineStr">
        <is>
          <t>A menor distancia → mayor presión</t>
        </is>
      </c>
      <c r="G53" s="57" t="inlineStr"/>
    </row>
    <row r="55">
      <c r="A55" s="54" t="inlineStr">
        <is>
          <t>F-DT-05 · FUENTES DE AGUA INVENTARIADAS</t>
        </is>
      </c>
    </row>
    <row r="56">
      <c r="A56" s="55" t="inlineStr">
        <is>
          <t>N.o</t>
        </is>
      </c>
      <c r="B56" s="55" t="inlineStr">
        <is>
          <t>Tipo de fuente</t>
        </is>
      </c>
      <c r="C56" s="55" t="inlineStr">
        <is>
          <t>UTM ESTE</t>
        </is>
      </c>
      <c r="D56" s="55" t="inlineStr">
        <is>
          <t>UTM NORTE</t>
        </is>
      </c>
      <c r="E56" s="55" t="inlineStr">
        <is>
          <t>Régimen</t>
        </is>
      </c>
      <c r="F56" s="55" t="inlineStr">
        <is>
          <t>Calidad</t>
        </is>
      </c>
      <c r="G56" s="55" t="inlineStr">
        <is>
          <t>Distancia (m)</t>
        </is>
      </c>
      <c r="H56" s="55" t="inlineStr">
        <is>
          <t>Uso / observación</t>
        </is>
      </c>
    </row>
    <row r="57">
      <c r="A57" s="56" t="inlineStr">
        <is>
          <t>1</t>
        </is>
      </c>
      <c r="B57" s="56" t="inlineStr">
        <is>
          <t>Quebrada estacional</t>
        </is>
      </c>
      <c r="C57" s="61" t="n">
        <v>606200</v>
      </c>
      <c r="D57" s="61" t="n">
        <v>9454450</v>
      </c>
      <c r="E57" s="56" t="inlineStr">
        <is>
          <t>Estacional (lluvias)</t>
        </is>
      </c>
      <c r="F57" s="56" t="inlineStr">
        <is>
          <t>No evaluable</t>
        </is>
      </c>
      <c r="G57" s="62" t="n">
        <v>0</v>
      </c>
      <c r="H57" s="56" t="inlineStr">
        <is>
          <t>Quebrada tributaria que diseca el sector (ubic. aprox.; régimen por verificar)</t>
        </is>
      </c>
    </row>
    <row r="58">
      <c r="A58" s="57" t="inlineStr">
        <is>
          <t>2</t>
        </is>
      </c>
      <c r="B58" s="57" t="inlineStr">
        <is>
          <t>Río</t>
        </is>
      </c>
      <c r="C58" s="63" t="n">
        <v>607400</v>
      </c>
      <c r="D58" s="63" t="n">
        <v>9454500</v>
      </c>
      <c r="E58" s="57" t="inlineStr">
        <is>
          <t>Permanente</t>
        </is>
      </c>
      <c r="F58" s="57" t="inlineStr">
        <is>
          <t>No evaluable</t>
        </is>
      </c>
      <c r="G58" s="63" t="n">
        <v>700</v>
      </c>
      <c r="H58" s="57" t="inlineStr">
        <is>
          <t>Curso principal del sector, visible en imagen satelital al E (borde Guabal/Huabal; por verificar)</t>
        </is>
      </c>
    </row>
    <row r="61">
      <c r="A61" s="54" t="inlineStr">
        <is>
          <t>OBSERVACIONES DEL EVALUADOR POR FICHA</t>
        </is>
      </c>
    </row>
    <row r="62">
      <c r="A62" s="55" t="inlineStr">
        <is>
          <t>Ficha</t>
        </is>
      </c>
      <c r="B62" s="55" t="inlineStr">
        <is>
          <t>Observación registrada en campo</t>
        </is>
      </c>
    </row>
    <row r="63">
      <c r="A63" s="56" t="inlineStr">
        <is>
          <t>F-DT-01</t>
        </is>
      </c>
      <c r="B63" s="56" t="inlineStr">
        <is>
          <t>Bloque 36 (microcuenca C1096-Q9547, Frías–Ayabaca, Z02; 24.84 ha). Verificación de campo 23/06/2026, recorrido por cima-ladera (fotos índice 74–133, rumbos predominantes SO–O). Altitud GPS no registrada por la app fotográfica; rango altitudinal del sector estimado ≈ 1400–1830 msnm a partir del perfil de elevación del Bloque 6 adyacente (misma microcuenca), por confirmar con DEM para el Bloque 36. No se observaron remociones en masa activas en la superficie natural; sí afloramientos rocosos dispersos en laderas.</t>
        </is>
      </c>
    </row>
    <row r="64">
      <c r="A64" s="57" t="inlineStr">
        <is>
          <t>F-DT-02</t>
        </is>
      </c>
      <c r="B64" s="57" t="inlineStr">
        <is>
          <t>Cobertura vegetal alta (época húmeda) que reduce la erosión aparente; predominio de erosión laminar ligera, con surcos incipientes localizados en sendas y bordes de parcelas de cultivo en ladera (por verificar). No se identificaron cárcavas activas en el recorrido de reconocimiento; dimensiones, densidad por hectárea y % de bloque afectado quedan pendientes de levantamiento instrumental.</t>
        </is>
      </c>
    </row>
    <row r="65">
      <c r="A65" s="56" t="inlineStr">
        <is>
          <t>F-DT-03</t>
        </is>
      </c>
      <c r="B65" s="56" t="inlineStr">
        <is>
          <t>Lista florística PRELIMINAR y de campo, basada en lo observable en el recorrido fotográfico (índices 74–133). Predominan pastizales cultivados y cultivos (maíz) en ladera, con matorral nativo, árboles nativos dispersos y relictos boscosos en las quebradas. La determinación botánica a nivel de especie, las categorías de conservación, alturas, DAP y la presencia de epífitas quedan pendientes de colección y verificación. El ecosistema MINAM oficial del bloque es Zona agrícola (24.84 ha), inmerso en la matriz de Bosque Estacionalmente Seco de Colina y Montaña de la microcuenca C1096-Q9547.</t>
        </is>
      </c>
    </row>
    <row r="66">
      <c r="A66" s="57" t="inlineStr">
        <is>
          <t>F-DT-05</t>
        </is>
      </c>
      <c r="B66" s="57" t="inlineStr">
        <is>
          <t>Bloque en zona de origen y recarga de la microcuenca C1096-Q9547; condiciones de humedad evidenciadas por relictos boscosos densos y neblina en las quebradas. No se registraron manantiales ni captaciones dentro del recorrido. Distancia y datos de la captación poblacional/JASS, autorización de Ronda Campesina, señal celular y tiempos de viaje quedan POR VERIFICAR. Coordenadas de fuentes de agua son aproximadas (por confirmar en campo).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36</t>
        </is>
      </c>
    </row>
    <row r="7">
      <c r="A7" s="54" t="inlineStr">
        <is>
          <t>Hechos declarados por fuente</t>
        </is>
      </c>
    </row>
    <row r="8">
      <c r="A8" s="55" t="inlineStr">
        <is>
          <t>Fuente</t>
        </is>
      </c>
      <c r="B8" s="55" t="inlineStr">
        <is>
          <t>Hechos</t>
        </is>
      </c>
    </row>
    <row r="9">
      <c r="A9" s="56" t="inlineStr">
        <is>
          <t>Dato de campo</t>
        </is>
      </c>
      <c r="B9" s="56" t="n">
        <v>59</v>
      </c>
    </row>
    <row r="10">
      <c r="A10" s="57" t="inlineStr">
        <is>
          <t>Gabinete (GIS / teledetección)</t>
        </is>
      </c>
      <c r="B10" s="57" t="n">
        <v>21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92</v>
      </c>
    </row>
    <row r="29">
      <c r="A29" s="57" t="inlineStr">
        <is>
          <t>COMPLEMENTADO</t>
        </is>
      </c>
      <c r="B29" s="57" t="n">
        <v>0</v>
      </c>
    </row>
    <row r="30">
      <c r="A30" s="56" t="inlineStr">
        <is>
          <t>ACTUALIZADO</t>
        </is>
      </c>
      <c r="B30" s="56" t="n">
        <v>2</v>
      </c>
    </row>
    <row r="31">
      <c r="A31" s="57" t="inlineStr">
        <is>
          <t>DISCREPANTE</t>
        </is>
      </c>
      <c r="B31" s="57" t="n">
        <v>0</v>
      </c>
    </row>
    <row r="32">
      <c r="A32" s="56" t="inlineStr">
        <is>
          <t>PENDIENTE</t>
        </is>
      </c>
      <c r="B32" s="56" t="n">
        <v>20</v>
      </c>
    </row>
    <row r="45">
      <c r="A45" s="54" t="inlineStr">
        <is>
          <t>Cobertura por estrato — campo (%)</t>
        </is>
      </c>
    </row>
    <row r="46">
      <c r="A46" s="55" t="inlineStr">
        <is>
          <t>Estrato</t>
        </is>
      </c>
      <c r="B46" s="55" t="inlineStr">
        <is>
          <t>% del área</t>
        </is>
      </c>
    </row>
    <row r="47">
      <c r="A47" s="56" t="inlineStr">
        <is>
          <t>Dosel</t>
        </is>
      </c>
      <c r="B47" s="61" t="n">
        <v>20</v>
      </c>
    </row>
    <row r="48">
      <c r="A48" s="57" t="inlineStr">
        <is>
          <t>Herbácea</t>
        </is>
      </c>
      <c r="B48" s="63" t="n">
        <v>40</v>
      </c>
    </row>
    <row r="49">
      <c r="A49" s="56" t="inlineStr">
        <is>
          <t>Suelo desnudo</t>
        </is>
      </c>
      <c r="B49"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Cambio de uso a pastoreo</t>
        </is>
      </c>
      <c r="B67" s="57" t="n">
        <v>2</v>
      </c>
    </row>
    <row r="68">
      <c r="A68" s="56" t="inlineStr">
        <is>
          <t>Sobrepastoreo (caprino/vacuno)</t>
        </is>
      </c>
      <c r="B68" s="56" t="n">
        <v>2</v>
      </c>
    </row>
    <row r="69">
      <c r="A69" s="57" t="inlineStr">
        <is>
          <t>Erosión natural severa</t>
        </is>
      </c>
      <c r="B69" s="57" t="n">
        <v>1</v>
      </c>
    </row>
    <row r="70">
      <c r="A70" s="56" t="inlineStr">
        <is>
          <t>Especies invasoras</t>
        </is>
      </c>
      <c r="B70" s="56" t="n">
        <v>1</v>
      </c>
    </row>
    <row r="71">
      <c r="A71" s="57" t="inlineStr">
        <is>
          <t>Expansión urbana / vial</t>
        </is>
      </c>
      <c r="B71" s="57" t="n">
        <v>1</v>
      </c>
    </row>
    <row r="72">
      <c r="A72" s="56" t="inlineStr">
        <is>
          <t>Tala para leña</t>
        </is>
      </c>
      <c r="B72" s="56" t="n">
        <v>1</v>
      </c>
    </row>
    <row r="83">
      <c r="A83" s="54" t="inlineStr">
        <is>
          <t>Control de consistencia por calificación</t>
        </is>
      </c>
    </row>
    <row r="84">
      <c r="A84" s="55" t="inlineStr">
        <is>
          <t>Calificación</t>
        </is>
      </c>
      <c r="B84" s="55" t="inlineStr">
        <is>
          <t>Verificaciones</t>
        </is>
      </c>
    </row>
    <row r="85">
      <c r="A85" s="56" t="inlineStr">
        <is>
          <t>SUSTANTIVA</t>
        </is>
      </c>
      <c r="B85" s="56" t="n">
        <v>1</v>
      </c>
    </row>
    <row r="86">
      <c r="A86" s="57" t="inlineStr">
        <is>
          <t>NO SUSTANTIVA</t>
        </is>
      </c>
      <c r="B86" s="57" t="n">
        <v>2</v>
      </c>
    </row>
    <row r="87">
      <c r="A87" s="56" t="inlineStr">
        <is>
          <t>CORREGIDO</t>
        </is>
      </c>
      <c r="B87" s="56" t="n">
        <v>2</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36 — IN Piura</dc:title>
  <dc:subject>Diagnóstico Territorial por bloque de intervención</dc:subject>
  <dcterms:created xsi:type="dcterms:W3CDTF">2026-09-08T03:39:54Z</dcterms:created>
  <dcterms:modified xsi:type="dcterms:W3CDTF">2026-09-11T21:26:25Z</dcterms:modified>
</cp:coreProperties>
</file>