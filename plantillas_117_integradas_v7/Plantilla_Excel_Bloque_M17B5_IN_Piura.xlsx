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f>
            </numRef>
          </cat>
          <val>
            <numRef>
              <f>'Gráficos de integración'!$B$53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integración'!B71</f>
            </strRef>
          </tx>
          <spPr>
            <a:ln>
              <a:prstDash val="solid"/>
            </a:ln>
          </spPr>
          <cat>
            <numRef>
              <f>'Gráficos de integración'!$A$72:$A$76</f>
            </numRef>
          </cat>
          <val>
            <numRef>
              <f>'Gráficos de integración'!$B$72:$B$76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integración'!B94</f>
            </strRef>
          </tx>
          <spPr>
            <a:ln>
              <a:prstDash val="solid"/>
            </a:ln>
          </spPr>
          <cat>
            <numRef>
              <f>'Gráficos de integración'!$A$95:$A$98</f>
            </numRef>
          </cat>
          <val>
            <numRef>
              <f>'Gráficos de integración'!$B$95:$B$98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70</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M17B5</t>
        </is>
      </c>
    </row>
    <row r="6" ht="24" customHeight="1">
      <c r="A6" s="4" t="inlineStr">
        <is>
          <t>Diagnóstico Territorial — Plantilla DT Campo Check Validada V5 | Sistema de referencia: UTM WGS 84 Zona 17S (EPSG:32717) · Integrado con la ficha de campo F-DT vigente (M17B5.xlsx) — V7 - resumen V6 + campo F-DT integrado</t>
        </is>
      </c>
    </row>
    <row r="7"/>
    <row r="8" ht="18" customHeight="1">
      <c r="A8" s="5" t="inlineStr">
        <is>
          <t>1. IDENTIFICACIÓN Y LOCALIZACIÓN</t>
        </is>
      </c>
    </row>
    <row r="9">
      <c r="A9" s="6" t="inlineStr">
        <is>
          <t>Código del bloque</t>
        </is>
      </c>
      <c r="B9" s="7" t="inlineStr">
        <is>
          <t>M17B5</t>
        </is>
      </c>
      <c r="C9" s="6" t="inlineStr">
        <is>
          <t>Microcuenca (catálogo)</t>
        </is>
      </c>
      <c r="D9" s="7" t="inlineStr">
        <is>
          <t>C1096-Q9556</t>
        </is>
      </c>
      <c r="E9" s="8" t="n"/>
      <c r="F9" s="8" t="n"/>
    </row>
    <row r="10">
      <c r="A10" s="6" t="inlineStr">
        <is>
          <t>Zona de planificación</t>
        </is>
      </c>
      <c r="B10" s="7" t="inlineStr">
        <is>
          <t>Z02</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El Guabo (enclave EXCLUIDO del polígono)</t>
        </is>
      </c>
      <c r="C13" s="6" t="inlineStr">
        <is>
          <t>Comunidad campesina</t>
        </is>
      </c>
      <c r="D13" s="7" t="inlineStr">
        <is>
          <t>Por verificar — no declarada por la brigada en campo</t>
        </is>
      </c>
      <c r="E13" s="8" t="n"/>
      <c r="F13" s="8" t="n"/>
    </row>
    <row r="14">
      <c r="A14" s="6" t="inlineStr">
        <is>
          <t>Superficie de catálogo (V5/V6), ha</t>
        </is>
      </c>
      <c r="B14" s="7" t="n">
        <v>74.03</v>
      </c>
      <c r="C14" s="6" t="inlineStr">
        <is>
          <t>Fuente de superficie</t>
        </is>
      </c>
      <c r="D14" s="7" t="inlineStr">
        <is>
          <t>Catálogo maestro Bloques V5/V6</t>
        </is>
      </c>
      <c r="E14" s="8" t="n"/>
      <c r="F14" s="8" t="n"/>
    </row>
    <row r="15">
      <c r="A15" s="6" t="inlineStr">
        <is>
          <t>Centroide UTM ESTE (m)</t>
        </is>
      </c>
      <c r="B15" s="7" t="n">
        <v>608800</v>
      </c>
      <c r="C15" s="6" t="inlineStr">
        <is>
          <t>Centroide UTM NORTE (m)</t>
        </is>
      </c>
      <c r="D15" s="7" t="n">
        <v>9445585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794</v>
      </c>
      <c r="C19" s="6" t="inlineStr">
        <is>
          <t>Altitud máxima (msnm)</t>
        </is>
      </c>
      <c r="D19" s="7" t="n">
        <v>1317</v>
      </c>
      <c r="E19" s="8" t="n"/>
      <c r="F19" s="8" t="n"/>
    </row>
    <row r="20">
      <c r="A20" s="6" t="inlineStr">
        <is>
          <t>Amplitud altitudinal (m)</t>
        </is>
      </c>
      <c r="B20" s="7" t="n">
        <v>523</v>
      </c>
      <c r="C20" s="6" t="inlineStr">
        <is>
          <t>Piso altitudinal dominante</t>
        </is>
      </c>
      <c r="D20" s="7" t="inlineStr">
        <is>
          <t>1000-1500 m (Quechua baja)</t>
        </is>
      </c>
      <c r="E20" s="8" t="n"/>
      <c r="F20" s="8" t="n"/>
    </row>
    <row r="21">
      <c r="A21" s="6" t="inlineStr">
        <is>
          <t>Pendiente promedio (%)</t>
        </is>
      </c>
      <c r="B21" s="7" t="n">
        <v>27.42</v>
      </c>
      <c r="C21" s="6" t="inlineStr">
        <is>
          <t>Pendiente promedio (grados)</t>
        </is>
      </c>
      <c r="D21" s="7" t="n">
        <v>15.3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 (no observado)</t>
        </is>
      </c>
      <c r="C25" s="6" t="inlineStr">
        <is>
          <t>Remociones en masa activas</t>
        </is>
      </c>
      <c r="D25" s="7" t="inlineStr">
        <is>
          <t>No (no observado)</t>
        </is>
      </c>
      <c r="E25" s="8" t="n"/>
      <c r="F25" s="8" t="n"/>
    </row>
    <row r="26"/>
    <row r="27" ht="18" customHeight="1">
      <c r="A27" s="5" t="inlineStr">
        <is>
          <t>3. ÍNDICES DE VEGETACIÓN (SENTINEL-2)</t>
        </is>
      </c>
    </row>
    <row r="28">
      <c r="A28" s="6" t="inlineStr">
        <is>
          <t>MSAVI 2024 — media del bloque</t>
        </is>
      </c>
      <c r="B28" s="7" t="n">
        <v>0.5482</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(61.34 %)</t>
        </is>
      </c>
      <c r="E29" s="8" t="n"/>
      <c r="F29" s="8" t="n"/>
    </row>
    <row r="30">
      <c r="A30" s="6" t="inlineStr">
        <is>
          <t>Superficie clasificada NDVI 2025 (ha)</t>
        </is>
      </c>
      <c r="B30" s="7" t="n">
        <v>74.065</v>
      </c>
      <c r="C30" s="6" t="inlineStr">
        <is>
          <t>Desviación frente al catálogo (%)</t>
        </is>
      </c>
      <c r="D30" s="7" t="n">
        <v>0.05</v>
      </c>
      <c r="E30" s="8" t="n"/>
      <c r="F30" s="8" t="n"/>
    </row>
    <row r="31">
      <c r="A31" s="6" t="inlineStr">
        <is>
          <t>Superficie clasificada MSAVI 2024 (ha)</t>
        </is>
      </c>
      <c r="B31" s="38" t="n">
        <v>74.02800000000001</v>
      </c>
      <c r="C31" s="6" t="inlineStr">
        <is>
          <t>Desviación MSAVI frente al catálogo (%)</t>
        </is>
      </c>
      <c r="D31" s="39" t="n">
        <v>0</v>
      </c>
      <c r="E31" s="8" t="n"/>
      <c r="F31" s="8" t="n"/>
    </row>
    <row r="32">
      <c r="A32" s="6" t="inlineStr">
        <is>
          <t>Superficie bajo umbral MSAVI 0.4976 (ha)</t>
        </is>
      </c>
      <c r="B32" s="38" t="n">
        <v>21.426</v>
      </c>
      <c r="C32" s="6" t="inlineStr">
        <is>
          <t>% del bloque bajo umbral (brecha espectral)</t>
        </is>
      </c>
      <c r="D32" s="39" t="n">
        <v>28.94</v>
      </c>
      <c r="E32" s="8" t="n"/>
      <c r="F32" s="8" t="n"/>
    </row>
    <row r="33">
      <c r="A33" s="6" t="inlineStr">
        <is>
          <t>Clase DN dominante (MSAVI 2024)</t>
        </is>
      </c>
      <c r="B33" s="7" t="inlineStr">
        <is>
          <t>DN 4 · 0.4976 - 0.6139 (Vigor moderado)</t>
        </is>
      </c>
      <c r="C33" s="6" t="inlineStr">
        <is>
          <t>N.° de polígonos MSAVI del bloque</t>
        </is>
      </c>
      <c r="D33" s="40" t="n">
        <v>318</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posible mosaico con BMVO sobre ~1100 msnm</t>
        </is>
      </c>
      <c r="C36" s="6" t="inlineStr">
        <is>
          <t>Superficie de ecosistema (ha)</t>
        </is>
      </c>
      <c r="D36" s="7" t="inlineStr">
        <is>
          <t>74.03 ha (100% del bloque)</t>
        </is>
      </c>
      <c r="E36" s="8" t="n"/>
      <c r="F36" s="8" t="n"/>
    </row>
    <row r="37">
      <c r="A37" s="6" t="inlineStr">
        <is>
          <t>Estado de conservación</t>
        </is>
      </c>
      <c r="B37" s="7" t="inlineStr">
        <is>
          <t>Levemente alterado</t>
        </is>
      </c>
      <c r="C37" s="6" t="inlineStr">
        <is>
          <t>Uso actual dominante del suelo</t>
        </is>
      </c>
      <c r="D37" s="7" t="inlineStr">
        <is>
          <t>Uso mixto / Pastoreo extensivo</t>
        </is>
      </c>
      <c r="E37" s="8" t="n"/>
      <c r="F37" s="8" t="n"/>
    </row>
    <row r="38">
      <c r="A38" s="6" t="inlineStr">
        <is>
          <t>Tipo de cobertura dominante</t>
        </is>
      </c>
      <c r="B38" s="7" t="inlineStr">
        <is>
          <t>Bosque denso (&gt;70%)</t>
        </is>
      </c>
      <c r="C38" s="6" t="inlineStr">
        <is>
          <t>Cobertura vegetal total — campo (%)</t>
        </is>
      </c>
      <c r="D38" s="7" t="inlineStr">
        <is>
          <t>75 - 80 (gabinete NDVI/MSAVI)</t>
        </is>
      </c>
      <c r="E38" s="8" t="n"/>
      <c r="F38" s="8" t="n"/>
    </row>
    <row r="39">
      <c r="A39" s="6" t="inlineStr">
        <is>
          <t>Suelo desnudo — campo (%)</t>
        </is>
      </c>
      <c r="B39" s="50" t="inlineStr">
        <is>
          <t>2 - 5</t>
        </is>
      </c>
      <c r="C39" s="6" t="inlineStr">
        <is>
          <t>Regeneración natural</t>
        </is>
      </c>
      <c r="D39" s="50" t="inlineStr">
        <is>
          <t>Regular (10-50 pl./100m²)</t>
        </is>
      </c>
      <c r="E39" s="8" t="n"/>
      <c r="F39" s="8" t="n"/>
    </row>
    <row r="40">
      <c r="A40" s="6" t="inlineStr">
        <is>
          <t>Nivel general de erosión</t>
        </is>
      </c>
      <c r="B40" s="7" t="inlineStr">
        <is>
          <t>Moderada (surcos)</t>
        </is>
      </c>
      <c r="C40" s="6" t="inlineStr">
        <is>
          <t>N.° de cárcavas registradas</t>
        </is>
      </c>
      <c r="D40" s="50" t="inlineStr">
        <is>
          <t>1</t>
        </is>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0" t="inlineStr">
        <is>
          <t>Ing. Juan Carlos Domínguez Varas / Ing. Pedro Talledo Hernández</t>
        </is>
      </c>
      <c r="C44" s="6" t="inlineStr">
        <is>
          <t>Fecha de evaluación</t>
        </is>
      </c>
      <c r="D44" s="50" t="inlineStr">
        <is>
          <t>14-07-2026</t>
        </is>
      </c>
      <c r="E44" s="8" t="n"/>
      <c r="F44" s="8" t="n"/>
    </row>
    <row r="45">
      <c r="A45" s="6" t="inlineStr">
        <is>
          <t>Hora de registro</t>
        </is>
      </c>
      <c r="B45" s="7" t="inlineStr">
        <is>
          <t>11:58 - 12:18 h</t>
        </is>
      </c>
      <c r="C45" s="6" t="inlineStr">
        <is>
          <t>Correlativo de ficha</t>
        </is>
      </c>
      <c r="D45" s="7" t="inlineStr">
        <is>
          <t>DT-M17B5-01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se instaló parcela — registro por observación directa en recorrido de borde</t>
        </is>
      </c>
      <c r="E47" s="8" t="n"/>
      <c r="F47" s="8" t="n"/>
    </row>
    <row r="48">
      <c r="A48" s="6" t="inlineStr">
        <is>
          <t>Estaciones fotográficas georreferenciadas</t>
        </is>
      </c>
      <c r="B48" s="7" t="n">
        <v>4</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50" t="inlineStr">
        <is>
          <t>Economía familiar de subsistencia basada en ganadería caprina extensiva de libre pastoreo, sin ordenamiento predial ni alternativas productivas, en un contexto de tenencia no saneada.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 (calificación PRELIMINAR; requiere confirmación hidrogeológica)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M17B5</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15.8188</v>
      </c>
      <c r="C10" s="19">
        <f>ROUND(B10/$B$15*100,2)</f>
        <v/>
      </c>
      <c r="D10" s="11" t="inlineStr">
        <is>
          <t>Vigor alto</t>
        </is>
      </c>
      <c r="E10" s="11" t="inlineStr">
        <is>
          <t>Sobre umbral</t>
        </is>
      </c>
    </row>
    <row r="11">
      <c r="A11" s="12" t="inlineStr">
        <is>
          <t>0.4976 - 0.6139 · DN 4</t>
        </is>
      </c>
      <c r="B11" s="32" t="n">
        <v>36.7832</v>
      </c>
      <c r="C11" s="31">
        <f>ROUND(B11/$B$15*100,2)</f>
        <v/>
      </c>
      <c r="D11" s="13" t="inlineStr">
        <is>
          <t>Vigor moderado</t>
        </is>
      </c>
      <c r="E11" s="13" t="inlineStr">
        <is>
          <t>Sobre umbral</t>
        </is>
      </c>
    </row>
    <row r="12">
      <c r="A12" s="7" t="inlineStr">
        <is>
          <t>0.3813 - 0.4976 · DN 3</t>
        </is>
      </c>
      <c r="B12" s="18" t="n">
        <v>20.9904</v>
      </c>
      <c r="C12" s="19">
        <f>ROUND(B12/$B$15*100,2)</f>
        <v/>
      </c>
      <c r="D12" s="11" t="inlineStr">
        <is>
          <t>Vigor bajo</t>
        </is>
      </c>
      <c r="E12" s="11" t="inlineStr">
        <is>
          <t>BAJO umbral 0.4976</t>
        </is>
      </c>
    </row>
    <row r="13">
      <c r="A13" s="14" t="inlineStr">
        <is>
          <t>0.2650 - 0.3813 · DN 2</t>
        </is>
      </c>
      <c r="B13" s="20" t="n">
        <v>0.4355</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318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74.03</v>
      </c>
      <c r="C18" s="49" t="inlineStr">
        <is>
          <t>—</t>
        </is>
      </c>
      <c r="D18" s="46" t="inlineStr">
        <is>
          <t>Desviación planimétrica frente al catálogo</t>
        </is>
      </c>
      <c r="E18" s="46" t="inlineStr">
        <is>
          <t>+0.00 %</t>
        </is>
      </c>
    </row>
    <row r="19">
      <c r="A19" s="16" t="inlineStr">
        <is>
          <t>MSAVI 2024 — MEDIA DEL BLOQUE</t>
        </is>
      </c>
      <c r="B19" s="17" t="n">
        <v>0.54817</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318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(0.5482)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45.4315</v>
      </c>
      <c r="C25" s="19" t="n">
        <v>61.34</v>
      </c>
      <c r="D25" s="11" t="inlineStr">
        <is>
          <t>Dosel continuo, matorral denso o mosaico agroforestal</t>
        </is>
      </c>
      <c r="E25" s="11" t="inlineStr"/>
    </row>
    <row r="26">
      <c r="A26" s="14" t="inlineStr">
        <is>
          <t>Vegetación mediana</t>
        </is>
      </c>
      <c r="B26" s="20" t="n">
        <v>28.5547</v>
      </c>
      <c r="C26" s="21" t="n">
        <v>38.55</v>
      </c>
      <c r="D26" s="15" t="inlineStr">
        <is>
          <t>Pastizal cultivado, matorral ralo, parcelas agrícolas</t>
        </is>
      </c>
      <c r="E26" s="15" t="inlineStr"/>
    </row>
    <row r="27">
      <c r="A27" s="7" t="inlineStr">
        <is>
          <t>Vegetación ligera</t>
        </is>
      </c>
      <c r="B27" s="18" t="n">
        <v>0.07920000000000001</v>
      </c>
      <c r="C27" s="19" t="n">
        <v>0.11</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74.03</v>
      </c>
      <c r="C29" s="25" t="inlineStr">
        <is>
          <t>—</t>
        </is>
      </c>
      <c r="D29" s="25" t="inlineStr">
        <is>
          <t>Desviación planimétrica frente al catálogo</t>
        </is>
      </c>
      <c r="E29" s="25" t="inlineStr">
        <is>
          <t>+0.05 %</t>
        </is>
      </c>
    </row>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M17B5</t>
        </is>
      </c>
    </row>
    <row r="6" ht="24" customHeight="1">
      <c r="A6" s="4" t="inlineStr">
        <is>
          <t>Levantamiento del 2026-08-26 (juego 1) / 2026-07-14 (juego 2) — reconocimiento de campo 14-07-2026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608549</v>
      </c>
      <c r="D10" s="26" t="n">
        <v>9445684</v>
      </c>
      <c r="E10" s="11" t="n">
        <v>269.8</v>
      </c>
      <c r="F10" s="11" t="inlineStr"/>
      <c r="G10" s="11" t="inlineStr">
        <is>
          <t>Coordenada consignada en F-DT-01</t>
        </is>
      </c>
    </row>
    <row r="11">
      <c r="A11" s="14" t="inlineStr">
        <is>
          <t>P-01</t>
        </is>
      </c>
      <c r="B11" s="15" t="inlineStr">
        <is>
          <t>Estación fotográfica</t>
        </is>
      </c>
      <c r="C11" s="27" t="n">
        <v>608558</v>
      </c>
      <c r="D11" s="27" t="n">
        <v>9445670</v>
      </c>
      <c r="E11" s="15" t="n">
        <v>256.5</v>
      </c>
      <c r="F11" s="15" t="inlineStr"/>
      <c r="G11" s="15" t="inlineStr">
        <is>
          <t>Registro fotográfico georreferenciado</t>
        </is>
      </c>
    </row>
    <row r="12">
      <c r="A12" s="7" t="inlineStr">
        <is>
          <t>P-02</t>
        </is>
      </c>
      <c r="B12" s="11" t="inlineStr">
        <is>
          <t>Estación fotográfica</t>
        </is>
      </c>
      <c r="C12" s="26" t="n">
        <v>608549</v>
      </c>
      <c r="D12" s="26" t="n">
        <v>9445684</v>
      </c>
      <c r="E12" s="11" t="n">
        <v>269.8</v>
      </c>
      <c r="F12" s="11" t="inlineStr"/>
      <c r="G12" s="11" t="inlineStr">
        <is>
          <t>Registro fotográfico georreferenciado</t>
        </is>
      </c>
    </row>
    <row r="13">
      <c r="A13" s="14" t="inlineStr">
        <is>
          <t>P-03</t>
        </is>
      </c>
      <c r="B13" s="15" t="inlineStr">
        <is>
          <t>Estación fotográfica</t>
        </is>
      </c>
      <c r="C13" s="27" t="n">
        <v>608513</v>
      </c>
      <c r="D13" s="27" t="n">
        <v>9445816</v>
      </c>
      <c r="E13" s="15" t="n">
        <v>368.4</v>
      </c>
      <c r="F13" s="15" t="inlineStr"/>
      <c r="G13" s="15" t="inlineStr">
        <is>
          <t>Registro fotográfico georreferenciado</t>
        </is>
      </c>
    </row>
    <row r="14">
      <c r="A14" s="7" t="inlineStr">
        <is>
          <t>P-04</t>
        </is>
      </c>
      <c r="B14" s="11" t="inlineStr">
        <is>
          <t>Estación fotográfica</t>
        </is>
      </c>
      <c r="C14" s="26" t="n">
        <v>608425</v>
      </c>
      <c r="D14" s="26" t="n">
        <v>9445881</v>
      </c>
      <c r="E14" s="11" t="n">
        <v>477.7</v>
      </c>
      <c r="F14" s="11" t="inlineStr"/>
      <c r="G14" s="11" t="inlineStr">
        <is>
          <t>Registro fotográfico georreferenciado</t>
        </is>
      </c>
    </row>
    <row r="15">
      <c r="A15" s="14" t="inlineStr">
        <is>
          <t>C-01 / S-01</t>
        </is>
      </c>
      <c r="B15" s="15" t="inlineStr">
        <is>
          <t>Rasgo erosivo — Surco (&lt;30 cm) — 17 m (juego 2)</t>
        </is>
      </c>
      <c r="C15" s="27" t="n">
        <v>608558</v>
      </c>
      <c r="D15" s="27" t="n">
        <v>9445670</v>
      </c>
      <c r="E15" s="15" t="n">
        <v>256.5</v>
      </c>
      <c r="F15" s="15" t="inlineStr">
        <is>
          <t>Activa</t>
        </is>
      </c>
      <c r="G15" s="15" t="inlineStr">
        <is>
          <t>Caminos / huellas de ganado</t>
        </is>
      </c>
    </row>
    <row r="16">
      <c r="A16" s="7" t="inlineStr">
        <is>
          <t>C-02</t>
        </is>
      </c>
      <c r="B16" s="11" t="inlineStr">
        <is>
          <t>Rasgo erosivo — Cárcava incipiente (solo juego 1)</t>
        </is>
      </c>
      <c r="C16" s="26" t="n">
        <v>608549</v>
      </c>
      <c r="D16" s="26" t="n">
        <v>9445684</v>
      </c>
      <c r="E16" s="11" t="n">
        <v>269.8</v>
      </c>
      <c r="F16" s="11" t="inlineStr">
        <is>
          <t>Activa</t>
        </is>
      </c>
      <c r="G16" s="11" t="inlineStr">
        <is>
          <t>Caminos / huellas de ganado</t>
        </is>
      </c>
    </row>
    <row r="17">
      <c r="A17" s="14" t="inlineStr">
        <is>
          <t>H-01</t>
        </is>
      </c>
      <c r="B17" s="15" t="inlineStr">
        <is>
          <t>Fuente de agua — Otro (línea de conducción)</t>
        </is>
      </c>
      <c r="C17" s="27" t="n">
        <v>608513</v>
      </c>
      <c r="D17" s="27" t="n">
        <v>9445816</v>
      </c>
      <c r="E17" s="15" t="n">
        <v>368.4</v>
      </c>
      <c r="F17" s="15" t="inlineStr">
        <is>
          <t>Por determinar</t>
        </is>
      </c>
      <c r="G17" s="15" t="inlineStr">
        <is>
          <t>Manguera de polietileno tendida en el caserío El Guabo: acredita una captación de ladera aguas arriba</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608800</v>
      </c>
      <c r="C20" s="6" t="inlineStr">
        <is>
          <t>Centroide del bloque — UTM NORTE (m)</t>
        </is>
      </c>
      <c r="D20" s="7" t="n">
        <v>9445585</v>
      </c>
      <c r="E20" s="8" t="n"/>
      <c r="F20" s="8" t="n"/>
      <c r="G20" s="8" t="n"/>
      <c r="H20" s="8" t="n"/>
    </row>
    <row r="21">
      <c r="A21" s="6" t="inlineStr">
        <is>
          <t>N.° de estaciones fotográficas declaradas</t>
        </is>
      </c>
      <c r="B21" s="7" t="n">
        <v>4</v>
      </c>
      <c r="C21" s="6" t="inlineStr">
        <is>
          <t>Estaciones dentro del polígono</t>
        </is>
      </c>
      <c r="D21" s="7" t="n">
        <v>2</v>
      </c>
      <c r="E21" s="8" t="n"/>
      <c r="F21" s="8" t="n"/>
      <c r="G21" s="8" t="n"/>
      <c r="H21" s="8" t="n"/>
    </row>
    <row r="23" ht="18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ALCANCE: reconocimiento del 14-07-2026 sobre el sector OCCIDENTAL, en 4 estaciones (P-01 608 558/9 445 670; P-02 608 549/9 445 684; P-03 608 513/9 445 816; P-04 608 425/9 445 881). Extensión del recorrido 249 m; estaciones entre 293 y 514 m del centroide. P-03 y P-04 corresponden al ENCLAVE DEL CASERÍO EL GUABO, EXCLUIDO DEL POLÍGONO. LA COBERTURA FÍSICA EFECTIVA SE ESTIMA INFERIOR AL 10% DE LAS 74.03 ha. LOS SECTORES CENTRAL, NORTE Y SURESTE NO FUERON RECORRIDOS. ALTITUD GPS NO REGISTRADA (el valor 900 msnm es interpolado de curvas, ±25 m). RANGO ALTITUDINAL: 794-1 317 msnm (amplitud 523 m) — EL BLOQUE CABALGA DOS PISOS ALTITUDINALES; ≈40-45% se sitúa bajo 1 000 msnm. PENDIENTE promedio 27.42% (MDE); perfil W-E de 1 451 m: 753/957/1 197 msnm, pendiente media 29.9% y máxima 54.0%. AFLORAMIENTOS: bloques graníticos redondeados de 1-3 m, desconfinados y parcialmente enterrados. LOS «NO» DE ESCARPES, REPTACIÓN Y REMOCIONES SIGNIFICAN AUSENCIA DE EVIDENCIA EN EL SECTOR RECORRIDO, NO DESCARTE PARA EL CONJUNTO. ATENCIÓN: el juego 1 consigna UTM Este 645 575 (valor por defecto de plantilla).</t>
        </is>
      </c>
      <c r="B23" s="41" t="n"/>
      <c r="C23" s="41" t="n"/>
      <c r="D23" s="41" t="n"/>
      <c r="E23" s="41" t="n"/>
      <c r="F23" s="41" t="n"/>
      <c r="G23" s="42"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M17B5</t>
        </is>
      </c>
    </row>
    <row r="6" ht="24" customHeight="1">
      <c r="A6" s="4" t="inlineStr">
        <is>
          <t>Distrito de Frias · Provincia de Ayabaca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M17B7</t>
        </is>
      </c>
      <c r="B10" s="28" t="n">
        <v>258.84</v>
      </c>
      <c r="C10" s="19" t="n">
        <v>29.57</v>
      </c>
      <c r="D10" s="11" t="inlineStr">
        <is>
          <t>553 – 1517</t>
        </is>
      </c>
      <c r="E10" s="11" t="n">
        <v>964</v>
      </c>
      <c r="F10" s="11" t="n">
        <v>29.82</v>
      </c>
      <c r="G10" s="18" t="n">
        <v>0.5087</v>
      </c>
      <c r="H10" s="19" t="n">
        <v>58.63</v>
      </c>
      <c r="I10" s="19" t="n">
        <v>48.4</v>
      </c>
    </row>
    <row r="11">
      <c r="A11" s="14" t="inlineStr">
        <is>
          <t>M17B4</t>
        </is>
      </c>
      <c r="B11" s="29" t="n">
        <v>124.71</v>
      </c>
      <c r="C11" s="21" t="n">
        <v>14.25</v>
      </c>
      <c r="D11" s="15" t="inlineStr">
        <is>
          <t>294 – 629</t>
        </is>
      </c>
      <c r="E11" s="15" t="n">
        <v>335</v>
      </c>
      <c r="F11" s="15" t="n">
        <v>18.69</v>
      </c>
      <c r="G11" s="20" t="n">
        <v>0.4235</v>
      </c>
      <c r="H11" s="21" t="n">
        <v>3.97</v>
      </c>
      <c r="I11" s="21" t="n">
        <v>91.94</v>
      </c>
    </row>
    <row r="12">
      <c r="A12" s="7" t="inlineStr">
        <is>
          <t>M17B6</t>
        </is>
      </c>
      <c r="B12" s="28" t="n">
        <v>106.54</v>
      </c>
      <c r="C12" s="19" t="n">
        <v>12.17</v>
      </c>
      <c r="D12" s="11" t="inlineStr">
        <is>
          <t>403 – 1049</t>
        </is>
      </c>
      <c r="E12" s="11" t="n">
        <v>646</v>
      </c>
      <c r="F12" s="11" t="n">
        <v>23.42</v>
      </c>
      <c r="G12" s="18" t="n">
        <v>0.4464</v>
      </c>
      <c r="H12" s="19" t="n">
        <v>18.53</v>
      </c>
      <c r="I12" s="19" t="n">
        <v>81.81999999999999</v>
      </c>
    </row>
    <row r="13">
      <c r="A13" s="14" t="inlineStr">
        <is>
          <t>22</t>
        </is>
      </c>
      <c r="B13" s="29" t="n">
        <v>79.33</v>
      </c>
      <c r="C13" s="21" t="n">
        <v>9.06</v>
      </c>
      <c r="D13" s="15" t="inlineStr">
        <is>
          <t>235 – 596</t>
        </is>
      </c>
      <c r="E13" s="15" t="n">
        <v>361</v>
      </c>
      <c r="F13" s="15" t="n">
        <v>22.51</v>
      </c>
      <c r="G13" s="20" t="n">
        <v>0.4232</v>
      </c>
      <c r="H13" s="21" t="n">
        <v>0.32</v>
      </c>
      <c r="I13" s="21" t="n">
        <v>93.29000000000001</v>
      </c>
    </row>
    <row r="14">
      <c r="A14" s="7" t="inlineStr">
        <is>
          <t>27</t>
        </is>
      </c>
      <c r="B14" s="28" t="n">
        <v>78.15000000000001</v>
      </c>
      <c r="C14" s="19" t="n">
        <v>8.93</v>
      </c>
      <c r="D14" s="11" t="inlineStr">
        <is>
          <t>1518 – 1895</t>
        </is>
      </c>
      <c r="E14" s="11" t="n">
        <v>377</v>
      </c>
      <c r="F14" s="11" t="n">
        <v>30.25</v>
      </c>
      <c r="G14" s="18" t="n">
        <v>0.5323</v>
      </c>
      <c r="H14" s="19" t="n">
        <v>64.75</v>
      </c>
      <c r="I14" s="19" t="n">
        <v>37.5</v>
      </c>
    </row>
    <row r="15">
      <c r="A15" s="14" t="inlineStr">
        <is>
          <t>M17B10</t>
        </is>
      </c>
      <c r="B15" s="29" t="n">
        <v>75.36</v>
      </c>
      <c r="C15" s="21" t="n">
        <v>8.609999999999999</v>
      </c>
      <c r="D15" s="15" t="inlineStr">
        <is>
          <t>466 – 902</t>
        </is>
      </c>
      <c r="E15" s="15" t="n">
        <v>436</v>
      </c>
      <c r="F15" s="15" t="n">
        <v>25.94</v>
      </c>
      <c r="G15" s="20" t="n">
        <v>0.4725</v>
      </c>
      <c r="H15" s="21" t="n">
        <v>29.2</v>
      </c>
      <c r="I15" s="21" t="n">
        <v>73.33</v>
      </c>
    </row>
    <row r="16">
      <c r="A16" s="12" t="inlineStr">
        <is>
          <t>► M17B5</t>
        </is>
      </c>
      <c r="B16" s="30" t="n">
        <v>74.03</v>
      </c>
      <c r="C16" s="31" t="n">
        <v>8.460000000000001</v>
      </c>
      <c r="D16" s="13" t="inlineStr">
        <is>
          <t>794 – 1317</t>
        </is>
      </c>
      <c r="E16" s="13" t="n">
        <v>523</v>
      </c>
      <c r="F16" s="13" t="n">
        <v>27.42</v>
      </c>
      <c r="G16" s="32" t="n">
        <v>0.5482</v>
      </c>
      <c r="H16" s="31" t="n">
        <v>61.34</v>
      </c>
      <c r="I16" s="31" t="n">
        <v>28.94</v>
      </c>
    </row>
    <row r="17">
      <c r="A17" s="14" t="inlineStr">
        <is>
          <t>M17B1</t>
        </is>
      </c>
      <c r="B17" s="29" t="n">
        <v>42.45</v>
      </c>
      <c r="C17" s="21" t="n">
        <v>4.85</v>
      </c>
      <c r="D17" s="15" t="inlineStr">
        <is>
          <t>177 – 313</t>
        </is>
      </c>
      <c r="E17" s="15" t="n">
        <v>136</v>
      </c>
      <c r="F17" s="15" t="n">
        <v>14.73</v>
      </c>
      <c r="G17" s="20" t="n">
        <v>0.3323</v>
      </c>
      <c r="H17" s="21" t="n">
        <v>0</v>
      </c>
      <c r="I17" s="21" t="n">
        <v>99.84</v>
      </c>
    </row>
    <row r="18">
      <c r="A18" s="7" t="inlineStr">
        <is>
          <t>32</t>
        </is>
      </c>
      <c r="B18" s="28"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3">
        <f>SUM(B10:B18)</f>
        <v/>
      </c>
      <c r="C19" s="23">
        <f>SUM(C10:C18)</f>
        <v/>
      </c>
      <c r="D19" s="17" t="inlineStr">
        <is>
          <t>177 – 1895</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1" t="n"/>
      <c r="C20" s="41" t="n"/>
      <c r="D20" s="41" t="n"/>
      <c r="E20" s="41" t="n"/>
      <c r="F20" s="41" t="n"/>
      <c r="G20" s="41" t="n"/>
      <c r="H20" s="41" t="n"/>
      <c r="I20" s="42" t="n"/>
    </row>
    <row r="22" ht="84" customHeight="1">
      <c r="A22" s="9" t="inlineStr">
        <is>
          <t>LECTURA INTRAMICROCUENCA. El bloque M17B5 ocupa el puesto 7 de 9 por superficie dentro de la microcuenca C1096-Q9556 (8.46 % de las 875.24 ha preliminares de la microcuenca). Su pendiente promedio (27.42 %, clase «25-50% (Mod. escarpado)») es la 7.ª más baja de 9 y se sitúa por encima del promedio de la microcuenca (22.85 %). Su MSAVI 2024 (0.5482) es el 1.º de 9 y queda por encima del promedio local (0.4510). Amplitud altitudinal del bloque: 523 m (794–1317 msnm). El cuadro conserva todos los bloques catalogados en la microcuenca, incluidos los descartados en el tamizaje, para referencia del conjunto. Los bloques sin ficha DT figuran con sus parámetros de gabinete. BRECHA ESPECTRAL. El 28.94 % de la superficie del bloque (21.426 ha de 74.028 ha) se sitúa bajo el umbral MSAVI 0.4976, por debajo del promedio local de la microcuenca (69.38 %)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M17B5</t>
        </is>
      </c>
    </row>
    <row r="6">
      <c r="A6" s="52" t="inlineStr">
        <is>
          <t>Cruce de la ficha de campo F-DT vigente con la ficha de resumen de gabinete y el catálogo maestro. Integración 2026-09-11 20:22:35.</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«C1096-Q9556».</t>
        </is>
      </c>
      <c r="D9" s="56" t="inlineStr">
        <is>
          <t>CONFORME</t>
        </is>
      </c>
      <c r="E9" s="56" t="inlineStr">
        <is>
          <t>Sin acción.</t>
        </is>
      </c>
    </row>
    <row r="10">
      <c r="A10" s="57" t="inlineStr">
        <is>
          <t>G-02</t>
        </is>
      </c>
      <c r="B10" s="57" t="inlineStr">
        <is>
          <t>UTM del punto de muestreo</t>
        </is>
      </c>
      <c r="C10" s="57" t="inlineStr">
        <is>
          <t>El punto de muestreo declarado dista 269.8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(900 msnm) cae dentro del rango altitudinal del bloque (794 - 1317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(74.065 ha) se desvía 0.05 % de la superficie de catálogo (74.03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(74.028 ha) se desvía -0.00 % de la superficie de catálogo (74.03 ha).</t>
        </is>
      </c>
      <c r="D14" s="57" t="inlineStr">
        <is>
          <t>CONFORME</t>
        </is>
      </c>
      <c r="E14" s="57" t="inlineStr">
        <is>
          <t>Sin acción: la segmentación valida la geometría del bloque.</t>
        </is>
      </c>
    </row>
    <row r="15">
      <c r="A15" s="56" t="inlineStr">
        <is>
          <t>G-07</t>
        </is>
      </c>
      <c r="B15" s="56" t="inlineStr">
        <is>
          <t>Brecha espectral MSAVI</t>
        </is>
      </c>
      <c r="C15" s="56" t="inlineStr">
        <is>
          <t>El 28.94 % del bloque queda bajo el umbral 0.4976; superficie de brecha 21.43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74.03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(0.5482)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N.° de cárcavas registradas</t>
        </is>
      </c>
      <c r="C19" s="56" t="inlineStr">
        <is>
          <t>El libro de resumen V6 consignaba «2 (juego 1) / 1 (juego 2) — DISCREPANCIA ENTRE JUEGOS»; la ficha de campo vigente declara «1».</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Causa subyacente principal</t>
        </is>
      </c>
      <c r="C20" s="57" t="inlineStr">
        <is>
          <t>El libro de resumen V6 consignaba «Dependencia de la economía familiar de subsistencia del caserío El Guabo respecto del pastoreo caprino libre, sin ordenamiento predial»; la ficha de campo vigente declara «Economía familiar de subsistencia basada en ganadería caprina extensiva de libre pastoreo, sin ordenamiento predial ni alternativas product…».</t>
        </is>
      </c>
      <c r="D20" s="57" t="inlineStr">
        <is>
          <t>CORREGIDO</t>
        </is>
      </c>
      <c r="E20" s="57" t="inlineStr">
        <is>
          <t>Se adopta el valor de campo por ser la fuente que manda sobre el dato y la más reciente. El valor anterior queda declarado para trazabilidad.</t>
        </is>
      </c>
    </row>
    <row r="21">
      <c r="A21" s="56" t="inlineStr">
        <is>
          <t>I-03</t>
        </is>
      </c>
      <c r="B21" s="56" t="inlineStr">
        <is>
          <t>Responsable de la evaluación</t>
        </is>
      </c>
      <c r="C21" s="56" t="inlineStr">
        <is>
          <t>El libro de resumen V6 consignaba «Pedro Talledo Hernández (juego 1) / Ing. Juan Carlos Domínguez Varas y Ped. Talledo (juego 2)»; la ficha de campo vigente declara «Ing. Juan Carlos Domínguez Varas / Ing. Pedro Talledo Hernández».</t>
        </is>
      </c>
      <c r="D21" s="56" t="inlineStr">
        <is>
          <t>CORREGIDO</t>
        </is>
      </c>
      <c r="E21" s="56" t="inlineStr">
        <is>
          <t>Se adopta el valor de campo por ser la fuente que manda sobre el dato y la más reciente. El valor anterior queda declarado para trazabilidad.</t>
        </is>
      </c>
    </row>
    <row r="22">
      <c r="A22" s="57" t="inlineStr">
        <is>
          <t>I-04</t>
        </is>
      </c>
      <c r="B22" s="57" t="inlineStr">
        <is>
          <t>Fecha de evaluación</t>
        </is>
      </c>
      <c r="C22" s="57" t="inlineStr">
        <is>
          <t>El libro de resumen V6 consignaba «2026-08-26 (juego 1) / 2026-07-14 (juego 2) — reconocimiento de campo 14-07-2026»; la ficha de campo vigente declara «14-07-2026».</t>
        </is>
      </c>
      <c r="D22" s="57" t="inlineStr">
        <is>
          <t>CORREGIDO</t>
        </is>
      </c>
      <c r="E22" s="57" t="inlineStr">
        <is>
          <t>Se adopta el valor de campo por ser la fuente que manda sobre el dato y la más reciente. El valor anterior queda declarado para trazabilidad.</t>
        </is>
      </c>
    </row>
    <row r="23">
      <c r="A23" s="56" t="inlineStr">
        <is>
          <t>F-01</t>
        </is>
      </c>
      <c r="B23" s="56" t="inlineStr">
        <is>
          <t>Fichas F-DT levantadas</t>
        </is>
      </c>
      <c r="C23" s="56" t="inlineStr">
        <is>
          <t>La plantilla de campo trae las cinco fichas F-DT-01 a F-DT-05 (completitud 89.3 % de los campos esperados).</t>
        </is>
      </c>
      <c r="D23" s="56" t="inlineStr">
        <is>
          <t>CONFORME</t>
        </is>
      </c>
      <c r="E23" s="56" t="inlineStr">
        <is>
          <t>Sin acción.</t>
        </is>
      </c>
    </row>
    <row r="24">
      <c r="A24" s="57" t="inlineStr">
        <is>
          <t>F-02</t>
        </is>
      </c>
      <c r="B24" s="57" t="inlineStr">
        <is>
          <t>Cobertura de la integración</t>
        </is>
      </c>
      <c r="C24" s="57" t="inlineStr">
        <is>
          <t>Se declararon 92 de 114 hechos integrados (80.7 %); 22 quedan sin dato en ninguna fuente.</t>
        </is>
      </c>
      <c r="D24" s="57" t="inlineStr">
        <is>
          <t>CONFORME</t>
        </is>
      </c>
      <c r="E24" s="57" t="inlineStr">
        <is>
          <t>Sin acción.</t>
        </is>
      </c>
    </row>
    <row r="25">
      <c r="A25" s="56" t="inlineStr">
        <is>
          <t>H-01</t>
        </is>
      </c>
      <c r="B25" s="56" t="inlineStr">
        <is>
          <t>Rango altitudinal / piso ecológico</t>
        </is>
      </c>
      <c r="C25" s="56" t="inlineStr">
        <is>
          <t>La ficha DT declara «1000-1500 m (Quechua baja) — TRANSICIONAL: 40-45% del polígono bajo 1000 msnm (Yunga)»; el MDE sitúa el bloque entre 794 y 1317 msnm, cuyo punto medio corresponde a «1000-1500 m (Quechua baja)»</t>
        </is>
      </c>
      <c r="D25" s="56" t="inlineStr">
        <is>
          <t>NO SUSTANTIVA</t>
        </is>
      </c>
      <c r="E25" s="56" t="inlineStr">
        <is>
          <t>Se declara la divergencia. El bloque abarca más de un piso altitudinal cuando la amplitud supera el ancho de la clase; el registro de campo corresponde al sector recorrido. (Verificación heredada de la ficha de resumen V6.)</t>
        </is>
      </c>
    </row>
    <row r="26">
      <c r="A26" s="57" t="inlineStr">
        <is>
          <t>H-02</t>
        </is>
      </c>
      <c r="B26" s="57" t="inlineStr">
        <is>
          <t>Ficha DT</t>
        </is>
      </c>
      <c r="C26" s="57" t="inlineStr">
        <is>
          <t>EL PDF CONTIENE DOS JUEGOS DE FICHAS F-DT PARA EL MISMO BLOQUE (26-08-2026 y 14-07-2026) con valores divergentes</t>
        </is>
      </c>
      <c r="D26" s="57" t="inlineStr">
        <is>
          <t>SUSTANTIVA</t>
        </is>
      </c>
      <c r="E26" s="57" t="inlineStr">
        <is>
          <t>Consolidar en una sola versión oficial antes del entregable (Verificación heredada de la ficha de resumen V6.)</t>
        </is>
      </c>
    </row>
    <row r="27">
      <c r="A27" s="56" t="inlineStr">
        <is>
          <t>H-03</t>
        </is>
      </c>
      <c r="B27" s="56" t="inlineStr">
        <is>
          <t>F-DT-02</t>
        </is>
      </c>
      <c r="C27" s="56" t="inlineStr">
        <is>
          <t>Sellamiento: «Sí» en el juego 1 y «No» en el juego 2; N.° de cárcavas: 2 vs. 1</t>
        </is>
      </c>
      <c r="D27" s="56" t="inlineStr">
        <is>
          <t>SUSTANTIVA</t>
        </is>
      </c>
      <c r="E27" s="56" t="inlineStr">
        <is>
          <t>Discrepancia entre juegos a resolver (Verificación heredada de la ficha de resumen V6.)</t>
        </is>
      </c>
    </row>
    <row r="28">
      <c r="A28" s="57" t="inlineStr">
        <is>
          <t>H-04</t>
        </is>
      </c>
      <c r="B28" s="57" t="inlineStr">
        <is>
          <t>F-DT-01</t>
        </is>
      </c>
      <c r="C28" s="57" t="inlineStr">
        <is>
          <t>Cobertura física del levantamiento &lt;10% de las 74.03 ha; sectores central, norte y sureste no recorridos</t>
        </is>
      </c>
      <c r="D28" s="57" t="inlineStr">
        <is>
          <t>SUSTANTIVA</t>
        </is>
      </c>
      <c r="E28" s="57" t="inlineStr">
        <is>
          <t>Toda calificación aplica solo al sector occidental (Verificación heredada de la ficha de resumen V6.)</t>
        </is>
      </c>
    </row>
    <row r="29">
      <c r="A29" s="56" t="inlineStr">
        <is>
          <t>H-05</t>
        </is>
      </c>
      <c r="B29" s="56" t="inlineStr">
        <is>
          <t>F-DT-03</t>
        </is>
      </c>
      <c r="C29" s="56" t="inlineStr">
        <is>
          <t>LISTADO FLORÍSTICO TRANSFERIDO DEL BLOQUE M17B6; no procede de inventario en M17B5</t>
        </is>
      </c>
      <c r="D29" s="56" t="inlineStr">
        <is>
          <t>SUSTANTIVA</t>
        </is>
      </c>
      <c r="E29" s="56" t="inlineStr">
        <is>
          <t>Hipótesis de trabajo sujeta a ratificación; previsibles elementos de transición a bosque montano no representados (Verificación heredada de la ficha de resumen V6.)</t>
        </is>
      </c>
    </row>
    <row r="30">
      <c r="A30" s="57" t="inlineStr">
        <is>
          <t>H-06</t>
        </is>
      </c>
      <c r="B30" s="57" t="inlineStr">
        <is>
          <t>F-DT-04</t>
        </is>
      </c>
      <c r="C30" s="57" t="inlineStr">
        <is>
          <t>Indicadores 3 a 7 sin consignar; extensiones estimadas visualmente y antigüedad en blanco</t>
        </is>
      </c>
      <c r="D30" s="57" t="inlineStr">
        <is>
          <t>SUSTANTIVA</t>
        </is>
      </c>
      <c r="E30" s="57" t="inlineStr">
        <is>
          <t>Cuantificación pendiente (Verificación heredada de la ficha de resumen V6.)</t>
        </is>
      </c>
    </row>
    <row r="32">
      <c r="A32" s="58" t="inlineStr">
        <is>
          <t>RESUMEN</t>
        </is>
      </c>
      <c r="B32" s="59" t="inlineStr">
        <is>
          <t>22 verificaciones</t>
        </is>
      </c>
      <c r="C32" s="59" t="inlineStr">
        <is>
          <t>SUSTANTIVA: 6 · NO SUSTANTIVA: 1 · CORREGIDO: 4 · CONFORME: 11</t>
        </is>
      </c>
    </row>
    <row r="34">
      <c r="A34"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M17B5</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4. Suelos y erosión (F-DT-02)</t>
        </is>
      </c>
      <c r="B9" s="56" t="inlineStr">
        <is>
          <t>N.° de cárcavas registradas</t>
        </is>
      </c>
      <c r="C9" s="56" t="inlineStr">
        <is>
          <t>2 (juego 1) / 1 (juego 2) — DISCREPANCIA ENTRE JUEGOS</t>
        </is>
      </c>
      <c r="D9" s="56" t="inlineStr">
        <is>
          <t>1</t>
        </is>
      </c>
      <c r="E9" s="56" t="inlineStr">
        <is>
          <t>Dato de campo</t>
        </is>
      </c>
    </row>
    <row r="10">
      <c r="A10" s="57" t="inlineStr">
        <is>
          <t>6. Degradación, causas y urgencia (F-DT-04)</t>
        </is>
      </c>
      <c r="B10" s="57" t="inlineStr">
        <is>
          <t>Causa subyacente principal</t>
        </is>
      </c>
      <c r="C10" s="57" t="inlineStr">
        <is>
          <t>Dependencia de la economía familiar de subsistencia del caserío El Guabo respecto del pastoreo caprino libre, sin ordenamiento predial</t>
        </is>
      </c>
      <c r="D10" s="57" t="inlineStr">
        <is>
          <t>Economía familiar de subsistencia basada en ganadería caprina extensiva de libre pastoreo, sin ordenamiento predial ni alternativas productivas, en un contexto de tenencia no saneada.</t>
        </is>
      </c>
      <c r="E10" s="57" t="inlineStr">
        <is>
          <t>Dato de campo</t>
        </is>
      </c>
    </row>
    <row r="11">
      <c r="A11" s="56" t="inlineStr">
        <is>
          <t>8. Responsable y modalidad de la evaluación</t>
        </is>
      </c>
      <c r="B11" s="56" t="inlineStr">
        <is>
          <t>Responsable de la evaluación</t>
        </is>
      </c>
      <c r="C11" s="56" t="inlineStr">
        <is>
          <t>Pedro Talledo Hernández (juego 1) / Ing. Juan Carlos Domínguez Varas y Ped. Talledo (juego 2)</t>
        </is>
      </c>
      <c r="D11" s="56" t="inlineStr">
        <is>
          <t>Ing. Juan Carlos Domínguez Varas / Ing. Pedro Talledo Hernández</t>
        </is>
      </c>
      <c r="E11" s="56" t="inlineStr">
        <is>
          <t>Dato de campo</t>
        </is>
      </c>
    </row>
    <row r="12">
      <c r="A12" s="57" t="inlineStr">
        <is>
          <t>8. Responsable y modalidad de la evaluación</t>
        </is>
      </c>
      <c r="B12" s="57" t="inlineStr">
        <is>
          <t>Fecha de evaluación</t>
        </is>
      </c>
      <c r="C12" s="57" t="inlineStr">
        <is>
          <t>2026-08-26 (juego 1) / 2026-07-14 (juego 2) — reconocimiento de campo 14-07-2026</t>
        </is>
      </c>
      <c r="D12" s="57" t="inlineStr">
        <is>
          <t>14-07-2026</t>
        </is>
      </c>
      <c r="E12" s="57" t="inlineStr">
        <is>
          <t>Dato de campo</t>
        </is>
      </c>
    </row>
    <row r="14">
      <c r="A14" s="54" t="inlineStr">
        <is>
          <t>B. HECHOS APORTADOS ÚNICAMENTE POR LA FICHA DE CAMPO</t>
        </is>
      </c>
    </row>
    <row r="15">
      <c r="A15" s="55" t="inlineStr">
        <is>
          <t>Sección</t>
        </is>
      </c>
      <c r="B15" s="55" t="inlineStr">
        <is>
          <t>Hecho</t>
        </is>
      </c>
      <c r="C15" s="55" t="inlineStr">
        <is>
          <t>Valor</t>
        </is>
      </c>
      <c r="D15" s="55" t="inlineStr">
        <is>
          <t>Unidad</t>
        </is>
      </c>
    </row>
    <row r="16">
      <c r="A16" s="56" t="inlineStr">
        <is>
          <t>1. Identificación y localización</t>
        </is>
      </c>
      <c r="B16" s="56" t="inlineStr">
        <is>
          <t>UTM ESTE del punto de muestreo (m)</t>
        </is>
      </c>
      <c r="C16" s="56" t="inlineStr">
        <is>
          <t>608549</t>
        </is>
      </c>
      <c r="D16" s="56" t="inlineStr">
        <is>
          <t>m</t>
        </is>
      </c>
    </row>
    <row r="17">
      <c r="A17" s="57" t="inlineStr">
        <is>
          <t>1. Identificación y localización</t>
        </is>
      </c>
      <c r="B17" s="57" t="inlineStr">
        <is>
          <t>UTM NORTE del punto de muestreo (m)</t>
        </is>
      </c>
      <c r="C17" s="57" t="inlineStr">
        <is>
          <t>9445684</t>
        </is>
      </c>
      <c r="D17" s="57" t="inlineStr">
        <is>
          <t>m</t>
        </is>
      </c>
    </row>
    <row r="18">
      <c r="A18" s="56" t="inlineStr">
        <is>
          <t>2. Parámetros físicos del terreno</t>
        </is>
      </c>
      <c r="B18" s="56" t="inlineStr">
        <is>
          <t>Altitud GPS del punto de muestreo (msnm)</t>
        </is>
      </c>
      <c r="C18" s="56" t="inlineStr">
        <is>
          <t>900</t>
        </is>
      </c>
      <c r="D18" s="56" t="inlineStr">
        <is>
          <t>msnm</t>
        </is>
      </c>
    </row>
    <row r="19">
      <c r="A19" s="57" t="inlineStr">
        <is>
          <t>2. Parámetros físicos del terreno</t>
        </is>
      </c>
      <c r="B19" s="57" t="inlineStr">
        <is>
          <t>Piso altitudinal del punto de muestreo</t>
        </is>
      </c>
      <c r="C19" s="57" t="inlineStr">
        <is>
          <t>1000-1500 m (Quechua baja)</t>
        </is>
      </c>
      <c r="D19" s="57" t="inlineStr"/>
    </row>
    <row r="20">
      <c r="A20" s="56" t="inlineStr">
        <is>
          <t>2. Parámetros físicos del terreno</t>
        </is>
      </c>
      <c r="B20" s="56" t="inlineStr">
        <is>
          <t>Paisaje dominante descrito en campo</t>
        </is>
      </c>
      <c r="C20" s="56" t="inlineStr">
        <is>
          <t>Ladera de montaña de fuerte disección labrada sobre intrusivo granodiorítico, con abundantes bolones graníticos exhumados en superficie. El polígono se despliega en dos lóbulos separados por la escotadura de quebrada donde se asienta el caserío El Guabo. Cobertura leñosa continua de densidad media a alta en el cuerpo principal, con nubosidad de advección persistente sobre la divisoria oriental. Franja occidental (entorno del caserío y trochas) con suelo descubierto, compactación y surcos de escorrentía.</t>
        </is>
      </c>
      <c r="D20" s="56" t="inlineStr"/>
    </row>
    <row r="21">
      <c r="A21" s="57" t="inlineStr">
        <is>
          <t>2. Parámetros físicos del terreno</t>
        </is>
      </c>
      <c r="B21" s="57" t="inlineStr">
        <is>
          <t>Reptación de suelo</t>
        </is>
      </c>
      <c r="C21" s="57" t="inlineStr">
        <is>
          <t>No</t>
        </is>
      </c>
      <c r="D21" s="57" t="inlineStr"/>
    </row>
    <row r="22">
      <c r="A22" s="56" t="inlineStr">
        <is>
          <t>2. Parámetros físicos del terreno</t>
        </is>
      </c>
      <c r="B22" s="56" t="inlineStr">
        <is>
          <t>Deslizamientos antiguos</t>
        </is>
      </c>
      <c r="C22" s="56" t="inlineStr">
        <is>
          <t>No</t>
        </is>
      </c>
      <c r="D22" s="56" t="inlineStr"/>
    </row>
    <row r="23">
      <c r="A23" s="57" t="inlineStr">
        <is>
          <t>4. Suelos y erosión (F-DT-02)</t>
        </is>
      </c>
      <c r="B23" s="57" t="inlineStr">
        <is>
          <t>Nivel de erosión - síntesis de campo</t>
        </is>
      </c>
      <c r="C23" s="57" t="inlineStr">
        <is>
          <t>Moderada (surcos)</t>
        </is>
      </c>
      <c r="D23" s="57" t="inlineStr"/>
    </row>
    <row r="24">
      <c r="A24" s="56" t="inlineStr">
        <is>
          <t>4. Suelos y erosión (F-DT-02)</t>
        </is>
      </c>
      <c r="B24" s="56" t="inlineStr">
        <is>
          <t>Sellamiento / costra superficial</t>
        </is>
      </c>
      <c r="C24" s="56" t="inlineStr">
        <is>
          <t>No</t>
        </is>
      </c>
      <c r="D24" s="56" t="inlineStr"/>
    </row>
    <row r="25">
      <c r="A25" s="57" t="inlineStr">
        <is>
          <t>4. Suelos y erosión (F-DT-02)</t>
        </is>
      </c>
      <c r="B25" s="57" t="inlineStr">
        <is>
          <t>Compactación por pisoteo</t>
        </is>
      </c>
      <c r="C25" s="57" t="inlineStr">
        <is>
          <t>Sí</t>
        </is>
      </c>
      <c r="D25" s="57" t="inlineStr"/>
    </row>
    <row r="26">
      <c r="A26" s="56" t="inlineStr">
        <is>
          <t>4. Suelos y erosión (F-DT-02)</t>
        </is>
      </c>
      <c r="B26" s="56" t="inlineStr">
        <is>
          <t>Raíces expuestas</t>
        </is>
      </c>
      <c r="C26" s="56" t="inlineStr">
        <is>
          <t>Sí</t>
        </is>
      </c>
      <c r="D26" s="56" t="inlineStr"/>
    </row>
    <row r="27">
      <c r="A27" s="57" t="inlineStr">
        <is>
          <t>4. Suelos y erosión (F-DT-02)</t>
        </is>
      </c>
      <c r="B27" s="57" t="inlineStr">
        <is>
          <t>Longitud total de cárcavas (m)</t>
        </is>
      </c>
      <c r="C27" s="57" t="inlineStr">
        <is>
          <t>17</t>
        </is>
      </c>
      <c r="D27" s="57" t="inlineStr">
        <is>
          <t>m</t>
        </is>
      </c>
    </row>
    <row r="28">
      <c r="A28" s="56" t="inlineStr">
        <is>
          <t>4. Suelos y erosión (F-DT-02)</t>
        </is>
      </c>
      <c r="B28" s="56" t="inlineStr">
        <is>
          <t>Patrón de cárcavas</t>
        </is>
      </c>
      <c r="C28" s="56" t="inlineStr">
        <is>
          <t>Lineal</t>
        </is>
      </c>
      <c r="D28" s="56" t="inlineStr"/>
    </row>
    <row r="29">
      <c r="A29" s="57" t="inlineStr">
        <is>
          <t>4. Suelos y erosión (F-DT-02)</t>
        </is>
      </c>
      <c r="B29" s="57" t="inlineStr">
        <is>
          <t>Socavamiento de cauce</t>
        </is>
      </c>
      <c r="C29" s="57" t="inlineStr">
        <is>
          <t>No</t>
        </is>
      </c>
      <c r="D29" s="57" t="inlineStr"/>
    </row>
    <row r="30">
      <c r="A30" s="56" t="inlineStr">
        <is>
          <t>5. Ecosistema, cobertura y flora (F-DT-03)</t>
        </is>
      </c>
      <c r="B30" s="56" t="inlineStr">
        <is>
          <t>Fenología dominante</t>
        </is>
      </c>
      <c r="C30" s="56" t="inlineStr">
        <is>
          <t>Vegetativo</t>
        </is>
      </c>
      <c r="D30" s="56" t="inlineStr"/>
    </row>
    <row r="31">
      <c r="A31" s="57" t="inlineStr">
        <is>
          <t>5. Ecosistema, cobertura y flora (F-DT-03)</t>
        </is>
      </c>
      <c r="B31" s="57" t="inlineStr">
        <is>
          <t>Pendiente de la parcela (%)</t>
        </is>
      </c>
      <c r="C31" s="57" t="inlineStr">
        <is>
          <t>27.42</t>
        </is>
      </c>
      <c r="D31" s="57" t="inlineStr">
        <is>
          <t>%</t>
        </is>
      </c>
    </row>
    <row r="32">
      <c r="A32" s="56" t="inlineStr">
        <is>
          <t>5. Ecosistema, cobertura y flora (F-DT-03)</t>
        </is>
      </c>
      <c r="B32" s="56" t="inlineStr">
        <is>
          <t>Especies clave georreferenciadas</t>
        </is>
      </c>
      <c r="C32" s="56" t="inlineStr">
        <is>
          <t>10</t>
        </is>
      </c>
      <c r="D32" s="56" t="inlineStr"/>
    </row>
    <row r="33">
      <c r="A33" s="57" t="inlineStr">
        <is>
          <t>6. Degradación, causas y urgencia (F-DT-04)</t>
        </is>
      </c>
      <c r="B33" s="57" t="inlineStr">
        <is>
          <t>Causas directas de la degradación</t>
        </is>
      </c>
      <c r="C33" s="57" t="inlineStr">
        <is>
          <t>Sobrepastoreo caprino extensivo sin manejo en la franja occidental; erosión en surcos inducida por huellas de ganado y trochas; presión difusa del caserío El Guabo (leña, chacras, tránsito) sobre el borde del polígono.</t>
        </is>
      </c>
      <c r="D33" s="57" t="inlineStr"/>
    </row>
    <row r="34">
      <c r="A34" s="56" t="inlineStr">
        <is>
          <t>6. Degradación, causas y urgencia (F-DT-04)</t>
        </is>
      </c>
      <c r="B34" s="56" t="inlineStr">
        <is>
          <t>N.° de causas activas en la matriz F-DT-04</t>
        </is>
      </c>
      <c r="C34" s="56" t="inlineStr">
        <is>
          <t>5</t>
        </is>
      </c>
      <c r="D34" s="56" t="inlineStr"/>
    </row>
    <row r="35">
      <c r="A35" s="57" t="inlineStr">
        <is>
          <t>7. Hidrología, acceso y logística (F-DT-05)</t>
        </is>
      </c>
      <c r="B35" s="57" t="inlineStr">
        <is>
          <t>Escorrentía concentrada</t>
        </is>
      </c>
      <c r="C35" s="57" t="inlineStr">
        <is>
          <t>Sí</t>
        </is>
      </c>
      <c r="D35" s="57" t="inlineStr"/>
    </row>
    <row r="36">
      <c r="A36" s="56" t="inlineStr">
        <is>
          <t>7. Hidrología, acceso y logística (F-DT-05)</t>
        </is>
      </c>
      <c r="B36" s="56" t="inlineStr">
        <is>
          <t>Fuentes de agua inventariadas</t>
        </is>
      </c>
      <c r="C36" s="56" t="inlineStr">
        <is>
          <t>1</t>
        </is>
      </c>
      <c r="D36" s="56" t="inlineStr"/>
    </row>
    <row r="37">
      <c r="A37" s="57" t="inlineStr">
        <is>
          <t>7. Hidrología, acceso y logística (F-DT-05)</t>
        </is>
      </c>
      <c r="B37" s="57" t="inlineStr">
        <is>
          <t>Vía principal de acceso</t>
        </is>
      </c>
      <c r="C37" s="57" t="inlineStr">
        <is>
          <t>Trocha carrozable de acceso al caserío El Guabo, derivada del eje vial Chulucanas – Frías</t>
        </is>
      </c>
      <c r="D37" s="57" t="inlineStr"/>
    </row>
    <row r="38">
      <c r="A38" s="56" t="inlineStr">
        <is>
          <t>7. Hidrología, acceso y logística (F-DT-05)</t>
        </is>
      </c>
      <c r="B38" s="56" t="inlineStr">
        <is>
          <t>Tipo de vía del tramo final</t>
        </is>
      </c>
      <c r="C38" s="56" t="inlineStr">
        <is>
          <t>Trocha carrozable</t>
        </is>
      </c>
      <c r="D38" s="56" t="inlineStr"/>
    </row>
    <row r="39">
      <c r="A39" s="57" t="inlineStr">
        <is>
          <t>7. Hidrología, acceso y logística (F-DT-05)</t>
        </is>
      </c>
      <c r="B39" s="57" t="inlineStr">
        <is>
          <t>Transitabilidad en época seca</t>
        </is>
      </c>
      <c r="C39" s="57" t="inlineStr">
        <is>
          <t>Medio</t>
        </is>
      </c>
      <c r="D39" s="57" t="inlineStr"/>
    </row>
    <row r="40">
      <c r="A40" s="56" t="inlineStr">
        <is>
          <t>7. Hidrología, acceso y logística (F-DT-05)</t>
        </is>
      </c>
      <c r="B40" s="56" t="inlineStr">
        <is>
          <t>Transitabilidad en época lluviosa</t>
        </is>
      </c>
      <c r="C40" s="56" t="inlineStr">
        <is>
          <t>Bajo</t>
        </is>
      </c>
      <c r="D40" s="56" t="inlineStr"/>
    </row>
    <row r="41">
      <c r="A41" s="57" t="inlineStr">
        <is>
          <t>7. Hidrología, acceso y logística (F-DT-05)</t>
        </is>
      </c>
      <c r="B41" s="57" t="inlineStr">
        <is>
          <t>Requiere coordinación con ronda / comunidad</t>
        </is>
      </c>
      <c r="C41" s="57" t="inlineStr">
        <is>
          <t>Sí</t>
        </is>
      </c>
      <c r="D41" s="57" t="inlineStr"/>
    </row>
    <row r="43">
      <c r="A43" s="54" t="inlineStr">
        <is>
          <t>C. PROCEDENCIA DE LOS HECHOS DECLARADOS</t>
        </is>
      </c>
    </row>
    <row r="44">
      <c r="A44" s="55" t="inlineStr">
        <is>
          <t>Fuente</t>
        </is>
      </c>
      <c r="B44" s="55" t="inlineStr">
        <is>
          <t>Hechos</t>
        </is>
      </c>
      <c r="C44" s="55" t="inlineStr">
        <is>
          <t>Alcance de la fuente</t>
        </is>
      </c>
    </row>
    <row r="45">
      <c r="A45" s="56" t="inlineStr">
        <is>
          <t>Dato de campo</t>
        </is>
      </c>
      <c r="B45" s="56" t="n">
        <v>50</v>
      </c>
      <c r="C45" s="56" t="inlineStr">
        <is>
          <t>Verificación en campo. Fichas F-DT-01 a F-DT-05 de la Plantilla DT Campo Check Validada V5, suscritas por el evaluador.</t>
        </is>
      </c>
    </row>
    <row r="46">
      <c r="A46" s="57" t="inlineStr">
        <is>
          <t>Gabinete (GIS / teledetección)</t>
        </is>
      </c>
      <c r="B46" s="57" t="n">
        <v>28</v>
      </c>
      <c r="C46" s="57" t="inlineStr">
        <is>
          <t>Gabinete. Estadística zonal sobre el MDE y compuestos Sentinel-2 (NDVI mediana 2025, MSAVI 2024 por clase DN).</t>
        </is>
      </c>
    </row>
    <row r="47">
      <c r="A47" s="56" t="inlineStr">
        <is>
          <t>Fuente oficial</t>
        </is>
      </c>
      <c r="B47" s="56" t="n">
        <v>14</v>
      </c>
      <c r="C47" s="56" t="inlineStr">
        <is>
          <t>Fuente oficial. Catálogo maestro Bloques V5/V6, división política INEI y codificación de microcuencas de la ANA.</t>
        </is>
      </c>
    </row>
    <row r="49">
      <c r="A49" s="54" t="inlineStr">
        <is>
          <t>D. ESTADO DEL CRUCE ENTRE FUENTES</t>
        </is>
      </c>
    </row>
    <row r="50">
      <c r="A50" s="55" t="inlineStr">
        <is>
          <t>Estado</t>
        </is>
      </c>
      <c r="B50" s="55" t="inlineStr">
        <is>
          <t>Hechos</t>
        </is>
      </c>
      <c r="C50" s="55" t="inlineStr">
        <is>
          <t>Significado</t>
        </is>
      </c>
    </row>
    <row r="51">
      <c r="A51" s="56" t="inlineStr">
        <is>
          <t>CONFORME</t>
        </is>
      </c>
      <c r="B51" s="56" t="n">
        <v>86</v>
      </c>
      <c r="C51" s="56" t="inlineStr">
        <is>
          <t>Las dos fuentes declaran lo mismo, o solo la fuente que manda sobre el hecho lo declara.</t>
        </is>
      </c>
    </row>
    <row r="52">
      <c r="A52" s="57" t="inlineStr">
        <is>
          <t>COMPLEMENTADO</t>
        </is>
      </c>
      <c r="B52" s="57" t="n">
        <v>2</v>
      </c>
      <c r="C52" s="57" t="inlineStr">
        <is>
          <t>Solo una de las fuentes lo declara y se adopta ese valor.</t>
        </is>
      </c>
    </row>
    <row r="53">
      <c r="A53" s="56" t="inlineStr">
        <is>
          <t>ACTUALIZADO</t>
        </is>
      </c>
      <c r="B53" s="56" t="n">
        <v>4</v>
      </c>
      <c r="C53" s="56" t="inlineStr">
        <is>
          <t>La verificación de campo vigente corrige lo que traía el libro de resumen.</t>
        </is>
      </c>
    </row>
    <row r="54">
      <c r="A54" s="57" t="inlineStr">
        <is>
          <t>DISCREPANTE</t>
        </is>
      </c>
      <c r="B54" s="57" t="n">
        <v>0</v>
      </c>
      <c r="C54" s="57" t="inlineStr">
        <is>
          <t>Las fuentes se contradicen; prevalece la que manda sobre el hecho y la otra queda declarada.</t>
        </is>
      </c>
    </row>
    <row r="55">
      <c r="A55" s="56" t="inlineStr">
        <is>
          <t>PENDIENTE</t>
        </is>
      </c>
      <c r="B55" s="56" t="n">
        <v>22</v>
      </c>
      <c r="C55"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M17B5</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S-01</t>
        </is>
      </c>
      <c r="B9" s="56" t="inlineStr">
        <is>
          <t>Surco (&lt;30 cm)</t>
        </is>
      </c>
      <c r="C9" s="61" t="n">
        <v>608558</v>
      </c>
      <c r="D9" s="61" t="n">
        <v>9445670</v>
      </c>
      <c r="E9" s="61" t="n">
        <v>17</v>
      </c>
      <c r="F9" s="56" t="n"/>
      <c r="G9" s="56" t="n"/>
      <c r="H9" s="56" t="inlineStr">
        <is>
          <t>Activa</t>
        </is>
      </c>
      <c r="I9" s="56" t="inlineStr">
        <is>
          <t>Caminos / huellas de ganado</t>
        </is>
      </c>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Faique</t>
        </is>
      </c>
      <c r="C13" s="56" t="inlineStr">
        <is>
          <t>Vachellia macracantha</t>
        </is>
      </c>
      <c r="D13" s="56" t="inlineStr">
        <is>
          <t>Fabaceae</t>
        </is>
      </c>
      <c r="E13" s="56" t="inlineStr">
        <is>
          <t>Arbóreo bajo (4-8 m)</t>
        </is>
      </c>
      <c r="F13" s="56" t="inlineStr">
        <is>
          <t>Nativa</t>
        </is>
      </c>
      <c r="G13" s="56" t="inlineStr">
        <is>
          <t>Frecuente (5-20%)</t>
        </is>
      </c>
      <c r="H13" s="56" t="n"/>
      <c r="I13" s="56" t="n"/>
    </row>
    <row r="14">
      <c r="A14" s="57" t="inlineStr">
        <is>
          <t>2</t>
        </is>
      </c>
      <c r="B14" s="57" t="inlineStr">
        <is>
          <t>Ceibo</t>
        </is>
      </c>
      <c r="C14" s="57" t="inlineStr">
        <is>
          <t>Ceiba trischistandra</t>
        </is>
      </c>
      <c r="D14" s="57" t="inlineStr">
        <is>
          <t>Malvaceae</t>
        </is>
      </c>
      <c r="E14" s="57" t="inlineStr">
        <is>
          <t>Arbóreo superior (&gt;15 m)</t>
        </is>
      </c>
      <c r="F14" s="57" t="inlineStr">
        <is>
          <t>Nativa</t>
        </is>
      </c>
      <c r="G14" s="57" t="inlineStr">
        <is>
          <t>Ocasional (1-5%)</t>
        </is>
      </c>
      <c r="H14" s="57" t="n"/>
      <c r="I14" s="57" t="n"/>
    </row>
    <row r="15">
      <c r="A15" s="56" t="inlineStr">
        <is>
          <t>3</t>
        </is>
      </c>
      <c r="B15" s="56" t="inlineStr">
        <is>
          <t>Pasallo</t>
        </is>
      </c>
      <c r="C15" s="56" t="inlineStr">
        <is>
          <t>Eriotheca ruizii</t>
        </is>
      </c>
      <c r="D15" s="56" t="inlineStr">
        <is>
          <t>Malvaceae</t>
        </is>
      </c>
      <c r="E15" s="56" t="inlineStr">
        <is>
          <t>Arbóreo medio (8-15 m)</t>
        </is>
      </c>
      <c r="F15" s="56" t="inlineStr">
        <is>
          <t>Nativa</t>
        </is>
      </c>
      <c r="G15" s="56" t="inlineStr">
        <is>
          <t>Frecuente (5-20%)</t>
        </is>
      </c>
      <c r="H15" s="56" t="n"/>
      <c r="I15" s="56" t="n"/>
    </row>
    <row r="16">
      <c r="A16" s="57" t="inlineStr">
        <is>
          <t>4</t>
        </is>
      </c>
      <c r="B16" s="57" t="inlineStr">
        <is>
          <t>Hualtaco</t>
        </is>
      </c>
      <c r="C16" s="57" t="inlineStr">
        <is>
          <t>Loxopterygium huasango</t>
        </is>
      </c>
      <c r="D16" s="57" t="inlineStr">
        <is>
          <t>Anacardiaceae</t>
        </is>
      </c>
      <c r="E16" s="57" t="inlineStr">
        <is>
          <t>Arbóreo medio (8-15 m)</t>
        </is>
      </c>
      <c r="F16" s="57" t="inlineStr">
        <is>
          <t>Nativa</t>
        </is>
      </c>
      <c r="G16" s="57" t="inlineStr">
        <is>
          <t>Frecuente (5-20%)</t>
        </is>
      </c>
      <c r="H16" s="57" t="n"/>
      <c r="I16" s="57" t="n"/>
    </row>
    <row r="17">
      <c r="A17" s="56" t="inlineStr">
        <is>
          <t>5</t>
        </is>
      </c>
      <c r="B17" s="56" t="inlineStr">
        <is>
          <t>Palo santo</t>
        </is>
      </c>
      <c r="C17" s="56" t="inlineStr">
        <is>
          <t>Bursera graveolens</t>
        </is>
      </c>
      <c r="D17" s="56" t="inlineStr">
        <is>
          <t>Burseraceae</t>
        </is>
      </c>
      <c r="E17" s="56" t="inlineStr">
        <is>
          <t>Arbóreo bajo (4-8 m)</t>
        </is>
      </c>
      <c r="F17" s="56" t="inlineStr">
        <is>
          <t>Nativa</t>
        </is>
      </c>
      <c r="G17" s="56" t="inlineStr">
        <is>
          <t>Frecuente (5-20%)</t>
        </is>
      </c>
      <c r="H17" s="56" t="n"/>
      <c r="I17" s="56" t="n"/>
    </row>
    <row r="18">
      <c r="A18" s="57" t="inlineStr">
        <is>
          <t>6</t>
        </is>
      </c>
      <c r="B18" s="57" t="inlineStr">
        <is>
          <t>Sapote</t>
        </is>
      </c>
      <c r="C18" s="57" t="inlineStr">
        <is>
          <t>Colicodendron scabridum</t>
        </is>
      </c>
      <c r="D18" s="57" t="inlineStr">
        <is>
          <t>Capparaceae</t>
        </is>
      </c>
      <c r="E18" s="57" t="inlineStr">
        <is>
          <t>Arbóreo bajo (4-8 m)</t>
        </is>
      </c>
      <c r="F18" s="57" t="inlineStr">
        <is>
          <t>Nativa</t>
        </is>
      </c>
      <c r="G18" s="57" t="inlineStr">
        <is>
          <t>Ocasional (1-5%)</t>
        </is>
      </c>
      <c r="H18" s="57" t="n"/>
      <c r="I18" s="57" t="n"/>
    </row>
    <row r="19">
      <c r="A19" s="56" t="inlineStr">
        <is>
          <t>7</t>
        </is>
      </c>
      <c r="B19" s="56" t="inlineStr">
        <is>
          <t>Algarrobo</t>
        </is>
      </c>
      <c r="C19" s="56" t="inlineStr">
        <is>
          <t>Neltuma pallida</t>
        </is>
      </c>
      <c r="D19" s="56" t="inlineStr">
        <is>
          <t>Fabaceae</t>
        </is>
      </c>
      <c r="E19" s="56" t="inlineStr">
        <is>
          <t>Arbóreo medio (8-15 m)</t>
        </is>
      </c>
      <c r="F19" s="56" t="inlineStr">
        <is>
          <t>Nativa</t>
        </is>
      </c>
      <c r="G19" s="56" t="inlineStr">
        <is>
          <t>Ocasional (1-5%)</t>
        </is>
      </c>
      <c r="H19" s="56" t="n"/>
      <c r="I19" s="56" t="n"/>
    </row>
    <row r="20">
      <c r="A20" s="57" t="inlineStr">
        <is>
          <t>8</t>
        </is>
      </c>
      <c r="B20" s="57" t="inlineStr">
        <is>
          <t>Charán</t>
        </is>
      </c>
      <c r="C20" s="57" t="inlineStr">
        <is>
          <t>Caesalpinia paipai</t>
        </is>
      </c>
      <c r="D20" s="57" t="inlineStr">
        <is>
          <t>Fabaceae</t>
        </is>
      </c>
      <c r="E20" s="57" t="inlineStr">
        <is>
          <t>Arbóreo bajo (4-8 m)</t>
        </is>
      </c>
      <c r="F20" s="57" t="inlineStr">
        <is>
          <t>Endémica</t>
        </is>
      </c>
      <c r="G20" s="57" t="inlineStr">
        <is>
          <t>Frecuente (5-20%)</t>
        </is>
      </c>
      <c r="H20" s="57" t="n"/>
      <c r="I20" s="57" t="n"/>
    </row>
    <row r="21">
      <c r="A21" s="56" t="inlineStr">
        <is>
          <t>9</t>
        </is>
      </c>
      <c r="B21" s="56" t="inlineStr">
        <is>
          <t>Higuerón</t>
        </is>
      </c>
      <c r="C21" s="56" t="inlineStr">
        <is>
          <t>Ficus sp.</t>
        </is>
      </c>
      <c r="D21" s="56" t="inlineStr">
        <is>
          <t>Moraceae</t>
        </is>
      </c>
      <c r="E21" s="56" t="inlineStr">
        <is>
          <t>Arbóreo superior (&gt;15 m)</t>
        </is>
      </c>
      <c r="F21" s="56" t="inlineStr">
        <is>
          <t>Nativa</t>
        </is>
      </c>
      <c r="G21" s="56" t="inlineStr">
        <is>
          <t>Rara (&lt;1%)</t>
        </is>
      </c>
      <c r="H21" s="56" t="n"/>
      <c r="I21" s="56" t="n"/>
    </row>
    <row r="22">
      <c r="A22" s="57" t="inlineStr">
        <is>
          <t>10</t>
        </is>
      </c>
      <c r="B22" s="57" t="inlineStr">
        <is>
          <t>Pajuro / poroto</t>
        </is>
      </c>
      <c r="C22" s="57" t="inlineStr">
        <is>
          <t>Erythrina edulis</t>
        </is>
      </c>
      <c r="D22" s="57" t="inlineStr">
        <is>
          <t>Fabaceae</t>
        </is>
      </c>
      <c r="E22" s="57" t="inlineStr">
        <is>
          <t>Arbóreo medio (8-15 m)</t>
        </is>
      </c>
      <c r="F22" s="57" t="inlineStr">
        <is>
          <t>Nativa</t>
        </is>
      </c>
      <c r="G22" s="57" t="inlineStr">
        <is>
          <t>Rara (&lt;1%)</t>
        </is>
      </c>
      <c r="H22" s="57" t="n"/>
      <c r="I22" s="57" t="n"/>
    </row>
    <row r="23">
      <c r="A23" s="56" t="inlineStr">
        <is>
          <t>11</t>
        </is>
      </c>
      <c r="B23" s="56" t="inlineStr">
        <is>
          <t>Cactácea columnar</t>
        </is>
      </c>
      <c r="C23" s="56" t="inlineStr">
        <is>
          <t>Armatocereus cartwrightianus</t>
        </is>
      </c>
      <c r="D23" s="56" t="inlineStr">
        <is>
          <t>Cactaceae</t>
        </is>
      </c>
      <c r="E23" s="56" t="inlineStr">
        <is>
          <t>Arbustivo alto (1.5-4 m)</t>
        </is>
      </c>
      <c r="F23" s="56" t="inlineStr">
        <is>
          <t>Nativa</t>
        </is>
      </c>
      <c r="G23" s="56" t="inlineStr">
        <is>
          <t>Ocasional (1-5%)</t>
        </is>
      </c>
      <c r="H23" s="56" t="n"/>
      <c r="I23" s="56" t="n"/>
    </row>
    <row r="24">
      <c r="A24" s="57" t="inlineStr">
        <is>
          <t>12</t>
        </is>
      </c>
      <c r="B24" s="57" t="inlineStr">
        <is>
          <t>Borrachera</t>
        </is>
      </c>
      <c r="C24" s="57" t="inlineStr">
        <is>
          <t>Ipomoea carnea</t>
        </is>
      </c>
      <c r="D24" s="57" t="inlineStr">
        <is>
          <t>Convolvulaceae</t>
        </is>
      </c>
      <c r="E24" s="57" t="inlineStr">
        <is>
          <t>Arbustivo alto (1.5-4 m)</t>
        </is>
      </c>
      <c r="F24" s="57" t="inlineStr">
        <is>
          <t>Nativa</t>
        </is>
      </c>
      <c r="G24" s="57" t="inlineStr">
        <is>
          <t>Frecuente (5-20%)</t>
        </is>
      </c>
      <c r="H24" s="57" t="n"/>
      <c r="I24" s="57" t="n"/>
    </row>
    <row r="25">
      <c r="A25" s="56" t="inlineStr">
        <is>
          <t>13</t>
        </is>
      </c>
      <c r="B25" s="56" t="inlineStr">
        <is>
          <t>Penca / agave</t>
        </is>
      </c>
      <c r="C25" s="56" t="inlineStr">
        <is>
          <t>Agave americana</t>
        </is>
      </c>
      <c r="D25" s="56" t="inlineStr">
        <is>
          <t>Asparagaceae</t>
        </is>
      </c>
      <c r="E25" s="56" t="inlineStr">
        <is>
          <t>Arbustivo alto (1.5-4 m)</t>
        </is>
      </c>
      <c r="F25" s="56" t="inlineStr">
        <is>
          <t>Introducida</t>
        </is>
      </c>
      <c r="G25" s="56" t="inlineStr">
        <is>
          <t>Ocasional (1-5%)</t>
        </is>
      </c>
      <c r="H25" s="56" t="n"/>
      <c r="I25" s="56" t="n"/>
    </row>
    <row r="26">
      <c r="A26" s="57" t="inlineStr">
        <is>
          <t>14</t>
        </is>
      </c>
      <c r="B26" s="57" t="inlineStr">
        <is>
          <t>Papelillo</t>
        </is>
      </c>
      <c r="C26" s="57" t="inlineStr">
        <is>
          <t>Bougainvillea sp.</t>
        </is>
      </c>
      <c r="D26" s="57" t="inlineStr">
        <is>
          <t>Nyctaginaceae</t>
        </is>
      </c>
      <c r="E26" s="57" t="inlineStr">
        <is>
          <t>Arbustivo alto (1.5-4 m)</t>
        </is>
      </c>
      <c r="F26" s="57" t="inlineStr">
        <is>
          <t>Nativa</t>
        </is>
      </c>
      <c r="G26" s="57" t="inlineStr">
        <is>
          <t>Ocasional (1-5%)</t>
        </is>
      </c>
      <c r="H26" s="57" t="n"/>
      <c r="I26" s="57" t="n"/>
    </row>
    <row r="27">
      <c r="A27" s="56" t="inlineStr">
        <is>
          <t>15</t>
        </is>
      </c>
      <c r="B27" s="56" t="inlineStr">
        <is>
          <t>Salvajina / achupalla</t>
        </is>
      </c>
      <c r="C27" s="56" t="inlineStr">
        <is>
          <t>Tillandsia sp.</t>
        </is>
      </c>
      <c r="D27" s="56" t="inlineStr">
        <is>
          <t>Bromeliaceae</t>
        </is>
      </c>
      <c r="E27" s="56" t="inlineStr">
        <is>
          <t>Epífito</t>
        </is>
      </c>
      <c r="F27" s="56" t="inlineStr">
        <is>
          <t>Nativa</t>
        </is>
      </c>
      <c r="G27" s="56" t="inlineStr">
        <is>
          <t>Frecuente (5-20%)</t>
        </is>
      </c>
      <c r="H27" s="56" t="n"/>
      <c r="I27" s="56" t="n"/>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Loxopterygium huasango (hualtaco)</t>
        </is>
      </c>
      <c r="C31" s="56" t="inlineStr">
        <is>
          <t>Amenazada (D.S. 043-2006-AG)</t>
        </is>
      </c>
      <c r="D31" s="56" t="inlineStr">
        <is>
          <t>CR — En Peligro Crítico</t>
        </is>
      </c>
      <c r="E31" s="56" t="n"/>
      <c r="F31" s="56" t="n"/>
      <c r="G31" s="56" t="n"/>
      <c r="H31" s="56" t="inlineStr">
        <is>
          <t>Especie categorizada CR. Su presencia activa el criterio de conservación/enriquecimiento sobre el de restauración activa.</t>
        </is>
      </c>
    </row>
    <row r="32">
      <c r="A32" s="57" t="inlineStr">
        <is>
          <t>2</t>
        </is>
      </c>
      <c r="B32" s="57" t="inlineStr">
        <is>
          <t>Bursera graveolens (palo santo)</t>
        </is>
      </c>
      <c r="C32" s="57" t="inlineStr">
        <is>
          <t>Amenazada (D.S. 043-2006-AG)</t>
        </is>
      </c>
      <c r="D32" s="57" t="inlineStr">
        <is>
          <t>CR — En Peligro Crítico</t>
        </is>
      </c>
      <c r="E32" s="57" t="n"/>
      <c r="F32" s="57" t="n"/>
      <c r="G32" s="57" t="n"/>
      <c r="H32" s="57" t="inlineStr">
        <is>
          <t>Especie categorizada CR. Extracción histórica de leña/resina; prohibida su tala.</t>
        </is>
      </c>
    </row>
    <row r="33">
      <c r="A33" s="56" t="inlineStr">
        <is>
          <t>3</t>
        </is>
      </c>
      <c r="B33" s="56" t="inlineStr">
        <is>
          <t>Colicodendron scabridum (sapote)</t>
        </is>
      </c>
      <c r="C33" s="56" t="inlineStr">
        <is>
          <t>Amenazada (D.S. 043-2006-AG)</t>
        </is>
      </c>
      <c r="D33" s="56" t="inlineStr">
        <is>
          <t>CR — En Peligro Crítico</t>
        </is>
      </c>
      <c r="E33" s="56" t="n"/>
      <c r="F33" s="56" t="n"/>
      <c r="G33" s="56" t="n"/>
      <c r="H33" s="56" t="inlineStr">
        <is>
          <t>Especie categorizada CR. Fuerte ramoneo caprino sobre regeneración; clave para la fauna.</t>
        </is>
      </c>
    </row>
    <row r="34">
      <c r="A34" s="57" t="inlineStr">
        <is>
          <t>4</t>
        </is>
      </c>
      <c r="B34" s="57" t="inlineStr">
        <is>
          <t>Neltuma pallida (algarrobo)</t>
        </is>
      </c>
      <c r="C34" s="57" t="inlineStr">
        <is>
          <t>Amenazada (D.S. 043-2006-AG)</t>
        </is>
      </c>
      <c r="D34" s="57" t="inlineStr">
        <is>
          <t>VU — Vulnerable</t>
        </is>
      </c>
      <c r="E34" s="57" t="n"/>
      <c r="F34" s="57" t="n"/>
      <c r="G34" s="57" t="n"/>
      <c r="H34" s="57" t="inlineStr">
        <is>
          <t>Categorizada VU. Presencia puntual en las cotas inferiores del bloque.</t>
        </is>
      </c>
    </row>
    <row r="35">
      <c r="A35" s="56" t="inlineStr">
        <is>
          <t>5</t>
        </is>
      </c>
      <c r="B35" s="56" t="inlineStr">
        <is>
          <t>Vachellia macracantha (faique)</t>
        </is>
      </c>
      <c r="C35" s="56" t="inlineStr">
        <is>
          <t>Amenazada (D.S. 043-2006-AG)</t>
        </is>
      </c>
      <c r="D35" s="56" t="inlineStr">
        <is>
          <t>NT — Casi Amenazado</t>
        </is>
      </c>
      <c r="E35" s="56" t="n"/>
      <c r="F35" s="56" t="n"/>
      <c r="G35" s="56" t="n"/>
      <c r="H35" s="56" t="inlineStr">
        <is>
          <t>Categorizada NT. Especie estructurante del dosel bajo.</t>
        </is>
      </c>
    </row>
    <row r="36">
      <c r="A36" s="57" t="inlineStr">
        <is>
          <t>6</t>
        </is>
      </c>
      <c r="B36" s="57" t="inlineStr">
        <is>
          <t>Caesalpinia paipai (charán)</t>
        </is>
      </c>
      <c r="C36" s="57" t="inlineStr">
        <is>
          <t>Endémica del Perú</t>
        </is>
      </c>
      <c r="D36" s="57" t="inlineStr">
        <is>
          <t>No aplica</t>
        </is>
      </c>
      <c r="E36" s="57" t="n"/>
      <c r="F36" s="57" t="n"/>
      <c r="G36" s="57" t="n"/>
      <c r="H36" s="57" t="inlineStr">
        <is>
          <t>Elemento de distribución restringida al bosque seco del noroeste peruano.</t>
        </is>
      </c>
    </row>
    <row r="37">
      <c r="A37" s="56" t="inlineStr">
        <is>
          <t>7</t>
        </is>
      </c>
      <c r="B37" s="56" t="inlineStr">
        <is>
          <t>Ceiba trischistandra (ceibo)</t>
        </is>
      </c>
      <c r="C37" s="56" t="inlineStr">
        <is>
          <t>Indicadora de buen estado</t>
        </is>
      </c>
      <c r="D37" s="56" t="inlineStr">
        <is>
          <t>No aplica</t>
        </is>
      </c>
      <c r="E37" s="56" t="n"/>
      <c r="F37" s="56" t="n"/>
      <c r="G37" s="56" t="n"/>
      <c r="H37" s="56" t="inlineStr">
        <is>
          <t>Individuos adultos de gran porte indican continuidad del dosel y ausencia de tala selectiva reciente.</t>
        </is>
      </c>
    </row>
    <row r="38">
      <c r="A38" s="57" t="inlineStr">
        <is>
          <t>8</t>
        </is>
      </c>
      <c r="B38" s="57" t="inlineStr">
        <is>
          <t>Ipomoea carnea (borrachera)</t>
        </is>
      </c>
      <c r="C38" s="57" t="inlineStr">
        <is>
          <t>Indicadora de perturbación</t>
        </is>
      </c>
      <c r="D38" s="57" t="inlineStr">
        <is>
          <t>No aplica</t>
        </is>
      </c>
      <c r="E38" s="57" t="n"/>
      <c r="F38" s="57" t="n"/>
      <c r="G38" s="57" t="n"/>
      <c r="H38" s="57" t="inlineStr">
        <is>
          <t>Indicador fiable de presión de sobrepastoreo caprino: no es ramoneada y coloniza suelos degradados.</t>
        </is>
      </c>
    </row>
    <row r="39">
      <c r="A39" s="56" t="inlineStr">
        <is>
          <t>9</t>
        </is>
      </c>
      <c r="B39" s="56" t="inlineStr">
        <is>
          <t>Erythrina edulis (pajuro)</t>
        </is>
      </c>
      <c r="C39" s="56" t="inlineStr">
        <is>
          <t>Clave cultural</t>
        </is>
      </c>
      <c r="D39" s="56" t="inlineStr">
        <is>
          <t>No aplica</t>
        </is>
      </c>
      <c r="E39" s="56" t="n"/>
      <c r="F39" s="56" t="n"/>
      <c r="G39" s="56" t="n"/>
      <c r="H39" s="56" t="inlineStr">
        <is>
          <t>Especie de uso alimenticio local; relevante para la estrategia de gobernanza comunitaria.</t>
        </is>
      </c>
    </row>
    <row r="40">
      <c r="A40" s="57" t="inlineStr">
        <is>
          <t>10</t>
        </is>
      </c>
      <c r="B40" s="57" t="inlineStr">
        <is>
          <t>Tillandsia sp. (salvajina)</t>
        </is>
      </c>
      <c r="C40" s="57" t="inlineStr">
        <is>
          <t>Indicadora de buen estado</t>
        </is>
      </c>
      <c r="D40" s="57" t="inlineStr">
        <is>
          <t>No aplica</t>
        </is>
      </c>
      <c r="E40" s="57" t="n"/>
      <c r="F40" s="57" t="n"/>
      <c r="G40" s="57" t="n"/>
      <c r="H40" s="57" t="inlineStr">
        <is>
          <t>Epífita indicadora de aporte de humedad atmosférica por nubosidad de advección.</t>
        </is>
      </c>
    </row>
    <row r="42">
      <c r="A42" s="54" t="inlineStr">
        <is>
          <t>F-DT-04 · MATRIZ DE CAUSAS DE DEGRADACIÓN</t>
        </is>
      </c>
    </row>
    <row r="43">
      <c r="A43" s="55" t="inlineStr">
        <is>
          <t>N.o</t>
        </is>
      </c>
      <c r="B43" s="55" t="inlineStr">
        <is>
          <t>Causa</t>
        </is>
      </c>
      <c r="C43" s="55" t="inlineStr">
        <is>
          <t>Presencia</t>
        </is>
      </c>
      <c r="D43" s="55" t="inlineStr">
        <is>
          <t>Intensidad</t>
        </is>
      </c>
      <c r="E43" s="55" t="inlineStr">
        <is>
          <t>Extensión</t>
        </is>
      </c>
      <c r="F43" s="55" t="inlineStr">
        <is>
          <t>Antigüedad</t>
        </is>
      </c>
      <c r="G43" s="55" t="inlineStr">
        <is>
          <t>Evidencia</t>
        </is>
      </c>
    </row>
    <row r="44">
      <c r="A44" s="56" t="inlineStr">
        <is>
          <t>1</t>
        </is>
      </c>
      <c r="B44" s="56" t="inlineStr">
        <is>
          <t>Sobrepastoreo (caprino/vacuno)</t>
        </is>
      </c>
      <c r="C44" s="56" t="inlineStr">
        <is>
          <t>Sí</t>
        </is>
      </c>
      <c r="D44" s="56" t="inlineStr">
        <is>
          <t>Fuerte</t>
        </is>
      </c>
      <c r="E44" s="56" t="inlineStr"/>
      <c r="F44" s="56" t="inlineStr"/>
      <c r="G44" s="56" t="inlineStr">
        <is>
          <t>Hato caprino en pastoreo libre junto a las viviendas del caserío El Guabo; superficie compactada y desprovista de vegetación con deyecciones abundantes; presencia de Ipomoea carnea («borrachera»), indicador fiable de presión caprina sostenida.</t>
        </is>
      </c>
    </row>
    <row r="45">
      <c r="A45" s="57" t="inlineStr">
        <is>
          <t>2</t>
        </is>
      </c>
      <c r="B45" s="57" t="inlineStr">
        <is>
          <t>Tala para leña</t>
        </is>
      </c>
      <c r="C45" s="57" t="inlineStr"/>
      <c r="D45" s="57" t="inlineStr"/>
      <c r="E45" s="57" t="inlineStr"/>
      <c r="F45" s="57" t="inlineStr"/>
      <c r="G45" s="57" t="inlineStr"/>
    </row>
    <row r="46">
      <c r="A46" s="56" t="inlineStr">
        <is>
          <t>3</t>
        </is>
      </c>
      <c r="B46" s="56" t="inlineStr">
        <is>
          <t>Tala para carbón</t>
        </is>
      </c>
      <c r="C46" s="56" t="inlineStr"/>
      <c r="D46" s="56" t="inlineStr"/>
      <c r="E46" s="56" t="inlineStr"/>
      <c r="F46" s="56" t="inlineStr"/>
      <c r="G46" s="56" t="inlineStr"/>
    </row>
    <row r="47">
      <c r="A47" s="57" t="inlineStr">
        <is>
          <t>4</t>
        </is>
      </c>
      <c r="B47" s="57" t="inlineStr">
        <is>
          <t>Tala para madera</t>
        </is>
      </c>
      <c r="C47" s="57" t="inlineStr"/>
      <c r="D47" s="57" t="inlineStr"/>
      <c r="E47" s="57" t="inlineStr"/>
      <c r="F47" s="57" t="inlineStr"/>
      <c r="G47" s="57" t="inlineStr"/>
    </row>
    <row r="48">
      <c r="A48" s="56" t="inlineStr">
        <is>
          <t>5</t>
        </is>
      </c>
      <c r="B48" s="56" t="inlineStr">
        <is>
          <t>Quema (renovación de pastos)</t>
        </is>
      </c>
      <c r="C48" s="56" t="inlineStr"/>
      <c r="D48" s="56" t="inlineStr"/>
      <c r="E48" s="56" t="inlineStr"/>
      <c r="F48" s="56" t="inlineStr"/>
      <c r="G48" s="56" t="inlineStr"/>
    </row>
    <row r="49">
      <c r="A49" s="57" t="inlineStr">
        <is>
          <t>6</t>
        </is>
      </c>
      <c r="B49" s="57" t="inlineStr">
        <is>
          <t>Quema accidental / Incendio</t>
        </is>
      </c>
      <c r="C49" s="57" t="inlineStr"/>
      <c r="D49" s="57" t="inlineStr"/>
      <c r="E49" s="57" t="inlineStr"/>
      <c r="F49" s="57" t="inlineStr"/>
      <c r="G49" s="57" t="inlineStr"/>
    </row>
    <row r="50">
      <c r="A50" s="56" t="inlineStr">
        <is>
          <t>7</t>
        </is>
      </c>
      <c r="B50" s="56" t="inlineStr">
        <is>
          <t>Cambio de uso a agricultura</t>
        </is>
      </c>
      <c r="C50" s="56" t="inlineStr">
        <is>
          <t>Sí</t>
        </is>
      </c>
      <c r="D50" s="56" t="inlineStr">
        <is>
          <t>Ligera</t>
        </is>
      </c>
      <c r="E50" s="56" t="inlineStr"/>
      <c r="F50" s="56" t="inlineStr"/>
      <c r="G50" s="56" t="inlineStr">
        <is>
          <t>Chacras dispersas y frutales (paltos jóvenes) en el entorno inmediato del caserío, sobre el borde occidental del polígono y en la escotadura que separa ambos lóbulos.</t>
        </is>
      </c>
    </row>
    <row r="51">
      <c r="A51" s="57" t="inlineStr">
        <is>
          <t>8</t>
        </is>
      </c>
      <c r="B51" s="57" t="inlineStr">
        <is>
          <t>Cambio de uso a pastoreo</t>
        </is>
      </c>
      <c r="C51" s="57" t="inlineStr">
        <is>
          <t>Sí</t>
        </is>
      </c>
      <c r="D51" s="57" t="inlineStr">
        <is>
          <t>Moderada</t>
        </is>
      </c>
      <c r="E51" s="57" t="inlineStr"/>
      <c r="F51" s="57" t="inlineStr"/>
      <c r="G51" s="57" t="inlineStr">
        <is>
          <t>Ramoneo bajo dosel y apertura de claros para tránsito y descanso del ganado en la franja occidental.</t>
        </is>
      </c>
    </row>
    <row r="52">
      <c r="A52" s="56" t="inlineStr">
        <is>
          <t>9</t>
        </is>
      </c>
      <c r="B52" s="56" t="inlineStr">
        <is>
          <t>Expansión urbana / vial</t>
        </is>
      </c>
      <c r="C52" s="56" t="inlineStr">
        <is>
          <t>Sí</t>
        </is>
      </c>
      <c r="D52" s="56" t="inlineStr">
        <is>
          <t>Ligera</t>
        </is>
      </c>
      <c r="E52" s="56" t="inlineStr"/>
      <c r="F52" s="56" t="inlineStr"/>
      <c r="G52" s="56" t="inlineStr">
        <is>
          <t>Caserío El Guabo enclavado en la escotadura entre lóbulos, con vivienda de material noble, electrificación mediante panel solar y trocha de acceso; el eje vial vecinal bordea el límite sur del bloque.</t>
        </is>
      </c>
    </row>
    <row r="53">
      <c r="A53" s="57" t="inlineStr">
        <is>
          <t>10</t>
        </is>
      </c>
      <c r="B53" s="57" t="inlineStr">
        <is>
          <t>Minería informal</t>
        </is>
      </c>
      <c r="C53" s="57" t="inlineStr"/>
      <c r="D53" s="57" t="inlineStr"/>
      <c r="E53" s="57" t="inlineStr"/>
      <c r="F53" s="57" t="inlineStr"/>
      <c r="G53" s="57" t="inlineStr"/>
    </row>
    <row r="54">
      <c r="A54" s="56" t="inlineStr">
        <is>
          <t>11</t>
        </is>
      </c>
      <c r="B54" s="56" t="inlineStr">
        <is>
          <t>Extracción de áridos (cauces)</t>
        </is>
      </c>
      <c r="C54" s="56" t="inlineStr"/>
      <c r="D54" s="56" t="inlineStr"/>
      <c r="E54" s="56" t="inlineStr"/>
      <c r="F54" s="56" t="inlineStr"/>
      <c r="G54" s="56" t="inlineStr"/>
    </row>
    <row r="55">
      <c r="A55" s="57" t="inlineStr">
        <is>
          <t>12</t>
        </is>
      </c>
      <c r="B55" s="57" t="inlineStr">
        <is>
          <t>Especies invasoras</t>
        </is>
      </c>
      <c r="C55" s="57" t="inlineStr"/>
      <c r="D55" s="57" t="inlineStr"/>
      <c r="E55" s="57" t="inlineStr"/>
      <c r="F55" s="57" t="inlineStr"/>
      <c r="G55" s="57" t="inlineStr"/>
    </row>
    <row r="56">
      <c r="A56" s="56" t="inlineStr">
        <is>
          <t>13</t>
        </is>
      </c>
      <c r="B56" s="56" t="inlineStr">
        <is>
          <t>Erosión natural severa</t>
        </is>
      </c>
      <c r="C56" s="56" t="inlineStr"/>
      <c r="D56" s="56" t="inlineStr"/>
      <c r="E56" s="56" t="inlineStr"/>
      <c r="F56" s="56" t="inlineStr"/>
      <c r="G56" s="56" t="inlineStr"/>
    </row>
    <row r="57">
      <c r="A57" s="57" t="inlineStr">
        <is>
          <t>14</t>
        </is>
      </c>
      <c r="B57" s="57" t="inlineStr">
        <is>
          <t>Sequía prolongada / CC</t>
        </is>
      </c>
      <c r="C57" s="57" t="inlineStr"/>
      <c r="D57" s="57" t="inlineStr"/>
      <c r="E57" s="57" t="inlineStr"/>
      <c r="F57" s="57" t="inlineStr"/>
      <c r="G57" s="57" t="inlineStr"/>
    </row>
    <row r="58">
      <c r="A58" s="56" t="inlineStr">
        <is>
          <t>15</t>
        </is>
      </c>
      <c r="B58" s="56" t="inlineStr">
        <is>
          <t>Plagas o enfermedades forestales</t>
        </is>
      </c>
      <c r="C58" s="56" t="inlineStr"/>
      <c r="D58" s="56" t="inlineStr"/>
      <c r="E58" s="56" t="inlineStr"/>
      <c r="F58" s="56" t="inlineStr"/>
      <c r="G58" s="56" t="inlineStr"/>
    </row>
    <row r="59">
      <c r="A59" s="57" t="inlineStr">
        <is>
          <t>16</t>
        </is>
      </c>
      <c r="B59" s="57" t="inlineStr">
        <is>
          <t>Otro: erosión inducida por trochas y huellas de ganado</t>
        </is>
      </c>
      <c r="C59" s="57" t="inlineStr">
        <is>
          <t>Sí</t>
        </is>
      </c>
      <c r="D59" s="57" t="inlineStr">
        <is>
          <t>Moderada</t>
        </is>
      </c>
      <c r="E59" s="57" t="inlineStr"/>
      <c r="F59" s="57" t="inlineStr"/>
      <c r="G59" s="57" t="inlineStr">
        <is>
          <t>Huellas de ganado y trochas peatonales convertidas en vías de escorrentía concentrada, con remoción del horizonte superficial y descalce de bolones graníticos (grupo de surcos S-01, F-DT-02).</t>
        </is>
      </c>
    </row>
    <row r="61">
      <c r="A61" s="54" t="inlineStr">
        <is>
          <t>F-DT-04 · INDICADORES CUANTITATIVOS</t>
        </is>
      </c>
    </row>
    <row r="62">
      <c r="A62" s="55" t="inlineStr">
        <is>
          <t>N.o</t>
        </is>
      </c>
      <c r="B62" s="55" t="inlineStr">
        <is>
          <t>Indicador</t>
        </is>
      </c>
      <c r="C62" s="55" t="inlineStr">
        <is>
          <t>Unidad</t>
        </is>
      </c>
      <c r="D62" s="55" t="inlineStr">
        <is>
          <t>Valor</t>
        </is>
      </c>
      <c r="E62" s="55" t="inlineStr">
        <is>
          <t>Fuente</t>
        </is>
      </c>
      <c r="F62" s="55" t="inlineStr">
        <is>
          <t>Umbral</t>
        </is>
      </c>
      <c r="G62" s="55" t="inlineStr">
        <is>
          <t>Nivel</t>
        </is>
      </c>
    </row>
    <row r="63">
      <c r="A63" s="56" t="inlineStr">
        <is>
          <t>1</t>
        </is>
      </c>
      <c r="B63" s="56" t="inlineStr">
        <is>
          <t>Cobertura vegetal total</t>
        </is>
      </c>
      <c r="C63" s="56" t="inlineStr">
        <is>
          <t>%</t>
        </is>
      </c>
      <c r="D63" s="56" t="inlineStr">
        <is>
          <t>75</t>
        </is>
      </c>
      <c r="E63" s="56" t="inlineStr">
        <is>
          <t>NDVI mediana 2025 y MSAVI 2024 (gabinete)</t>
        </is>
      </c>
      <c r="F63" s="56" t="inlineStr">
        <is>
          <t>&gt;60% bueno; 30-60% medio; &lt;30% malo</t>
        </is>
      </c>
      <c r="G63" s="56" t="inlineStr">
        <is>
          <t>Bajo</t>
        </is>
      </c>
    </row>
    <row r="64">
      <c r="A64" s="57" t="inlineStr">
        <is>
          <t>2</t>
        </is>
      </c>
      <c r="B64" s="57" t="inlineStr">
        <is>
          <t>Porcentaje de suelo desnudo</t>
        </is>
      </c>
      <c r="C64" s="57" t="inlineStr">
        <is>
          <t>%</t>
        </is>
      </c>
      <c r="D64" s="57" t="inlineStr">
        <is>
          <t>2</t>
        </is>
      </c>
      <c r="E64" s="57" t="inlineStr">
        <is>
          <t>MSAVI 2024 — clases &lt;0.3813 (gabinete)</t>
        </is>
      </c>
      <c r="F64" s="57" t="inlineStr">
        <is>
          <t>&lt;10% bueno; 10-30% medio; &gt;30% malo</t>
        </is>
      </c>
      <c r="G64" s="57" t="inlineStr">
        <is>
          <t>Bajo</t>
        </is>
      </c>
    </row>
    <row r="65">
      <c r="A65" s="56" t="inlineStr">
        <is>
          <t>3</t>
        </is>
      </c>
      <c r="B65" s="56" t="inlineStr">
        <is>
          <t>Densidad de cárcavas</t>
        </is>
      </c>
      <c r="C65" s="56" t="inlineStr">
        <is>
          <t>N°/ha</t>
        </is>
      </c>
      <c r="D65" s="56" t="inlineStr"/>
      <c r="E65" s="56" t="inlineStr"/>
      <c r="F65" s="56" t="inlineStr">
        <is>
          <t>0 nulo; 1-3 medio; &gt;3 alto</t>
        </is>
      </c>
      <c r="G65" s="56" t="inlineStr"/>
    </row>
    <row r="66">
      <c r="A66" s="57" t="inlineStr">
        <is>
          <t>4</t>
        </is>
      </c>
      <c r="B66" s="57" t="inlineStr">
        <is>
          <t>Presencia de especies invasoras</t>
        </is>
      </c>
      <c r="C66" s="57" t="inlineStr">
        <is>
          <t>% área</t>
        </is>
      </c>
      <c r="D66" s="57" t="inlineStr"/>
      <c r="E66" s="57" t="inlineStr"/>
      <c r="F66" s="57" t="inlineStr">
        <is>
          <t>&lt;5% bueno; 5-20% medio; &gt;20% alto</t>
        </is>
      </c>
      <c r="G66" s="57" t="inlineStr"/>
    </row>
    <row r="67">
      <c r="A67" s="56" t="inlineStr">
        <is>
          <t>5</t>
        </is>
      </c>
      <c r="B67" s="56" t="inlineStr">
        <is>
          <t>Carga ganadera estimada</t>
        </is>
      </c>
      <c r="C67" s="56" t="inlineStr">
        <is>
          <t>UA/ha</t>
        </is>
      </c>
      <c r="D67" s="56" t="inlineStr"/>
      <c r="E67" s="56" t="inlineStr"/>
      <c r="F67" s="56" t="inlineStr">
        <is>
          <t>Según tipo de ecosistema</t>
        </is>
      </c>
      <c r="G67" s="56" t="inlineStr"/>
    </row>
    <row r="68">
      <c r="A68" s="57" t="inlineStr">
        <is>
          <t>6</t>
        </is>
      </c>
      <c r="B68" s="57" t="inlineStr">
        <is>
          <t>Frecuencia de quemas últimos 5 años</t>
        </is>
      </c>
      <c r="C68" s="57" t="inlineStr">
        <is>
          <t>N°</t>
        </is>
      </c>
      <c r="D68" s="57" t="inlineStr"/>
      <c r="E68" s="57" t="inlineStr"/>
      <c r="F68" s="57" t="inlineStr">
        <is>
          <t>0 nulo; 1-2 medio; &gt;2 alto</t>
        </is>
      </c>
      <c r="G68" s="57" t="inlineStr"/>
    </row>
    <row r="69">
      <c r="A69" s="56" t="inlineStr">
        <is>
          <t>7</t>
        </is>
      </c>
      <c r="B69" s="56" t="inlineStr">
        <is>
          <t>% área con pendiente &gt;50%</t>
        </is>
      </c>
      <c r="C69" s="56" t="inlineStr">
        <is>
          <t>%</t>
        </is>
      </c>
      <c r="D69" s="56" t="inlineStr"/>
      <c r="E69" s="56" t="inlineStr"/>
      <c r="F69" s="56" t="inlineStr">
        <is>
          <t>Factor de susceptibilidad</t>
        </is>
      </c>
      <c r="G69" s="56" t="inlineStr"/>
    </row>
    <row r="70">
      <c r="A70" s="57" t="inlineStr">
        <is>
          <t>8</t>
        </is>
      </c>
      <c r="B70" s="57" t="inlineStr">
        <is>
          <t>Distancia a vía vecinal más cercana</t>
        </is>
      </c>
      <c r="C70" s="57" t="inlineStr">
        <is>
          <t>m</t>
        </is>
      </c>
      <c r="D70" s="57" t="inlineStr">
        <is>
          <t>0</t>
        </is>
      </c>
      <c r="E70" s="57" t="inlineStr">
        <is>
          <t>Cartografía vial y ortoimagen 2026 (gabinete)</t>
        </is>
      </c>
      <c r="F70" s="57" t="inlineStr">
        <is>
          <t>A menor distancia → mayor presión</t>
        </is>
      </c>
      <c r="G70" s="57" t="inlineStr">
        <is>
          <t>Alto</t>
        </is>
      </c>
    </row>
    <row r="72">
      <c r="A72" s="54" t="inlineStr">
        <is>
          <t>F-DT-05 · FUENTES DE AGUA INVENTARIADAS</t>
        </is>
      </c>
    </row>
    <row r="73">
      <c r="A73" s="55" t="inlineStr">
        <is>
          <t>N.o</t>
        </is>
      </c>
      <c r="B73" s="55" t="inlineStr">
        <is>
          <t>Tipo de fuente</t>
        </is>
      </c>
      <c r="C73" s="55" t="inlineStr">
        <is>
          <t>UTM ESTE</t>
        </is>
      </c>
      <c r="D73" s="55" t="inlineStr">
        <is>
          <t>UTM NORTE</t>
        </is>
      </c>
      <c r="E73" s="55" t="inlineStr">
        <is>
          <t>Régimen</t>
        </is>
      </c>
      <c r="F73" s="55" t="inlineStr">
        <is>
          <t>Calidad</t>
        </is>
      </c>
      <c r="G73" s="55" t="inlineStr">
        <is>
          <t>Distancia (m)</t>
        </is>
      </c>
      <c r="H73" s="55" t="inlineStr">
        <is>
          <t>Uso / observación</t>
        </is>
      </c>
    </row>
    <row r="74">
      <c r="A74" s="56" t="inlineStr">
        <is>
          <t>1</t>
        </is>
      </c>
      <c r="B74" s="56" t="inlineStr">
        <is>
          <t>Otro</t>
        </is>
      </c>
      <c r="C74" s="61" t="n">
        <v>608513</v>
      </c>
      <c r="D74" s="61" t="n">
        <v>9445816</v>
      </c>
      <c r="E74" s="56" t="inlineStr"/>
      <c r="F74" s="56" t="inlineStr">
        <is>
          <t>No evaluable</t>
        </is>
      </c>
      <c r="G74" s="62" t="n">
        <v>0</v>
      </c>
      <c r="H74" s="56" t="inlineStr">
        <is>
          <t>Línea de conducción entubada (manguera de polietileno) que atraviesa el patio de las viviendas del caserío El Guabo, en el borde del polígono. Uso doméstico y abrevadero de ganado. La fuente de captación no fue localizada ni georreferenciada: se presume manantial de ladera aguas arriba — POR VERIFICAR.</t>
        </is>
      </c>
    </row>
    <row r="77">
      <c r="A77" s="54" t="inlineStr">
        <is>
          <t>OBSERVACIONES DEL EVALUADOR POR FICHA</t>
        </is>
      </c>
    </row>
    <row r="78">
      <c r="A78" s="55" t="inlineStr">
        <is>
          <t>Ficha</t>
        </is>
      </c>
      <c r="B78" s="55" t="inlineStr">
        <is>
          <t>Observación registrada en campo</t>
        </is>
      </c>
    </row>
    <row r="79">
      <c r="A79" s="56" t="inlineStr">
        <is>
          <t>F-DT-01</t>
        </is>
      </c>
      <c r="B79" s="56" t="inlineStr">
        <is>
          <t>ALCANCE DE LA VERIFICACIÓN: reconocimiento del 14-07-2026 sobre el borde occidental del bloque, en 4 estaciones georreferenciadas (17M 608 425/9 445 881; 608 513/9 445 816; 608 549/9 445 684; 608 558/9 445 670), entre las 11:58 y las 12:18 h. Dos estaciones se ubican dentro del polígono (margen occidental) y dos en la escotadura del caserío El Guabo, externa al polígono. NO se realizó travesía interior; la superficie efectivamente recorrida se estima en menos del 10 % de las 74.03 ha del bloque. Toda respuesta consignada corresponde EXCLUSIVAMENTE a lo observable desde dichas estaciones. ALTITUD: el rótulo del formulario digital de campo no consignó altitud. El valor 900 msnm es interpolado de la cartografía de curvas de nivel (equidistancia 50 m) en el punto de muestreo; incertidumbre estimada ±25 m. NO es una lectura GPS. PARÁMETROS DE GABINETE (DEM): rango altitudinal del bloque 794–1 317 msnm (amplitud 523 m); pendiente promedio 27.42 %. El bloque es transicional entre los pisos Yunga (&lt;1 000 m) y Quechua baja (1 000–1 500 m); se consigna «1000-1500 m» por corresponder a la mayor proporción de superficie. El perfil de elevación de gabinete sobre transecto W–E de 1 351.85 m arroja 753–1 197 msnm, pendiente media 29.9 % y pendiente máxima 54.0 %, consistente con el estadístico zonal del DEM. REMOCIÓN EN MASA: los «No» de los ítems 27 a 30 significan «no observado desde las estaciones de verificación», no ausencia comprobada en el conjunto del bloque. Requiere confirmación con travesía interior y análisis de MDE.</t>
        </is>
      </c>
    </row>
    <row r="80">
      <c r="A80" s="57" t="inlineStr">
        <is>
          <t>F-DT-03</t>
        </is>
      </c>
      <c r="B80" s="57" t="inlineStr">
        <is>
          <t>ORIGEN DEL LISTADO FLORÍSTICO: por instrucción de la Subdirección, la composición se consigna por transferencia del bloque contiguo M17B6 (misma microcuenca C1096-Q9556, distrito de Frías, mismo tipo de ecosistema Bes-cm, distancia entre centroides ≈ 1 900 m, rangos altitudinales solapados 794–1 317 vs. 403–1 049 msnm), en aplicación del criterio de vecindad geográfica y similitud ecosistémica. NO constituye un inventario levantado en M17B5. Las fisonomías observadas en las fotografías del 14-07-2026 —arbolado caducifolio de fuste liso, leguminosas arbóreas en floración amarilla, bolonería granítica y arbustos ruderales— son compatibles con dicho listado, pero la determinación específica in situ está PENDIENTE y deberá ser ratificada por el Biól. Abel Aucasime Orihuela en la verificación interior. ABUNDANCIAS Y ESTRATOS: transferidos del bloque de referencia; tienen carácter indicativo y deben reevaluarse con parcelas de muestreo en M17B5. CAMPOS ESTRUCTURALES EN BLANCO: coberturas por estrato, hojarasca, suelo desnudo, alturas, DAP promedio, regeneración natural y epífitas NO se consignan por requerir instalación de parcelas. Su omisión no implica ausencia. COBERTURA VEGETAL TOTAL (75 %): valor de gabinete derivado del NDVI mediana 2025 —que clasifica la práctica totalidad del polígono en «vegetación mediana» y «vegetación alta», sin clase de tierra desnuda relevante— y del MSAVI 2024 (media 0.548 170, segunda clase más alta del rango del proyecto). Coherente con la continuidad del dosel visible en las fotografías. No procede de estimación visual en parcela. CAVEAT FENOLÓGICO: el Bes-cm es caducifolio; los índices espectrales tomados fuera de la estación húmeda (enero–abril) SUBESTIMAN sistemáticamente la cobertura leñosa real. En este bloque el efecto es atenuado por la nubosidad de advección que mantiene follaje activo en julio, lo que a su vez sugiere carácter transicional hacia bosque montano en el sector oriental por encima de ~1 100 msnm (posible mosaico Bes-cm / BMVO). Verificación pendiente. ALERTA NORMATIVA: con cobertura estimada en 75 % y estado «levemente alterado», el bloque podría NO calificar como ecosistema degradado en el sentido de la R.M. N.° 00213-2024-MINAM en su sector oriental. Ver registro de discrepancias D-05 del informe técnico.</t>
        </is>
      </c>
    </row>
    <row r="81">
      <c r="A81" s="56" t="inlineStr">
        <is>
          <t>F-DT-04</t>
        </is>
      </c>
      <c r="B81" s="56" t="inlineStr">
        <is>
          <t>CONVENCIÓN DE LA COLUMNA «NIVEL» (sección 3): se consigna el NIVEL DE DEGRADACIÓN asociado al valor del indicador, no la magnitud del indicador. Así, una cobertura vegetal de 75 % (umbral «&gt;60 % bueno») se califica como nivel de degradación Bajo; una distancia de 0 m a vía vecinal (umbral «a menor distancia, mayor presión») se califica como Alto. CAUSAS SIN CONSIGNAR: las filas 2 a 6 (tala para leña, carbón y madera; quemas), 10 a 15 (minería, áridos, invasoras, erosión natural severa, sequía/CC, plagas) se dejan EN BLANCO por no ser observables desde las estaciones de verificación. El blanco significa NO OBSERVABLE, nunca ausencia comprobada. La tala para leña, en particular, es altamente probable dada la proximidad del caserío y deberá verificarse mediante conteo de tocones en la travesía interior. EXTENSIÓN Y ANTIGÜEDAD: no se consignan para ninguna causa por requerir recorrido interior sistemático y entrevistas a titulares; su cuantificación queda pendiente y deberá integrarse con el Diagnóstico Social a cargo de la Blga. Leslie Carrión Lastra. INDICADORES SIN VALOR: densidad de cárcavas, especies invasoras, carga ganadera, frecuencia de quemas y porcentaje de área con pendiente &gt;50 % quedan pendientes. Los tres primeros exigen trabajo de campo interior; el último requiere reprocesamiento del estadístico zonal del DEM, del que a la fecha solo se dispone de la pendiente promedio (27.42 %). LECTURA DE CONJUNTO: la degradación en M17B5 NO es generalizada sino perimetral y de baja intensidad, concentrada en la franja occidental de contacto con el caserío El Guabo y con la red de trochas. El cuerpo central y oriental del bloque presenta cobertura continua de densidad media a alta. Esta heterogeneidad interna obliga a una zonificación diferenciada de las MRR-CCC y no a un tratamiento uniforme de restauración activa.</t>
        </is>
      </c>
    </row>
    <row r="82">
      <c r="A82" s="57" t="inlineStr">
        <is>
          <t>F-DT-05</t>
        </is>
      </c>
      <c r="B82" s="57" t="inlineStr">
        <is>
          <t>FUENTES DE AGUA: el inventario recoge únicamente lo observable desde las estaciones de verificación. La red de drenaje cartografiada muestra una quebrada que discurre por la escotadura entre ambos lóbulos del bloque y otra por el flanco norte; ninguna fue recorrida ni georreferenciada en campo, por lo que NO se registran como filas del inventario. La nubosidad de advección persistente observada al mediodía del 14-07-2026 sobre la divisoria oriental es un aporte hídrico no canalizado, relevante para el balance del servicio de regulación hídrica. RECARGA HÍDRICA: la respuesta «Sí» se sustenta en la posición fisiográfica de ladera media-alta (794–1 317 msnm), la continuidad del dosel, el sustrato intrusivo con manto de meteorización arenosa profunda y la humedad de advección; es una valoración cualitativa de campo y gabinete, no un balance hídrico cuantificado. ESCORRENTÍA CONCENTRADA: verificada directamente sobre las huellas de ganado y trochas (grupo de surcos S-01, F-DT-02). CAMPOS EN BLANCO: distancia a captación poblacional, interferencia con obras de riego, nombre de sistema de riego, tiempos de viaje desde capital distrital y provincial, señal celular, operador dominante y alojamiento rural NO se consignan por no haberse registrado en la visita. Deben completarse en la verificación interior y en el Diagnóstico Social. RONDA CAMPESINA: la exigencia de autorización se consigna como «Sí» por corresponder a la práctica generalizada en el ámbito rural del distrito de Frías; la coordinación específica con la organización de El Guabo está pendiente y es condición previa para cualquier travesía interior o levantamiento predial. TRANSITABILIDAD: calificada «Medio» en época seca por tratarse de trocha carrozable de sección estrecha con fuerte pendiente longitudinal, y «Bajo» en época lluviosa por el material areno-limoso de la rasante, altamente susceptible a erosión y encalaminado.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M17B5</t>
        </is>
      </c>
    </row>
    <row r="7">
      <c r="A7" s="54" t="inlineStr">
        <is>
          <t>Hechos declarados por fuente</t>
        </is>
      </c>
    </row>
    <row r="8">
      <c r="A8" s="55" t="inlineStr">
        <is>
          <t>Fuente</t>
        </is>
      </c>
      <c r="B8" s="55" t="inlineStr">
        <is>
          <t>Hechos</t>
        </is>
      </c>
    </row>
    <row r="9">
      <c r="A9" s="56" t="inlineStr">
        <is>
          <t>Dato de campo</t>
        </is>
      </c>
      <c r="B9" s="56" t="n">
        <v>50</v>
      </c>
    </row>
    <row r="10">
      <c r="A10" s="57" t="inlineStr">
        <is>
          <t>Gabinete (GIS / teledetección)</t>
        </is>
      </c>
      <c r="B10" s="57" t="n">
        <v>28</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86</v>
      </c>
    </row>
    <row r="31">
      <c r="A31" s="57" t="inlineStr">
        <is>
          <t>COMPLEMENTADO</t>
        </is>
      </c>
      <c r="B31" s="57" t="n">
        <v>2</v>
      </c>
    </row>
    <row r="32">
      <c r="A32" s="56" t="inlineStr">
        <is>
          <t>ACTUALIZADO</t>
        </is>
      </c>
      <c r="B32" s="56" t="n">
        <v>4</v>
      </c>
    </row>
    <row r="33">
      <c r="A33" s="57" t="inlineStr">
        <is>
          <t>DISCREPANTE</t>
        </is>
      </c>
      <c r="B33" s="57" t="n">
        <v>0</v>
      </c>
    </row>
    <row r="34">
      <c r="A34" s="56" t="inlineStr">
        <is>
          <t>PENDIENTE</t>
        </is>
      </c>
      <c r="B34" s="56" t="n">
        <v>22</v>
      </c>
    </row>
    <row r="51">
      <c r="A51" s="54" t="inlineStr">
        <is>
          <t>Cobertura por estrato — campo (%)</t>
        </is>
      </c>
    </row>
    <row r="52">
      <c r="A52" s="55" t="inlineStr">
        <is>
          <t>Estrato</t>
        </is>
      </c>
      <c r="B52" s="55" t="inlineStr">
        <is>
          <t>% del área</t>
        </is>
      </c>
    </row>
    <row r="53">
      <c r="A53" s="56" t="inlineStr">
        <is>
          <t>Suelo desnudo</t>
        </is>
      </c>
      <c r="B53" s="62" t="n">
        <v>2</v>
      </c>
    </row>
    <row r="70">
      <c r="A70" s="54" t="inlineStr">
        <is>
          <t>Causas activas de degradación (F-DT-04)</t>
        </is>
      </c>
    </row>
    <row r="71">
      <c r="A71" s="55" t="inlineStr">
        <is>
          <t>Causa</t>
        </is>
      </c>
      <c r="B71" s="55" t="inlineStr">
        <is>
          <t>Intensidad (1 ligera - 4 muy fuerte)</t>
        </is>
      </c>
    </row>
    <row r="72">
      <c r="A72" s="56" t="inlineStr">
        <is>
          <t>Sobrepastoreo (caprino/vacuno)</t>
        </is>
      </c>
      <c r="B72" s="56" t="n">
        <v>3</v>
      </c>
    </row>
    <row r="73">
      <c r="A73" s="57" t="inlineStr">
        <is>
          <t>Cambio de uso a pastoreo</t>
        </is>
      </c>
      <c r="B73" s="57" t="n">
        <v>2</v>
      </c>
    </row>
    <row r="74">
      <c r="A74" s="56" t="inlineStr">
        <is>
          <t>Otro: erosión inducida por trochas y huellas de ganado</t>
        </is>
      </c>
      <c r="B74" s="56" t="n">
        <v>2</v>
      </c>
    </row>
    <row r="75">
      <c r="A75" s="57" t="inlineStr">
        <is>
          <t>Cambio de uso a agricultura</t>
        </is>
      </c>
      <c r="B75" s="57" t="n">
        <v>1</v>
      </c>
    </row>
    <row r="76">
      <c r="A76" s="56" t="inlineStr">
        <is>
          <t>Expansión urbana / vial</t>
        </is>
      </c>
      <c r="B76" s="56" t="n">
        <v>1</v>
      </c>
    </row>
    <row r="93">
      <c r="A93" s="54" t="inlineStr">
        <is>
          <t>Control de consistencia por calificación</t>
        </is>
      </c>
    </row>
    <row r="94">
      <c r="A94" s="55" t="inlineStr">
        <is>
          <t>Calificación</t>
        </is>
      </c>
      <c r="B94" s="55" t="inlineStr">
        <is>
          <t>Verificaciones</t>
        </is>
      </c>
    </row>
    <row r="95">
      <c r="A95" s="56" t="inlineStr">
        <is>
          <t>SUSTANTIVA</t>
        </is>
      </c>
      <c r="B95" s="56" t="n">
        <v>6</v>
      </c>
    </row>
    <row r="96">
      <c r="A96" s="57" t="inlineStr">
        <is>
          <t>NO SUSTANTIVA</t>
        </is>
      </c>
      <c r="B96" s="57" t="n">
        <v>1</v>
      </c>
    </row>
    <row r="97">
      <c r="A97" s="56" t="inlineStr">
        <is>
          <t>CORREGIDO</t>
        </is>
      </c>
      <c r="B97" s="56" t="n">
        <v>4</v>
      </c>
    </row>
    <row r="98">
      <c r="A98" s="57" t="inlineStr">
        <is>
          <t>CONFORME</t>
        </is>
      </c>
      <c r="B98"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M17B5 — IN Piura</dc:title>
  <dc:subject>Diagnóstico Territorial por bloque de intervención</dc:subject>
  <dcterms:created xsi:type="dcterms:W3CDTF">2026-09-08T03:39:53Z</dcterms:created>
  <dcterms:modified xsi:type="dcterms:W3CDTF">2026-09-11T20:22:35Z</dcterms:modified>
</cp:coreProperties>
</file>