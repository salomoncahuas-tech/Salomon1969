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integración'!$A$76:$A$85</f>
            </numRef>
          </cat>
          <val>
            <numRef>
              <f>'Gráficos de integración'!$B$76:$B$85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integración'!B103</f>
            </strRef>
          </tx>
          <spPr>
            <a:ln>
              <a:prstDash val="solid"/>
            </a:ln>
          </spPr>
          <cat>
            <numRef>
              <f>'Gráficos de integración'!$A$104:$A$107</f>
            </numRef>
          </cat>
          <val>
            <numRef>
              <f>'Gráficos de integración'!$B$104:$B$107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102</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M3B8</t>
        </is>
      </c>
    </row>
    <row r="6" ht="24" customHeight="1">
      <c r="A6" s="4" t="inlineStr">
        <is>
          <t>Diagnóstico Territorial — Plantilla DT Campo Check Validada V5 | Sistema de referencia: UTM WGS 84 Zona 17S (EPSG:32717) · Integrado con la ficha de campo F-DT vigente (DT_M3B8_IN_Piura.xlsx) — V7 - resumen V6 + campo F-DT integrado</t>
        </is>
      </c>
    </row>
    <row r="7"/>
    <row r="8" ht="18" customHeight="1">
      <c r="A8" s="5" t="inlineStr">
        <is>
          <t>1. IDENTIFICACIÓN Y LOCALIZACIÓN</t>
        </is>
      </c>
    </row>
    <row r="9">
      <c r="A9" s="6" t="inlineStr">
        <is>
          <t>Código del bloque</t>
        </is>
      </c>
      <c r="B9" s="7" t="inlineStr">
        <is>
          <t>M3B8</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Santa Rosa</t>
        </is>
      </c>
      <c r="C13" s="6" t="inlineStr">
        <is>
          <t>Comunidad campesina</t>
        </is>
      </c>
      <c r="D13" s="7" t="inlineStr">
        <is>
          <t>Caserío Santa Rosa / Anexo Hacienda Bigote (sin C.C. titulada verificada)</t>
        </is>
      </c>
      <c r="E13" s="8" t="n"/>
      <c r="F13" s="8" t="n"/>
    </row>
    <row r="14">
      <c r="A14" s="6" t="inlineStr">
        <is>
          <t>Superficie de catálogo (V5/V6), ha</t>
        </is>
      </c>
      <c r="B14" s="7" t="n">
        <v>565.58</v>
      </c>
      <c r="C14" s="6" t="inlineStr">
        <is>
          <t>Fuente de superficie</t>
        </is>
      </c>
      <c r="D14" s="7" t="inlineStr">
        <is>
          <t>Catálogo maestro Bloques V5/V6</t>
        </is>
      </c>
      <c r="E14" s="8" t="n"/>
      <c r="F14" s="8" t="n"/>
    </row>
    <row r="15">
      <c r="A15" s="6" t="inlineStr">
        <is>
          <t>Centroide UTM ESTE (m)</t>
        </is>
      </c>
      <c r="B15" s="7" t="n">
        <v>632119</v>
      </c>
      <c r="C15" s="6" t="inlineStr">
        <is>
          <t>Centroide UTM NORTE (m)</t>
        </is>
      </c>
      <c r="D15" s="7" t="n">
        <v>9415141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195</v>
      </c>
      <c r="C19" s="6" t="inlineStr">
        <is>
          <t>Altitud máxima (msnm)</t>
        </is>
      </c>
      <c r="D19" s="7" t="n">
        <v>562</v>
      </c>
      <c r="E19" s="8" t="n"/>
      <c r="F19" s="8" t="n"/>
    </row>
    <row r="20">
      <c r="A20" s="6" t="inlineStr">
        <is>
          <t>Amplitud altitudinal (m)</t>
        </is>
      </c>
      <c r="B20" s="7" t="n">
        <v>367</v>
      </c>
      <c r="C20" s="6" t="inlineStr">
        <is>
          <t>Piso altitudinal dominante</t>
        </is>
      </c>
      <c r="D20" s="7" t="inlineStr">
        <is>
          <t>&lt;1000 m (Yunga)</t>
        </is>
      </c>
      <c r="E20" s="8" t="n"/>
      <c r="F20" s="8" t="n"/>
    </row>
    <row r="21">
      <c r="A21" s="6" t="inlineStr">
        <is>
          <t>Pendiente promedio (%)</t>
        </is>
      </c>
      <c r="B21" s="7" t="n">
        <v>13.65</v>
      </c>
      <c r="C21" s="6" t="inlineStr">
        <is>
          <t>Pendiente promedio (grados)</t>
        </is>
      </c>
      <c r="D21" s="7" t="n">
        <v>7.8</v>
      </c>
      <c r="E21" s="8" t="n"/>
      <c r="F21" s="8" t="n"/>
    </row>
    <row r="22">
      <c r="A22" s="6" t="inlineStr">
        <is>
          <t>Clase de pendiente equivalente</t>
        </is>
      </c>
      <c r="B22" s="7" t="inlineStr">
        <is>
          <t>8-15% (Mod.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0.2934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(57.40 %)</t>
        </is>
      </c>
      <c r="E29" s="8" t="n"/>
      <c r="F29" s="8" t="n"/>
    </row>
    <row r="30">
      <c r="A30" s="6" t="inlineStr">
        <is>
          <t>Superficie clasificada NDVI 2025 (ha)</t>
        </is>
      </c>
      <c r="B30" s="7" t="n">
        <v>565.792</v>
      </c>
      <c r="C30" s="6" t="inlineStr">
        <is>
          <t>Desviación frente al catálogo (%)</t>
        </is>
      </c>
      <c r="D30" s="7" t="n">
        <v>0.04</v>
      </c>
      <c r="E30" s="8" t="n"/>
      <c r="F30" s="8" t="n"/>
    </row>
    <row r="31">
      <c r="A31" s="6" t="inlineStr">
        <is>
          <t>Superficie clasificada MSAVI 2024 (ha)</t>
        </is>
      </c>
      <c r="B31" s="39" t="n">
        <v>565.5839999999999</v>
      </c>
      <c r="C31" s="6" t="inlineStr">
        <is>
          <t>Desviación MSAVI frente al catálogo (%)</t>
        </is>
      </c>
      <c r="D31" s="40" t="n">
        <v>0</v>
      </c>
      <c r="E31" s="8" t="n"/>
      <c r="F31" s="8" t="n"/>
    </row>
    <row r="32">
      <c r="A32" s="6" t="inlineStr">
        <is>
          <t>Superficie bajo umbral MSAVI 0.4976 (ha)</t>
        </is>
      </c>
      <c r="B32" s="39" t="n">
        <v>562.186</v>
      </c>
      <c r="C32" s="6" t="inlineStr">
        <is>
          <t>% del bloque bajo umbral (brecha espectral)</t>
        </is>
      </c>
      <c r="D32" s="40" t="n">
        <v>99.40000000000001</v>
      </c>
      <c r="E32" s="8" t="n"/>
      <c r="F32" s="8" t="n"/>
    </row>
    <row r="33">
      <c r="A33" s="6" t="inlineStr">
        <is>
          <t>Clase DN dominante (MSAVI 2024)</t>
        </is>
      </c>
      <c r="B33" s="7" t="inlineStr">
        <is>
          <t>DN 2 · 0.2650 - 0.3813 (Vigor muy bajo)</t>
        </is>
      </c>
      <c r="C33" s="6" t="inlineStr">
        <is>
          <t>N.° de polígonos MSAVI del bloque</t>
        </is>
      </c>
      <c r="D33" s="41" t="n">
        <v>2000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565.58 ha (100% del bloque)</t>
        </is>
      </c>
      <c r="E36" s="8" t="n"/>
      <c r="F36" s="8" t="n"/>
    </row>
    <row r="37">
      <c r="A37" s="6" t="inlineStr">
        <is>
          <t>Estado de conservación</t>
        </is>
      </c>
      <c r="B37" s="7" t="inlineStr">
        <is>
          <t>Muy alterado / Degradado</t>
        </is>
      </c>
      <c r="C37" s="6" t="inlineStr">
        <is>
          <t>Uso actual dominante del suelo</t>
        </is>
      </c>
      <c r="D37" s="7" t="inlineStr">
        <is>
          <t>Pastoreo extensivo</t>
        </is>
      </c>
      <c r="E37" s="8" t="n"/>
      <c r="F37" s="8" t="n"/>
    </row>
    <row r="38">
      <c r="A38" s="6" t="inlineStr">
        <is>
          <t>Tipo de cobertura dominante</t>
        </is>
      </c>
      <c r="B38" s="7" t="inlineStr">
        <is>
          <t>Pastizal natural</t>
        </is>
      </c>
      <c r="C38" s="6" t="inlineStr">
        <is>
          <t>Cobertura vegetal total — campo (%)</t>
        </is>
      </c>
      <c r="D38" s="7" t="n">
        <v>45</v>
      </c>
      <c r="E38" s="8" t="n"/>
      <c r="F38" s="8" t="n"/>
    </row>
    <row r="39">
      <c r="A39" s="6" t="inlineStr">
        <is>
          <t>Suelo desnudo — campo (%)</t>
        </is>
      </c>
      <c r="B39" s="7" t="n">
        <v>25</v>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Ing. Juan Carlos Domínguez Varas</t>
        </is>
      </c>
      <c r="C44" s="6" t="inlineStr">
        <is>
          <t>Fecha de evaluación</t>
        </is>
      </c>
      <c r="D44" s="7" t="inlineStr">
        <is>
          <t>2026-05-19</t>
        </is>
      </c>
      <c r="E44" s="8" t="n"/>
      <c r="F44" s="8" t="n"/>
    </row>
    <row r="45">
      <c r="A45" s="6" t="inlineStr">
        <is>
          <t>Hora de registro</t>
        </is>
      </c>
      <c r="B45" s="51" t="inlineStr">
        <is>
          <t>01:20 p.m.</t>
        </is>
      </c>
      <c r="C45" s="6" t="inlineStr">
        <is>
          <t>Correlativo de ficha</t>
        </is>
      </c>
      <c r="D45" s="7" t="inlineStr">
        <is>
          <t>F-DT-01-M3B8</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P-01</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Ganadería extensiva no regulada y presión de subsistencia, con débil gobernanza territorial sobre el ecosistema</t>
        </is>
      </c>
      <c r="C51" s="6" t="inlineStr">
        <is>
          <t>Velocidad de degradación</t>
        </is>
      </c>
      <c r="D51" s="7" t="inlineStr">
        <is>
          <t>Rápida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3.3984</v>
      </c>
      <c r="C11" s="21">
        <f>ROUND(B11/$B$15*100,2)</f>
        <v/>
      </c>
      <c r="D11" s="13" t="inlineStr">
        <is>
          <t>Vigor moderado</t>
        </is>
      </c>
      <c r="E11" s="13" t="inlineStr">
        <is>
          <t>Sobre umbral</t>
        </is>
      </c>
    </row>
    <row r="12">
      <c r="A12" s="7" t="inlineStr">
        <is>
          <t>0.3813 - 0.4976 · DN 3</t>
        </is>
      </c>
      <c r="B12" s="18" t="n">
        <v>56.1326</v>
      </c>
      <c r="C12" s="19">
        <f>ROUND(B12/$B$15*100,2)</f>
        <v/>
      </c>
      <c r="D12" s="11" t="inlineStr">
        <is>
          <t>Vigor bajo</t>
        </is>
      </c>
      <c r="E12" s="11" t="inlineStr">
        <is>
          <t>BAJO umbral 0.4976</t>
        </is>
      </c>
    </row>
    <row r="13">
      <c r="A13" s="14" t="inlineStr">
        <is>
          <t>0.2650 - 0.3813 · DN 2</t>
        </is>
      </c>
      <c r="B13" s="30" t="n">
        <v>307.7686</v>
      </c>
      <c r="C13" s="29">
        <f>ROUND(B13/$B$15*100,2)</f>
        <v/>
      </c>
      <c r="D13" s="15" t="inlineStr">
        <is>
          <t>Vigor muy bajo</t>
        </is>
      </c>
      <c r="E13" s="15" t="inlineStr">
        <is>
          <t>BAJO umbral 0.4976</t>
        </is>
      </c>
    </row>
    <row r="14">
      <c r="A14" s="7" t="inlineStr">
        <is>
          <t>&lt;= 0.2650 · DN 1</t>
        </is>
      </c>
      <c r="B14" s="18" t="n">
        <v>198.2846</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2 000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565.58</v>
      </c>
      <c r="C18" s="50" t="inlineStr">
        <is>
          <t>—</t>
        </is>
      </c>
      <c r="D18" s="47" t="inlineStr">
        <is>
          <t>Desviación planimétrica frente al catálogo</t>
        </is>
      </c>
      <c r="E18" s="47" t="inlineStr">
        <is>
          <t>+0.00 %</t>
        </is>
      </c>
    </row>
    <row r="19">
      <c r="A19" s="16" t="inlineStr">
        <is>
          <t>MSAVI 2024 — MEDIA DEL BLOQUE</t>
        </is>
      </c>
      <c r="B19" s="17" t="n">
        <v>0.293351</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2 000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(0.2934)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18.0404</v>
      </c>
      <c r="C25" s="19" t="n">
        <v>3.19</v>
      </c>
      <c r="D25" s="11" t="inlineStr">
        <is>
          <t>Dosel continuo, matorral denso o mosaico agroforestal</t>
        </is>
      </c>
      <c r="E25" s="11" t="inlineStr"/>
    </row>
    <row r="26">
      <c r="A26" s="12" t="inlineStr">
        <is>
          <t>Vegetación mediana</t>
        </is>
      </c>
      <c r="B26" s="20" t="n">
        <v>150.5279</v>
      </c>
      <c r="C26" s="21" t="n">
        <v>26.6</v>
      </c>
      <c r="D26" s="13" t="inlineStr">
        <is>
          <t>Pastizal cultivado, matorral ralo, parcelas agrícolas</t>
        </is>
      </c>
      <c r="E26" s="13" t="inlineStr"/>
    </row>
    <row r="27">
      <c r="A27" s="7" t="inlineStr">
        <is>
          <t>Vegetación ligera</t>
        </is>
      </c>
      <c r="B27" s="18" t="n">
        <v>324.7497</v>
      </c>
      <c r="C27" s="19" t="n">
        <v>57.4</v>
      </c>
      <c r="D27" s="11" t="inlineStr">
        <is>
          <t>Cobertura discontinua, suelo parcialmente expuesto</t>
        </is>
      </c>
      <c r="E27" s="11" t="inlineStr"/>
    </row>
    <row r="28">
      <c r="A28" s="12" t="inlineStr">
        <is>
          <t>Tierra desnuda</t>
        </is>
      </c>
      <c r="B28" s="20" t="n">
        <v>72.474</v>
      </c>
      <c r="C28" s="21" t="n">
        <v>12.81</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565.58</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45 % frente a un 3.19 % del polígono clasificado como «Vegetación alta» por el NDVI 2025; la observación de campo corresponde a una parcela o recorrido puntual y no es estadísticamente representativa de las 565.580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M3B8</t>
        </is>
      </c>
    </row>
    <row r="6" ht="24" customHeight="1">
      <c r="A6" s="4" t="inlineStr">
        <is>
          <t>Levantamiento del 2026-05-19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632159</v>
      </c>
      <c r="D10" s="26" t="n">
        <v>9414407</v>
      </c>
      <c r="E10" s="11" t="n">
        <v>735.1</v>
      </c>
      <c r="F10" s="11" t="inlineStr"/>
      <c r="G10" s="11" t="inlineStr">
        <is>
          <t>Coordenada consignada en F-DT-01</t>
        </is>
      </c>
    </row>
    <row r="11">
      <c r="A11" s="12" t="inlineStr">
        <is>
          <t>C-01</t>
        </is>
      </c>
      <c r="B11" s="13" t="inlineStr">
        <is>
          <t>Rasgo erosivo — Cárcava incipiente — 25 m, 0.4 m prof., 0.6 m ancho</t>
        </is>
      </c>
      <c r="C11" s="27" t="n">
        <v>632159</v>
      </c>
      <c r="D11" s="27" t="n">
        <v>9414407</v>
      </c>
      <c r="E11" s="13" t="n">
        <v>735.1</v>
      </c>
      <c r="F11" s="13" t="inlineStr">
        <is>
          <t>Activa</t>
        </is>
      </c>
      <c r="G11" s="13" t="inlineStr">
        <is>
          <t>Concentración natural de escorrentía</t>
        </is>
      </c>
    </row>
    <row r="12">
      <c r="A12" s="7" t="inlineStr">
        <is>
          <t>C-02</t>
        </is>
      </c>
      <c r="B12" s="11" t="inlineStr">
        <is>
          <t>Rasgo erosivo — Cárcava somera — 22 m, 0.6 m prof., 0.9 m ancho</t>
        </is>
      </c>
      <c r="C12" s="26" t="n">
        <v>632167</v>
      </c>
      <c r="D12" s="26" t="n">
        <v>9414417</v>
      </c>
      <c r="E12" s="11" t="n">
        <v>725.6</v>
      </c>
      <c r="F12" s="11" t="inlineStr">
        <is>
          <t>Activa</t>
        </is>
      </c>
      <c r="G12" s="11" t="inlineStr">
        <is>
          <t>Tala / pérdida de cobertura</t>
        </is>
      </c>
    </row>
    <row r="13">
      <c r="A13" s="12" t="inlineStr">
        <is>
          <t>C-03</t>
        </is>
      </c>
      <c r="B13" s="13" t="inlineStr">
        <is>
          <t>Rasgo erosivo — Surco (&lt;30 cm) — 15 m, 0.25 m prof., 0.35 m ancho</t>
        </is>
      </c>
      <c r="C13" s="27" t="n">
        <v>632141</v>
      </c>
      <c r="D13" s="27" t="n">
        <v>9414451</v>
      </c>
      <c r="E13" s="13" t="n">
        <v>690.4</v>
      </c>
      <c r="F13" s="13" t="inlineStr">
        <is>
          <t>Semi-activa</t>
        </is>
      </c>
      <c r="G13" s="13" t="inlineStr">
        <is>
          <t>Caminos / huellas de ganado</t>
        </is>
      </c>
    </row>
    <row r="14">
      <c r="A14" s="7" t="inlineStr">
        <is>
          <t>H-01</t>
        </is>
      </c>
      <c r="B14" s="11" t="inlineStr">
        <is>
          <t>Fuente de agua — Quebrada estacional</t>
        </is>
      </c>
      <c r="C14" s="26" t="n">
        <v>631900</v>
      </c>
      <c r="D14" s="26" t="n">
        <v>9414250</v>
      </c>
      <c r="E14" s="11" t="n">
        <v>917.5</v>
      </c>
      <c r="F14" s="11" t="inlineStr">
        <is>
          <t>Intermitente</t>
        </is>
      </c>
      <c r="G14" s="11" t="inlineStr">
        <is>
          <t>Cauce de Río Seco; seco en la evaluación</t>
        </is>
      </c>
    </row>
    <row r="15">
      <c r="A15" s="12" t="inlineStr">
        <is>
          <t>H-02</t>
        </is>
      </c>
      <c r="B15" s="13" t="inlineStr">
        <is>
          <t>Fuente de agua — Quebrada estacional</t>
        </is>
      </c>
      <c r="C15" s="27" t="n">
        <v>632160</v>
      </c>
      <c r="D15" s="27" t="n">
        <v>9414410</v>
      </c>
      <c r="E15" s="13" t="n">
        <v>732.1</v>
      </c>
      <c r="F15" s="13" t="inlineStr">
        <is>
          <t>Intermitente</t>
        </is>
      </c>
      <c r="G15" s="13" t="inlineStr">
        <is>
          <t>Drenaje natural interno</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632119</v>
      </c>
      <c r="C18" s="6" t="inlineStr">
        <is>
          <t>Centroide del bloque — UTM NORTE (m)</t>
        </is>
      </c>
      <c r="D18" s="7" t="n">
        <v>9415141</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20"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Ingreso al bloque desde la capital distrital de Salitral (Morropón), CON CRUCE (VADO) DEL CAUCE DE RÍO SECO. Inspección del 19/05/2026. EL PROCESO MORFODINÁMICO DOMINANTE ES LA EROSIÓN HÍDRICA (cárcavas incipientes, surcos y erosión laminar) SOBRE SUELOS ROJIZOS DELGADOS, MÁS QUE LA REMOCIÓN EN MASA; se observa reptación de suelo asociada a sobrepastoreo. RELICTOS DEL BOSQUE SECO DE COLINA/MONTAÑA SE CONSERVAN EN LA PARTE ALTA INACCESIBLE. BLOQUE DE MAYOR SUPERFICIE DEL PORTAFOLIO: 565.58 ha.</t>
        </is>
      </c>
      <c r="B21" s="42" t="n"/>
      <c r="C21" s="42" t="n"/>
      <c r="D21" s="42" t="n"/>
      <c r="E21" s="42" t="n"/>
      <c r="F21" s="42" t="n"/>
      <c r="G21" s="43"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M3B8</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M3B8</t>
        </is>
      </c>
      <c r="B10" s="28" t="n">
        <v>565.58</v>
      </c>
      <c r="C10" s="29" t="n">
        <v>44.83</v>
      </c>
      <c r="D10" s="15" t="inlineStr">
        <is>
          <t>195 – 562</t>
        </is>
      </c>
      <c r="E10" s="15" t="n">
        <v>367</v>
      </c>
      <c r="F10" s="15" t="n">
        <v>13.65</v>
      </c>
      <c r="G10" s="30" t="n">
        <v>0.2934</v>
      </c>
      <c r="H10" s="29" t="n">
        <v>3.19</v>
      </c>
      <c r="I10" s="29" t="n">
        <v>99.40000000000001</v>
      </c>
    </row>
    <row r="11">
      <c r="A11" s="12" t="inlineStr">
        <is>
          <t>M3B9</t>
        </is>
      </c>
      <c r="B11" s="31" t="n">
        <v>294.2</v>
      </c>
      <c r="C11" s="21" t="n">
        <v>23.32</v>
      </c>
      <c r="D11" s="13" t="inlineStr">
        <is>
          <t>189 – 497</t>
        </is>
      </c>
      <c r="E11" s="13" t="n">
        <v>308</v>
      </c>
      <c r="F11" s="13" t="n">
        <v>17.69</v>
      </c>
      <c r="G11" s="20" t="n">
        <v>0.3214</v>
      </c>
      <c r="H11" s="21" t="n">
        <v>3.14</v>
      </c>
      <c r="I11" s="21" t="n">
        <v>99.40000000000001</v>
      </c>
    </row>
    <row r="12">
      <c r="A12" s="7" t="inlineStr">
        <is>
          <t>M3B7</t>
        </is>
      </c>
      <c r="B12" s="32" t="n">
        <v>122.95</v>
      </c>
      <c r="C12" s="19" t="n">
        <v>9.75</v>
      </c>
      <c r="D12" s="11" t="inlineStr">
        <is>
          <t>238 – 447</t>
        </is>
      </c>
      <c r="E12" s="11" t="n">
        <v>209</v>
      </c>
      <c r="F12" s="11" t="n">
        <v>18.21</v>
      </c>
      <c r="G12" s="18" t="n">
        <v>0.3707</v>
      </c>
      <c r="H12" s="19" t="n">
        <v>8</v>
      </c>
      <c r="I12" s="19" t="n">
        <v>95.93000000000001</v>
      </c>
    </row>
    <row r="13">
      <c r="A13" s="12" t="inlineStr">
        <is>
          <t>M3B3</t>
        </is>
      </c>
      <c r="B13" s="31" t="n">
        <v>84.81999999999999</v>
      </c>
      <c r="C13" s="21" t="n">
        <v>6.72</v>
      </c>
      <c r="D13" s="13" t="inlineStr">
        <is>
          <t>194 – 375</t>
        </is>
      </c>
      <c r="E13" s="13" t="n">
        <v>181</v>
      </c>
      <c r="F13" s="13" t="n">
        <v>18.87</v>
      </c>
      <c r="G13" s="20" t="n">
        <v>0.2985</v>
      </c>
      <c r="H13" s="21" t="n">
        <v>0.59</v>
      </c>
      <c r="I13" s="21" t="n">
        <v>99.89</v>
      </c>
    </row>
    <row r="14">
      <c r="A14" s="7" t="inlineStr">
        <is>
          <t>M3B1</t>
        </is>
      </c>
      <c r="B14" s="32" t="n">
        <v>80.98</v>
      </c>
      <c r="C14" s="19" t="n">
        <v>6.42</v>
      </c>
      <c r="D14" s="11" t="inlineStr">
        <is>
          <t>184 – 395</t>
        </is>
      </c>
      <c r="E14" s="11" t="n">
        <v>211</v>
      </c>
      <c r="F14" s="11" t="n">
        <v>19.4</v>
      </c>
      <c r="G14" s="18" t="n">
        <v>0.3239</v>
      </c>
      <c r="H14" s="19" t="n">
        <v>1.37</v>
      </c>
      <c r="I14" s="19" t="n">
        <v>99.83</v>
      </c>
    </row>
    <row r="15">
      <c r="A15" s="12" t="inlineStr">
        <is>
          <t>M3B6</t>
        </is>
      </c>
      <c r="B15" s="31" t="n">
        <v>60.35</v>
      </c>
      <c r="C15" s="21" t="n">
        <v>4.78</v>
      </c>
      <c r="D15" s="13" t="inlineStr">
        <is>
          <t>235 – 499</t>
        </is>
      </c>
      <c r="E15" s="13" t="n">
        <v>264</v>
      </c>
      <c r="F15" s="13" t="n">
        <v>23.39</v>
      </c>
      <c r="G15" s="20" t="n">
        <v>0.3425</v>
      </c>
      <c r="H15" s="21" t="n">
        <v>1.08</v>
      </c>
      <c r="I15" s="21" t="n">
        <v>99.73999999999999</v>
      </c>
    </row>
    <row r="16">
      <c r="A16" s="7" t="inlineStr">
        <is>
          <t>M3B5</t>
        </is>
      </c>
      <c r="B16" s="32" t="n">
        <v>52.74</v>
      </c>
      <c r="C16" s="19" t="n">
        <v>4.18</v>
      </c>
      <c r="D16" s="11" t="inlineStr">
        <is>
          <t>221 – 401</t>
        </is>
      </c>
      <c r="E16" s="11" t="n">
        <v>180</v>
      </c>
      <c r="F16" s="11" t="n">
        <v>18.94</v>
      </c>
      <c r="G16" s="18" t="n">
        <v>0.283</v>
      </c>
      <c r="H16" s="19" t="n">
        <v>0.13</v>
      </c>
      <c r="I16" s="19" t="n">
        <v>99.89</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c r="I17" s="23">
        <f>ROUND(AVERAGE(I10:I16),2)</f>
        <v/>
      </c>
    </row>
    <row r="19" ht="84" customHeight="1">
      <c r="A19" s="9" t="inlineStr">
        <is>
          <t>LECTURA INTRAMICROCUENCA. El bloque M3B8 ocupa el puesto 1 de 7 por superficie dentro de la microcuenca C1081-Q9582 (44.83 % de las 1261.62 ha preliminares de la microcuenca). Su pendiente promedio (13.65 %, clase «8-15% (Mod. inclinado)») es la 1.ª más baja de 7 y se sitúa por debajo del promedio de la microcuenca (18.59 %). Su MSAVI 2024 (0.2934) es el 6.º de 7 y queda por debajo del promedio local (0.3190). Amplitud altitudinal del bloque: 367 m (195–562 msnm). El cuadro conserva todos los bloques catalogados en la microcuenca, incluidos los descartados en el tamizaje, para referencia del conjunto. Los bloques sin ficha DT figuran con sus parámetros de gabinete. BRECHA ESPECTRAL. El 99.40 % de la superficie del bloque (562.186 ha de 565.584 ha) se sitúa bajo el umbral MSAVI 0.4976, por encima del promedio local de la microcuenca (99.15 %) calculado sobre los bloques con dato MSAVI disponible.</t>
        </is>
      </c>
      <c r="B19" s="42" t="n"/>
      <c r="C19" s="42" t="n"/>
      <c r="D19" s="42" t="n"/>
      <c r="E19" s="42" t="n"/>
      <c r="F19" s="42" t="n"/>
      <c r="G19" s="42" t="n"/>
      <c r="H19" s="42" t="n"/>
      <c r="I19" s="43"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2" t="n"/>
      <c r="I21" s="43"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6"/>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M3B8</t>
        </is>
      </c>
    </row>
    <row r="6">
      <c r="A6" s="53" t="inlineStr">
        <is>
          <t>Cruce de la ficha de campo F-DT vigente con la ficha de resumen de gabinete y el catálogo maestro. Integración 2026-09-11 20:22:39.</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«C1081-Q9582».</t>
        </is>
      </c>
      <c r="D9" s="57" t="inlineStr">
        <is>
          <t>CONFORME</t>
        </is>
      </c>
      <c r="E9" s="57" t="inlineStr">
        <is>
          <t>Sin acción.</t>
        </is>
      </c>
    </row>
    <row r="10">
      <c r="A10" s="58" t="inlineStr">
        <is>
          <t>G-02</t>
        </is>
      </c>
      <c r="B10" s="58" t="inlineStr">
        <is>
          <t>UTM del punto de muestreo</t>
        </is>
      </c>
      <c r="C10" s="58" t="inlineStr">
        <is>
          <t>El punto de muestreo declarado dista 735.1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(285 msnm) cae dentro del rango altitudinal del bloque (195 - 562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(565.792 ha) se desvía 0.04 % de la superficie de catálogo (565.58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(565.584 ha) se desvía 0.00 % de la superficie de catálogo (565.58 ha).</t>
        </is>
      </c>
      <c r="D14" s="58" t="inlineStr">
        <is>
          <t>CONFORME</t>
        </is>
      </c>
      <c r="E14" s="58" t="inlineStr">
        <is>
          <t>Sin acción: la segmentación valida la geometría del bloque.</t>
        </is>
      </c>
    </row>
    <row r="15">
      <c r="A15" s="57" t="inlineStr">
        <is>
          <t>G-07</t>
        </is>
      </c>
      <c r="B15" s="57" t="inlineStr">
        <is>
          <t>Brecha espectral MSAVI</t>
        </is>
      </c>
      <c r="C15" s="57" t="inlineStr">
        <is>
          <t>El 99.40 % del bloque queda bajo el umbral 0.4976; superficie de brecha 562.19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565.58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(0.2934)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Parcela de muestreo</t>
        </is>
      </c>
      <c r="C19" s="57" t="inlineStr">
        <is>
          <t>El libro de resumen V6 consignaba «Sin registro en ficha»; la ficha de campo vigente declara «P-01».</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Hora de registro</t>
        </is>
      </c>
      <c r="C20" s="58" t="inlineStr">
        <is>
          <t>El libro de resumen V6 consignaba «13:20 h»; la ficha de campo vigente declara «01:20 p.m.».</t>
        </is>
      </c>
      <c r="D20" s="58" t="inlineStr">
        <is>
          <t>CORREGIDO</t>
        </is>
      </c>
      <c r="E20" s="58" t="inlineStr">
        <is>
          <t>Se adopta el valor de campo por ser la fuente que manda sobre el dato y la más reciente. El valor anterior queda declarado para trazabilidad.</t>
        </is>
      </c>
    </row>
    <row r="21">
      <c r="A21" s="57" t="inlineStr">
        <is>
          <t>F-01</t>
        </is>
      </c>
      <c r="B21" s="57" t="inlineStr">
        <is>
          <t>Fichas F-DT levantadas</t>
        </is>
      </c>
      <c r="C21" s="57" t="inlineStr">
        <is>
          <t>La plantilla de campo trae las cinco fichas F-DT-01 a F-DT-05 (completitud 100.0 % de los campos esperados).</t>
        </is>
      </c>
      <c r="D21" s="57" t="inlineStr">
        <is>
          <t>CONFORME</t>
        </is>
      </c>
      <c r="E21" s="57" t="inlineStr">
        <is>
          <t>Sin acción.</t>
        </is>
      </c>
    </row>
    <row r="22">
      <c r="A22" s="58" t="inlineStr">
        <is>
          <t>F-02</t>
        </is>
      </c>
      <c r="B22" s="58" t="inlineStr">
        <is>
          <t>Cobertura de la integración</t>
        </is>
      </c>
      <c r="C22" s="58" t="inlineStr">
        <is>
          <t>Se declararon 111 de 114 hechos integrados (97.4 %); 3 quedan sin dato en ninguna fuente.</t>
        </is>
      </c>
      <c r="D22" s="58" t="inlineStr">
        <is>
          <t>CONFORME</t>
        </is>
      </c>
      <c r="E22" s="58" t="inlineStr">
        <is>
          <t>Sin acción.</t>
        </is>
      </c>
    </row>
    <row r="23">
      <c r="A23" s="57" t="inlineStr">
        <is>
          <t>H-01</t>
        </is>
      </c>
      <c r="B23" s="57" t="inlineStr">
        <is>
          <t>Rango de pendiente dominante</t>
        </is>
      </c>
      <c r="C23" s="57" t="inlineStr">
        <is>
          <t>La ficha DT declara «25-50% (Mod. escarpado)»; la estadística zonal sobre el MDE arroja una pendiente promedio de 13.65 %, que corresponde a la clase «8-15% (Mod. inclinado)»</t>
        </is>
      </c>
      <c r="D23" s="57" t="inlineStr">
        <is>
          <t>NO SUSTANTIVA</t>
        </is>
      </c>
      <c r="E23"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8" t="inlineStr">
        <is>
          <t>H-02</t>
        </is>
      </c>
      <c r="B24" s="58" t="inlineStr">
        <is>
          <t>Cobertura vegetal total</t>
        </is>
      </c>
      <c r="C24" s="58" t="inlineStr">
        <is>
          <t>La ficha DT estima 45 % de cobertura vegetal en campo; el NDVI mediana 2025 clasifica 87.19 % del polígono en clases de vegetación</t>
        </is>
      </c>
      <c r="D24" s="58" t="inlineStr">
        <is>
          <t>NO SUSTANTIVA</t>
        </is>
      </c>
      <c r="E24"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57" t="inlineStr">
        <is>
          <t>H-03</t>
        </is>
      </c>
      <c r="B25" s="57" t="inlineStr">
        <is>
          <t>Representatividad del levantamiento</t>
        </is>
      </c>
      <c r="C25" s="57" t="inlineStr">
        <is>
          <t>Ninguna de las estaciones fotográficas georreferenciadas se localiza dentro del polígono del bloque</t>
        </is>
      </c>
      <c r="D25" s="57" t="inlineStr">
        <is>
          <t>SUSTANTIVA</t>
        </is>
      </c>
      <c r="E25" s="57" t="inlineStr">
        <is>
          <t>La verificación documenta el perímetro y la vista panorámica del bloque, no su interior. Los parámetros que exigen recorrido interno se consignan «Por determinar». (Verificación heredada de la ficha de resumen V6.)</t>
        </is>
      </c>
    </row>
    <row r="26">
      <c r="A26" s="58" t="inlineStr">
        <is>
          <t>H-04</t>
        </is>
      </c>
      <c r="B26" s="58" t="inlineStr">
        <is>
          <t>Centro poblado asociado</t>
        </is>
      </c>
      <c r="C26" s="58" t="inlineStr">
        <is>
          <t>La ficha DT declara «Santa Rosa»; el cruce INEI-Bloques V5 identifica 2 centro(s) poblado(s) en el bloque: SAN PEDRO, SANTA ROSA</t>
        </is>
      </c>
      <c r="D26" s="58" t="inlineStr">
        <is>
          <t>CONFORME</t>
        </is>
      </c>
      <c r="E26" s="58" t="inlineStr">
        <is>
          <t>Se conserva el registro de campo como referencia y se adopta el listado INEI para el diagnóstico social y el cálculo de población beneficiaria. (Verificación heredada de la ficha de resumen V6.)</t>
        </is>
      </c>
    </row>
    <row r="27">
      <c r="A27" s="57" t="inlineStr">
        <is>
          <t>H-05</t>
        </is>
      </c>
      <c r="B27" s="57" t="inlineStr">
        <is>
          <t>Plan de Ingreso</t>
        </is>
      </c>
      <c r="C27" s="57" t="inlineStr">
        <is>
          <t>Altitud = 0 msnm (captura por defecto del aplicativo)</t>
        </is>
      </c>
      <c r="D27" s="57" t="inlineStr">
        <is>
          <t>CORREGIDO</t>
        </is>
      </c>
      <c r="E27" s="57" t="inlineStr">
        <is>
          <t>Se reemplaza por la altitud GPS de campo (285 msnm) (Verificación heredada de la ficha de resumen V6.)</t>
        </is>
      </c>
    </row>
    <row r="28">
      <c r="A28" s="58" t="inlineStr">
        <is>
          <t>H-06</t>
        </is>
      </c>
      <c r="B28" s="58" t="inlineStr">
        <is>
          <t>F-DT-02</t>
        </is>
      </c>
      <c r="C28" s="58" t="inlineStr">
        <is>
          <t>Solo 3 rasgos erosivos inventariados en un bloque de 565.58 ha</t>
        </is>
      </c>
      <c r="D28" s="58" t="inlineStr">
        <is>
          <t>SUSTANTIVA</t>
        </is>
      </c>
      <c r="E28" s="58" t="inlineStr">
        <is>
          <t>El inventario NO es representativo de la superficie total; ampliar el levantamiento (Verificación heredada de la ficha de resumen V6.)</t>
        </is>
      </c>
    </row>
    <row r="29">
      <c r="A29" s="57" t="inlineStr">
        <is>
          <t>H-07</t>
        </is>
      </c>
      <c r="B29" s="57" t="inlineStr">
        <is>
          <t>F-DT-04</t>
        </is>
      </c>
      <c r="C29" s="57" t="inlineStr">
        <is>
          <t>Densidad de cárcavas declarada 1 N.°/ha frente a 3 cárcavas en 565.58 ha (0.005 N.°/ha)</t>
        </is>
      </c>
      <c r="D29" s="57" t="inlineStr">
        <is>
          <t>SUSTANTIVA</t>
        </is>
      </c>
      <c r="E29" s="57" t="inlineStr">
        <is>
          <t>Inconsistencia aritmética a resolver (Verificación heredada de la ficha de resumen V6.)</t>
        </is>
      </c>
    </row>
    <row r="30">
      <c r="A30" s="58" t="inlineStr">
        <is>
          <t>H-08</t>
        </is>
      </c>
      <c r="B30" s="58" t="inlineStr">
        <is>
          <t>F-DT-03</t>
        </is>
      </c>
      <c r="C30" s="58" t="inlineStr">
        <is>
          <t>La especie de flor amarilla se presume invasora (probable Senna sp.); requiere confirmación taxonómica</t>
        </is>
      </c>
      <c r="D30" s="58" t="inlineStr">
        <is>
          <t>SUSTANTIVA</t>
        </is>
      </c>
      <c r="E30" s="58" t="inlineStr">
        <is>
          <t>Determinación botánica prioritaria: condiciona el diseño del control de invasoras (18-20% del área) (Verificación heredada de la ficha de resumen V6.)</t>
        </is>
      </c>
    </row>
    <row r="31">
      <c r="A31" s="57" t="inlineStr">
        <is>
          <t>H-09</t>
        </is>
      </c>
      <c r="B31" s="57" t="inlineStr">
        <is>
          <t>F-DT-05</t>
        </is>
      </c>
      <c r="C31" s="57" t="inlineStr">
        <is>
          <t>El cruce (vado) del cauce de Río Seco limita la transitabilidad en época lluviosa</t>
        </is>
      </c>
      <c r="D31" s="57" t="inlineStr">
        <is>
          <t>SUSTANTIVA</t>
        </is>
      </c>
      <c r="E31" s="57" t="inlineStr">
        <is>
          <t>Factor logístico crítico para la ejecución en 565.58 ha: dimensionar en el cronograma y el presupuesto (Verificación heredada de la ficha de resumen V6.)</t>
        </is>
      </c>
    </row>
    <row r="32">
      <c r="A32" s="58" t="inlineStr">
        <is>
          <t>H-10</t>
        </is>
      </c>
      <c r="B32" s="58" t="inlineStr">
        <is>
          <t>F-DT-01</t>
        </is>
      </c>
      <c r="C32" s="58" t="inlineStr">
        <is>
          <t>Los relictos del bosque seco se conservan en la parte alta INACCESIBLE, no verificada en campo</t>
        </is>
      </c>
      <c r="D32" s="58" t="inlineStr">
        <is>
          <t>NO SUSTANTIVA</t>
        </is>
      </c>
      <c r="E32" s="58" t="inlineStr">
        <is>
          <t>Caracterización del sector alto pendiente (Verificación heredada de la ficha de resumen V6.)</t>
        </is>
      </c>
    </row>
    <row r="34">
      <c r="A34" s="59" t="inlineStr">
        <is>
          <t>RESUMEN</t>
        </is>
      </c>
      <c r="B34" s="60" t="inlineStr">
        <is>
          <t>24 verificaciones</t>
        </is>
      </c>
      <c r="C34" s="60" t="inlineStr">
        <is>
          <t>SUSTANTIVA: 6 · NO SUSTANTIVA: 3 · CORREGIDO: 3 · CONFORME: 12</t>
        </is>
      </c>
    </row>
    <row r="36">
      <c r="A36"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6:E36"/>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M3B8</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5. Ecosistema, cobertura y flora (F-DT-03)</t>
        </is>
      </c>
      <c r="B9" s="57" t="inlineStr">
        <is>
          <t>Parcela de muestreo</t>
        </is>
      </c>
      <c r="C9" s="57" t="inlineStr">
        <is>
          <t>Sin registro en ficha</t>
        </is>
      </c>
      <c r="D9" s="57" t="inlineStr">
        <is>
          <t>P-01</t>
        </is>
      </c>
      <c r="E9" s="57" t="inlineStr">
        <is>
          <t>Dato de campo</t>
        </is>
      </c>
    </row>
    <row r="10">
      <c r="A10" s="58" t="inlineStr">
        <is>
          <t>8. Responsable y modalidad de la evaluación</t>
        </is>
      </c>
      <c r="B10" s="58" t="inlineStr">
        <is>
          <t>Hora de registro</t>
        </is>
      </c>
      <c r="C10" s="58" t="inlineStr">
        <is>
          <t>13:20 h</t>
        </is>
      </c>
      <c r="D10" s="58" t="inlineStr">
        <is>
          <t>01:20 p.m.</t>
        </is>
      </c>
      <c r="E10" s="58" t="inlineStr">
        <is>
          <t>Dato de campo</t>
        </is>
      </c>
    </row>
    <row r="12">
      <c r="A12" s="55" t="inlineStr">
        <is>
          <t>B. HECHOS APORTADOS ÚNICAMENTE POR LA FICHA DE CAMPO</t>
        </is>
      </c>
    </row>
    <row r="13">
      <c r="A13" s="56" t="inlineStr">
        <is>
          <t>Sección</t>
        </is>
      </c>
      <c r="B13" s="56" t="inlineStr">
        <is>
          <t>Hecho</t>
        </is>
      </c>
      <c r="C13" s="56" t="inlineStr">
        <is>
          <t>Valor</t>
        </is>
      </c>
      <c r="D13" s="56" t="inlineStr">
        <is>
          <t>Unidad</t>
        </is>
      </c>
    </row>
    <row r="14">
      <c r="A14" s="57" t="inlineStr">
        <is>
          <t>1. Identificación y localización</t>
        </is>
      </c>
      <c r="B14" s="57" t="inlineStr">
        <is>
          <t>UTM ESTE del punto de muestreo (m)</t>
        </is>
      </c>
      <c r="C14" s="57" t="inlineStr">
        <is>
          <t>632159</t>
        </is>
      </c>
      <c r="D14" s="57" t="inlineStr">
        <is>
          <t>m</t>
        </is>
      </c>
    </row>
    <row r="15">
      <c r="A15" s="58" t="inlineStr">
        <is>
          <t>1. Identificación y localización</t>
        </is>
      </c>
      <c r="B15" s="58" t="inlineStr">
        <is>
          <t>UTM NORTE del punto de muestreo (m)</t>
        </is>
      </c>
      <c r="C15" s="58" t="inlineStr">
        <is>
          <t>9414407</t>
        </is>
      </c>
      <c r="D15" s="58" t="inlineStr">
        <is>
          <t>m</t>
        </is>
      </c>
    </row>
    <row r="16">
      <c r="A16" s="57" t="inlineStr">
        <is>
          <t>2. Parámetros físicos del terreno</t>
        </is>
      </c>
      <c r="B16" s="57" t="inlineStr">
        <is>
          <t>Altitud GPS del punto de muestreo (msnm)</t>
        </is>
      </c>
      <c r="C16" s="57" t="inlineStr">
        <is>
          <t>285</t>
        </is>
      </c>
      <c r="D16" s="57" t="inlineStr">
        <is>
          <t>msnm</t>
        </is>
      </c>
    </row>
    <row r="17">
      <c r="A17" s="58" t="inlineStr">
        <is>
          <t>2. Parámetros físicos del terreno</t>
        </is>
      </c>
      <c r="B17" s="58" t="inlineStr">
        <is>
          <t>Piso altitudinal del punto de muestreo</t>
        </is>
      </c>
      <c r="C17" s="58" t="inlineStr">
        <is>
          <t>&lt;1000 m (Yunga)</t>
        </is>
      </c>
      <c r="D17" s="58" t="inlineStr"/>
    </row>
    <row r="18">
      <c r="A18" s="57" t="inlineStr">
        <is>
          <t>2. Parámetros físicos del terreno</t>
        </is>
      </c>
      <c r="B18" s="57" t="inlineStr">
        <is>
          <t>Paisaje dominante descrito en campo</t>
        </is>
      </c>
      <c r="C18" s="57" t="inlineStr">
        <is>
          <t>Laderas de colina del bosque estacionalmente seco; cobertura herbácea-graminoide seca dominante con árboles dispersos (Hualtaco, Charán, Pasallo, Algarrobo, Ceibo) y relictos arbóreos en cimas inaccesibles; afloramientos de cuarzo y suelos rojizos erosionados.</t>
        </is>
      </c>
      <c r="D18" s="57" t="inlineStr"/>
    </row>
    <row r="19">
      <c r="A19" s="58" t="inlineStr">
        <is>
          <t>2. Parámetros físicos del terreno</t>
        </is>
      </c>
      <c r="B19" s="58" t="inlineStr">
        <is>
          <t>Reptación de suelo</t>
        </is>
      </c>
      <c r="C19" s="58" t="inlineStr">
        <is>
          <t>Sí</t>
        </is>
      </c>
      <c r="D19" s="58" t="inlineStr"/>
    </row>
    <row r="20">
      <c r="A20" s="57" t="inlineStr">
        <is>
          <t>2. Parámetros físicos del terreno</t>
        </is>
      </c>
      <c r="B20" s="57" t="inlineStr">
        <is>
          <t>Deslizamientos antiguos</t>
        </is>
      </c>
      <c r="C20" s="57" t="inlineStr">
        <is>
          <t>No</t>
        </is>
      </c>
      <c r="D20" s="57" t="inlineStr"/>
    </row>
    <row r="21">
      <c r="A21" s="58" t="inlineStr">
        <is>
          <t>4. Suelos y erosión (F-DT-02)</t>
        </is>
      </c>
      <c r="B21" s="58" t="inlineStr">
        <is>
          <t>Nivel de erosión - síntesis de campo</t>
        </is>
      </c>
      <c r="C21" s="58" t="inlineStr">
        <is>
          <t>Fuerte (cárcavas incipientes)</t>
        </is>
      </c>
      <c r="D21" s="58" t="inlineStr"/>
    </row>
    <row r="22">
      <c r="A22" s="57" t="inlineStr">
        <is>
          <t>4. Suelos y erosión (F-DT-02)</t>
        </is>
      </c>
      <c r="B22" s="57" t="inlineStr">
        <is>
          <t>Sellamiento / costra superficial</t>
        </is>
      </c>
      <c r="C22" s="57" t="inlineStr">
        <is>
          <t>Sí</t>
        </is>
      </c>
      <c r="D22" s="57" t="inlineStr"/>
    </row>
    <row r="23">
      <c r="A23" s="58" t="inlineStr">
        <is>
          <t>4. Suelos y erosión (F-DT-02)</t>
        </is>
      </c>
      <c r="B23" s="58" t="inlineStr">
        <is>
          <t>Compactación por pisoteo</t>
        </is>
      </c>
      <c r="C23" s="58" t="inlineStr">
        <is>
          <t>Sí</t>
        </is>
      </c>
      <c r="D23" s="58" t="inlineStr"/>
    </row>
    <row r="24">
      <c r="A24" s="57" t="inlineStr">
        <is>
          <t>4. Suelos y erosión (F-DT-02)</t>
        </is>
      </c>
      <c r="B24" s="57" t="inlineStr">
        <is>
          <t>Raíces expuestas</t>
        </is>
      </c>
      <c r="C24" s="57" t="inlineStr">
        <is>
          <t>Sí</t>
        </is>
      </c>
      <c r="D24" s="57" t="inlineStr"/>
    </row>
    <row r="25">
      <c r="A25" s="58" t="inlineStr">
        <is>
          <t>4. Suelos y erosión (F-DT-02)</t>
        </is>
      </c>
      <c r="B25" s="58" t="inlineStr">
        <is>
          <t>Longitud total de cárcavas (m)</t>
        </is>
      </c>
      <c r="C25" s="58" t="inlineStr">
        <is>
          <t>62</t>
        </is>
      </c>
      <c r="D25" s="58" t="inlineStr">
        <is>
          <t>m</t>
        </is>
      </c>
    </row>
    <row r="26">
      <c r="A26" s="57" t="inlineStr">
        <is>
          <t>4. Suelos y erosión (F-DT-02)</t>
        </is>
      </c>
      <c r="B26" s="57" t="inlineStr">
        <is>
          <t>% del bloque afectado por cárcavas</t>
        </is>
      </c>
      <c r="C26" s="57" t="inlineStr">
        <is>
          <t>5</t>
        </is>
      </c>
      <c r="D26" s="57" t="inlineStr">
        <is>
          <t>%</t>
        </is>
      </c>
    </row>
    <row r="27">
      <c r="A27" s="58" t="inlineStr">
        <is>
          <t>4. Suelos y erosión (F-DT-02)</t>
        </is>
      </c>
      <c r="B27" s="58" t="inlineStr">
        <is>
          <t>Erosión laminar (% del bloque)</t>
        </is>
      </c>
      <c r="C27" s="58" t="inlineStr">
        <is>
          <t>40</t>
        </is>
      </c>
      <c r="D27" s="58" t="inlineStr">
        <is>
          <t>%</t>
        </is>
      </c>
    </row>
    <row r="28">
      <c r="A28" s="57" t="inlineStr">
        <is>
          <t>4. Suelos y erosión (F-DT-02)</t>
        </is>
      </c>
      <c r="B28" s="57" t="inlineStr">
        <is>
          <t>Patrón de cárcavas</t>
        </is>
      </c>
      <c r="C28" s="57" t="inlineStr">
        <is>
          <t>Paralelo</t>
        </is>
      </c>
      <c r="D28" s="57" t="inlineStr"/>
    </row>
    <row r="29">
      <c r="A29" s="58" t="inlineStr">
        <is>
          <t>4. Suelos y erosión (F-DT-02)</t>
        </is>
      </c>
      <c r="B29" s="58" t="inlineStr">
        <is>
          <t>Socavamiento de cauce</t>
        </is>
      </c>
      <c r="C29" s="58" t="inlineStr">
        <is>
          <t>Sí</t>
        </is>
      </c>
      <c r="D29" s="58" t="inlineStr"/>
    </row>
    <row r="30">
      <c r="A30" s="57" t="inlineStr">
        <is>
          <t>5. Ecosistema, cobertura y flora (F-DT-03)</t>
        </is>
      </c>
      <c r="B30" s="57" t="inlineStr">
        <is>
          <t>Cobertura del dosel (%)</t>
        </is>
      </c>
      <c r="C30" s="57" t="inlineStr">
        <is>
          <t>20</t>
        </is>
      </c>
      <c r="D30" s="57" t="inlineStr">
        <is>
          <t>%</t>
        </is>
      </c>
    </row>
    <row r="31">
      <c r="A31" s="58" t="inlineStr">
        <is>
          <t>5. Ecosistema, cobertura y flora (F-DT-03)</t>
        </is>
      </c>
      <c r="B31" s="58" t="inlineStr">
        <is>
          <t>Cobertura arbustiva (%)</t>
        </is>
      </c>
      <c r="C31" s="58" t="inlineStr">
        <is>
          <t>10</t>
        </is>
      </c>
      <c r="D31" s="58" t="inlineStr">
        <is>
          <t>%</t>
        </is>
      </c>
    </row>
    <row r="32">
      <c r="A32" s="57" t="inlineStr">
        <is>
          <t>5. Ecosistema, cobertura y flora (F-DT-03)</t>
        </is>
      </c>
      <c r="B32" s="57" t="inlineStr">
        <is>
          <t>Cobertura herbácea (%)</t>
        </is>
      </c>
      <c r="C32" s="57" t="inlineStr">
        <is>
          <t>45</t>
        </is>
      </c>
      <c r="D32" s="57" t="inlineStr">
        <is>
          <t>%</t>
        </is>
      </c>
    </row>
    <row r="33">
      <c r="A33" s="58" t="inlineStr">
        <is>
          <t>5. Ecosistema, cobertura y flora (F-DT-03)</t>
        </is>
      </c>
      <c r="B33" s="58" t="inlineStr">
        <is>
          <t>Cobertura de hojarasca (%)</t>
        </is>
      </c>
      <c r="C33" s="58" t="inlineStr">
        <is>
          <t>10</t>
        </is>
      </c>
      <c r="D33" s="58" t="inlineStr">
        <is>
          <t>%</t>
        </is>
      </c>
    </row>
    <row r="34">
      <c r="A34" s="57" t="inlineStr">
        <is>
          <t>5. Ecosistema, cobertura y flora (F-DT-03)</t>
        </is>
      </c>
      <c r="B34" s="57" t="inlineStr">
        <is>
          <t>Altura del estrato dominante (m)</t>
        </is>
      </c>
      <c r="C34" s="57" t="inlineStr">
        <is>
          <t>6</t>
        </is>
      </c>
      <c r="D34" s="57" t="inlineStr">
        <is>
          <t>m</t>
        </is>
      </c>
    </row>
    <row r="35">
      <c r="A35" s="58" t="inlineStr">
        <is>
          <t>5. Ecosistema, cobertura y flora (F-DT-03)</t>
        </is>
      </c>
      <c r="B35" s="58" t="inlineStr">
        <is>
          <t>Altura máxima registrada (m)</t>
        </is>
      </c>
      <c r="C35" s="58" t="inlineStr">
        <is>
          <t>12</t>
        </is>
      </c>
      <c r="D35" s="58" t="inlineStr">
        <is>
          <t>m</t>
        </is>
      </c>
    </row>
    <row r="36">
      <c r="A36" s="57" t="inlineStr">
        <is>
          <t>5. Ecosistema, cobertura y flora (F-DT-03)</t>
        </is>
      </c>
      <c r="B36" s="57" t="inlineStr">
        <is>
          <t>DAP promedio (cm)</t>
        </is>
      </c>
      <c r="C36" s="57" t="inlineStr">
        <is>
          <t>25</t>
        </is>
      </c>
      <c r="D36" s="57" t="inlineStr">
        <is>
          <t>cm</t>
        </is>
      </c>
    </row>
    <row r="37">
      <c r="A37" s="58" t="inlineStr">
        <is>
          <t>5. Ecosistema, cobertura y flora (F-DT-03)</t>
        </is>
      </c>
      <c r="B37" s="58" t="inlineStr">
        <is>
          <t>Presencia de epífitas</t>
        </is>
      </c>
      <c r="C37" s="58" t="inlineStr">
        <is>
          <t>No</t>
        </is>
      </c>
      <c r="D37" s="58" t="inlineStr"/>
    </row>
    <row r="38">
      <c r="A38" s="57" t="inlineStr">
        <is>
          <t>5. Ecosistema, cobertura y flora (F-DT-03)</t>
        </is>
      </c>
      <c r="B38" s="57" t="inlineStr">
        <is>
          <t>Fenología dominante</t>
        </is>
      </c>
      <c r="C38" s="57" t="inlineStr">
        <is>
          <t>Caducifolio (hojas caídas)</t>
        </is>
      </c>
      <c r="D38" s="57" t="inlineStr"/>
    </row>
    <row r="39">
      <c r="A39" s="58" t="inlineStr">
        <is>
          <t>5. Ecosistema, cobertura y flora (F-DT-03)</t>
        </is>
      </c>
      <c r="B39" s="58" t="inlineStr">
        <is>
          <t>Dimensiones de la parcela (m)</t>
        </is>
      </c>
      <c r="C39" s="58" t="inlineStr">
        <is>
          <t>20 x 50</t>
        </is>
      </c>
      <c r="D39" s="58" t="inlineStr"/>
    </row>
    <row r="40">
      <c r="A40" s="57" t="inlineStr">
        <is>
          <t>5. Ecosistema, cobertura y flora (F-DT-03)</t>
        </is>
      </c>
      <c r="B40" s="57" t="inlineStr">
        <is>
          <t>Pendiente de la parcela (%)</t>
        </is>
      </c>
      <c r="C40" s="57" t="inlineStr">
        <is>
          <t>35</t>
        </is>
      </c>
      <c r="D40" s="57" t="inlineStr">
        <is>
          <t>%</t>
        </is>
      </c>
    </row>
    <row r="41">
      <c r="A41" s="58" t="inlineStr">
        <is>
          <t>5. Ecosistema, cobertura y flora (F-DT-03)</t>
        </is>
      </c>
      <c r="B41" s="58" t="inlineStr">
        <is>
          <t>Especies clave georreferenciadas</t>
        </is>
      </c>
      <c r="C41" s="58" t="inlineStr">
        <is>
          <t>5</t>
        </is>
      </c>
      <c r="D41" s="58" t="inlineStr"/>
    </row>
    <row r="42">
      <c r="A42" s="57" t="inlineStr">
        <is>
          <t>6. Degradación, causas y urgencia (F-DT-04)</t>
        </is>
      </c>
      <c r="B42" s="57" t="inlineStr">
        <is>
          <t>Causas directas de la degradación</t>
        </is>
      </c>
      <c r="C42" s="57" t="inlineStr">
        <is>
          <t>Sobrepastoreo caprino/vacuno y conversión a pastizal, tala selectiva para leña/madera, quemas de renovación de pastos y erosión hídrica acelerada (cárcavas y surcos), agravados por déficit hídrico (cambio climático) y avance de especie invasora no palatable.</t>
        </is>
      </c>
      <c r="D42" s="57" t="inlineStr"/>
    </row>
    <row r="43">
      <c r="A43" s="58" t="inlineStr">
        <is>
          <t>6. Degradación, causas y urgencia (F-DT-04)</t>
        </is>
      </c>
      <c r="B43" s="58" t="inlineStr">
        <is>
          <t>N.° de causas activas en la matriz F-DT-04</t>
        </is>
      </c>
      <c r="C43" s="58" t="inlineStr">
        <is>
          <t>10</t>
        </is>
      </c>
      <c r="D43" s="58" t="inlineStr"/>
    </row>
    <row r="44">
      <c r="A44" s="57" t="inlineStr">
        <is>
          <t>7. Hidrología, acceso y logística (F-DT-05)</t>
        </is>
      </c>
      <c r="B44" s="57" t="inlineStr">
        <is>
          <t>Escorrentía concentrada</t>
        </is>
      </c>
      <c r="C44" s="57" t="inlineStr">
        <is>
          <t>Sí</t>
        </is>
      </c>
      <c r="D44" s="57" t="inlineStr"/>
    </row>
    <row r="45">
      <c r="A45" s="58" t="inlineStr">
        <is>
          <t>7. Hidrología, acceso y logística (F-DT-05)</t>
        </is>
      </c>
      <c r="B45" s="58" t="inlineStr">
        <is>
          <t>Fuentes de agua inventariadas</t>
        </is>
      </c>
      <c r="C45" s="58" t="inlineStr">
        <is>
          <t>2</t>
        </is>
      </c>
      <c r="D45" s="58" t="inlineStr"/>
    </row>
    <row r="46">
      <c r="A46" s="57" t="inlineStr">
        <is>
          <t>7. Hidrología, acceso y logística (F-DT-05)</t>
        </is>
      </c>
      <c r="B46" s="57" t="inlineStr">
        <is>
          <t>Distancia a captación (m)</t>
        </is>
      </c>
      <c r="C46" s="57" t="inlineStr">
        <is>
          <t>800</t>
        </is>
      </c>
      <c r="D46" s="57" t="inlineStr">
        <is>
          <t>m</t>
        </is>
      </c>
    </row>
    <row r="47">
      <c r="A47" s="58" t="inlineStr">
        <is>
          <t>7. Hidrología, acceso y logística (F-DT-05)</t>
        </is>
      </c>
      <c r="B47" s="58" t="inlineStr">
        <is>
          <t>Interferencia con riego</t>
        </is>
      </c>
      <c r="C47" s="58" t="inlineStr">
        <is>
          <t>No</t>
        </is>
      </c>
      <c r="D47" s="58" t="inlineStr"/>
    </row>
    <row r="48">
      <c r="A48" s="57" t="inlineStr">
        <is>
          <t>7. Hidrología, acceso y logística (F-DT-05)</t>
        </is>
      </c>
      <c r="B48" s="57" t="inlineStr">
        <is>
          <t>Vía principal de acceso</t>
        </is>
      </c>
      <c r="C48" s="57" t="inlineStr">
        <is>
          <t>Acceso desde Salitral por trocha carrozable y cruce (vado) del cauce de Río Seco</t>
        </is>
      </c>
      <c r="D48" s="57" t="inlineStr"/>
    </row>
    <row r="49">
      <c r="A49" s="58" t="inlineStr">
        <is>
          <t>7. Hidrología, acceso y logística (F-DT-05)</t>
        </is>
      </c>
      <c r="B49" s="58" t="inlineStr">
        <is>
          <t>Tipo de vía del tramo final</t>
        </is>
      </c>
      <c r="C49" s="58" t="inlineStr">
        <is>
          <t>Camino de herradura</t>
        </is>
      </c>
      <c r="D49" s="58" t="inlineStr"/>
    </row>
    <row r="50">
      <c r="A50" s="57" t="inlineStr">
        <is>
          <t>7. Hidrología, acceso y logística (F-DT-05)</t>
        </is>
      </c>
      <c r="B50" s="57" t="inlineStr">
        <is>
          <t>Transitabilidad en época seca</t>
        </is>
      </c>
      <c r="C50" s="57" t="inlineStr">
        <is>
          <t>Medio</t>
        </is>
      </c>
      <c r="D50" s="57" t="inlineStr"/>
    </row>
    <row r="51">
      <c r="A51" s="58" t="inlineStr">
        <is>
          <t>7. Hidrología, acceso y logística (F-DT-05)</t>
        </is>
      </c>
      <c r="B51" s="58" t="inlineStr">
        <is>
          <t>Transitabilidad en época lluviosa</t>
        </is>
      </c>
      <c r="C51" s="58" t="inlineStr">
        <is>
          <t>Bajo</t>
        </is>
      </c>
      <c r="D51" s="58" t="inlineStr"/>
    </row>
    <row r="52">
      <c r="A52" s="57" t="inlineStr">
        <is>
          <t>7. Hidrología, acceso y logística (F-DT-05)</t>
        </is>
      </c>
      <c r="B52" s="57" t="inlineStr">
        <is>
          <t>Tiempo a la capital distrital (min)</t>
        </is>
      </c>
      <c r="C52" s="57" t="inlineStr">
        <is>
          <t>60</t>
        </is>
      </c>
      <c r="D52" s="57" t="inlineStr">
        <is>
          <t>min</t>
        </is>
      </c>
    </row>
    <row r="53">
      <c r="A53" s="58" t="inlineStr">
        <is>
          <t>7. Hidrología, acceso y logística (F-DT-05)</t>
        </is>
      </c>
      <c r="B53" s="58" t="inlineStr">
        <is>
          <t>Señal celular</t>
        </is>
      </c>
      <c r="C53" s="58" t="inlineStr">
        <is>
          <t>Parcial</t>
        </is>
      </c>
      <c r="D53" s="58" t="inlineStr"/>
    </row>
    <row r="54">
      <c r="A54" s="57" t="inlineStr">
        <is>
          <t>7. Hidrología, acceso y logística (F-DT-05)</t>
        </is>
      </c>
      <c r="B54" s="57" t="inlineStr">
        <is>
          <t>Operador con cobertura</t>
        </is>
      </c>
      <c r="C54" s="57" t="inlineStr">
        <is>
          <t>Movistar</t>
        </is>
      </c>
      <c r="D54" s="57" t="inlineStr"/>
    </row>
    <row r="55">
      <c r="A55" s="58" t="inlineStr">
        <is>
          <t>7. Hidrología, acceso y logística (F-DT-05)</t>
        </is>
      </c>
      <c r="B55" s="58" t="inlineStr">
        <is>
          <t>Alojamiento disponible en la zona</t>
        </is>
      </c>
      <c r="C55" s="58" t="inlineStr">
        <is>
          <t>No</t>
        </is>
      </c>
      <c r="D55" s="58" t="inlineStr"/>
    </row>
    <row r="56">
      <c r="A56" s="57" t="inlineStr">
        <is>
          <t>7. Hidrología, acceso y logística (F-DT-05)</t>
        </is>
      </c>
      <c r="B56" s="57" t="inlineStr">
        <is>
          <t>Requiere coordinación con ronda / comunidad</t>
        </is>
      </c>
      <c r="C56" s="57" t="inlineStr">
        <is>
          <t>Sí</t>
        </is>
      </c>
      <c r="D56" s="57" t="inlineStr"/>
    </row>
    <row r="57">
      <c r="A57" s="58" t="inlineStr">
        <is>
          <t>7. Hidrología, acceso y logística (F-DT-05)</t>
        </is>
      </c>
      <c r="B57" s="58" t="inlineStr">
        <is>
          <t>Contacto local de coordinación</t>
        </is>
      </c>
      <c r="C57" s="58" t="inlineStr">
        <is>
          <t>Coordinar con la Ronda Campesina de Bigote/Santa Rosa (contacto por verificar en campo)</t>
        </is>
      </c>
      <c r="D57" s="58" t="inlineStr"/>
    </row>
    <row r="59">
      <c r="A59" s="55" t="inlineStr">
        <is>
          <t>C. PROCEDENCIA DE LOS HECHOS DECLARADOS</t>
        </is>
      </c>
    </row>
    <row r="60">
      <c r="A60" s="56" t="inlineStr">
        <is>
          <t>Fuente</t>
        </is>
      </c>
      <c r="B60" s="56" t="inlineStr">
        <is>
          <t>Hechos</t>
        </is>
      </c>
      <c r="C60" s="56" t="inlineStr">
        <is>
          <t>Alcance de la fuente</t>
        </is>
      </c>
    </row>
    <row r="61">
      <c r="A61" s="57" t="inlineStr">
        <is>
          <t>Dato de campo</t>
        </is>
      </c>
      <c r="B61" s="57" t="n">
        <v>76</v>
      </c>
      <c r="C61" s="57" t="inlineStr">
        <is>
          <t>Verificación en campo. Fichas F-DT-01 a F-DT-05 de la Plantilla DT Campo Check Validada V5, suscritas por el evaluador.</t>
        </is>
      </c>
    </row>
    <row r="62">
      <c r="A62" s="58" t="inlineStr">
        <is>
          <t>Gabinete (GIS / teledetección)</t>
        </is>
      </c>
      <c r="B62" s="58" t="n">
        <v>21</v>
      </c>
      <c r="C62" s="58" t="inlineStr">
        <is>
          <t>Gabinete. Estadística zonal sobre el MDE y compuestos Sentinel-2 (NDVI mediana 2025, MSAVI 2024 por clase DN).</t>
        </is>
      </c>
    </row>
    <row r="63">
      <c r="A63" s="57" t="inlineStr">
        <is>
          <t>Fuente oficial</t>
        </is>
      </c>
      <c r="B63" s="57" t="n">
        <v>14</v>
      </c>
      <c r="C63" s="57" t="inlineStr">
        <is>
          <t>Fuente oficial. Catálogo maestro Bloques V5/V6, división política INEI y codificación de microcuencas de la ANA.</t>
        </is>
      </c>
    </row>
    <row r="65">
      <c r="A65" s="55" t="inlineStr">
        <is>
          <t>D. ESTADO DEL CRUCE ENTRE FUENTES</t>
        </is>
      </c>
    </row>
    <row r="66">
      <c r="A66" s="56" t="inlineStr">
        <is>
          <t>Estado</t>
        </is>
      </c>
      <c r="B66" s="56" t="inlineStr">
        <is>
          <t>Hechos</t>
        </is>
      </c>
      <c r="C66" s="56" t="inlineStr">
        <is>
          <t>Significado</t>
        </is>
      </c>
    </row>
    <row r="67">
      <c r="A67" s="57" t="inlineStr">
        <is>
          <t>CONFORME</t>
        </is>
      </c>
      <c r="B67" s="57" t="n">
        <v>109</v>
      </c>
      <c r="C67" s="57" t="inlineStr">
        <is>
          <t>Las dos fuentes declaran lo mismo, o solo la fuente que manda sobre el hecho lo declara.</t>
        </is>
      </c>
    </row>
    <row r="68">
      <c r="A68" s="58" t="inlineStr">
        <is>
          <t>COMPLEMENTADO</t>
        </is>
      </c>
      <c r="B68" s="58" t="n">
        <v>0</v>
      </c>
      <c r="C68" s="58" t="inlineStr">
        <is>
          <t>Solo una de las fuentes lo declara y se adopta ese valor.</t>
        </is>
      </c>
    </row>
    <row r="69">
      <c r="A69" s="57" t="inlineStr">
        <is>
          <t>ACTUALIZADO</t>
        </is>
      </c>
      <c r="B69" s="57" t="n">
        <v>2</v>
      </c>
      <c r="C69" s="57" t="inlineStr">
        <is>
          <t>La verificación de campo vigente corrige lo que traía el libro de resumen.</t>
        </is>
      </c>
    </row>
    <row r="70">
      <c r="A70" s="58" t="inlineStr">
        <is>
          <t>DISCREPANTE</t>
        </is>
      </c>
      <c r="B70" s="58" t="n">
        <v>0</v>
      </c>
      <c r="C70" s="58" t="inlineStr">
        <is>
          <t>Las fuentes se contradicen; prevalece la que manda sobre el hecho y la otra queda declarada.</t>
        </is>
      </c>
    </row>
    <row r="71">
      <c r="A71" s="57" t="inlineStr">
        <is>
          <t>PENDIENTE</t>
        </is>
      </c>
      <c r="B71" s="57" t="n">
        <v>3</v>
      </c>
      <c r="C71"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M3B8</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º</t>
        </is>
      </c>
      <c r="B9" s="57" t="inlineStr">
        <is>
          <t>Cárcava incipiente (30-50 cm)</t>
        </is>
      </c>
      <c r="C9" s="62" t="n">
        <v>632159</v>
      </c>
      <c r="D9" s="62" t="n">
        <v>9414407</v>
      </c>
      <c r="E9" s="62" t="n">
        <v>25</v>
      </c>
      <c r="F9" s="63" t="n">
        <v>0.4</v>
      </c>
      <c r="G9" s="63" t="n">
        <v>0.6</v>
      </c>
      <c r="H9" s="57" t="inlineStr">
        <is>
          <t>Activa</t>
        </is>
      </c>
      <c r="I9" s="57" t="inlineStr">
        <is>
          <t>Concentración natural de escorrentía</t>
        </is>
      </c>
    </row>
    <row r="10">
      <c r="A10" s="58" t="inlineStr">
        <is>
          <t>C-02</t>
        </is>
      </c>
      <c r="B10" s="58" t="inlineStr">
        <is>
          <t>Cárcava somera (0.5-2 m)</t>
        </is>
      </c>
      <c r="C10" s="64" t="n">
        <v>632167</v>
      </c>
      <c r="D10" s="64" t="n">
        <v>9414417</v>
      </c>
      <c r="E10" s="64" t="n">
        <v>22</v>
      </c>
      <c r="F10" s="65" t="n">
        <v>0.6</v>
      </c>
      <c r="G10" s="65" t="n">
        <v>0.9</v>
      </c>
      <c r="H10" s="58" t="inlineStr">
        <is>
          <t>Activa</t>
        </is>
      </c>
      <c r="I10" s="58" t="inlineStr">
        <is>
          <t>Tala / pérdida de cobertura</t>
        </is>
      </c>
    </row>
    <row r="11">
      <c r="A11" s="57" t="inlineStr">
        <is>
          <t>C-03</t>
        </is>
      </c>
      <c r="B11" s="57" t="inlineStr">
        <is>
          <t>Surco (&lt;30 cm)</t>
        </is>
      </c>
      <c r="C11" s="62" t="n">
        <v>632141</v>
      </c>
      <c r="D11" s="62" t="n">
        <v>9414451</v>
      </c>
      <c r="E11" s="62" t="n">
        <v>15</v>
      </c>
      <c r="F11" s="63" t="n">
        <v>0.25</v>
      </c>
      <c r="G11" s="63" t="n">
        <v>0.35</v>
      </c>
      <c r="H11" s="57" t="inlineStr">
        <is>
          <t>Semi-activa</t>
        </is>
      </c>
      <c r="I11" s="57" t="inlineStr">
        <is>
          <t>Caminos / huellas de ganado</t>
        </is>
      </c>
    </row>
    <row r="13">
      <c r="A13" s="55" t="inlineStr">
        <is>
          <t>F-DT-03 · ELENCO FLORÍSTICO</t>
        </is>
      </c>
    </row>
    <row r="14">
      <c r="A14" s="56" t="inlineStr">
        <is>
          <t>N.o</t>
        </is>
      </c>
      <c r="B14" s="56" t="inlineStr">
        <is>
          <t>Nombre común</t>
        </is>
      </c>
      <c r="C14" s="56" t="inlineStr">
        <is>
          <t>Nombre científico</t>
        </is>
      </c>
      <c r="D14" s="56" t="inlineStr">
        <is>
          <t>Familia</t>
        </is>
      </c>
      <c r="E14" s="56" t="inlineStr">
        <is>
          <t>Estrato</t>
        </is>
      </c>
      <c r="F14" s="56" t="inlineStr">
        <is>
          <t>Origen</t>
        </is>
      </c>
      <c r="G14" s="56" t="inlineStr">
        <is>
          <t>Abundancia</t>
        </is>
      </c>
      <c r="H14" s="56" t="inlineStr">
        <is>
          <t>DAP (cm)</t>
        </is>
      </c>
      <c r="I14" s="56" t="inlineStr">
        <is>
          <t>Altura (m)</t>
        </is>
      </c>
    </row>
    <row r="15">
      <c r="A15" s="57" t="inlineStr">
        <is>
          <t>1</t>
        </is>
      </c>
      <c r="B15" s="57" t="inlineStr">
        <is>
          <t>Hualtaco</t>
        </is>
      </c>
      <c r="C15" s="57" t="inlineStr">
        <is>
          <t>Loxopterygium huasango</t>
        </is>
      </c>
      <c r="D15" s="57" t="inlineStr">
        <is>
          <t>Anacardiaceae</t>
        </is>
      </c>
      <c r="E15" s="57" t="inlineStr">
        <is>
          <t>Arbóreo medio (8-15 m)</t>
        </is>
      </c>
      <c r="F15" s="57" t="inlineStr">
        <is>
          <t>Nativa</t>
        </is>
      </c>
      <c r="G15" s="57" t="inlineStr">
        <is>
          <t>Frecuente (5-20%)</t>
        </is>
      </c>
      <c r="H15" s="62" t="n">
        <v>30</v>
      </c>
      <c r="I15" s="62" t="n">
        <v>10</v>
      </c>
    </row>
    <row r="16">
      <c r="A16" s="58" t="inlineStr">
        <is>
          <t>2</t>
        </is>
      </c>
      <c r="B16" s="58" t="inlineStr">
        <is>
          <t>Charán</t>
        </is>
      </c>
      <c r="C16" s="58" t="inlineStr">
        <is>
          <t>Caesalpinia paipai</t>
        </is>
      </c>
      <c r="D16" s="58" t="inlineStr">
        <is>
          <t>Fabaceae</t>
        </is>
      </c>
      <c r="E16" s="58" t="inlineStr">
        <is>
          <t>Arbóreo bajo (4-8 m)</t>
        </is>
      </c>
      <c r="F16" s="58" t="inlineStr">
        <is>
          <t>Nativa</t>
        </is>
      </c>
      <c r="G16" s="58" t="inlineStr">
        <is>
          <t>Frecuente (5-20%)</t>
        </is>
      </c>
      <c r="H16" s="64" t="n">
        <v>20</v>
      </c>
      <c r="I16" s="65" t="n">
        <v>6</v>
      </c>
    </row>
    <row r="17">
      <c r="A17" s="57" t="inlineStr">
        <is>
          <t>3</t>
        </is>
      </c>
      <c r="B17" s="57" t="inlineStr">
        <is>
          <t>Pasallo</t>
        </is>
      </c>
      <c r="C17" s="57" t="inlineStr">
        <is>
          <t>Eriotheca ruizii</t>
        </is>
      </c>
      <c r="D17" s="57" t="inlineStr">
        <is>
          <t>Malvaceae</t>
        </is>
      </c>
      <c r="E17" s="57" t="inlineStr">
        <is>
          <t>Arbóreo medio (8-15 m)</t>
        </is>
      </c>
      <c r="F17" s="57" t="inlineStr">
        <is>
          <t>Nativa</t>
        </is>
      </c>
      <c r="G17" s="57" t="inlineStr">
        <is>
          <t>Ocasional (1-5%)</t>
        </is>
      </c>
      <c r="H17" s="62" t="n">
        <v>40</v>
      </c>
      <c r="I17" s="62" t="n">
        <v>12</v>
      </c>
    </row>
    <row r="18">
      <c r="A18" s="58" t="inlineStr">
        <is>
          <t>4</t>
        </is>
      </c>
      <c r="B18" s="58" t="inlineStr">
        <is>
          <t>Ceibo</t>
        </is>
      </c>
      <c r="C18" s="58" t="inlineStr">
        <is>
          <t>Ceiba trichistandra</t>
        </is>
      </c>
      <c r="D18" s="58" t="inlineStr">
        <is>
          <t>Malvaceae</t>
        </is>
      </c>
      <c r="E18" s="58" t="inlineStr">
        <is>
          <t>Arbóreo superior (&gt;15 m)</t>
        </is>
      </c>
      <c r="F18" s="58" t="inlineStr">
        <is>
          <t>Nativa</t>
        </is>
      </c>
      <c r="G18" s="58" t="inlineStr">
        <is>
          <t>Rara (&lt;1%)</t>
        </is>
      </c>
      <c r="H18" s="64" t="n">
        <v>60</v>
      </c>
      <c r="I18" s="64" t="n">
        <v>15</v>
      </c>
    </row>
    <row r="19">
      <c r="A19" s="57" t="inlineStr">
        <is>
          <t>5</t>
        </is>
      </c>
      <c r="B19" s="57" t="inlineStr">
        <is>
          <t>Algarrobo</t>
        </is>
      </c>
      <c r="C19" s="57" t="inlineStr">
        <is>
          <t>Neltuma pallida (Prosopis pallida)</t>
        </is>
      </c>
      <c r="D19" s="57" t="inlineStr">
        <is>
          <t>Fabaceae</t>
        </is>
      </c>
      <c r="E19" s="57" t="inlineStr">
        <is>
          <t>Arbóreo bajo (4-8 m)</t>
        </is>
      </c>
      <c r="F19" s="57" t="inlineStr">
        <is>
          <t>Nativa</t>
        </is>
      </c>
      <c r="G19" s="57" t="inlineStr">
        <is>
          <t>Ocasional (1-5%)</t>
        </is>
      </c>
      <c r="H19" s="62" t="n">
        <v>35</v>
      </c>
      <c r="I19" s="63" t="n">
        <v>7</v>
      </c>
    </row>
    <row r="20">
      <c r="A20" s="58" t="inlineStr">
        <is>
          <t>6</t>
        </is>
      </c>
      <c r="B20" s="58" t="inlineStr">
        <is>
          <t>Faique / Aromo</t>
        </is>
      </c>
      <c r="C20" s="58" t="inlineStr">
        <is>
          <t>Vachellia macracantha</t>
        </is>
      </c>
      <c r="D20" s="58" t="inlineStr">
        <is>
          <t>Fabaceae</t>
        </is>
      </c>
      <c r="E20" s="58" t="inlineStr">
        <is>
          <t>Arbóreo bajo (4-8 m)</t>
        </is>
      </c>
      <c r="F20" s="58" t="inlineStr">
        <is>
          <t>Nativa</t>
        </is>
      </c>
      <c r="G20" s="58" t="inlineStr">
        <is>
          <t>Frecuente (5-20%)</t>
        </is>
      </c>
      <c r="H20" s="64" t="n">
        <v>18</v>
      </c>
      <c r="I20" s="65" t="n">
        <v>5</v>
      </c>
    </row>
    <row r="21">
      <c r="A21" s="57" t="inlineStr">
        <is>
          <t>7</t>
        </is>
      </c>
      <c r="B21" s="57" t="inlineStr">
        <is>
          <t>Palo santo</t>
        </is>
      </c>
      <c r="C21" s="57" t="inlineStr">
        <is>
          <t>Bursera graveolens</t>
        </is>
      </c>
      <c r="D21" s="57" t="inlineStr">
        <is>
          <t>Burseraceae</t>
        </is>
      </c>
      <c r="E21" s="57" t="inlineStr">
        <is>
          <t>Arbóreo bajo (4-8 m)</t>
        </is>
      </c>
      <c r="F21" s="57" t="inlineStr">
        <is>
          <t>Nativa</t>
        </is>
      </c>
      <c r="G21" s="57" t="inlineStr">
        <is>
          <t>Ocasional (1-5%)</t>
        </is>
      </c>
      <c r="H21" s="62" t="n">
        <v>22</v>
      </c>
      <c r="I21" s="63" t="n">
        <v>6</v>
      </c>
    </row>
    <row r="22">
      <c r="A22" s="58" t="inlineStr">
        <is>
          <t>8</t>
        </is>
      </c>
      <c r="B22" s="58" t="inlineStr">
        <is>
          <t>Vichayo / Sapote</t>
        </is>
      </c>
      <c r="C22" s="58" t="inlineStr">
        <is>
          <t>Colicodendron scabridum (Capparis scabrida)</t>
        </is>
      </c>
      <c r="D22" s="58" t="inlineStr">
        <is>
          <t>Capparaceae</t>
        </is>
      </c>
      <c r="E22" s="58" t="inlineStr">
        <is>
          <t>Arbustivo alto (1.5-4 m)</t>
        </is>
      </c>
      <c r="F22" s="58" t="inlineStr">
        <is>
          <t>Nativa</t>
        </is>
      </c>
      <c r="G22" s="58" t="inlineStr">
        <is>
          <t>Ocasional (1-5%)</t>
        </is>
      </c>
      <c r="H22" s="58" t="n"/>
      <c r="I22" s="65" t="n">
        <v>3</v>
      </c>
    </row>
    <row r="23">
      <c r="A23" s="57" t="inlineStr">
        <is>
          <t>9</t>
        </is>
      </c>
      <c r="B23" s="57" t="inlineStr">
        <is>
          <t>Overo</t>
        </is>
      </c>
      <c r="C23" s="57" t="inlineStr">
        <is>
          <t>Cordia lutea</t>
        </is>
      </c>
      <c r="D23" s="57" t="inlineStr">
        <is>
          <t>Boraginaceae</t>
        </is>
      </c>
      <c r="E23" s="57" t="inlineStr">
        <is>
          <t>Arbustivo alto (1.5-4 m)</t>
        </is>
      </c>
      <c r="F23" s="57" t="inlineStr">
        <is>
          <t>Nativa</t>
        </is>
      </c>
      <c r="G23" s="57" t="inlineStr">
        <is>
          <t>Ocasional (1-5%)</t>
        </is>
      </c>
      <c r="H23" s="57" t="n"/>
      <c r="I23" s="63" t="n">
        <v>3</v>
      </c>
    </row>
    <row r="24">
      <c r="A24" s="58" t="inlineStr">
        <is>
          <t>10</t>
        </is>
      </c>
      <c r="B24" s="58" t="inlineStr">
        <is>
          <t>Cactácea columnar</t>
        </is>
      </c>
      <c r="C24" s="58" t="inlineStr">
        <is>
          <t>Armatocereus cartwrightianus</t>
        </is>
      </c>
      <c r="D24" s="58" t="inlineStr">
        <is>
          <t>Cactaceae</t>
        </is>
      </c>
      <c r="E24" s="58" t="inlineStr">
        <is>
          <t>Arbustivo alto (1.5-4 m)</t>
        </is>
      </c>
      <c r="F24" s="58" t="inlineStr">
        <is>
          <t>Nativa</t>
        </is>
      </c>
      <c r="G24" s="58" t="inlineStr">
        <is>
          <t>Rara (&lt;1%)</t>
        </is>
      </c>
      <c r="H24" s="58" t="n"/>
      <c r="I24" s="65" t="n">
        <v>3</v>
      </c>
    </row>
    <row r="25">
      <c r="A25" s="57" t="inlineStr">
        <is>
          <t>11</t>
        </is>
      </c>
      <c r="B25" s="57" t="inlineStr">
        <is>
          <t>Polo polo</t>
        </is>
      </c>
      <c r="C25" s="57" t="inlineStr">
        <is>
          <t>Cochlospermum vitifolium</t>
        </is>
      </c>
      <c r="D25" s="57" t="inlineStr">
        <is>
          <t>Bixaceae</t>
        </is>
      </c>
      <c r="E25" s="57" t="inlineStr">
        <is>
          <t>Arbóreo bajo (4-8 m)</t>
        </is>
      </c>
      <c r="F25" s="57" t="inlineStr">
        <is>
          <t>Nativa</t>
        </is>
      </c>
      <c r="G25" s="57" t="inlineStr">
        <is>
          <t>Rara (&lt;1%)</t>
        </is>
      </c>
      <c r="H25" s="57" t="n"/>
      <c r="I25" s="63" t="n">
        <v>5</v>
      </c>
    </row>
    <row r="26">
      <c r="A26" s="58" t="inlineStr">
        <is>
          <t>12</t>
        </is>
      </c>
      <c r="B26" s="58" t="inlineStr">
        <is>
          <t>Flor amarilla (invasora, nombre local desconocido)</t>
        </is>
      </c>
      <c r="C26" s="58" t="inlineStr">
        <is>
          <t>Senna sp. (por confirmar)</t>
        </is>
      </c>
      <c r="D26" s="58" t="inlineStr">
        <is>
          <t>Fabaceae</t>
        </is>
      </c>
      <c r="E26" s="58" t="inlineStr">
        <is>
          <t>Arbustivo bajo (0.5-1.5 m)</t>
        </is>
      </c>
      <c r="F26" s="58" t="inlineStr">
        <is>
          <t>Invasora</t>
        </is>
      </c>
      <c r="G26" s="58" t="inlineStr">
        <is>
          <t>Abundante (20-40%)</t>
        </is>
      </c>
      <c r="H26" s="58" t="n"/>
      <c r="I26" s="65" t="n">
        <v>1.2</v>
      </c>
    </row>
    <row r="27">
      <c r="A27" s="57" t="inlineStr">
        <is>
          <t>13</t>
        </is>
      </c>
      <c r="B27" s="57" t="inlineStr">
        <is>
          <t>Pasto natural / gramíneas</t>
        </is>
      </c>
      <c r="C27" s="57" t="inlineStr">
        <is>
          <t>Poaceae (varias)</t>
        </is>
      </c>
      <c r="D27" s="57" t="inlineStr">
        <is>
          <t>Poaceae</t>
        </is>
      </c>
      <c r="E27" s="57" t="inlineStr">
        <is>
          <t>Herbáceo (&lt;0.5 m)</t>
        </is>
      </c>
      <c r="F27" s="57" t="inlineStr">
        <is>
          <t>Nativa</t>
        </is>
      </c>
      <c r="G27" s="57" t="inlineStr">
        <is>
          <t>Dominante (&gt;40%)</t>
        </is>
      </c>
      <c r="H27" s="57" t="n"/>
      <c r="I27" s="63" t="n">
        <v>0.4</v>
      </c>
    </row>
    <row r="28">
      <c r="A28" s="58" t="inlineStr">
        <is>
          <t>14</t>
        </is>
      </c>
      <c r="B28" s="58" t="inlineStr">
        <is>
          <t>Cadillo / hierbas anuales</t>
        </is>
      </c>
      <c r="C28" s="58" t="inlineStr">
        <is>
          <t>Por confirmar</t>
        </is>
      </c>
      <c r="D28" s="58" t="inlineStr">
        <is>
          <t>Varias</t>
        </is>
      </c>
      <c r="E28" s="58" t="inlineStr">
        <is>
          <t>Herbáceo (&lt;0.5 m)</t>
        </is>
      </c>
      <c r="F28" s="58" t="inlineStr">
        <is>
          <t>Nativa</t>
        </is>
      </c>
      <c r="G28" s="58" t="inlineStr">
        <is>
          <t>Frecuente (5-20%)</t>
        </is>
      </c>
      <c r="H28" s="58" t="n"/>
      <c r="I28" s="65" t="n">
        <v>0.3</v>
      </c>
    </row>
    <row r="29">
      <c r="A29" s="57" t="inlineStr">
        <is>
          <t>15</t>
        </is>
      </c>
      <c r="B29" s="57" t="inlineStr">
        <is>
          <t>Borrachera / arbusto local</t>
        </is>
      </c>
      <c r="C29" s="57" t="inlineStr">
        <is>
          <t>Por confirmar</t>
        </is>
      </c>
      <c r="D29" s="57" t="inlineStr">
        <is>
          <t>Ipomoea carnea</t>
        </is>
      </c>
      <c r="E29" s="57" t="inlineStr">
        <is>
          <t>Arbustivo bajo (0.5-1.5 m)</t>
        </is>
      </c>
      <c r="F29" s="57" t="inlineStr">
        <is>
          <t>Nativa</t>
        </is>
      </c>
      <c r="G29" s="57" t="inlineStr">
        <is>
          <t>Ocasional (1-5%)</t>
        </is>
      </c>
      <c r="H29" s="57" t="n"/>
      <c r="I29" s="63" t="n">
        <v>1</v>
      </c>
    </row>
    <row r="31">
      <c r="A31" s="55" t="inlineStr">
        <is>
          <t>F-DT-03 · ESPECIES CLAVE GEORREFERENCIADAS</t>
        </is>
      </c>
    </row>
    <row r="32">
      <c r="A32" s="56" t="inlineStr">
        <is>
          <t>N.o</t>
        </is>
      </c>
      <c r="B32" s="56" t="inlineStr">
        <is>
          <t>Especie</t>
        </is>
      </c>
      <c r="C32" s="56" t="inlineStr">
        <is>
          <t>Categoría</t>
        </is>
      </c>
      <c r="D32" s="56" t="inlineStr">
        <is>
          <t>Estado UICN</t>
        </is>
      </c>
      <c r="E32" s="56" t="inlineStr">
        <is>
          <t>UTM ESTE</t>
        </is>
      </c>
      <c r="F32" s="56" t="inlineStr">
        <is>
          <t>UTM NORTE</t>
        </is>
      </c>
      <c r="G32" s="56" t="inlineStr">
        <is>
          <t>N.° individuos</t>
        </is>
      </c>
      <c r="H32" s="56" t="inlineStr">
        <is>
          <t>Observación</t>
        </is>
      </c>
    </row>
    <row r="33">
      <c r="A33" s="57" t="inlineStr">
        <is>
          <t>1</t>
        </is>
      </c>
      <c r="B33" s="57" t="inlineStr">
        <is>
          <t>Loxopterygium huasango (Hualtaco)</t>
        </is>
      </c>
      <c r="C33" s="57" t="inlineStr">
        <is>
          <t>Amenazada (D.S. 043-2006-AG)</t>
        </is>
      </c>
      <c r="D33" s="57" t="inlineStr">
        <is>
          <t>CR — En Peligro Crítico</t>
        </is>
      </c>
      <c r="E33" s="62" t="n">
        <v>632141</v>
      </c>
      <c r="F33" s="62" t="n">
        <v>9414361</v>
      </c>
      <c r="G33" s="63" t="n">
        <v>6</v>
      </c>
      <c r="H33" s="57" t="inlineStr">
        <is>
          <t>Individuos dispersos y relictos en cimas; presión por madera</t>
        </is>
      </c>
    </row>
    <row r="34">
      <c r="A34" s="58" t="inlineStr">
        <is>
          <t>2</t>
        </is>
      </c>
      <c r="B34" s="58" t="inlineStr">
        <is>
          <t>Bursera graveolens (Palo santo)</t>
        </is>
      </c>
      <c r="C34" s="58" t="inlineStr">
        <is>
          <t>Amenazada (D.S. 043-2006-AG)</t>
        </is>
      </c>
      <c r="D34" s="58" t="inlineStr">
        <is>
          <t>CR — En Peligro Crítico</t>
        </is>
      </c>
      <c r="E34" s="64" t="n">
        <v>632159</v>
      </c>
      <c r="F34" s="64" t="n">
        <v>9414407</v>
      </c>
      <c r="G34" s="65" t="n">
        <v>3</v>
      </c>
      <c r="H34" s="58" t="inlineStr">
        <is>
          <t>Escasos individuos; especie aromática del Bes</t>
        </is>
      </c>
    </row>
    <row r="35">
      <c r="A35" s="57" t="inlineStr">
        <is>
          <t>3</t>
        </is>
      </c>
      <c r="B35" s="57" t="inlineStr">
        <is>
          <t>Eriotheca ruizii (Pasallo)</t>
        </is>
      </c>
      <c r="C35" s="57" t="inlineStr">
        <is>
          <t>Indicadora de buen estado</t>
        </is>
      </c>
      <c r="D35" s="57" t="inlineStr">
        <is>
          <t>No aplica</t>
        </is>
      </c>
      <c r="E35" s="62" t="n">
        <v>632196</v>
      </c>
      <c r="F35" s="62" t="n">
        <v>9414467</v>
      </c>
      <c r="G35" s="63" t="n">
        <v>2</v>
      </c>
      <c r="H35" s="57" t="inlineStr">
        <is>
          <t>Árbol emblemático del Bes; tronco abombado</t>
        </is>
      </c>
    </row>
    <row r="36">
      <c r="A36" s="58" t="inlineStr">
        <is>
          <t>4</t>
        </is>
      </c>
      <c r="B36" s="58" t="inlineStr">
        <is>
          <t>Ceiba trichistandra (Ceibo)</t>
        </is>
      </c>
      <c r="C36" s="58" t="inlineStr">
        <is>
          <t>Indicadora de buen estado</t>
        </is>
      </c>
      <c r="D36" s="58" t="inlineStr">
        <is>
          <t>No aplica</t>
        </is>
      </c>
      <c r="E36" s="64" t="n">
        <v>632196</v>
      </c>
      <c r="F36" s="64" t="n">
        <v>9414467</v>
      </c>
      <c r="G36" s="65" t="n">
        <v>1</v>
      </c>
      <c r="H36" s="58" t="inlineStr">
        <is>
          <t>Relicto de gran porte</t>
        </is>
      </c>
    </row>
    <row r="37">
      <c r="A37" s="57" t="inlineStr">
        <is>
          <t>5</t>
        </is>
      </c>
      <c r="B37" s="57" t="inlineStr">
        <is>
          <t>Senna sp. (Flor amarilla invasora)</t>
        </is>
      </c>
      <c r="C37" s="57" t="inlineStr">
        <is>
          <t>Indicadora de perturbación</t>
        </is>
      </c>
      <c r="D37" s="57" t="inlineStr">
        <is>
          <t>No aplica</t>
        </is>
      </c>
      <c r="E37" s="62" t="n">
        <v>632166</v>
      </c>
      <c r="F37" s="62" t="n">
        <v>9414417</v>
      </c>
      <c r="G37" s="63" t="n">
        <v>0</v>
      </c>
      <c r="H37" s="57" t="inlineStr">
        <is>
          <t>Invasora no palatable; indicadora de sobrepastoreo/degradación</t>
        </is>
      </c>
    </row>
    <row r="39">
      <c r="A39" s="55" t="inlineStr">
        <is>
          <t>F-DT-04 · MATRIZ DE CAUSAS DE DEGRADACIÓN</t>
        </is>
      </c>
    </row>
    <row r="40">
      <c r="A40" s="56" t="inlineStr">
        <is>
          <t>N.o</t>
        </is>
      </c>
      <c r="B40" s="56" t="inlineStr">
        <is>
          <t>Causa</t>
        </is>
      </c>
      <c r="C40" s="56" t="inlineStr">
        <is>
          <t>Presencia</t>
        </is>
      </c>
      <c r="D40" s="56" t="inlineStr">
        <is>
          <t>Intensidad</t>
        </is>
      </c>
      <c r="E40" s="56" t="inlineStr">
        <is>
          <t>Extensión</t>
        </is>
      </c>
      <c r="F40" s="56" t="inlineStr">
        <is>
          <t>Antigüedad</t>
        </is>
      </c>
      <c r="G40" s="56" t="inlineStr">
        <is>
          <t>Evidencia</t>
        </is>
      </c>
    </row>
    <row r="41">
      <c r="A41" s="57" t="inlineStr">
        <is>
          <t>1</t>
        </is>
      </c>
      <c r="B41" s="57" t="inlineStr">
        <is>
          <t>Sobrepastoreo (caprino/vacuno)</t>
        </is>
      </c>
      <c r="C41" s="57" t="inlineStr">
        <is>
          <t>Sí</t>
        </is>
      </c>
      <c r="D41" s="57" t="inlineStr">
        <is>
          <t>Fuerte</t>
        </is>
      </c>
      <c r="E41" s="57" t="inlineStr">
        <is>
          <t>70</t>
        </is>
      </c>
      <c r="F41" s="57" t="inlineStr">
        <is>
          <t>&gt;20</t>
        </is>
      </c>
      <c r="G41" s="57" t="inlineStr">
        <is>
          <t>Pisoteo y terracetas de ganado, pasto ras seco, presencia de caprinos/vacunos</t>
        </is>
      </c>
    </row>
    <row r="42">
      <c r="A42" s="58" t="inlineStr">
        <is>
          <t>2</t>
        </is>
      </c>
      <c r="B42" s="58" t="inlineStr">
        <is>
          <t>Tala para leña</t>
        </is>
      </c>
      <c r="C42" s="58" t="inlineStr">
        <is>
          <t>Sí</t>
        </is>
      </c>
      <c r="D42" s="58" t="inlineStr">
        <is>
          <t>Moderada</t>
        </is>
      </c>
      <c r="E42" s="58" t="inlineStr">
        <is>
          <t>40</t>
        </is>
      </c>
      <c r="F42" s="58" t="inlineStr">
        <is>
          <t>&gt;20</t>
        </is>
      </c>
      <c r="G42" s="58" t="inlineStr">
        <is>
          <t>Tocones, ramas cortadas y árboles muertos en pie</t>
        </is>
      </c>
    </row>
    <row r="43">
      <c r="A43" s="57" t="inlineStr">
        <is>
          <t>3</t>
        </is>
      </c>
      <c r="B43" s="57" t="inlineStr">
        <is>
          <t>Tala para carbón</t>
        </is>
      </c>
      <c r="C43" s="57" t="inlineStr">
        <is>
          <t>No</t>
        </is>
      </c>
      <c r="D43" s="57" t="inlineStr">
        <is>
          <t>Nula</t>
        </is>
      </c>
      <c r="E43" s="57" t="inlineStr">
        <is>
          <t>0</t>
        </is>
      </c>
      <c r="F43" s="57" t="inlineStr">
        <is>
          <t>-</t>
        </is>
      </c>
      <c r="G43" s="57" t="inlineStr">
        <is>
          <t>Sin evidencia directa</t>
        </is>
      </c>
    </row>
    <row r="44">
      <c r="A44" s="58" t="inlineStr">
        <is>
          <t>4</t>
        </is>
      </c>
      <c r="B44" s="58" t="inlineStr">
        <is>
          <t>Tala para madera</t>
        </is>
      </c>
      <c r="C44" s="58" t="inlineStr">
        <is>
          <t>Sí</t>
        </is>
      </c>
      <c r="D44" s="58" t="inlineStr">
        <is>
          <t>Ligera</t>
        </is>
      </c>
      <c r="E44" s="58" t="inlineStr">
        <is>
          <t>15</t>
        </is>
      </c>
      <c r="F44" s="58" t="inlineStr">
        <is>
          <t>&gt;20</t>
        </is>
      </c>
      <c r="G44" s="58" t="inlineStr">
        <is>
          <t>Extracción selectiva de Hualtaco/Algarrobo (madera dura)</t>
        </is>
      </c>
    </row>
    <row r="45">
      <c r="A45" s="57" t="inlineStr">
        <is>
          <t>5</t>
        </is>
      </c>
      <c r="B45" s="57" t="inlineStr">
        <is>
          <t>Quema (renovación de pastos)</t>
        </is>
      </c>
      <c r="C45" s="57" t="inlineStr">
        <is>
          <t>Sí</t>
        </is>
      </c>
      <c r="D45" s="57" t="inlineStr">
        <is>
          <t>Moderada</t>
        </is>
      </c>
      <c r="E45" s="57" t="inlineStr">
        <is>
          <t>30</t>
        </is>
      </c>
      <c r="F45" s="57" t="inlineStr">
        <is>
          <t>5-10</t>
        </is>
      </c>
      <c r="G45" s="57" t="inlineStr">
        <is>
          <t>Troncos y suelo con evidencia de quema; renovación de pastos</t>
        </is>
      </c>
    </row>
    <row r="46">
      <c r="A46" s="58" t="inlineStr">
        <is>
          <t>6</t>
        </is>
      </c>
      <c r="B46" s="58" t="inlineStr">
        <is>
          <t>Quema accidental / Incendio</t>
        </is>
      </c>
      <c r="C46" s="58" t="inlineStr">
        <is>
          <t>No</t>
        </is>
      </c>
      <c r="D46" s="58" t="inlineStr">
        <is>
          <t>Nula</t>
        </is>
      </c>
      <c r="E46" s="58" t="inlineStr">
        <is>
          <t>0</t>
        </is>
      </c>
      <c r="F46" s="58" t="inlineStr">
        <is>
          <t>-</t>
        </is>
      </c>
      <c r="G46" s="58" t="inlineStr">
        <is>
          <t>No observada</t>
        </is>
      </c>
    </row>
    <row r="47">
      <c r="A47" s="57" t="inlineStr">
        <is>
          <t>7</t>
        </is>
      </c>
      <c r="B47" s="57" t="inlineStr">
        <is>
          <t>Cambio de uso a agricultura</t>
        </is>
      </c>
      <c r="C47" s="57" t="inlineStr">
        <is>
          <t>Sí</t>
        </is>
      </c>
      <c r="D47" s="57" t="inlineStr">
        <is>
          <t>Ligera</t>
        </is>
      </c>
      <c r="E47" s="57" t="inlineStr">
        <is>
          <t>10</t>
        </is>
      </c>
      <c r="F47" s="57" t="inlineStr">
        <is>
          <t>&gt;20</t>
        </is>
      </c>
      <c r="G47" s="57" t="inlineStr">
        <is>
          <t>Parcelas agrícolas en piedemonte y valle (frutales, mango)</t>
        </is>
      </c>
    </row>
    <row r="48">
      <c r="A48" s="58" t="inlineStr">
        <is>
          <t>8</t>
        </is>
      </c>
      <c r="B48" s="58" t="inlineStr">
        <is>
          <t>Cambio de uso a pastoreo</t>
        </is>
      </c>
      <c r="C48" s="58" t="inlineStr">
        <is>
          <t>Sí</t>
        </is>
      </c>
      <c r="D48" s="58" t="inlineStr">
        <is>
          <t>Fuerte</t>
        </is>
      </c>
      <c r="E48" s="58" t="inlineStr">
        <is>
          <t>60</t>
        </is>
      </c>
      <c r="F48" s="58" t="inlineStr">
        <is>
          <t>&gt;20</t>
        </is>
      </c>
      <c r="G48" s="58" t="inlineStr">
        <is>
          <t>Conversión de bosque a pastizal de pastoreo extensivo</t>
        </is>
      </c>
    </row>
    <row r="49">
      <c r="A49" s="57" t="inlineStr">
        <is>
          <t>9</t>
        </is>
      </c>
      <c r="B49" s="57" t="inlineStr">
        <is>
          <t>Expansión urbana / vial</t>
        </is>
      </c>
      <c r="C49" s="57" t="inlineStr">
        <is>
          <t>Sí</t>
        </is>
      </c>
      <c r="D49" s="57" t="inlineStr">
        <is>
          <t>Ligera</t>
        </is>
      </c>
      <c r="E49" s="57" t="inlineStr">
        <is>
          <t>5</t>
        </is>
      </c>
      <c r="F49" s="57" t="inlineStr">
        <is>
          <t>10-20</t>
        </is>
      </c>
      <c r="G49" s="57" t="inlineStr">
        <is>
          <t>Viviendas rurales dispersas (Hacienda Bigote) y trochas</t>
        </is>
      </c>
    </row>
    <row r="50">
      <c r="A50" s="58" t="inlineStr">
        <is>
          <t>10</t>
        </is>
      </c>
      <c r="B50" s="58" t="inlineStr">
        <is>
          <t>Minería informal</t>
        </is>
      </c>
      <c r="C50" s="58" t="inlineStr">
        <is>
          <t>No</t>
        </is>
      </c>
      <c r="D50" s="58" t="inlineStr">
        <is>
          <t>Nula</t>
        </is>
      </c>
      <c r="E50" s="58" t="inlineStr">
        <is>
          <t>0</t>
        </is>
      </c>
      <c r="F50" s="58" t="inlineStr">
        <is>
          <t>-</t>
        </is>
      </c>
      <c r="G50" s="58" t="inlineStr">
        <is>
          <t>No observada</t>
        </is>
      </c>
    </row>
    <row r="51">
      <c r="A51" s="57" t="inlineStr">
        <is>
          <t>11</t>
        </is>
      </c>
      <c r="B51" s="57" t="inlineStr">
        <is>
          <t>Extracción de áridos (cauces)</t>
        </is>
      </c>
      <c r="C51" s="57" t="inlineStr">
        <is>
          <t>No</t>
        </is>
      </c>
      <c r="D51" s="57" t="inlineStr">
        <is>
          <t>Nula</t>
        </is>
      </c>
      <c r="E51" s="57" t="inlineStr">
        <is>
          <t>0</t>
        </is>
      </c>
      <c r="F51" s="57" t="inlineStr">
        <is>
          <t>-</t>
        </is>
      </c>
      <c r="G51" s="57" t="inlineStr">
        <is>
          <t>No observada dentro del bloque</t>
        </is>
      </c>
    </row>
    <row r="52">
      <c r="A52" s="58" t="inlineStr">
        <is>
          <t>12</t>
        </is>
      </c>
      <c r="B52" s="58" t="inlineStr">
        <is>
          <t>Especies invasoras</t>
        </is>
      </c>
      <c r="C52" s="58" t="inlineStr">
        <is>
          <t>Sí</t>
        </is>
      </c>
      <c r="D52" s="58" t="inlineStr">
        <is>
          <t>Moderada</t>
        </is>
      </c>
      <c r="E52" s="58" t="inlineStr">
        <is>
          <t>20</t>
        </is>
      </c>
      <c r="F52" s="58" t="inlineStr">
        <is>
          <t>5-10</t>
        </is>
      </c>
      <c r="G52" s="58" t="inlineStr">
        <is>
          <t>Planta de flor amarilla, abundante y no palatable (por identificar)</t>
        </is>
      </c>
    </row>
    <row r="53">
      <c r="A53" s="57" t="inlineStr">
        <is>
          <t>13</t>
        </is>
      </c>
      <c r="B53" s="57" t="inlineStr">
        <is>
          <t>Erosión natural severa</t>
        </is>
      </c>
      <c r="C53" s="57" t="inlineStr">
        <is>
          <t>Sí</t>
        </is>
      </c>
      <c r="D53" s="57" t="inlineStr">
        <is>
          <t>Fuerte</t>
        </is>
      </c>
      <c r="E53" s="57" t="inlineStr">
        <is>
          <t>30</t>
        </is>
      </c>
      <c r="F53" s="57" t="inlineStr">
        <is>
          <t>&gt;20</t>
        </is>
      </c>
      <c r="G53" s="57" t="inlineStr">
        <is>
          <t>Cárcavas, surcos, raíces expuestas y suelo rojizo desnudo</t>
        </is>
      </c>
    </row>
    <row r="54">
      <c r="A54" s="58" t="inlineStr">
        <is>
          <t>14</t>
        </is>
      </c>
      <c r="B54" s="58" t="inlineStr">
        <is>
          <t>Sequía prolongada / CC</t>
        </is>
      </c>
      <c r="C54" s="58" t="inlineStr">
        <is>
          <t>Sí</t>
        </is>
      </c>
      <c r="D54" s="58" t="inlineStr">
        <is>
          <t>Fuerte</t>
        </is>
      </c>
      <c r="E54" s="58" t="inlineStr">
        <is>
          <t>100</t>
        </is>
      </c>
      <c r="F54" s="58" t="inlineStr">
        <is>
          <t>&gt;10</t>
        </is>
      </c>
      <c r="G54" s="58" t="inlineStr">
        <is>
          <t>Déficit hídrico generalizado; MSAVI 2024 bajo (&lt;0.27 dominante)</t>
        </is>
      </c>
    </row>
    <row r="55">
      <c r="A55" s="57" t="inlineStr">
        <is>
          <t>15</t>
        </is>
      </c>
      <c r="B55" s="57" t="inlineStr">
        <is>
          <t>Plagas o enfermedades forestales</t>
        </is>
      </c>
      <c r="C55" s="57" t="inlineStr">
        <is>
          <t>No</t>
        </is>
      </c>
      <c r="D55" s="57" t="inlineStr">
        <is>
          <t>Nula</t>
        </is>
      </c>
      <c r="E55" s="57" t="inlineStr">
        <is>
          <t>0</t>
        </is>
      </c>
      <c r="F55" s="57" t="inlineStr">
        <is>
          <t>-</t>
        </is>
      </c>
      <c r="G55" s="57" t="inlineStr">
        <is>
          <t>No observada</t>
        </is>
      </c>
    </row>
    <row r="56">
      <c r="A56" s="58" t="inlineStr">
        <is>
          <t>16</t>
        </is>
      </c>
      <c r="B56" s="58" t="inlineStr">
        <is>
          <t>Otro</t>
        </is>
      </c>
      <c r="C56" s="58" t="inlineStr">
        <is>
          <t>No</t>
        </is>
      </c>
      <c r="D56" s="58" t="inlineStr">
        <is>
          <t>Nula</t>
        </is>
      </c>
      <c r="E56" s="58" t="inlineStr">
        <is>
          <t>0</t>
        </is>
      </c>
      <c r="F56" s="58" t="inlineStr">
        <is>
          <t>-</t>
        </is>
      </c>
      <c r="G56" s="58" t="inlineStr"/>
    </row>
    <row r="58">
      <c r="A58" s="55" t="inlineStr">
        <is>
          <t>F-DT-04 · INDICADORES CUANTITATIVOS</t>
        </is>
      </c>
    </row>
    <row r="59">
      <c r="A59" s="56" t="inlineStr">
        <is>
          <t>N.o</t>
        </is>
      </c>
      <c r="B59" s="56" t="inlineStr">
        <is>
          <t>Indicador</t>
        </is>
      </c>
      <c r="C59" s="56" t="inlineStr">
        <is>
          <t>Unidad</t>
        </is>
      </c>
      <c r="D59" s="56" t="inlineStr">
        <is>
          <t>Valor</t>
        </is>
      </c>
      <c r="E59" s="56" t="inlineStr">
        <is>
          <t>Fuente</t>
        </is>
      </c>
      <c r="F59" s="56" t="inlineStr">
        <is>
          <t>Umbral</t>
        </is>
      </c>
      <c r="G59" s="56" t="inlineStr">
        <is>
          <t>Nivel</t>
        </is>
      </c>
    </row>
    <row r="60">
      <c r="A60" s="57" t="inlineStr">
        <is>
          <t>1</t>
        </is>
      </c>
      <c r="B60" s="57" t="inlineStr">
        <is>
          <t>Cobertura vegetal total</t>
        </is>
      </c>
      <c r="C60" s="57" t="inlineStr">
        <is>
          <t>%</t>
        </is>
      </c>
      <c r="D60" s="57" t="inlineStr">
        <is>
          <t>45</t>
        </is>
      </c>
      <c r="E60" s="57" t="inlineStr">
        <is>
          <t>Campo + MSAVI 2024</t>
        </is>
      </c>
      <c r="F60" s="57" t="inlineStr">
        <is>
          <t>&gt;60% bueno; 30-60% medio; &lt;30% malo</t>
        </is>
      </c>
      <c r="G60" s="57" t="inlineStr">
        <is>
          <t>Medio</t>
        </is>
      </c>
    </row>
    <row r="61">
      <c r="A61" s="58" t="inlineStr">
        <is>
          <t>2</t>
        </is>
      </c>
      <c r="B61" s="58" t="inlineStr">
        <is>
          <t>Porcentaje de suelo desnudo</t>
        </is>
      </c>
      <c r="C61" s="58" t="inlineStr">
        <is>
          <t>%</t>
        </is>
      </c>
      <c r="D61" s="58" t="inlineStr">
        <is>
          <t>25</t>
        </is>
      </c>
      <c r="E61" s="58" t="inlineStr">
        <is>
          <t>Campo + MSAVI 2024</t>
        </is>
      </c>
      <c r="F61" s="58" t="inlineStr">
        <is>
          <t>&lt;10% bueno; 10-30% medio; &gt;30% malo</t>
        </is>
      </c>
      <c r="G61" s="58" t="inlineStr">
        <is>
          <t>Medio</t>
        </is>
      </c>
    </row>
    <row r="62">
      <c r="A62" s="57" t="inlineStr">
        <is>
          <t>3</t>
        </is>
      </c>
      <c r="B62" s="57" t="inlineStr">
        <is>
          <t>Densidad de cárcavas</t>
        </is>
      </c>
      <c r="C62" s="57" t="inlineStr">
        <is>
          <t>N°/ha</t>
        </is>
      </c>
      <c r="D62" s="57" t="inlineStr">
        <is>
          <t>1</t>
        </is>
      </c>
      <c r="E62" s="57" t="inlineStr">
        <is>
          <t>Campo (inventario F-DT-02)</t>
        </is>
      </c>
      <c r="F62" s="57" t="inlineStr">
        <is>
          <t>0 nulo; 1-3 medio; &gt;3 alto</t>
        </is>
      </c>
      <c r="G62" s="57" t="inlineStr">
        <is>
          <t>Medio</t>
        </is>
      </c>
    </row>
    <row r="63">
      <c r="A63" s="58" t="inlineStr">
        <is>
          <t>4</t>
        </is>
      </c>
      <c r="B63" s="58" t="inlineStr">
        <is>
          <t>Presencia de especies invasoras</t>
        </is>
      </c>
      <c r="C63" s="58" t="inlineStr">
        <is>
          <t>% área</t>
        </is>
      </c>
      <c r="D63" s="58" t="inlineStr">
        <is>
          <t>18</t>
        </is>
      </c>
      <c r="E63" s="58" t="inlineStr">
        <is>
          <t>Campo</t>
        </is>
      </c>
      <c r="F63" s="58" t="inlineStr">
        <is>
          <t>&lt;5% bueno; 5-20% medio; &gt;20% alto</t>
        </is>
      </c>
      <c r="G63" s="58" t="inlineStr">
        <is>
          <t>Medio</t>
        </is>
      </c>
    </row>
    <row r="64">
      <c r="A64" s="57" t="inlineStr">
        <is>
          <t>5</t>
        </is>
      </c>
      <c r="B64" s="57" t="inlineStr">
        <is>
          <t>Carga ganadera estimada</t>
        </is>
      </c>
      <c r="C64" s="57" t="inlineStr">
        <is>
          <t>UA/ha</t>
        </is>
      </c>
      <c r="D64" s="57" t="inlineStr">
        <is>
          <t>0.8</t>
        </is>
      </c>
      <c r="E64" s="57" t="inlineStr">
        <is>
          <t>Estimación de campo</t>
        </is>
      </c>
      <c r="F64" s="57" t="inlineStr">
        <is>
          <t>Según tipo de ecosistema</t>
        </is>
      </c>
      <c r="G64" s="57" t="inlineStr">
        <is>
          <t>Alto</t>
        </is>
      </c>
    </row>
    <row r="65">
      <c r="A65" s="58" t="inlineStr">
        <is>
          <t>6</t>
        </is>
      </c>
      <c r="B65" s="58" t="inlineStr">
        <is>
          <t>Frecuencia de quemas últimos 5 años</t>
        </is>
      </c>
      <c r="C65" s="58" t="inlineStr">
        <is>
          <t>N°</t>
        </is>
      </c>
      <c r="D65" s="58" t="inlineStr">
        <is>
          <t>1</t>
        </is>
      </c>
      <c r="E65" s="58" t="inlineStr">
        <is>
          <t>Entrevista / campo</t>
        </is>
      </c>
      <c r="F65" s="58" t="inlineStr">
        <is>
          <t>0 nulo; 1-2 medio; &gt;2 alto</t>
        </is>
      </c>
      <c r="G65" s="58" t="inlineStr">
        <is>
          <t>Medio</t>
        </is>
      </c>
    </row>
    <row r="66">
      <c r="A66" s="57" t="inlineStr">
        <is>
          <t>7</t>
        </is>
      </c>
      <c r="B66" s="57" t="inlineStr">
        <is>
          <t>% área con pendiente &gt;50%</t>
        </is>
      </c>
      <c r="C66" s="57" t="inlineStr">
        <is>
          <t>%</t>
        </is>
      </c>
      <c r="D66" s="57" t="inlineStr">
        <is>
          <t>25</t>
        </is>
      </c>
      <c r="E66" s="57" t="inlineStr">
        <is>
          <t>DEM / gabinete</t>
        </is>
      </c>
      <c r="F66" s="57" t="inlineStr">
        <is>
          <t>Factor de susceptibilidad</t>
        </is>
      </c>
      <c r="G66" s="57" t="inlineStr">
        <is>
          <t>Medio</t>
        </is>
      </c>
    </row>
    <row r="67">
      <c r="A67" s="58" t="inlineStr">
        <is>
          <t>8</t>
        </is>
      </c>
      <c r="B67" s="58" t="inlineStr">
        <is>
          <t>Distancia a vía vecinal más cercana</t>
        </is>
      </c>
      <c r="C67" s="58" t="inlineStr">
        <is>
          <t>m</t>
        </is>
      </c>
      <c r="D67" s="58" t="inlineStr">
        <is>
          <t>300</t>
        </is>
      </c>
      <c r="E67" s="58" t="inlineStr">
        <is>
          <t>GIS / campo</t>
        </is>
      </c>
      <c r="F67" s="58" t="inlineStr">
        <is>
          <t>A menor distancia → mayor presión</t>
        </is>
      </c>
      <c r="G67" s="58" t="inlineStr">
        <is>
          <t>Medio</t>
        </is>
      </c>
    </row>
    <row r="69">
      <c r="A69" s="55" t="inlineStr">
        <is>
          <t>F-DT-05 · FUENTES DE AGUA INVENTARIADAS</t>
        </is>
      </c>
    </row>
    <row r="70">
      <c r="A70" s="56" t="inlineStr">
        <is>
          <t>N.o</t>
        </is>
      </c>
      <c r="B70" s="56" t="inlineStr">
        <is>
          <t>Tipo de fuente</t>
        </is>
      </c>
      <c r="C70" s="56" t="inlineStr">
        <is>
          <t>UTM ESTE</t>
        </is>
      </c>
      <c r="D70" s="56" t="inlineStr">
        <is>
          <t>UTM NORTE</t>
        </is>
      </c>
      <c r="E70" s="56" t="inlineStr">
        <is>
          <t>Régimen</t>
        </is>
      </c>
      <c r="F70" s="56" t="inlineStr">
        <is>
          <t>Calidad</t>
        </is>
      </c>
      <c r="G70" s="56" t="inlineStr">
        <is>
          <t>Distancia (m)</t>
        </is>
      </c>
      <c r="H70" s="56" t="inlineStr">
        <is>
          <t>Uso / observación</t>
        </is>
      </c>
    </row>
    <row r="71">
      <c r="A71" s="57" t="inlineStr">
        <is>
          <t>1</t>
        </is>
      </c>
      <c r="B71" s="57" t="inlineStr">
        <is>
          <t>Quebrada estacional</t>
        </is>
      </c>
      <c r="C71" s="62" t="n">
        <v>631900</v>
      </c>
      <c r="D71" s="62" t="n">
        <v>9414250</v>
      </c>
      <c r="E71" s="57" t="inlineStr">
        <is>
          <t>Estacional (lluvias)</t>
        </is>
      </c>
      <c r="F71" s="57" t="inlineStr">
        <is>
          <t>No evaluable</t>
        </is>
      </c>
      <c r="G71" s="62" t="n">
        <v>50</v>
      </c>
      <c r="H71" s="57" t="inlineStr">
        <is>
          <t>Cauce de Río Seco; seco en la visita, activo en lluvias; se cruza (vado) para acceder al bloque</t>
        </is>
      </c>
    </row>
    <row r="72">
      <c r="A72" s="58" t="inlineStr">
        <is>
          <t>2</t>
        </is>
      </c>
      <c r="B72" s="58" t="inlineStr">
        <is>
          <t>Quebrada estacional</t>
        </is>
      </c>
      <c r="C72" s="64" t="n">
        <v>632160</v>
      </c>
      <c r="D72" s="64" t="n">
        <v>9414410</v>
      </c>
      <c r="E72" s="58" t="inlineStr">
        <is>
          <t>Estacional (lluvias)</t>
        </is>
      </c>
      <c r="F72" s="58" t="inlineStr">
        <is>
          <t>No evaluable</t>
        </is>
      </c>
      <c r="G72" s="65" t="n">
        <v>0</v>
      </c>
      <c r="H72" s="58" t="inlineStr">
        <is>
          <t>Drenaje natural interno que concentra escorrentía; origen de cárcavas</t>
        </is>
      </c>
    </row>
    <row r="75">
      <c r="A75" s="55" t="inlineStr">
        <is>
          <t>OBSERVACIONES DEL EVALUADOR POR FICHA</t>
        </is>
      </c>
    </row>
    <row r="76">
      <c r="A76" s="56" t="inlineStr">
        <is>
          <t>Ficha</t>
        </is>
      </c>
      <c r="B76" s="56" t="inlineStr">
        <is>
          <t>Observación registrada en campo</t>
        </is>
      </c>
    </row>
    <row r="77">
      <c r="A77" s="57" t="inlineStr">
        <is>
          <t>F-DT-01</t>
        </is>
      </c>
      <c r="B77" s="57" t="inlineStr">
        <is>
          <t>Ingreso al bloque desde la capital distrital de Salitral (Morropón), con cruce (vado) del cauce de Río Seco. Inspección del 19/05/2026. El proceso morfodinámico dominante es la EROSIÓN HÍDRICA (cárcavas incipientes, surcos y erosión laminar) sobre suelos rojizos delgados, más que la remoción en masa; se observa reptación de suelo asociada a sobrepastoreo. Relictos del bosque seco de colina/montaña se conservan en la parte alta inaccesible. Coordenadas en UTM WGS84 Zona 17S.</t>
        </is>
      </c>
    </row>
    <row r="78">
      <c r="A78" s="58" t="inlineStr">
        <is>
          <t>F-DT-02</t>
        </is>
      </c>
      <c r="B78" s="58" t="inlineStr">
        <is>
          <t>Procesos erosivos generalizados en ladera: erosión laminar extendida (~40%), surcos y cárcavas incipientes a someras que evolucionan por concentración de escorrentía en zonas de cobertura reducida. Raíces expuestas y costra superficial evidencian pérdida de horizonte orgánico. Recomendable priorizar control de erosión con zanjas de infiltración, terrazas de formación lenta y barreras vivas, complementadas con diques de control en cárcavas activas. UTM WGS84 17S.</t>
        </is>
      </c>
    </row>
    <row r="79">
      <c r="A79" s="57" t="inlineStr">
        <is>
          <t>F-DT-03</t>
        </is>
      </c>
      <c r="B79" s="57" t="inlineStr">
        <is>
          <t>La UP corresponde al ecosistema Bosque Estacionalmente Seco de Colina/Montaña (Bes-cm), fuertemente alterado en el sector accesible (fisonomía de pastizal seco con árboles dispersos) y con relictos arbóreos en cimas inaccesibles. Se confirma presencia de especies amenazadas (Hualtaco y Palo Santo, CR según D.S. 043-2006-AG). La regeneración natural es escasa por sobrepastoreo. La especie de flor amarilla (no palatable, abundante) se presume invasora (probable Senna sp.); requiere confirmación taxonómica. Nombres científicos preliminares, sujetos a verificación botánica.</t>
        </is>
      </c>
    </row>
    <row r="80">
      <c r="A80" s="58" t="inlineStr">
        <is>
          <t>F-DT-04</t>
        </is>
      </c>
      <c r="B80" s="58" t="inlineStr">
        <is>
          <t>La degradación es de origen predominantemente antrópico (sobrepastoreo y cambio de uso) potenciada por factores climáticos. El cuadro indica reversibilidad parcial: viable con infraestructura natural (revegetación/reforestación con nativas, manejo de la regeneración, control de erosión) condicionada a acuerdos de gobernanza para regular la carga ganadera y las quemas. Urgencia ALTA por la pérdida activa de suelo.</t>
        </is>
      </c>
    </row>
    <row r="81">
      <c r="A81" s="57" t="inlineStr">
        <is>
          <t>F-DT-05</t>
        </is>
      </c>
      <c r="B81" s="57" t="inlineStr">
        <is>
          <t>El bloque se sitúa en zona de origen/recarga: las laderas concentran escorrentía hacia Río Seco, contribuyendo a la generación de crecidas aguas abajo. No se observaron fuentes permanentes ni humedales dentro del bloque. El acceso es condicionado: en época lluviosa el cruce de Río Seco limita la transitabilidad. Se requiere coordinación con la Ronda Campesina local. UTM WGS84 17S.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M3B8</t>
        </is>
      </c>
    </row>
    <row r="7">
      <c r="A7" s="55" t="inlineStr">
        <is>
          <t>Hechos declarados por fuente</t>
        </is>
      </c>
    </row>
    <row r="8">
      <c r="A8" s="56" t="inlineStr">
        <is>
          <t>Fuente</t>
        </is>
      </c>
      <c r="B8" s="56" t="inlineStr">
        <is>
          <t>Hechos</t>
        </is>
      </c>
    </row>
    <row r="9">
      <c r="A9" s="57" t="inlineStr">
        <is>
          <t>Dato de campo</t>
        </is>
      </c>
      <c r="B9" s="57" t="n">
        <v>76</v>
      </c>
    </row>
    <row r="10">
      <c r="A10" s="58" t="inlineStr">
        <is>
          <t>Gabinete (GIS / teledetección)</t>
        </is>
      </c>
      <c r="B10" s="58" t="n">
        <v>21</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109</v>
      </c>
    </row>
    <row r="31">
      <c r="A31" s="58" t="inlineStr">
        <is>
          <t>COMPLEMENTADO</t>
        </is>
      </c>
      <c r="B31" s="58" t="n">
        <v>0</v>
      </c>
    </row>
    <row r="32">
      <c r="A32" s="57" t="inlineStr">
        <is>
          <t>ACTUALIZADO</t>
        </is>
      </c>
      <c r="B32" s="57" t="n">
        <v>2</v>
      </c>
    </row>
    <row r="33">
      <c r="A33" s="58" t="inlineStr">
        <is>
          <t>DISCREPANTE</t>
        </is>
      </c>
      <c r="B33" s="58" t="n">
        <v>0</v>
      </c>
    </row>
    <row r="34">
      <c r="A34" s="57" t="inlineStr">
        <is>
          <t>PENDIENTE</t>
        </is>
      </c>
      <c r="B34" s="57" t="n">
        <v>3</v>
      </c>
    </row>
    <row r="51">
      <c r="A51" s="55" t="inlineStr">
        <is>
          <t>Cobertura por estrato — campo (%)</t>
        </is>
      </c>
    </row>
    <row r="52">
      <c r="A52" s="56" t="inlineStr">
        <is>
          <t>Estrato</t>
        </is>
      </c>
      <c r="B52" s="56" t="inlineStr">
        <is>
          <t>% del área</t>
        </is>
      </c>
    </row>
    <row r="53">
      <c r="A53" s="57" t="inlineStr">
        <is>
          <t>Dosel</t>
        </is>
      </c>
      <c r="B53" s="62" t="n">
        <v>20</v>
      </c>
    </row>
    <row r="54">
      <c r="A54" s="58" t="inlineStr">
        <is>
          <t>Arbustiva</t>
        </is>
      </c>
      <c r="B54" s="64" t="n">
        <v>10</v>
      </c>
    </row>
    <row r="55">
      <c r="A55" s="57" t="inlineStr">
        <is>
          <t>Herbácea</t>
        </is>
      </c>
      <c r="B55" s="62" t="n">
        <v>45</v>
      </c>
    </row>
    <row r="56">
      <c r="A56" s="58" t="inlineStr">
        <is>
          <t>Hojarasca</t>
        </is>
      </c>
      <c r="B56" s="64" t="n">
        <v>10</v>
      </c>
    </row>
    <row r="57">
      <c r="A57" s="57" t="inlineStr">
        <is>
          <t>Suelo desnudo</t>
        </is>
      </c>
      <c r="B57" s="62" t="n">
        <v>25</v>
      </c>
    </row>
    <row r="74">
      <c r="A74" s="55" t="inlineStr">
        <is>
          <t>Causas activas de degradación (F-DT-04)</t>
        </is>
      </c>
    </row>
    <row r="75">
      <c r="A75" s="56" t="inlineStr">
        <is>
          <t>Causa</t>
        </is>
      </c>
      <c r="B75" s="56" t="inlineStr">
        <is>
          <t>Intensidad (1 ligera - 4 muy fuerte)</t>
        </is>
      </c>
    </row>
    <row r="76">
      <c r="A76" s="57" t="inlineStr">
        <is>
          <t>Cambio de uso a pastoreo</t>
        </is>
      </c>
      <c r="B76" s="57" t="n">
        <v>3</v>
      </c>
    </row>
    <row r="77">
      <c r="A77" s="58" t="inlineStr">
        <is>
          <t>Erosión natural severa</t>
        </is>
      </c>
      <c r="B77" s="58" t="n">
        <v>3</v>
      </c>
    </row>
    <row r="78">
      <c r="A78" s="57" t="inlineStr">
        <is>
          <t>Sequía prolongada / CC</t>
        </is>
      </c>
      <c r="B78" s="57" t="n">
        <v>3</v>
      </c>
    </row>
    <row r="79">
      <c r="A79" s="58" t="inlineStr">
        <is>
          <t>Sobrepastoreo (caprino/vacuno)</t>
        </is>
      </c>
      <c r="B79" s="58" t="n">
        <v>3</v>
      </c>
    </row>
    <row r="80">
      <c r="A80" s="57" t="inlineStr">
        <is>
          <t>Especies invasoras</t>
        </is>
      </c>
      <c r="B80" s="57" t="n">
        <v>2</v>
      </c>
    </row>
    <row r="81">
      <c r="A81" s="58" t="inlineStr">
        <is>
          <t>Quema (renovación de pastos)</t>
        </is>
      </c>
      <c r="B81" s="58" t="n">
        <v>2</v>
      </c>
    </row>
    <row r="82">
      <c r="A82" s="57" t="inlineStr">
        <is>
          <t>Tala para leña</t>
        </is>
      </c>
      <c r="B82" s="57" t="n">
        <v>2</v>
      </c>
    </row>
    <row r="83">
      <c r="A83" s="58" t="inlineStr">
        <is>
          <t>Cambio de uso a agricultura</t>
        </is>
      </c>
      <c r="B83" s="58" t="n">
        <v>1</v>
      </c>
    </row>
    <row r="84">
      <c r="A84" s="57" t="inlineStr">
        <is>
          <t>Expansión urbana / vial</t>
        </is>
      </c>
      <c r="B84" s="57" t="n">
        <v>1</v>
      </c>
    </row>
    <row r="85">
      <c r="A85" s="58" t="inlineStr">
        <is>
          <t>Tala para madera</t>
        </is>
      </c>
      <c r="B85" s="58" t="n">
        <v>1</v>
      </c>
    </row>
    <row r="102">
      <c r="A102" s="55" t="inlineStr">
        <is>
          <t>Control de consistencia por calificación</t>
        </is>
      </c>
    </row>
    <row r="103">
      <c r="A103" s="56" t="inlineStr">
        <is>
          <t>Calificación</t>
        </is>
      </c>
      <c r="B103" s="56" t="inlineStr">
        <is>
          <t>Verificaciones</t>
        </is>
      </c>
    </row>
    <row r="104">
      <c r="A104" s="57" t="inlineStr">
        <is>
          <t>SUSTANTIVA</t>
        </is>
      </c>
      <c r="B104" s="57" t="n">
        <v>6</v>
      </c>
    </row>
    <row r="105">
      <c r="A105" s="58" t="inlineStr">
        <is>
          <t>NO SUSTANTIVA</t>
        </is>
      </c>
      <c r="B105" s="58" t="n">
        <v>3</v>
      </c>
    </row>
    <row r="106">
      <c r="A106" s="57" t="inlineStr">
        <is>
          <t>CORREGIDO</t>
        </is>
      </c>
      <c r="B106" s="57" t="n">
        <v>3</v>
      </c>
    </row>
    <row r="107">
      <c r="A107" s="58" t="inlineStr">
        <is>
          <t>CONFORME</t>
        </is>
      </c>
      <c r="B107"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M3B8 — IN Piura</dc:title>
  <dc:subject>Diagnóstico Territorial por bloque de intervención</dc:subject>
  <dcterms:created xsi:type="dcterms:W3CDTF">2026-09-08T03:39:58Z</dcterms:created>
  <dcterms:modified xsi:type="dcterms:W3CDTF">2026-09-11T20:22:39Z</dcterms:modified>
</cp:coreProperties>
</file>