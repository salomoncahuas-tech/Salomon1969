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3">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166" fontId="6" fillId="0" borderId="7" pivotButton="0" quotePrefix="0" xfId="0"/>
    <xf numFmtId="4" fontId="6" fillId="5" borderId="7" pivotButton="0" quotePrefix="0" xfId="0"/>
    <xf numFmtId="166"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integración'!B29</f>
            </strRef>
          </tx>
          <spPr>
            <a:ln>
              <a:prstDash val="solid"/>
            </a:ln>
          </spPr>
          <cat>
            <numRef>
              <f>'Gráficos de integración'!$A$30:$A$34</f>
            </numRef>
          </cat>
          <val>
            <numRef>
              <f>'Gráficos de integración'!$B$30:$B$34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integración'!B52</f>
            </strRef>
          </tx>
          <spPr>
            <a:ln>
              <a:prstDash val="solid"/>
            </a:ln>
          </spPr>
          <cat>
            <numRef>
              <f>'Gráficos de integración'!$A$53:$A$57</f>
            </numRef>
          </cat>
          <val>
            <numRef>
              <f>'Gráficos de integración'!$B$53:$B$57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integración'!B75</f>
            </strRef>
          </tx>
          <spPr>
            <a:ln>
              <a:prstDash val="solid"/>
            </a:ln>
          </spPr>
          <cat>
            <numRef>
              <f>'Gráficos de integración'!$A$76:$A$78</f>
            </numRef>
          </cat>
          <val>
            <numRef>
              <f>'Gráficos de integración'!$B$76:$B$78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integración'!B96</f>
            </strRef>
          </tx>
          <spPr>
            <a:ln>
              <a:prstDash val="solid"/>
            </a:ln>
          </spPr>
          <cat>
            <numRef>
              <f>'Gráficos de integración'!$A$97:$A$100</f>
            </numRef>
          </cat>
          <val>
            <numRef>
              <f>'Gráficos de integración'!$B$97:$B$100</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28</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51</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74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95</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M20B1</t>
        </is>
      </c>
    </row>
    <row r="6" ht="24" customHeight="1">
      <c r="A6" s="4" t="inlineStr">
        <is>
          <t>Diagnóstico Territorial — Plantilla DT Campo Check Validada V5 | Sistema de referencia: UTM WGS 84 Zona 17S (EPSG:32717) · Integrado con la ficha de campo F-DT vigente (Plantilla_DT_Campo_V5_Bloque_M20B1_IN_Piura.xlsx) — V7 - resumen V6 + campo F-DT integrado</t>
        </is>
      </c>
    </row>
    <row r="7"/>
    <row r="8" ht="18" customHeight="1">
      <c r="A8" s="5" t="inlineStr">
        <is>
          <t>1. IDENTIFICACIÓN Y LOCALIZACIÓN</t>
        </is>
      </c>
    </row>
    <row r="9">
      <c r="A9" s="6" t="inlineStr">
        <is>
          <t>Código del bloque</t>
        </is>
      </c>
      <c r="B9" s="7" t="inlineStr">
        <is>
          <t>M20B1</t>
        </is>
      </c>
      <c r="C9" s="6" t="inlineStr">
        <is>
          <t>Microcuenca (catálogo)</t>
        </is>
      </c>
      <c r="D9" s="7" t="inlineStr">
        <is>
          <t>C1076-Q9585</t>
        </is>
      </c>
      <c r="E9" s="8" t="n"/>
      <c r="F9" s="8" t="n"/>
    </row>
    <row r="10">
      <c r="A10" s="6" t="inlineStr">
        <is>
          <t>Zona de planificación</t>
        </is>
      </c>
      <c r="B10" s="7" t="inlineStr">
        <is>
          <t>Z12</t>
        </is>
      </c>
      <c r="C10" s="6" t="inlineStr">
        <is>
          <t>Microcuenca declarada en ficha DT</t>
        </is>
      </c>
      <c r="D10" s="7" t="inlineStr">
        <is>
          <t>C1076-Q9584 (valor por defecto de la plantilla; el catálogo asigna al bloque la microcuenca C1076-Q9585)</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San Miguel de El Faique</t>
        </is>
      </c>
      <c r="C12" s="6" t="inlineStr">
        <is>
          <t>Capital distrital</t>
        </is>
      </c>
      <c r="D12" s="7" t="inlineStr">
        <is>
          <t>San Miguel de El Faique</t>
        </is>
      </c>
      <c r="E12" s="8" t="n"/>
      <c r="F12" s="8" t="n"/>
    </row>
    <row r="13">
      <c r="A13" s="6" t="inlineStr">
        <is>
          <t>Centro poblado asociado</t>
        </is>
      </c>
      <c r="B13" s="7" t="inlineStr">
        <is>
          <t>Las Huacas</t>
        </is>
      </c>
      <c r="C13" s="6" t="inlineStr">
        <is>
          <t>Comunidad campesina</t>
        </is>
      </c>
      <c r="D13" s="48" t="inlineStr">
        <is>
          <t>No consignada</t>
        </is>
      </c>
      <c r="E13" s="8" t="n"/>
      <c r="F13" s="8" t="n"/>
    </row>
    <row r="14">
      <c r="A14" s="6" t="inlineStr">
        <is>
          <t>Superficie de catálogo (V5/V6), ha</t>
        </is>
      </c>
      <c r="B14" s="7" t="n">
        <v>279.68</v>
      </c>
      <c r="C14" s="6" t="inlineStr">
        <is>
          <t>Fuente de superficie</t>
        </is>
      </c>
      <c r="D14" s="7" t="inlineStr">
        <is>
          <t>Catálogo maestro Bloques V5/V6</t>
        </is>
      </c>
      <c r="E14" s="8" t="n"/>
      <c r="F14" s="8" t="n"/>
    </row>
    <row r="15">
      <c r="A15" s="6" t="inlineStr">
        <is>
          <t>Centroide UTM ESTE (m)</t>
        </is>
      </c>
      <c r="B15" s="7" t="n">
        <v>641196</v>
      </c>
      <c r="C15" s="6" t="inlineStr">
        <is>
          <t>Centroide UTM NORTE (m)</t>
        </is>
      </c>
      <c r="D15" s="7" t="n">
        <v>9398710</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249</v>
      </c>
      <c r="C19" s="6" t="inlineStr">
        <is>
          <t>Altitud máxima (msnm)</t>
        </is>
      </c>
      <c r="D19" s="7" t="n">
        <v>525</v>
      </c>
      <c r="E19" s="8" t="n"/>
      <c r="F19" s="8" t="n"/>
    </row>
    <row r="20">
      <c r="A20" s="6" t="inlineStr">
        <is>
          <t>Amplitud altitudinal (m)</t>
        </is>
      </c>
      <c r="B20" s="7" t="n">
        <v>276</v>
      </c>
      <c r="C20" s="6" t="inlineStr">
        <is>
          <t>Piso altitudinal dominante</t>
        </is>
      </c>
      <c r="D20" s="7" t="inlineStr">
        <is>
          <t>&lt;1000 m (Yunga)</t>
        </is>
      </c>
      <c r="E20" s="8" t="n"/>
      <c r="F20" s="8" t="n"/>
    </row>
    <row r="21">
      <c r="A21" s="6" t="inlineStr">
        <is>
          <t>Pendiente promedio (%)</t>
        </is>
      </c>
      <c r="B21" s="7" t="n">
        <v>15.53</v>
      </c>
      <c r="C21" s="6" t="inlineStr">
        <is>
          <t>Pendiente promedio (grados)</t>
        </is>
      </c>
      <c r="D21" s="7" t="n">
        <v>8.800000000000001</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baja</t>
        </is>
      </c>
      <c r="E23" s="8" t="n"/>
      <c r="F23" s="8" t="n"/>
    </row>
    <row r="24">
      <c r="A24" s="6" t="inlineStr">
        <is>
          <t>Exposición / orientación</t>
        </is>
      </c>
      <c r="B24" s="7" t="inlineStr">
        <is>
          <t>Noroeste</t>
        </is>
      </c>
      <c r="C24" s="6" t="inlineStr">
        <is>
          <t>Afloramientos rocosos</t>
        </is>
      </c>
      <c r="D24" s="7" t="inlineStr">
        <is>
          <t>No</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0.3553</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mediana (54.60 %)</t>
        </is>
      </c>
      <c r="E29" s="8" t="n"/>
      <c r="F29" s="8" t="n"/>
    </row>
    <row r="30">
      <c r="A30" s="6" t="inlineStr">
        <is>
          <t>Superficie clasificada NDVI 2025 (ha)</t>
        </is>
      </c>
      <c r="B30" s="7" t="n">
        <v>279.766</v>
      </c>
      <c r="C30" s="6" t="inlineStr">
        <is>
          <t>Desviación frente al catálogo (%)</t>
        </is>
      </c>
      <c r="D30" s="7" t="n">
        <v>0.03</v>
      </c>
      <c r="E30" s="8" t="n"/>
      <c r="F30" s="8" t="n"/>
    </row>
    <row r="31">
      <c r="A31" s="6" t="inlineStr">
        <is>
          <t>Superficie clasificada MSAVI 2024 (ha)</t>
        </is>
      </c>
      <c r="B31" s="36" t="n">
        <v>279.68</v>
      </c>
      <c r="C31" s="6" t="inlineStr">
        <is>
          <t>Desviación MSAVI frente al catálogo (%)</t>
        </is>
      </c>
      <c r="D31" s="37" t="n">
        <v>0</v>
      </c>
      <c r="E31" s="8" t="n"/>
      <c r="F31" s="8" t="n"/>
    </row>
    <row r="32">
      <c r="A32" s="6" t="inlineStr">
        <is>
          <t>Superficie bajo umbral MSAVI 0.4976 (ha)</t>
        </is>
      </c>
      <c r="B32" s="36" t="n">
        <v>271.804</v>
      </c>
      <c r="C32" s="6" t="inlineStr">
        <is>
          <t>% del bloque bajo umbral (brecha espectral)</t>
        </is>
      </c>
      <c r="D32" s="37" t="n">
        <v>97.18000000000001</v>
      </c>
      <c r="E32" s="8" t="n"/>
      <c r="F32" s="8" t="n"/>
    </row>
    <row r="33">
      <c r="A33" s="6" t="inlineStr">
        <is>
          <t>Clase DN dominante (MSAVI 2024)</t>
        </is>
      </c>
      <c r="B33" s="7" t="inlineStr">
        <is>
          <t>DN 2 · 0.2650 - 0.3813 (Vigor muy bajo)</t>
        </is>
      </c>
      <c r="C33" s="6" t="inlineStr">
        <is>
          <t>N.° de polígonos MSAVI del bloque</t>
        </is>
      </c>
      <c r="D33" s="38" t="n">
        <v>792</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200 ha de 279.68 ha del bloque (71.5%); el 28.5% restante no fue asignado a ecosistema en la ficha</t>
        </is>
      </c>
      <c r="E36" s="8" t="n"/>
      <c r="F36" s="8" t="n"/>
    </row>
    <row r="37">
      <c r="A37" s="6" t="inlineStr">
        <is>
          <t>Estado de conservación</t>
        </is>
      </c>
      <c r="B37" s="7" t="inlineStr">
        <is>
          <t>Medianamente alterado</t>
        </is>
      </c>
      <c r="C37" s="6" t="inlineStr">
        <is>
          <t>Uso actual dominante del suelo</t>
        </is>
      </c>
      <c r="D37" s="7" t="inlineStr">
        <is>
          <t>Pastoreo extensivo</t>
        </is>
      </c>
      <c r="E37" s="8" t="n"/>
      <c r="F37" s="8" t="n"/>
    </row>
    <row r="38">
      <c r="A38" s="6" t="inlineStr">
        <is>
          <t>Tipo de cobertura dominante</t>
        </is>
      </c>
      <c r="B38" s="48" t="inlineStr">
        <is>
          <t>Bosque ralo (30-70%)</t>
        </is>
      </c>
      <c r="C38" s="6" t="inlineStr">
        <is>
          <t>Cobertura vegetal total — campo (%)</t>
        </is>
      </c>
      <c r="D38" s="7" t="n">
        <v>80</v>
      </c>
      <c r="E38" s="8" t="n"/>
      <c r="F38" s="8" t="n"/>
    </row>
    <row r="39">
      <c r="A39" s="6" t="inlineStr">
        <is>
          <t>Suelo desnudo — campo (%)</t>
        </is>
      </c>
      <c r="B39" s="7" t="n">
        <v>10</v>
      </c>
      <c r="C39" s="6" t="inlineStr">
        <is>
          <t>Regeneración natural</t>
        </is>
      </c>
      <c r="D39" s="7" t="inlineStr">
        <is>
          <t>Por determinar</t>
        </is>
      </c>
      <c r="E39" s="8" t="n"/>
      <c r="F39" s="8" t="n"/>
    </row>
    <row r="40">
      <c r="A40" s="6" t="inlineStr">
        <is>
          <t>Nivel general de erosión</t>
        </is>
      </c>
      <c r="B40" s="7" t="inlineStr">
        <is>
          <t>Moderada (surcos)</t>
        </is>
      </c>
      <c r="C40" s="6" t="inlineStr">
        <is>
          <t>N.° de cárcavas registradas</t>
        </is>
      </c>
      <c r="D40" s="7" t="n">
        <v>0</v>
      </c>
      <c r="E40" s="8" t="n"/>
      <c r="F40" s="8" t="n"/>
    </row>
    <row r="41">
      <c r="A41" s="6" t="inlineStr">
        <is>
          <t>Elenco florístico (n.° de taxones)</t>
        </is>
      </c>
      <c r="B41" s="7" t="n">
        <v>7</v>
      </c>
      <c r="C41" s="6" t="inlineStr">
        <is>
          <t>Estado sanitario</t>
        </is>
      </c>
      <c r="D41" s="7" t="inlineStr">
        <is>
          <t>Por determinar</t>
        </is>
      </c>
      <c r="E41" s="8" t="n"/>
      <c r="F41" s="8" t="n"/>
    </row>
    <row r="42"/>
    <row r="43" ht="18" customHeight="1">
      <c r="A43" s="5" t="inlineStr">
        <is>
          <t>5. RESPONSABLE Y MODALIDAD DE LA EVALUACIÓN</t>
        </is>
      </c>
    </row>
    <row r="44">
      <c r="A44" s="6" t="inlineStr">
        <is>
          <t>Responsable de la evaluación</t>
        </is>
      </c>
      <c r="B44" s="7" t="inlineStr">
        <is>
          <t>Ing. Juan Domínguez</t>
        </is>
      </c>
      <c r="C44" s="6" t="inlineStr">
        <is>
          <t>Fecha de evaluación</t>
        </is>
      </c>
      <c r="D44" s="7" t="inlineStr">
        <is>
          <t>2026-08-04</t>
        </is>
      </c>
      <c r="E44" s="8" t="n"/>
      <c r="F44" s="8" t="n"/>
    </row>
    <row r="45">
      <c r="A45" s="6" t="inlineStr">
        <is>
          <t>Hora de registro</t>
        </is>
      </c>
      <c r="B45" s="7" t="inlineStr">
        <is>
          <t>15:00 h</t>
        </is>
      </c>
      <c r="C45" s="6" t="inlineStr">
        <is>
          <t>Correlativo de ficha</t>
        </is>
      </c>
      <c r="D45" s="7" t="inlineStr">
        <is>
          <t>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Por determinar</t>
        </is>
      </c>
      <c r="E47" s="8" t="n"/>
      <c r="F47" s="8" t="n"/>
    </row>
    <row r="48">
      <c r="A48" s="6" t="inlineStr">
        <is>
          <t>Estaciones fotográficas georreferenciadas</t>
        </is>
      </c>
      <c r="B48" s="7" t="n">
        <v>0</v>
      </c>
      <c r="C48" s="6" t="inlineStr">
        <is>
          <t>Modalidad de acceso</t>
        </is>
      </c>
      <c r="D48" s="7" t="inlineStr">
        <is>
          <t>Vehicular + caminata</t>
        </is>
      </c>
      <c r="E48" s="8" t="n"/>
      <c r="F48" s="8" t="n"/>
    </row>
    <row r="49"/>
    <row r="50" ht="18" customHeight="1">
      <c r="A50" s="5" t="inlineStr">
        <is>
          <t>6. SÍNTESIS PARA LA GESTIÓN DEL RIESGO EN CONTEXTO DE CAMBIO CLIMÁTICO</t>
        </is>
      </c>
    </row>
    <row r="51">
      <c r="A51" s="6" t="inlineStr">
        <is>
          <t>Causa subyacente principal</t>
        </is>
      </c>
      <c r="B51" s="48" t="inlineStr">
        <is>
          <t>No consignada en el formato de campo</t>
        </is>
      </c>
      <c r="C51" s="6" t="inlineStr">
        <is>
          <t>Velocidad de degradación</t>
        </is>
      </c>
      <c r="D51" s="7" t="inlineStr">
        <is>
          <t>Lenta</t>
        </is>
      </c>
      <c r="E51" s="8" t="n"/>
      <c r="F51" s="8" t="n"/>
    </row>
    <row r="52">
      <c r="A52" s="6" t="inlineStr">
        <is>
          <t>Reversibilidad técnica</t>
        </is>
      </c>
      <c r="B52" s="7" t="inlineStr">
        <is>
          <t>Totalmente reversible</t>
        </is>
      </c>
      <c r="C52" s="6" t="inlineStr">
        <is>
          <t>Urgencia de intervención</t>
        </is>
      </c>
      <c r="D52" s="7" t="inlineStr">
        <is>
          <t>Baja</t>
        </is>
      </c>
      <c r="E52" s="8" t="n"/>
      <c r="F52" s="8" t="n"/>
    </row>
    <row r="53">
      <c r="A53" s="6" t="inlineStr">
        <is>
          <t>Urgencia de control de erosión</t>
        </is>
      </c>
      <c r="B53" s="7" t="inlineStr">
        <is>
          <t>Media</t>
        </is>
      </c>
      <c r="C53" s="6" t="inlineStr">
        <is>
          <t>Zona de recarga hídrica</t>
        </is>
      </c>
      <c r="D53" s="7" t="inlineStr">
        <is>
          <t>Por determinar</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39" t="n"/>
      <c r="C57" s="39" t="n"/>
      <c r="D57" s="39" t="n"/>
      <c r="E57" s="39" t="n"/>
      <c r="F57" s="40"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M20B1</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0.268</v>
      </c>
      <c r="C10" s="19">
        <f>ROUND(B10/$B$15*100,2)</f>
        <v/>
      </c>
      <c r="D10" s="11" t="inlineStr">
        <is>
          <t>Vigor alto</t>
        </is>
      </c>
      <c r="E10" s="11" t="inlineStr">
        <is>
          <t>Sobre umbral</t>
        </is>
      </c>
    </row>
    <row r="11">
      <c r="A11" s="12" t="inlineStr">
        <is>
          <t>0.4976 - 0.6139 · DN 4</t>
        </is>
      </c>
      <c r="B11" s="20" t="n">
        <v>7.608</v>
      </c>
      <c r="C11" s="21">
        <f>ROUND(B11/$B$15*100,2)</f>
        <v/>
      </c>
      <c r="D11" s="13" t="inlineStr">
        <is>
          <t>Vigor moderado</t>
        </is>
      </c>
      <c r="E11" s="13" t="inlineStr">
        <is>
          <t>Sobre umbral</t>
        </is>
      </c>
    </row>
    <row r="12">
      <c r="A12" s="7" t="inlineStr">
        <is>
          <t>0.3813 - 0.4976 · DN 3</t>
        </is>
      </c>
      <c r="B12" s="18" t="n">
        <v>81.5479</v>
      </c>
      <c r="C12" s="19">
        <f>ROUND(B12/$B$15*100,2)</f>
        <v/>
      </c>
      <c r="D12" s="11" t="inlineStr">
        <is>
          <t>Vigor bajo</t>
        </is>
      </c>
      <c r="E12" s="11" t="inlineStr">
        <is>
          <t>BAJO umbral 0.4976</t>
        </is>
      </c>
    </row>
    <row r="13">
      <c r="A13" s="14" t="inlineStr">
        <is>
          <t>0.2650 - 0.3813 · DN 2</t>
        </is>
      </c>
      <c r="B13" s="29" t="n">
        <v>174.7069</v>
      </c>
      <c r="C13" s="28">
        <f>ROUND(B13/$B$15*100,2)</f>
        <v/>
      </c>
      <c r="D13" s="15" t="inlineStr">
        <is>
          <t>Vigor muy bajo</t>
        </is>
      </c>
      <c r="E13" s="15" t="inlineStr">
        <is>
          <t>BAJO umbral 0.4976</t>
        </is>
      </c>
    </row>
    <row r="14">
      <c r="A14" s="7" t="inlineStr">
        <is>
          <t>&lt;= 0.2650 · DN 1</t>
        </is>
      </c>
      <c r="B14" s="18" t="n">
        <v>15.5494</v>
      </c>
      <c r="C14" s="19">
        <f>ROUND(B14/$B$15*100,2)</f>
        <v/>
      </c>
      <c r="D14" s="11" t="inlineStr">
        <is>
          <t>Suelo desnudo / no vegetal</t>
        </is>
      </c>
      <c r="E14" s="11" t="inlineStr">
        <is>
          <t>BAJO umbral 0.4976</t>
        </is>
      </c>
    </row>
    <row r="15" ht="30" customHeight="1">
      <c r="A15" s="41" t="inlineStr">
        <is>
          <t>TOTAL CLASIFICADO MSAVI 2024</t>
        </is>
      </c>
      <c r="B15" s="42">
        <f>SUM(B10:B14)</f>
        <v/>
      </c>
      <c r="C15" s="43">
        <f>SUM(C10:C14)</f>
        <v/>
      </c>
      <c r="D15" s="41" t="inlineStr">
        <is>
          <t>Suma de la distribución areal · 792 polígonos</t>
        </is>
      </c>
      <c r="E15" s="41" t="inlineStr">
        <is>
          <t>—</t>
        </is>
      </c>
    </row>
    <row r="16" ht="30" customHeight="1">
      <c r="A16" s="44" t="inlineStr">
        <is>
          <t>Superficie SOBRE umbral 0.4976 (ha)</t>
        </is>
      </c>
      <c r="B16" s="45">
        <f>SUM(B10:B11)</f>
        <v/>
      </c>
      <c r="C16" s="46">
        <f>ROUND(B16/B15*100,2)</f>
        <v/>
      </c>
      <c r="D16" s="44" t="inlineStr">
        <is>
          <t>Vigor alto y moderado (DN 4 y DN 5)</t>
        </is>
      </c>
      <c r="E16" s="44" t="inlineStr">
        <is>
          <t>Sobre umbral 0.4976</t>
        </is>
      </c>
    </row>
    <row r="17" ht="30" customHeight="1">
      <c r="A17" s="44" t="inlineStr">
        <is>
          <t>Superficie BAJO umbral 0.4976 (ha) — brecha</t>
        </is>
      </c>
      <c r="B17" s="45">
        <f>SUM(B12:B14)</f>
        <v/>
      </c>
      <c r="C17" s="46">
        <f>ROUND(B17/B15*100,2)</f>
        <v/>
      </c>
      <c r="D17" s="44" t="inlineStr">
        <is>
          <t>Vigor bajo, muy bajo y suelo desnudo (DN 1 a DN 3)</t>
        </is>
      </c>
      <c r="E17" s="44" t="inlineStr">
        <is>
          <t>Base para el indicador de brecha (R.M. N.° 00213-2024-MINAM)</t>
        </is>
      </c>
    </row>
    <row r="18" ht="30" customHeight="1">
      <c r="A18" s="44" t="inlineStr">
        <is>
          <t>Superficie de catálogo (V5/V6) — contraste MSAVI</t>
        </is>
      </c>
      <c r="B18" s="45" t="n">
        <v>279.68</v>
      </c>
      <c r="C18" s="47" t="inlineStr">
        <is>
          <t>—</t>
        </is>
      </c>
      <c r="D18" s="44" t="inlineStr">
        <is>
          <t>Desviación planimétrica frente al catálogo</t>
        </is>
      </c>
      <c r="E18" s="44" t="inlineStr">
        <is>
          <t>+0.00 %</t>
        </is>
      </c>
    </row>
    <row r="19">
      <c r="A19" s="16" t="inlineStr">
        <is>
          <t>MSAVI 2024 — MEDIA DEL BLOQUE</t>
        </is>
      </c>
      <c r="B19" s="17" t="n">
        <v>0.355329</v>
      </c>
      <c r="C19" s="17" t="inlineStr">
        <is>
          <t>—</t>
        </is>
      </c>
      <c r="D19" s="17" t="inlineStr">
        <is>
          <t>Vigor muy bajo · clase 0.2650 - 0.3813</t>
        </is>
      </c>
      <c r="E19" s="17" t="inlineStr">
        <is>
          <t>BAJO umbral 0.4976</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792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(0.3553) se conserva del catálogo maestro y es dato oficial; la fila resaltada indica la clase en la que cae dicha media. Los totales y porcentajes se calculan con fórmulas sobre las filas del cuadro.</t>
        </is>
      </c>
      <c r="B21" s="39" t="n"/>
      <c r="C21" s="39" t="n"/>
      <c r="D21" s="39" t="n"/>
      <c r="E21" s="40"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25.0792</v>
      </c>
      <c r="C25" s="19" t="n">
        <v>8.960000000000001</v>
      </c>
      <c r="D25" s="11" t="inlineStr">
        <is>
          <t>Dosel continuo, matorral denso o mosaico agroforestal</t>
        </is>
      </c>
      <c r="E25" s="11" t="inlineStr"/>
    </row>
    <row r="26">
      <c r="A26" s="12" t="inlineStr">
        <is>
          <t>Vegetación mediana</t>
        </is>
      </c>
      <c r="B26" s="20" t="n">
        <v>152.7429</v>
      </c>
      <c r="C26" s="21" t="n">
        <v>54.6</v>
      </c>
      <c r="D26" s="13" t="inlineStr">
        <is>
          <t>Pastizal cultivado, matorral ralo, parcelas agrícolas</t>
        </is>
      </c>
      <c r="E26" s="13" t="inlineStr"/>
    </row>
    <row r="27">
      <c r="A27" s="7" t="inlineStr">
        <is>
          <t>Vegetación ligera</t>
        </is>
      </c>
      <c r="B27" s="18" t="n">
        <v>100.3404</v>
      </c>
      <c r="C27" s="19" t="n">
        <v>35.87</v>
      </c>
      <c r="D27" s="11" t="inlineStr">
        <is>
          <t>Cobertura discontinua, suelo parcialmente expuesto</t>
        </is>
      </c>
      <c r="E27" s="11" t="inlineStr"/>
    </row>
    <row r="28">
      <c r="A28" s="12" t="inlineStr">
        <is>
          <t>Tierra desnuda</t>
        </is>
      </c>
      <c r="B28" s="20" t="n">
        <v>1.6031</v>
      </c>
      <c r="C28" s="21" t="n">
        <v>0.57</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279.68</v>
      </c>
      <c r="C30" s="25" t="inlineStr">
        <is>
          <t>—</t>
        </is>
      </c>
      <c r="D30" s="25" t="inlineStr">
        <is>
          <t>Desviación planimétrica frente al catálogo</t>
        </is>
      </c>
      <c r="E30" s="25" t="inlineStr">
        <is>
          <t>+0.03 %</t>
        </is>
      </c>
    </row>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80 % frente a un 8.96 % del polígono clasificado como «Vegetación alta» por el NDVI 2025; la observación de campo corresponde a una parcela o recorrido puntual y no es estadísticamente representativa de las 279.680 ha del bloque.</t>
        </is>
      </c>
      <c r="B32" s="39" t="n"/>
      <c r="C32" s="39" t="n"/>
      <c r="D32" s="39" t="n"/>
      <c r="E32" s="40"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M20B1</t>
        </is>
      </c>
    </row>
    <row r="6" ht="24" customHeight="1">
      <c r="A6" s="4" t="inlineStr">
        <is>
          <t>Levantamiento del 2026-08-04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638996</v>
      </c>
      <c r="D10" s="26" t="n">
        <v>9399186</v>
      </c>
      <c r="E10" s="11" t="n">
        <v>2250.9</v>
      </c>
      <c r="F10" s="11" t="inlineStr"/>
      <c r="G10" s="11" t="inlineStr">
        <is>
          <t>Coordenada consignada en F-DT-01</t>
        </is>
      </c>
    </row>
    <row r="11">
      <c r="A11" s="16" t="inlineStr">
        <is>
          <t>TOTAL: 1 puntos</t>
        </is>
      </c>
      <c r="B11" s="17" t="inlineStr"/>
      <c r="C11" s="17" t="inlineStr"/>
      <c r="D11" s="17" t="inlineStr"/>
      <c r="E11" s="17" t="inlineStr"/>
      <c r="F11" s="17" t="inlineStr"/>
      <c r="G11" s="17" t="inlineStr"/>
    </row>
    <row r="13">
      <c r="A13" s="6" t="inlineStr">
        <is>
          <t>Centroide del bloque — UTM ESTE (m)</t>
        </is>
      </c>
      <c r="B13" s="7" t="n">
        <v>641196</v>
      </c>
      <c r="C13" s="6" t="inlineStr">
        <is>
          <t>Centroide del bloque — UTM NORTE (m)</t>
        </is>
      </c>
      <c r="D13" s="7" t="n">
        <v>9398710</v>
      </c>
      <c r="E13" s="8" t="n"/>
      <c r="F13" s="8" t="n"/>
      <c r="G13" s="8" t="n"/>
      <c r="H13" s="8" t="n"/>
    </row>
    <row r="14">
      <c r="A14" s="6" t="inlineStr">
        <is>
          <t>N.° de estaciones fotográficas declaradas</t>
        </is>
      </c>
      <c r="B14" s="7" t="n">
        <v>0</v>
      </c>
      <c r="C14" s="6" t="inlineStr">
        <is>
          <t>Estaciones dentro del polígono</t>
        </is>
      </c>
      <c r="D14" s="7" t="n">
        <v>0</v>
      </c>
      <c r="E14" s="8" t="n"/>
      <c r="F14" s="8" t="n"/>
      <c r="G14" s="8" t="n"/>
      <c r="H14" s="8" t="n"/>
    </row>
    <row r="16" ht="96" customHeight="1">
      <c r="A16"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No se registran indicadores de inestabilidad de laderas: las cinco variables evaluadas (afloramientos rocosos, escarpes, reptación, deslizamientos y remociones en masa) fueron marcadas como "No".</t>
        </is>
      </c>
      <c r="B16" s="39" t="n"/>
      <c r="C16" s="39" t="n"/>
      <c r="D16" s="39" t="n"/>
      <c r="E16" s="39" t="n"/>
      <c r="F16" s="39" t="n"/>
      <c r="G16" s="40" t="n"/>
    </row>
  </sheetData>
  <mergeCells count="8">
    <mergeCell ref="A1:G1"/>
    <mergeCell ref="A8:G8"/>
    <mergeCell ref="A3:G3"/>
    <mergeCell ref="A6:G6"/>
    <mergeCell ref="A4:G4"/>
    <mergeCell ref="A2:G2"/>
    <mergeCell ref="A16:G16"/>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C1076-Q9585 — BLOQUE M20B1</t>
        </is>
      </c>
    </row>
    <row r="6" ht="24" customHeight="1">
      <c r="A6" s="4" t="inlineStr">
        <is>
          <t>Distrito de San Miguel de El Faique · Provincia de Huancabamba · Comparación de los bloques preliminares de intervención de la misma microcuenca</t>
        </is>
      </c>
    </row>
    <row r="8" ht="18" customHeight="1">
      <c r="A8" s="5" t="inlineStr">
        <is>
          <t>BLOQUES DE LA MICROCUENCA C1076-Q9585</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14" t="inlineStr">
        <is>
          <t>► M20B1</t>
        </is>
      </c>
      <c r="B10" s="27" t="n">
        <v>279.68</v>
      </c>
      <c r="C10" s="28" t="n">
        <v>96.91</v>
      </c>
      <c r="D10" s="15" t="inlineStr">
        <is>
          <t>249 – 525</t>
        </is>
      </c>
      <c r="E10" s="15" t="n">
        <v>276</v>
      </c>
      <c r="F10" s="15" t="n">
        <v>15.53</v>
      </c>
      <c r="G10" s="29" t="n">
        <v>0.3553</v>
      </c>
      <c r="H10" s="28" t="n">
        <v>8.960000000000001</v>
      </c>
      <c r="I10" s="28" t="n">
        <v>97.18000000000001</v>
      </c>
    </row>
    <row r="11">
      <c r="A11" s="12" t="inlineStr">
        <is>
          <t>81</t>
        </is>
      </c>
      <c r="B11" s="30" t="n">
        <v>8.93</v>
      </c>
      <c r="C11" s="21" t="n">
        <v>3.09</v>
      </c>
      <c r="D11" s="13" t="inlineStr">
        <is>
          <t>272 – 371</t>
        </is>
      </c>
      <c r="E11" s="13" t="n">
        <v>99</v>
      </c>
      <c r="F11" s="13" t="n">
        <v>16.05</v>
      </c>
      <c r="G11" s="20" t="n">
        <v>0.2747</v>
      </c>
      <c r="H11" s="21" t="n">
        <v>0</v>
      </c>
      <c r="I11" s="21" t="n">
        <v>100</v>
      </c>
    </row>
    <row r="12">
      <c r="A12" s="16" t="inlineStr">
        <is>
          <t>TOTAL / PROMEDIO</t>
        </is>
      </c>
      <c r="B12" s="31">
        <f>SUM(B10:B11)</f>
        <v/>
      </c>
      <c r="C12" s="23">
        <f>SUM(C10:C11)</f>
        <v/>
      </c>
      <c r="D12" s="17" t="inlineStr">
        <is>
          <t>249 – 525</t>
        </is>
      </c>
      <c r="E12" s="17" t="inlineStr"/>
      <c r="F12" s="17">
        <f>ROUND(AVERAGE(F10:F11),2)</f>
        <v/>
      </c>
      <c r="G12" s="22">
        <f>ROUND(AVERAGE(G10:G11),4)</f>
        <v/>
      </c>
      <c r="H12" s="23">
        <f>ROUND(AVERAGE(H10:H11),2)</f>
        <v/>
      </c>
      <c r="I12" s="23">
        <f>ROUND(AVERAGE(I10:I11),2)</f>
        <v/>
      </c>
    </row>
    <row r="14" ht="84" customHeight="1">
      <c r="A14" s="9" t="inlineStr">
        <is>
          <t>LECTURA INTRAMICROCUENCA. El bloque M20B1 ocupa el puesto 1 de 2 por superficie dentro de la microcuenca C1076-Q9585 (96.91 % de las 288.61 ha preliminares de la microcuenca). Su pendiente promedio (15.53 %, clase «15-25% (Fuert. inclinado)») es la 1.ª más baja de 2 y se sitúa por debajo del promedio de la microcuenca (15.79 %). Su MSAVI 2024 (0.3553) es el 1.º de 2 y queda por encima del promedio local (0.3150). Amplitud altitudinal del bloque: 276 m (249–525 msnm). El cuadro conserva todos los bloques catalogados en la microcuenca, incluidos los descartados en el tamizaje, para referencia del conjunto. Los bloques sin ficha DT figuran con sus parámetros de gabinete. BRECHA ESPECTRAL. El 97.18 % de la superficie del bloque (271.804 ha de 279.680 ha) se sitúa bajo el umbral MSAVI 0.4976, por debajo del promedio local de la microcuenca (98.59 %) calculado sobre los bloques con dato MSAVI disponible.</t>
        </is>
      </c>
      <c r="B14" s="39" t="n"/>
      <c r="C14" s="39" t="n"/>
      <c r="D14" s="39" t="n"/>
      <c r="E14" s="39" t="n"/>
      <c r="F14" s="39" t="n"/>
      <c r="G14" s="39" t="n"/>
      <c r="H14" s="39" t="n"/>
      <c r="I14" s="40" t="n"/>
    </row>
    <row r="16" ht="60" customHeight="1">
      <c r="A1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6" s="39" t="n"/>
      <c r="C16" s="39" t="n"/>
      <c r="D16" s="39" t="n"/>
      <c r="E16" s="39" t="n"/>
      <c r="F16" s="39" t="n"/>
      <c r="G16" s="39" t="n"/>
      <c r="H16" s="39" t="n"/>
      <c r="I16" s="40" t="n"/>
    </row>
  </sheetData>
  <mergeCells count="9">
    <mergeCell ref="A2:I2"/>
    <mergeCell ref="A5:I5"/>
    <mergeCell ref="A14:I14"/>
    <mergeCell ref="A1:I1"/>
    <mergeCell ref="A8:I8"/>
    <mergeCell ref="A3:I3"/>
    <mergeCell ref="A6:I6"/>
    <mergeCell ref="A4:I4"/>
    <mergeCell ref="A16:I1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5"/>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49" t="inlineStr">
        <is>
          <t>AUTORIDAD NACIONAL DE INFRAESTRUCTURA - ANIN</t>
        </is>
      </c>
    </row>
    <row r="2">
      <c r="A2" s="49" t="inlineStr">
        <is>
          <t>DIRECCION DE INTERVENCIONES MULTISECTORIALES Y DE EMERGENCIA - DIME</t>
        </is>
      </c>
    </row>
    <row r="3">
      <c r="A3" s="49" t="inlineStr">
        <is>
          <t>SUBDIRECCION DE ESTUDIOS DE INVERSION - SESDI</t>
        </is>
      </c>
    </row>
    <row r="4">
      <c r="A4" s="50" t="inlineStr">
        <is>
          <t>PROYECTO IN PIURA | CUI 2669244 | Recuperacion del servicio de regulacion de riesgos naturales y de ecosistemas degradados - Cuenca Alta del Rio Piura</t>
        </is>
      </c>
    </row>
    <row r="5" ht="22" customHeight="1">
      <c r="A5" s="51" t="inlineStr">
        <is>
          <t>CONTROL DE CONSISTENCIA — BLOQUE M20B1</t>
        </is>
      </c>
    </row>
    <row r="6">
      <c r="A6" s="50" t="inlineStr">
        <is>
          <t>Cruce de la ficha de campo F-DT vigente con la ficha de resumen de gabinete y el catálogo maestro. Integración 2026-09-11 20:22:36.</t>
        </is>
      </c>
    </row>
    <row r="7">
      <c r="A7" s="52" t="inlineStr">
        <is>
          <t>DISCREPANCIAS Y VERIFICACIONES</t>
        </is>
      </c>
    </row>
    <row r="8">
      <c r="A8" s="53" t="inlineStr">
        <is>
          <t>Cod.</t>
        </is>
      </c>
      <c r="B8" s="53" t="inlineStr">
        <is>
          <t>Campo afectado</t>
        </is>
      </c>
      <c r="C8" s="53" t="inlineStr">
        <is>
          <t>Discrepancia observada</t>
        </is>
      </c>
      <c r="D8" s="53" t="inlineStr">
        <is>
          <t>Calificación</t>
        </is>
      </c>
      <c r="E8" s="53" t="inlineStr">
        <is>
          <t>Tratamiento adoptado</t>
        </is>
      </c>
    </row>
    <row r="9">
      <c r="A9" s="54" t="inlineStr">
        <is>
          <t>G-01</t>
        </is>
      </c>
      <c r="B9" s="54" t="inlineStr">
        <is>
          <t>Código de microcuenca</t>
        </is>
      </c>
      <c r="C9" s="54" t="inlineStr">
        <is>
          <t>Ficha DT y catálogo maestro coinciden en «C1076-Q9585».</t>
        </is>
      </c>
      <c r="D9" s="54" t="inlineStr">
        <is>
          <t>CONFORME</t>
        </is>
      </c>
      <c r="E9" s="54" t="inlineStr">
        <is>
          <t>Sin acción.</t>
        </is>
      </c>
    </row>
    <row r="10">
      <c r="A10" s="55" t="inlineStr">
        <is>
          <t>G-02</t>
        </is>
      </c>
      <c r="B10" s="55" t="inlineStr">
        <is>
          <t>UTM del punto de muestreo</t>
        </is>
      </c>
      <c r="C10" s="55" t="inlineStr">
        <is>
          <t>El punto de muestreo declarado dista 2250.9 m del centroide del bloque, por encima del radio de control de 1500 m.</t>
        </is>
      </c>
      <c r="D10" s="55" t="inlineStr">
        <is>
          <t>NO SUSTANTIVA</t>
        </is>
      </c>
      <c r="E10" s="55" t="inlineStr">
        <is>
          <t>Se verifica en gabinete si la estación cae dentro del polígono; el dato de campo se conserva como referencia de acceso.</t>
        </is>
      </c>
    </row>
    <row r="11">
      <c r="A11" s="54" t="inlineStr">
        <is>
          <t>G-03</t>
        </is>
      </c>
      <c r="B11" s="54" t="inlineStr">
        <is>
          <t>Sistema de referencia UTM 17S</t>
        </is>
      </c>
      <c r="C11" s="54" t="inlineStr">
        <is>
          <t>Verificación de rango para EPSG:32717: Conforme.</t>
        </is>
      </c>
      <c r="D11" s="54" t="inlineStr">
        <is>
          <t>CONFORME</t>
        </is>
      </c>
      <c r="E11" s="54" t="inlineStr">
        <is>
          <t>Sin acción.</t>
        </is>
      </c>
    </row>
    <row r="12">
      <c r="A12" s="55" t="inlineStr">
        <is>
          <t>G-04</t>
        </is>
      </c>
      <c r="B12" s="55" t="inlineStr">
        <is>
          <t>Altitud del punto de muestreo</t>
        </is>
      </c>
      <c r="C12" s="55" t="inlineStr">
        <is>
          <t>La altitud GPS (252 msnm) cae dentro del rango altitudinal del bloque (249 - 525 msnm).</t>
        </is>
      </c>
      <c r="D12" s="55" t="inlineStr">
        <is>
          <t>CONFORME</t>
        </is>
      </c>
      <c r="E12" s="55" t="inlineStr">
        <is>
          <t>Sin acción.</t>
        </is>
      </c>
    </row>
    <row r="13">
      <c r="A13" s="54" t="inlineStr">
        <is>
          <t>G-05</t>
        </is>
      </c>
      <c r="B13" s="54" t="inlineStr">
        <is>
          <t>Superficie NDVI vs. catálogo</t>
        </is>
      </c>
      <c r="C13" s="54" t="inlineStr">
        <is>
          <t>La superficie clasificada por el NDVI mediana 2025 (279.766 ha) se desvía 0.03 % de la superficie de catálogo (279.68 ha).</t>
        </is>
      </c>
      <c r="D13" s="54" t="inlineStr">
        <is>
          <t>CONFORME</t>
        </is>
      </c>
      <c r="E13" s="54" t="inlineStr">
        <is>
          <t>Sin acción: la segmentación valida la geometría del bloque.</t>
        </is>
      </c>
    </row>
    <row r="14">
      <c r="A14" s="55" t="inlineStr">
        <is>
          <t>G-06</t>
        </is>
      </c>
      <c r="B14" s="55" t="inlineStr">
        <is>
          <t>Superficie MSAVI vs. catálogo</t>
        </is>
      </c>
      <c r="C14" s="55" t="inlineStr">
        <is>
          <t>La superficie clasificada por el MSAVI 2024 (279.680 ha) se desvía 0.00 % de la superficie de catálogo (279.68 ha).</t>
        </is>
      </c>
      <c r="D14" s="55" t="inlineStr">
        <is>
          <t>CONFORME</t>
        </is>
      </c>
      <c r="E14" s="55" t="inlineStr">
        <is>
          <t>Sin acción: la segmentación valida la geometría del bloque.</t>
        </is>
      </c>
    </row>
    <row r="15">
      <c r="A15" s="54" t="inlineStr">
        <is>
          <t>G-07</t>
        </is>
      </c>
      <c r="B15" s="54" t="inlineStr">
        <is>
          <t>Brecha espectral MSAVI</t>
        </is>
      </c>
      <c r="C15" s="54" t="inlineStr">
        <is>
          <t>El 97.18 % del bloque queda bajo el umbral 0.4976; superficie de brecha 271.80 ha.</t>
        </is>
      </c>
      <c r="D15" s="54" t="inlineStr">
        <is>
          <t>CONFORME</t>
        </is>
      </c>
      <c r="E15" s="54" t="inlineStr">
        <is>
          <t>Sin acción: alimenta el indicador de brecha del proyecto.</t>
        </is>
      </c>
    </row>
    <row r="16">
      <c r="A16" s="55" t="inlineStr">
        <is>
          <t>G-08</t>
        </is>
      </c>
      <c r="B16" s="55" t="inlineStr">
        <is>
          <t>Distribución areal MSAVI 2024</t>
        </is>
      </c>
      <c r="C16" s="55" t="inlineStr">
        <is>
          <t>La hoja de cobertura declara 5 clases DN con superficie, 279.68 ha clasificadas en total.</t>
        </is>
      </c>
      <c r="D16" s="55" t="inlineStr">
        <is>
          <t>CONFORME</t>
        </is>
      </c>
      <c r="E16" s="55" t="inlineStr">
        <is>
          <t>Sin acción: procede de la estadística zonal del raster MSAVI 2024 clasificado.</t>
        </is>
      </c>
    </row>
    <row r="17">
      <c r="A17" s="54" t="inlineStr">
        <is>
          <t>G-09</t>
        </is>
      </c>
      <c r="B17" s="54" t="inlineStr">
        <is>
          <t>Media MSAVI vs. clase DN dominante</t>
        </is>
      </c>
      <c r="C17" s="54" t="inlineStr">
        <is>
          <t>La media del bloque (0.3553) cae en la clase «0.2650 - 0.3813 (Vigor muy bajo)» y la clase DN dominante por superficie es «DN 2 · 0.2650 - 0.3813 (Vigor muy bajo)».</t>
        </is>
      </c>
      <c r="D17" s="54" t="inlineStr">
        <is>
          <t>CONFORME</t>
        </is>
      </c>
      <c r="E17" s="54" t="inlineStr">
        <is>
          <t>Sin acción: media y clase dominante son coherentes.</t>
        </is>
      </c>
    </row>
    <row r="18">
      <c r="A18" s="55" t="inlineStr">
        <is>
          <t>G-10</t>
        </is>
      </c>
      <c r="B18" s="55" t="inlineStr">
        <is>
          <t>Peligro integrado (MCA-AHP)</t>
        </is>
      </c>
      <c r="C18" s="55" t="inlineStr">
        <is>
          <t>El nivel de peligro integrado no está disponible en los insumos de este entregable.</t>
        </is>
      </c>
      <c r="D18" s="55" t="inlineStr">
        <is>
          <t>SUSTANTIVA</t>
        </is>
      </c>
      <c r="E18" s="55" t="inlineStr">
        <is>
          <t>Debe tomarse del modelamiento de mesolocalización (MCA-AHP de PMM, EPH y PGI) antes de cerrar el perfil.</t>
        </is>
      </c>
    </row>
    <row r="19">
      <c r="A19" s="54" t="inlineStr">
        <is>
          <t>I-01</t>
        </is>
      </c>
      <c r="B19" s="54" t="inlineStr">
        <is>
          <t>Tipo de cobertura dominante</t>
        </is>
      </c>
      <c r="C19" s="54" t="inlineStr">
        <is>
          <t>El libro de resumen V6 consignaba «Bosque denso (&gt;70%)»; la ficha de campo vigente declara «Bosque ralo (30-70%)».</t>
        </is>
      </c>
      <c r="D19" s="54" t="inlineStr">
        <is>
          <t>CORREGIDO</t>
        </is>
      </c>
      <c r="E19" s="54" t="inlineStr">
        <is>
          <t>Se adopta el valor de campo por ser la fuente que manda sobre el dato y la más reciente. El valor anterior queda declarado para trazabilidad.</t>
        </is>
      </c>
    </row>
    <row r="20">
      <c r="A20" s="55" t="inlineStr">
        <is>
          <t>F-01</t>
        </is>
      </c>
      <c r="B20" s="55" t="inlineStr">
        <is>
          <t>Fichas F-DT levantadas</t>
        </is>
      </c>
      <c r="C20" s="55" t="inlineStr">
        <is>
          <t>La plantilla de campo trae las cinco fichas F-DT-01 a F-DT-05 (completitud 85.7 % de los campos esperados).</t>
        </is>
      </c>
      <c r="D20" s="55" t="inlineStr">
        <is>
          <t>CONFORME</t>
        </is>
      </c>
      <c r="E20" s="55" t="inlineStr">
        <is>
          <t>Sin acción.</t>
        </is>
      </c>
    </row>
    <row r="21">
      <c r="A21" s="54" t="inlineStr">
        <is>
          <t>F-02</t>
        </is>
      </c>
      <c r="B21" s="54" t="inlineStr">
        <is>
          <t>Cobertura de la integración</t>
        </is>
      </c>
      <c r="C21" s="54" t="inlineStr">
        <is>
          <t>Se declararon 93 de 114 hechos integrados (81.6 %); 21 quedan sin dato en ninguna fuente.</t>
        </is>
      </c>
      <c r="D21" s="54" t="inlineStr">
        <is>
          <t>CONFORME</t>
        </is>
      </c>
      <c r="E21" s="54" t="inlineStr">
        <is>
          <t>Sin acción.</t>
        </is>
      </c>
    </row>
    <row r="22">
      <c r="A22" s="55" t="inlineStr">
        <is>
          <t>H-01</t>
        </is>
      </c>
      <c r="B22" s="55" t="inlineStr">
        <is>
          <t>Rango de pendiente dominante</t>
        </is>
      </c>
      <c r="C22" s="55" t="inlineStr">
        <is>
          <t>La ficha DT declara «25-50% (Mod. escarpado)»; la estadística zonal sobre el MDE arroja una pendiente promedio de 15.53 %, que corresponde a la clase «15-25% (Fuert. inclinado)»</t>
        </is>
      </c>
      <c r="D22" s="55" t="inlineStr">
        <is>
          <t>NO SUSTANTIVA</t>
        </is>
      </c>
      <c r="E22" s="55"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3">
      <c r="A23" s="54" t="inlineStr">
        <is>
          <t>H-02</t>
        </is>
      </c>
      <c r="B23" s="54" t="inlineStr">
        <is>
          <t>Cobertura vegetal total</t>
        </is>
      </c>
      <c r="C23" s="54" t="inlineStr">
        <is>
          <t>La ficha DT estima 80 % de cobertura vegetal en campo; el NDVI mediana 2025 clasifica 99.43 % del polígono en clases de vegetación</t>
        </is>
      </c>
      <c r="D23" s="54" t="inlineStr">
        <is>
          <t>NO SUSTANTIVA</t>
        </is>
      </c>
      <c r="E23" s="54"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4">
      <c r="A24" s="55" t="inlineStr">
        <is>
          <t>H-03</t>
        </is>
      </c>
      <c r="B24" s="55" t="inlineStr">
        <is>
          <t>Elenco florístico</t>
        </is>
      </c>
      <c r="C24" s="55" t="inlineStr">
        <is>
          <t>La ficha registra 7 taxones, por debajo del mínimo de 15 que exige el formato V5</t>
        </is>
      </c>
      <c r="D24" s="55" t="inlineStr">
        <is>
          <t>SUSTANTIVA</t>
        </is>
      </c>
      <c r="E24" s="55" t="inlineStr">
        <is>
          <t>Registro florístico preliminar, sin colecta ni determinación botánica formal. Debe cerrarse con colecta botánica en la siguiente campaña. (Verificación heredada de la ficha de resumen V6.)</t>
        </is>
      </c>
    </row>
    <row r="25">
      <c r="A25" s="54" t="inlineStr">
        <is>
          <t>H-04</t>
        </is>
      </c>
      <c r="B25" s="54" t="inlineStr">
        <is>
          <t>Representatividad del levantamiento</t>
        </is>
      </c>
      <c r="C25" s="54" t="inlineStr">
        <is>
          <t>Ninguna de las estaciones fotográficas georreferenciadas se localiza dentro del polígono del bloque</t>
        </is>
      </c>
      <c r="D25" s="54" t="inlineStr">
        <is>
          <t>SUSTANTIVA</t>
        </is>
      </c>
      <c r="E25" s="54" t="inlineStr">
        <is>
          <t>La verificación documenta el perímetro y la vista panorámica del bloque, no su interior. Los parámetros que exigen recorrido interno se consignan «Por determinar». (Verificación heredada de la ficha de resumen V6.)</t>
        </is>
      </c>
    </row>
    <row r="26">
      <c r="A26" s="55" t="inlineStr">
        <is>
          <t>H-05</t>
        </is>
      </c>
      <c r="B26" s="55" t="inlineStr">
        <is>
          <t>Centro poblado asociado</t>
        </is>
      </c>
      <c r="C26" s="55" t="inlineStr">
        <is>
          <t>La ficha DT declara «Las Huacas»; el cruce INEI-Bloques V5 identifica 1 centro(s) poblado(s) en el bloque: LAS HUACAS</t>
        </is>
      </c>
      <c r="D26" s="55" t="inlineStr">
        <is>
          <t>CONFORME</t>
        </is>
      </c>
      <c r="E26" s="55" t="inlineStr">
        <is>
          <t>Se conserva el registro de campo como referencia y se adopta el listado INEI para el diagnóstico social y el cálculo de población beneficiaria. (Verificación heredada de la ficha de resumen V6.)</t>
        </is>
      </c>
    </row>
    <row r="27">
      <c r="A27" s="54" t="inlineStr">
        <is>
          <t>H-06</t>
        </is>
      </c>
      <c r="B27" s="54" t="inlineStr">
        <is>
          <t>F-DT-01</t>
        </is>
      </c>
      <c r="C27" s="54" t="inlineStr">
        <is>
          <t>La microcuenca declarada (C1076-Q9584) corresponde al valor por defecto de la plantilla; el catálogo asigna al bloque la microcuenca C1076-Q9585</t>
        </is>
      </c>
      <c r="D27" s="54" t="inlineStr">
        <is>
          <t>SUSTANTIVA</t>
        </is>
      </c>
      <c r="E27" s="54" t="inlineStr">
        <is>
          <t>Se conserva la declaración de la ficha y se anota el valor del catálogo; corresponde ratificar en gabinete (Verificación heredada de la ficha de resumen V6.)</t>
        </is>
      </c>
    </row>
    <row r="28">
      <c r="A28" s="55" t="inlineStr">
        <is>
          <t>H-07</t>
        </is>
      </c>
      <c r="B28" s="55" t="inlineStr">
        <is>
          <t>F-DT-02</t>
        </is>
      </c>
      <c r="C28" s="55" t="inlineStr">
        <is>
          <t>ANEXO 01 sin ficha F-DT-02 firmada</t>
        </is>
      </c>
      <c r="D28" s="55" t="inlineStr">
        <is>
          <t>SUSTANTIVA</t>
        </is>
      </c>
      <c r="E28" s="55" t="inlineStr">
        <is>
          <t>Los datos de erosión provienen de la narrativa del informe; requiere levantamiento de la ficha firmada (Verificación heredada de la ficha de resumen V6.)</t>
        </is>
      </c>
    </row>
    <row r="29">
      <c r="A29" s="54" t="inlineStr">
        <is>
          <t>H-08</t>
        </is>
      </c>
      <c r="B29" s="54" t="inlineStr">
        <is>
          <t>F-DT-03</t>
        </is>
      </c>
      <c r="C29" s="54" t="inlineStr">
        <is>
          <t>D-05: altura dominante 8 m y DAP 30 cm son inconsistentes con la descripción narrativa (&lt;8 m y &lt;20 cm)</t>
        </is>
      </c>
      <c r="D29" s="54" t="inlineStr">
        <is>
          <t>SUSTANTIVA</t>
        </is>
      </c>
      <c r="E29" s="54" t="inlineStr">
        <is>
          <t>Se conservan ambos registros sin promediar; corresponde re-medición en parcela (Verificación heredada de la ficha de resumen V6.)</t>
        </is>
      </c>
    </row>
    <row r="30">
      <c r="A30" s="55" t="inlineStr">
        <is>
          <t>H-09</t>
        </is>
      </c>
      <c r="B30" s="55" t="inlineStr">
        <is>
          <t>F-DT-05</t>
        </is>
      </c>
      <c r="C30" s="55" t="inlineStr">
        <is>
          <t>ANEXO 01 sin ficha F-DT-05; inventario hídrico vacío</t>
        </is>
      </c>
      <c r="D30" s="55" t="inlineStr">
        <is>
          <t>SUSTANTIVA</t>
        </is>
      </c>
      <c r="E30" s="55" t="inlineStr">
        <is>
          <t>Sin registro de fuentes de agua; requiere levantamiento complementario (Verificación heredada de la ficha de resumen V6.)</t>
        </is>
      </c>
    </row>
    <row r="31">
      <c r="A31" s="54" t="inlineStr">
        <is>
          <t>H-10</t>
        </is>
      </c>
      <c r="B31" s="54" t="inlineStr">
        <is>
          <t>F-DT-04</t>
        </is>
      </c>
      <c r="C31" s="54" t="inlineStr">
        <is>
          <t>La ficha recomienda redelimitar el bloque priorizando las áreas próximas a los centros poblados</t>
        </is>
      </c>
      <c r="D31" s="54" t="inlineStr">
        <is>
          <t>NO SUSTANTIVA</t>
        </is>
      </c>
      <c r="E31" s="54" t="inlineStr">
        <is>
          <t>Se eleva la recomendación a la Subdirección de Estudios de Inversión (Verificación heredada de la ficha de resumen V6.)</t>
        </is>
      </c>
    </row>
    <row r="33">
      <c r="A33" s="56" t="inlineStr">
        <is>
          <t>RESUMEN</t>
        </is>
      </c>
      <c r="B33" s="57" t="inlineStr">
        <is>
          <t>23 verificaciones</t>
        </is>
      </c>
      <c r="C33" s="57" t="inlineStr">
        <is>
          <t>SUSTANTIVA: 7 · NO SUSTANTIVA: 4 · CORREGIDO: 1 · CONFORME: 11</t>
        </is>
      </c>
    </row>
    <row r="35">
      <c r="A35" s="58"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35:E35"/>
    <mergeCell ref="A4:E4"/>
    <mergeCell ref="A2:E2"/>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49" t="inlineStr">
        <is>
          <t>AUTORIDAD NACIONAL DE INFRAESTRUCTURA - ANIN</t>
        </is>
      </c>
    </row>
    <row r="2">
      <c r="A2" s="49" t="inlineStr">
        <is>
          <t>DIRECCION DE INTERVENCIONES MULTISECTORIALES Y DE EMERGENCIA - DIME</t>
        </is>
      </c>
    </row>
    <row r="3">
      <c r="A3" s="49" t="inlineStr">
        <is>
          <t>SUBDIRECCION DE ESTUDIOS DE INVERSION - SESDI</t>
        </is>
      </c>
    </row>
    <row r="4">
      <c r="A4" s="50" t="inlineStr">
        <is>
          <t>PROYECTO IN PIURA | CUI 2669244 | Recuperacion del servicio de regulacion de riesgos naturales y de ecosistemas degradados - Cuenca Alta del Rio Piura</t>
        </is>
      </c>
    </row>
    <row r="5" ht="22" customHeight="1">
      <c r="A5" s="51" t="inlineStr">
        <is>
          <t>INTEGRACIÓN DE LA FICHA DE CAMPO — BLOQUE M20B1</t>
        </is>
      </c>
    </row>
    <row r="7">
      <c r="A7" s="52" t="inlineStr">
        <is>
          <t>A. HECHOS ACTUALIZADOS POR LA VERIFICACIÓN DE CAMPO</t>
        </is>
      </c>
    </row>
    <row r="8">
      <c r="A8" s="53" t="inlineStr">
        <is>
          <t>Sección</t>
        </is>
      </c>
      <c r="B8" s="53" t="inlineStr">
        <is>
          <t>Hecho</t>
        </is>
      </c>
      <c r="C8" s="53" t="inlineStr">
        <is>
          <t>Valor en la ficha V6</t>
        </is>
      </c>
      <c r="D8" s="53" t="inlineStr">
        <is>
          <t>Valor de campo vigente</t>
        </is>
      </c>
      <c r="E8" s="53" t="inlineStr">
        <is>
          <t>Fuente que manda</t>
        </is>
      </c>
    </row>
    <row r="9">
      <c r="A9" s="54" t="inlineStr">
        <is>
          <t>5. Ecosistema, cobertura y flora (F-DT-03)</t>
        </is>
      </c>
      <c r="B9" s="54" t="inlineStr">
        <is>
          <t>Tipo de cobertura dominante</t>
        </is>
      </c>
      <c r="C9" s="54" t="inlineStr">
        <is>
          <t>Bosque denso (&gt;70%)</t>
        </is>
      </c>
      <c r="D9" s="54" t="inlineStr">
        <is>
          <t>Bosque ralo (30-70%)</t>
        </is>
      </c>
      <c r="E9" s="54" t="inlineStr">
        <is>
          <t>Dato de campo</t>
        </is>
      </c>
    </row>
    <row r="11">
      <c r="A11" s="52" t="inlineStr">
        <is>
          <t>B. HECHOS APORTADOS ÚNICAMENTE POR LA FICHA DE CAMPO</t>
        </is>
      </c>
    </row>
    <row r="12">
      <c r="A12" s="53" t="inlineStr">
        <is>
          <t>Sección</t>
        </is>
      </c>
      <c r="B12" s="53" t="inlineStr">
        <is>
          <t>Hecho</t>
        </is>
      </c>
      <c r="C12" s="53" t="inlineStr">
        <is>
          <t>Valor</t>
        </is>
      </c>
      <c r="D12" s="53" t="inlineStr">
        <is>
          <t>Unidad</t>
        </is>
      </c>
    </row>
    <row r="13">
      <c r="A13" s="54" t="inlineStr">
        <is>
          <t>1. Identificación y localización</t>
        </is>
      </c>
      <c r="B13" s="54" t="inlineStr">
        <is>
          <t>UTM ESTE del punto de muestreo (m)</t>
        </is>
      </c>
      <c r="C13" s="54" t="inlineStr">
        <is>
          <t>638996</t>
        </is>
      </c>
      <c r="D13" s="54" t="inlineStr">
        <is>
          <t>m</t>
        </is>
      </c>
    </row>
    <row r="14">
      <c r="A14" s="55" t="inlineStr">
        <is>
          <t>1. Identificación y localización</t>
        </is>
      </c>
      <c r="B14" s="55" t="inlineStr">
        <is>
          <t>UTM NORTE del punto de muestreo (m)</t>
        </is>
      </c>
      <c r="C14" s="55" t="inlineStr">
        <is>
          <t>9399186</t>
        </is>
      </c>
      <c r="D14" s="55" t="inlineStr">
        <is>
          <t>m</t>
        </is>
      </c>
    </row>
    <row r="15">
      <c r="A15" s="54" t="inlineStr">
        <is>
          <t>2. Parámetros físicos del terreno</t>
        </is>
      </c>
      <c r="B15" s="54" t="inlineStr">
        <is>
          <t>Altitud GPS del punto de muestreo (msnm)</t>
        </is>
      </c>
      <c r="C15" s="54" t="inlineStr">
        <is>
          <t>252</t>
        </is>
      </c>
      <c r="D15" s="54" t="inlineStr">
        <is>
          <t>msnm</t>
        </is>
      </c>
    </row>
    <row r="16">
      <c r="A16" s="55" t="inlineStr">
        <is>
          <t>2. Parámetros físicos del terreno</t>
        </is>
      </c>
      <c r="B16" s="55" t="inlineStr">
        <is>
          <t>Piso altitudinal del punto de muestreo</t>
        </is>
      </c>
      <c r="C16" s="55" t="inlineStr">
        <is>
          <t>&lt;1000 m (Yunga)</t>
        </is>
      </c>
      <c r="D16" s="55" t="inlineStr"/>
    </row>
    <row r="17">
      <c r="A17" s="54" t="inlineStr">
        <is>
          <t>2. Parámetros físicos del terreno</t>
        </is>
      </c>
      <c r="B17" s="54" t="inlineStr">
        <is>
          <t>Paisaje dominante descrito en campo</t>
        </is>
      </c>
      <c r="C17" s="54" t="inlineStr">
        <is>
          <t>Sistema de laderas convexo-cóncavas tributarias de la quebrada Q9585 (microcuenca C1076), con altitudes de 240 a 425 msnm y desniveles internos. Paisaje de colina media, dominado por bosque estacionalmente seco de colina y montaña y zona agrícola.</t>
        </is>
      </c>
      <c r="D17" s="54" t="inlineStr"/>
    </row>
    <row r="18">
      <c r="A18" s="55" t="inlineStr">
        <is>
          <t>2. Parámetros físicos del terreno</t>
        </is>
      </c>
      <c r="B18" s="55" t="inlineStr">
        <is>
          <t>Reptación de suelo</t>
        </is>
      </c>
      <c r="C18" s="55" t="inlineStr">
        <is>
          <t>No</t>
        </is>
      </c>
      <c r="D18" s="55" t="inlineStr"/>
    </row>
    <row r="19">
      <c r="A19" s="54" t="inlineStr">
        <is>
          <t>2. Parámetros físicos del terreno</t>
        </is>
      </c>
      <c r="B19" s="54" t="inlineStr">
        <is>
          <t>Deslizamientos antiguos</t>
        </is>
      </c>
      <c r="C19" s="54" t="inlineStr">
        <is>
          <t>No</t>
        </is>
      </c>
      <c r="D19" s="54" t="inlineStr"/>
    </row>
    <row r="20">
      <c r="A20" s="55" t="inlineStr">
        <is>
          <t>4. Suelos y erosión (F-DT-02)</t>
        </is>
      </c>
      <c r="B20" s="55" t="inlineStr">
        <is>
          <t>Nivel de erosión - síntesis de campo</t>
        </is>
      </c>
      <c r="C20" s="55" t="inlineStr">
        <is>
          <t>Moderada (surcos)</t>
        </is>
      </c>
      <c r="D20" s="55" t="inlineStr"/>
    </row>
    <row r="21">
      <c r="A21" s="54" t="inlineStr">
        <is>
          <t>4. Suelos y erosión (F-DT-02)</t>
        </is>
      </c>
      <c r="B21" s="54" t="inlineStr">
        <is>
          <t>Compactación por pisoteo</t>
        </is>
      </c>
      <c r="C21" s="54" t="inlineStr">
        <is>
          <t>Sí</t>
        </is>
      </c>
      <c r="D21" s="54" t="inlineStr"/>
    </row>
    <row r="22">
      <c r="A22" s="55" t="inlineStr">
        <is>
          <t>4. Suelos y erosión (F-DT-02)</t>
        </is>
      </c>
      <c r="B22" s="55" t="inlineStr">
        <is>
          <t>Longitud total de cárcavas (m)</t>
        </is>
      </c>
      <c r="C22" s="55" t="inlineStr">
        <is>
          <t>0</t>
        </is>
      </c>
      <c r="D22" s="55" t="inlineStr">
        <is>
          <t>m</t>
        </is>
      </c>
    </row>
    <row r="23">
      <c r="A23" s="54" t="inlineStr">
        <is>
          <t>4. Suelos y erosión (F-DT-02)</t>
        </is>
      </c>
      <c r="B23" s="54" t="inlineStr">
        <is>
          <t>% del bloque afectado por cárcavas</t>
        </is>
      </c>
      <c r="C23" s="54" t="inlineStr">
        <is>
          <t>0</t>
        </is>
      </c>
      <c r="D23" s="54" t="inlineStr">
        <is>
          <t>%</t>
        </is>
      </c>
    </row>
    <row r="24">
      <c r="A24" s="55" t="inlineStr">
        <is>
          <t>4. Suelos y erosión (F-DT-02)</t>
        </is>
      </c>
      <c r="B24" s="55" t="inlineStr">
        <is>
          <t>Socavamiento de cauce</t>
        </is>
      </c>
      <c r="C24" s="55" t="inlineStr">
        <is>
          <t>No</t>
        </is>
      </c>
      <c r="D24" s="55" t="inlineStr"/>
    </row>
    <row r="25">
      <c r="A25" s="54" t="inlineStr">
        <is>
          <t>5. Ecosistema, cobertura y flora (F-DT-03)</t>
        </is>
      </c>
      <c r="B25" s="54" t="inlineStr">
        <is>
          <t>Cobertura del dosel (%)</t>
        </is>
      </c>
      <c r="C25" s="54" t="inlineStr">
        <is>
          <t>80</t>
        </is>
      </c>
      <c r="D25" s="54" t="inlineStr">
        <is>
          <t>%</t>
        </is>
      </c>
    </row>
    <row r="26">
      <c r="A26" s="55" t="inlineStr">
        <is>
          <t>5. Ecosistema, cobertura y flora (F-DT-03)</t>
        </is>
      </c>
      <c r="B26" s="55" t="inlineStr">
        <is>
          <t>Cobertura arbustiva (%)</t>
        </is>
      </c>
      <c r="C26" s="55" t="inlineStr">
        <is>
          <t>15</t>
        </is>
      </c>
      <c r="D26" s="55" t="inlineStr">
        <is>
          <t>%</t>
        </is>
      </c>
    </row>
    <row r="27">
      <c r="A27" s="54" t="inlineStr">
        <is>
          <t>5. Ecosistema, cobertura y flora (F-DT-03)</t>
        </is>
      </c>
      <c r="B27" s="54" t="inlineStr">
        <is>
          <t>Cobertura herbácea (%)</t>
        </is>
      </c>
      <c r="C27" s="54" t="inlineStr">
        <is>
          <t>10</t>
        </is>
      </c>
      <c r="D27" s="54" t="inlineStr">
        <is>
          <t>%</t>
        </is>
      </c>
    </row>
    <row r="28">
      <c r="A28" s="55" t="inlineStr">
        <is>
          <t>5. Ecosistema, cobertura y flora (F-DT-03)</t>
        </is>
      </c>
      <c r="B28" s="55" t="inlineStr">
        <is>
          <t>Cobertura de hojarasca (%)</t>
        </is>
      </c>
      <c r="C28" s="55" t="inlineStr">
        <is>
          <t>5</t>
        </is>
      </c>
      <c r="D28" s="55" t="inlineStr">
        <is>
          <t>%</t>
        </is>
      </c>
    </row>
    <row r="29">
      <c r="A29" s="54" t="inlineStr">
        <is>
          <t>5. Ecosistema, cobertura y flora (F-DT-03)</t>
        </is>
      </c>
      <c r="B29" s="54" t="inlineStr">
        <is>
          <t>Altura del estrato dominante (m)</t>
        </is>
      </c>
      <c r="C29" s="54" t="inlineStr">
        <is>
          <t>8</t>
        </is>
      </c>
      <c r="D29" s="54" t="inlineStr">
        <is>
          <t>m</t>
        </is>
      </c>
    </row>
    <row r="30">
      <c r="A30" s="55" t="inlineStr">
        <is>
          <t>5. Ecosistema, cobertura y flora (F-DT-03)</t>
        </is>
      </c>
      <c r="B30" s="55" t="inlineStr">
        <is>
          <t>Altura máxima registrada (m)</t>
        </is>
      </c>
      <c r="C30" s="55" t="inlineStr">
        <is>
          <t>10</t>
        </is>
      </c>
      <c r="D30" s="55" t="inlineStr">
        <is>
          <t>m</t>
        </is>
      </c>
    </row>
    <row r="31">
      <c r="A31" s="54" t="inlineStr">
        <is>
          <t>5. Ecosistema, cobertura y flora (F-DT-03)</t>
        </is>
      </c>
      <c r="B31" s="54" t="inlineStr">
        <is>
          <t>DAP promedio (cm)</t>
        </is>
      </c>
      <c r="C31" s="54" t="inlineStr">
        <is>
          <t>30</t>
        </is>
      </c>
      <c r="D31" s="54" t="inlineStr">
        <is>
          <t>cm</t>
        </is>
      </c>
    </row>
    <row r="32">
      <c r="A32" s="55" t="inlineStr">
        <is>
          <t>5. Ecosistema, cobertura y flora (F-DT-03)</t>
        </is>
      </c>
      <c r="B32" s="55" t="inlineStr">
        <is>
          <t>Presencia de epífitas</t>
        </is>
      </c>
      <c r="C32" s="55" t="inlineStr">
        <is>
          <t>No</t>
        </is>
      </c>
      <c r="D32" s="55" t="inlineStr"/>
    </row>
    <row r="33">
      <c r="A33" s="54" t="inlineStr">
        <is>
          <t>5. Ecosistema, cobertura y flora (F-DT-03)</t>
        </is>
      </c>
      <c r="B33" s="54" t="inlineStr">
        <is>
          <t>Fenología dominante</t>
        </is>
      </c>
      <c r="C33" s="54" t="inlineStr">
        <is>
          <t>Vegetativo</t>
        </is>
      </c>
      <c r="D33" s="54" t="inlineStr"/>
    </row>
    <row r="34">
      <c r="A34" s="55" t="inlineStr">
        <is>
          <t>5. Ecosistema, cobertura y flora (F-DT-03)</t>
        </is>
      </c>
      <c r="B34" s="55" t="inlineStr">
        <is>
          <t>Especies clave georreferenciadas</t>
        </is>
      </c>
      <c r="C34" s="55" t="inlineStr">
        <is>
          <t>3</t>
        </is>
      </c>
      <c r="D34" s="55" t="inlineStr"/>
    </row>
    <row r="35">
      <c r="A35" s="54" t="inlineStr">
        <is>
          <t>6. Degradación, causas y urgencia (F-DT-04)</t>
        </is>
      </c>
      <c r="B35" s="54" t="inlineStr">
        <is>
          <t>Causas directas de la degradación</t>
        </is>
      </c>
      <c r="C35" s="54" t="inlineStr">
        <is>
          <t>La degradación leve del ecosistema se debe principalmente a las actividades de pastoreo de ganado vacuno y caprino y a la extracción de leña para uso doméstico.</t>
        </is>
      </c>
      <c r="D35" s="54" t="inlineStr"/>
    </row>
    <row r="36">
      <c r="A36" s="55" t="inlineStr">
        <is>
          <t>6. Degradación, causas y urgencia (F-DT-04)</t>
        </is>
      </c>
      <c r="B36" s="55" t="inlineStr">
        <is>
          <t>N.° de causas activas en la matriz F-DT-04</t>
        </is>
      </c>
      <c r="C36" s="55" t="inlineStr">
        <is>
          <t>3</t>
        </is>
      </c>
      <c r="D36" s="55" t="inlineStr"/>
    </row>
    <row r="37">
      <c r="A37" s="54" t="inlineStr">
        <is>
          <t>7. Hidrología, acceso y logística (F-DT-05)</t>
        </is>
      </c>
      <c r="B37" s="54" t="inlineStr">
        <is>
          <t>Escorrentía concentrada</t>
        </is>
      </c>
      <c r="C37" s="54" t="inlineStr">
        <is>
          <t>Sí</t>
        </is>
      </c>
      <c r="D37" s="54" t="inlineStr"/>
    </row>
    <row r="38">
      <c r="A38" s="55" t="inlineStr">
        <is>
          <t>7. Hidrología, acceso y logística (F-DT-05)</t>
        </is>
      </c>
      <c r="B38" s="55" t="inlineStr">
        <is>
          <t>Vía principal de acceso</t>
        </is>
      </c>
      <c r="C38" s="55" t="inlineStr">
        <is>
          <t>Vía nacional asfaltada Serrán — Canchaque, margen izquierda del río Pusmalca</t>
        </is>
      </c>
      <c r="D38" s="55" t="inlineStr"/>
    </row>
    <row r="39">
      <c r="A39" s="54" t="inlineStr">
        <is>
          <t>7. Hidrología, acceso y logística (F-DT-05)</t>
        </is>
      </c>
      <c r="B39" s="54" t="inlineStr">
        <is>
          <t>Tipo de vía del tramo final</t>
        </is>
      </c>
      <c r="C39" s="54" t="inlineStr">
        <is>
          <t>Camino de herradura</t>
        </is>
      </c>
      <c r="D39" s="54" t="inlineStr"/>
    </row>
    <row r="41">
      <c r="A41" s="52" t="inlineStr">
        <is>
          <t>C. PROCEDENCIA DE LOS HECHOS DECLARADOS</t>
        </is>
      </c>
    </row>
    <row r="42">
      <c r="A42" s="53" t="inlineStr">
        <is>
          <t>Fuente</t>
        </is>
      </c>
      <c r="B42" s="53" t="inlineStr">
        <is>
          <t>Hechos</t>
        </is>
      </c>
      <c r="C42" s="53" t="inlineStr">
        <is>
          <t>Alcance de la fuente</t>
        </is>
      </c>
    </row>
    <row r="43">
      <c r="A43" s="54" t="inlineStr">
        <is>
          <t>Dato de campo</t>
        </is>
      </c>
      <c r="B43" s="54" t="n">
        <v>55</v>
      </c>
      <c r="C43" s="54" t="inlineStr">
        <is>
          <t>Verificación en campo. Fichas F-DT-01 a F-DT-05 de la Plantilla DT Campo Check Validada V5, suscritas por el evaluador.</t>
        </is>
      </c>
    </row>
    <row r="44">
      <c r="A44" s="55" t="inlineStr">
        <is>
          <t>Gabinete (GIS / teledetección)</t>
        </is>
      </c>
      <c r="B44" s="55" t="n">
        <v>24</v>
      </c>
      <c r="C44" s="55" t="inlineStr">
        <is>
          <t>Gabinete. Estadística zonal sobre el MDE y compuestos Sentinel-2 (NDVI mediana 2025, MSAVI 2024 por clase DN).</t>
        </is>
      </c>
    </row>
    <row r="45">
      <c r="A45" s="54" t="inlineStr">
        <is>
          <t>Fuente oficial</t>
        </is>
      </c>
      <c r="B45" s="54" t="n">
        <v>14</v>
      </c>
      <c r="C45" s="54" t="inlineStr">
        <is>
          <t>Fuente oficial. Catálogo maestro Bloques V5/V6, división política INEI y codificación de microcuencas de la ANA.</t>
        </is>
      </c>
    </row>
    <row r="47">
      <c r="A47" s="52" t="inlineStr">
        <is>
          <t>D. ESTADO DEL CRUCE ENTRE FUENTES</t>
        </is>
      </c>
    </row>
    <row r="48">
      <c r="A48" s="53" t="inlineStr">
        <is>
          <t>Estado</t>
        </is>
      </c>
      <c r="B48" s="53" t="inlineStr">
        <is>
          <t>Hechos</t>
        </is>
      </c>
      <c r="C48" s="53" t="inlineStr">
        <is>
          <t>Significado</t>
        </is>
      </c>
    </row>
    <row r="49">
      <c r="A49" s="54" t="inlineStr">
        <is>
          <t>CONFORME</t>
        </is>
      </c>
      <c r="B49" s="54" t="n">
        <v>90</v>
      </c>
      <c r="C49" s="54" t="inlineStr">
        <is>
          <t>Las dos fuentes declaran lo mismo, o solo la fuente que manda sobre el hecho lo declara.</t>
        </is>
      </c>
    </row>
    <row r="50">
      <c r="A50" s="55" t="inlineStr">
        <is>
          <t>COMPLEMENTADO</t>
        </is>
      </c>
      <c r="B50" s="55" t="n">
        <v>2</v>
      </c>
      <c r="C50" s="55" t="inlineStr">
        <is>
          <t>Solo una de las fuentes lo declara y se adopta ese valor.</t>
        </is>
      </c>
    </row>
    <row r="51">
      <c r="A51" s="54" t="inlineStr">
        <is>
          <t>ACTUALIZADO</t>
        </is>
      </c>
      <c r="B51" s="54" t="n">
        <v>1</v>
      </c>
      <c r="C51" s="54" t="inlineStr">
        <is>
          <t>La verificación de campo vigente corrige lo que traía el libro de resumen.</t>
        </is>
      </c>
    </row>
    <row r="52">
      <c r="A52" s="55" t="inlineStr">
        <is>
          <t>DISCREPANTE</t>
        </is>
      </c>
      <c r="B52" s="55" t="n">
        <v>0</v>
      </c>
      <c r="C52" s="55" t="inlineStr">
        <is>
          <t>Las fuentes se contradicen; prevalece la que manda sobre el hecho y la otra queda declarada.</t>
        </is>
      </c>
    </row>
    <row r="53">
      <c r="A53" s="54" t="inlineStr">
        <is>
          <t>PENDIENTE</t>
        </is>
      </c>
      <c r="B53" s="54" t="n">
        <v>21</v>
      </c>
      <c r="C53" s="54"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7"/>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49" t="inlineStr">
        <is>
          <t>AUTORIDAD NACIONAL DE INFRAESTRUCTURA - ANIN</t>
        </is>
      </c>
    </row>
    <row r="2">
      <c r="A2" s="49" t="inlineStr">
        <is>
          <t>DIRECCION DE INTERVENCIONES MULTISECTORIALES Y DE EMERGENCIA - DIME</t>
        </is>
      </c>
    </row>
    <row r="3">
      <c r="A3" s="49" t="inlineStr">
        <is>
          <t>SUBDIRECCION DE ESTUDIOS DE INVERSION - SESDI</t>
        </is>
      </c>
    </row>
    <row r="4">
      <c r="A4" s="50" t="inlineStr">
        <is>
          <t>PROYECTO IN PIURA | CUI 2669244 | Recuperacion del servicio de regulacion de riesgos naturales y de ecosistemas degradados - Cuenca Alta del Rio Piura</t>
        </is>
      </c>
    </row>
    <row r="5" ht="22" customHeight="1">
      <c r="A5" s="51" t="inlineStr">
        <is>
          <t>REGISTRO DE CAMPO F-DT-01 A F-DT-05 — BLOQUE M20B1</t>
        </is>
      </c>
    </row>
    <row r="7">
      <c r="A7" s="52" t="inlineStr">
        <is>
          <t>F-DT-02 · INVENTARIO DE CÁRCAVAS</t>
        </is>
      </c>
    </row>
    <row r="8">
      <c r="A8" s="53" t="inlineStr">
        <is>
          <t>Código</t>
        </is>
      </c>
      <c r="B8" s="53" t="inlineStr">
        <is>
          <t>Tipo</t>
        </is>
      </c>
      <c r="C8" s="53" t="inlineStr">
        <is>
          <t>UTM E ini.</t>
        </is>
      </c>
      <c r="D8" s="53" t="inlineStr">
        <is>
          <t>UTM N ini.</t>
        </is>
      </c>
      <c r="E8" s="53" t="inlineStr">
        <is>
          <t>Longitud (m)</t>
        </is>
      </c>
      <c r="F8" s="53" t="inlineStr">
        <is>
          <t>Prof. (m)</t>
        </is>
      </c>
      <c r="G8" s="53" t="inlineStr">
        <is>
          <t>Ancho (m)</t>
        </is>
      </c>
      <c r="H8" s="53" t="inlineStr">
        <is>
          <t>Estado</t>
        </is>
      </c>
      <c r="I8" s="53" t="inlineStr">
        <is>
          <t>Causa</t>
        </is>
      </c>
    </row>
    <row r="9">
      <c r="A9" s="54" t="inlineStr">
        <is>
          <t>Sin cárcavas inventariadas en el tramo verificado</t>
        </is>
      </c>
      <c r="B9" s="54" t="inlineStr"/>
      <c r="C9" s="54" t="inlineStr"/>
      <c r="D9" s="54" t="inlineStr"/>
      <c r="E9" s="54" t="inlineStr"/>
      <c r="F9" s="54" t="inlineStr"/>
      <c r="G9" s="54" t="inlineStr"/>
      <c r="H9" s="54" t="inlineStr"/>
      <c r="I9" s="54" t="inlineStr"/>
    </row>
    <row r="11">
      <c r="A11" s="52" t="inlineStr">
        <is>
          <t>F-DT-03 · ELENCO FLORÍSTICO</t>
        </is>
      </c>
    </row>
    <row r="12">
      <c r="A12" s="53" t="inlineStr">
        <is>
          <t>N.o</t>
        </is>
      </c>
      <c r="B12" s="53" t="inlineStr">
        <is>
          <t>Nombre común</t>
        </is>
      </c>
      <c r="C12" s="53" t="inlineStr">
        <is>
          <t>Nombre científico</t>
        </is>
      </c>
      <c r="D12" s="53" t="inlineStr">
        <is>
          <t>Familia</t>
        </is>
      </c>
      <c r="E12" s="53" t="inlineStr">
        <is>
          <t>Estrato</t>
        </is>
      </c>
      <c r="F12" s="53" t="inlineStr">
        <is>
          <t>Origen</t>
        </is>
      </c>
      <c r="G12" s="53" t="inlineStr">
        <is>
          <t>Abundancia</t>
        </is>
      </c>
      <c r="H12" s="53" t="inlineStr">
        <is>
          <t>DAP (cm)</t>
        </is>
      </c>
      <c r="I12" s="53" t="inlineStr">
        <is>
          <t>Altura (m)</t>
        </is>
      </c>
    </row>
    <row r="13">
      <c r="A13" s="54" t="inlineStr">
        <is>
          <t>1</t>
        </is>
      </c>
      <c r="B13" s="54" t="inlineStr">
        <is>
          <t>Faique</t>
        </is>
      </c>
      <c r="C13" s="54" t="inlineStr">
        <is>
          <t>Vachellia macracantha</t>
        </is>
      </c>
      <c r="D13" s="54" t="inlineStr">
        <is>
          <t>Fabaceae</t>
        </is>
      </c>
      <c r="E13" s="54" t="inlineStr">
        <is>
          <t>Arbóreo bajo (4-8 m)</t>
        </is>
      </c>
      <c r="F13" s="54" t="inlineStr">
        <is>
          <t>Nativa</t>
        </is>
      </c>
      <c r="G13" s="54" t="inlineStr">
        <is>
          <t>Ocasional (1-5%)</t>
        </is>
      </c>
      <c r="H13" s="59" t="n">
        <v>20</v>
      </c>
      <c r="I13" s="60" t="n">
        <v>5</v>
      </c>
    </row>
    <row r="14">
      <c r="A14" s="55" t="inlineStr">
        <is>
          <t>2</t>
        </is>
      </c>
      <c r="B14" s="55" t="inlineStr">
        <is>
          <t>Palo santo</t>
        </is>
      </c>
      <c r="C14" s="55" t="inlineStr">
        <is>
          <t>Bursera graveolens</t>
        </is>
      </c>
      <c r="D14" s="55" t="inlineStr">
        <is>
          <t>Burseraceae</t>
        </is>
      </c>
      <c r="E14" s="55" t="inlineStr">
        <is>
          <t>Arbóreo bajo (4-8 m)</t>
        </is>
      </c>
      <c r="F14" s="55" t="inlineStr">
        <is>
          <t>Nativa</t>
        </is>
      </c>
      <c r="G14" s="55" t="inlineStr">
        <is>
          <t>Ocasional (1-5%)</t>
        </is>
      </c>
      <c r="H14" s="61" t="n">
        <v>25</v>
      </c>
      <c r="I14" s="62" t="n">
        <v>7</v>
      </c>
    </row>
    <row r="15">
      <c r="A15" s="54" t="inlineStr">
        <is>
          <t>3</t>
        </is>
      </c>
      <c r="B15" s="54" t="inlineStr">
        <is>
          <t>Pasallo</t>
        </is>
      </c>
      <c r="C15" s="54" t="inlineStr">
        <is>
          <t>Eriotheca ruizii</t>
        </is>
      </c>
      <c r="D15" s="54" t="inlineStr">
        <is>
          <t>Malvaceae</t>
        </is>
      </c>
      <c r="E15" s="54" t="inlineStr">
        <is>
          <t>Arbóreo bajo (4-8 m)</t>
        </is>
      </c>
      <c r="F15" s="54" t="inlineStr">
        <is>
          <t>Nativa</t>
        </is>
      </c>
      <c r="G15" s="54" t="inlineStr">
        <is>
          <t>Ocasional (1-5%)</t>
        </is>
      </c>
      <c r="H15" s="59" t="n">
        <v>30</v>
      </c>
      <c r="I15" s="60" t="n">
        <v>6</v>
      </c>
    </row>
    <row r="16">
      <c r="A16" s="55" t="inlineStr">
        <is>
          <t>4</t>
        </is>
      </c>
      <c r="B16" s="55" t="inlineStr">
        <is>
          <t>Hualtaco</t>
        </is>
      </c>
      <c r="C16" s="55" t="inlineStr">
        <is>
          <t>Loxopterygium huasango</t>
        </is>
      </c>
      <c r="D16" s="55" t="inlineStr">
        <is>
          <t>Anacardiaceae</t>
        </is>
      </c>
      <c r="E16" s="55" t="inlineStr">
        <is>
          <t>Arbóreo bajo (4-8 m)</t>
        </is>
      </c>
      <c r="F16" s="55" t="inlineStr">
        <is>
          <t>Nativa</t>
        </is>
      </c>
      <c r="G16" s="55" t="inlineStr">
        <is>
          <t>Ocasional (1-5%)</t>
        </is>
      </c>
      <c r="H16" s="61" t="n">
        <v>30</v>
      </c>
      <c r="I16" s="62" t="n">
        <v>8</v>
      </c>
    </row>
    <row r="17">
      <c r="A17" s="54" t="inlineStr">
        <is>
          <t>5</t>
        </is>
      </c>
      <c r="B17" s="54" t="inlineStr">
        <is>
          <t>Charán</t>
        </is>
      </c>
      <c r="C17" s="54" t="inlineStr">
        <is>
          <t>Caesalpinia paipai</t>
        </is>
      </c>
      <c r="D17" s="54" t="inlineStr">
        <is>
          <t>Fabaceae</t>
        </is>
      </c>
      <c r="E17" s="54" t="inlineStr">
        <is>
          <t>Arbóreo bajo (4-8 m)</t>
        </is>
      </c>
      <c r="F17" s="54" t="inlineStr">
        <is>
          <t>Nativa</t>
        </is>
      </c>
      <c r="G17" s="54" t="inlineStr">
        <is>
          <t>Ocasional (1-5%)</t>
        </is>
      </c>
      <c r="H17" s="59" t="n">
        <v>20</v>
      </c>
      <c r="I17" s="60" t="n">
        <v>5</v>
      </c>
    </row>
    <row r="18">
      <c r="A18" s="55" t="inlineStr">
        <is>
          <t>6</t>
        </is>
      </c>
      <c r="B18" s="55" t="inlineStr">
        <is>
          <t>Overo</t>
        </is>
      </c>
      <c r="C18" s="55" t="inlineStr">
        <is>
          <t>Cordia lutea</t>
        </is>
      </c>
      <c r="D18" s="55" t="inlineStr">
        <is>
          <t>Boraginaceae</t>
        </is>
      </c>
      <c r="E18" s="55" t="inlineStr">
        <is>
          <t>Arbustivo alto (1.5-4 m)</t>
        </is>
      </c>
      <c r="F18" s="55" t="inlineStr">
        <is>
          <t>Nativa</t>
        </is>
      </c>
      <c r="G18" s="55" t="inlineStr">
        <is>
          <t>Frecuente (5-20%)</t>
        </is>
      </c>
      <c r="H18" s="61" t="n">
        <v>15</v>
      </c>
      <c r="I18" s="62" t="n">
        <v>4</v>
      </c>
    </row>
    <row r="19">
      <c r="A19" s="54" t="inlineStr">
        <is>
          <t>7</t>
        </is>
      </c>
      <c r="B19" s="54" t="inlineStr">
        <is>
          <t>Ceibo</t>
        </is>
      </c>
      <c r="C19" s="54" t="inlineStr">
        <is>
          <t>Ceiba trichistandra</t>
        </is>
      </c>
      <c r="D19" s="54" t="inlineStr">
        <is>
          <t>Malvaceae</t>
        </is>
      </c>
      <c r="E19" s="54" t="inlineStr">
        <is>
          <t>Arbóreo medio (8-15 m)</t>
        </is>
      </c>
      <c r="F19" s="54" t="inlineStr">
        <is>
          <t>Nativa</t>
        </is>
      </c>
      <c r="G19" s="54" t="inlineStr">
        <is>
          <t>Dominante (&gt;40%)</t>
        </is>
      </c>
      <c r="H19" s="59" t="n">
        <v>40</v>
      </c>
      <c r="I19" s="59" t="n">
        <v>10</v>
      </c>
    </row>
    <row r="21">
      <c r="A21" s="52" t="inlineStr">
        <is>
          <t>F-DT-03 · ESPECIES CLAVE GEORREFERENCIADAS</t>
        </is>
      </c>
    </row>
    <row r="22">
      <c r="A22" s="53" t="inlineStr">
        <is>
          <t>N.o</t>
        </is>
      </c>
      <c r="B22" s="53" t="inlineStr">
        <is>
          <t>Especie</t>
        </is>
      </c>
      <c r="C22" s="53" t="inlineStr">
        <is>
          <t>Categoría</t>
        </is>
      </c>
      <c r="D22" s="53" t="inlineStr">
        <is>
          <t>Estado UICN</t>
        </is>
      </c>
      <c r="E22" s="53" t="inlineStr">
        <is>
          <t>UTM ESTE</t>
        </is>
      </c>
      <c r="F22" s="53" t="inlineStr">
        <is>
          <t>UTM NORTE</t>
        </is>
      </c>
      <c r="G22" s="53" t="inlineStr">
        <is>
          <t>N.° individuos</t>
        </is>
      </c>
      <c r="H22" s="53" t="inlineStr">
        <is>
          <t>Observación</t>
        </is>
      </c>
    </row>
    <row r="23">
      <c r="A23" s="54" t="inlineStr">
        <is>
          <t>1</t>
        </is>
      </c>
      <c r="B23" s="54" t="inlineStr">
        <is>
          <t>Hualtaco (Loxopterygium huasango)</t>
        </is>
      </c>
      <c r="C23" s="54" t="inlineStr">
        <is>
          <t>Amenazada (D.S. 043-2006-AG)</t>
        </is>
      </c>
      <c r="D23" s="54" t="inlineStr">
        <is>
          <t>CR — En Peligro Crítico</t>
        </is>
      </c>
      <c r="E23" s="54" t="n"/>
      <c r="F23" s="54" t="n"/>
      <c r="G23" s="54" t="n"/>
      <c r="H23" s="54" t="inlineStr">
        <is>
          <t>Registrada en la ficha F-DT-03 como estrato arbóreo. Sin conteo ni georreferenciación individual: POR VERIFICAR.</t>
        </is>
      </c>
    </row>
    <row r="24">
      <c r="A24" s="55" t="inlineStr">
        <is>
          <t>2</t>
        </is>
      </c>
      <c r="B24" s="55" t="inlineStr">
        <is>
          <t>Palo santo (Bursera graveolens)</t>
        </is>
      </c>
      <c r="C24" s="55" t="inlineStr">
        <is>
          <t>Amenazada (D.S. 043-2006-AG)</t>
        </is>
      </c>
      <c r="D24" s="55" t="inlineStr">
        <is>
          <t>No aplica</t>
        </is>
      </c>
      <c r="E24" s="55" t="n"/>
      <c r="F24" s="55" t="n"/>
      <c r="G24" s="55" t="n"/>
      <c r="H24" s="55" t="inlineStr">
        <is>
          <t>Registrada en la ficha F-DT-03. Categoría nacional por confirmar con el estudio de ecosistema.</t>
        </is>
      </c>
    </row>
    <row r="25">
      <c r="A25" s="54" t="inlineStr">
        <is>
          <t>3</t>
        </is>
      </c>
      <c r="B25" s="54" t="inlineStr">
        <is>
          <t>Sapote (Colicodendron scabridum)</t>
        </is>
      </c>
      <c r="C25" s="54" t="inlineStr">
        <is>
          <t>Indicadora de buen estado</t>
        </is>
      </c>
      <c r="D25" s="54" t="inlineStr">
        <is>
          <t>No aplica</t>
        </is>
      </c>
      <c r="E25" s="54" t="n"/>
      <c r="F25" s="54" t="n"/>
      <c r="G25" s="54" t="n"/>
      <c r="H25" s="54" t="inlineStr">
        <is>
          <t>Citada en las observaciones de la ficha y en el 2do Entregable; no incluida en la tabla florística.</t>
        </is>
      </c>
    </row>
    <row r="27">
      <c r="A27" s="52" t="inlineStr">
        <is>
          <t>F-DT-04 · MATRIZ DE CAUSAS DE DEGRADACIÓN</t>
        </is>
      </c>
    </row>
    <row r="28">
      <c r="A28" s="53" t="inlineStr">
        <is>
          <t>N.o</t>
        </is>
      </c>
      <c r="B28" s="53" t="inlineStr">
        <is>
          <t>Causa</t>
        </is>
      </c>
      <c r="C28" s="53" t="inlineStr">
        <is>
          <t>Presencia</t>
        </is>
      </c>
      <c r="D28" s="53" t="inlineStr">
        <is>
          <t>Intensidad</t>
        </is>
      </c>
      <c r="E28" s="53" t="inlineStr">
        <is>
          <t>Extensión</t>
        </is>
      </c>
      <c r="F28" s="53" t="inlineStr">
        <is>
          <t>Antigüedad</t>
        </is>
      </c>
      <c r="G28" s="53" t="inlineStr">
        <is>
          <t>Evidencia</t>
        </is>
      </c>
    </row>
    <row r="29">
      <c r="A29" s="54" t="inlineStr">
        <is>
          <t>1</t>
        </is>
      </c>
      <c r="B29" s="54" t="inlineStr">
        <is>
          <t>Sobrepastoreo (caprino/vacuno)</t>
        </is>
      </c>
      <c r="C29" s="54" t="inlineStr">
        <is>
          <t>Sí</t>
        </is>
      </c>
      <c r="D29" s="54" t="inlineStr">
        <is>
          <t>Moderada</t>
        </is>
      </c>
      <c r="E29" s="54" t="inlineStr">
        <is>
          <t>60</t>
        </is>
      </c>
      <c r="F29" s="54" t="inlineStr">
        <is>
          <t>30</t>
        </is>
      </c>
      <c r="G29" s="54" t="inlineStr">
        <is>
          <t>Se observó presencia de ganado caprino y vacuno.</t>
        </is>
      </c>
    </row>
    <row r="30">
      <c r="A30" s="55" t="inlineStr">
        <is>
          <t>2</t>
        </is>
      </c>
      <c r="B30" s="55" t="inlineStr">
        <is>
          <t>Tala para leña</t>
        </is>
      </c>
      <c r="C30" s="55" t="inlineStr">
        <is>
          <t>Sí</t>
        </is>
      </c>
      <c r="D30" s="55" t="inlineStr">
        <is>
          <t>Moderada</t>
        </is>
      </c>
      <c r="E30" s="55" t="inlineStr">
        <is>
          <t>30</t>
        </is>
      </c>
      <c r="F30" s="55" t="inlineStr">
        <is>
          <t>30</t>
        </is>
      </c>
      <c r="G30" s="55" t="inlineStr">
        <is>
          <t>Se observó leña apilada en los patios de las viviendas.</t>
        </is>
      </c>
    </row>
    <row r="31">
      <c r="A31" s="54" t="inlineStr">
        <is>
          <t>3</t>
        </is>
      </c>
      <c r="B31" s="54" t="inlineStr">
        <is>
          <t>Tala para carbón</t>
        </is>
      </c>
      <c r="C31" s="54" t="inlineStr"/>
      <c r="D31" s="54" t="inlineStr"/>
      <c r="E31" s="54" t="inlineStr"/>
      <c r="F31" s="54" t="inlineStr"/>
      <c r="G31" s="54" t="inlineStr"/>
    </row>
    <row r="32">
      <c r="A32" s="55" t="inlineStr">
        <is>
          <t>4</t>
        </is>
      </c>
      <c r="B32" s="55" t="inlineStr">
        <is>
          <t>Tala para madera</t>
        </is>
      </c>
      <c r="C32" s="55" t="inlineStr"/>
      <c r="D32" s="55" t="inlineStr"/>
      <c r="E32" s="55" t="inlineStr"/>
      <c r="F32" s="55" t="inlineStr"/>
      <c r="G32" s="55" t="inlineStr"/>
    </row>
    <row r="33">
      <c r="A33" s="54" t="inlineStr">
        <is>
          <t>5</t>
        </is>
      </c>
      <c r="B33" s="54" t="inlineStr">
        <is>
          <t>Quema (renovación de pastos)</t>
        </is>
      </c>
      <c r="C33" s="54" t="inlineStr"/>
      <c r="D33" s="54" t="inlineStr"/>
      <c r="E33" s="54" t="inlineStr"/>
      <c r="F33" s="54" t="inlineStr"/>
      <c r="G33" s="54" t="inlineStr"/>
    </row>
    <row r="34">
      <c r="A34" s="55" t="inlineStr">
        <is>
          <t>6</t>
        </is>
      </c>
      <c r="B34" s="55" t="inlineStr">
        <is>
          <t>Quema accidental / Incendio</t>
        </is>
      </c>
      <c r="C34" s="55" t="inlineStr"/>
      <c r="D34" s="55" t="inlineStr"/>
      <c r="E34" s="55" t="inlineStr"/>
      <c r="F34" s="55" t="inlineStr"/>
      <c r="G34" s="55" t="inlineStr"/>
    </row>
    <row r="35">
      <c r="A35" s="54" t="inlineStr">
        <is>
          <t>7</t>
        </is>
      </c>
      <c r="B35" s="54" t="inlineStr">
        <is>
          <t>Cambio de uso a agricultura</t>
        </is>
      </c>
      <c r="C35" s="54" t="inlineStr"/>
      <c r="D35" s="54" t="inlineStr"/>
      <c r="E35" s="54" t="inlineStr"/>
      <c r="F35" s="54" t="inlineStr"/>
      <c r="G35" s="54" t="inlineStr"/>
    </row>
    <row r="36">
      <c r="A36" s="55" t="inlineStr">
        <is>
          <t>8</t>
        </is>
      </c>
      <c r="B36" s="55" t="inlineStr">
        <is>
          <t>Cambio de uso a pastoreo</t>
        </is>
      </c>
      <c r="C36" s="55" t="inlineStr">
        <is>
          <t>Sí</t>
        </is>
      </c>
      <c r="D36" s="55" t="inlineStr">
        <is>
          <t>Moderada</t>
        </is>
      </c>
      <c r="E36" s="55" t="inlineStr">
        <is>
          <t>60</t>
        </is>
      </c>
      <c r="F36" s="55" t="inlineStr">
        <is>
          <t>30</t>
        </is>
      </c>
      <c r="G36" s="55" t="inlineStr">
        <is>
          <t>Se observó presencia de ganado caprino y vacuno.</t>
        </is>
      </c>
    </row>
    <row r="37">
      <c r="A37" s="54" t="inlineStr">
        <is>
          <t>9</t>
        </is>
      </c>
      <c r="B37" s="54" t="inlineStr">
        <is>
          <t>Expansión urbana / vial</t>
        </is>
      </c>
      <c r="C37" s="54" t="inlineStr"/>
      <c r="D37" s="54" t="inlineStr"/>
      <c r="E37" s="54" t="inlineStr"/>
      <c r="F37" s="54" t="inlineStr"/>
      <c r="G37" s="54" t="inlineStr"/>
    </row>
    <row r="38">
      <c r="A38" s="55" t="inlineStr">
        <is>
          <t>10</t>
        </is>
      </c>
      <c r="B38" s="55" t="inlineStr">
        <is>
          <t>Minería informal</t>
        </is>
      </c>
      <c r="C38" s="55" t="inlineStr"/>
      <c r="D38" s="55" t="inlineStr"/>
      <c r="E38" s="55" t="inlineStr"/>
      <c r="F38" s="55" t="inlineStr"/>
      <c r="G38" s="55" t="inlineStr"/>
    </row>
    <row r="39">
      <c r="A39" s="54" t="inlineStr">
        <is>
          <t>11</t>
        </is>
      </c>
      <c r="B39" s="54" t="inlineStr">
        <is>
          <t>Extracción de áridos (cauces)</t>
        </is>
      </c>
      <c r="C39" s="54" t="inlineStr"/>
      <c r="D39" s="54" t="inlineStr"/>
      <c r="E39" s="54" t="inlineStr"/>
      <c r="F39" s="54" t="inlineStr"/>
      <c r="G39" s="54" t="inlineStr"/>
    </row>
    <row r="40">
      <c r="A40" s="55" t="inlineStr">
        <is>
          <t>12</t>
        </is>
      </c>
      <c r="B40" s="55" t="inlineStr">
        <is>
          <t>Especies invasoras</t>
        </is>
      </c>
      <c r="C40" s="55" t="inlineStr"/>
      <c r="D40" s="55" t="inlineStr"/>
      <c r="E40" s="55" t="inlineStr"/>
      <c r="F40" s="55" t="inlineStr"/>
      <c r="G40" s="55" t="inlineStr"/>
    </row>
    <row r="41">
      <c r="A41" s="54" t="inlineStr">
        <is>
          <t>13</t>
        </is>
      </c>
      <c r="B41" s="54" t="inlineStr">
        <is>
          <t>Erosión natural severa</t>
        </is>
      </c>
      <c r="C41" s="54" t="inlineStr"/>
      <c r="D41" s="54" t="inlineStr"/>
      <c r="E41" s="54" t="inlineStr"/>
      <c r="F41" s="54" t="inlineStr"/>
      <c r="G41" s="54" t="inlineStr"/>
    </row>
    <row r="42">
      <c r="A42" s="55" t="inlineStr">
        <is>
          <t>14</t>
        </is>
      </c>
      <c r="B42" s="55" t="inlineStr">
        <is>
          <t>Sequía prolongada / CC</t>
        </is>
      </c>
      <c r="C42" s="55" t="inlineStr"/>
      <c r="D42" s="55" t="inlineStr"/>
      <c r="E42" s="55" t="inlineStr"/>
      <c r="F42" s="55" t="inlineStr"/>
      <c r="G42" s="55" t="inlineStr"/>
    </row>
    <row r="43">
      <c r="A43" s="54" t="inlineStr">
        <is>
          <t>15</t>
        </is>
      </c>
      <c r="B43" s="54" t="inlineStr">
        <is>
          <t>Plagas o enfermedades forestales</t>
        </is>
      </c>
      <c r="C43" s="54" t="inlineStr"/>
      <c r="D43" s="54" t="inlineStr"/>
      <c r="E43" s="54" t="inlineStr"/>
      <c r="F43" s="54" t="inlineStr"/>
      <c r="G43" s="54" t="inlineStr"/>
    </row>
    <row r="44">
      <c r="A44" s="55" t="inlineStr">
        <is>
          <t>16</t>
        </is>
      </c>
      <c r="B44" s="55" t="inlineStr">
        <is>
          <t>Otro</t>
        </is>
      </c>
      <c r="C44" s="55" t="inlineStr"/>
      <c r="D44" s="55" t="inlineStr"/>
      <c r="E44" s="55" t="inlineStr"/>
      <c r="F44" s="55" t="inlineStr"/>
      <c r="G44" s="55" t="inlineStr"/>
    </row>
    <row r="46">
      <c r="A46" s="52" t="inlineStr">
        <is>
          <t>F-DT-04 · INDICADORES CUANTITATIVOS</t>
        </is>
      </c>
    </row>
    <row r="47">
      <c r="A47" s="53" t="inlineStr">
        <is>
          <t>N.o</t>
        </is>
      </c>
      <c r="B47" s="53" t="inlineStr">
        <is>
          <t>Indicador</t>
        </is>
      </c>
      <c r="C47" s="53" t="inlineStr">
        <is>
          <t>Unidad</t>
        </is>
      </c>
      <c r="D47" s="53" t="inlineStr">
        <is>
          <t>Valor</t>
        </is>
      </c>
      <c r="E47" s="53" t="inlineStr">
        <is>
          <t>Fuente</t>
        </is>
      </c>
      <c r="F47" s="53" t="inlineStr">
        <is>
          <t>Umbral</t>
        </is>
      </c>
      <c r="G47" s="53" t="inlineStr">
        <is>
          <t>Nivel</t>
        </is>
      </c>
    </row>
    <row r="48">
      <c r="A48" s="54" t="inlineStr">
        <is>
          <t>1</t>
        </is>
      </c>
      <c r="B48" s="54" t="inlineStr">
        <is>
          <t>Cobertura vegetal total</t>
        </is>
      </c>
      <c r="C48" s="54" t="inlineStr">
        <is>
          <t>%</t>
        </is>
      </c>
      <c r="D48" s="54" t="inlineStr">
        <is>
          <t>80</t>
        </is>
      </c>
      <c r="E48" s="54" t="inlineStr">
        <is>
          <t>Estimación visual de campo</t>
        </is>
      </c>
      <c r="F48" s="54" t="inlineStr">
        <is>
          <t>&gt;60% bueno; 30-60% medio; &lt;30% malo</t>
        </is>
      </c>
      <c r="G48" s="54" t="inlineStr">
        <is>
          <t>Alto</t>
        </is>
      </c>
    </row>
    <row r="49">
      <c r="A49" s="55" t="inlineStr">
        <is>
          <t>2</t>
        </is>
      </c>
      <c r="B49" s="55" t="inlineStr">
        <is>
          <t>Porcentaje de suelo desnudo</t>
        </is>
      </c>
      <c r="C49" s="55" t="inlineStr">
        <is>
          <t>%</t>
        </is>
      </c>
      <c r="D49" s="55" t="inlineStr">
        <is>
          <t>5</t>
        </is>
      </c>
      <c r="E49" s="55" t="inlineStr">
        <is>
          <t>Estimación visual de campo</t>
        </is>
      </c>
      <c r="F49" s="55" t="inlineStr">
        <is>
          <t>&lt;10% bueno; 10-30% medio; &gt;30% malo</t>
        </is>
      </c>
      <c r="G49" s="55" t="inlineStr">
        <is>
          <t>Bajo</t>
        </is>
      </c>
    </row>
    <row r="50">
      <c r="A50" s="54" t="inlineStr">
        <is>
          <t>3</t>
        </is>
      </c>
      <c r="B50" s="54" t="inlineStr">
        <is>
          <t>Densidad de cárcavas</t>
        </is>
      </c>
      <c r="C50" s="54" t="inlineStr">
        <is>
          <t>N°/ha</t>
        </is>
      </c>
      <c r="D50" s="54" t="inlineStr">
        <is>
          <t>1</t>
        </is>
      </c>
      <c r="E50" s="54" t="inlineStr">
        <is>
          <t>Estimación visual de campo</t>
        </is>
      </c>
      <c r="F50" s="54" t="inlineStr">
        <is>
          <t>0 nulo; 1-3 medio; &gt;3 alto</t>
        </is>
      </c>
      <c r="G50" s="54" t="inlineStr">
        <is>
          <t>Bajo</t>
        </is>
      </c>
    </row>
    <row r="51">
      <c r="A51" s="55" t="inlineStr">
        <is>
          <t>4</t>
        </is>
      </c>
      <c r="B51" s="55" t="inlineStr">
        <is>
          <t>Presencia de especies invasoras</t>
        </is>
      </c>
      <c r="C51" s="55" t="inlineStr">
        <is>
          <t>% área</t>
        </is>
      </c>
      <c r="D51" s="55" t="inlineStr">
        <is>
          <t>0</t>
        </is>
      </c>
      <c r="E51" s="55" t="inlineStr">
        <is>
          <t>Estimación visual de campo</t>
        </is>
      </c>
      <c r="F51" s="55" t="inlineStr">
        <is>
          <t>&lt;5% bueno; 5-20% medio; &gt;20% alto</t>
        </is>
      </c>
      <c r="G51" s="55" t="inlineStr">
        <is>
          <t>Bajo</t>
        </is>
      </c>
    </row>
    <row r="52">
      <c r="A52" s="54" t="inlineStr">
        <is>
          <t>5</t>
        </is>
      </c>
      <c r="B52" s="54" t="inlineStr">
        <is>
          <t>Carga ganadera estimada</t>
        </is>
      </c>
      <c r="C52" s="54" t="inlineStr">
        <is>
          <t>UA/ha</t>
        </is>
      </c>
      <c r="D52" s="54" t="inlineStr">
        <is>
          <t>3</t>
        </is>
      </c>
      <c r="E52" s="54" t="inlineStr">
        <is>
          <t>Estimación visual de campo</t>
        </is>
      </c>
      <c r="F52" s="54" t="inlineStr">
        <is>
          <t>Según tipo de ecosistema</t>
        </is>
      </c>
      <c r="G52" s="54" t="inlineStr">
        <is>
          <t>Medio</t>
        </is>
      </c>
    </row>
    <row r="53">
      <c r="A53" s="55" t="inlineStr">
        <is>
          <t>6</t>
        </is>
      </c>
      <c r="B53" s="55" t="inlineStr">
        <is>
          <t>Frecuencia de quemas últimos 5 años</t>
        </is>
      </c>
      <c r="C53" s="55" t="inlineStr">
        <is>
          <t>N°</t>
        </is>
      </c>
      <c r="D53" s="55" t="inlineStr">
        <is>
          <t>1</t>
        </is>
      </c>
      <c r="E53" s="55" t="inlineStr">
        <is>
          <t>Estimación visual de campo</t>
        </is>
      </c>
      <c r="F53" s="55" t="inlineStr">
        <is>
          <t>0 nulo; 1-2 medio; &gt;2 alto</t>
        </is>
      </c>
      <c r="G53" s="55" t="inlineStr">
        <is>
          <t>Medio</t>
        </is>
      </c>
    </row>
    <row r="54">
      <c r="A54" s="54" t="inlineStr">
        <is>
          <t>7</t>
        </is>
      </c>
      <c r="B54" s="54" t="inlineStr">
        <is>
          <t>% área con pendiente &gt;50%</t>
        </is>
      </c>
      <c r="C54" s="54" t="inlineStr">
        <is>
          <t>%</t>
        </is>
      </c>
      <c r="D54" s="54" t="inlineStr">
        <is>
          <t>30</t>
        </is>
      </c>
      <c r="E54" s="54" t="inlineStr">
        <is>
          <t>Estimación visual de campo</t>
        </is>
      </c>
      <c r="F54" s="54" t="inlineStr">
        <is>
          <t>Factor de susceptibilidad</t>
        </is>
      </c>
      <c r="G54" s="54" t="inlineStr">
        <is>
          <t>Bajo</t>
        </is>
      </c>
    </row>
    <row r="55">
      <c r="A55" s="55" t="inlineStr">
        <is>
          <t>8</t>
        </is>
      </c>
      <c r="B55" s="55" t="inlineStr">
        <is>
          <t>Distancia a vía vecinal más cercana</t>
        </is>
      </c>
      <c r="C55" s="55" t="inlineStr">
        <is>
          <t>m</t>
        </is>
      </c>
      <c r="D55" s="55" t="inlineStr">
        <is>
          <t>100</t>
        </is>
      </c>
      <c r="E55" s="55" t="inlineStr">
        <is>
          <t>Estimación visual de campo</t>
        </is>
      </c>
      <c r="F55" s="55" t="inlineStr">
        <is>
          <t>A menor distancia → mayor presión</t>
        </is>
      </c>
      <c r="G55" s="55" t="inlineStr">
        <is>
          <t>Alto</t>
        </is>
      </c>
    </row>
    <row r="57">
      <c r="A57" s="52" t="inlineStr">
        <is>
          <t>F-DT-05 · FUENTES DE AGUA INVENTARIADAS</t>
        </is>
      </c>
    </row>
    <row r="58">
      <c r="A58" s="53" t="inlineStr">
        <is>
          <t>N.o</t>
        </is>
      </c>
      <c r="B58" s="53" t="inlineStr">
        <is>
          <t>Tipo de fuente</t>
        </is>
      </c>
      <c r="C58" s="53" t="inlineStr">
        <is>
          <t>UTM ESTE</t>
        </is>
      </c>
      <c r="D58" s="53" t="inlineStr">
        <is>
          <t>UTM NORTE</t>
        </is>
      </c>
      <c r="E58" s="53" t="inlineStr">
        <is>
          <t>Régimen</t>
        </is>
      </c>
      <c r="F58" s="53" t="inlineStr">
        <is>
          <t>Calidad</t>
        </is>
      </c>
      <c r="G58" s="53" t="inlineStr">
        <is>
          <t>Distancia (m)</t>
        </is>
      </c>
      <c r="H58" s="53" t="inlineStr">
        <is>
          <t>Uso / observación</t>
        </is>
      </c>
    </row>
    <row r="61">
      <c r="A61" s="52" t="inlineStr">
        <is>
          <t>OBSERVACIONES DEL EVALUADOR POR FICHA</t>
        </is>
      </c>
    </row>
    <row r="62">
      <c r="A62" s="53" t="inlineStr">
        <is>
          <t>Ficha</t>
        </is>
      </c>
      <c r="B62" s="53" t="inlineStr">
        <is>
          <t>Observación registrada en campo</t>
        </is>
      </c>
    </row>
    <row r="63">
      <c r="A63" s="54" t="inlineStr">
        <is>
          <t>F-DT-01</t>
        </is>
      </c>
      <c r="B63" s="54" t="inlineStr">
        <is>
          <t>El bloque se ubica en una ladera de colina alta. Presenta una pendiente menor a 60 %. El terreno se inclina más conforme se asciende. Se encuentra a una altitud de 250 msnm aprox. Esta ladera es empleada para el pastoreo extensivo de ganado caprino y vacuno, que pertenece al centro poblado asentado al pie del bloque. Además, se ubica cerca de una vía asfaltada y de áreas de cultivo. También se ha evidenciado leña apilada en viviendas próximas al bloque. El suelo del bloque presenta erosión eólica e hídrica. En la ladera se observan estrías y surcos dejados por el tránsito habitual del ganado. Existen caminos de herradura dentro del bloque y áreas de suelo desprovistas de vegetación y expuestas a lluvia.</t>
        </is>
      </c>
    </row>
    <row r="64">
      <c r="A64" s="55" t="inlineStr">
        <is>
          <t>F-DT-02</t>
        </is>
      </c>
      <c r="B64" s="55" t="inlineStr">
        <is>
          <t>Nivel general de erosión moderado, con erosión eólica e hídrica. Estrías y surcos en la ladera formados por el tránsito habitual del ganado; áreas de suelo desprovistas de vegetación y expuestas a la lluvia. No se identifican cárcavas desarrolladas dentro del bloque. El suelo presenta compactación por pisoteo y piedras dispersas en el área. Sin ficha F-DT-02 firmada en el ANEXO 01: los valores de síntesis proceden de las observaciones de la ficha F-DT-01, del indicador N° 3 de la ficha F-DT-04 y de la narrativa del 2do Entregable. El inventario georreferenciado de cárcavas queda pendiente. INCONSISTENCIA: la ficha F-DT-04 consigna una densidad de cárcavas de 1 N°/ha, mientras que la narrativa afirma que «no se identifican cárcavas desarrolladas dentro del bloque». Ver discrepancia D-06.</t>
        </is>
      </c>
    </row>
    <row r="65">
      <c r="A65" s="54" t="inlineStr">
        <is>
          <t>F-DT-03</t>
        </is>
      </c>
      <c r="B65" s="54" t="inlineStr">
        <is>
          <t>Al momento de la evaluación, la cobertura vegetal del área corresponde a un bosque seco con zonas empobrecidas y con claros próximos a la vía asfaltada. La altura promedio de los individuos arbóreos es menor a los 8 m y los diámetros a la altura del pecho, menores a 20 cm. La parte alta del bloque conserva la vegetación. El retiro de vegetación forma claros de bosque, donde los procesos de erosión son más evidentes. Se ha observado presencia de arbustos dispersos, principalmente overo. La vegetación es nativa y la mayoría de los individuos se encuentran en época de defoliación. Entre las especies arbóreas nativas: ceibo, pasallo, charán, faique, palo santo, hualtaco y sapote. También hay presencia de cardos. NOTA: la ficha registró 7 especies frente al mínimo de 15 del formato, sin nombre científico ni familia y con la sección 5 (especies clave) en blanco. Los nombres científicos y las familias aquí consignados son asignación taxonómica estándar del Bes-cm y tienen carácter PRELIMINAR. INCONSISTENCIA: la altura promedio del estrato dominante de la sección 3 (8 m) y el DAP (30 cm) no coinciden con estas observaciones (&lt;8 m y &lt;20 cm). Ver discrepancia D-05.</t>
        </is>
      </c>
    </row>
    <row r="66">
      <c r="A66" s="55" t="inlineStr">
        <is>
          <t>F-DT-04</t>
        </is>
      </c>
      <c r="B66" s="55" t="inlineStr">
        <is>
          <t>Redelimitar el bloque priorizando las áreas próximas a los centros poblados y desestimando las áreas donde el ecosistema se encuentra conservado. Hay presencia de casas muy próximas al bloque.</t>
        </is>
      </c>
    </row>
    <row r="67">
      <c r="A67" s="54" t="inlineStr">
        <is>
          <t>F-DT-05</t>
        </is>
      </c>
      <c r="B67" s="54" t="inlineStr">
        <is>
          <t>Acceso por vía nacional asfaltada (Serrán — Canchaque) que discurre por el pie del bloque, en la margen izquierda del río Pusmalca; el desplazamiento interior se realiza a pie por caminos de herradura. El bloque se ubica en la zona de origen de los peligros de la microcuenca C1076-Q9585. POR COMPLETAR: inventario de fuentes de agua, JASS y captación poblacional, tiempos de viaje, señal celular y autorización de Ronda Campesina — sin ficha F-DT-05 en el ANEXO 01.</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0"/>
  <sheetViews>
    <sheetView workbookViewId="0">
      <selection activeCell="A1" sqref="A1"/>
    </sheetView>
  </sheetViews>
  <sheetFormatPr baseColWidth="8" defaultRowHeight="15"/>
  <cols>
    <col width="44" customWidth="1" min="1" max="1"/>
    <col width="18" customWidth="1" min="2" max="2"/>
  </cols>
  <sheetData>
    <row r="1">
      <c r="A1" s="49" t="inlineStr">
        <is>
          <t>AUTORIDAD NACIONAL DE INFRAESTRUCTURA - ANIN</t>
        </is>
      </c>
    </row>
    <row r="2">
      <c r="A2" s="49" t="inlineStr">
        <is>
          <t>DIRECCION DE INTERVENCIONES MULTISECTORIALES Y DE EMERGENCIA - DIME</t>
        </is>
      </c>
    </row>
    <row r="3">
      <c r="A3" s="49" t="inlineStr">
        <is>
          <t>SUBDIRECCION DE ESTUDIOS DE INVERSION - SESDI</t>
        </is>
      </c>
    </row>
    <row r="4">
      <c r="A4" s="50" t="inlineStr">
        <is>
          <t>PROYECTO IN PIURA | CUI 2669244 | Recuperacion del servicio de regulacion de riesgos naturales y de ecosistemas degradados - Cuenca Alta del Rio Piura</t>
        </is>
      </c>
    </row>
    <row r="5" ht="22" customHeight="1">
      <c r="A5" s="51" t="inlineStr">
        <is>
          <t>GRÁFICOS DE LA INTEGRACIÓN — BLOQUE M20B1</t>
        </is>
      </c>
    </row>
    <row r="7">
      <c r="A7" s="52" t="inlineStr">
        <is>
          <t>Hechos declarados por fuente</t>
        </is>
      </c>
    </row>
    <row r="8">
      <c r="A8" s="53" t="inlineStr">
        <is>
          <t>Fuente</t>
        </is>
      </c>
      <c r="B8" s="53" t="inlineStr">
        <is>
          <t>Hechos</t>
        </is>
      </c>
    </row>
    <row r="9">
      <c r="A9" s="54" t="inlineStr">
        <is>
          <t>Dato de campo</t>
        </is>
      </c>
      <c r="B9" s="54" t="n">
        <v>55</v>
      </c>
    </row>
    <row r="10">
      <c r="A10" s="55" t="inlineStr">
        <is>
          <t>Gabinete (GIS / teledetección)</t>
        </is>
      </c>
      <c r="B10" s="55" t="n">
        <v>24</v>
      </c>
    </row>
    <row r="11">
      <c r="A11" s="54" t="inlineStr">
        <is>
          <t>Fuente oficial</t>
        </is>
      </c>
      <c r="B11" s="54" t="n">
        <v>14</v>
      </c>
    </row>
    <row r="28">
      <c r="A28" s="52" t="inlineStr">
        <is>
          <t>Estado del cruce entre fuentes</t>
        </is>
      </c>
    </row>
    <row r="29">
      <c r="A29" s="53" t="inlineStr">
        <is>
          <t>Estado</t>
        </is>
      </c>
      <c r="B29" s="53" t="inlineStr">
        <is>
          <t>Hechos</t>
        </is>
      </c>
    </row>
    <row r="30">
      <c r="A30" s="54" t="inlineStr">
        <is>
          <t>CONFORME</t>
        </is>
      </c>
      <c r="B30" s="54" t="n">
        <v>90</v>
      </c>
    </row>
    <row r="31">
      <c r="A31" s="55" t="inlineStr">
        <is>
          <t>COMPLEMENTADO</t>
        </is>
      </c>
      <c r="B31" s="55" t="n">
        <v>2</v>
      </c>
    </row>
    <row r="32">
      <c r="A32" s="54" t="inlineStr">
        <is>
          <t>ACTUALIZADO</t>
        </is>
      </c>
      <c r="B32" s="54" t="n">
        <v>1</v>
      </c>
    </row>
    <row r="33">
      <c r="A33" s="55" t="inlineStr">
        <is>
          <t>DISCREPANTE</t>
        </is>
      </c>
      <c r="B33" s="55" t="n">
        <v>0</v>
      </c>
    </row>
    <row r="34">
      <c r="A34" s="54" t="inlineStr">
        <is>
          <t>PENDIENTE</t>
        </is>
      </c>
      <c r="B34" s="54" t="n">
        <v>21</v>
      </c>
    </row>
    <row r="51">
      <c r="A51" s="52" t="inlineStr">
        <is>
          <t>Cobertura por estrato — campo (%)</t>
        </is>
      </c>
    </row>
    <row r="52">
      <c r="A52" s="53" t="inlineStr">
        <is>
          <t>Estrato</t>
        </is>
      </c>
      <c r="B52" s="53" t="inlineStr">
        <is>
          <t>% del área</t>
        </is>
      </c>
    </row>
    <row r="53">
      <c r="A53" s="54" t="inlineStr">
        <is>
          <t>Dosel</t>
        </is>
      </c>
      <c r="B53" s="59" t="n">
        <v>80</v>
      </c>
    </row>
    <row r="54">
      <c r="A54" s="55" t="inlineStr">
        <is>
          <t>Arbustiva</t>
        </is>
      </c>
      <c r="B54" s="61" t="n">
        <v>15</v>
      </c>
    </row>
    <row r="55">
      <c r="A55" s="54" t="inlineStr">
        <is>
          <t>Herbácea</t>
        </is>
      </c>
      <c r="B55" s="59" t="n">
        <v>10</v>
      </c>
    </row>
    <row r="56">
      <c r="A56" s="55" t="inlineStr">
        <is>
          <t>Hojarasca</t>
        </is>
      </c>
      <c r="B56" s="62" t="n">
        <v>5</v>
      </c>
    </row>
    <row r="57">
      <c r="A57" s="54" t="inlineStr">
        <is>
          <t>Suelo desnudo</t>
        </is>
      </c>
      <c r="B57" s="59" t="n">
        <v>10</v>
      </c>
    </row>
    <row r="74">
      <c r="A74" s="52" t="inlineStr">
        <is>
          <t>Causas activas de degradación (F-DT-04)</t>
        </is>
      </c>
    </row>
    <row r="75">
      <c r="A75" s="53" t="inlineStr">
        <is>
          <t>Causa</t>
        </is>
      </c>
      <c r="B75" s="53" t="inlineStr">
        <is>
          <t>Intensidad (1 ligera - 4 muy fuerte)</t>
        </is>
      </c>
    </row>
    <row r="76">
      <c r="A76" s="54" t="inlineStr">
        <is>
          <t>Cambio de uso a pastoreo</t>
        </is>
      </c>
      <c r="B76" s="54" t="n">
        <v>2</v>
      </c>
    </row>
    <row r="77">
      <c r="A77" s="55" t="inlineStr">
        <is>
          <t>Sobrepastoreo (caprino/vacuno)</t>
        </is>
      </c>
      <c r="B77" s="55" t="n">
        <v>2</v>
      </c>
    </row>
    <row r="78">
      <c r="A78" s="54" t="inlineStr">
        <is>
          <t>Tala para leña</t>
        </is>
      </c>
      <c r="B78" s="54" t="n">
        <v>2</v>
      </c>
    </row>
    <row r="95">
      <c r="A95" s="52" t="inlineStr">
        <is>
          <t>Control de consistencia por calificación</t>
        </is>
      </c>
    </row>
    <row r="96">
      <c r="A96" s="53" t="inlineStr">
        <is>
          <t>Calificación</t>
        </is>
      </c>
      <c r="B96" s="53" t="inlineStr">
        <is>
          <t>Verificaciones</t>
        </is>
      </c>
    </row>
    <row r="97">
      <c r="A97" s="54" t="inlineStr">
        <is>
          <t>SUSTANTIVA</t>
        </is>
      </c>
      <c r="B97" s="54" t="n">
        <v>7</v>
      </c>
    </row>
    <row r="98">
      <c r="A98" s="55" t="inlineStr">
        <is>
          <t>NO SUSTANTIVA</t>
        </is>
      </c>
      <c r="B98" s="55" t="n">
        <v>4</v>
      </c>
    </row>
    <row r="99">
      <c r="A99" s="54" t="inlineStr">
        <is>
          <t>CORREGIDO</t>
        </is>
      </c>
      <c r="B99" s="54" t="n">
        <v>1</v>
      </c>
    </row>
    <row r="100">
      <c r="A100" s="55" t="inlineStr">
        <is>
          <t>CONFORME</t>
        </is>
      </c>
      <c r="B100" s="55" t="n">
        <v>11</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M20B1 — IN Piura</dc:title>
  <dc:subject>Diagnóstico Territorial por bloque de intervención</dc:subject>
  <dcterms:created xsi:type="dcterms:W3CDTF">2026-09-08T03:39:58Z</dcterms:created>
  <dcterms:modified xsi:type="dcterms:W3CDTF">2026-09-11T20:22:36Z</dcterms:modified>
</cp:coreProperties>
</file>