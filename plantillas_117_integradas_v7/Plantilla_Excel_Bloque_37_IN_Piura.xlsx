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4" fontId="6" fillId="5" borderId="7" pivotButton="0" quotePrefix="0" xfId="0"/>
    <xf numFmtId="166" fontId="6" fillId="0"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integración'!B27</f>
            </strRef>
          </tx>
          <spPr>
            <a:ln>
              <a:prstDash val="solid"/>
            </a:ln>
          </spPr>
          <cat>
            <numRef>
              <f>'Gráficos de integración'!$A$28:$A$32</f>
            </numRef>
          </cat>
          <val>
            <numRef>
              <f>'Gráficos de integración'!$B$28:$B$32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integración'!B46</f>
            </strRef>
          </tx>
          <spPr>
            <a:ln>
              <a:prstDash val="solid"/>
            </a:ln>
          </spPr>
          <cat>
            <numRef>
              <f>'Gráficos de integración'!$A$47</f>
            </numRef>
          </cat>
          <val>
            <numRef>
              <f>'Gráficos de integración'!$B$47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integración'!B65</f>
            </strRef>
          </tx>
          <spPr>
            <a:ln>
              <a:prstDash val="solid"/>
            </a:ln>
          </spPr>
          <cat>
            <numRef>
              <f>'Gráficos de integración'!$A$66:$A$68</f>
            </numRef>
          </cat>
          <val>
            <numRef>
              <f>'Gráficos de integración'!$B$66:$B$68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integración'!B84</f>
            </strRef>
          </tx>
          <spPr>
            <a:ln>
              <a:prstDash val="solid"/>
            </a:ln>
          </spPr>
          <cat>
            <numRef>
              <f>'Gráficos de integración'!$A$85:$A$88</f>
            </numRef>
          </cat>
          <val>
            <numRef>
              <f>'Gráficos de integración'!$B$85:$B$88</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26</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45</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64</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83</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37</t>
        </is>
      </c>
    </row>
    <row r="6" ht="24" customHeight="1">
      <c r="A6" s="4" t="inlineStr">
        <is>
          <t>Diagnóstico Territorial — Plantilla DT Campo Check Validada V5 | Sistema de referencia: UTM WGS 84 Zona 17S (EPSG:32717) · Integrado con la ficha de campo F-DT vigente (Plantilla_DT_Campo_Bloque37_V5.xlsx) — V7 - resumen V6 + campo F-DT integrado</t>
        </is>
      </c>
    </row>
    <row r="7"/>
    <row r="8" ht="18" customHeight="1">
      <c r="A8" s="5" t="inlineStr">
        <is>
          <t>1. IDENTIFICACIÓN Y LOCALIZACIÓN</t>
        </is>
      </c>
    </row>
    <row r="9">
      <c r="A9" s="6" t="inlineStr">
        <is>
          <t>Código del bloque</t>
        </is>
      </c>
      <c r="B9" s="7" t="inlineStr">
        <is>
          <t>37</t>
        </is>
      </c>
      <c r="C9" s="6" t="inlineStr">
        <is>
          <t>Microcuenca (catálogo)</t>
        </is>
      </c>
      <c r="D9" s="7" t="inlineStr">
        <is>
          <t>C1081-Q9591</t>
        </is>
      </c>
      <c r="E9" s="8" t="n"/>
      <c r="F9" s="8" t="n"/>
    </row>
    <row r="10">
      <c r="A10" s="6" t="inlineStr">
        <is>
          <t>Zona de planificación</t>
        </is>
      </c>
      <c r="B10" s="7" t="inlineStr">
        <is>
          <t>Z10</t>
        </is>
      </c>
      <c r="C10" s="6" t="inlineStr">
        <is>
          <t>Microcuenca declarada en ficha DT</t>
        </is>
      </c>
      <c r="D10" s="7" t="inlineStr">
        <is>
          <t>C1081-Q9591</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Lalaquiz</t>
        </is>
      </c>
      <c r="C12" s="6" t="inlineStr">
        <is>
          <t>Capital distrital</t>
        </is>
      </c>
      <c r="D12" s="7" t="inlineStr">
        <is>
          <t>Lalaquiz</t>
        </is>
      </c>
      <c r="E12" s="8" t="n"/>
      <c r="F12" s="8" t="n"/>
    </row>
    <row r="13">
      <c r="A13" s="6" t="inlineStr">
        <is>
          <t>Centro poblado asociado</t>
        </is>
      </c>
      <c r="B13" s="7" t="inlineStr">
        <is>
          <t>El Papayo</t>
        </is>
      </c>
      <c r="C13" s="6" t="inlineStr">
        <is>
          <t>Comunidad campesina</t>
        </is>
      </c>
      <c r="D13" s="7" t="inlineStr">
        <is>
          <t>Por verificar</t>
        </is>
      </c>
      <c r="E13" s="8" t="n"/>
      <c r="F13" s="8" t="n"/>
    </row>
    <row r="14">
      <c r="A14" s="6" t="inlineStr">
        <is>
          <t>Superficie de catálogo (V5/V6), ha</t>
        </is>
      </c>
      <c r="B14" s="7" t="n">
        <v>35.49</v>
      </c>
      <c r="C14" s="6" t="inlineStr">
        <is>
          <t>Fuente de superficie</t>
        </is>
      </c>
      <c r="D14" s="7" t="inlineStr">
        <is>
          <t>Catálogo maestro Bloques V5/V6</t>
        </is>
      </c>
      <c r="E14" s="8" t="n"/>
      <c r="F14" s="8" t="n"/>
    </row>
    <row r="15">
      <c r="A15" s="6" t="inlineStr">
        <is>
          <t>Centroide UTM ESTE (m)</t>
        </is>
      </c>
      <c r="B15" s="7" t="n">
        <v>649081</v>
      </c>
      <c r="C15" s="6" t="inlineStr">
        <is>
          <t>Centroide UTM NORTE (m)</t>
        </is>
      </c>
      <c r="D15" s="7" t="n">
        <v>9424506</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1184</v>
      </c>
      <c r="C19" s="6" t="inlineStr">
        <is>
          <t>Altitud máxima (msnm)</t>
        </is>
      </c>
      <c r="D19" s="7" t="n">
        <v>1455</v>
      </c>
      <c r="E19" s="8" t="n"/>
      <c r="F19" s="8" t="n"/>
    </row>
    <row r="20">
      <c r="A20" s="6" t="inlineStr">
        <is>
          <t>Amplitud altitudinal (m)</t>
        </is>
      </c>
      <c r="B20" s="7" t="n">
        <v>271</v>
      </c>
      <c r="C20" s="6" t="inlineStr">
        <is>
          <t>Piso altitudinal dominante</t>
        </is>
      </c>
      <c r="D20" s="7" t="inlineStr">
        <is>
          <t>1000-1500 m (Quechua baja)</t>
        </is>
      </c>
      <c r="E20" s="8" t="n"/>
      <c r="F20" s="8" t="n"/>
    </row>
    <row r="21">
      <c r="A21" s="6" t="inlineStr">
        <is>
          <t>Pendiente promedio (%)</t>
        </is>
      </c>
      <c r="B21" s="7" t="n">
        <v>23.59</v>
      </c>
      <c r="C21" s="6" t="inlineStr">
        <is>
          <t>Pendiente promedio (grados)</t>
        </is>
      </c>
      <c r="D21" s="7" t="n">
        <v>13.3</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Por verificar</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0.6588000000000001</v>
      </c>
      <c r="C28" s="6" t="inlineStr">
        <is>
          <t>MSAVI 2024 — clase de la media</t>
        </is>
      </c>
      <c r="D28" s="7" t="inlineStr">
        <is>
          <t>&gt; 0.6139 (Vigor alto)</t>
        </is>
      </c>
      <c r="E28" s="8" t="n"/>
      <c r="F28" s="8" t="n"/>
    </row>
    <row r="29">
      <c r="A29" s="6" t="inlineStr">
        <is>
          <t>Condición frente al umbral 0.4976</t>
        </is>
      </c>
      <c r="B29" s="7" t="inlineStr">
        <is>
          <t>Sobre umbral</t>
        </is>
      </c>
      <c r="C29" s="6" t="inlineStr">
        <is>
          <t>NDVI mediana 2025 — clase modal</t>
        </is>
      </c>
      <c r="D29" s="7" t="inlineStr">
        <is>
          <t>Vegetación alta (98.02 %)</t>
        </is>
      </c>
      <c r="E29" s="8" t="n"/>
      <c r="F29" s="8" t="n"/>
    </row>
    <row r="30">
      <c r="A30" s="6" t="inlineStr">
        <is>
          <t>Superficie clasificada NDVI 2025 (ha)</t>
        </is>
      </c>
      <c r="B30" s="7" t="n">
        <v>35.5</v>
      </c>
      <c r="C30" s="6" t="inlineStr">
        <is>
          <t>Desviación frente al catálogo (%)</t>
        </is>
      </c>
      <c r="D30" s="7" t="n">
        <v>0.03</v>
      </c>
      <c r="E30" s="8" t="n"/>
      <c r="F30" s="8" t="n"/>
    </row>
    <row r="31">
      <c r="A31" s="6" t="inlineStr">
        <is>
          <t>Superficie clasificada MSAVI 2024 (ha)</t>
        </is>
      </c>
      <c r="B31" s="38" t="n">
        <v>35.491</v>
      </c>
      <c r="C31" s="6" t="inlineStr">
        <is>
          <t>Desviación MSAVI frente al catálogo (%)</t>
        </is>
      </c>
      <c r="D31" s="39" t="n">
        <v>0</v>
      </c>
      <c r="E31" s="8" t="n"/>
      <c r="F31" s="8" t="n"/>
    </row>
    <row r="32">
      <c r="A32" s="6" t="inlineStr">
        <is>
          <t>Superficie bajo umbral MSAVI 0.4976 (ha)</t>
        </is>
      </c>
      <c r="B32" s="38" t="n">
        <v>0.68</v>
      </c>
      <c r="C32" s="6" t="inlineStr">
        <is>
          <t>% del bloque bajo umbral (brecha espectral)</t>
        </is>
      </c>
      <c r="D32" s="39" t="n">
        <v>1.92</v>
      </c>
      <c r="E32" s="8" t="n"/>
      <c r="F32" s="8" t="n"/>
    </row>
    <row r="33">
      <c r="A33" s="6" t="inlineStr">
        <is>
          <t>Clase DN dominante (MSAVI 2024)</t>
        </is>
      </c>
      <c r="B33" s="7" t="inlineStr">
        <is>
          <t>DN 5 · &gt; 0.6139 (Vigor alto)</t>
        </is>
      </c>
      <c r="C33" s="6" t="inlineStr">
        <is>
          <t>N.° de polígonos MSAVI del bloque</t>
        </is>
      </c>
      <c r="D33" s="40" t="n">
        <v>83</v>
      </c>
      <c r="E33" s="8" t="n"/>
      <c r="F33" s="8" t="n"/>
    </row>
    <row r="34"/>
    <row r="35" ht="18" customHeight="1">
      <c r="A35" s="5" t="inlineStr">
        <is>
          <t>4. ECOSISTEMA Y ESTADO DE CONSERVACIÓN</t>
        </is>
      </c>
    </row>
    <row r="36">
      <c r="A36" s="6" t="inlineStr">
        <is>
          <t>Tipo de ecosistema (UP)</t>
        </is>
      </c>
      <c r="B36" s="7" t="inlineStr">
        <is>
          <t>Matorral Andino subhúmedo</t>
        </is>
      </c>
      <c r="C36" s="6" t="inlineStr">
        <is>
          <t>Superficie de ecosistema (ha)</t>
        </is>
      </c>
      <c r="D36" s="7" t="inlineStr">
        <is>
          <t>Matorral andino 21.29 ha (60%) + Zona agrícola 14.20 ha (40%); total 35.49 ha</t>
        </is>
      </c>
      <c r="E36" s="8" t="n"/>
      <c r="F36" s="8" t="n"/>
    </row>
    <row r="37">
      <c r="A37" s="6" t="inlineStr">
        <is>
          <t>Estado de conservación</t>
        </is>
      </c>
      <c r="B37" s="7" t="inlineStr">
        <is>
          <t>Medianamente alterado</t>
        </is>
      </c>
      <c r="C37" s="6" t="inlineStr">
        <is>
          <t>Uso actual dominante del suelo</t>
        </is>
      </c>
      <c r="D37" s="7" t="inlineStr">
        <is>
          <t>Uso mixto</t>
        </is>
      </c>
      <c r="E37" s="8" t="n"/>
      <c r="F37" s="8" t="n"/>
    </row>
    <row r="38">
      <c r="A38" s="6" t="inlineStr">
        <is>
          <t>Tipo de cobertura dominante</t>
        </is>
      </c>
      <c r="B38" s="7" t="inlineStr">
        <is>
          <t>Matorral denso</t>
        </is>
      </c>
      <c r="C38" s="6" t="inlineStr">
        <is>
          <t>Cobertura vegetal total — campo (%)</t>
        </is>
      </c>
      <c r="D38" s="7" t="n">
        <v>80</v>
      </c>
      <c r="E38" s="8" t="n"/>
      <c r="F38" s="8" t="n"/>
    </row>
    <row r="39">
      <c r="A39" s="6" t="inlineStr">
        <is>
          <t>Suelo desnudo — campo (%)</t>
        </is>
      </c>
      <c r="B39" s="7" t="n">
        <v>15</v>
      </c>
      <c r="C39" s="6" t="inlineStr">
        <is>
          <t>Regeneración natural</t>
        </is>
      </c>
      <c r="D39" s="7" t="inlineStr">
        <is>
          <t>Regular (10-50 pl./100m²)</t>
        </is>
      </c>
      <c r="E39" s="8" t="n"/>
      <c r="F39" s="8" t="n"/>
    </row>
    <row r="40">
      <c r="A40" s="6" t="inlineStr">
        <is>
          <t>Nivel general de erosión</t>
        </is>
      </c>
      <c r="B40" s="7" t="inlineStr">
        <is>
          <t>Moderada (surcos)</t>
        </is>
      </c>
      <c r="C40" s="6" t="inlineStr">
        <is>
          <t>N.° de cárcavas registradas</t>
        </is>
      </c>
      <c r="D40" s="50" t="inlineStr">
        <is>
          <t>2</t>
        </is>
      </c>
      <c r="E40" s="8" t="n"/>
      <c r="F40" s="8" t="n"/>
    </row>
    <row r="41">
      <c r="A41" s="6" t="inlineStr">
        <is>
          <t>Elenco florístico (n.° de taxones)</t>
        </is>
      </c>
      <c r="B41" s="7" t="n">
        <v>13</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50" t="inlineStr">
        <is>
          <t>Ing. Héctor Salomón Cahuas Miller — ANIN/DIME/SESDI</t>
        </is>
      </c>
      <c r="C44" s="6" t="inlineStr">
        <is>
          <t>Fecha de evaluación</t>
        </is>
      </c>
      <c r="D44" s="7" t="inlineStr">
        <is>
          <t>2026-07-16</t>
        </is>
      </c>
      <c r="E44" s="8" t="n"/>
      <c r="F44" s="8" t="n"/>
    </row>
    <row r="45">
      <c r="A45" s="6" t="inlineStr">
        <is>
          <t>Hora de registro</t>
        </is>
      </c>
      <c r="B45" s="50" t="inlineStr">
        <is>
          <t>13:35 - 15:21 h</t>
        </is>
      </c>
      <c r="C45" s="6" t="inlineStr">
        <is>
          <t>Correlativo de ficha</t>
        </is>
      </c>
      <c r="D45" s="50" t="inlineStr">
        <is>
          <t>Por registrar</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50" t="inlineStr">
        <is>
          <t>No instalada</t>
        </is>
      </c>
      <c r="E47" s="8" t="n"/>
      <c r="F47" s="8" t="n"/>
    </row>
    <row r="48">
      <c r="A48" s="6" t="inlineStr">
        <is>
          <t>Estaciones fotográficas georreferenciadas</t>
        </is>
      </c>
      <c r="B48" s="7" t="inlineStr">
        <is>
          <t>Sin registro en la ficha DT</t>
        </is>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50" t="inlineStr">
        <is>
          <t>Presión antrópica sostenida sobre laderas de fuerte pendiente, sin prácticas de conservación de suelos, asociada a la ocupación del caserío y a la actividad agropecuaria de subsistencia.</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37</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 · DN 5</t>
        </is>
      </c>
      <c r="B10" s="32" t="n">
        <v>26.7643</v>
      </c>
      <c r="C10" s="31">
        <f>ROUND(B10/$B$15*100,2)</f>
        <v/>
      </c>
      <c r="D10" s="12" t="inlineStr">
        <is>
          <t>Vigor alto</t>
        </is>
      </c>
      <c r="E10" s="12" t="inlineStr">
        <is>
          <t>Sobre umbral</t>
        </is>
      </c>
    </row>
    <row r="11">
      <c r="A11" s="13" t="inlineStr">
        <is>
          <t>0.4976 - 0.6139 · DN 4</t>
        </is>
      </c>
      <c r="B11" s="20" t="n">
        <v>8.0466</v>
      </c>
      <c r="C11" s="21">
        <f>ROUND(B11/$B$15*100,2)</f>
        <v/>
      </c>
      <c r="D11" s="14" t="inlineStr">
        <is>
          <t>Vigor moderado</t>
        </is>
      </c>
      <c r="E11" s="14" t="inlineStr">
        <is>
          <t>Sobre umbral</t>
        </is>
      </c>
    </row>
    <row r="12">
      <c r="A12" s="7" t="inlineStr">
        <is>
          <t>0.3813 - 0.4976 · DN 3</t>
        </is>
      </c>
      <c r="B12" s="18" t="n">
        <v>0.6802</v>
      </c>
      <c r="C12" s="19">
        <f>ROUND(B12/$B$15*100,2)</f>
        <v/>
      </c>
      <c r="D12" s="15" t="inlineStr">
        <is>
          <t>Vigor bajo</t>
        </is>
      </c>
      <c r="E12" s="15" t="inlineStr">
        <is>
          <t>BAJO umbral 0.4976</t>
        </is>
      </c>
    </row>
    <row r="13">
      <c r="A13" s="13" t="inlineStr">
        <is>
          <t>0.2650 - 0.3813 · DN 2</t>
        </is>
      </c>
      <c r="B13" s="20" t="n">
        <v>0</v>
      </c>
      <c r="C13" s="21">
        <f>ROUND(B13/$B$15*100,2)</f>
        <v/>
      </c>
      <c r="D13" s="14" t="inlineStr">
        <is>
          <t>Vigor muy bajo</t>
        </is>
      </c>
      <c r="E13" s="14" t="inlineStr">
        <is>
          <t>BAJO umbral 0.4976</t>
        </is>
      </c>
    </row>
    <row r="14">
      <c r="A14" s="7" t="inlineStr">
        <is>
          <t>&lt;= 0.2650 · DN 1</t>
        </is>
      </c>
      <c r="B14" s="18" t="n">
        <v>0</v>
      </c>
      <c r="C14" s="19">
        <f>ROUND(B14/$B$15*100,2)</f>
        <v/>
      </c>
      <c r="D14" s="15" t="inlineStr">
        <is>
          <t>Suelo desnudo / no vegetal</t>
        </is>
      </c>
      <c r="E14" s="15" t="inlineStr">
        <is>
          <t>BAJO umbral 0.4976</t>
        </is>
      </c>
    </row>
    <row r="15" ht="30" customHeight="1">
      <c r="A15" s="43" t="inlineStr">
        <is>
          <t>TOTAL CLASIFICADO MSAVI 2024</t>
        </is>
      </c>
      <c r="B15" s="44">
        <f>SUM(B10:B14)</f>
        <v/>
      </c>
      <c r="C15" s="45">
        <f>SUM(C10:C14)</f>
        <v/>
      </c>
      <c r="D15" s="43" t="inlineStr">
        <is>
          <t>Suma de la distribución areal · 83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35.49</v>
      </c>
      <c r="C18" s="49" t="inlineStr">
        <is>
          <t>—</t>
        </is>
      </c>
      <c r="D18" s="46" t="inlineStr">
        <is>
          <t>Desviación planimétrica frente al catálogo</t>
        </is>
      </c>
      <c r="E18" s="46" t="inlineStr">
        <is>
          <t>+0.00 %</t>
        </is>
      </c>
    </row>
    <row r="19">
      <c r="A19" s="16" t="inlineStr">
        <is>
          <t>MSAVI 2024 — MEDIA DEL BLOQUE</t>
        </is>
      </c>
      <c r="B19" s="17" t="n">
        <v>0.658846</v>
      </c>
      <c r="C19" s="17" t="inlineStr">
        <is>
          <t>—</t>
        </is>
      </c>
      <c r="D19" s="17" t="inlineStr">
        <is>
          <t>Vigor alto · clase &gt; 0.6139</t>
        </is>
      </c>
      <c r="E19" s="17" t="inlineStr">
        <is>
          <t>Sobre umbral</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83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(0.6588) se conserva del catálogo maestro y es dato oficial; la fila resaltada indica la clase en la que cae dicha media. Los totales y porcentajes se calculan con fórmulas sobre las filas del cuadro.</t>
        </is>
      </c>
      <c r="B21" s="41" t="n"/>
      <c r="C21" s="41" t="n"/>
      <c r="D21" s="41" t="n"/>
      <c r="E21" s="42"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34.798</v>
      </c>
      <c r="C25" s="19" t="n">
        <v>98.02</v>
      </c>
      <c r="D25" s="15" t="inlineStr">
        <is>
          <t>Dosel continuo, matorral denso o mosaico agroforestal</t>
        </is>
      </c>
      <c r="E25" s="15" t="inlineStr"/>
    </row>
    <row r="26">
      <c r="A26" s="13" t="inlineStr">
        <is>
          <t>Vegetación mediana</t>
        </is>
      </c>
      <c r="B26" s="20" t="n">
        <v>0.7019</v>
      </c>
      <c r="C26" s="21" t="n">
        <v>1.98</v>
      </c>
      <c r="D26" s="14" t="inlineStr">
        <is>
          <t>Pastizal cultivado, matorral ralo, parcelas agrícolas</t>
        </is>
      </c>
      <c r="E26" s="14" t="inlineStr"/>
    </row>
    <row r="27">
      <c r="A27" s="16" t="inlineStr">
        <is>
          <t>TOTAL CLASIFICADO</t>
        </is>
      </c>
      <c r="B27" s="22">
        <f>SUM(B25:B26)</f>
        <v/>
      </c>
      <c r="C27" s="23">
        <f>SUM(C25:C26)</f>
        <v/>
      </c>
      <c r="D27" s="17" t="inlineStr"/>
      <c r="E27" s="17" t="inlineStr"/>
    </row>
    <row r="28">
      <c r="A28" s="24" t="inlineStr">
        <is>
          <t>Superficie de catálogo (V5/V6)</t>
        </is>
      </c>
      <c r="B28" s="25" t="n">
        <v>35.49</v>
      </c>
      <c r="C28" s="25" t="inlineStr">
        <is>
          <t>—</t>
        </is>
      </c>
      <c r="D28" s="25" t="inlineStr">
        <is>
          <t>Desviación planimétrica frente al catálogo</t>
        </is>
      </c>
      <c r="E28" s="25" t="inlineStr">
        <is>
          <t>+0.03 %</t>
        </is>
      </c>
    </row>
    <row r="30" ht="108" customHeight="1">
      <c r="A30"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80 % frente a un 98.02 % del polígono clasificado como «Vegetación alta» por el NDVI 2025; la observación de campo corresponde a una parcela o recorrido puntual y no es estadísticamente representativa de las 35.490 ha del bloque.</t>
        </is>
      </c>
      <c r="B30" s="41" t="n"/>
      <c r="C30" s="41" t="n"/>
      <c r="D30" s="41" t="n"/>
      <c r="E30" s="42" t="n"/>
    </row>
  </sheetData>
  <mergeCells count="10">
    <mergeCell ref="A30:E30"/>
    <mergeCell ref="A21:E21"/>
    <mergeCell ref="A4:E4"/>
    <mergeCell ref="A2:E2"/>
    <mergeCell ref="A1:E1"/>
    <mergeCell ref="A23:E23"/>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0"/>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37</t>
        </is>
      </c>
    </row>
    <row r="6" ht="24" customHeight="1">
      <c r="A6" s="4" t="inlineStr">
        <is>
          <t>Levantamiento del 2026-07-16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645575</v>
      </c>
      <c r="D10" s="26" t="n">
        <v>9393500</v>
      </c>
      <c r="E10" s="15" t="n">
        <v>31203.6</v>
      </c>
      <c r="F10" s="15" t="inlineStr"/>
      <c r="G10" s="15" t="inlineStr">
        <is>
          <t>Coordenada consignada en F-DT-01</t>
        </is>
      </c>
    </row>
    <row r="11">
      <c r="A11" s="13" t="inlineStr">
        <is>
          <t>E-01</t>
        </is>
      </c>
      <c r="B11" s="14" t="inlineStr">
        <is>
          <t>Rasgo erosivo — Por determinar</t>
        </is>
      </c>
      <c r="C11" s="27" t="n">
        <v>649395</v>
      </c>
      <c r="D11" s="27" t="n">
        <v>9424549</v>
      </c>
      <c r="E11" s="14" t="n">
        <v>316.9</v>
      </c>
      <c r="F11" s="14" t="inlineStr">
        <is>
          <t>Activa</t>
        </is>
      </c>
      <c r="G11" s="14" t="inlineStr">
        <is>
          <t>Concentración natural de escorrentía</t>
        </is>
      </c>
    </row>
    <row r="12">
      <c r="A12" s="7" t="inlineStr">
        <is>
          <t>E-02</t>
        </is>
      </c>
      <c r="B12" s="15" t="inlineStr">
        <is>
          <t>Rasgo erosivo — Por determinar</t>
        </is>
      </c>
      <c r="C12" s="26" t="n">
        <v>649354</v>
      </c>
      <c r="D12" s="26" t="n">
        <v>9424357</v>
      </c>
      <c r="E12" s="15" t="n">
        <v>311</v>
      </c>
      <c r="F12" s="15" t="inlineStr">
        <is>
          <t>Activa</t>
        </is>
      </c>
      <c r="G12" s="15" t="inlineStr">
        <is>
          <t>Caminos / huellas de ganado</t>
        </is>
      </c>
    </row>
    <row r="13">
      <c r="A13" s="13" t="inlineStr">
        <is>
          <t>H-01</t>
        </is>
      </c>
      <c r="B13" s="14" t="inlineStr">
        <is>
          <t>Fuente de agua — Quebrada permanente</t>
        </is>
      </c>
      <c r="C13" s="27" t="n">
        <v>649413</v>
      </c>
      <c r="D13" s="27" t="n">
        <v>9424887</v>
      </c>
      <c r="E13" s="14" t="n">
        <v>505.4</v>
      </c>
      <c r="F13" s="14" t="inlineStr">
        <is>
          <t>Permanente</t>
        </is>
      </c>
      <c r="G13" s="14" t="inlineStr">
        <is>
          <t>Quebrada tributaria</t>
        </is>
      </c>
    </row>
    <row r="14">
      <c r="A14" s="7" t="inlineStr">
        <is>
          <t>B-03</t>
        </is>
      </c>
      <c r="B14" s="15" t="inlineStr">
        <is>
          <t>Especie clave — Piper sp. (Matico)</t>
        </is>
      </c>
      <c r="C14" s="26" t="n">
        <v>649453</v>
      </c>
      <c r="D14" s="26" t="n">
        <v>9424486</v>
      </c>
      <c r="E14" s="15" t="n">
        <v>372.5</v>
      </c>
      <c r="F14" s="15" t="inlineStr">
        <is>
          <t>Clave cultural</t>
        </is>
      </c>
      <c r="G14" s="15" t="inlineStr">
        <is>
          <t>NE</t>
        </is>
      </c>
    </row>
    <row r="15">
      <c r="A15" s="16" t="inlineStr">
        <is>
          <t>TOTAL: 5 puntos</t>
        </is>
      </c>
      <c r="B15" s="17" t="inlineStr"/>
      <c r="C15" s="17" t="inlineStr"/>
      <c r="D15" s="17" t="inlineStr"/>
      <c r="E15" s="17" t="inlineStr"/>
      <c r="F15" s="17" t="inlineStr"/>
      <c r="G15" s="17" t="inlineStr"/>
    </row>
    <row r="17">
      <c r="A17" s="6" t="inlineStr">
        <is>
          <t>Centroide del bloque — UTM ESTE (m)</t>
        </is>
      </c>
      <c r="B17" s="7" t="n">
        <v>649081</v>
      </c>
      <c r="C17" s="6" t="inlineStr">
        <is>
          <t>Centroide del bloque — UTM NORTE (m)</t>
        </is>
      </c>
      <c r="D17" s="7" t="n">
        <v>9424506</v>
      </c>
      <c r="E17" s="8" t="n"/>
      <c r="F17" s="8" t="n"/>
      <c r="G17" s="8" t="n"/>
      <c r="H17" s="8" t="n"/>
    </row>
    <row r="18">
      <c r="A18" s="6" t="inlineStr">
        <is>
          <t>N.° de estaciones fotográficas declaradas</t>
        </is>
      </c>
      <c r="B18" s="7" t="inlineStr">
        <is>
          <t>Sin registro en la ficha DT</t>
        </is>
      </c>
      <c r="C18" s="6" t="inlineStr">
        <is>
          <t>Estaciones dentro del polígono</t>
        </is>
      </c>
      <c r="D18" s="7" t="inlineStr">
        <is>
          <t>Por determinar</t>
        </is>
      </c>
      <c r="E18" s="8" t="n"/>
      <c r="F18" s="8" t="n"/>
      <c r="G18" s="8" t="n"/>
      <c r="H18" s="8" t="n"/>
    </row>
    <row r="20" ht="108" customHeight="1">
      <c r="A20"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Verificación de reconocimiento (16/07/2026). Las coordenadas del punto consignado corresponden a un punto representativo del recorrido; el bloque se caracterizó por transecto con múltiples waypoints. Centroide del bloque: 649081 E · 9424506 N. Altitud GPS no registrada en los rótulos; el perfil Google Earth indica un rango ≈1191-1431 msnm. Exposición dominante, reptación y deslizamientos antiguos: por verificar.</t>
        </is>
      </c>
      <c r="B20" s="41" t="n"/>
      <c r="C20" s="41" t="n"/>
      <c r="D20" s="41" t="n"/>
      <c r="E20" s="41" t="n"/>
      <c r="F20" s="41" t="n"/>
      <c r="G20" s="42" t="n"/>
    </row>
  </sheetData>
  <mergeCells count="8">
    <mergeCell ref="A1:G1"/>
    <mergeCell ref="A8:G8"/>
    <mergeCell ref="A3:G3"/>
    <mergeCell ref="A6:G6"/>
    <mergeCell ref="A4:G4"/>
    <mergeCell ref="A20:G20"/>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4"/>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C1081-Q9591 — BLOQUE 37</t>
        </is>
      </c>
    </row>
    <row r="6" ht="24" customHeight="1">
      <c r="A6" s="4" t="inlineStr">
        <is>
          <t>Distrito de Lalaquiz · Provincia de Huancabamba · Comparación de los bloques preliminares de intervención de la misma microcuenca</t>
        </is>
      </c>
    </row>
    <row r="8" ht="18" customHeight="1">
      <c r="A8" s="5" t="inlineStr">
        <is>
          <t>BLOQUES DE LA MICROCUENCA C1081-Q9591</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66</t>
        </is>
      </c>
      <c r="B10" s="28" t="n">
        <v>102.34</v>
      </c>
      <c r="C10" s="19" t="n">
        <v>18.53</v>
      </c>
      <c r="D10" s="15" t="inlineStr">
        <is>
          <t>1171 – 1769</t>
        </is>
      </c>
      <c r="E10" s="15" t="n">
        <v>598</v>
      </c>
      <c r="F10" s="15" t="n">
        <v>31.55</v>
      </c>
      <c r="G10" s="18" t="n">
        <v>0.6403</v>
      </c>
      <c r="H10" s="19" t="n">
        <v>94.08</v>
      </c>
      <c r="I10" s="19" t="n">
        <v>8.84</v>
      </c>
    </row>
    <row r="11">
      <c r="A11" s="13" t="inlineStr">
        <is>
          <t>M30B5</t>
        </is>
      </c>
      <c r="B11" s="29" t="n">
        <v>90.90000000000001</v>
      </c>
      <c r="C11" s="21" t="n">
        <v>16.46</v>
      </c>
      <c r="D11" s="14" t="inlineStr">
        <is>
          <t>1782 – 2307</t>
        </is>
      </c>
      <c r="E11" s="14" t="n">
        <v>525</v>
      </c>
      <c r="F11" s="14" t="n">
        <v>21.23</v>
      </c>
      <c r="G11" s="20" t="n">
        <v>0.5564</v>
      </c>
      <c r="H11" s="21" t="n">
        <v>79.45999999999999</v>
      </c>
      <c r="I11" s="21" t="n">
        <v>33.03</v>
      </c>
    </row>
    <row r="12">
      <c r="A12" s="7" t="inlineStr">
        <is>
          <t>21</t>
        </is>
      </c>
      <c r="B12" s="28" t="n">
        <v>84.23</v>
      </c>
      <c r="C12" s="19" t="n">
        <v>15.25</v>
      </c>
      <c r="D12" s="15" t="inlineStr">
        <is>
          <t>1353 – 2004</t>
        </is>
      </c>
      <c r="E12" s="15" t="n">
        <v>651</v>
      </c>
      <c r="F12" s="15" t="n">
        <v>31.71</v>
      </c>
      <c r="G12" s="18" t="n">
        <v>0.6201</v>
      </c>
      <c r="H12" s="19" t="n">
        <v>89.39</v>
      </c>
      <c r="I12" s="19" t="n">
        <v>5.17</v>
      </c>
    </row>
    <row r="13">
      <c r="A13" s="13" t="inlineStr">
        <is>
          <t>28</t>
        </is>
      </c>
      <c r="B13" s="29" t="n">
        <v>52.97</v>
      </c>
      <c r="C13" s="21" t="n">
        <v>9.59</v>
      </c>
      <c r="D13" s="14" t="inlineStr">
        <is>
          <t>1462 – 1856</t>
        </is>
      </c>
      <c r="E13" s="14" t="n">
        <v>394</v>
      </c>
      <c r="F13" s="14" t="n">
        <v>30.36</v>
      </c>
      <c r="G13" s="20" t="n">
        <v>0.6394</v>
      </c>
      <c r="H13" s="21" t="n">
        <v>96.64</v>
      </c>
      <c r="I13" s="21" t="n">
        <v>0.93</v>
      </c>
    </row>
    <row r="14">
      <c r="A14" s="7" t="inlineStr">
        <is>
          <t>26</t>
        </is>
      </c>
      <c r="B14" s="28" t="n">
        <v>46.96</v>
      </c>
      <c r="C14" s="19" t="n">
        <v>8.5</v>
      </c>
      <c r="D14" s="15" t="inlineStr">
        <is>
          <t>1260 – 1855</t>
        </is>
      </c>
      <c r="E14" s="15" t="n">
        <v>595</v>
      </c>
      <c r="F14" s="15" t="n">
        <v>32.26</v>
      </c>
      <c r="G14" s="18" t="n">
        <v>0.6733</v>
      </c>
      <c r="H14" s="19" t="n">
        <v>97.29000000000001</v>
      </c>
      <c r="I14" s="19" t="n">
        <v>2.35</v>
      </c>
    </row>
    <row r="15">
      <c r="A15" s="13" t="inlineStr">
        <is>
          <t>60</t>
        </is>
      </c>
      <c r="B15" s="29" t="n">
        <v>40.13</v>
      </c>
      <c r="C15" s="21" t="n">
        <v>7.27</v>
      </c>
      <c r="D15" s="14" t="inlineStr">
        <is>
          <t>1638 – 2073</t>
        </is>
      </c>
      <c r="E15" s="14" t="n">
        <v>435</v>
      </c>
      <c r="F15" s="14" t="n">
        <v>32.67</v>
      </c>
      <c r="G15" s="20" t="n">
        <v>0.6745</v>
      </c>
      <c r="H15" s="21" t="n">
        <v>99.90000000000001</v>
      </c>
      <c r="I15" s="21" t="n">
        <v>0.61</v>
      </c>
    </row>
    <row r="16">
      <c r="A16" s="7" t="inlineStr">
        <is>
          <t>64</t>
        </is>
      </c>
      <c r="B16" s="28" t="n">
        <v>35.77</v>
      </c>
      <c r="C16" s="19" t="n">
        <v>6.48</v>
      </c>
      <c r="D16" s="15" t="inlineStr">
        <is>
          <t>2412 – 2651</t>
        </is>
      </c>
      <c r="E16" s="15" t="n">
        <v>239</v>
      </c>
      <c r="F16" s="15" t="n">
        <v>28.18</v>
      </c>
      <c r="G16" s="18" t="n">
        <v>0.5254</v>
      </c>
      <c r="H16" s="19" t="n">
        <v>78.22</v>
      </c>
      <c r="I16" s="19" t="n">
        <v>41.48</v>
      </c>
    </row>
    <row r="17">
      <c r="A17" s="11" t="inlineStr">
        <is>
          <t>► 37</t>
        </is>
      </c>
      <c r="B17" s="30" t="n">
        <v>35.49</v>
      </c>
      <c r="C17" s="31" t="n">
        <v>6.43</v>
      </c>
      <c r="D17" s="12" t="inlineStr">
        <is>
          <t>1184 – 1455</t>
        </is>
      </c>
      <c r="E17" s="12" t="n">
        <v>271</v>
      </c>
      <c r="F17" s="12" t="n">
        <v>23.59</v>
      </c>
      <c r="G17" s="32" t="n">
        <v>0.6588000000000001</v>
      </c>
      <c r="H17" s="31" t="n">
        <v>98.02</v>
      </c>
      <c r="I17" s="31" t="n">
        <v>1.92</v>
      </c>
    </row>
    <row r="18">
      <c r="A18" s="7" t="inlineStr">
        <is>
          <t>30</t>
        </is>
      </c>
      <c r="B18" s="28" t="n">
        <v>34.87</v>
      </c>
      <c r="C18" s="19" t="n">
        <v>6.31</v>
      </c>
      <c r="D18" s="15" t="inlineStr">
        <is>
          <t>1216 – 1541</t>
        </is>
      </c>
      <c r="E18" s="15" t="n">
        <v>325</v>
      </c>
      <c r="F18" s="15" t="n">
        <v>27.91</v>
      </c>
      <c r="G18" s="18" t="n">
        <v>0.6637999999999999</v>
      </c>
      <c r="H18" s="19" t="n">
        <v>99.38</v>
      </c>
      <c r="I18" s="19" t="n">
        <v>1.31</v>
      </c>
    </row>
    <row r="19">
      <c r="A19" s="13" t="inlineStr">
        <is>
          <t>40</t>
        </is>
      </c>
      <c r="B19" s="29" t="n">
        <v>28.52</v>
      </c>
      <c r="C19" s="21" t="n">
        <v>5.16</v>
      </c>
      <c r="D19" s="14" t="inlineStr">
        <is>
          <t>1407 – 1656</t>
        </is>
      </c>
      <c r="E19" s="14" t="n">
        <v>249</v>
      </c>
      <c r="F19" s="14" t="n">
        <v>31.4</v>
      </c>
      <c r="G19" s="20" t="n">
        <v>0.6401</v>
      </c>
      <c r="H19" s="21" t="n">
        <v>99.55</v>
      </c>
      <c r="I19" s="21" t="n">
        <v>2.9</v>
      </c>
    </row>
    <row r="20">
      <c r="A20" s="16" t="inlineStr">
        <is>
          <t>TOTAL / PROMEDIO</t>
        </is>
      </c>
      <c r="B20" s="33">
        <f>SUM(B10:B19)</f>
        <v/>
      </c>
      <c r="C20" s="23">
        <f>SUM(C10:C19)</f>
        <v/>
      </c>
      <c r="D20" s="17" t="inlineStr">
        <is>
          <t>1171 – 2651</t>
        </is>
      </c>
      <c r="E20" s="17" t="inlineStr"/>
      <c r="F20" s="17">
        <f>ROUND(AVERAGE(F10:F19),2)</f>
        <v/>
      </c>
      <c r="G20" s="22">
        <f>ROUND(AVERAGE(G10:G19),4)</f>
        <v/>
      </c>
      <c r="H20" s="23">
        <f>ROUND(AVERAGE(H10:H19),2)</f>
        <v/>
      </c>
      <c r="I20" s="23">
        <f>ROUND(AVERAGE(I10:I19),2)</f>
        <v/>
      </c>
    </row>
    <row r="22" ht="84" customHeight="1">
      <c r="A22" s="9" t="inlineStr">
        <is>
          <t>LECTURA INTRAMICROCUENCA. El bloque 37 ocupa el puesto 8 de 10 por superficie dentro de la microcuenca C1081-Q9591 (6.43 % de las 552.18 ha preliminares de la microcuenca). Su pendiente promedio (23.59 %, clase «15-25% (Fuert. inclinado)») es la 2.ª más baja de 10 y se sitúa por debajo del promedio de la microcuenca (29.09 %). Su MSAVI 2024 (0.6588) es el 4.º de 10 y queda por encima del promedio local (0.6292). Amplitud altitudinal del bloque: 271 m (1184–1455 msnm). El cuadro conserva todos los bloques catalogados en la microcuenca, incluidos los descartados en el tamizaje, para referencia del conjunto. Los bloques sin ficha DT figuran con sus parámetros de gabinete. BRECHA ESPECTRAL. El 1.92 % de la superficie del bloque (0.680 ha de 35.491 ha) se sitúa bajo el umbral MSAVI 0.4976, por debajo del promedio local de la microcuenca (9.85 %) calculado sobre los bloques con dato MSAVI disponible.</t>
        </is>
      </c>
      <c r="B22" s="41" t="n"/>
      <c r="C22" s="41" t="n"/>
      <c r="D22" s="41" t="n"/>
      <c r="E22" s="41" t="n"/>
      <c r="F22" s="41" t="n"/>
      <c r="G22" s="41" t="n"/>
      <c r="H22" s="41" t="n"/>
      <c r="I22" s="42" t="n"/>
    </row>
    <row r="24" ht="60" customHeight="1">
      <c r="A24"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4" s="41" t="n"/>
      <c r="C24" s="41" t="n"/>
      <c r="D24" s="41" t="n"/>
      <c r="E24" s="41" t="n"/>
      <c r="F24" s="41" t="n"/>
      <c r="G24" s="41" t="n"/>
      <c r="H24" s="41" t="n"/>
      <c r="I24" s="42" t="n"/>
    </row>
  </sheetData>
  <mergeCells count="9">
    <mergeCell ref="A2:I2"/>
    <mergeCell ref="A5:I5"/>
    <mergeCell ref="A1:I1"/>
    <mergeCell ref="A8:I8"/>
    <mergeCell ref="A3:I3"/>
    <mergeCell ref="A6:I6"/>
    <mergeCell ref="A22:I22"/>
    <mergeCell ref="A4:I4"/>
    <mergeCell ref="A24:I2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1"/>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CONTROL DE CONSISTENCIA — BLOQUE 37</t>
        </is>
      </c>
    </row>
    <row r="6">
      <c r="A6" s="52" t="inlineStr">
        <is>
          <t>Cruce de la ficha de campo F-DT vigente con la ficha de resumen de gabinete y el catálogo maestro. Integración 2026-09-11 21:26:25.</t>
        </is>
      </c>
    </row>
    <row r="7">
      <c r="A7" s="54" t="inlineStr">
        <is>
          <t>DISCREPANCIAS Y VERIFICACIONES</t>
        </is>
      </c>
    </row>
    <row r="8">
      <c r="A8" s="55" t="inlineStr">
        <is>
          <t>Cod.</t>
        </is>
      </c>
      <c r="B8" s="55" t="inlineStr">
        <is>
          <t>Campo afectado</t>
        </is>
      </c>
      <c r="C8" s="55" t="inlineStr">
        <is>
          <t>Discrepancia observada</t>
        </is>
      </c>
      <c r="D8" s="55" t="inlineStr">
        <is>
          <t>Calificación</t>
        </is>
      </c>
      <c r="E8" s="55" t="inlineStr">
        <is>
          <t>Tratamiento adoptado</t>
        </is>
      </c>
    </row>
    <row r="9">
      <c r="A9" s="56" t="inlineStr">
        <is>
          <t>G-01</t>
        </is>
      </c>
      <c r="B9" s="56" t="inlineStr">
        <is>
          <t>Código de microcuenca</t>
        </is>
      </c>
      <c r="C9" s="56" t="inlineStr">
        <is>
          <t>Ficha DT y catálogo maestro coinciden en «C1081-Q9591».</t>
        </is>
      </c>
      <c r="D9" s="56" t="inlineStr">
        <is>
          <t>CONFORME</t>
        </is>
      </c>
      <c r="E9" s="56" t="inlineStr">
        <is>
          <t>Sin acción.</t>
        </is>
      </c>
    </row>
    <row r="10">
      <c r="A10" s="57" t="inlineStr">
        <is>
          <t>G-02</t>
        </is>
      </c>
      <c r="B10" s="57" t="inlineStr">
        <is>
          <t>UTM del punto de muestreo</t>
        </is>
      </c>
      <c r="C10" s="57" t="inlineStr">
        <is>
          <t>El punto de muestreo declarado dista 311.0 m del centroide, dentro del radio de control.</t>
        </is>
      </c>
      <c r="D10" s="57" t="inlineStr">
        <is>
          <t>CONFORME</t>
        </is>
      </c>
      <c r="E10" s="57" t="inlineStr">
        <is>
          <t>Sin acción.</t>
        </is>
      </c>
    </row>
    <row r="11">
      <c r="A11" s="56" t="inlineStr">
        <is>
          <t>G-03</t>
        </is>
      </c>
      <c r="B11" s="56" t="inlineStr">
        <is>
          <t>Sistema de referencia UTM 17S</t>
        </is>
      </c>
      <c r="C11" s="56" t="inlineStr">
        <is>
          <t>Verificación de rango para EPSG:32717: Conforme.</t>
        </is>
      </c>
      <c r="D11" s="56" t="inlineStr">
        <is>
          <t>CONFORME</t>
        </is>
      </c>
      <c r="E11" s="56" t="inlineStr">
        <is>
          <t>Sin acción.</t>
        </is>
      </c>
    </row>
    <row r="12">
      <c r="A12" s="57" t="inlineStr">
        <is>
          <t>G-04</t>
        </is>
      </c>
      <c r="B12" s="57" t="inlineStr">
        <is>
          <t>Altitud del punto de muestreo</t>
        </is>
      </c>
      <c r="C12" s="57" t="inlineStr">
        <is>
          <t>No es posible contrastar la altitud GPS con el rango altitudinal del bloque: falta uno de los dos datos.</t>
        </is>
      </c>
      <c r="D12" s="57" t="inlineStr">
        <is>
          <t>NO SUSTANTIVA</t>
        </is>
      </c>
      <c r="E12" s="57" t="inlineStr">
        <is>
          <t>Se completa con la lectura GPS de F-DT-01 o con la estadística zonal del MDE.</t>
        </is>
      </c>
    </row>
    <row r="13">
      <c r="A13" s="56" t="inlineStr">
        <is>
          <t>G-05</t>
        </is>
      </c>
      <c r="B13" s="56" t="inlineStr">
        <is>
          <t>Superficie NDVI vs. catálogo</t>
        </is>
      </c>
      <c r="C13" s="56" t="inlineStr">
        <is>
          <t>La superficie clasificada por el NDVI mediana 2025 (35.500 ha) se desvía 0.03 % de la superficie de catálogo (35.49 ha).</t>
        </is>
      </c>
      <c r="D13" s="56" t="inlineStr">
        <is>
          <t>CONFORME</t>
        </is>
      </c>
      <c r="E13" s="56" t="inlineStr">
        <is>
          <t>Sin acción: la segmentación valida la geometría del bloque.</t>
        </is>
      </c>
    </row>
    <row r="14">
      <c r="A14" s="57" t="inlineStr">
        <is>
          <t>G-06</t>
        </is>
      </c>
      <c r="B14" s="57" t="inlineStr">
        <is>
          <t>Superficie MSAVI vs. catálogo</t>
        </is>
      </c>
      <c r="C14" s="57" t="inlineStr">
        <is>
          <t>La superficie clasificada por el MSAVI 2024 (35.491 ha) se desvía 0.00 % de la superficie de catálogo (35.49 ha).</t>
        </is>
      </c>
      <c r="D14" s="57" t="inlineStr">
        <is>
          <t>CONFORME</t>
        </is>
      </c>
      <c r="E14" s="57" t="inlineStr">
        <is>
          <t>Sin acción: la segmentación valida la geometría del bloque.</t>
        </is>
      </c>
    </row>
    <row r="15">
      <c r="A15" s="56" t="inlineStr">
        <is>
          <t>G-07</t>
        </is>
      </c>
      <c r="B15" s="56" t="inlineStr">
        <is>
          <t>Brecha espectral MSAVI</t>
        </is>
      </c>
      <c r="C15" s="56" t="inlineStr">
        <is>
          <t>El 1.92 % del bloque queda bajo el umbral 0.4976; superficie de brecha 0.6802 ha.</t>
        </is>
      </c>
      <c r="D15" s="56" t="inlineStr">
        <is>
          <t>CONFORME</t>
        </is>
      </c>
      <c r="E15" s="56" t="inlineStr">
        <is>
          <t>Sin acción: alimenta el indicador de brecha del proyecto.</t>
        </is>
      </c>
    </row>
    <row r="16">
      <c r="A16" s="57" t="inlineStr">
        <is>
          <t>G-08</t>
        </is>
      </c>
      <c r="B16" s="57" t="inlineStr">
        <is>
          <t>Distribución areal MSAVI 2024</t>
        </is>
      </c>
      <c r="C16" s="57" t="inlineStr">
        <is>
          <t>La hoja de cobertura declara 5 clases DN con superficie, 35.49 ha clasificadas en total.</t>
        </is>
      </c>
      <c r="D16" s="57" t="inlineStr">
        <is>
          <t>CONFORME</t>
        </is>
      </c>
      <c r="E16" s="57" t="inlineStr">
        <is>
          <t>Sin acción: procede de la estadística zonal del raster MSAVI 2024 clasificado.</t>
        </is>
      </c>
    </row>
    <row r="17">
      <c r="A17" s="56" t="inlineStr">
        <is>
          <t>G-09</t>
        </is>
      </c>
      <c r="B17" s="56" t="inlineStr">
        <is>
          <t>Media MSAVI vs. clase DN dominante</t>
        </is>
      </c>
      <c r="C17" s="56" t="inlineStr">
        <is>
          <t>La media del bloque (0.6588) cae en la clase «&gt; 0.6139 (Vigor alto)» y la clase DN dominante por superficie es «DN 5 · &gt; 0.6139 (Vigor alto)».</t>
        </is>
      </c>
      <c r="D17" s="56" t="inlineStr">
        <is>
          <t>CONFORME</t>
        </is>
      </c>
      <c r="E17" s="56" t="inlineStr">
        <is>
          <t>Sin acción: media y clase dominante son coherentes.</t>
        </is>
      </c>
    </row>
    <row r="18">
      <c r="A18" s="57" t="inlineStr">
        <is>
          <t>G-10</t>
        </is>
      </c>
      <c r="B18" s="57" t="inlineStr">
        <is>
          <t>Peligro integrado (MCA-AHP)</t>
        </is>
      </c>
      <c r="C18" s="57" t="inlineStr">
        <is>
          <t>El nivel de peligro integrado no está disponible en los insumos de este entregable.</t>
        </is>
      </c>
      <c r="D18" s="57" t="inlineStr">
        <is>
          <t>SUSTANTIVA</t>
        </is>
      </c>
      <c r="E18" s="57" t="inlineStr">
        <is>
          <t>Debe tomarse del modelamiento de mesolocalización (MCA-AHP de PMM, EPH y PGI) antes de cerrar el perfil.</t>
        </is>
      </c>
    </row>
    <row r="19">
      <c r="A19" s="56" t="inlineStr">
        <is>
          <t>I-01</t>
        </is>
      </c>
      <c r="B19" s="56" t="inlineStr">
        <is>
          <t>Causa subyacente principal</t>
        </is>
      </c>
      <c r="C19" s="56" t="inlineStr">
        <is>
          <t>El libro de resumen V6 consignaba «Presión antrópica sostenida sobre laderas de fuerte pendiente, sin prácticas de conservación de suelos, asociada al caserío y a la trocha»; la ficha de campo vigente declara «Presión antrópica sostenida sobre laderas de fuerte pendiente, sin prácticas de conservación de suelos, asociada a la ocupación del caserío…».</t>
        </is>
      </c>
      <c r="D19" s="56" t="inlineStr">
        <is>
          <t>CORREGIDO</t>
        </is>
      </c>
      <c r="E19" s="56" t="inlineStr">
        <is>
          <t>Se adopta el valor de campo por ser la fuente que manda sobre el dato y la más reciente. El valor anterior queda declarado para trazabilidad.</t>
        </is>
      </c>
    </row>
    <row r="20">
      <c r="A20" s="57" t="inlineStr">
        <is>
          <t>I-02</t>
        </is>
      </c>
      <c r="B20" s="57" t="inlineStr">
        <is>
          <t>Responsable de la evaluación</t>
        </is>
      </c>
      <c r="C20" s="57" t="inlineStr">
        <is>
          <t>El libro de resumen V6 consignaba «Ing. Héctor S. Cahuas Miller»; la ficha de campo vigente declara «Ing. Héctor Salomón Cahuas Miller — ANIN/DIME/SESDI».</t>
        </is>
      </c>
      <c r="D20" s="57" t="inlineStr">
        <is>
          <t>CORREGIDO</t>
        </is>
      </c>
      <c r="E20" s="57" t="inlineStr">
        <is>
          <t>Se adopta el valor de campo por ser la fuente que manda sobre el dato y la más reciente. El valor anterior queda declarado para trazabilidad.</t>
        </is>
      </c>
    </row>
    <row r="21">
      <c r="A21" s="56" t="inlineStr">
        <is>
          <t>F-01</t>
        </is>
      </c>
      <c r="B21" s="56" t="inlineStr">
        <is>
          <t>Fichas F-DT levantadas</t>
        </is>
      </c>
      <c r="C21" s="56" t="inlineStr">
        <is>
          <t>La plantilla de campo trae las cinco fichas F-DT-01 a F-DT-05 (completitud 89.3 % de los campos esperados).</t>
        </is>
      </c>
      <c r="D21" s="56" t="inlineStr">
        <is>
          <t>CONFORME</t>
        </is>
      </c>
      <c r="E21" s="56" t="inlineStr">
        <is>
          <t>Sin acción.</t>
        </is>
      </c>
    </row>
    <row r="22">
      <c r="A22" s="57" t="inlineStr">
        <is>
          <t>F-02</t>
        </is>
      </c>
      <c r="B22" s="57" t="inlineStr">
        <is>
          <t>Cobertura de la integración</t>
        </is>
      </c>
      <c r="C22" s="57" t="inlineStr">
        <is>
          <t>Se declararon 82 de 114 hechos integrados (71.9 %); 32 quedan sin dato en ninguna fuente.</t>
        </is>
      </c>
      <c r="D22" s="57" t="inlineStr">
        <is>
          <t>CONFORME</t>
        </is>
      </c>
      <c r="E22" s="57" t="inlineStr">
        <is>
          <t>Sin acción.</t>
        </is>
      </c>
    </row>
    <row r="23">
      <c r="A23" s="56" t="inlineStr">
        <is>
          <t>H-01</t>
        </is>
      </c>
      <c r="B23" s="56" t="inlineStr">
        <is>
          <t>Rango de pendiente dominante</t>
        </is>
      </c>
      <c r="C23" s="56" t="inlineStr">
        <is>
          <t>La ficha DT declara «25-50% (Mod. escarpado)»; la estadística zonal sobre el MDE arroja una pendiente promedio de 23.59 %, que corresponde a la clase «15-25% (Fuert. inclinado)»</t>
        </is>
      </c>
      <c r="D23" s="56" t="inlineStr">
        <is>
          <t>NO SUSTANTIVA</t>
        </is>
      </c>
      <c r="E23" s="56"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24">
      <c r="A24" s="57" t="inlineStr">
        <is>
          <t>H-02</t>
        </is>
      </c>
      <c r="B24" s="57" t="inlineStr">
        <is>
          <t>Cobertura vegetal total</t>
        </is>
      </c>
      <c r="C24" s="57" t="inlineStr">
        <is>
          <t>La ficha DT estima 80 % de cobertura vegetal en campo; el NDVI mediana 2025 clasifica 100.00 % del polígono en clases de vegetación</t>
        </is>
      </c>
      <c r="D24" s="57" t="inlineStr">
        <is>
          <t>NO SUSTANTIVA</t>
        </is>
      </c>
      <c r="E24" s="57"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25">
      <c r="A25" s="56" t="inlineStr">
        <is>
          <t>H-03</t>
        </is>
      </c>
      <c r="B25" s="56" t="inlineStr">
        <is>
          <t>Dimensiones del inventario de cárcavas</t>
        </is>
      </c>
      <c r="C25" s="56" t="inlineStr">
        <is>
          <t>Se registran 2 rasgos erosivos, pero longitud, profundidad y ancho no fueron medidos instrumentalmente</t>
        </is>
      </c>
      <c r="D25" s="56" t="inlineStr">
        <is>
          <t>NO SUSTANTIVA</t>
        </is>
      </c>
      <c r="E25" s="56" t="inlineStr">
        <is>
          <t>El conteo registrado no debe usarse para calcular densidad de cárcavas por hectárea. Pendiente de levantamiento con GPS submétrico. (Verificación heredada de la ficha de resumen V6.)</t>
        </is>
      </c>
    </row>
    <row r="26">
      <c r="A26" s="57" t="inlineStr">
        <is>
          <t>H-04</t>
        </is>
      </c>
      <c r="B26" s="57" t="inlineStr">
        <is>
          <t>Elenco florístico</t>
        </is>
      </c>
      <c r="C26" s="57" t="inlineStr">
        <is>
          <t>La ficha registra 13 taxones, por debajo del mínimo de 15 que exige el formato V5</t>
        </is>
      </c>
      <c r="D26" s="57" t="inlineStr">
        <is>
          <t>SUSTANTIVA</t>
        </is>
      </c>
      <c r="E26" s="57" t="inlineStr">
        <is>
          <t>Registro florístico preliminar, sin colecta ni determinación botánica formal. Debe cerrarse con colecta botánica en la siguiente campaña. (Verificación heredada de la ficha de resumen V6.)</t>
        </is>
      </c>
    </row>
    <row r="27">
      <c r="A27" s="56" t="inlineStr">
        <is>
          <t>H-05</t>
        </is>
      </c>
      <c r="B27" s="56" t="inlineStr">
        <is>
          <t>Centro poblado asociado</t>
        </is>
      </c>
      <c r="C27" s="56" t="inlineStr">
        <is>
          <t>La ficha DT declara «El Papayo»; el cruce INEI-Bloques V5 identifica 1 centro(s) poblado(s) en el bloque: EL PAPAYO</t>
        </is>
      </c>
      <c r="D27" s="56" t="inlineStr">
        <is>
          <t>CONFORME</t>
        </is>
      </c>
      <c r="E27" s="56" t="inlineStr">
        <is>
          <t>Se conserva el registro de campo como referencia y se adopta el listado INEI para el diagnóstico social y el cálculo de población beneficiaria. (Verificación heredada de la ficha de resumen V6.)</t>
        </is>
      </c>
    </row>
    <row r="29">
      <c r="A29" s="58" t="inlineStr">
        <is>
          <t>RESUMEN</t>
        </is>
      </c>
      <c r="B29" s="59" t="inlineStr">
        <is>
          <t>19 verificaciones</t>
        </is>
      </c>
      <c r="C29" s="59" t="inlineStr">
        <is>
          <t>SUSTANTIVA: 2 · NO SUSTANTIVA: 4 · CORREGIDO: 2 · CONFORME: 11</t>
        </is>
      </c>
    </row>
    <row r="31">
      <c r="A31" s="60"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2:E2"/>
    <mergeCell ref="A1:E1"/>
    <mergeCell ref="A5:E5"/>
    <mergeCell ref="A31:E31"/>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INTEGRACIÓN DE LA FICHA DE CAMPO — BLOQUE 37</t>
        </is>
      </c>
    </row>
    <row r="7">
      <c r="A7" s="54" t="inlineStr">
        <is>
          <t>A. HECHOS ACTUALIZADOS POR LA VERIFICACIÓN DE CAMPO</t>
        </is>
      </c>
    </row>
    <row r="8">
      <c r="A8" s="55" t="inlineStr">
        <is>
          <t>Sección</t>
        </is>
      </c>
      <c r="B8" s="55" t="inlineStr">
        <is>
          <t>Hecho</t>
        </is>
      </c>
      <c r="C8" s="55" t="inlineStr">
        <is>
          <t>Valor en la ficha V6</t>
        </is>
      </c>
      <c r="D8" s="55" t="inlineStr">
        <is>
          <t>Valor de campo vigente</t>
        </is>
      </c>
      <c r="E8" s="55" t="inlineStr">
        <is>
          <t>Fuente que manda</t>
        </is>
      </c>
    </row>
    <row r="9">
      <c r="A9" s="56" t="inlineStr">
        <is>
          <t>6. Degradación, causas y urgencia (F-DT-04)</t>
        </is>
      </c>
      <c r="B9" s="56" t="inlineStr">
        <is>
          <t>Causa subyacente principal</t>
        </is>
      </c>
      <c r="C9" s="56" t="inlineStr">
        <is>
          <t>Presión antrópica sostenida sobre laderas de fuerte pendiente, sin prácticas de conservación de suelos, asociada al caserío y a la trocha</t>
        </is>
      </c>
      <c r="D9" s="56" t="inlineStr">
        <is>
          <t>Presión antrópica sostenida sobre laderas de fuerte pendiente, sin prácticas de conservación de suelos, asociada a la ocupación del caserío y a la actividad agropecuaria de subsistencia.</t>
        </is>
      </c>
      <c r="E9" s="56" t="inlineStr">
        <is>
          <t>Dato de campo</t>
        </is>
      </c>
    </row>
    <row r="10">
      <c r="A10" s="57" t="inlineStr">
        <is>
          <t>8. Responsable y modalidad de la evaluación</t>
        </is>
      </c>
      <c r="B10" s="57" t="inlineStr">
        <is>
          <t>Responsable de la evaluación</t>
        </is>
      </c>
      <c r="C10" s="57" t="inlineStr">
        <is>
          <t>Ing. Héctor S. Cahuas Miller</t>
        </is>
      </c>
      <c r="D10" s="57" t="inlineStr">
        <is>
          <t>Ing. Héctor Salomón Cahuas Miller — ANIN/DIME/SESDI</t>
        </is>
      </c>
      <c r="E10" s="57" t="inlineStr">
        <is>
          <t>Dato de campo</t>
        </is>
      </c>
    </row>
    <row r="12">
      <c r="A12" s="54" t="inlineStr">
        <is>
          <t>B. HECHOS APORTADOS ÚNICAMENTE POR LA FICHA DE CAMPO</t>
        </is>
      </c>
    </row>
    <row r="13">
      <c r="A13" s="55" t="inlineStr">
        <is>
          <t>Sección</t>
        </is>
      </c>
      <c r="B13" s="55" t="inlineStr">
        <is>
          <t>Hecho</t>
        </is>
      </c>
      <c r="C13" s="55" t="inlineStr">
        <is>
          <t>Valor</t>
        </is>
      </c>
      <c r="D13" s="55" t="inlineStr">
        <is>
          <t>Unidad</t>
        </is>
      </c>
    </row>
    <row r="14">
      <c r="A14" s="56" t="inlineStr">
        <is>
          <t>1. Identificación y localización</t>
        </is>
      </c>
      <c r="B14" s="56" t="inlineStr">
        <is>
          <t>UTM ESTE del punto de muestreo (m)</t>
        </is>
      </c>
      <c r="C14" s="56" t="inlineStr">
        <is>
          <t>649354</t>
        </is>
      </c>
      <c r="D14" s="56" t="inlineStr">
        <is>
          <t>m</t>
        </is>
      </c>
    </row>
    <row r="15">
      <c r="A15" s="57" t="inlineStr">
        <is>
          <t>1. Identificación y localización</t>
        </is>
      </c>
      <c r="B15" s="57" t="inlineStr">
        <is>
          <t>UTM NORTE del punto de muestreo (m)</t>
        </is>
      </c>
      <c r="C15" s="57" t="inlineStr">
        <is>
          <t>9424357</t>
        </is>
      </c>
      <c r="D15" s="57" t="inlineStr">
        <is>
          <t>m</t>
        </is>
      </c>
    </row>
    <row r="16">
      <c r="A16" s="56" t="inlineStr">
        <is>
          <t>2. Parámetros físicos del terreno</t>
        </is>
      </c>
      <c r="B16" s="56" t="inlineStr">
        <is>
          <t>Piso altitudinal del punto de muestreo</t>
        </is>
      </c>
      <c r="C16" s="56" t="inlineStr">
        <is>
          <t>1000-1500 m (Quechua baja)</t>
        </is>
      </c>
      <c r="D16" s="56" t="inlineStr"/>
    </row>
    <row r="17">
      <c r="A17" s="57" t="inlineStr">
        <is>
          <t>2. Parámetros físicos del terreno</t>
        </is>
      </c>
      <c r="B17" s="57" t="inlineStr">
        <is>
          <t>Paisaje dominante descrito en campo</t>
        </is>
      </c>
      <c r="C17" s="57" t="inlineStr">
        <is>
          <t>Laderas de colina-montaña de la vertiente occidental con matorral andino en regeneración, parcelas agrícolas en propiedad privada (con cercos) y el caserío El Papayo sobre el borde oriental, junto a quebrada tributaria.</t>
        </is>
      </c>
      <c r="D17" s="57" t="inlineStr"/>
    </row>
    <row r="18">
      <c r="A18" s="56" t="inlineStr">
        <is>
          <t>4. Suelos y erosión (F-DT-02)</t>
        </is>
      </c>
      <c r="B18" s="56" t="inlineStr">
        <is>
          <t>Nivel de erosión - síntesis de campo</t>
        </is>
      </c>
      <c r="C18" s="56" t="inlineStr">
        <is>
          <t>Moderada (surcos)</t>
        </is>
      </c>
      <c r="D18" s="56" t="inlineStr"/>
    </row>
    <row r="19">
      <c r="A19" s="57" t="inlineStr">
        <is>
          <t>4. Suelos y erosión (F-DT-02)</t>
        </is>
      </c>
      <c r="B19" s="57" t="inlineStr">
        <is>
          <t>Raíces expuestas</t>
        </is>
      </c>
      <c r="C19" s="57" t="inlineStr">
        <is>
          <t>Sí</t>
        </is>
      </c>
      <c r="D19" s="57" t="inlineStr"/>
    </row>
    <row r="20">
      <c r="A20" s="56" t="inlineStr">
        <is>
          <t>4. Suelos y erosión (F-DT-02)</t>
        </is>
      </c>
      <c r="B20" s="56" t="inlineStr">
        <is>
          <t>Patrón de cárcavas</t>
        </is>
      </c>
      <c r="C20" s="56" t="inlineStr">
        <is>
          <t>Aislado</t>
        </is>
      </c>
      <c r="D20" s="56" t="inlineStr"/>
    </row>
    <row r="21">
      <c r="A21" s="57" t="inlineStr">
        <is>
          <t>5. Ecosistema, cobertura y flora (F-DT-03)</t>
        </is>
      </c>
      <c r="B21" s="57" t="inlineStr">
        <is>
          <t>Presencia de epífitas</t>
        </is>
      </c>
      <c r="C21" s="57" t="inlineStr">
        <is>
          <t>Sí</t>
        </is>
      </c>
      <c r="D21" s="57" t="inlineStr"/>
    </row>
    <row r="22">
      <c r="A22" s="56" t="inlineStr">
        <is>
          <t>5. Ecosistema, cobertura y flora (F-DT-03)</t>
        </is>
      </c>
      <c r="B22" s="56" t="inlineStr">
        <is>
          <t>Fenología dominante</t>
        </is>
      </c>
      <c r="C22" s="56" t="inlineStr">
        <is>
          <t>Vegetativo</t>
        </is>
      </c>
      <c r="D22" s="56" t="inlineStr"/>
    </row>
    <row r="23">
      <c r="A23" s="57" t="inlineStr">
        <is>
          <t>5. Ecosistema, cobertura y flora (F-DT-03)</t>
        </is>
      </c>
      <c r="B23" s="57" t="inlineStr">
        <is>
          <t>Especies clave georreferenciadas</t>
        </is>
      </c>
      <c r="C23" s="57" t="inlineStr">
        <is>
          <t>3</t>
        </is>
      </c>
      <c r="D23" s="57" t="inlineStr"/>
    </row>
    <row r="24">
      <c r="A24" s="56" t="inlineStr">
        <is>
          <t>6. Degradación, causas y urgencia (F-DT-04)</t>
        </is>
      </c>
      <c r="B24" s="56" t="inlineStr">
        <is>
          <t>Causas directas de la degradación</t>
        </is>
      </c>
      <c r="C24" s="56" t="inlineStr">
        <is>
          <t>Ocupación de laderas y taludes de corte por el caserío El Papayo; expansión y mantenimiento de la trocha carrozable; cambio de uso a parcelas agrícolas y frutales; presencia de especies exóticas (grevilea, casuarina, agave).</t>
        </is>
      </c>
      <c r="D24" s="56" t="inlineStr"/>
    </row>
    <row r="25">
      <c r="A25" s="57" t="inlineStr">
        <is>
          <t>6. Degradación, causas y urgencia (F-DT-04)</t>
        </is>
      </c>
      <c r="B25" s="57" t="inlineStr">
        <is>
          <t>N.° de causas activas en la matriz F-DT-04</t>
        </is>
      </c>
      <c r="C25" s="57" t="inlineStr">
        <is>
          <t>3</t>
        </is>
      </c>
      <c r="D25" s="57" t="inlineStr"/>
    </row>
    <row r="26">
      <c r="A26" s="56" t="inlineStr">
        <is>
          <t>7. Hidrología, acceso y logística (F-DT-05)</t>
        </is>
      </c>
      <c r="B26" s="56" t="inlineStr">
        <is>
          <t>Escorrentía concentrada</t>
        </is>
      </c>
      <c r="C26" s="56" t="inlineStr">
        <is>
          <t>Sí</t>
        </is>
      </c>
      <c r="D26" s="56" t="inlineStr"/>
    </row>
    <row r="27">
      <c r="A27" s="57" t="inlineStr">
        <is>
          <t>7. Hidrología, acceso y logística (F-DT-05)</t>
        </is>
      </c>
      <c r="B27" s="57" t="inlineStr">
        <is>
          <t>Fuentes de agua inventariadas</t>
        </is>
      </c>
      <c r="C27" s="57" t="inlineStr">
        <is>
          <t>1</t>
        </is>
      </c>
      <c r="D27" s="57" t="inlineStr"/>
    </row>
    <row r="28">
      <c r="A28" s="56" t="inlineStr">
        <is>
          <t>7. Hidrología, acceso y logística (F-DT-05)</t>
        </is>
      </c>
      <c r="B28" s="56" t="inlineStr">
        <is>
          <t>Vía principal de acceso</t>
        </is>
      </c>
      <c r="C28" s="56" t="inlineStr">
        <is>
          <t>Trocha carrozable de acceso al caserío El Papayo</t>
        </is>
      </c>
      <c r="D28" s="56" t="inlineStr"/>
    </row>
    <row r="29">
      <c r="A29" s="57" t="inlineStr">
        <is>
          <t>7. Hidrología, acceso y logística (F-DT-05)</t>
        </is>
      </c>
      <c r="B29" s="57" t="inlineStr">
        <is>
          <t>Tipo de vía del tramo final</t>
        </is>
      </c>
      <c r="C29" s="57" t="inlineStr">
        <is>
          <t>Trocha carrozable</t>
        </is>
      </c>
      <c r="D29" s="57" t="inlineStr"/>
    </row>
    <row r="30">
      <c r="A30" s="56" t="inlineStr">
        <is>
          <t>7. Hidrología, acceso y logística (F-DT-05)</t>
        </is>
      </c>
      <c r="B30" s="56" t="inlineStr">
        <is>
          <t>Transitabilidad en época seca</t>
        </is>
      </c>
      <c r="C30" s="56" t="inlineStr">
        <is>
          <t>Medio</t>
        </is>
      </c>
      <c r="D30" s="56" t="inlineStr"/>
    </row>
    <row r="32">
      <c r="A32" s="54" t="inlineStr">
        <is>
          <t>C. PROCEDENCIA DE LOS HECHOS DECLARADOS</t>
        </is>
      </c>
    </row>
    <row r="33">
      <c r="A33" s="55" t="inlineStr">
        <is>
          <t>Fuente</t>
        </is>
      </c>
      <c r="B33" s="55" t="inlineStr">
        <is>
          <t>Hechos</t>
        </is>
      </c>
      <c r="C33" s="55" t="inlineStr">
        <is>
          <t>Alcance de la fuente</t>
        </is>
      </c>
    </row>
    <row r="34">
      <c r="A34" s="56" t="inlineStr">
        <is>
          <t>Dato de campo</t>
        </is>
      </c>
      <c r="B34" s="56" t="n">
        <v>43</v>
      </c>
      <c r="C34" s="56" t="inlineStr">
        <is>
          <t>Verificación en campo. Fichas F-DT-01 a F-DT-05 de la Plantilla DT Campo Check Validada V5, suscritas por el evaluador.</t>
        </is>
      </c>
    </row>
    <row r="35">
      <c r="A35" s="57" t="inlineStr">
        <is>
          <t>Gabinete (GIS / teledetección)</t>
        </is>
      </c>
      <c r="B35" s="57" t="n">
        <v>25</v>
      </c>
      <c r="C35" s="57" t="inlineStr">
        <is>
          <t>Gabinete. Estadística zonal sobre el MDE y compuestos Sentinel-2 (NDVI mediana 2025, MSAVI 2024 por clase DN).</t>
        </is>
      </c>
    </row>
    <row r="36">
      <c r="A36" s="56" t="inlineStr">
        <is>
          <t>Fuente oficial</t>
        </is>
      </c>
      <c r="B36" s="56" t="n">
        <v>14</v>
      </c>
      <c r="C36" s="56" t="inlineStr">
        <is>
          <t>Fuente oficial. Catálogo maestro Bloques V5/V6, división política INEI y codificación de microcuencas de la ANA.</t>
        </is>
      </c>
    </row>
    <row r="38">
      <c r="A38" s="54" t="inlineStr">
        <is>
          <t>D. ESTADO DEL CRUCE ENTRE FUENTES</t>
        </is>
      </c>
    </row>
    <row r="39">
      <c r="A39" s="55" t="inlineStr">
        <is>
          <t>Estado</t>
        </is>
      </c>
      <c r="B39" s="55" t="inlineStr">
        <is>
          <t>Hechos</t>
        </is>
      </c>
      <c r="C39" s="55" t="inlineStr">
        <is>
          <t>Significado</t>
        </is>
      </c>
    </row>
    <row r="40">
      <c r="A40" s="56" t="inlineStr">
        <is>
          <t>CONFORME</t>
        </is>
      </c>
      <c r="B40" s="56" t="n">
        <v>76</v>
      </c>
      <c r="C40" s="56" t="inlineStr">
        <is>
          <t>Las dos fuentes declaran lo mismo, o solo la fuente que manda sobre el hecho lo declara.</t>
        </is>
      </c>
    </row>
    <row r="41">
      <c r="A41" s="57" t="inlineStr">
        <is>
          <t>COMPLEMENTADO</t>
        </is>
      </c>
      <c r="B41" s="57" t="n">
        <v>4</v>
      </c>
      <c r="C41" s="57" t="inlineStr">
        <is>
          <t>Solo una de las fuentes lo declara y se adopta ese valor.</t>
        </is>
      </c>
    </row>
    <row r="42">
      <c r="A42" s="56" t="inlineStr">
        <is>
          <t>ACTUALIZADO</t>
        </is>
      </c>
      <c r="B42" s="56" t="n">
        <v>2</v>
      </c>
      <c r="C42" s="56" t="inlineStr">
        <is>
          <t>La verificación de campo vigente corrige lo que traía el libro de resumen.</t>
        </is>
      </c>
    </row>
    <row r="43">
      <c r="A43" s="57" t="inlineStr">
        <is>
          <t>DISCREPANTE</t>
        </is>
      </c>
      <c r="B43" s="57" t="n">
        <v>0</v>
      </c>
      <c r="C43" s="57" t="inlineStr">
        <is>
          <t>Las fuentes se contradicen; prevalece la que manda sobre el hecho y la otra queda declarada.</t>
        </is>
      </c>
    </row>
    <row r="44">
      <c r="A44" s="56" t="inlineStr">
        <is>
          <t>PENDIENTE</t>
        </is>
      </c>
      <c r="B44" s="56" t="n">
        <v>32</v>
      </c>
      <c r="C44" s="56"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4"/>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REGISTRO DE CAMPO F-DT-01 A F-DT-05 — BLOQUE 37</t>
        </is>
      </c>
    </row>
    <row r="7">
      <c r="A7" s="54" t="inlineStr">
        <is>
          <t>F-DT-02 · INVENTARIO DE CÁRCAVAS</t>
        </is>
      </c>
    </row>
    <row r="8">
      <c r="A8" s="55" t="inlineStr">
        <is>
          <t>Código</t>
        </is>
      </c>
      <c r="B8" s="55" t="inlineStr">
        <is>
          <t>Tipo</t>
        </is>
      </c>
      <c r="C8" s="55" t="inlineStr">
        <is>
          <t>UTM E ini.</t>
        </is>
      </c>
      <c r="D8" s="55" t="inlineStr">
        <is>
          <t>UTM N ini.</t>
        </is>
      </c>
      <c r="E8" s="55" t="inlineStr">
        <is>
          <t>Longitud (m)</t>
        </is>
      </c>
      <c r="F8" s="55" t="inlineStr">
        <is>
          <t>Prof. (m)</t>
        </is>
      </c>
      <c r="G8" s="55" t="inlineStr">
        <is>
          <t>Ancho (m)</t>
        </is>
      </c>
      <c r="H8" s="55" t="inlineStr">
        <is>
          <t>Estado</t>
        </is>
      </c>
      <c r="I8" s="55" t="inlineStr">
        <is>
          <t>Causa</t>
        </is>
      </c>
    </row>
    <row r="9">
      <c r="A9" s="56" t="inlineStr">
        <is>
          <t>E-01</t>
        </is>
      </c>
      <c r="B9" s="56" t="inlineStr">
        <is>
          <t>Cárcava incipiente (30-50 cm)</t>
        </is>
      </c>
      <c r="C9" s="61" t="n">
        <v>649395</v>
      </c>
      <c r="D9" s="61" t="n">
        <v>9424549</v>
      </c>
      <c r="E9" s="56" t="n"/>
      <c r="F9" s="56" t="n"/>
      <c r="G9" s="56" t="n"/>
      <c r="H9" s="56" t="inlineStr">
        <is>
          <t>Activa</t>
        </is>
      </c>
      <c r="I9" s="56" t="inlineStr">
        <is>
          <t>Concentración natural de escorrentía</t>
        </is>
      </c>
    </row>
    <row r="10">
      <c r="A10" s="57" t="inlineStr">
        <is>
          <t>E-02</t>
        </is>
      </c>
      <c r="B10" s="57" t="inlineStr">
        <is>
          <t>Surco (&lt;30 cm)</t>
        </is>
      </c>
      <c r="C10" s="62" t="n">
        <v>649354</v>
      </c>
      <c r="D10" s="62" t="n">
        <v>9424357</v>
      </c>
      <c r="E10" s="57" t="n"/>
      <c r="F10" s="57" t="n"/>
      <c r="G10" s="57" t="n"/>
      <c r="H10" s="57" t="inlineStr">
        <is>
          <t>Activa</t>
        </is>
      </c>
      <c r="I10" s="57" t="inlineStr">
        <is>
          <t>Caminos / huellas de ganado</t>
        </is>
      </c>
    </row>
    <row r="12">
      <c r="A12" s="54" t="inlineStr">
        <is>
          <t>F-DT-03 · ELENCO FLORÍSTICO</t>
        </is>
      </c>
    </row>
    <row r="13">
      <c r="A13" s="55" t="inlineStr">
        <is>
          <t>N.o</t>
        </is>
      </c>
      <c r="B13" s="55" t="inlineStr">
        <is>
          <t>Nombre común</t>
        </is>
      </c>
      <c r="C13" s="55" t="inlineStr">
        <is>
          <t>Nombre científico</t>
        </is>
      </c>
      <c r="D13" s="55" t="inlineStr">
        <is>
          <t>Familia</t>
        </is>
      </c>
      <c r="E13" s="55" t="inlineStr">
        <is>
          <t>Estrato</t>
        </is>
      </c>
      <c r="F13" s="55" t="inlineStr">
        <is>
          <t>Origen</t>
        </is>
      </c>
      <c r="G13" s="55" t="inlineStr">
        <is>
          <t>Abundancia</t>
        </is>
      </c>
      <c r="H13" s="55" t="inlineStr">
        <is>
          <t>DAP (cm)</t>
        </is>
      </c>
      <c r="I13" s="55" t="inlineStr">
        <is>
          <t>Altura (m)</t>
        </is>
      </c>
    </row>
    <row r="14">
      <c r="A14" s="56" t="inlineStr">
        <is>
          <t>1</t>
        </is>
      </c>
      <c r="B14" s="56" t="inlineStr">
        <is>
          <t>Molle</t>
        </is>
      </c>
      <c r="C14" s="56" t="inlineStr">
        <is>
          <t>Schinus molle</t>
        </is>
      </c>
      <c r="D14" s="56" t="inlineStr">
        <is>
          <t>Anacardiaceae</t>
        </is>
      </c>
      <c r="E14" s="56" t="inlineStr">
        <is>
          <t>Arbóreo bajo (4-8 m)</t>
        </is>
      </c>
      <c r="F14" s="56" t="inlineStr">
        <is>
          <t>Nativa</t>
        </is>
      </c>
      <c r="G14" s="56" t="inlineStr">
        <is>
          <t>Ocasional (1-5%)</t>
        </is>
      </c>
      <c r="H14" s="56" t="n"/>
      <c r="I14" s="56" t="n"/>
    </row>
    <row r="15">
      <c r="A15" s="57" t="inlineStr">
        <is>
          <t>2</t>
        </is>
      </c>
      <c r="B15" s="57" t="inlineStr">
        <is>
          <t>Chirimoyo silvestre</t>
        </is>
      </c>
      <c r="C15" s="57" t="inlineStr">
        <is>
          <t>Annona sp.</t>
        </is>
      </c>
      <c r="D15" s="57" t="inlineStr">
        <is>
          <t>Annonaceae</t>
        </is>
      </c>
      <c r="E15" s="57" t="inlineStr">
        <is>
          <t>Arbóreo bajo (4-8 m)</t>
        </is>
      </c>
      <c r="F15" s="57" t="inlineStr">
        <is>
          <t>Nativa</t>
        </is>
      </c>
      <c r="G15" s="57" t="inlineStr">
        <is>
          <t>Ocasional (1-5%)</t>
        </is>
      </c>
      <c r="H15" s="57" t="n"/>
      <c r="I15" s="57" t="n"/>
    </row>
    <row r="16">
      <c r="A16" s="56" t="inlineStr">
        <is>
          <t>3</t>
        </is>
      </c>
      <c r="B16" s="56" t="inlineStr">
        <is>
          <t>Pacae</t>
        </is>
      </c>
      <c r="C16" s="56" t="inlineStr">
        <is>
          <t>Inga sp.</t>
        </is>
      </c>
      <c r="D16" s="56" t="inlineStr">
        <is>
          <t>Fabaceae</t>
        </is>
      </c>
      <c r="E16" s="56" t="inlineStr">
        <is>
          <t>Arbóreo medio (8-15 m)</t>
        </is>
      </c>
      <c r="F16" s="56" t="inlineStr">
        <is>
          <t>Nativa</t>
        </is>
      </c>
      <c r="G16" s="56" t="inlineStr">
        <is>
          <t>Ocasional (1-5%)</t>
        </is>
      </c>
      <c r="H16" s="56" t="n"/>
      <c r="I16" s="56" t="n"/>
    </row>
    <row r="17">
      <c r="A17" s="57" t="inlineStr">
        <is>
          <t>4</t>
        </is>
      </c>
      <c r="B17" s="57" t="inlineStr">
        <is>
          <t>Matico</t>
        </is>
      </c>
      <c r="C17" s="57" t="inlineStr">
        <is>
          <t>Piper sp.</t>
        </is>
      </c>
      <c r="D17" s="57" t="inlineStr">
        <is>
          <t>Piperaceae</t>
        </is>
      </c>
      <c r="E17" s="57" t="inlineStr">
        <is>
          <t>Arbustivo alto (1.5-4 m)</t>
        </is>
      </c>
      <c r="F17" s="57" t="inlineStr">
        <is>
          <t>Nativa</t>
        </is>
      </c>
      <c r="G17" s="57" t="inlineStr">
        <is>
          <t>Ocasional (1-5%)</t>
        </is>
      </c>
      <c r="H17" s="57" t="n"/>
      <c r="I17" s="57" t="n"/>
    </row>
    <row r="18">
      <c r="A18" s="56" t="inlineStr">
        <is>
          <t>5</t>
        </is>
      </c>
      <c r="B18" s="56" t="inlineStr">
        <is>
          <t>Chilca</t>
        </is>
      </c>
      <c r="C18" s="56" t="inlineStr">
        <is>
          <t>Baccharis sp.</t>
        </is>
      </c>
      <c r="D18" s="56" t="inlineStr">
        <is>
          <t>Asteraceae</t>
        </is>
      </c>
      <c r="E18" s="56" t="inlineStr">
        <is>
          <t>Arbustivo bajo (0.5-1.5 m)</t>
        </is>
      </c>
      <c r="F18" s="56" t="inlineStr">
        <is>
          <t>Nativa</t>
        </is>
      </c>
      <c r="G18" s="56" t="inlineStr">
        <is>
          <t>Frecuente (5-20%)</t>
        </is>
      </c>
      <c r="H18" s="56" t="n"/>
      <c r="I18" s="56" t="n"/>
    </row>
    <row r="19">
      <c r="A19" s="57" t="inlineStr">
        <is>
          <t>6</t>
        </is>
      </c>
      <c r="B19" s="57" t="inlineStr">
        <is>
          <t>Tabaco silvestre</t>
        </is>
      </c>
      <c r="C19" s="57" t="inlineStr">
        <is>
          <t>Nicotiana sp.</t>
        </is>
      </c>
      <c r="D19" s="57" t="inlineStr">
        <is>
          <t>Solanaceae</t>
        </is>
      </c>
      <c r="E19" s="57" t="inlineStr">
        <is>
          <t>Arbustivo bajo (0.5-1.5 m)</t>
        </is>
      </c>
      <c r="F19" s="57" t="inlineStr">
        <is>
          <t>Nativa</t>
        </is>
      </c>
      <c r="G19" s="57" t="inlineStr">
        <is>
          <t>Ocasional (1-5%)</t>
        </is>
      </c>
      <c r="H19" s="57" t="n"/>
      <c r="I19" s="57" t="n"/>
    </row>
    <row r="20">
      <c r="A20" s="56" t="inlineStr">
        <is>
          <t>7</t>
        </is>
      </c>
      <c r="B20" s="56" t="inlineStr">
        <is>
          <t>Bambú / caña</t>
        </is>
      </c>
      <c r="C20" s="56" t="inlineStr">
        <is>
          <t>Bambusoideae (indet.)</t>
        </is>
      </c>
      <c r="D20" s="56" t="inlineStr">
        <is>
          <t>Poaceae</t>
        </is>
      </c>
      <c r="E20" s="56" t="inlineStr"/>
      <c r="F20" s="56" t="inlineStr"/>
      <c r="G20" s="56" t="inlineStr">
        <is>
          <t>Ocasional (1-5%)</t>
        </is>
      </c>
      <c r="H20" s="56" t="n"/>
      <c r="I20" s="56" t="n"/>
    </row>
    <row r="21">
      <c r="A21" s="57" t="inlineStr">
        <is>
          <t>8</t>
        </is>
      </c>
      <c r="B21" s="57" t="inlineStr">
        <is>
          <t>Helechos</t>
        </is>
      </c>
      <c r="C21" s="57" t="inlineStr">
        <is>
          <t>Pteridophyta (indet.)</t>
        </is>
      </c>
      <c r="D21" s="57" t="inlineStr"/>
      <c r="E21" s="57" t="inlineStr">
        <is>
          <t>Herbáceo (&lt;0.5 m)</t>
        </is>
      </c>
      <c r="F21" s="57" t="inlineStr">
        <is>
          <t>Nativa</t>
        </is>
      </c>
      <c r="G21" s="57" t="inlineStr">
        <is>
          <t>Frecuente (5-20%)</t>
        </is>
      </c>
      <c r="H21" s="57" t="n"/>
      <c r="I21" s="57" t="n"/>
    </row>
    <row r="22">
      <c r="A22" s="56" t="inlineStr">
        <is>
          <t>9</t>
        </is>
      </c>
      <c r="B22" s="56" t="inlineStr">
        <is>
          <t>Bromeliáceas epífitas</t>
        </is>
      </c>
      <c r="C22" s="56" t="inlineStr">
        <is>
          <t>Bromeliaceae (indet.)</t>
        </is>
      </c>
      <c r="D22" s="56" t="inlineStr">
        <is>
          <t>Bromeliaceae</t>
        </is>
      </c>
      <c r="E22" s="56" t="inlineStr">
        <is>
          <t>Epífito</t>
        </is>
      </c>
      <c r="F22" s="56" t="inlineStr">
        <is>
          <t>Nativa</t>
        </is>
      </c>
      <c r="G22" s="56" t="inlineStr">
        <is>
          <t>Ocasional (1-5%)</t>
        </is>
      </c>
      <c r="H22" s="56" t="n"/>
      <c r="I22" s="56" t="n"/>
    </row>
    <row r="23">
      <c r="A23" s="57" t="inlineStr">
        <is>
          <t>10</t>
        </is>
      </c>
      <c r="B23" s="57" t="inlineStr">
        <is>
          <t>Roble</t>
        </is>
      </c>
      <c r="C23" s="57" t="inlineStr"/>
      <c r="D23" s="57" t="inlineStr"/>
      <c r="E23" s="57" t="inlineStr"/>
      <c r="F23" s="57" t="inlineStr"/>
      <c r="G23" s="57" t="inlineStr">
        <is>
          <t>Rara (&lt;1%)</t>
        </is>
      </c>
      <c r="H23" s="57" t="n"/>
      <c r="I23" s="57" t="n"/>
    </row>
    <row r="24">
      <c r="A24" s="56" t="inlineStr">
        <is>
          <t>11</t>
        </is>
      </c>
      <c r="B24" s="56" t="inlineStr">
        <is>
          <t>Grevilea</t>
        </is>
      </c>
      <c r="C24" s="56" t="inlineStr">
        <is>
          <t>Grevillea robusta</t>
        </is>
      </c>
      <c r="D24" s="56" t="inlineStr">
        <is>
          <t>Proteaceae</t>
        </is>
      </c>
      <c r="E24" s="56" t="inlineStr">
        <is>
          <t>Arbóreo medio (8-15 m)</t>
        </is>
      </c>
      <c r="F24" s="56" t="inlineStr">
        <is>
          <t>Introducida</t>
        </is>
      </c>
      <c r="G24" s="56" t="inlineStr">
        <is>
          <t>Ocasional (1-5%)</t>
        </is>
      </c>
      <c r="H24" s="56" t="n"/>
      <c r="I24" s="56" t="n"/>
    </row>
    <row r="25">
      <c r="A25" s="57" t="inlineStr">
        <is>
          <t>12</t>
        </is>
      </c>
      <c r="B25" s="57" t="inlineStr">
        <is>
          <t>Casuarina</t>
        </is>
      </c>
      <c r="C25" s="57" t="inlineStr">
        <is>
          <t>Casuarina equisetifolia</t>
        </is>
      </c>
      <c r="D25" s="57" t="inlineStr">
        <is>
          <t>Casuarinaceae</t>
        </is>
      </c>
      <c r="E25" s="57" t="inlineStr">
        <is>
          <t>Arbóreo medio (8-15 m)</t>
        </is>
      </c>
      <c r="F25" s="57" t="inlineStr">
        <is>
          <t>Introducida</t>
        </is>
      </c>
      <c r="G25" s="57" t="inlineStr">
        <is>
          <t>Rara (&lt;1%)</t>
        </is>
      </c>
      <c r="H25" s="57" t="n"/>
      <c r="I25" s="57" t="n"/>
    </row>
    <row r="26">
      <c r="A26" s="56" t="inlineStr">
        <is>
          <t>13</t>
        </is>
      </c>
      <c r="B26" s="56" t="inlineStr">
        <is>
          <t>Agave</t>
        </is>
      </c>
      <c r="C26" s="56" t="inlineStr">
        <is>
          <t>Agave sp.</t>
        </is>
      </c>
      <c r="D26" s="56" t="inlineStr">
        <is>
          <t>Asparagaceae</t>
        </is>
      </c>
      <c r="E26" s="56" t="inlineStr">
        <is>
          <t>Arbustivo bajo (0.5-1.5 m)</t>
        </is>
      </c>
      <c r="F26" s="56" t="inlineStr">
        <is>
          <t>Introducida</t>
        </is>
      </c>
      <c r="G26" s="56" t="inlineStr">
        <is>
          <t>Ocasional (1-5%)</t>
        </is>
      </c>
      <c r="H26" s="56" t="n"/>
      <c r="I26" s="56" t="n"/>
    </row>
    <row r="28">
      <c r="A28" s="54" t="inlineStr">
        <is>
          <t>F-DT-03 · ESPECIES CLAVE GEORREFERENCIADAS</t>
        </is>
      </c>
    </row>
    <row r="29">
      <c r="A29" s="55" t="inlineStr">
        <is>
          <t>N.o</t>
        </is>
      </c>
      <c r="B29" s="55" t="inlineStr">
        <is>
          <t>Especie</t>
        </is>
      </c>
      <c r="C29" s="55" t="inlineStr">
        <is>
          <t>Categoría</t>
        </is>
      </c>
      <c r="D29" s="55" t="inlineStr">
        <is>
          <t>Estado UICN</t>
        </is>
      </c>
      <c r="E29" s="55" t="inlineStr">
        <is>
          <t>UTM ESTE</t>
        </is>
      </c>
      <c r="F29" s="55" t="inlineStr">
        <is>
          <t>UTM NORTE</t>
        </is>
      </c>
      <c r="G29" s="55" t="inlineStr">
        <is>
          <t>N.° individuos</t>
        </is>
      </c>
      <c r="H29" s="55" t="inlineStr">
        <is>
          <t>Observación</t>
        </is>
      </c>
    </row>
    <row r="30">
      <c r="A30" s="56" t="inlineStr">
        <is>
          <t>1</t>
        </is>
      </c>
      <c r="B30" s="56" t="inlineStr">
        <is>
          <t>Juglans sp. (Nogal)</t>
        </is>
      </c>
      <c r="C30" s="56" t="inlineStr">
        <is>
          <t>Amenazada (D.S. 043-2006-AG)</t>
        </is>
      </c>
      <c r="D30" s="56" t="inlineStr"/>
      <c r="E30" s="56" t="n"/>
      <c r="F30" s="56" t="n"/>
      <c r="G30" s="56" t="n"/>
      <c r="H30" s="56" t="inlineStr">
        <is>
          <t>Referencia de pobladores; no observado directamente en el recorrido; por verificar.</t>
        </is>
      </c>
    </row>
    <row r="31">
      <c r="A31" s="57" t="inlineStr">
        <is>
          <t>2</t>
        </is>
      </c>
      <c r="B31" s="57" t="inlineStr">
        <is>
          <t>Cedrela sp. (Cedro de altura)</t>
        </is>
      </c>
      <c r="C31" s="57" t="inlineStr">
        <is>
          <t>Amenazada (D.S. 043-2006-AG)</t>
        </is>
      </c>
      <c r="D31" s="57" t="inlineStr"/>
      <c r="E31" s="57" t="n"/>
      <c r="F31" s="57" t="n"/>
      <c r="G31" s="57" t="n"/>
      <c r="H31" s="57" t="inlineStr">
        <is>
          <t>Referencia de pobladores; por verificar mediante colección botánica.</t>
        </is>
      </c>
    </row>
    <row r="32">
      <c r="A32" s="56" t="inlineStr">
        <is>
          <t>3</t>
        </is>
      </c>
      <c r="B32" s="56" t="inlineStr">
        <is>
          <t>Piper sp. (Matico)</t>
        </is>
      </c>
      <c r="C32" s="56" t="inlineStr">
        <is>
          <t>Clave cultural</t>
        </is>
      </c>
      <c r="D32" s="56" t="inlineStr">
        <is>
          <t>NE — No Evaluado</t>
        </is>
      </c>
      <c r="E32" s="61" t="n">
        <v>649453</v>
      </c>
      <c r="F32" s="61" t="n">
        <v>9424486</v>
      </c>
      <c r="G32" s="56" t="n"/>
      <c r="H32" s="56" t="inlineStr">
        <is>
          <t>Uso medicinal local; señalado por poblador.</t>
        </is>
      </c>
    </row>
    <row r="34">
      <c r="A34" s="54" t="inlineStr">
        <is>
          <t>F-DT-04 · MATRIZ DE CAUSAS DE DEGRADACIÓN</t>
        </is>
      </c>
    </row>
    <row r="35">
      <c r="A35" s="55" t="inlineStr">
        <is>
          <t>N.o</t>
        </is>
      </c>
      <c r="B35" s="55" t="inlineStr">
        <is>
          <t>Causa</t>
        </is>
      </c>
      <c r="C35" s="55" t="inlineStr">
        <is>
          <t>Presencia</t>
        </is>
      </c>
      <c r="D35" s="55" t="inlineStr">
        <is>
          <t>Intensidad</t>
        </is>
      </c>
      <c r="E35" s="55" t="inlineStr">
        <is>
          <t>Extensión</t>
        </is>
      </c>
      <c r="F35" s="55" t="inlineStr">
        <is>
          <t>Antigüedad</t>
        </is>
      </c>
      <c r="G35" s="55" t="inlineStr">
        <is>
          <t>Evidencia</t>
        </is>
      </c>
    </row>
    <row r="36">
      <c r="A36" s="56" t="inlineStr">
        <is>
          <t>1</t>
        </is>
      </c>
      <c r="B36" s="56" t="inlineStr">
        <is>
          <t>Sobrepastoreo (caprino/vacuno)</t>
        </is>
      </c>
      <c r="C36" s="56" t="inlineStr"/>
      <c r="D36" s="56" t="inlineStr"/>
      <c r="E36" s="56" t="inlineStr"/>
      <c r="F36" s="56" t="inlineStr"/>
      <c r="G36" s="56" t="inlineStr"/>
    </row>
    <row r="37">
      <c r="A37" s="57" t="inlineStr">
        <is>
          <t>2</t>
        </is>
      </c>
      <c r="B37" s="57" t="inlineStr">
        <is>
          <t>Tala para leña</t>
        </is>
      </c>
      <c r="C37" s="57" t="inlineStr"/>
      <c r="D37" s="57" t="inlineStr"/>
      <c r="E37" s="57" t="inlineStr"/>
      <c r="F37" s="57" t="inlineStr"/>
      <c r="G37" s="57" t="inlineStr"/>
    </row>
    <row r="38">
      <c r="A38" s="56" t="inlineStr">
        <is>
          <t>3</t>
        </is>
      </c>
      <c r="B38" s="56" t="inlineStr">
        <is>
          <t>Tala para carbón</t>
        </is>
      </c>
      <c r="C38" s="56" t="inlineStr"/>
      <c r="D38" s="56" t="inlineStr"/>
      <c r="E38" s="56" t="inlineStr"/>
      <c r="F38" s="56" t="inlineStr"/>
      <c r="G38" s="56" t="inlineStr"/>
    </row>
    <row r="39">
      <c r="A39" s="57" t="inlineStr">
        <is>
          <t>4</t>
        </is>
      </c>
      <c r="B39" s="57" t="inlineStr">
        <is>
          <t>Tala para madera</t>
        </is>
      </c>
      <c r="C39" s="57" t="inlineStr"/>
      <c r="D39" s="57" t="inlineStr"/>
      <c r="E39" s="57" t="inlineStr"/>
      <c r="F39" s="57" t="inlineStr"/>
      <c r="G39" s="57" t="inlineStr"/>
    </row>
    <row r="40">
      <c r="A40" s="56" t="inlineStr">
        <is>
          <t>5</t>
        </is>
      </c>
      <c r="B40" s="56" t="inlineStr">
        <is>
          <t>Quema (renovación de pastos)</t>
        </is>
      </c>
      <c r="C40" s="56" t="inlineStr"/>
      <c r="D40" s="56" t="inlineStr"/>
      <c r="E40" s="56" t="inlineStr"/>
      <c r="F40" s="56" t="inlineStr"/>
      <c r="G40" s="56" t="inlineStr"/>
    </row>
    <row r="41">
      <c r="A41" s="57" t="inlineStr">
        <is>
          <t>6</t>
        </is>
      </c>
      <c r="B41" s="57" t="inlineStr">
        <is>
          <t>Quema accidental / Incendio</t>
        </is>
      </c>
      <c r="C41" s="57" t="inlineStr"/>
      <c r="D41" s="57" t="inlineStr"/>
      <c r="E41" s="57" t="inlineStr"/>
      <c r="F41" s="57" t="inlineStr"/>
      <c r="G41" s="57" t="inlineStr"/>
    </row>
    <row r="42">
      <c r="A42" s="56" t="inlineStr">
        <is>
          <t>7</t>
        </is>
      </c>
      <c r="B42" s="56" t="inlineStr">
        <is>
          <t>Cambio de uso a agricultura</t>
        </is>
      </c>
      <c r="C42" s="56" t="inlineStr">
        <is>
          <t>Sí</t>
        </is>
      </c>
      <c r="D42" s="56" t="inlineStr">
        <is>
          <t>Moderada</t>
        </is>
      </c>
      <c r="E42" s="56" t="inlineStr">
        <is>
          <t>40</t>
        </is>
      </c>
      <c r="F42" s="56" t="inlineStr"/>
      <c r="G42" s="56" t="inlineStr">
        <is>
          <t>Parcelas de plátano, café, maíz, caña y papaya en propiedad privada, con cercos</t>
        </is>
      </c>
    </row>
    <row r="43">
      <c r="A43" s="57" t="inlineStr">
        <is>
          <t>8</t>
        </is>
      </c>
      <c r="B43" s="57" t="inlineStr">
        <is>
          <t>Cambio de uso a pastoreo</t>
        </is>
      </c>
      <c r="C43" s="57" t="inlineStr"/>
      <c r="D43" s="57" t="inlineStr"/>
      <c r="E43" s="57" t="inlineStr"/>
      <c r="F43" s="57" t="inlineStr"/>
      <c r="G43" s="57" t="inlineStr"/>
    </row>
    <row r="44">
      <c r="A44" s="56" t="inlineStr">
        <is>
          <t>9</t>
        </is>
      </c>
      <c r="B44" s="56" t="inlineStr">
        <is>
          <t>Expansión urbana / vial</t>
        </is>
      </c>
      <c r="C44" s="56" t="inlineStr">
        <is>
          <t>Sí</t>
        </is>
      </c>
      <c r="D44" s="56" t="inlineStr">
        <is>
          <t>Moderada</t>
        </is>
      </c>
      <c r="E44" s="56" t="inlineStr">
        <is>
          <t>25</t>
        </is>
      </c>
      <c r="F44" s="56" t="inlineStr"/>
      <c r="G44" s="56" t="inlineStr">
        <is>
          <t>Caserío El Papayo y trocha carrozable sobre laderas y taludes de corte</t>
        </is>
      </c>
    </row>
    <row r="45">
      <c r="A45" s="57" t="inlineStr">
        <is>
          <t>10</t>
        </is>
      </c>
      <c r="B45" s="57" t="inlineStr">
        <is>
          <t>Minería informal</t>
        </is>
      </c>
      <c r="C45" s="57" t="inlineStr">
        <is>
          <t>No</t>
        </is>
      </c>
      <c r="D45" s="57" t="inlineStr"/>
      <c r="E45" s="57" t="inlineStr"/>
      <c r="F45" s="57" t="inlineStr"/>
      <c r="G45" s="57" t="inlineStr"/>
    </row>
    <row r="46">
      <c r="A46" s="56" t="inlineStr">
        <is>
          <t>11</t>
        </is>
      </c>
      <c r="B46" s="56" t="inlineStr">
        <is>
          <t>Extracción de áridos (cauces)</t>
        </is>
      </c>
      <c r="C46" s="56" t="inlineStr"/>
      <c r="D46" s="56" t="inlineStr"/>
      <c r="E46" s="56" t="inlineStr"/>
      <c r="F46" s="56" t="inlineStr"/>
      <c r="G46" s="56" t="inlineStr"/>
    </row>
    <row r="47">
      <c r="A47" s="57" t="inlineStr">
        <is>
          <t>12</t>
        </is>
      </c>
      <c r="B47" s="57" t="inlineStr">
        <is>
          <t>Especies invasoras</t>
        </is>
      </c>
      <c r="C47" s="57" t="inlineStr">
        <is>
          <t>Sí</t>
        </is>
      </c>
      <c r="D47" s="57" t="inlineStr">
        <is>
          <t>Ligera</t>
        </is>
      </c>
      <c r="E47" s="57" t="inlineStr"/>
      <c r="F47" s="57" t="inlineStr"/>
      <c r="G47" s="57" t="inlineStr">
        <is>
          <t>Grevilea, casuarina y agave en taludes y linderos</t>
        </is>
      </c>
    </row>
    <row r="48">
      <c r="A48" s="56" t="inlineStr">
        <is>
          <t>13</t>
        </is>
      </c>
      <c r="B48" s="56" t="inlineStr">
        <is>
          <t>Erosión natural severa</t>
        </is>
      </c>
      <c r="C48" s="56" t="inlineStr"/>
      <c r="D48" s="56" t="inlineStr"/>
      <c r="E48" s="56" t="inlineStr"/>
      <c r="F48" s="56" t="inlineStr"/>
      <c r="G48" s="56" t="inlineStr"/>
    </row>
    <row r="49">
      <c r="A49" s="57" t="inlineStr">
        <is>
          <t>14</t>
        </is>
      </c>
      <c r="B49" s="57" t="inlineStr">
        <is>
          <t>Sequía prolongada / CC</t>
        </is>
      </c>
      <c r="C49" s="57" t="inlineStr"/>
      <c r="D49" s="57" t="inlineStr"/>
      <c r="E49" s="57" t="inlineStr"/>
      <c r="F49" s="57" t="inlineStr"/>
      <c r="G49" s="57" t="inlineStr"/>
    </row>
    <row r="50">
      <c r="A50" s="56" t="inlineStr">
        <is>
          <t>15</t>
        </is>
      </c>
      <c r="B50" s="56" t="inlineStr">
        <is>
          <t>Plagas o enfermedades forestales</t>
        </is>
      </c>
      <c r="C50" s="56" t="inlineStr"/>
      <c r="D50" s="56" t="inlineStr"/>
      <c r="E50" s="56" t="inlineStr"/>
      <c r="F50" s="56" t="inlineStr"/>
      <c r="G50" s="56" t="inlineStr"/>
    </row>
    <row r="51">
      <c r="A51" s="57" t="inlineStr">
        <is>
          <t>16</t>
        </is>
      </c>
      <c r="B51" s="57" t="inlineStr">
        <is>
          <t>Otro</t>
        </is>
      </c>
      <c r="C51" s="57" t="inlineStr"/>
      <c r="D51" s="57" t="inlineStr"/>
      <c r="E51" s="57" t="inlineStr"/>
      <c r="F51" s="57" t="inlineStr"/>
      <c r="G51" s="57" t="inlineStr"/>
    </row>
    <row r="53">
      <c r="A53" s="54" t="inlineStr">
        <is>
          <t>F-DT-04 · INDICADORES CUANTITATIVOS</t>
        </is>
      </c>
    </row>
    <row r="54">
      <c r="A54" s="55" t="inlineStr">
        <is>
          <t>N.o</t>
        </is>
      </c>
      <c r="B54" s="55" t="inlineStr">
        <is>
          <t>Indicador</t>
        </is>
      </c>
      <c r="C54" s="55" t="inlineStr">
        <is>
          <t>Unidad</t>
        </is>
      </c>
      <c r="D54" s="55" t="inlineStr">
        <is>
          <t>Valor</t>
        </is>
      </c>
      <c r="E54" s="55" t="inlineStr">
        <is>
          <t>Fuente</t>
        </is>
      </c>
      <c r="F54" s="55" t="inlineStr">
        <is>
          <t>Umbral</t>
        </is>
      </c>
      <c r="G54" s="55" t="inlineStr">
        <is>
          <t>Nivel</t>
        </is>
      </c>
    </row>
    <row r="55">
      <c r="A55" s="56" t="inlineStr">
        <is>
          <t>1</t>
        </is>
      </c>
      <c r="B55" s="56" t="inlineStr">
        <is>
          <t>Cobertura vegetal total</t>
        </is>
      </c>
      <c r="C55" s="56" t="inlineStr">
        <is>
          <t>%</t>
        </is>
      </c>
      <c r="D55" s="56" t="inlineStr">
        <is>
          <t>80</t>
        </is>
      </c>
      <c r="E55" s="56" t="inlineStr">
        <is>
          <t>MSAVI 2024 + estimación ocular</t>
        </is>
      </c>
      <c r="F55" s="56" t="inlineStr">
        <is>
          <t>&gt;60% bueno; 30-60% medio; &lt;30% malo</t>
        </is>
      </c>
      <c r="G55" s="56" t="inlineStr"/>
    </row>
    <row r="56">
      <c r="A56" s="57" t="inlineStr">
        <is>
          <t>2</t>
        </is>
      </c>
      <c r="B56" s="57" t="inlineStr">
        <is>
          <t>Porcentaje de suelo desnudo</t>
        </is>
      </c>
      <c r="C56" s="57" t="inlineStr">
        <is>
          <t>%</t>
        </is>
      </c>
      <c r="D56" s="57" t="inlineStr">
        <is>
          <t>15</t>
        </is>
      </c>
      <c r="E56" s="57" t="inlineStr">
        <is>
          <t>Estimación ocular de campo</t>
        </is>
      </c>
      <c r="F56" s="57" t="inlineStr">
        <is>
          <t>&lt;10% bueno; 10-30% medio; &gt;30% malo</t>
        </is>
      </c>
      <c r="G56" s="57" t="inlineStr"/>
    </row>
    <row r="57">
      <c r="A57" s="56" t="inlineStr">
        <is>
          <t>3</t>
        </is>
      </c>
      <c r="B57" s="56" t="inlineStr">
        <is>
          <t>Densidad de cárcavas</t>
        </is>
      </c>
      <c r="C57" s="56" t="inlineStr">
        <is>
          <t>N°/ha</t>
        </is>
      </c>
      <c r="D57" s="56" t="inlineStr"/>
      <c r="E57" s="56" t="inlineStr"/>
      <c r="F57" s="56" t="inlineStr">
        <is>
          <t>0 nulo; 1-3 medio; &gt;3 alto</t>
        </is>
      </c>
      <c r="G57" s="56" t="inlineStr"/>
    </row>
    <row r="58">
      <c r="A58" s="57" t="inlineStr">
        <is>
          <t>4</t>
        </is>
      </c>
      <c r="B58" s="57" t="inlineStr">
        <is>
          <t>Presencia de especies invasoras</t>
        </is>
      </c>
      <c r="C58" s="57" t="inlineStr">
        <is>
          <t>% área</t>
        </is>
      </c>
      <c r="D58" s="57" t="inlineStr"/>
      <c r="E58" s="57" t="inlineStr"/>
      <c r="F58" s="57" t="inlineStr">
        <is>
          <t>&lt;5% bueno; 5-20% medio; &gt;20% alto</t>
        </is>
      </c>
      <c r="G58" s="57" t="inlineStr"/>
    </row>
    <row r="59">
      <c r="A59" s="56" t="inlineStr">
        <is>
          <t>5</t>
        </is>
      </c>
      <c r="B59" s="56" t="inlineStr">
        <is>
          <t>Carga ganadera estimada</t>
        </is>
      </c>
      <c r="C59" s="56" t="inlineStr">
        <is>
          <t>UA/ha</t>
        </is>
      </c>
      <c r="D59" s="56" t="inlineStr"/>
      <c r="E59" s="56" t="inlineStr"/>
      <c r="F59" s="56" t="inlineStr">
        <is>
          <t>Según tipo de ecosistema</t>
        </is>
      </c>
      <c r="G59" s="56" t="inlineStr"/>
    </row>
    <row r="60">
      <c r="A60" s="57" t="inlineStr">
        <is>
          <t>6</t>
        </is>
      </c>
      <c r="B60" s="57" t="inlineStr">
        <is>
          <t>Frecuencia de quemas últimos 5 años</t>
        </is>
      </c>
      <c r="C60" s="57" t="inlineStr">
        <is>
          <t>N°</t>
        </is>
      </c>
      <c r="D60" s="57" t="inlineStr"/>
      <c r="E60" s="57" t="inlineStr"/>
      <c r="F60" s="57" t="inlineStr">
        <is>
          <t>0 nulo; 1-2 medio; &gt;2 alto</t>
        </is>
      </c>
      <c r="G60" s="57" t="inlineStr"/>
    </row>
    <row r="61">
      <c r="A61" s="56" t="inlineStr">
        <is>
          <t>7</t>
        </is>
      </c>
      <c r="B61" s="56" t="inlineStr">
        <is>
          <t>% área con pendiente &gt;50%</t>
        </is>
      </c>
      <c r="C61" s="56" t="inlineStr">
        <is>
          <t>%</t>
        </is>
      </c>
      <c r="D61" s="56" t="inlineStr"/>
      <c r="E61" s="56" t="inlineStr"/>
      <c r="F61" s="56" t="inlineStr">
        <is>
          <t>Factor de susceptibilidad</t>
        </is>
      </c>
      <c r="G61" s="56" t="inlineStr"/>
    </row>
    <row r="62">
      <c r="A62" s="57" t="inlineStr">
        <is>
          <t>8</t>
        </is>
      </c>
      <c r="B62" s="57" t="inlineStr">
        <is>
          <t>Distancia a vía vecinal más cercana</t>
        </is>
      </c>
      <c r="C62" s="57" t="inlineStr">
        <is>
          <t>m</t>
        </is>
      </c>
      <c r="D62" s="57" t="inlineStr">
        <is>
          <t>0</t>
        </is>
      </c>
      <c r="E62" s="57" t="inlineStr">
        <is>
          <t>Trocha atraviesa y bordea el bloque</t>
        </is>
      </c>
      <c r="F62" s="57" t="inlineStr">
        <is>
          <t>A menor distancia → mayor presión</t>
        </is>
      </c>
      <c r="G62" s="57" t="inlineStr"/>
    </row>
    <row r="64">
      <c r="A64" s="54" t="inlineStr">
        <is>
          <t>F-DT-05 · FUENTES DE AGUA INVENTARIADAS</t>
        </is>
      </c>
    </row>
    <row r="65">
      <c r="A65" s="55" t="inlineStr">
        <is>
          <t>N.o</t>
        </is>
      </c>
      <c r="B65" s="55" t="inlineStr">
        <is>
          <t>Tipo de fuente</t>
        </is>
      </c>
      <c r="C65" s="55" t="inlineStr">
        <is>
          <t>UTM ESTE</t>
        </is>
      </c>
      <c r="D65" s="55" t="inlineStr">
        <is>
          <t>UTM NORTE</t>
        </is>
      </c>
      <c r="E65" s="55" t="inlineStr">
        <is>
          <t>Régimen</t>
        </is>
      </c>
      <c r="F65" s="55" t="inlineStr">
        <is>
          <t>Calidad</t>
        </is>
      </c>
      <c r="G65" s="55" t="inlineStr">
        <is>
          <t>Distancia (m)</t>
        </is>
      </c>
      <c r="H65" s="55" t="inlineStr">
        <is>
          <t>Uso / observación</t>
        </is>
      </c>
    </row>
    <row r="66">
      <c r="A66" s="56" t="inlineStr">
        <is>
          <t>1</t>
        </is>
      </c>
      <c r="B66" s="56" t="inlineStr">
        <is>
          <t>Quebrada permanente</t>
        </is>
      </c>
      <c r="C66" s="61" t="n">
        <v>649413</v>
      </c>
      <c r="D66" s="61" t="n">
        <v>9424887</v>
      </c>
      <c r="E66" s="56" t="inlineStr">
        <is>
          <t>Permanente</t>
        </is>
      </c>
      <c r="F66" s="56" t="inlineStr">
        <is>
          <t>Regular (ligeramente turbia o con sedimentos)</t>
        </is>
      </c>
      <c r="G66" s="63" t="n">
        <v>0</v>
      </c>
      <c r="H66" s="56" t="inlineStr">
        <is>
          <t>Quebrada tributaria de la microcuenca C1081-Q9591 en el borde oriental del bloque, junto a El Papayo; con agua a la fecha de visita (permanencia por verificar en estiaje avanzado); cercos de madera transversales en el cauce.</t>
        </is>
      </c>
    </row>
    <row r="69">
      <c r="A69" s="54" t="inlineStr">
        <is>
          <t>OBSERVACIONES DEL EVALUADOR POR FICHA</t>
        </is>
      </c>
    </row>
    <row r="70">
      <c r="A70" s="55" t="inlineStr">
        <is>
          <t>Ficha</t>
        </is>
      </c>
      <c r="B70" s="55" t="inlineStr">
        <is>
          <t>Observación registrada en campo</t>
        </is>
      </c>
    </row>
    <row r="71">
      <c r="A71" s="56" t="inlineStr">
        <is>
          <t>F-DT-01</t>
        </is>
      </c>
      <c r="B71" s="56" t="inlineStr">
        <is>
          <t>OBSERVACIONES: Verificación de reconocimiento (16/07/2026, 13:35–15:21). Las coordenadas de B13/F13 corresponden a un punto representativo del recorrido (trocha, ladera media); el bloque se caracterizó por transecto con múltiples waypoints. Centroide del bloque: 649 081 E · 9 424 506 N. Altitud GPS no registrada en los rótulos (por verificar); el perfil Google Earth indica un rango ≈ 1 191–1 431 msnm (cota del hito ≈ 1 236 msnm). Exposición dominante, reptación y deslizamientos antiguos: por verificar.</t>
        </is>
      </c>
    </row>
    <row r="72">
      <c r="A72" s="57" t="inlineStr">
        <is>
          <t>F-DT-02</t>
        </is>
      </c>
      <c r="B72" s="57" t="inlineStr">
        <is>
          <t>OBSERVACIONES: Los rasgos E-01 y E-02 corresponden a taludes de corte de la trocha/plataforma de vivienda y a sendas; sus dimensiones instrumentales (longitud, profundidad, ancho), la longitud total, el % de bloque afectado y la densidad por hectárea quedan pendientes de levantamiento por el especialista de Infraestructura Marrón.</t>
        </is>
      </c>
    </row>
    <row r="73">
      <c r="A73" s="56" t="inlineStr">
        <is>
          <t>F-DT-03</t>
        </is>
      </c>
      <c r="B73" s="56" t="inlineStr">
        <is>
          <t>OBSERVACIONES: Composición por ecosistema (Reporte de Ecosistemas por Bloques V5): Matorral andino 21.29 ha (60%) y Zona agrícola 14.20 ha (40%); total 35.49 ha. Cultivos en propiedad privada: plátano, café, maíz, caña de azúcar y papaya. El ecosistema base se rotula genéricamente "Matorral andino"; se registra como subhúmedo por la presencia de helechos y bromeliáceas epífitas (indicadores de humedad) y café. Nombres científicos a nivel de especie y "Roble" (nombre común ambiguo): por determinación botánica formal. Coberturas por estrato, alturas y DAP: no medidos en campo.</t>
        </is>
      </c>
    </row>
    <row r="74">
      <c r="A74" s="57" t="inlineStr">
        <is>
          <t>F-DT-05</t>
        </is>
      </c>
      <c r="B74" s="57" t="inlineStr">
        <is>
          <t>OBSERVACIONES: Distancia y datos de la captación poblacional/JASS, interferencia con obras de riego, transitabilidad en época lluviosa, tiempos de viaje, señal/operador celular, alojamiento y autorización/contacto de la Ronda Campesina: por verificar. El bloque se ubica en zona de origen y recarga de la microcuenca C1081-Q9591.</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8"/>
  <sheetViews>
    <sheetView workbookViewId="0">
      <selection activeCell="A1" sqref="A1"/>
    </sheetView>
  </sheetViews>
  <sheetFormatPr baseColWidth="8" defaultRowHeight="15"/>
  <cols>
    <col width="44" customWidth="1" min="1" max="1"/>
    <col width="18" customWidth="1" min="2" max="2"/>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GRÁFICOS DE LA INTEGRACIÓN — BLOQUE 37</t>
        </is>
      </c>
    </row>
    <row r="7">
      <c r="A7" s="54" t="inlineStr">
        <is>
          <t>Hechos declarados por fuente</t>
        </is>
      </c>
    </row>
    <row r="8">
      <c r="A8" s="55" t="inlineStr">
        <is>
          <t>Fuente</t>
        </is>
      </c>
      <c r="B8" s="55" t="inlineStr">
        <is>
          <t>Hechos</t>
        </is>
      </c>
    </row>
    <row r="9">
      <c r="A9" s="56" t="inlineStr">
        <is>
          <t>Dato de campo</t>
        </is>
      </c>
      <c r="B9" s="56" t="n">
        <v>43</v>
      </c>
    </row>
    <row r="10">
      <c r="A10" s="57" t="inlineStr">
        <is>
          <t>Gabinete (GIS / teledetección)</t>
        </is>
      </c>
      <c r="B10" s="57" t="n">
        <v>25</v>
      </c>
    </row>
    <row r="11">
      <c r="A11" s="56" t="inlineStr">
        <is>
          <t>Fuente oficial</t>
        </is>
      </c>
      <c r="B11" s="56" t="n">
        <v>14</v>
      </c>
    </row>
    <row r="26">
      <c r="A26" s="54" t="inlineStr">
        <is>
          <t>Estado del cruce entre fuentes</t>
        </is>
      </c>
    </row>
    <row r="27">
      <c r="A27" s="55" t="inlineStr">
        <is>
          <t>Estado</t>
        </is>
      </c>
      <c r="B27" s="55" t="inlineStr">
        <is>
          <t>Hechos</t>
        </is>
      </c>
    </row>
    <row r="28">
      <c r="A28" s="56" t="inlineStr">
        <is>
          <t>CONFORME</t>
        </is>
      </c>
      <c r="B28" s="56" t="n">
        <v>76</v>
      </c>
    </row>
    <row r="29">
      <c r="A29" s="57" t="inlineStr">
        <is>
          <t>COMPLEMENTADO</t>
        </is>
      </c>
      <c r="B29" s="57" t="n">
        <v>4</v>
      </c>
    </row>
    <row r="30">
      <c r="A30" s="56" t="inlineStr">
        <is>
          <t>ACTUALIZADO</t>
        </is>
      </c>
      <c r="B30" s="56" t="n">
        <v>2</v>
      </c>
    </row>
    <row r="31">
      <c r="A31" s="57" t="inlineStr">
        <is>
          <t>DISCREPANTE</t>
        </is>
      </c>
      <c r="B31" s="57" t="n">
        <v>0</v>
      </c>
    </row>
    <row r="32">
      <c r="A32" s="56" t="inlineStr">
        <is>
          <t>PENDIENTE</t>
        </is>
      </c>
      <c r="B32" s="56" t="n">
        <v>32</v>
      </c>
    </row>
    <row r="45">
      <c r="A45" s="54" t="inlineStr">
        <is>
          <t>Cobertura por estrato — campo (%)</t>
        </is>
      </c>
    </row>
    <row r="46">
      <c r="A46" s="55" t="inlineStr">
        <is>
          <t>Estrato</t>
        </is>
      </c>
      <c r="B46" s="55" t="inlineStr">
        <is>
          <t>% del área</t>
        </is>
      </c>
    </row>
    <row r="47">
      <c r="A47" s="56" t="inlineStr">
        <is>
          <t>Suelo desnudo</t>
        </is>
      </c>
      <c r="B47" s="61" t="n">
        <v>15</v>
      </c>
    </row>
    <row r="64">
      <c r="A64" s="54" t="inlineStr">
        <is>
          <t>Causas activas de degradación (F-DT-04)</t>
        </is>
      </c>
    </row>
    <row r="65">
      <c r="A65" s="55" t="inlineStr">
        <is>
          <t>Causa</t>
        </is>
      </c>
      <c r="B65" s="55" t="inlineStr">
        <is>
          <t>Intensidad (1 ligera - 4 muy fuerte)</t>
        </is>
      </c>
    </row>
    <row r="66">
      <c r="A66" s="56" t="inlineStr">
        <is>
          <t>Cambio de uso a agricultura</t>
        </is>
      </c>
      <c r="B66" s="56" t="n">
        <v>2</v>
      </c>
    </row>
    <row r="67">
      <c r="A67" s="57" t="inlineStr">
        <is>
          <t>Expansión urbana / vial</t>
        </is>
      </c>
      <c r="B67" s="57" t="n">
        <v>2</v>
      </c>
    </row>
    <row r="68">
      <c r="A68" s="56" t="inlineStr">
        <is>
          <t>Especies invasoras</t>
        </is>
      </c>
      <c r="B68" s="56" t="n">
        <v>1</v>
      </c>
    </row>
    <row r="83">
      <c r="A83" s="54" t="inlineStr">
        <is>
          <t>Control de consistencia por calificación</t>
        </is>
      </c>
    </row>
    <row r="84">
      <c r="A84" s="55" t="inlineStr">
        <is>
          <t>Calificación</t>
        </is>
      </c>
      <c r="B84" s="55" t="inlineStr">
        <is>
          <t>Verificaciones</t>
        </is>
      </c>
    </row>
    <row r="85">
      <c r="A85" s="56" t="inlineStr">
        <is>
          <t>SUSTANTIVA</t>
        </is>
      </c>
      <c r="B85" s="56" t="n">
        <v>2</v>
      </c>
    </row>
    <row r="86">
      <c r="A86" s="57" t="inlineStr">
        <is>
          <t>NO SUSTANTIVA</t>
        </is>
      </c>
      <c r="B86" s="57" t="n">
        <v>4</v>
      </c>
    </row>
    <row r="87">
      <c r="A87" s="56" t="inlineStr">
        <is>
          <t>CORREGIDO</t>
        </is>
      </c>
      <c r="B87" s="56" t="n">
        <v>2</v>
      </c>
    </row>
    <row r="88">
      <c r="A88" s="57" t="inlineStr">
        <is>
          <t>CONFORME</t>
        </is>
      </c>
      <c r="B88" s="57" t="n">
        <v>11</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37 — IN Piura</dc:title>
  <dc:subject>Diagnóstico Territorial por bloque de intervención</dc:subject>
  <dcterms:created xsi:type="dcterms:W3CDTF">2026-09-08T03:39:54Z</dcterms:created>
  <dcterms:modified xsi:type="dcterms:W3CDTF">2026-09-11T21:26:25Z</dcterms:modified>
</cp:coreProperties>
</file>