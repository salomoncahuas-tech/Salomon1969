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f>
            </numRef>
          </cat>
          <val>
            <numRef>
              <f>'Gráficos de integración'!$B$75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integración'!B93</f>
            </strRef>
          </tx>
          <spPr>
            <a:ln>
              <a:prstDash val="solid"/>
            </a:ln>
          </spPr>
          <cat>
            <numRef>
              <f>'Gráficos de integración'!$A$94:$A$97</f>
            </numRef>
          </cat>
          <val>
            <numRef>
              <f>'Gráficos de integración'!$B$94:$B$97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92</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M17B10</t>
        </is>
      </c>
    </row>
    <row r="6" ht="24" customHeight="1">
      <c r="A6" s="4" t="inlineStr">
        <is>
          <t>Diagnóstico Territorial — Plantilla DT Campo Check Validada V5 | Sistema de referencia: UTM WGS 84 Zona 17S (EPSG:32717) · Integrado con la ficha de campo F-DT vigente (Plantilla_DT_Campo_Check_M17B10_IN_Piura_V5.xlsx) — V7 - resumen V6 + campo F-DT integrado</t>
        </is>
      </c>
    </row>
    <row r="7"/>
    <row r="8" ht="18" customHeight="1">
      <c r="A8" s="5" t="inlineStr">
        <is>
          <t>1. IDENTIFICACIÓN Y LOCALIZACIÓN</t>
        </is>
      </c>
    </row>
    <row r="9">
      <c r="A9" s="6" t="inlineStr">
        <is>
          <t>Código del bloque</t>
        </is>
      </c>
      <c r="B9" s="7" t="inlineStr">
        <is>
          <t>M17B10</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Platanal Alto (catálogo CP-Bloques V5); referencia vial: sector Palo Blanco</t>
        </is>
      </c>
      <c r="C13" s="6" t="inlineStr">
        <is>
          <t>Comunidad campesina</t>
        </is>
      </c>
      <c r="D13" s="7" t="inlineStr">
        <is>
          <t>Por verificar</t>
        </is>
      </c>
      <c r="E13" s="8" t="n"/>
      <c r="F13" s="8" t="n"/>
    </row>
    <row r="14">
      <c r="A14" s="6" t="inlineStr">
        <is>
          <t>Superficie de catálogo (V5/V6), ha</t>
        </is>
      </c>
      <c r="B14" s="7" t="n">
        <v>75.36</v>
      </c>
      <c r="C14" s="6" t="inlineStr">
        <is>
          <t>Fuente de superficie</t>
        </is>
      </c>
      <c r="D14" s="7" t="inlineStr">
        <is>
          <t>Catálogo maestro Bloques V5/V6</t>
        </is>
      </c>
      <c r="E14" s="8" t="n"/>
      <c r="F14" s="8" t="n"/>
    </row>
    <row r="15">
      <c r="A15" s="6" t="inlineStr">
        <is>
          <t>Centroide UTM ESTE (m)</t>
        </is>
      </c>
      <c r="B15" s="7" t="n">
        <v>606173</v>
      </c>
      <c r="C15" s="6" t="inlineStr">
        <is>
          <t>Centroide UTM NORTE (m)</t>
        </is>
      </c>
      <c r="D15" s="7" t="n">
        <v>9447361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466</v>
      </c>
      <c r="C19" s="6" t="inlineStr">
        <is>
          <t>Altitud máxima (msnm)</t>
        </is>
      </c>
      <c r="D19" s="7" t="n">
        <v>902</v>
      </c>
      <c r="E19" s="8" t="n"/>
      <c r="F19" s="8" t="n"/>
    </row>
    <row r="20">
      <c r="A20" s="6" t="inlineStr">
        <is>
          <t>Amplitud altitudinal (m)</t>
        </is>
      </c>
      <c r="B20" s="7" t="n">
        <v>436</v>
      </c>
      <c r="C20" s="6" t="inlineStr">
        <is>
          <t>Piso altitudinal dominante</t>
        </is>
      </c>
      <c r="D20" s="7" t="inlineStr">
        <is>
          <t>&lt;1000 m (Yunga)</t>
        </is>
      </c>
      <c r="E20" s="8" t="n"/>
      <c r="F20" s="8" t="n"/>
    </row>
    <row r="21">
      <c r="A21" s="6" t="inlineStr">
        <is>
          <t>Pendiente promedio (%)</t>
        </is>
      </c>
      <c r="B21" s="7" t="n">
        <v>25.94</v>
      </c>
      <c r="C21" s="6" t="inlineStr">
        <is>
          <t>Pendiente promedio (grados)</t>
        </is>
      </c>
      <c r="D21" s="7" t="n">
        <v>14.5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 (carácter activo POR CONFIRMAR)</t>
        </is>
      </c>
      <c r="C25" s="6" t="inlineStr">
        <is>
          <t>Remociones en masa activas</t>
        </is>
      </c>
      <c r="D25" s="7" t="inlineStr">
        <is>
          <t>No (no observadas)</t>
        </is>
      </c>
      <c r="E25" s="8" t="n"/>
      <c r="F25" s="8" t="n"/>
    </row>
    <row r="26"/>
    <row r="27" ht="18" customHeight="1">
      <c r="A27" s="5" t="inlineStr">
        <is>
          <t>3. ÍNDICES DE VEGETACIÓN (SENTINEL-2)</t>
        </is>
      </c>
    </row>
    <row r="28">
      <c r="A28" s="6" t="inlineStr">
        <is>
          <t>MSAVI 2024 — media del bloque</t>
        </is>
      </c>
      <c r="B28" s="7" t="n">
        <v>0.4725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(66.38 %)</t>
        </is>
      </c>
      <c r="E29" s="8" t="n"/>
      <c r="F29" s="8" t="n"/>
    </row>
    <row r="30">
      <c r="A30" s="6" t="inlineStr">
        <is>
          <t>Superficie clasificada NDVI 2025 (ha)</t>
        </is>
      </c>
      <c r="B30" s="7" t="n">
        <v>75.40300000000001</v>
      </c>
      <c r="C30" s="6" t="inlineStr">
        <is>
          <t>Desviación frente al catálogo (%)</t>
        </is>
      </c>
      <c r="D30" s="7" t="n">
        <v>0.06</v>
      </c>
      <c r="E30" s="8" t="n"/>
      <c r="F30" s="8" t="n"/>
    </row>
    <row r="31">
      <c r="A31" s="6" t="inlineStr">
        <is>
          <t>Superficie clasificada MSAVI 2024 (ha)</t>
        </is>
      </c>
      <c r="B31" s="38" t="n">
        <v>75.363</v>
      </c>
      <c r="C31" s="6" t="inlineStr">
        <is>
          <t>Desviación MSAVI frente al catálogo (%)</t>
        </is>
      </c>
      <c r="D31" s="39" t="n">
        <v>0</v>
      </c>
      <c r="E31" s="8" t="n"/>
      <c r="F31" s="8" t="n"/>
    </row>
    <row r="32">
      <c r="A32" s="6" t="inlineStr">
        <is>
          <t>Superficie bajo umbral MSAVI 0.4976 (ha)</t>
        </is>
      </c>
      <c r="B32" s="38" t="n">
        <v>55.265</v>
      </c>
      <c r="C32" s="6" t="inlineStr">
        <is>
          <t>% del bloque bajo umbral (brecha espectral)</t>
        </is>
      </c>
      <c r="D32" s="39" t="n">
        <v>73.33</v>
      </c>
      <c r="E32" s="8" t="n"/>
      <c r="F32" s="8" t="n"/>
    </row>
    <row r="33">
      <c r="A33" s="6" t="inlineStr">
        <is>
          <t>Clase DN dominante (MSAVI 2024)</t>
        </is>
      </c>
      <c r="B33" s="7" t="inlineStr">
        <is>
          <t>DN 3 · 0.3813 - 0.4976 (Vigor bajo)</t>
        </is>
      </c>
      <c r="C33" s="6" t="inlineStr">
        <is>
          <t>N.° de polígonos MSAVI del bloque</t>
        </is>
      </c>
      <c r="D33" s="40" t="n">
        <v>242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50" t="inlineStr">
        <is>
          <t>75.36 (superficie total del bloque; desagregación por unidad ecosistémica por verificar)</t>
        </is>
      </c>
      <c r="E36" s="8" t="n"/>
      <c r="F36" s="8" t="n"/>
    </row>
    <row r="37">
      <c r="A37" s="6" t="inlineStr">
        <is>
          <t>Estado de conservación</t>
        </is>
      </c>
      <c r="B37" s="7" t="inlineStr">
        <is>
          <t>Levemente alterado</t>
        </is>
      </c>
      <c r="C37" s="6" t="inlineStr">
        <is>
          <t>Uso actual dominante del suelo</t>
        </is>
      </c>
      <c r="D37" s="50" t="inlineStr">
        <is>
          <t>Forestal protección</t>
        </is>
      </c>
      <c r="E37" s="8" t="n"/>
      <c r="F37" s="8" t="n"/>
    </row>
    <row r="38">
      <c r="A38" s="6" t="inlineStr">
        <is>
          <t>Tipo de cobertura dominante</t>
        </is>
      </c>
      <c r="B38" s="7" t="inlineStr">
        <is>
          <t>Bosque denso (&gt;70%)</t>
        </is>
      </c>
      <c r="C38" s="6" t="inlineStr">
        <is>
          <t>Cobertura vegetal total — campo (%)</t>
        </is>
      </c>
      <c r="D38" s="7" t="n">
        <v>80</v>
      </c>
      <c r="E38" s="8" t="n"/>
      <c r="F38" s="8" t="n"/>
    </row>
    <row r="39">
      <c r="A39" s="6" t="inlineStr">
        <is>
          <t>Suelo desnudo — campo (%)</t>
        </is>
      </c>
      <c r="B39" s="7" t="n">
        <v>8</v>
      </c>
      <c r="C39" s="6" t="inlineStr">
        <is>
          <t>Regeneración natural</t>
        </is>
      </c>
      <c r="D39" s="50" t="inlineStr">
        <is>
          <t>En blanco (no observable desde el punto externo)</t>
        </is>
      </c>
      <c r="E39" s="8" t="n"/>
      <c r="F39" s="8" t="n"/>
    </row>
    <row r="40">
      <c r="A40" s="6" t="inlineStr">
        <is>
          <t>Nivel general de erosión</t>
        </is>
      </c>
      <c r="B40" s="7" t="inlineStr">
        <is>
          <t>Ligera (laminar) — calificación preliminar por observación a distancia</t>
        </is>
      </c>
      <c r="C40" s="6" t="inlineStr">
        <is>
          <t>N.° de cárcavas registradas</t>
        </is>
      </c>
      <c r="D40" s="7" t="inlineStr">
        <is>
          <t>No inventariado</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2026-07-15</t>
        </is>
      </c>
      <c r="E44" s="8" t="n"/>
      <c r="F44" s="8" t="n"/>
    </row>
    <row r="45">
      <c r="A45" s="6" t="inlineStr">
        <is>
          <t>Hora de registro</t>
        </is>
      </c>
      <c r="B45" s="7" t="inlineStr">
        <is>
          <t>10:13 - 10:22 h</t>
        </is>
      </c>
      <c r="C45" s="6" t="inlineStr">
        <is>
          <t>Correlativo de ficha</t>
        </is>
      </c>
      <c r="D45" s="7" t="inlineStr">
        <is>
          <t>DT-M17B10-01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(verificación externa)</t>
        </is>
      </c>
      <c r="E47" s="8" t="n"/>
      <c r="F47" s="8" t="n"/>
    </row>
    <row r="48">
      <c r="A48" s="6" t="inlineStr">
        <is>
          <t>Estaciones fotográficas georreferenciadas</t>
        </is>
      </c>
      <c r="B48" s="7" t="n">
        <v>7</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Mejoramiento y ampliación del corredor vial Chulucanas-Frías, que incrementa la accesibilidad del pie de ladera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50"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M17B10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4.5205</v>
      </c>
      <c r="C10" s="19">
        <f>ROUND(B10/$B$15*100,2)</f>
        <v/>
      </c>
      <c r="D10" s="11" t="inlineStr">
        <is>
          <t>Vigor alto</t>
        </is>
      </c>
      <c r="E10" s="11" t="inlineStr">
        <is>
          <t>Sobre umbral</t>
        </is>
      </c>
    </row>
    <row r="11">
      <c r="A11" s="12" t="inlineStr">
        <is>
          <t>0.4976 - 0.6139 · DN 4</t>
        </is>
      </c>
      <c r="B11" s="20" t="n">
        <v>15.5782</v>
      </c>
      <c r="C11" s="21">
        <f>ROUND(B11/$B$15*100,2)</f>
        <v/>
      </c>
      <c r="D11" s="13" t="inlineStr">
        <is>
          <t>Vigor moderado</t>
        </is>
      </c>
      <c r="E11" s="13" t="inlineStr">
        <is>
          <t>Sobre umbral</t>
        </is>
      </c>
    </row>
    <row r="12">
      <c r="A12" s="14" t="inlineStr">
        <is>
          <t>0.3813 - 0.4976 · DN 3</t>
        </is>
      </c>
      <c r="B12" s="32" t="n">
        <v>52.9188</v>
      </c>
      <c r="C12" s="31">
        <f>ROUND(B12/$B$15*100,2)</f>
        <v/>
      </c>
      <c r="D12" s="15" t="inlineStr">
        <is>
          <t>Vigor bajo</t>
        </is>
      </c>
      <c r="E12" s="15" t="inlineStr">
        <is>
          <t>BAJO umbral 0.4976</t>
        </is>
      </c>
    </row>
    <row r="13">
      <c r="A13" s="12" t="inlineStr">
        <is>
          <t>0.2650 - 0.3813 · DN 2</t>
        </is>
      </c>
      <c r="B13" s="20" t="n">
        <v>2.3459</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242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75.36</v>
      </c>
      <c r="C18" s="49" t="inlineStr">
        <is>
          <t>—</t>
        </is>
      </c>
      <c r="D18" s="46" t="inlineStr">
        <is>
          <t>Desviación planimétrica frente al catálogo</t>
        </is>
      </c>
      <c r="E18" s="46" t="inlineStr">
        <is>
          <t>+0.00 %</t>
        </is>
      </c>
    </row>
    <row r="19">
      <c r="A19" s="16" t="inlineStr">
        <is>
          <t>MSAVI 2024 — MEDIA DEL BLOQUE</t>
        </is>
      </c>
      <c r="B19" s="17" t="n">
        <v>0.472466</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242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(0.4725)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22.0201</v>
      </c>
      <c r="C25" s="19" t="n">
        <v>29.2</v>
      </c>
      <c r="D25" s="11" t="inlineStr">
        <is>
          <t>Dosel continuo, matorral denso o mosaico agroforestal</t>
        </is>
      </c>
      <c r="E25" s="11" t="inlineStr"/>
    </row>
    <row r="26">
      <c r="A26" s="12" t="inlineStr">
        <is>
          <t>Vegetación mediana</t>
        </is>
      </c>
      <c r="B26" s="20" t="n">
        <v>50.0521</v>
      </c>
      <c r="C26" s="21" t="n">
        <v>66.38</v>
      </c>
      <c r="D26" s="13" t="inlineStr">
        <is>
          <t>Pastizal cultivado, matorral ralo, parcelas agrícolas</t>
        </is>
      </c>
      <c r="E26" s="13" t="inlineStr"/>
    </row>
    <row r="27">
      <c r="A27" s="7" t="inlineStr">
        <is>
          <t>Vegetación ligera</t>
        </is>
      </c>
      <c r="B27" s="18" t="n">
        <v>3.3305</v>
      </c>
      <c r="C27" s="19" t="n">
        <v>4.42</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75.36</v>
      </c>
      <c r="C29" s="25" t="inlineStr">
        <is>
          <t>—</t>
        </is>
      </c>
      <c r="D29" s="25" t="inlineStr">
        <is>
          <t>Desviación planimétrica frente al catálogo</t>
        </is>
      </c>
      <c r="E29" s="25" t="inlineStr">
        <is>
          <t>+0.06 %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29.20 % del polígono clasificado como «Vegetación alta» por el NDVI 2025; la observación de campo corresponde a una parcela o recorrido puntual y no es estadísticamente representativa de las 75.360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M17B10</t>
        </is>
      </c>
    </row>
    <row r="6" ht="24" customHeight="1">
      <c r="A6" s="4" t="inlineStr">
        <is>
          <t>Levantamiento del 2026-07-15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606815</v>
      </c>
      <c r="D10" s="26" t="n">
        <v>9446991</v>
      </c>
      <c r="E10" s="11" t="n">
        <v>741</v>
      </c>
      <c r="F10" s="11" t="inlineStr"/>
      <c r="G10" s="11" t="inlineStr">
        <is>
          <t>Coordenada consignada en F-DT-01</t>
        </is>
      </c>
    </row>
    <row r="11">
      <c r="A11" s="12" t="inlineStr">
        <is>
          <t>F-01/F-07 (estación única)</t>
        </is>
      </c>
      <c r="B11" s="13" t="inlineStr">
        <is>
          <t>Estación fotográfica</t>
        </is>
      </c>
      <c r="C11" s="27" t="n">
        <v>606815</v>
      </c>
      <c r="D11" s="27" t="n">
        <v>9446991</v>
      </c>
      <c r="E11" s="13" t="n">
        <v>741</v>
      </c>
      <c r="F11" s="13" t="inlineStr"/>
      <c r="G11" s="13" t="inlineStr">
        <is>
          <t>Registro fotográfico georreferenciado</t>
        </is>
      </c>
    </row>
    <row r="12">
      <c r="A12" s="7" t="inlineStr">
        <is>
          <t>H-01</t>
        </is>
      </c>
      <c r="B12" s="11" t="inlineStr">
        <is>
          <t>Fuente de agua — Quebrada estacional</t>
        </is>
      </c>
      <c r="C12" s="26" t="inlineStr">
        <is>
          <t>Por determinar</t>
        </is>
      </c>
      <c r="D12" s="26" t="inlineStr">
        <is>
          <t>Por determinar</t>
        </is>
      </c>
      <c r="E12" s="11" t="inlineStr"/>
      <c r="F12" s="11" t="inlineStr">
        <is>
          <t>Estacional</t>
        </is>
      </c>
      <c r="G12" s="11" t="inlineStr">
        <is>
          <t>Cauce torrencial del flanco oriental</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606173</v>
      </c>
      <c r="C15" s="6" t="inlineStr">
        <is>
          <t>Centroide del bloque — UTM NORTE (m)</t>
        </is>
      </c>
      <c r="D15" s="7" t="n">
        <v>9447361</v>
      </c>
      <c r="E15" s="8" t="n"/>
      <c r="F15" s="8" t="n"/>
      <c r="G15" s="8" t="n"/>
      <c r="H15" s="8" t="n"/>
    </row>
    <row r="16">
      <c r="A16" s="6" t="inlineStr">
        <is>
          <t>N.° de estaciones fotográficas declaradas</t>
        </is>
      </c>
      <c r="B16" s="7" t="n">
        <v>7</v>
      </c>
      <c r="C16" s="6" t="inlineStr">
        <is>
          <t>Estaciones dentro del polígono</t>
        </is>
      </c>
      <c r="D16" s="7" t="n">
        <v>0</v>
      </c>
      <c r="E16" s="8" t="n"/>
      <c r="F16" s="8" t="n"/>
      <c r="G16" s="8" t="n"/>
      <c r="H16" s="8" t="n"/>
    </row>
    <row r="18" ht="192"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EXTERNA. LAS 7 TOMAS GEORREFERENCIADAS DEL 15/07/2026 SE CONCENTRAN EN UNA ESTACIÓN ÚNICA DE LA CARRETERA CHULUCANAS-FRÍAS (606 809-606 820 E / 9 446 959-9 447 025 N; dispersión 11 m E × 66 m N). EL INTERIOR DEL POLÍGONO NO FUE RECORRIDO; LA COMPLETITUD DEL LEVANTAMIENTO FÍSICO SE ESTIMA &lt;10%. Los azimuts 294 NO y 318 NO encuadran el núcleo del bloque, cuyo centroide de catálogo se ubica a ≈741 m al ONO de la estación. AFLORAMIENTOS: cornisas y escarpes rocosos claros en el tercio superior. ESCARPES: rasgos lineales descendentes desde la cresta, COMPATIBLES CON CANALETAS DE CAÍDA DE ROCAS. DESLIZAMIENTOS ANTIGUOS: cicatriz de talud desnudo con bloques dispersos en ladera media. REMOCIONES: no observadas; el fondo de valle presenta BOLONES MÉTRICOS DISPERSOS SOBRE PASTIZAL, COMPATIBLES CON FLUJOS TORRENCIALES PASADOS. DISCREPANCIAS DE CATÁLOGO: área 75.363 ha (Bloques V5) vs. 75.403 ha (CP-Bloques V5) vs. 924.365 ha (Centroides Bloques.xls); centroide V4 (606 173 · 9 447 361) vs. Centroides.xls (606 234 · 9 448 179), SEPARACIÓN 820 m; el rótulo de la app indica «Morropón» en F-01 y «Ayabaca» en F-02 PARA PUNTOS SEPARADOS 13 m.</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M17B10</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2" t="inlineStr">
        <is>
          <t>M17B4</t>
        </is>
      </c>
      <c r="B11" s="29" t="n">
        <v>124.71</v>
      </c>
      <c r="C11" s="21" t="n">
        <v>14.25</v>
      </c>
      <c r="D11" s="13" t="inlineStr">
        <is>
          <t>294 – 629</t>
        </is>
      </c>
      <c r="E11" s="13" t="n">
        <v>335</v>
      </c>
      <c r="F11" s="13" t="n">
        <v>18.69</v>
      </c>
      <c r="G11" s="20" t="n">
        <v>0.4235</v>
      </c>
      <c r="H11" s="21" t="n">
        <v>3.97</v>
      </c>
      <c r="I11" s="21" t="n">
        <v>91.94</v>
      </c>
    </row>
    <row r="12">
      <c r="A12" s="7" t="inlineStr">
        <is>
          <t>M17B6</t>
        </is>
      </c>
      <c r="B12" s="28" t="n">
        <v>106.54</v>
      </c>
      <c r="C12" s="19" t="n">
        <v>12.17</v>
      </c>
      <c r="D12" s="11" t="inlineStr">
        <is>
          <t>403 – 1049</t>
        </is>
      </c>
      <c r="E12" s="11" t="n">
        <v>646</v>
      </c>
      <c r="F12" s="11" t="n">
        <v>23.42</v>
      </c>
      <c r="G12" s="18" t="n">
        <v>0.4464</v>
      </c>
      <c r="H12" s="19" t="n">
        <v>18.53</v>
      </c>
      <c r="I12" s="19" t="n">
        <v>81.81999999999999</v>
      </c>
    </row>
    <row r="13">
      <c r="A13" s="12" t="inlineStr">
        <is>
          <t>22</t>
        </is>
      </c>
      <c r="B13" s="29" t="n">
        <v>79.33</v>
      </c>
      <c r="C13" s="21" t="n">
        <v>9.06</v>
      </c>
      <c r="D13" s="13" t="inlineStr">
        <is>
          <t>235 – 596</t>
        </is>
      </c>
      <c r="E13" s="13" t="n">
        <v>361</v>
      </c>
      <c r="F13" s="13" t="n">
        <v>22.51</v>
      </c>
      <c r="G13" s="20" t="n">
        <v>0.4232</v>
      </c>
      <c r="H13" s="21" t="n">
        <v>0.32</v>
      </c>
      <c r="I13" s="21" t="n">
        <v>93.29000000000001</v>
      </c>
    </row>
    <row r="14">
      <c r="A14" s="7" t="inlineStr">
        <is>
          <t>27</t>
        </is>
      </c>
      <c r="B14" s="28" t="n">
        <v>78.15000000000001</v>
      </c>
      <c r="C14" s="19" t="n">
        <v>8.93</v>
      </c>
      <c r="D14" s="11" t="inlineStr">
        <is>
          <t>1518 – 1895</t>
        </is>
      </c>
      <c r="E14" s="11" t="n">
        <v>377</v>
      </c>
      <c r="F14" s="11" t="n">
        <v>30.25</v>
      </c>
      <c r="G14" s="18" t="n">
        <v>0.5323</v>
      </c>
      <c r="H14" s="19" t="n">
        <v>64.75</v>
      </c>
      <c r="I14" s="19" t="n">
        <v>37.5</v>
      </c>
    </row>
    <row r="15">
      <c r="A15" s="14" t="inlineStr">
        <is>
          <t>► M17B10</t>
        </is>
      </c>
      <c r="B15" s="30" t="n">
        <v>75.36</v>
      </c>
      <c r="C15" s="31" t="n">
        <v>8.609999999999999</v>
      </c>
      <c r="D15" s="15" t="inlineStr">
        <is>
          <t>466 – 902</t>
        </is>
      </c>
      <c r="E15" s="15" t="n">
        <v>436</v>
      </c>
      <c r="F15" s="15" t="n">
        <v>25.94</v>
      </c>
      <c r="G15" s="32" t="n">
        <v>0.4725</v>
      </c>
      <c r="H15" s="31" t="n">
        <v>29.2</v>
      </c>
      <c r="I15" s="31" t="n">
        <v>73.33</v>
      </c>
    </row>
    <row r="16">
      <c r="A16" s="7" t="inlineStr">
        <is>
          <t>M17B5</t>
        </is>
      </c>
      <c r="B16" s="28" t="n">
        <v>74.03</v>
      </c>
      <c r="C16" s="19" t="n">
        <v>8.460000000000001</v>
      </c>
      <c r="D16" s="11" t="inlineStr">
        <is>
          <t>794 – 1317</t>
        </is>
      </c>
      <c r="E16" s="11" t="n">
        <v>523</v>
      </c>
      <c r="F16" s="11" t="n">
        <v>27.42</v>
      </c>
      <c r="G16" s="18" t="n">
        <v>0.5482</v>
      </c>
      <c r="H16" s="19" t="n">
        <v>61.34</v>
      </c>
      <c r="I16" s="19" t="n">
        <v>28.94</v>
      </c>
    </row>
    <row r="17">
      <c r="A17" s="12" t="inlineStr">
        <is>
          <t>M17B1</t>
        </is>
      </c>
      <c r="B17" s="29" t="n">
        <v>42.45</v>
      </c>
      <c r="C17" s="21" t="n">
        <v>4.85</v>
      </c>
      <c r="D17" s="13" t="inlineStr">
        <is>
          <t>177 – 313</t>
        </is>
      </c>
      <c r="E17" s="13" t="n">
        <v>136</v>
      </c>
      <c r="F17" s="13" t="n">
        <v>14.73</v>
      </c>
      <c r="G17" s="20" t="n">
        <v>0.3323</v>
      </c>
      <c r="H17" s="21" t="n">
        <v>0</v>
      </c>
      <c r="I17" s="2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1" t="n"/>
      <c r="I20" s="42" t="n"/>
    </row>
    <row r="22" ht="84" customHeight="1">
      <c r="A22" s="9" t="inlineStr">
        <is>
          <t>LECTURA INTRAMICROCUENCA. El bloque M17B10 ocupa el puesto 6 de 9 por superficie dentro de la microcuenca C1096-Q9556 (8.61 % de las 875.24 ha preliminares de la microcuenca). Su pendiente promedio (25.94 %, clase «25-50% (Mod. escarpado)») es la 6.ª más baja de 9 y se sitúa por encima del promedio de la microcuenca (22.85 %). Su MSAVI 2024 (0.4725) es el 4.º de 9 y queda por encima del promedio local (0.4510). Amplitud altitudinal del bloque: 436 m (466–902 msnm). El cuadro conserva todos los bloques catalogados en la microcuenca, incluidos los descartados en el tamizaje, para referencia del conjunto. Los bloques sin ficha DT figuran con sus parámetros de gabinete. BRECHA ESPECTRAL. El 73.33 % de la superficie del bloque (55.265 ha de 75.363 ha) se sitúa bajo el umbral MSAVI 0.4976, por encima del promedio local de la microcuenca (69.38 %)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M17B10</t>
        </is>
      </c>
    </row>
    <row r="6">
      <c r="A6" s="52" t="inlineStr">
        <is>
          <t>Cruce de la ficha de campo F-DT vigente con la ficha de resumen de gabinete y el catálogo maestro. Integración 2026-09-11 20:22:35.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«C1096-Q9556».</t>
        </is>
      </c>
      <c r="D9" s="56" t="inlineStr">
        <is>
          <t>CONFORME</t>
        </is>
      </c>
      <c r="E9" s="56" t="inlineStr">
        <is>
          <t>Sin acción.</t>
        </is>
      </c>
    </row>
    <row r="10">
      <c r="A10" s="57" t="inlineStr">
        <is>
          <t>G-02</t>
        </is>
      </c>
      <c r="B10" s="57" t="inlineStr">
        <is>
          <t>UTM del punto de muestreo</t>
        </is>
      </c>
      <c r="C10" s="57" t="inlineStr">
        <is>
          <t>El punto de muestreo declarado dista 741.0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(75.403 ha) se desvía 0.06 % de la superficie de catálogo (75.36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(75.363 ha) se desvía 0.00 % de la superficie de catálogo (75.36 ha).</t>
        </is>
      </c>
      <c r="D14" s="57" t="inlineStr">
        <is>
          <t>CONFORME</t>
        </is>
      </c>
      <c r="E14" s="57" t="inlineStr">
        <is>
          <t>Sin acción: la segmentación valida la geometría del bloque.</t>
        </is>
      </c>
    </row>
    <row r="15">
      <c r="A15" s="56" t="inlineStr">
        <is>
          <t>G-07</t>
        </is>
      </c>
      <c r="B15" s="56" t="inlineStr">
        <is>
          <t>Brecha espectral MSAVI</t>
        </is>
      </c>
      <c r="C15" s="56" t="inlineStr">
        <is>
          <t>El 73.33 % del bloque queda bajo el umbral 0.4976; superficie de brecha 55.26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75.36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(0.4725) cae en la clase «0.3813 - 0.4976 (Vigor bajo)» y la clase DN dominante por superficie es «DN 3 · 0.3813 - 0.4976 (Vigor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Superficie de ecosistema (ha)</t>
        </is>
      </c>
      <c r="C19" s="56" t="inlineStr">
        <is>
          <t>El libro de resumen V6 consignaba «75.36 ha (superficie total del bloque; desagregación por unidad ecosistémica por verificar)»; la ficha de campo vigente declara «75.36 (superficie total del bloque; desagregación por unidad ecosistémica por verificar)».</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Uso actual dominante del suelo</t>
        </is>
      </c>
      <c r="C20" s="57" t="inlineStr">
        <is>
          <t>El libro de resumen V6 consignaba «Forestal de protección»; la ficha de campo vigente declara «Forestal protección».</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85.7 % de los campos esperados).</t>
        </is>
      </c>
      <c r="D21" s="56" t="inlineStr">
        <is>
          <t>CONFORME</t>
        </is>
      </c>
      <c r="E21" s="56" t="inlineStr">
        <is>
          <t>Sin acción.</t>
        </is>
      </c>
    </row>
    <row r="22">
      <c r="A22" s="57" t="inlineStr">
        <is>
          <t>F-02</t>
        </is>
      </c>
      <c r="B22" s="57" t="inlineStr">
        <is>
          <t>Cobertura de la integración</t>
        </is>
      </c>
      <c r="C22" s="57" t="inlineStr">
        <is>
          <t>Se declararon 90 de 114 hechos integrados (78.9 %); 24 quedan sin dato en ninguna fuente.</t>
        </is>
      </c>
      <c r="D22" s="57" t="inlineStr">
        <is>
          <t>CONFORME</t>
        </is>
      </c>
      <c r="E22" s="57" t="inlineStr">
        <is>
          <t>Sin acción.</t>
        </is>
      </c>
    </row>
    <row r="23">
      <c r="A23" s="56" t="inlineStr">
        <is>
          <t>H-01</t>
        </is>
      </c>
      <c r="B23" s="56" t="inlineStr">
        <is>
          <t>Cobertura vegetal total</t>
        </is>
      </c>
      <c r="C23" s="56" t="inlineStr">
        <is>
          <t>La ficha DT estima 80 % de cobertura vegetal en campo; el NDVI mediana 2025 clasifica 100.00 %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H-02</t>
        </is>
      </c>
      <c r="B24" s="57" t="inlineStr">
        <is>
          <t>Representatividad del levantamiento</t>
        </is>
      </c>
      <c r="C24" s="57" t="inlineStr">
        <is>
          <t>Ninguna de las estaciones fotográficas georreferenciadas se localiza dentro del polígono del bloque</t>
        </is>
      </c>
      <c r="D24" s="57" t="inlineStr">
        <is>
          <t>SUSTANTIVA</t>
        </is>
      </c>
      <c r="E24" s="57" t="inlineStr">
        <is>
          <t>La verificación documenta el perímetro y la vista panorámica del bloque, no su interior. Los parámetros que exigen recorrido interno se consignan «Por determinar». (Verificación heredada de la ficha de resumen V6.)</t>
        </is>
      </c>
    </row>
    <row r="25">
      <c r="A25" s="56" t="inlineStr">
        <is>
          <t>H-03</t>
        </is>
      </c>
      <c r="B25" s="56" t="inlineStr">
        <is>
          <t>F-DT-01</t>
        </is>
      </c>
      <c r="C25" s="56" t="inlineStr">
        <is>
          <t>VERIFICACIÓN EXTERNA desde una ESTACIÓN ÚNICA sobre la vía; completitud física &lt;10%; el interior no fue recorrido</t>
        </is>
      </c>
      <c r="D25" s="56" t="inlineStr">
        <is>
          <t>SUSTANTIVA</t>
        </is>
      </c>
      <c r="E25" s="56" t="inlineStr">
        <is>
          <t>Recorrido interno pendiente (Verificación heredada de la ficha de resumen V6.)</t>
        </is>
      </c>
    </row>
    <row r="26">
      <c r="A26" s="57" t="inlineStr">
        <is>
          <t>H-04</t>
        </is>
      </c>
      <c r="B26" s="57" t="inlineStr">
        <is>
          <t>F-DT-02</t>
        </is>
      </c>
      <c r="C26" s="57" t="inlineStr">
        <is>
          <t>Inventario de cárcavas no ejecutado; sellamiento, compactación y raíces expuestas en blanco</t>
        </is>
      </c>
      <c r="D26" s="57" t="inlineStr">
        <is>
          <t>SUSTANTIVA</t>
        </is>
      </c>
      <c r="E26" s="57" t="inlineStr">
        <is>
          <t>No observables desde la distancia de toma (Verificación heredada de la ficha de resumen V6.)</t>
        </is>
      </c>
    </row>
    <row r="27">
      <c r="A27" s="56" t="inlineStr">
        <is>
          <t>H-05</t>
        </is>
      </c>
      <c r="B27" s="56" t="inlineStr">
        <is>
          <t>F-DT-03</t>
        </is>
      </c>
      <c r="C27" s="56" t="inlineStr">
        <is>
          <t>Columna de abundancia deliberadamente en blanco; coberturas por estimación ocular externa</t>
        </is>
      </c>
      <c r="D27" s="56" t="inlineStr">
        <is>
          <t>NO SUSTANTIVA</t>
        </is>
      </c>
      <c r="E27" s="56" t="inlineStr">
        <is>
          <t>Criterio de no fabricación correctamente aplicado (Verificación heredada de la ficha de resumen V6.)</t>
        </is>
      </c>
    </row>
    <row r="28">
      <c r="A28" s="57" t="inlineStr">
        <is>
          <t>H-06</t>
        </is>
      </c>
      <c r="B28" s="57" t="inlineStr">
        <is>
          <t>F-DT-04</t>
        </is>
      </c>
      <c r="C28" s="57" t="inlineStr">
        <is>
          <t>Solo 1 de las 16 causas cuenta con evidencia directa; el resto queda con presencia en blanco</t>
        </is>
      </c>
      <c r="D28" s="57" t="inlineStr">
        <is>
          <t>SUSTANTIVA</t>
        </is>
      </c>
      <c r="E28" s="57" t="inlineStr">
        <is>
          <t>Criterio de no fabricación correctamente aplicado (Verificación heredada de la ficha de resumen V6.)</t>
        </is>
      </c>
    </row>
    <row r="30">
      <c r="A30" s="58" t="inlineStr">
        <is>
          <t>RESUMEN</t>
        </is>
      </c>
      <c r="B30" s="59" t="inlineStr">
        <is>
          <t>20 verificaciones</t>
        </is>
      </c>
      <c r="C30" s="59" t="inlineStr">
        <is>
          <t>SUSTANTIVA: 5 · NO SUSTANTIVA: 3 · CORREGIDO: 2 · CONFORME: 10</t>
        </is>
      </c>
    </row>
    <row r="32">
      <c r="A32"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2:E32"/>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M17B10</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Superficie de ecosistema (ha)</t>
        </is>
      </c>
      <c r="C9" s="56" t="inlineStr">
        <is>
          <t>75.36 ha (superficie total del bloque; desagregación por unidad ecosistémica por verificar)</t>
        </is>
      </c>
      <c r="D9" s="56" t="inlineStr">
        <is>
          <t>75.36 (superficie total del bloque; desagregación por unidad ecosistémica por verificar)</t>
        </is>
      </c>
      <c r="E9" s="56" t="inlineStr">
        <is>
          <t>Dato de campo</t>
        </is>
      </c>
    </row>
    <row r="10">
      <c r="A10" s="57" t="inlineStr">
        <is>
          <t>5. Ecosistema, cobertura y flora (F-DT-03)</t>
        </is>
      </c>
      <c r="B10" s="57" t="inlineStr">
        <is>
          <t>Uso actual dominante del suelo</t>
        </is>
      </c>
      <c r="C10" s="57" t="inlineStr">
        <is>
          <t>Forestal de protección</t>
        </is>
      </c>
      <c r="D10" s="57" t="inlineStr">
        <is>
          <t>Forestal protección</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606815</t>
        </is>
      </c>
      <c r="D14" s="56" t="inlineStr">
        <is>
          <t>m</t>
        </is>
      </c>
    </row>
    <row r="15">
      <c r="A15" s="57" t="inlineStr">
        <is>
          <t>1. Identificación y localización</t>
        </is>
      </c>
      <c r="B15" s="57" t="inlineStr">
        <is>
          <t>UTM NORTE del punto de muestreo (m)</t>
        </is>
      </c>
      <c r="C15" s="57" t="inlineStr">
        <is>
          <t>9446991</t>
        </is>
      </c>
      <c r="D15" s="57" t="inlineStr">
        <is>
          <t>m</t>
        </is>
      </c>
    </row>
    <row r="16">
      <c r="A16" s="56" t="inlineStr">
        <is>
          <t>2. Parámetros físicos del terreno</t>
        </is>
      </c>
      <c r="B16" s="56" t="inlineStr">
        <is>
          <t>Piso altitudinal del punto de muestreo</t>
        </is>
      </c>
      <c r="C16" s="56" t="inlineStr">
        <is>
          <t>&lt;1000 m (Yunga)</t>
        </is>
      </c>
      <c r="D16" s="56" t="inlineStr"/>
    </row>
    <row r="17">
      <c r="A17" s="57" t="inlineStr">
        <is>
          <t>2. Parámetros físicos del terreno</t>
        </is>
      </c>
      <c r="B17" s="57" t="inlineStr">
        <is>
          <t>Paisaje dominante descrito en campo</t>
        </is>
      </c>
      <c r="C17" s="57" t="inlineStr">
        <is>
          <t>Macizo de colina-montaña de la margen occidental del valle de la microcuenca C1096-Q9556, disectado por quebradas cortas de dirección NO-SE que descargan hacia el cauce torrencial del borde oriental. Rango altitudinal 466-902 msnm (gradiente 436 m), pendiente promedio del bloque 25.94% (estadística zonal MDE). Tercio superior con afloramientos rocosos y canaletas de caída; tercio inferior y fondo de valle con pastizal y bolonería gruesa. Cobertura boscosa continua observada el 15/07/2026 desde la carretera Chulucanas-Frías.</t>
        </is>
      </c>
      <c r="D17" s="57" t="inlineStr"/>
    </row>
    <row r="18">
      <c r="A18" s="56" t="inlineStr">
        <is>
          <t>2. Parámetros físicos del terreno</t>
        </is>
      </c>
      <c r="B18" s="56" t="inlineStr">
        <is>
          <t>Reptación de suelo</t>
        </is>
      </c>
      <c r="C18" s="56" t="inlineStr">
        <is>
          <t>No</t>
        </is>
      </c>
      <c r="D18" s="56" t="inlineStr"/>
    </row>
    <row r="19">
      <c r="A19" s="57" t="inlineStr">
        <is>
          <t>2. Parámetros físicos del terreno</t>
        </is>
      </c>
      <c r="B19" s="57" t="inlineStr">
        <is>
          <t>Deslizamientos antiguos</t>
        </is>
      </c>
      <c r="C19" s="57" t="inlineStr">
        <is>
          <t>Sí</t>
        </is>
      </c>
      <c r="D19" s="57" t="inlineStr"/>
    </row>
    <row r="20">
      <c r="A20" s="56" t="inlineStr">
        <is>
          <t>4. Suelos y erosión (F-DT-02)</t>
        </is>
      </c>
      <c r="B20" s="56" t="inlineStr">
        <is>
          <t>Nivel de erosión - síntesis de campo</t>
        </is>
      </c>
      <c r="C20" s="56" t="inlineStr">
        <is>
          <t>Ligera (laminar)</t>
        </is>
      </c>
      <c r="D20" s="56" t="inlineStr"/>
    </row>
    <row r="21">
      <c r="A21" s="57" t="inlineStr">
        <is>
          <t>4. Suelos y erosión (F-DT-02)</t>
        </is>
      </c>
      <c r="B21" s="57" t="inlineStr">
        <is>
          <t>Longitud total de cárcavas (m)</t>
        </is>
      </c>
      <c r="C21" s="57" t="inlineStr">
        <is>
          <t>No inventariado</t>
        </is>
      </c>
      <c r="D21" s="57" t="inlineStr">
        <is>
          <t>m</t>
        </is>
      </c>
    </row>
    <row r="22">
      <c r="A22" s="56" t="inlineStr">
        <is>
          <t>4. Suelos y erosión (F-DT-02)</t>
        </is>
      </c>
      <c r="B22" s="56" t="inlineStr">
        <is>
          <t>Socavamiento de cauce</t>
        </is>
      </c>
      <c r="C22" s="56" t="inlineStr">
        <is>
          <t>Sí</t>
        </is>
      </c>
      <c r="D22" s="56" t="inlineStr"/>
    </row>
    <row r="23">
      <c r="A23" s="57" t="inlineStr">
        <is>
          <t>5. Ecosistema, cobertura y flora (F-DT-03)</t>
        </is>
      </c>
      <c r="B23" s="57" t="inlineStr">
        <is>
          <t>Cobertura del dosel (%)</t>
        </is>
      </c>
      <c r="C23" s="57" t="inlineStr">
        <is>
          <t>70</t>
        </is>
      </c>
      <c r="D23" s="57" t="inlineStr">
        <is>
          <t>%</t>
        </is>
      </c>
    </row>
    <row r="24">
      <c r="A24" s="56" t="inlineStr">
        <is>
          <t>5. Ecosistema, cobertura y flora (F-DT-03)</t>
        </is>
      </c>
      <c r="B24" s="56" t="inlineStr">
        <is>
          <t>Cobertura arbustiva (%)</t>
        </is>
      </c>
      <c r="C24" s="56" t="inlineStr">
        <is>
          <t>25</t>
        </is>
      </c>
      <c r="D24" s="56" t="inlineStr">
        <is>
          <t>%</t>
        </is>
      </c>
    </row>
    <row r="25">
      <c r="A25" s="57" t="inlineStr">
        <is>
          <t>5. Ecosistema, cobertura y flora (F-DT-03)</t>
        </is>
      </c>
      <c r="B25" s="57" t="inlineStr">
        <is>
          <t>Cobertura herbácea (%)</t>
        </is>
      </c>
      <c r="C25" s="57" t="inlineStr">
        <is>
          <t>15</t>
        </is>
      </c>
      <c r="D25" s="57" t="inlineStr">
        <is>
          <t>%</t>
        </is>
      </c>
    </row>
    <row r="26">
      <c r="A26" s="56" t="inlineStr">
        <is>
          <t>5. Ecosistema, cobertura y flora (F-DT-03)</t>
        </is>
      </c>
      <c r="B26" s="56" t="inlineStr">
        <is>
          <t>Presencia de epífitas</t>
        </is>
      </c>
      <c r="C26" s="56" t="inlineStr">
        <is>
          <t>Sí</t>
        </is>
      </c>
      <c r="D26" s="56" t="inlineStr"/>
    </row>
    <row r="27">
      <c r="A27" s="57" t="inlineStr">
        <is>
          <t>5. Ecosistema, cobertura y flora (F-DT-03)</t>
        </is>
      </c>
      <c r="B27" s="57" t="inlineStr">
        <is>
          <t>Fenología dominante</t>
        </is>
      </c>
      <c r="C27" s="57" t="inlineStr">
        <is>
          <t>Vegetativo</t>
        </is>
      </c>
      <c r="D27" s="57" t="inlineStr"/>
    </row>
    <row r="28">
      <c r="A28" s="56" t="inlineStr">
        <is>
          <t>5. Ecosistema, cobertura y flora (F-DT-03)</t>
        </is>
      </c>
      <c r="B28" s="56" t="inlineStr">
        <is>
          <t>Dimensiones de la parcela (m)</t>
        </is>
      </c>
      <c r="C28" s="56" t="inlineStr">
        <is>
          <t>No aplica</t>
        </is>
      </c>
      <c r="D28" s="56" t="inlineStr"/>
    </row>
    <row r="29">
      <c r="A29" s="57" t="inlineStr">
        <is>
          <t>5. Ecosistema, cobertura y flora (F-DT-03)</t>
        </is>
      </c>
      <c r="B29" s="57" t="inlineStr">
        <is>
          <t>Pendiente de la parcela (%)</t>
        </is>
      </c>
      <c r="C29" s="57" t="inlineStr">
        <is>
          <t>No aplica (sin parcela). Pendiente media del bloque: 25.94% (estadística zonal MDE)</t>
        </is>
      </c>
      <c r="D29" s="57" t="inlineStr">
        <is>
          <t>%</t>
        </is>
      </c>
    </row>
    <row r="30">
      <c r="A30" s="56" t="inlineStr">
        <is>
          <t>5. Ecosistema, cobertura y flora (F-DT-03)</t>
        </is>
      </c>
      <c r="B30" s="56" t="inlineStr">
        <is>
          <t>Especies clave georreferenciadas</t>
        </is>
      </c>
      <c r="C30" s="56" t="inlineStr">
        <is>
          <t>10</t>
        </is>
      </c>
      <c r="D30" s="56" t="inlineStr"/>
    </row>
    <row r="31">
      <c r="A31" s="57" t="inlineStr">
        <is>
          <t>6. Degradación, causas y urgencia (F-DT-04)</t>
        </is>
      </c>
      <c r="B31" s="57" t="inlineStr">
        <is>
          <t>Causas directas de la degradación</t>
        </is>
      </c>
      <c r="C31" s="57" t="inlineStr">
        <is>
          <t>Presión vial en el borde SE (cortes de talud sin tratamiento, plataforma y tráfico de la carretera Chulucanas-Frías) y pastoreo extensivo en el fondo de valle y ladera baja. La extracción de leña, las quemas y el cambio de uso no fueron observados desde el punto externo y quedan por verificar. El macizo central conserva dosel continuo.</t>
        </is>
      </c>
      <c r="D31" s="57" t="inlineStr"/>
    </row>
    <row r="32">
      <c r="A32" s="56" t="inlineStr">
        <is>
          <t>6. Degradación, causas y urgencia (F-DT-04)</t>
        </is>
      </c>
      <c r="B32" s="56" t="inlineStr">
        <is>
          <t>N.° de causas activas en la matriz F-DT-04</t>
        </is>
      </c>
      <c r="C32" s="56" t="inlineStr">
        <is>
          <t>1</t>
        </is>
      </c>
      <c r="D32" s="56" t="inlineStr"/>
    </row>
    <row r="33">
      <c r="A33" s="57" t="inlineStr">
        <is>
          <t>7. Hidrología, acceso y logística (F-DT-05)</t>
        </is>
      </c>
      <c r="B33" s="57" t="inlineStr">
        <is>
          <t>Escorrentía concentrada</t>
        </is>
      </c>
      <c r="C33" s="57" t="inlineStr">
        <is>
          <t>Sí</t>
        </is>
      </c>
      <c r="D33" s="57" t="inlineStr"/>
    </row>
    <row r="34">
      <c r="A34" s="56" t="inlineStr">
        <is>
          <t>7. Hidrología, acceso y logística (F-DT-05)</t>
        </is>
      </c>
      <c r="B34" s="56" t="inlineStr">
        <is>
          <t>Fuentes de agua inventariadas</t>
        </is>
      </c>
      <c r="C34" s="56" t="inlineStr">
        <is>
          <t>1</t>
        </is>
      </c>
      <c r="D34" s="56" t="inlineStr"/>
    </row>
    <row r="35">
      <c r="A35" s="57" t="inlineStr">
        <is>
          <t>7. Hidrología, acceso y logística (F-DT-05)</t>
        </is>
      </c>
      <c r="B35" s="57" t="inlineStr">
        <is>
          <t>Vía principal de acceso</t>
        </is>
      </c>
      <c r="C35" s="57" t="inlineStr">
        <is>
          <t>Carretera Chulucanas-Frías (codigo de ruta por confirmar); acceso rodado hasta el pie del bloque</t>
        </is>
      </c>
      <c r="D35" s="57" t="inlineStr"/>
    </row>
    <row r="36">
      <c r="A36" s="56" t="inlineStr">
        <is>
          <t>7. Hidrología, acceso y logística (F-DT-05)</t>
        </is>
      </c>
      <c r="B36" s="56" t="inlineStr">
        <is>
          <t>Tipo de vía del tramo final</t>
        </is>
      </c>
      <c r="C36" s="56" t="inlineStr">
        <is>
          <t>Departamental afirmada</t>
        </is>
      </c>
      <c r="D36" s="56" t="inlineStr"/>
    </row>
    <row r="37">
      <c r="A37" s="57" t="inlineStr">
        <is>
          <t>7. Hidrología, acceso y logística (F-DT-05)</t>
        </is>
      </c>
      <c r="B37" s="57" t="inlineStr">
        <is>
          <t>Transitabilidad en época seca</t>
        </is>
      </c>
      <c r="C37" s="57" t="inlineStr">
        <is>
          <t>Alto</t>
        </is>
      </c>
      <c r="D37" s="57"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51</v>
      </c>
      <c r="C41" s="56" t="inlineStr">
        <is>
          <t>Verificación en campo. Fichas F-DT-01 a F-DT-05 de la Plantilla DT Campo Check Validada V5, suscritas por el evaluador.</t>
        </is>
      </c>
    </row>
    <row r="42">
      <c r="A42" s="57" t="inlineStr">
        <is>
          <t>Gabinete (GIS / teledetección)</t>
        </is>
      </c>
      <c r="B42" s="57" t="n">
        <v>25</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2</v>
      </c>
      <c r="C48" s="57" t="inlineStr">
        <is>
          <t>Solo una de las fuentes lo declara y se adopta ese valor.</t>
        </is>
      </c>
    </row>
    <row r="49">
      <c r="A49" s="56" t="inlineStr">
        <is>
          <t>ACTUALIZADO</t>
        </is>
      </c>
      <c r="B49" s="56" t="n">
        <v>2</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24</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M17B10</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Frijolillo</t>
        </is>
      </c>
      <c r="C13" s="56" t="inlineStr">
        <is>
          <t>Erythrina edulis</t>
        </is>
      </c>
      <c r="D13" s="56" t="inlineStr">
        <is>
          <t>Fabaceae</t>
        </is>
      </c>
      <c r="E13" s="56" t="inlineStr">
        <is>
          <t>Arbóreo medio (8-15 m)</t>
        </is>
      </c>
      <c r="F13" s="56" t="inlineStr">
        <is>
          <t>Nativa</t>
        </is>
      </c>
      <c r="G13" s="56" t="inlineStr"/>
      <c r="H13" s="56" t="n"/>
      <c r="I13" s="56" t="n"/>
    </row>
    <row r="14">
      <c r="A14" s="57" t="inlineStr">
        <is>
          <t>2</t>
        </is>
      </c>
      <c r="B14" s="57" t="inlineStr">
        <is>
          <t>Ceibo</t>
        </is>
      </c>
      <c r="C14" s="57" t="inlineStr">
        <is>
          <t>Ceiba trischistandra</t>
        </is>
      </c>
      <c r="D14" s="57" t="inlineStr">
        <is>
          <t>Malvaceae</t>
        </is>
      </c>
      <c r="E14" s="57" t="inlineStr">
        <is>
          <t>Arbóreo superior (&gt;15 m)</t>
        </is>
      </c>
      <c r="F14" s="57" t="inlineStr">
        <is>
          <t>Nativa</t>
        </is>
      </c>
      <c r="G14" s="57" t="inlineStr"/>
      <c r="H14" s="57" t="n"/>
      <c r="I14" s="57" t="n"/>
    </row>
    <row r="15">
      <c r="A15" s="56" t="inlineStr">
        <is>
          <t>3</t>
        </is>
      </c>
      <c r="B15" s="56" t="inlineStr">
        <is>
          <t>Faique</t>
        </is>
      </c>
      <c r="C15" s="56" t="inlineStr">
        <is>
          <t>Vachellia macracantha (=Acacia macracantha)</t>
        </is>
      </c>
      <c r="D15" s="56" t="inlineStr">
        <is>
          <t>Fabaceae</t>
        </is>
      </c>
      <c r="E15" s="56" t="inlineStr">
        <is>
          <t>Arbóreo medio (8-15 m)</t>
        </is>
      </c>
      <c r="F15" s="56" t="inlineStr">
        <is>
          <t>Nativa</t>
        </is>
      </c>
      <c r="G15" s="56" t="inlineStr"/>
      <c r="H15" s="56" t="n"/>
      <c r="I15" s="56" t="n"/>
    </row>
    <row r="16">
      <c r="A16" s="57" t="inlineStr">
        <is>
          <t>4</t>
        </is>
      </c>
      <c r="B16" s="57" t="inlineStr">
        <is>
          <t>Hualtaco</t>
        </is>
      </c>
      <c r="C16" s="57" t="inlineStr">
        <is>
          <t>Loxopterygium huasango</t>
        </is>
      </c>
      <c r="D16" s="57" t="inlineStr">
        <is>
          <t>Anacardiaceae</t>
        </is>
      </c>
      <c r="E16" s="57" t="inlineStr">
        <is>
          <t>Arbóreo medio (8-15 m)</t>
        </is>
      </c>
      <c r="F16" s="57" t="inlineStr">
        <is>
          <t>Nativa</t>
        </is>
      </c>
      <c r="G16" s="57" t="inlineStr"/>
      <c r="H16" s="57" t="n"/>
      <c r="I16" s="57" t="n"/>
    </row>
    <row r="17">
      <c r="A17" s="56" t="inlineStr">
        <is>
          <t>5</t>
        </is>
      </c>
      <c r="B17" s="56" t="inlineStr">
        <is>
          <t>Palo santo</t>
        </is>
      </c>
      <c r="C17" s="56" t="inlineStr">
        <is>
          <t>Bursera graveolens</t>
        </is>
      </c>
      <c r="D17" s="56" t="inlineStr">
        <is>
          <t>Burseraceae</t>
        </is>
      </c>
      <c r="E17" s="56" t="inlineStr">
        <is>
          <t>Arbóreo bajo (4-8 m)</t>
        </is>
      </c>
      <c r="F17" s="56" t="inlineStr">
        <is>
          <t>Nativa</t>
        </is>
      </c>
      <c r="G17" s="56" t="inlineStr"/>
      <c r="H17" s="56" t="n"/>
      <c r="I17" s="56" t="n"/>
    </row>
    <row r="18">
      <c r="A18" s="57" t="inlineStr">
        <is>
          <t>6</t>
        </is>
      </c>
      <c r="B18" s="57" t="inlineStr">
        <is>
          <t>Algarrobo</t>
        </is>
      </c>
      <c r="C18" s="57" t="inlineStr">
        <is>
          <t>Prosopis pallida</t>
        </is>
      </c>
      <c r="D18" s="57" t="inlineStr">
        <is>
          <t>Fabaceae</t>
        </is>
      </c>
      <c r="E18" s="57" t="inlineStr">
        <is>
          <t>Arbóreo medio (8-15 m)</t>
        </is>
      </c>
      <c r="F18" s="57" t="inlineStr">
        <is>
          <t>Nativa</t>
        </is>
      </c>
      <c r="G18" s="57" t="inlineStr"/>
      <c r="H18" s="57" t="n"/>
      <c r="I18" s="57" t="n"/>
    </row>
    <row r="19">
      <c r="A19" s="56" t="inlineStr">
        <is>
          <t>7</t>
        </is>
      </c>
      <c r="B19" s="56" t="inlineStr">
        <is>
          <t>Overo</t>
        </is>
      </c>
      <c r="C19" s="56" t="inlineStr">
        <is>
          <t>Cordia lutea</t>
        </is>
      </c>
      <c r="D19" s="56" t="inlineStr">
        <is>
          <t>Boraginaceae</t>
        </is>
      </c>
      <c r="E19" s="56" t="inlineStr">
        <is>
          <t>Arbustivo alto (1.5-4 m)</t>
        </is>
      </c>
      <c r="F19" s="56" t="inlineStr">
        <is>
          <t>Nativa</t>
        </is>
      </c>
      <c r="G19" s="56" t="inlineStr"/>
      <c r="H19" s="56" t="n"/>
      <c r="I19" s="56" t="n"/>
    </row>
    <row r="20">
      <c r="A20" s="57" t="inlineStr">
        <is>
          <t>8</t>
        </is>
      </c>
      <c r="B20" s="57" t="inlineStr">
        <is>
          <t>Cactaceas columnares (cardo/giganton)</t>
        </is>
      </c>
      <c r="C20" s="57" t="inlineStr">
        <is>
          <t>Armatocereus sp. / Neoraimondia sp. (det. por confirmar)</t>
        </is>
      </c>
      <c r="D20" s="57" t="inlineStr">
        <is>
          <t>Cactaceae</t>
        </is>
      </c>
      <c r="E20" s="57" t="inlineStr">
        <is>
          <t>Arbustivo alto (1.5-4 m)</t>
        </is>
      </c>
      <c r="F20" s="57" t="inlineStr">
        <is>
          <t>Nativa</t>
        </is>
      </c>
      <c r="G20" s="57" t="inlineStr"/>
      <c r="H20" s="57" t="n"/>
      <c r="I20" s="57" t="n"/>
    </row>
    <row r="21">
      <c r="A21" s="56" t="inlineStr">
        <is>
          <t>9</t>
        </is>
      </c>
      <c r="B21" s="56" t="inlineStr">
        <is>
          <t>Charan</t>
        </is>
      </c>
      <c r="C21" s="56" t="inlineStr">
        <is>
          <t>Caesalpinia paipai</t>
        </is>
      </c>
      <c r="D21" s="56" t="inlineStr">
        <is>
          <t>Fabaceae</t>
        </is>
      </c>
      <c r="E21" s="56" t="inlineStr">
        <is>
          <t>Arbóreo bajo (4-8 m)</t>
        </is>
      </c>
      <c r="F21" s="56" t="inlineStr">
        <is>
          <t>Nativa</t>
        </is>
      </c>
      <c r="G21" s="56" t="inlineStr"/>
      <c r="H21" s="56" t="n"/>
      <c r="I21" s="56" t="n"/>
    </row>
    <row r="22">
      <c r="A22" s="57" t="inlineStr">
        <is>
          <t>10</t>
        </is>
      </c>
      <c r="B22" s="57" t="inlineStr">
        <is>
          <t>Pasallo</t>
        </is>
      </c>
      <c r="C22" s="57" t="inlineStr">
        <is>
          <t>Eriotheca ruizii</t>
        </is>
      </c>
      <c r="D22" s="57" t="inlineStr">
        <is>
          <t>Malvaceae</t>
        </is>
      </c>
      <c r="E22" s="57" t="inlineStr">
        <is>
          <t>Arbóreo medio (8-15 m)</t>
        </is>
      </c>
      <c r="F22" s="57" t="inlineStr">
        <is>
          <t>Nativa</t>
        </is>
      </c>
      <c r="G22" s="57" t="inlineStr"/>
      <c r="H22" s="57" t="n"/>
      <c r="I22" s="57" t="n"/>
    </row>
    <row r="23">
      <c r="A23" s="56" t="inlineStr">
        <is>
          <t>11</t>
        </is>
      </c>
      <c r="B23" s="56" t="inlineStr">
        <is>
          <t>Borrachera</t>
        </is>
      </c>
      <c r="C23" s="56" t="inlineStr">
        <is>
          <t>Ipomoea carnea</t>
        </is>
      </c>
      <c r="D23" s="56" t="inlineStr">
        <is>
          <t>Convolvulaceae</t>
        </is>
      </c>
      <c r="E23" s="56" t="inlineStr">
        <is>
          <t>Arbustivo alto (1.5-4 m)</t>
        </is>
      </c>
      <c r="F23" s="56" t="inlineStr">
        <is>
          <t>Nativa</t>
        </is>
      </c>
      <c r="G23" s="56" t="inlineStr"/>
      <c r="H23" s="56" t="n"/>
      <c r="I23" s="56" t="n"/>
    </row>
    <row r="24">
      <c r="A24" s="57" t="inlineStr">
        <is>
          <t>12</t>
        </is>
      </c>
      <c r="B24" s="57" t="inlineStr">
        <is>
          <t>Sapote</t>
        </is>
      </c>
      <c r="C24" s="57" t="inlineStr">
        <is>
          <t>Colicodendron scabridum (=Capparis scabrida)</t>
        </is>
      </c>
      <c r="D24" s="57" t="inlineStr">
        <is>
          <t>Capparaceae</t>
        </is>
      </c>
      <c r="E24" s="57" t="inlineStr">
        <is>
          <t>Arbóreo bajo (4-8 m)</t>
        </is>
      </c>
      <c r="F24" s="57" t="inlineStr">
        <is>
          <t>Nativa</t>
        </is>
      </c>
      <c r="G24" s="57" t="inlineStr"/>
      <c r="H24" s="57" t="n"/>
      <c r="I24" s="57" t="n"/>
    </row>
    <row r="25">
      <c r="A25" s="56" t="inlineStr">
        <is>
          <t>13</t>
        </is>
      </c>
      <c r="B25" s="56" t="inlineStr">
        <is>
          <t>Guayacan</t>
        </is>
      </c>
      <c r="C25" s="56" t="inlineStr">
        <is>
          <t>Handroanthus / Tabebuia sp. (det. por confirmar)</t>
        </is>
      </c>
      <c r="D25" s="56" t="inlineStr">
        <is>
          <t>Bignoniaceae</t>
        </is>
      </c>
      <c r="E25" s="56" t="inlineStr">
        <is>
          <t>Arbóreo medio (8-15 m)</t>
        </is>
      </c>
      <c r="F25" s="56" t="inlineStr">
        <is>
          <t>Nativa</t>
        </is>
      </c>
      <c r="G25" s="56" t="inlineStr"/>
      <c r="H25" s="56" t="n"/>
      <c r="I25" s="56" t="n"/>
    </row>
    <row r="26">
      <c r="A26" s="57" t="inlineStr">
        <is>
          <t>14</t>
        </is>
      </c>
      <c r="B26" s="57" t="inlineStr">
        <is>
          <t>Salvajina / barba de viejo</t>
        </is>
      </c>
      <c r="C26" s="57" t="inlineStr">
        <is>
          <t>Tillandsia usneoides</t>
        </is>
      </c>
      <c r="D26" s="57" t="inlineStr">
        <is>
          <t>Bromeliaceae</t>
        </is>
      </c>
      <c r="E26" s="57" t="inlineStr">
        <is>
          <t>Epífito</t>
        </is>
      </c>
      <c r="F26" s="57" t="inlineStr">
        <is>
          <t>Nativa</t>
        </is>
      </c>
      <c r="G26" s="57" t="inlineStr"/>
      <c r="H26" s="57" t="n"/>
      <c r="I26" s="57" t="n"/>
    </row>
    <row r="27">
      <c r="A27" s="56" t="inlineStr">
        <is>
          <t>15</t>
        </is>
      </c>
      <c r="B27" s="56" t="inlineStr">
        <is>
          <t>Pasto natural / gramineas</t>
        </is>
      </c>
      <c r="C27" s="56" t="inlineStr">
        <is>
          <t>Poaceae (indet.)</t>
        </is>
      </c>
      <c r="D27" s="56" t="inlineStr">
        <is>
          <t>Poaceae</t>
        </is>
      </c>
      <c r="E27" s="56" t="inlineStr">
        <is>
          <t>Herbáceo (&lt;0.5 m)</t>
        </is>
      </c>
      <c r="F27" s="56" t="inlineStr">
        <is>
          <t>Nativa</t>
        </is>
      </c>
      <c r="G27" s="56" t="inlineStr"/>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Loxopterygium huasango (Hualtaco)</t>
        </is>
      </c>
      <c r="C31" s="56" t="inlineStr">
        <is>
          <t>Amenazada (D.S. 043-2006-AG)</t>
        </is>
      </c>
      <c r="D31" s="56" t="inlineStr">
        <is>
          <t>CR — En Peligro Crítico</t>
        </is>
      </c>
      <c r="E31" s="56" t="n"/>
      <c r="F31" s="56" t="n"/>
      <c r="G31" s="56" t="n"/>
      <c r="H31" s="56" t="inlineStr">
        <is>
          <t>Especie maderable de alto valor; extracción histórica para parquet y postes. Georreferenciación individual por verificar.</t>
        </is>
      </c>
    </row>
    <row r="32">
      <c r="A32" s="57" t="inlineStr">
        <is>
          <t>2</t>
        </is>
      </c>
      <c r="B32" s="57" t="inlineStr">
        <is>
          <t>Bursera graveolens (Palo santo)</t>
        </is>
      </c>
      <c r="C32" s="57" t="inlineStr">
        <is>
          <t>Amenazada (D.S. 043-2006-AG)</t>
        </is>
      </c>
      <c r="D32" s="57" t="inlineStr">
        <is>
          <t>CR — En Peligro Crítico</t>
        </is>
      </c>
      <c r="E32" s="57" t="n"/>
      <c r="F32" s="57" t="n"/>
      <c r="G32" s="57" t="n"/>
      <c r="H32" s="57" t="inlineStr">
        <is>
          <t>Presión por extracción de leña aromática y resina. Georreferenciación individual por verificar.</t>
        </is>
      </c>
    </row>
    <row r="33">
      <c r="A33" s="56" t="inlineStr">
        <is>
          <t>3</t>
        </is>
      </c>
      <c r="B33" s="56" t="inlineStr">
        <is>
          <t>Colicodendron scabridum (Sapote)</t>
        </is>
      </c>
      <c r="C33" s="56" t="inlineStr">
        <is>
          <t>Amenazada (D.S. 043-2006-AG)</t>
        </is>
      </c>
      <c r="D33" s="56" t="inlineStr">
        <is>
          <t>CR — En Peligro Crítico</t>
        </is>
      </c>
      <c r="E33" s="56" t="n"/>
      <c r="F33" s="56" t="n"/>
      <c r="G33" s="56" t="n"/>
      <c r="H33" s="56" t="inlineStr">
        <is>
          <t>Un informe DT previo del proyecto la consigna como EN; discrepancia registrada, no resuelta.</t>
        </is>
      </c>
    </row>
    <row r="34">
      <c r="A34" s="57" t="inlineStr">
        <is>
          <t>4</t>
        </is>
      </c>
      <c r="B34" s="57" t="inlineStr">
        <is>
          <t>Prosopis pallida (Algarrobo)</t>
        </is>
      </c>
      <c r="C34" s="57" t="inlineStr">
        <is>
          <t>Amenazada (D.S. 043-2006-AG)</t>
        </is>
      </c>
      <c r="D34" s="57" t="inlineStr"/>
      <c r="E34" s="57" t="n"/>
      <c r="F34" s="57" t="n"/>
      <c r="G34" s="57" t="n"/>
      <c r="H34" s="57" t="inlineStr">
        <is>
          <t>Categoría discrepante entre fuentes regionales (VU / CR); por confirmar contra el texto oficial del D.S. 043-2006-AG.</t>
        </is>
      </c>
    </row>
    <row r="35">
      <c r="A35" s="56" t="inlineStr">
        <is>
          <t>5</t>
        </is>
      </c>
      <c r="B35" s="56" t="inlineStr">
        <is>
          <t>Vachellia macracantha (Faique)</t>
        </is>
      </c>
      <c r="C35" s="56" t="inlineStr">
        <is>
          <t>Amenazada (D.S. 043-2006-AG)</t>
        </is>
      </c>
      <c r="D35" s="56" t="inlineStr">
        <is>
          <t>NT — Casi Amenazado</t>
        </is>
      </c>
      <c r="E35" s="56" t="n"/>
      <c r="F35" s="56" t="n"/>
      <c r="G35" s="56" t="n"/>
      <c r="H35" s="56" t="inlineStr">
        <is>
          <t>Pionera fijadora de nitrógeno; prioritaria para revegetación y estabilización de taludes.</t>
        </is>
      </c>
    </row>
    <row r="36">
      <c r="A36" s="57" t="inlineStr">
        <is>
          <t>6</t>
        </is>
      </c>
      <c r="B36" s="57" t="inlineStr">
        <is>
          <t>Ceiba trischistandra (Ceibo)</t>
        </is>
      </c>
      <c r="C36" s="57" t="inlineStr">
        <is>
          <t>Indicadora de buen estado</t>
        </is>
      </c>
      <c r="D36" s="57" t="inlineStr"/>
      <c r="E36" s="57" t="n"/>
      <c r="F36" s="57" t="n"/>
      <c r="G36" s="57" t="n"/>
      <c r="H36" s="57" t="inlineStr">
        <is>
          <t>Emergente emblemática del Bes-cm; su presencia indica estructura arbórea conservada. Categoría de amenaza por verificar.</t>
        </is>
      </c>
    </row>
    <row r="37">
      <c r="A37" s="56" t="inlineStr">
        <is>
          <t>7</t>
        </is>
      </c>
      <c r="B37" s="56" t="inlineStr">
        <is>
          <t>Eriotheca ruizii (Pasallo)</t>
        </is>
      </c>
      <c r="C37" s="56" t="inlineStr">
        <is>
          <t>Indicadora de buen estado</t>
        </is>
      </c>
      <c r="D37" s="56" t="inlineStr"/>
      <c r="E37" s="56" t="n"/>
      <c r="F37" s="56" t="n"/>
      <c r="G37" s="56" t="n"/>
      <c r="H37" s="56" t="inlineStr">
        <is>
          <t>Elemento estructural del Bes-cm de colina-montaña. Categoría de amenaza por verificar.</t>
        </is>
      </c>
    </row>
    <row r="38">
      <c r="A38" s="57" t="inlineStr">
        <is>
          <t>8</t>
        </is>
      </c>
      <c r="B38" s="57" t="inlineStr">
        <is>
          <t>Handroanthus / Tabebuia sp. (Guayacan)</t>
        </is>
      </c>
      <c r="C38" s="57" t="inlineStr">
        <is>
          <t>Indicadora de buen estado</t>
        </is>
      </c>
      <c r="D38" s="57" t="inlineStr"/>
      <c r="E38" s="57" t="n"/>
      <c r="F38" s="57" t="n"/>
      <c r="G38" s="57" t="n"/>
      <c r="H38" s="57" t="inlineStr">
        <is>
          <t>Individuos con floración amarilla registrados en F-01 y F-03 (15/07/2026); determinación específica por confirmar.</t>
        </is>
      </c>
    </row>
    <row r="39">
      <c r="A39" s="56" t="inlineStr">
        <is>
          <t>9</t>
        </is>
      </c>
      <c r="B39" s="56" t="inlineStr">
        <is>
          <t>Tillandsia usneoides (Salvajina)</t>
        </is>
      </c>
      <c r="C39" s="56" t="inlineStr">
        <is>
          <t>Indicadora de buen estado</t>
        </is>
      </c>
      <c r="D39" s="56" t="inlineStr">
        <is>
          <t>No aplica</t>
        </is>
      </c>
      <c r="E39" s="56" t="n"/>
      <c r="F39" s="56" t="n"/>
      <c r="G39" s="56" t="n"/>
      <c r="H39" s="56" t="inlineStr">
        <is>
          <t>Epifitismo denso sobre fustes y ramas en F-01, F-02, F-03 y F-07: indicador de humedad atmosférica persistente (neblina) en el tercio medio-superior.</t>
        </is>
      </c>
    </row>
    <row r="40">
      <c r="A40" s="57" t="inlineStr">
        <is>
          <t>10</t>
        </is>
      </c>
      <c r="B40" s="57" t="inlineStr">
        <is>
          <t>Cactaceas columnares (Cactaceae)</t>
        </is>
      </c>
      <c r="C40" s="57" t="inlineStr"/>
      <c r="D40" s="57" t="inlineStr"/>
      <c r="E40" s="57" t="n"/>
      <c r="F40" s="57" t="n"/>
      <c r="G40" s="57" t="n"/>
      <c r="H40" s="57" t="inlineStr">
        <is>
          <t>Determinación taxonómica pendiente; requiere colecta botánica en época de lluvias.</t>
        </is>
      </c>
    </row>
    <row r="42">
      <c r="A42" s="54" t="inlineStr">
        <is>
          <t>F-DT-04 · MATRIZ DE CAUSAS DE DEGRADACIÓN</t>
        </is>
      </c>
    </row>
    <row r="43">
      <c r="A43" s="55" t="inlineStr">
        <is>
          <t>N.o</t>
        </is>
      </c>
      <c r="B43" s="55" t="inlineStr">
        <is>
          <t>Causa</t>
        </is>
      </c>
      <c r="C43" s="55" t="inlineStr">
        <is>
          <t>Presencia</t>
        </is>
      </c>
      <c r="D43" s="55" t="inlineStr">
        <is>
          <t>Intensidad</t>
        </is>
      </c>
      <c r="E43" s="55" t="inlineStr">
        <is>
          <t>Extensión</t>
        </is>
      </c>
      <c r="F43" s="55" t="inlineStr">
        <is>
          <t>Antigüedad</t>
        </is>
      </c>
      <c r="G43" s="55" t="inlineStr">
        <is>
          <t>Evidencia</t>
        </is>
      </c>
    </row>
    <row r="44">
      <c r="A44" s="56" t="inlineStr">
        <is>
          <t>1</t>
        </is>
      </c>
      <c r="B44" s="56" t="inlineStr">
        <is>
          <t>Sobrepastoreo (caprino/vacuno)</t>
        </is>
      </c>
      <c r="C44" s="56" t="inlineStr"/>
      <c r="D44" s="56" t="inlineStr"/>
      <c r="E44" s="56" t="inlineStr"/>
      <c r="F44" s="56" t="inlineStr"/>
      <c r="G44" s="56" t="inlineStr">
        <is>
          <t>Pastizal en fondo de valle y ladera baja compatible con pastoreo extensivo (F-01); presencia y carga ganadera POR VERIFICAR.</t>
        </is>
      </c>
    </row>
    <row r="45">
      <c r="A45" s="57" t="inlineStr">
        <is>
          <t>2</t>
        </is>
      </c>
      <c r="B45" s="57" t="inlineStr">
        <is>
          <t>Tala para leña</t>
        </is>
      </c>
      <c r="C45" s="57" t="inlineStr"/>
      <c r="D45" s="57" t="inlineStr"/>
      <c r="E45" s="57" t="inlineStr"/>
      <c r="F45" s="57" t="inlineStr"/>
      <c r="G45" s="57" t="inlineStr">
        <is>
          <t>No observado desde el punto de observación externo - por verificar en recorrido interno</t>
        </is>
      </c>
    </row>
    <row r="46">
      <c r="A46" s="56" t="inlineStr">
        <is>
          <t>3</t>
        </is>
      </c>
      <c r="B46" s="56" t="inlineStr">
        <is>
          <t>Tala para carbón</t>
        </is>
      </c>
      <c r="C46" s="56" t="inlineStr"/>
      <c r="D46" s="56" t="inlineStr"/>
      <c r="E46" s="56" t="inlineStr"/>
      <c r="F46" s="56" t="inlineStr"/>
      <c r="G46" s="56" t="inlineStr">
        <is>
          <t>No observado desde el punto de observación externo - por verificar en recorrido interno</t>
        </is>
      </c>
    </row>
    <row r="47">
      <c r="A47" s="57" t="inlineStr">
        <is>
          <t>4</t>
        </is>
      </c>
      <c r="B47" s="57" t="inlineStr">
        <is>
          <t>Tala para madera</t>
        </is>
      </c>
      <c r="C47" s="57" t="inlineStr"/>
      <c r="D47" s="57" t="inlineStr"/>
      <c r="E47" s="57" t="inlineStr"/>
      <c r="F47" s="57" t="inlineStr"/>
      <c r="G47" s="57" t="inlineStr">
        <is>
          <t>No observado; la presencia de Hualtaco y Palo santo (ambos CR) implica riesgo latente de extracción selectiva - por verificar.</t>
        </is>
      </c>
    </row>
    <row r="48">
      <c r="A48" s="56" t="inlineStr">
        <is>
          <t>5</t>
        </is>
      </c>
      <c r="B48" s="56" t="inlineStr">
        <is>
          <t>Quema (renovación de pastos)</t>
        </is>
      </c>
      <c r="C48" s="56" t="inlineStr"/>
      <c r="D48" s="56" t="inlineStr"/>
      <c r="E48" s="56" t="inlineStr"/>
      <c r="F48" s="56" t="inlineStr"/>
      <c r="G48" s="56" t="inlineStr">
        <is>
          <t>No observado desde el punto de observación externo - por verificar en recorrido interno</t>
        </is>
      </c>
    </row>
    <row r="49">
      <c r="A49" s="57" t="inlineStr">
        <is>
          <t>6</t>
        </is>
      </c>
      <c r="B49" s="57" t="inlineStr">
        <is>
          <t>Quema accidental / Incendio</t>
        </is>
      </c>
      <c r="C49" s="57" t="inlineStr"/>
      <c r="D49" s="57" t="inlineStr"/>
      <c r="E49" s="57" t="inlineStr"/>
      <c r="F49" s="57" t="inlineStr"/>
      <c r="G49" s="57" t="inlineStr">
        <is>
          <t>No observado desde el punto de observación externo - por verificar en recorrido interno</t>
        </is>
      </c>
    </row>
    <row r="50">
      <c r="A50" s="56" t="inlineStr">
        <is>
          <t>7</t>
        </is>
      </c>
      <c r="B50" s="56" t="inlineStr">
        <is>
          <t>Cambio de uso a agricultura</t>
        </is>
      </c>
      <c r="C50" s="56" t="inlineStr"/>
      <c r="D50" s="56" t="inlineStr"/>
      <c r="E50" s="56" t="inlineStr"/>
      <c r="F50" s="56" t="inlineStr"/>
      <c r="G50" s="56" t="inlineStr">
        <is>
          <t>No se observaron parcelas agrícolas dentro del polígono desde la estación; mosaico agropecuario en el valle contiguo - por verificar.</t>
        </is>
      </c>
    </row>
    <row r="51">
      <c r="A51" s="57" t="inlineStr">
        <is>
          <t>8</t>
        </is>
      </c>
      <c r="B51" s="57" t="inlineStr">
        <is>
          <t>Cambio de uso a pastoreo</t>
        </is>
      </c>
      <c r="C51" s="57" t="inlineStr"/>
      <c r="D51" s="57" t="inlineStr"/>
      <c r="E51" s="57" t="inlineStr"/>
      <c r="F51" s="57" t="inlineStr"/>
      <c r="G51" s="57" t="inlineStr">
        <is>
          <t>Pastizal de fondo de valle contiguo al limite SE del bloque (F-01) - extensión por verificar.</t>
        </is>
      </c>
    </row>
    <row r="52">
      <c r="A52" s="56" t="inlineStr">
        <is>
          <t>9</t>
        </is>
      </c>
      <c r="B52" s="56" t="inlineStr">
        <is>
          <t>Expansión urbana / vial</t>
        </is>
      </c>
      <c r="C52" s="56" t="inlineStr">
        <is>
          <t>Sí</t>
        </is>
      </c>
      <c r="D52" s="56" t="inlineStr">
        <is>
          <t>Moderada</t>
        </is>
      </c>
      <c r="E52" s="56" t="inlineStr">
        <is>
          <t>Por determinar</t>
        </is>
      </c>
      <c r="F52" s="56" t="inlineStr">
        <is>
          <t>Por determinar</t>
        </is>
      </c>
      <c r="G52" s="56" t="inlineStr">
        <is>
          <t>Plataforma y cortes de talud de la carretera Chulucanas-Frías sobre el borde SE del bloque, sin tratamiento ni banqueta; emisión de polvo y desestabilización del pie de ladera (F-01 a F-07). Obra de mejoramiento vial en curso registrada en informes DT previos del sector.</t>
        </is>
      </c>
    </row>
    <row r="53">
      <c r="A53" s="57" t="inlineStr">
        <is>
          <t>10</t>
        </is>
      </c>
      <c r="B53" s="57" t="inlineStr">
        <is>
          <t>Minería informal</t>
        </is>
      </c>
      <c r="C53" s="57" t="inlineStr"/>
      <c r="D53" s="57" t="inlineStr"/>
      <c r="E53" s="57" t="inlineStr"/>
      <c r="F53" s="57" t="inlineStr"/>
      <c r="G53" s="57" t="inlineStr">
        <is>
          <t>No observado desde el punto de observación externo - por verificar en recorrido interno</t>
        </is>
      </c>
    </row>
    <row r="54">
      <c r="A54" s="56" t="inlineStr">
        <is>
          <t>11</t>
        </is>
      </c>
      <c r="B54" s="56" t="inlineStr">
        <is>
          <t>Extracción de áridos (cauces)</t>
        </is>
      </c>
      <c r="C54" s="56" t="inlineStr"/>
      <c r="D54" s="56" t="inlineStr"/>
      <c r="E54" s="56" t="inlineStr"/>
      <c r="F54" s="56" t="inlineStr"/>
      <c r="G54" s="56" t="inlineStr">
        <is>
          <t>Lecho de quebrada con bolonería gruesa apto para extracción; actividad no observada - por verificar.</t>
        </is>
      </c>
    </row>
    <row r="55">
      <c r="A55" s="57" t="inlineStr">
        <is>
          <t>12</t>
        </is>
      </c>
      <c r="B55" s="57" t="inlineStr">
        <is>
          <t>Especies invasoras</t>
        </is>
      </c>
      <c r="C55" s="57" t="inlineStr"/>
      <c r="D55" s="57" t="inlineStr"/>
      <c r="E55" s="57" t="inlineStr"/>
      <c r="F55" s="57" t="inlineStr"/>
      <c r="G55" s="57" t="inlineStr">
        <is>
          <t>No observado desde el punto de observación externo - por verificar en recorrido interno</t>
        </is>
      </c>
    </row>
    <row r="56">
      <c r="A56" s="56" t="inlineStr">
        <is>
          <t>13</t>
        </is>
      </c>
      <c r="B56" s="56" t="inlineStr">
        <is>
          <t>Erosión natural severa</t>
        </is>
      </c>
      <c r="C56" s="56" t="inlineStr"/>
      <c r="D56" s="56" t="inlineStr"/>
      <c r="E56" s="56" t="inlineStr"/>
      <c r="F56" s="56" t="inlineStr"/>
      <c r="G56" s="56" t="inlineStr">
        <is>
          <t>Superficie desnuda con bloques dispersos en ladera media (F-03) y lecho torrencial con depósitos gruesos (F-01); calificación de severidad POR VERIFICAR.</t>
        </is>
      </c>
    </row>
    <row r="57">
      <c r="A57" s="57" t="inlineStr">
        <is>
          <t>14</t>
        </is>
      </c>
      <c r="B57" s="57" t="inlineStr">
        <is>
          <t>Sequía prolongada / CC</t>
        </is>
      </c>
      <c r="C57" s="57" t="inlineStr"/>
      <c r="D57" s="57" t="inlineStr"/>
      <c r="E57" s="57" t="inlineStr"/>
      <c r="F57" s="57" t="inlineStr"/>
      <c r="G57" s="57" t="inlineStr">
        <is>
          <t>No observado desde el punto de observación externo - por verificar en recorrido interno</t>
        </is>
      </c>
    </row>
    <row r="58">
      <c r="A58" s="56" t="inlineStr">
        <is>
          <t>15</t>
        </is>
      </c>
      <c r="B58" s="56" t="inlineStr">
        <is>
          <t>Plagas o enfermedades forestales</t>
        </is>
      </c>
      <c r="C58" s="56" t="inlineStr"/>
      <c r="D58" s="56" t="inlineStr"/>
      <c r="E58" s="56" t="inlineStr"/>
      <c r="F58" s="56" t="inlineStr"/>
      <c r="G58" s="56" t="inlineStr">
        <is>
          <t>No observado desde el punto de observación externo - por verificar en recorrido interno</t>
        </is>
      </c>
    </row>
    <row r="59">
      <c r="A59" s="57" t="inlineStr">
        <is>
          <t>16</t>
        </is>
      </c>
      <c r="B59" s="57" t="inlineStr">
        <is>
          <t>Otro</t>
        </is>
      </c>
      <c r="C59" s="57" t="inlineStr"/>
      <c r="D59" s="57" t="inlineStr"/>
      <c r="E59" s="57" t="inlineStr"/>
      <c r="F59" s="57" t="inlineStr"/>
      <c r="G59" s="57" t="inlineStr"/>
    </row>
    <row r="61">
      <c r="A61" s="54" t="inlineStr">
        <is>
          <t>F-DT-04 · INDICADORES CUANTITATIVOS</t>
        </is>
      </c>
    </row>
    <row r="62">
      <c r="A62" s="55" t="inlineStr">
        <is>
          <t>N.o</t>
        </is>
      </c>
      <c r="B62" s="55" t="inlineStr">
        <is>
          <t>Indicador</t>
        </is>
      </c>
      <c r="C62" s="55" t="inlineStr">
        <is>
          <t>Unidad</t>
        </is>
      </c>
      <c r="D62" s="55" t="inlineStr">
        <is>
          <t>Valor</t>
        </is>
      </c>
      <c r="E62" s="55" t="inlineStr">
        <is>
          <t>Fuente</t>
        </is>
      </c>
      <c r="F62" s="55" t="inlineStr">
        <is>
          <t>Umbral</t>
        </is>
      </c>
      <c r="G62" s="55" t="inlineStr">
        <is>
          <t>Nivel</t>
        </is>
      </c>
    </row>
    <row r="63">
      <c r="A63" s="56" t="inlineStr">
        <is>
          <t>1</t>
        </is>
      </c>
      <c r="B63" s="56" t="inlineStr">
        <is>
          <t>Cobertura vegetal total</t>
        </is>
      </c>
      <c r="C63" s="56" t="inlineStr">
        <is>
          <t>%</t>
        </is>
      </c>
      <c r="D63" s="56" t="inlineStr">
        <is>
          <t>80</t>
        </is>
      </c>
      <c r="E63" s="56" t="inlineStr">
        <is>
          <t>Estimacion ocular desde punto de observación externo (15/07/2026)</t>
        </is>
      </c>
      <c r="F63" s="56" t="inlineStr">
        <is>
          <t>&gt;60% bueno; 30-60% medio; &lt;30% malo</t>
        </is>
      </c>
      <c r="G63" s="56" t="inlineStr">
        <is>
          <t>Alto</t>
        </is>
      </c>
    </row>
    <row r="64">
      <c r="A64" s="57" t="inlineStr">
        <is>
          <t>2</t>
        </is>
      </c>
      <c r="B64" s="57" t="inlineStr">
        <is>
          <t>Porcentaje de suelo desnudo</t>
        </is>
      </c>
      <c r="C64" s="57" t="inlineStr">
        <is>
          <t>%</t>
        </is>
      </c>
      <c r="D64" s="57" t="inlineStr">
        <is>
          <t>8</t>
        </is>
      </c>
      <c r="E64" s="57" t="inlineStr">
        <is>
          <t>Estimacion ocular desde punto de observación externo (15/07/2026)</t>
        </is>
      </c>
      <c r="F64" s="57" t="inlineStr">
        <is>
          <t>&lt;10% bueno; 10-30% medio; &gt;30% malo</t>
        </is>
      </c>
      <c r="G64" s="57" t="inlineStr">
        <is>
          <t>Bajo</t>
        </is>
      </c>
    </row>
    <row r="65">
      <c r="A65" s="56" t="inlineStr">
        <is>
          <t>3</t>
        </is>
      </c>
      <c r="B65" s="56" t="inlineStr">
        <is>
          <t>Densidad de cárcavas</t>
        </is>
      </c>
      <c r="C65" s="56" t="inlineStr">
        <is>
          <t>N°/ha</t>
        </is>
      </c>
      <c r="D65" s="56" t="inlineStr">
        <is>
          <t>Por determinar</t>
        </is>
      </c>
      <c r="E65" s="56" t="inlineStr">
        <is>
          <t>Inventario de carcavas no ejecutado</t>
        </is>
      </c>
      <c r="F65" s="56" t="inlineStr">
        <is>
          <t>0 nulo; 1-3 medio; &gt;3 alto</t>
        </is>
      </c>
      <c r="G65" s="56" t="inlineStr"/>
    </row>
    <row r="66">
      <c r="A66" s="57" t="inlineStr">
        <is>
          <t>4</t>
        </is>
      </c>
      <c r="B66" s="57" t="inlineStr">
        <is>
          <t>Presencia de especies invasoras</t>
        </is>
      </c>
      <c r="C66" s="57" t="inlineStr">
        <is>
          <t>% área</t>
        </is>
      </c>
      <c r="D66" s="57" t="inlineStr">
        <is>
          <t>Por determinar</t>
        </is>
      </c>
      <c r="E66" s="57" t="inlineStr">
        <is>
          <t>No observadas desde el punto externo</t>
        </is>
      </c>
      <c r="F66" s="57" t="inlineStr">
        <is>
          <t>&lt;5% bueno; 5-20% medio; &gt;20% alto</t>
        </is>
      </c>
      <c r="G66" s="57" t="inlineStr"/>
    </row>
    <row r="67">
      <c r="A67" s="56" t="inlineStr">
        <is>
          <t>5</t>
        </is>
      </c>
      <c r="B67" s="56" t="inlineStr">
        <is>
          <t>Carga ganadera estimada</t>
        </is>
      </c>
      <c r="C67" s="56" t="inlineStr">
        <is>
          <t>UA/ha</t>
        </is>
      </c>
      <c r="D67" s="56" t="inlineStr">
        <is>
          <t>Por determinar</t>
        </is>
      </c>
      <c r="E67" s="56" t="inlineStr">
        <is>
          <t>Sin dato de campo; requiere entrevista a titulares y conteo</t>
        </is>
      </c>
      <c r="F67" s="56" t="inlineStr">
        <is>
          <t>Según tipo de ecosistema</t>
        </is>
      </c>
      <c r="G67" s="56" t="inlineStr"/>
    </row>
    <row r="68">
      <c r="A68" s="57" t="inlineStr">
        <is>
          <t>6</t>
        </is>
      </c>
      <c r="B68" s="57" t="inlineStr">
        <is>
          <t>Frecuencia de quemas últimos 5 años</t>
        </is>
      </c>
      <c r="C68" s="57" t="inlineStr">
        <is>
          <t>N°</t>
        </is>
      </c>
      <c r="D68" s="57" t="inlineStr">
        <is>
          <t>Por determinar</t>
        </is>
      </c>
      <c r="E68" s="57" t="inlineStr">
        <is>
          <t>Sin dato de campo; requiere serie de cicatrices de quema (Sentinel-2)</t>
        </is>
      </c>
      <c r="F68" s="57" t="inlineStr">
        <is>
          <t>0 nulo; 1-2 medio; &gt;2 alto</t>
        </is>
      </c>
      <c r="G68" s="57" t="inlineStr"/>
    </row>
    <row r="69">
      <c r="A69" s="56" t="inlineStr">
        <is>
          <t>7</t>
        </is>
      </c>
      <c r="B69" s="56" t="inlineStr">
        <is>
          <t>% área con pendiente &gt;50%</t>
        </is>
      </c>
      <c r="C69" s="56" t="inlineStr">
        <is>
          <t>%</t>
        </is>
      </c>
      <c r="D69" s="56" t="inlineStr">
        <is>
          <t>Por determinar</t>
        </is>
      </c>
      <c r="E69" s="56" t="inlineStr">
        <is>
          <t>Requiere procesamiento zonal del MDE sobre el polígono</t>
        </is>
      </c>
      <c r="F69" s="56" t="inlineStr">
        <is>
          <t>Factor de susceptibilidad</t>
        </is>
      </c>
      <c r="G69" s="56" t="inlineStr"/>
    </row>
    <row r="70">
      <c r="A70" s="57" t="inlineStr">
        <is>
          <t>8</t>
        </is>
      </c>
      <c r="B70" s="57" t="inlineStr">
        <is>
          <t>Distancia a vía vecinal más cercana</t>
        </is>
      </c>
      <c r="C70" s="57" t="inlineStr">
        <is>
          <t>m</t>
        </is>
      </c>
      <c r="D70" s="57" t="inlineStr">
        <is>
          <t>0-100 (colindante)</t>
        </is>
      </c>
      <c r="E70" s="57" t="inlineStr">
        <is>
          <t>Carretera Chulucanas-Frías adyacente al borde SE (Google Earth 2026); distancia exacta por precisar en SIG</t>
        </is>
      </c>
      <c r="F70" s="57" t="inlineStr">
        <is>
          <t>A menor distancia → mayor presión</t>
        </is>
      </c>
      <c r="G70" s="57" t="inlineStr">
        <is>
          <t>Alto</t>
        </is>
      </c>
    </row>
    <row r="72">
      <c r="A72" s="54" t="inlineStr">
        <is>
          <t>F-DT-05 · FUENTES DE AGUA INVENTARIADAS</t>
        </is>
      </c>
    </row>
    <row r="73">
      <c r="A73" s="55" t="inlineStr">
        <is>
          <t>N.o</t>
        </is>
      </c>
      <c r="B73" s="55" t="inlineStr">
        <is>
          <t>Tipo de fuente</t>
        </is>
      </c>
      <c r="C73" s="55" t="inlineStr">
        <is>
          <t>UTM ESTE</t>
        </is>
      </c>
      <c r="D73" s="55" t="inlineStr">
        <is>
          <t>UTM NORTE</t>
        </is>
      </c>
      <c r="E73" s="55" t="inlineStr">
        <is>
          <t>Régimen</t>
        </is>
      </c>
      <c r="F73" s="55" t="inlineStr">
        <is>
          <t>Calidad</t>
        </is>
      </c>
      <c r="G73" s="55" t="inlineStr">
        <is>
          <t>Distancia (m)</t>
        </is>
      </c>
      <c r="H73" s="55" t="inlineStr">
        <is>
          <t>Uso / observación</t>
        </is>
      </c>
    </row>
    <row r="74">
      <c r="A74" s="56" t="inlineStr">
        <is>
          <t>1</t>
        </is>
      </c>
      <c r="B74" s="56" t="inlineStr">
        <is>
          <t>Quebrada estacional</t>
        </is>
      </c>
      <c r="C74" s="56" t="n"/>
      <c r="D74" s="56" t="n"/>
      <c r="E74" s="56" t="inlineStr">
        <is>
          <t>Estacional (lluvias)</t>
        </is>
      </c>
      <c r="F74" s="56" t="inlineStr">
        <is>
          <t>No evaluable</t>
        </is>
      </c>
      <c r="G74" s="56" t="n"/>
      <c r="H74" s="56" t="inlineStr">
        <is>
          <t>Cauce torrencial que delimita el flanco oriental/sureste del bloque, tributario de la microcuenca C1096-Q9556. Lecho de bolonería gruesa sin flujo superficial evidente el 15/07/2026 (F-01). Vegetación ribereña verde en imagen satelital, compatible con flujo subsuperficial. Régimen y coordenadas POR PRECISAR.</t>
        </is>
      </c>
    </row>
    <row r="77">
      <c r="A77" s="54" t="inlineStr">
        <is>
          <t>OBSERVACIONES DEL EVALUADOR POR FICHA</t>
        </is>
      </c>
    </row>
    <row r="78">
      <c r="A78" s="55" t="inlineStr">
        <is>
          <t>Ficha</t>
        </is>
      </c>
      <c r="B78" s="55" t="inlineStr">
        <is>
          <t>Observación registrada en campo</t>
        </is>
      </c>
    </row>
    <row r="79">
      <c r="A79" s="56" t="inlineStr">
        <is>
          <t>F-DT-01</t>
        </is>
      </c>
      <c r="B79" s="56" t="inlineStr">
        <is>
          <t>VERIFICACIÓN EXTERNA. Las 7 tomas georreferenciadas del 15/07/2026 se concentran en una estación única de la carretera Chulucanas-Frías (E 606,809-606,820 / N 9,446,959-9,447,025; dispersión 11 m E x 66 m N). El interior del polígono NO fue recorrido; la completitud del levantamiento físico se estima &lt;10%. Los azimuts 294 NW y 318 NW (F-03, F-04) encuadran el núcleo del bloque, cuyo centroide de catálogo (606,173 E / 9,447,361 N) se ubica a ~741 m al ONO de la estación (azimut 300 deg). | AFLORAMIENTOS: cornisas y escarpes rocosos claros en el tercio superior (F-02, F-04, F-05, F-06, F-07). | ESCARPES: rasgos claros lineales descendentes desde la cresta, compatibles con canaletas de caída de rocas; carácter activo POR CONFIRMAR en recorrido interno. | REPTACION: "No" significa no observable desde el punto externo, NO equivale a ausencia. | DESLIZAMIENTOS ANTIGUOS: cicatriz de talud desnudo con bloques dispersos en ladera media (F-03); naturaleza (deslizamiento antiguo vs. desbroce) POR CONFIRMAR. | REMOCIONES ACTIVAS: no observadas; el fondo de valle presenta bolones métricos dispersos sobre pastizal (F-01), compatibles con flujos torrenciales pasados. | DISCREPANCIAS DE CATÁLOGO registradas en el informe técnico (sección 9): área 75.363 ha (Bloques V5) vs 75.403 ha (CP-Bloques V5) vs 924.365 ha (Centroides Bloques.xls); centroide V4 (606,173/9,447,361) vs Centroides.xls (606,234/9,448,179), separación 820 m; rótulo de la app fotográfica indica "Morropón" en F-01 y "Ayabaca" en F-02 para puntos separados 13 m.</t>
        </is>
      </c>
    </row>
    <row r="80">
      <c r="A80" s="57" t="inlineStr">
        <is>
          <t>F-DT-02</t>
        </is>
      </c>
      <c r="B80" s="57" t="inlineStr">
        <is>
          <t>NO SE EJECUTÓ INVENTARIO DE CARCAVAS: la verificación fue externa (estación única sobre la via), sin ingreso al polígono ni mediciones instrumentales de longitud, profundidad ni ancho. El nivel "Ligera (laminar)" es una calificación preliminar por observación a distancia y debe ser ratificada o corregida con recorrido interno y GPS submétrico. | EVIDENCIA DISPONIBLE: (i) superficie desnuda de tono claro con bloques dispersos en ladera media (F-03), foco erosivo localizado; (ii) lecho de quebrada con bolonería gruesa y depósitos torrenciales en el fondo de valle (F-01), indicativo de socavamiento y arrastre en avenidas; (iii) cortes de talud sin tratamiento ni banqueta en la plataforma de la carretera Chulucanas-Frías, que constituyen la fuente erosiva antrópica mas evidente del borde SE. | El campo "Sellamiento", "Compactación por pisoteo" y "Raíces expuestas" se dejan EN BLANCO por no ser observables a la distancia de toma. | MSAVI 2024 del bloque = 0.4725 (valor medio del catálogo); su lectura como degradación debe corregirse por estacionalidad: el Bes-cm es caducifolio y las capturas de estiaje subestiman sistemáticamente la cobertura leñosa real (la imagen Airbus 12/09/2023 muestra el macizo en estado de defoliación casi total, mientras las tomas del 15/07/2026 muestran dosel verde continuo).</t>
        </is>
      </c>
    </row>
    <row r="81">
      <c r="A81" s="56" t="inlineStr">
        <is>
          <t>F-DT-03</t>
        </is>
      </c>
      <c r="B81" s="56" t="inlineStr">
        <is>
          <t>LISTADO FLORÍSTICO PRELIMINAR (15 taxones): 13 proporcionados por el especialista responsable a partir del reconocimiento del 15/07/2026 y 2 fotodocumentados (Tillandsia usneoides y estrato graminoide). La columna ABUNDANCIA se deja EN BLANCO de forma deliberada: no se instalaron parcelas ni transectos, por lo que asignar clases de abundancia constituiría una estimación sin respaldo. Única excepción: Tillandsia usneoides, cuya abundancia es directamente evidenciable en el registro fotográfico. DAP y altura quedan "por verificar" por la misma razón. Los nombres científicos de Frijolillo, Guayacan y las cactaceas son atribuciones genéricas referenciales sujetas a determinación botánica formal (Biól. Abel Aucasime Orihuela). | COBERTURAS: los porcentajes consignados (total 80%, dosel 70%, arbustiva 25%, herbacea 15%, suelo desnudo 8%) son ESTIMACIONES OCULARES desde punto de observación externo, no mediciones. | REGENERACIÓN NATURAL: campo dejado en blanco por no ser observable a la distancia de toma; requiere conteo en parcela. | El estado de conservación "Levemente alterado" contrasta con el supuesto de bloque degradado del modelamiento de mesolocalización; ver sección 10 del informe técnico (recomendación de redelimitación / estrategia de conservación-enriquecimiento).</t>
        </is>
      </c>
    </row>
    <row r="82">
      <c r="A82" s="57" t="inlineStr">
        <is>
          <t>F-DT-04</t>
        </is>
      </c>
      <c r="B82" s="57" t="inlineStr">
        <is>
          <t>MATRIZ DILIGENCIADA PARCIALMENTE. Solo la causa N.9 (Expansión urbana/vial) cuenta con evidencia fotográfica directa y se marca "Si". El resto de causas se deja con PRESENCIA EN BLANCO: la verificación fue externa y marcar "No" equivaldría a afirmar ausencia sin sustento. La columna de evidencia documenta, para cada causa, que se observo y que queda pendiente. | LECTURA DEL INDICADOR MSAVI: 0.4725 (2024) sitúa al bloque en el rango medio del catálogo, por encima de los bloques críticos del proyecto (p.ej. bloque 77 = 0.2725) y por debajo de los mejor conservados (bloque 39 = 0.7016, contiguo en la misma microcuenca). Dada la caducifolia del Bes-cm, este valor NO debe interpretarse como degradación sin corroboración de campo. | Los indicadores 3 a 7 requieren gabinete (MDE, series Sentinel-2) o recorrido interno y se consignan como "Por determinar".</t>
        </is>
      </c>
    </row>
    <row r="83">
      <c r="A83" s="56" t="inlineStr">
        <is>
          <t>F-DT-05</t>
        </is>
      </c>
      <c r="B83" s="56" t="inlineStr">
        <is>
          <t>ACCESIBILIDAD: el bloque es colindante a la carretera Chulucanas-Frías por su borde SE, lo que da acceso rodado hasta el pie de ladera; el ingreso al interior exige ascenso a pie de ~1.1 km con desnivel de 406 m y pendiente media de 36.8% (perfil Google Earth), de donde la modalidad "Vehicular + caminata 30-90 min". | Transitabilidad en época lluviosa, señal celular, operador dominante, alojamiento rural y requerimiento de autorización de Ronda Campesina se dejan EN BLANCO por no haberse verificado; deben completarse en la siguiente salida. | HÍDRICO: se registra una sola fuente (cauce torrencial del flanco oriental). "Zonas de humedad persistente = Si" se sustenta en el epifitismo denso de Tillandsia usneoides y el dosel verde en pleno estiaje (F-01, F-02, F-03, F-07), indicativos de humedad atmosférica sostenida por neblina en el tercio medio-superior. "Escorrentía concentrada = Si" se sustenta en la red de quebradas de lecho claro visible en imagen satelital y en los depósitos gruesos del fondo de valle. | Distancia a captación poblacional, JASS asociada y sistemas de riego: pendientes de coordinación con la brigada social (Blga. Leslie Carrión Lastra).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M17B10</t>
        </is>
      </c>
    </row>
    <row r="7">
      <c r="A7" s="54" t="inlineStr">
        <is>
          <t>Hechos declarados por fuente</t>
        </is>
      </c>
    </row>
    <row r="8">
      <c r="A8" s="55" t="inlineStr">
        <is>
          <t>Fuente</t>
        </is>
      </c>
      <c r="B8" s="55" t="inlineStr">
        <is>
          <t>Hechos</t>
        </is>
      </c>
    </row>
    <row r="9">
      <c r="A9" s="56" t="inlineStr">
        <is>
          <t>Dato de campo</t>
        </is>
      </c>
      <c r="B9" s="56" t="n">
        <v>51</v>
      </c>
    </row>
    <row r="10">
      <c r="A10" s="57" t="inlineStr">
        <is>
          <t>Gabinete (GIS / teledetección)</t>
        </is>
      </c>
      <c r="B10" s="57" t="n">
        <v>25</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86</v>
      </c>
    </row>
    <row r="31">
      <c r="A31" s="57" t="inlineStr">
        <is>
          <t>COMPLEMENTADO</t>
        </is>
      </c>
      <c r="B31" s="57" t="n">
        <v>2</v>
      </c>
    </row>
    <row r="32">
      <c r="A32" s="56" t="inlineStr">
        <is>
          <t>ACTUALIZADO</t>
        </is>
      </c>
      <c r="B32" s="56" t="n">
        <v>2</v>
      </c>
    </row>
    <row r="33">
      <c r="A33" s="57" t="inlineStr">
        <is>
          <t>DISCREPANTE</t>
        </is>
      </c>
      <c r="B33" s="57" t="n">
        <v>0</v>
      </c>
    </row>
    <row r="34">
      <c r="A34" s="56" t="inlineStr">
        <is>
          <t>PENDIENTE</t>
        </is>
      </c>
      <c r="B34" s="56" t="n">
        <v>24</v>
      </c>
    </row>
    <row r="51">
      <c r="A51" s="54" t="inlineStr">
        <is>
          <t>Cobertura por estrato — campo (%)</t>
        </is>
      </c>
    </row>
    <row r="52">
      <c r="A52" s="55" t="inlineStr">
        <is>
          <t>Estrato</t>
        </is>
      </c>
      <c r="B52" s="55" t="inlineStr">
        <is>
          <t>% del área</t>
        </is>
      </c>
    </row>
    <row r="53">
      <c r="A53" s="56" t="inlineStr">
        <is>
          <t>Dosel</t>
        </is>
      </c>
      <c r="B53" s="61" t="n">
        <v>70</v>
      </c>
    </row>
    <row r="54">
      <c r="A54" s="57" t="inlineStr">
        <is>
          <t>Arbustiva</t>
        </is>
      </c>
      <c r="B54" s="62" t="n">
        <v>25</v>
      </c>
    </row>
    <row r="55">
      <c r="A55" s="56" t="inlineStr">
        <is>
          <t>Herbácea</t>
        </is>
      </c>
      <c r="B55" s="61" t="n">
        <v>15</v>
      </c>
    </row>
    <row r="56">
      <c r="A56" s="57" t="inlineStr">
        <is>
          <t>Suelo desnudo</t>
        </is>
      </c>
      <c r="B56" s="63" t="n">
        <v>8</v>
      </c>
    </row>
    <row r="73">
      <c r="A73" s="54" t="inlineStr">
        <is>
          <t>Causas activas de degradación (F-DT-04)</t>
        </is>
      </c>
    </row>
    <row r="74">
      <c r="A74" s="55" t="inlineStr">
        <is>
          <t>Causa</t>
        </is>
      </c>
      <c r="B74" s="55" t="inlineStr">
        <is>
          <t>Intensidad (1 ligera - 4 muy fuerte)</t>
        </is>
      </c>
    </row>
    <row r="75">
      <c r="A75" s="56" t="inlineStr">
        <is>
          <t>Expansión urbana / vial</t>
        </is>
      </c>
      <c r="B75" s="56" t="n">
        <v>2</v>
      </c>
    </row>
    <row r="92">
      <c r="A92" s="54" t="inlineStr">
        <is>
          <t>Control de consistencia por calificación</t>
        </is>
      </c>
    </row>
    <row r="93">
      <c r="A93" s="55" t="inlineStr">
        <is>
          <t>Calificación</t>
        </is>
      </c>
      <c r="B93" s="55" t="inlineStr">
        <is>
          <t>Verificaciones</t>
        </is>
      </c>
    </row>
    <row r="94">
      <c r="A94" s="56" t="inlineStr">
        <is>
          <t>SUSTANTIVA</t>
        </is>
      </c>
      <c r="B94" s="56" t="n">
        <v>5</v>
      </c>
    </row>
    <row r="95">
      <c r="A95" s="57" t="inlineStr">
        <is>
          <t>NO SUSTANTIVA</t>
        </is>
      </c>
      <c r="B95" s="57" t="n">
        <v>3</v>
      </c>
    </row>
    <row r="96">
      <c r="A96" s="56" t="inlineStr">
        <is>
          <t>CORREGIDO</t>
        </is>
      </c>
      <c r="B96" s="56" t="n">
        <v>2</v>
      </c>
    </row>
    <row r="97">
      <c r="A97" s="57" t="inlineStr">
        <is>
          <t>CONFORME</t>
        </is>
      </c>
      <c r="B97"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M17B10 — IN Piura</dc:title>
  <dc:subject>Diagnóstico Territorial por bloque de intervención</dc:subject>
  <dcterms:created xsi:type="dcterms:W3CDTF">2026-09-08T03:39:59Z</dcterms:created>
  <dcterms:modified xsi:type="dcterms:W3CDTF">2026-09-11T20:22:35Z</dcterms:modified>
</cp:coreProperties>
</file>