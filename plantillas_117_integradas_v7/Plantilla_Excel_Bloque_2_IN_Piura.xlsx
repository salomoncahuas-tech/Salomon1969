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integración'!$A$66:$A$71</f>
            </numRef>
          </cat>
          <val>
            <numRef>
              <f>'Gráficos de integración'!$B$66:$B$71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t>
        </is>
      </c>
    </row>
    <row r="6" ht="24" customHeight="1">
      <c r="A6" s="4" t="inlineStr">
        <is>
          <t>Diagnóstico Territorial — Plantilla DT Campo Check Validada V5 | Sistema de referencia: UTM WGS 84 Zona 17S (EPSG:32717) · Integrado con la ficha de campo F-DT vigente (Plantilla_DT_Campo_Bloque2_IN_Piura_V5.xlsx) — V7 - resumen V6 + campo F-DT integrado</t>
        </is>
      </c>
    </row>
    <row r="7"/>
    <row r="8" ht="18" customHeight="1">
      <c r="A8" s="5" t="inlineStr">
        <is>
          <t>1. IDENTIFICACIÓN Y LOCALIZACIÓN</t>
        </is>
      </c>
    </row>
    <row r="9">
      <c r="A9" s="6" t="inlineStr">
        <is>
          <t>Código del bloque</t>
        </is>
      </c>
      <c r="B9" s="7" t="inlineStr">
        <is>
          <t>2</t>
        </is>
      </c>
      <c r="C9" s="6" t="inlineStr">
        <is>
          <t>Microcuenca (catálogo)</t>
        </is>
      </c>
      <c r="D9" s="7" t="inlineStr">
        <is>
          <t>C1096-Q9558</t>
        </is>
      </c>
      <c r="E9" s="8" t="n"/>
      <c r="F9" s="8" t="n"/>
    </row>
    <row r="10">
      <c r="A10" s="6" t="inlineStr">
        <is>
          <t>Zona de planificación</t>
        </is>
      </c>
      <c r="B10" s="7" t="inlineStr">
        <is>
          <t>Z01</t>
        </is>
      </c>
      <c r="C10" s="6" t="inlineStr">
        <is>
          <t>Microcuenca declarada en ficha DT</t>
        </is>
      </c>
      <c r="D10" s="7" t="inlineStr">
        <is>
          <t>C1096-Q9558</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Balcones de Talandracas (691 hab.; 602137 E / 9437858 N)</t>
        </is>
      </c>
      <c r="C13" s="6" t="inlineStr">
        <is>
          <t>Comunidad campesina</t>
        </is>
      </c>
      <c r="D13" s="7" t="inlineStr">
        <is>
          <t>Por verificar</t>
        </is>
      </c>
      <c r="E13" s="8" t="n"/>
      <c r="F13" s="8" t="n"/>
    </row>
    <row r="14">
      <c r="A14" s="6" t="inlineStr">
        <is>
          <t>Superficie de catálogo (V5/V6), ha</t>
        </is>
      </c>
      <c r="B14" s="7" t="n">
        <v>330.6</v>
      </c>
      <c r="C14" s="6" t="inlineStr">
        <is>
          <t>Fuente de superficie</t>
        </is>
      </c>
      <c r="D14" s="7" t="inlineStr">
        <is>
          <t>Catálogo maestro Bloques V5/V6</t>
        </is>
      </c>
      <c r="E14" s="8" t="n"/>
      <c r="F14" s="8" t="n"/>
    </row>
    <row r="15">
      <c r="A15" s="6" t="inlineStr">
        <is>
          <t>Centroide UTM ESTE (m)</t>
        </is>
      </c>
      <c r="B15" s="7" t="n">
        <v>603653</v>
      </c>
      <c r="C15" s="6" t="inlineStr">
        <is>
          <t>Centroide UTM NORTE (m)</t>
        </is>
      </c>
      <c r="D15" s="7" t="n">
        <v>9439351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142</v>
      </c>
      <c r="C19" s="6" t="inlineStr">
        <is>
          <t>Altitud máxima (msnm)</t>
        </is>
      </c>
      <c r="D19" s="7" t="n">
        <v>406</v>
      </c>
      <c r="E19" s="8" t="n"/>
      <c r="F19" s="8" t="n"/>
    </row>
    <row r="20">
      <c r="A20" s="6" t="inlineStr">
        <is>
          <t>Amplitud altitudinal (m)</t>
        </is>
      </c>
      <c r="B20" s="7" t="n">
        <v>264</v>
      </c>
      <c r="C20" s="6" t="inlineStr">
        <is>
          <t>Piso altitudinal dominante</t>
        </is>
      </c>
      <c r="D20" s="7" t="inlineStr">
        <is>
          <t>&lt;1000 m (Yunga)</t>
        </is>
      </c>
      <c r="E20" s="8" t="n"/>
      <c r="F20" s="8" t="n"/>
    </row>
    <row r="21">
      <c r="A21" s="6" t="inlineStr">
        <is>
          <t>Pendiente promedio (%)</t>
        </is>
      </c>
      <c r="B21" s="7" t="n">
        <v>13.27</v>
      </c>
      <c r="C21" s="6" t="inlineStr">
        <is>
          <t>Pendiente promedio (grados)</t>
        </is>
      </c>
      <c r="D21" s="7" t="n">
        <v>7.6</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0.3586</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(69.48 %)</t>
        </is>
      </c>
      <c r="E29" s="8" t="n"/>
      <c r="F29" s="8" t="n"/>
    </row>
    <row r="30">
      <c r="A30" s="6" t="inlineStr">
        <is>
          <t>Superficie clasificada NDVI 2025 (ha)</t>
        </is>
      </c>
      <c r="B30" s="7" t="n">
        <v>330.776</v>
      </c>
      <c r="C30" s="6" t="inlineStr">
        <is>
          <t>Desviación frente al catálogo (%)</t>
        </is>
      </c>
      <c r="D30" s="7" t="n">
        <v>0.05</v>
      </c>
      <c r="E30" s="8" t="n"/>
      <c r="F30" s="8" t="n"/>
    </row>
    <row r="31">
      <c r="A31" s="6" t="inlineStr">
        <is>
          <t>Superficie clasificada MSAVI 2024 (ha)</t>
        </is>
      </c>
      <c r="B31" s="37" t="n">
        <v>330.599</v>
      </c>
      <c r="C31" s="6" t="inlineStr">
        <is>
          <t>Desviación MSAVI frente al catálogo (%)</t>
        </is>
      </c>
      <c r="D31" s="38" t="n">
        <v>0</v>
      </c>
      <c r="E31" s="8" t="n"/>
      <c r="F31" s="8" t="n"/>
    </row>
    <row r="32">
      <c r="A32" s="6" t="inlineStr">
        <is>
          <t>Superficie bajo umbral MSAVI 0.4976 (ha)</t>
        </is>
      </c>
      <c r="B32" s="37" t="n">
        <v>327.888</v>
      </c>
      <c r="C32" s="6" t="inlineStr">
        <is>
          <t>% del bloque bajo umbral (brecha espectral)</t>
        </is>
      </c>
      <c r="D32" s="38" t="n">
        <v>99.18000000000001</v>
      </c>
      <c r="E32" s="8" t="n"/>
      <c r="F32" s="8" t="n"/>
    </row>
    <row r="33">
      <c r="A33" s="6" t="inlineStr">
        <is>
          <t>Clase DN dominante (MSAVI 2024)</t>
        </is>
      </c>
      <c r="B33" s="7" t="inlineStr">
        <is>
          <t>DN 2 · 0.2650 - 0.3813 (Vigor muy bajo)</t>
        </is>
      </c>
      <c r="C33" s="6" t="inlineStr">
        <is>
          <t>N.° de polígonos MSAVI del bloque</t>
        </is>
      </c>
      <c r="D33" s="39" t="n">
        <v>904</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49" t="inlineStr">
        <is>
          <t>330.6</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25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2026-07-02</t>
        </is>
      </c>
      <c r="E44" s="8" t="n"/>
      <c r="F44" s="8" t="n"/>
    </row>
    <row r="45">
      <c r="A45" s="6" t="inlineStr">
        <is>
          <t>Hora de registro</t>
        </is>
      </c>
      <c r="B45" s="7" t="inlineStr">
        <is>
          <t>15:13 - 15:40 h</t>
        </is>
      </c>
      <c r="C45" s="6" t="inlineStr">
        <is>
          <t>Correlativo de ficha</t>
        </is>
      </c>
      <c r="D45" s="7" t="inlineStr">
        <is>
          <t>F-DT-01-B2</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Sector sur del bloque (recorrido de reconocimiento, sin parcela permanente)</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socioeconómica de subsistencia y avance de la frontera predial/vial en el piedemonte inmediato a los CC.PP.</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0.0572</v>
      </c>
      <c r="C10" s="19">
        <f>ROUND(B10/$B$15*100,2)</f>
        <v/>
      </c>
      <c r="D10" s="11" t="inlineStr">
        <is>
          <t>Vigor alto</t>
        </is>
      </c>
      <c r="E10" s="11" t="inlineStr">
        <is>
          <t>Sobre umbral</t>
        </is>
      </c>
    </row>
    <row r="11">
      <c r="A11" s="12" t="inlineStr">
        <is>
          <t>0.4976 - 0.6139 · DN 4</t>
        </is>
      </c>
      <c r="B11" s="20" t="n">
        <v>2.6537</v>
      </c>
      <c r="C11" s="21">
        <f>ROUND(B11/$B$15*100,2)</f>
        <v/>
      </c>
      <c r="D11" s="13" t="inlineStr">
        <is>
          <t>Vigor moderado</t>
        </is>
      </c>
      <c r="E11" s="13" t="inlineStr">
        <is>
          <t>Sobre umbral</t>
        </is>
      </c>
    </row>
    <row r="12">
      <c r="A12" s="7" t="inlineStr">
        <is>
          <t>0.3813 - 0.4976 · DN 3</t>
        </is>
      </c>
      <c r="B12" s="18" t="n">
        <v>104.623</v>
      </c>
      <c r="C12" s="19">
        <f>ROUND(B12/$B$15*100,2)</f>
        <v/>
      </c>
      <c r="D12" s="11" t="inlineStr">
        <is>
          <t>Vigor bajo</t>
        </is>
      </c>
      <c r="E12" s="11" t="inlineStr">
        <is>
          <t>BAJO umbral 0.4976</t>
        </is>
      </c>
    </row>
    <row r="13">
      <c r="A13" s="14" t="inlineStr">
        <is>
          <t>0.2650 - 0.3813 · DN 2</t>
        </is>
      </c>
      <c r="B13" s="30" t="n">
        <v>213.4429</v>
      </c>
      <c r="C13" s="29">
        <f>ROUND(B13/$B$15*100,2)</f>
        <v/>
      </c>
      <c r="D13" s="15" t="inlineStr">
        <is>
          <t>Vigor muy bajo</t>
        </is>
      </c>
      <c r="E13" s="15" t="inlineStr">
        <is>
          <t>BAJO umbral 0.4976</t>
        </is>
      </c>
    </row>
    <row r="14">
      <c r="A14" s="7" t="inlineStr">
        <is>
          <t>&lt;= 0.2650 · DN 1</t>
        </is>
      </c>
      <c r="B14" s="18" t="n">
        <v>9.8223</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904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330.6</v>
      </c>
      <c r="C18" s="48" t="inlineStr">
        <is>
          <t>—</t>
        </is>
      </c>
      <c r="D18" s="45" t="inlineStr">
        <is>
          <t>Desviación planimétrica frente al catálogo</t>
        </is>
      </c>
      <c r="E18" s="45" t="inlineStr">
        <is>
          <t>+0.00 %</t>
        </is>
      </c>
    </row>
    <row r="19">
      <c r="A19" s="16" t="inlineStr">
        <is>
          <t>MSAVI 2024 — MEDIA DEL BLOQUE</t>
        </is>
      </c>
      <c r="B19" s="17" t="n">
        <v>0.358601</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904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(0.3586)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1.0659</v>
      </c>
      <c r="C25" s="19" t="n">
        <v>0.32</v>
      </c>
      <c r="D25" s="11" t="inlineStr">
        <is>
          <t>Dosel continuo, matorral denso o mosaico agroforestal</t>
        </is>
      </c>
      <c r="E25" s="11" t="inlineStr"/>
    </row>
    <row r="26">
      <c r="A26" s="12" t="inlineStr">
        <is>
          <t>Vegetación mediana</t>
        </is>
      </c>
      <c r="B26" s="20" t="n">
        <v>95.17910000000001</v>
      </c>
      <c r="C26" s="21" t="n">
        <v>28.77</v>
      </c>
      <c r="D26" s="13" t="inlineStr">
        <is>
          <t>Pastizal cultivado, matorral ralo, parcelas agrícolas</t>
        </is>
      </c>
      <c r="E26" s="13" t="inlineStr"/>
    </row>
    <row r="27">
      <c r="A27" s="7" t="inlineStr">
        <is>
          <t>Vegetación ligera</t>
        </is>
      </c>
      <c r="B27" s="18" t="n">
        <v>229.8077</v>
      </c>
      <c r="C27" s="19" t="n">
        <v>69.48</v>
      </c>
      <c r="D27" s="11" t="inlineStr">
        <is>
          <t>Cobertura discontinua, suelo parcialmente expuesto</t>
        </is>
      </c>
      <c r="E27" s="11" t="inlineStr"/>
    </row>
    <row r="28">
      <c r="A28" s="12" t="inlineStr">
        <is>
          <t>Tierra desnuda</t>
        </is>
      </c>
      <c r="B28" s="20" t="n">
        <v>4.7229</v>
      </c>
      <c r="C28" s="21" t="n">
        <v>1.43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330.6</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0.32 % del polígono clasificado como «Vegetación alta» por el NDVI 2025; la observación de campo corresponde a una parcela o recorrido puntual y no es estadísticamente representativa de las 330.600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602909</v>
      </c>
      <c r="D10" s="26" t="n">
        <v>9438249</v>
      </c>
      <c r="E10" s="11" t="n">
        <v>1329.6</v>
      </c>
      <c r="F10" s="11" t="inlineStr"/>
      <c r="G10" s="11" t="inlineStr">
        <is>
          <t>Coordenada consignada en F-DT-01</t>
        </is>
      </c>
    </row>
    <row r="11">
      <c r="A11" s="12" t="inlineStr">
        <is>
          <t>H-01</t>
        </is>
      </c>
      <c r="B11" s="13" t="inlineStr">
        <is>
          <t>Fuente de agua — Río</t>
        </is>
      </c>
      <c r="C11" s="27" t="n">
        <v>603900</v>
      </c>
      <c r="D11" s="27" t="n">
        <v>9439300</v>
      </c>
      <c r="E11" s="13" t="n">
        <v>252.2</v>
      </c>
      <c r="F11" s="13" t="inlineStr">
        <is>
          <t>No evaluable</t>
        </is>
      </c>
      <c r="G11" s="13" t="inlineStr">
        <is>
          <t>Curso principal de cauce</t>
        </is>
      </c>
    </row>
    <row r="12">
      <c r="A12" s="7" t="inlineStr">
        <is>
          <t>H-02</t>
        </is>
      </c>
      <c r="B12" s="11" t="inlineStr">
        <is>
          <t>Fuente de agua — Quebrada estacional</t>
        </is>
      </c>
      <c r="C12" s="26" t="n">
        <v>603300</v>
      </c>
      <c r="D12" s="26" t="n">
        <v>9439600</v>
      </c>
      <c r="E12" s="11" t="n">
        <v>432</v>
      </c>
      <c r="F12" s="11" t="inlineStr">
        <is>
          <t>Estacional</t>
        </is>
      </c>
      <c r="G12" s="11" t="inlineStr">
        <is>
          <t>Quebrada tributaria seca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603653</v>
      </c>
      <c r="C15" s="6" t="inlineStr">
        <is>
          <t>Centroide del bloque — UTM NORTE (m)</t>
        </is>
      </c>
      <c r="D15" s="7" t="n">
        <v>9439351</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02/07/2026, sector sur/acceso. Altitud GPS no registrada. Forma del terreno, pendiente, posición fisiográfica y exposición son JUICIO EXPERTO sobre el sector recorrido: requieren confirmación con MDE para el polígono completo.</t>
        </is>
      </c>
      <c r="B18" s="40" t="n"/>
      <c r="C18" s="40" t="n"/>
      <c r="D18" s="40" t="n"/>
      <c r="E18" s="40" t="n"/>
      <c r="F18" s="40" t="n"/>
      <c r="G18" s="41"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C1096-Q9558 — BLOQUE 2</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2</t>
        </is>
      </c>
      <c r="B10" s="28" t="n">
        <v>330.6</v>
      </c>
      <c r="C10" s="29" t="n">
        <v>90.34</v>
      </c>
      <c r="D10" s="15" t="inlineStr">
        <is>
          <t>142 – 406</t>
        </is>
      </c>
      <c r="E10" s="15" t="n">
        <v>264</v>
      </c>
      <c r="F10" s="15" t="n">
        <v>13.27</v>
      </c>
      <c r="G10" s="30" t="n">
        <v>0.3586</v>
      </c>
      <c r="H10" s="29" t="n">
        <v>0.32</v>
      </c>
      <c r="I10" s="29" t="n">
        <v>99.18000000000001</v>
      </c>
    </row>
    <row r="11">
      <c r="A11" s="12" t="inlineStr">
        <is>
          <t>M8B2</t>
        </is>
      </c>
      <c r="B11" s="31" t="n">
        <v>35.35</v>
      </c>
      <c r="C11" s="21" t="n">
        <v>9.66</v>
      </c>
      <c r="D11" s="13" t="inlineStr">
        <is>
          <t>882 – 1181</t>
        </is>
      </c>
      <c r="E11" s="13" t="n">
        <v>299</v>
      </c>
      <c r="F11" s="13" t="n">
        <v>24.49</v>
      </c>
      <c r="G11" s="20" t="n">
        <v>0.5305</v>
      </c>
      <c r="H11" s="21" t="n">
        <v>59.58</v>
      </c>
      <c r="I11" s="21" t="n">
        <v>31.22</v>
      </c>
    </row>
    <row r="12">
      <c r="A12" s="16" t="inlineStr">
        <is>
          <t>TOTAL / PROMEDIO</t>
        </is>
      </c>
      <c r="B12" s="32">
        <f>SUM(B10:B11)</f>
        <v/>
      </c>
      <c r="C12" s="23">
        <f>SUM(C10:C11)</f>
        <v/>
      </c>
      <c r="D12" s="17" t="inlineStr">
        <is>
          <t>142 – 1181</t>
        </is>
      </c>
      <c r="E12" s="17" t="inlineStr"/>
      <c r="F12" s="17">
        <f>ROUND(AVERAGE(F10:F11),2)</f>
        <v/>
      </c>
      <c r="G12" s="22">
        <f>ROUND(AVERAGE(G10:G11),4)</f>
        <v/>
      </c>
      <c r="H12" s="23">
        <f>ROUND(AVERAGE(H10:H11),2)</f>
        <v/>
      </c>
      <c r="I12" s="23">
        <f>ROUND(AVERAGE(I10:I11),2)</f>
        <v/>
      </c>
    </row>
    <row r="14" ht="84" customHeight="1">
      <c r="A14" s="9" t="inlineStr">
        <is>
          <t>LECTURA INTRAMICROCUENCA. El bloque 2 ocupa el puesto 1 de 2 por superficie dentro de la microcuenca C1096-Q9558 (90.34 % de las 365.95 ha preliminares de la microcuenca). Su pendiente promedio (13.27 %, clase «8-15% (Mod. inclinado)») es la 1.ª más baja de 2 y se sitúa por debajo del promedio de la microcuenca (18.88 %). Su MSAVI 2024 (0.3586) es el 2.º de 2 y queda por debajo del promedio local (0.4445). Amplitud altitudinal del bloque: 264 m (142–406 msnm). El cuadro conserva todos los bloques catalogados en la microcuenca, incluidos los descartados en el tamizaje, para referencia del conjunto. Los bloques sin ficha DT figuran con sus parámetros de gabinete. BRECHA ESPECTRAL. El 99.18 % de la superficie del bloque (327.888 ha de 330.599 ha) se sitúa bajo el umbral MSAVI 0.4976, por encima del promedio local de la microcuenca (65.20 %) calculado sobre los bloques con dato MSAVI disponible.</t>
        </is>
      </c>
      <c r="B14" s="40" t="n"/>
      <c r="C14" s="40" t="n"/>
      <c r="D14" s="40" t="n"/>
      <c r="E14" s="40" t="n"/>
      <c r="F14" s="40" t="n"/>
      <c r="G14" s="40" t="n"/>
      <c r="H14" s="40" t="n"/>
      <c r="I14" s="41"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0" t="n"/>
      <c r="I16" s="41"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2</t>
        </is>
      </c>
    </row>
    <row r="6">
      <c r="A6" s="51" t="inlineStr">
        <is>
          <t>Cruce de la ficha de campo F-DT vigente con la ficha de resumen de gabinete y el catálogo maestro. Integración 2026-09-11 21:26:24.</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«C1096-Q9558».</t>
        </is>
      </c>
      <c r="D9" s="55" t="inlineStr">
        <is>
          <t>CONFORME</t>
        </is>
      </c>
      <c r="E9" s="55" t="inlineStr">
        <is>
          <t>Sin acción.</t>
        </is>
      </c>
    </row>
    <row r="10">
      <c r="A10" s="56" t="inlineStr">
        <is>
          <t>G-02</t>
        </is>
      </c>
      <c r="B10" s="56" t="inlineStr">
        <is>
          <t>UTM del punto de muestreo</t>
        </is>
      </c>
      <c r="C10" s="56" t="inlineStr">
        <is>
          <t>El punto de muestreo declarado dista 1320.5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(330.776 ha) se desvía 0.05 % de la superficie de catálogo (330.60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(330.599 ha) se desvía -0.00 % de la superficie de catálogo (330.60 ha).</t>
        </is>
      </c>
      <c r="D14" s="56" t="inlineStr">
        <is>
          <t>CONFORME</t>
        </is>
      </c>
      <c r="E14" s="56" t="inlineStr">
        <is>
          <t>Sin acción: la segmentación valida la geometría del bloque.</t>
        </is>
      </c>
    </row>
    <row r="15">
      <c r="A15" s="55" t="inlineStr">
        <is>
          <t>G-07</t>
        </is>
      </c>
      <c r="B15" s="55" t="inlineStr">
        <is>
          <t>Brecha espectral MSAVI</t>
        </is>
      </c>
      <c r="C15" s="55" t="inlineStr">
        <is>
          <t>El 99.18 % del bloque queda bajo el umbral 0.4976; superficie de brecha 327.89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330.60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(0.3586) cae en la clase «0.2650 - 0.3813 (Vigor muy bajo)» y la clase DN dominante por superficie es «DN 2 · 0.2650 - 0.3813 (Vigor muy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Superficie de ecosistema (ha)</t>
        </is>
      </c>
      <c r="C19" s="55" t="inlineStr">
        <is>
          <t>El libro de resumen V6 consignaba «330.599 ha (100% del bloque)»; la ficha de campo vigente declara «330.6».</t>
        </is>
      </c>
      <c r="D19" s="55" t="inlineStr">
        <is>
          <t>CORREGIDO</t>
        </is>
      </c>
      <c r="E19" s="55" t="inlineStr">
        <is>
          <t>Se adopta el valor de campo por ser la fuente que manda sobre el dato y la más reciente. El valor anterior queda declarado para trazabilidad.</t>
        </is>
      </c>
    </row>
    <row r="20">
      <c r="A20" s="56" t="inlineStr">
        <is>
          <t>I-02</t>
        </is>
      </c>
      <c r="B20" s="56" t="inlineStr">
        <is>
          <t>Parcela de muestreo</t>
        </is>
      </c>
      <c r="C20" s="56" t="inlineStr">
        <is>
          <t>El libro de resumen V6 consignaba «Sector sur (recorrido de reconocimiento, sin parcela permanente)»; la ficha de campo vigente declara «Sector sur del bloque (recorrido de reconocimiento, sin parcela permanente)».</t>
        </is>
      </c>
      <c r="D20" s="56" t="inlineStr">
        <is>
          <t>CORREGIDO</t>
        </is>
      </c>
      <c r="E20" s="56" t="inlineStr">
        <is>
          <t>Se adopta el valor de campo por ser la fuente que manda sobre el dato y la más reciente. El valor anterior queda declarado para trazabilidad.</t>
        </is>
      </c>
    </row>
    <row r="21">
      <c r="A21" s="55" t="inlineStr">
        <is>
          <t>F-01</t>
        </is>
      </c>
      <c r="B21" s="55" t="inlineStr">
        <is>
          <t>Fichas F-DT levantadas</t>
        </is>
      </c>
      <c r="C21" s="55" t="inlineStr">
        <is>
          <t>La plantilla de campo trae las cinco fichas F-DT-01 a F-DT-05 (completitud 96.4 % de los campos esperados).</t>
        </is>
      </c>
      <c r="D21" s="55" t="inlineStr">
        <is>
          <t>CONFORME</t>
        </is>
      </c>
      <c r="E21" s="55" t="inlineStr">
        <is>
          <t>Sin acción.</t>
        </is>
      </c>
    </row>
    <row r="22">
      <c r="A22" s="56" t="inlineStr">
        <is>
          <t>F-02</t>
        </is>
      </c>
      <c r="B22" s="56" t="inlineStr">
        <is>
          <t>Cobertura de la integración</t>
        </is>
      </c>
      <c r="C22" s="56" t="inlineStr">
        <is>
          <t>Se declararon 102 de 114 hechos integrados (89.5 %); 12 quedan sin dato en ninguna fuente.</t>
        </is>
      </c>
      <c r="D22" s="56" t="inlineStr">
        <is>
          <t>CONFORME</t>
        </is>
      </c>
      <c r="E22" s="56" t="inlineStr">
        <is>
          <t>Sin acción.</t>
        </is>
      </c>
    </row>
    <row r="23">
      <c r="A23" s="55" t="inlineStr">
        <is>
          <t>H-01</t>
        </is>
      </c>
      <c r="B23" s="55" t="inlineStr">
        <is>
          <t>Rango de pendiente dominante</t>
        </is>
      </c>
      <c r="C23" s="55" t="inlineStr">
        <is>
          <t>La ficha DT declara «15-25% (Fuert. inclinado)»; la estadística zonal sobre el MDE arroja una pendiente promedio de 13.27 %, que corresponde a la clase «8-15% (Mod. inclinado)»</t>
        </is>
      </c>
      <c r="D23" s="55" t="inlineStr">
        <is>
          <t>NO SUSTANTIVA</t>
        </is>
      </c>
      <c r="E23"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6" t="inlineStr">
        <is>
          <t>H-02</t>
        </is>
      </c>
      <c r="B24" s="56" t="inlineStr">
        <is>
          <t>Cobertura vegetal total</t>
        </is>
      </c>
      <c r="C24" s="56" t="inlineStr">
        <is>
          <t>La ficha DT estima 70 % de cobertura vegetal en campo; el NDVI mediana 2025 clasifica 98.57 % del polígono en clases de vegetación</t>
        </is>
      </c>
      <c r="D24" s="56" t="inlineStr">
        <is>
          <t>NO SUSTANTIVA</t>
        </is>
      </c>
      <c r="E24"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5" t="inlineStr">
        <is>
          <t>H-03</t>
        </is>
      </c>
      <c r="B25" s="55" t="inlineStr">
        <is>
          <t>Elenco florístico</t>
        </is>
      </c>
      <c r="C25" s="55" t="inlineStr">
        <is>
          <t>La ficha registra 10 taxones, por debajo del mínimo de 15 que exige el formato V5</t>
        </is>
      </c>
      <c r="D25" s="55" t="inlineStr">
        <is>
          <t>SUSTANTIVA</t>
        </is>
      </c>
      <c r="E25" s="55" t="inlineStr">
        <is>
          <t>Registro florístico preliminar, sin colecta ni determinación botánica formal. Debe cerrarse con colecta botánica en la siguiente campaña. (Verificación heredada de la ficha de resumen V6.)</t>
        </is>
      </c>
    </row>
    <row r="26">
      <c r="A26" s="56" t="inlineStr">
        <is>
          <t>H-04</t>
        </is>
      </c>
      <c r="B26" s="56" t="inlineStr">
        <is>
          <t>Centro poblado asociado</t>
        </is>
      </c>
      <c r="C26" s="56" t="inlineStr">
        <is>
          <t>La ficha DT declara «Balcones de Talandracas (691 hab.; 602137 E / 9437858 N)»; el cruce INEI-Bloques V5 identifica 1 centro(s) poblado(s) en el bloque: BALCONES DE TALANDRACAS</t>
        </is>
      </c>
      <c r="D26" s="56" t="inlineStr">
        <is>
          <t>CONFORME</t>
        </is>
      </c>
      <c r="E26" s="56" t="inlineStr">
        <is>
          <t>Se conserva el registro de campo como referencia y se adopta el listado INEI para el diagnóstico social y el cálculo de población beneficiaria. (Verificación heredada de la ficha de resumen V6.)</t>
        </is>
      </c>
    </row>
    <row r="28">
      <c r="A28" s="57" t="inlineStr">
        <is>
          <t>RESUMEN</t>
        </is>
      </c>
      <c r="B28" s="58" t="inlineStr">
        <is>
          <t>18 verificaciones</t>
        </is>
      </c>
      <c r="C28" s="58" t="inlineStr">
        <is>
          <t>SUSTANTIVA: 2 · NO SUSTANTIVA: 3 · CORREGIDO: 2 · CONFORME: 11</t>
        </is>
      </c>
    </row>
    <row r="30">
      <c r="A30"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0:E30"/>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2</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5. Ecosistema, cobertura y flora (F-DT-03)</t>
        </is>
      </c>
      <c r="B9" s="55" t="inlineStr">
        <is>
          <t>Superficie de ecosistema (ha)</t>
        </is>
      </c>
      <c r="C9" s="55" t="inlineStr">
        <is>
          <t>330.599 ha (100% del bloque)</t>
        </is>
      </c>
      <c r="D9" s="55" t="inlineStr">
        <is>
          <t>330.6</t>
        </is>
      </c>
      <c r="E9" s="55" t="inlineStr">
        <is>
          <t>Dato de campo</t>
        </is>
      </c>
    </row>
    <row r="10">
      <c r="A10" s="56" t="inlineStr">
        <is>
          <t>5. Ecosistema, cobertura y flora (F-DT-03)</t>
        </is>
      </c>
      <c r="B10" s="56" t="inlineStr">
        <is>
          <t>Parcela de muestreo</t>
        </is>
      </c>
      <c r="C10" s="56" t="inlineStr">
        <is>
          <t>Sector sur (recorrido de reconocimiento, sin parcela permanente)</t>
        </is>
      </c>
      <c r="D10" s="56" t="inlineStr">
        <is>
          <t>Sector sur del bloque (recorrido de reconocimiento, sin parcela permanente)</t>
        </is>
      </c>
      <c r="E10" s="56" t="inlineStr">
        <is>
          <t>Dato de campo</t>
        </is>
      </c>
    </row>
    <row r="12">
      <c r="A12" s="53" t="inlineStr">
        <is>
          <t>B. HECHOS APORTADOS ÚNICAMENTE POR LA FICHA DE CAMPO</t>
        </is>
      </c>
    </row>
    <row r="13">
      <c r="A13" s="54" t="inlineStr">
        <is>
          <t>Sección</t>
        </is>
      </c>
      <c r="B13" s="54" t="inlineStr">
        <is>
          <t>Hecho</t>
        </is>
      </c>
      <c r="C13" s="54" t="inlineStr">
        <is>
          <t>Valor</t>
        </is>
      </c>
      <c r="D13" s="54" t="inlineStr">
        <is>
          <t>Unidad</t>
        </is>
      </c>
    </row>
    <row r="14">
      <c r="A14" s="55" t="inlineStr">
        <is>
          <t>1. Identificación y localización</t>
        </is>
      </c>
      <c r="B14" s="55" t="inlineStr">
        <is>
          <t>UTM ESTE del punto de muestreo (m)</t>
        </is>
      </c>
      <c r="C14" s="55" t="inlineStr">
        <is>
          <t>602921</t>
        </is>
      </c>
      <c r="D14" s="55" t="inlineStr">
        <is>
          <t>m</t>
        </is>
      </c>
    </row>
    <row r="15">
      <c r="A15" s="56" t="inlineStr">
        <is>
          <t>1. Identificación y localización</t>
        </is>
      </c>
      <c r="B15" s="56" t="inlineStr">
        <is>
          <t>UTM NORTE del punto de muestreo (m)</t>
        </is>
      </c>
      <c r="C15" s="56" t="inlineStr">
        <is>
          <t>9438252</t>
        </is>
      </c>
      <c r="D15" s="56" t="inlineStr">
        <is>
          <t>m</t>
        </is>
      </c>
    </row>
    <row r="16">
      <c r="A16" s="55" t="inlineStr">
        <is>
          <t>2. Parámetros físicos del terreno</t>
        </is>
      </c>
      <c r="B16" s="55" t="inlineStr">
        <is>
          <t>Piso altitudinal del punto de muestreo</t>
        </is>
      </c>
      <c r="C16" s="55" t="inlineStr">
        <is>
          <t>&lt;1000 m (Yunga)</t>
        </is>
      </c>
      <c r="D16" s="55" t="inlineStr"/>
    </row>
    <row r="17">
      <c r="A17" s="56" t="inlineStr">
        <is>
          <t>2. Parámetros físicos del terreno</t>
        </is>
      </c>
      <c r="B17" s="56" t="inlineStr">
        <is>
          <t>Paisaje dominante descrito en campo</t>
        </is>
      </c>
      <c r="C17" s="56" t="inlineStr">
        <is>
          <t>Piedemonte y laderas de colina-montaña del bosque estacionalmente seco, con cimas conicas y quebradas secas tributarias; superficie pedregosa con cantos rodados; mosaico de matorral seco ralo con arboles dispersos (faique, sapote, palo santo, hualtaco) y cactaceas columnares. Sector sur del bloque intervenido por via asfaltada, cercos prediales y movimientos de tierra.</t>
        </is>
      </c>
      <c r="D17" s="56" t="inlineStr"/>
    </row>
    <row r="18">
      <c r="A18" s="55" t="inlineStr">
        <is>
          <t>2. Parámetros físicos del terreno</t>
        </is>
      </c>
      <c r="B18" s="55" t="inlineStr">
        <is>
          <t>Reptación de suelo</t>
        </is>
      </c>
      <c r="C18" s="55" t="inlineStr">
        <is>
          <t>No</t>
        </is>
      </c>
      <c r="D18" s="55" t="inlineStr"/>
    </row>
    <row r="19">
      <c r="A19" s="56" t="inlineStr">
        <is>
          <t>2. Parámetros físicos del terreno</t>
        </is>
      </c>
      <c r="B19" s="56" t="inlineStr">
        <is>
          <t>Deslizamientos antiguos</t>
        </is>
      </c>
      <c r="C19" s="56" t="inlineStr">
        <is>
          <t>No</t>
        </is>
      </c>
      <c r="D19" s="56" t="inlineStr"/>
    </row>
    <row r="20">
      <c r="A20" s="55" t="inlineStr">
        <is>
          <t>4. Suelos y erosión (F-DT-02)</t>
        </is>
      </c>
      <c r="B20" s="55" t="inlineStr">
        <is>
          <t>Nivel de erosión - síntesis de campo</t>
        </is>
      </c>
      <c r="C20" s="55" t="inlineStr">
        <is>
          <t>Ligera (laminar)</t>
        </is>
      </c>
      <c r="D20" s="55" t="inlineStr"/>
    </row>
    <row r="21">
      <c r="A21" s="56" t="inlineStr">
        <is>
          <t>4. Suelos y erosión (F-DT-02)</t>
        </is>
      </c>
      <c r="B21" s="56" t="inlineStr">
        <is>
          <t>Sellamiento / costra superficial</t>
        </is>
      </c>
      <c r="C21" s="56" t="inlineStr">
        <is>
          <t>No</t>
        </is>
      </c>
      <c r="D21" s="56" t="inlineStr"/>
    </row>
    <row r="22">
      <c r="A22" s="55" t="inlineStr">
        <is>
          <t>4. Suelos y erosión (F-DT-02)</t>
        </is>
      </c>
      <c r="B22" s="55" t="inlineStr">
        <is>
          <t>Compactación por pisoteo</t>
        </is>
      </c>
      <c r="C22" s="55" t="inlineStr">
        <is>
          <t>Sí</t>
        </is>
      </c>
      <c r="D22" s="55" t="inlineStr"/>
    </row>
    <row r="23">
      <c r="A23" s="56" t="inlineStr">
        <is>
          <t>4. Suelos y erosión (F-DT-02)</t>
        </is>
      </c>
      <c r="B23" s="56" t="inlineStr">
        <is>
          <t>Raíces expuestas</t>
        </is>
      </c>
      <c r="C23" s="56" t="inlineStr">
        <is>
          <t>No</t>
        </is>
      </c>
      <c r="D23" s="56" t="inlineStr"/>
    </row>
    <row r="24">
      <c r="A24" s="55" t="inlineStr">
        <is>
          <t>4. Suelos y erosión (F-DT-02)</t>
        </is>
      </c>
      <c r="B24" s="55" t="inlineStr">
        <is>
          <t>Longitud total de cárcavas (m)</t>
        </is>
      </c>
      <c r="C24" s="55" t="inlineStr">
        <is>
          <t>0</t>
        </is>
      </c>
      <c r="D24" s="55" t="inlineStr">
        <is>
          <t>m</t>
        </is>
      </c>
    </row>
    <row r="25">
      <c r="A25" s="56" t="inlineStr">
        <is>
          <t>4. Suelos y erosión (F-DT-02)</t>
        </is>
      </c>
      <c r="B25" s="56" t="inlineStr">
        <is>
          <t>% del bloque afectado por cárcavas</t>
        </is>
      </c>
      <c r="C25" s="56" t="inlineStr">
        <is>
          <t>0</t>
        </is>
      </c>
      <c r="D25" s="56" t="inlineStr">
        <is>
          <t>%</t>
        </is>
      </c>
    </row>
    <row r="26">
      <c r="A26" s="55" t="inlineStr">
        <is>
          <t>4. Suelos y erosión (F-DT-02)</t>
        </is>
      </c>
      <c r="B26" s="55" t="inlineStr">
        <is>
          <t>Erosión laminar (% del bloque)</t>
        </is>
      </c>
      <c r="C26" s="55" t="inlineStr">
        <is>
          <t>20</t>
        </is>
      </c>
      <c r="D26" s="55" t="inlineStr">
        <is>
          <t>%</t>
        </is>
      </c>
    </row>
    <row r="27">
      <c r="A27" s="56" t="inlineStr">
        <is>
          <t>4. Suelos y erosión (F-DT-02)</t>
        </is>
      </c>
      <c r="B27" s="56" t="inlineStr">
        <is>
          <t>Socavamiento de cauce</t>
        </is>
      </c>
      <c r="C27" s="56" t="inlineStr">
        <is>
          <t>No</t>
        </is>
      </c>
      <c r="D27" s="56" t="inlineStr"/>
    </row>
    <row r="28">
      <c r="A28" s="55" t="inlineStr">
        <is>
          <t>5. Ecosistema, cobertura y flora (F-DT-03)</t>
        </is>
      </c>
      <c r="B28" s="55" t="inlineStr">
        <is>
          <t>Cobertura del dosel (%)</t>
        </is>
      </c>
      <c r="C28" s="55" t="inlineStr">
        <is>
          <t>15</t>
        </is>
      </c>
      <c r="D28" s="55" t="inlineStr">
        <is>
          <t>%</t>
        </is>
      </c>
    </row>
    <row r="29">
      <c r="A29" s="56" t="inlineStr">
        <is>
          <t>5. Ecosistema, cobertura y flora (F-DT-03)</t>
        </is>
      </c>
      <c r="B29" s="56" t="inlineStr">
        <is>
          <t>Cobertura arbustiva (%)</t>
        </is>
      </c>
      <c r="C29" s="56" t="inlineStr">
        <is>
          <t>45</t>
        </is>
      </c>
      <c r="D29" s="56" t="inlineStr">
        <is>
          <t>%</t>
        </is>
      </c>
    </row>
    <row r="30">
      <c r="A30" s="55" t="inlineStr">
        <is>
          <t>5. Ecosistema, cobertura y flora (F-DT-03)</t>
        </is>
      </c>
      <c r="B30" s="55" t="inlineStr">
        <is>
          <t>Cobertura herbácea (%)</t>
        </is>
      </c>
      <c r="C30" s="55" t="inlineStr">
        <is>
          <t>10</t>
        </is>
      </c>
      <c r="D30" s="55" t="inlineStr">
        <is>
          <t>%</t>
        </is>
      </c>
    </row>
    <row r="31">
      <c r="A31" s="56" t="inlineStr">
        <is>
          <t>5. Ecosistema, cobertura y flora (F-DT-03)</t>
        </is>
      </c>
      <c r="B31" s="56" t="inlineStr">
        <is>
          <t>Altura del estrato dominante (m)</t>
        </is>
      </c>
      <c r="C31" s="56" t="inlineStr">
        <is>
          <t>3</t>
        </is>
      </c>
      <c r="D31" s="56" t="inlineStr">
        <is>
          <t>m</t>
        </is>
      </c>
    </row>
    <row r="32">
      <c r="A32" s="55" t="inlineStr">
        <is>
          <t>5. Ecosistema, cobertura y flora (F-DT-03)</t>
        </is>
      </c>
      <c r="B32" s="55" t="inlineStr">
        <is>
          <t>Altura máxima registrada (m)</t>
        </is>
      </c>
      <c r="C32" s="55" t="inlineStr">
        <is>
          <t>8</t>
        </is>
      </c>
      <c r="D32" s="55" t="inlineStr">
        <is>
          <t>m</t>
        </is>
      </c>
    </row>
    <row r="33">
      <c r="A33" s="56" t="inlineStr">
        <is>
          <t>5. Ecosistema, cobertura y flora (F-DT-03)</t>
        </is>
      </c>
      <c r="B33" s="56" t="inlineStr">
        <is>
          <t>Presencia de epífitas</t>
        </is>
      </c>
      <c r="C33" s="56" t="inlineStr">
        <is>
          <t>Sí</t>
        </is>
      </c>
      <c r="D33" s="56" t="inlineStr"/>
    </row>
    <row r="34">
      <c r="A34" s="55" t="inlineStr">
        <is>
          <t>5. Ecosistema, cobertura y flora (F-DT-03)</t>
        </is>
      </c>
      <c r="B34" s="55" t="inlineStr">
        <is>
          <t>Fenología dominante</t>
        </is>
      </c>
      <c r="C34" s="55" t="inlineStr">
        <is>
          <t>Latencia / Estrés hídrico</t>
        </is>
      </c>
      <c r="D34" s="55" t="inlineStr"/>
    </row>
    <row r="35">
      <c r="A35" s="56" t="inlineStr">
        <is>
          <t>5. Ecosistema, cobertura y flora (F-DT-03)</t>
        </is>
      </c>
      <c r="B35" s="56" t="inlineStr">
        <is>
          <t>Especies clave georreferenciadas</t>
        </is>
      </c>
      <c r="C35" s="56" t="inlineStr">
        <is>
          <t>8</t>
        </is>
      </c>
      <c r="D35" s="56" t="inlineStr"/>
    </row>
    <row r="36">
      <c r="A36" s="55" t="inlineStr">
        <is>
          <t>6. Degradación, causas y urgencia (F-DT-04)</t>
        </is>
      </c>
      <c r="B36" s="55" t="inlineStr">
        <is>
          <t>Causas directas de la degradación</t>
        </is>
      </c>
      <c r="C36" s="55" t="inlineStr">
        <is>
          <t>(1) Pastoreo extensivo y sobrepastoreo caprino/vacuno sobre potreros cercados; (2) expansion vial y ocupacion predial (via asfaltada, movimiento de tierras, nivelacion de plataformas, cercado); (3) extraccion puntual de lena; (4) erosion laminar asociada a la perdida de cobertura; (5) estres hidrico estacional agravado por variabilidad climatica.</t>
        </is>
      </c>
      <c r="D36" s="55" t="inlineStr"/>
    </row>
    <row r="37">
      <c r="A37" s="56" t="inlineStr">
        <is>
          <t>6. Degradación, causas y urgencia (F-DT-04)</t>
        </is>
      </c>
      <c r="B37" s="56" t="inlineStr">
        <is>
          <t>N.° de causas activas en la matriz F-DT-04</t>
        </is>
      </c>
      <c r="C37" s="56" t="inlineStr">
        <is>
          <t>6</t>
        </is>
      </c>
      <c r="D37" s="56" t="inlineStr"/>
    </row>
    <row r="38">
      <c r="A38" s="55" t="inlineStr">
        <is>
          <t>7. Hidrología, acceso y logística (F-DT-05)</t>
        </is>
      </c>
      <c r="B38" s="55" t="inlineStr">
        <is>
          <t>Escorrentía concentrada</t>
        </is>
      </c>
      <c r="C38" s="55" t="inlineStr">
        <is>
          <t>No</t>
        </is>
      </c>
      <c r="D38" s="55" t="inlineStr"/>
    </row>
    <row r="39">
      <c r="A39" s="56" t="inlineStr">
        <is>
          <t>7. Hidrología, acceso y logística (F-DT-05)</t>
        </is>
      </c>
      <c r="B39" s="56" t="inlineStr">
        <is>
          <t>Fuentes de agua inventariadas</t>
        </is>
      </c>
      <c r="C39" s="56" t="inlineStr">
        <is>
          <t>2</t>
        </is>
      </c>
      <c r="D39" s="56" t="inlineStr"/>
    </row>
    <row r="40">
      <c r="A40" s="55" t="inlineStr">
        <is>
          <t>7. Hidrología, acceso y logística (F-DT-05)</t>
        </is>
      </c>
      <c r="B40" s="55" t="inlineStr">
        <is>
          <t>Interferencia con riego</t>
        </is>
      </c>
      <c r="C40" s="55" t="inlineStr">
        <is>
          <t>No</t>
        </is>
      </c>
      <c r="D40" s="55" t="inlineStr"/>
    </row>
    <row r="41">
      <c r="A41" s="56" t="inlineStr">
        <is>
          <t>7. Hidrología, acceso y logística (F-DT-05)</t>
        </is>
      </c>
      <c r="B41" s="56" t="inlineStr">
        <is>
          <t>Vía principal de acceso</t>
        </is>
      </c>
      <c r="C41" s="56" t="inlineStr">
        <is>
          <t>Vía asfaltada Chulucanas – Pueblo Nuevo de Talandracas (código de ruta por confirmar)</t>
        </is>
      </c>
      <c r="D41" s="56" t="inlineStr"/>
    </row>
    <row r="42">
      <c r="A42" s="55" t="inlineStr">
        <is>
          <t>7. Hidrología, acceso y logística (F-DT-05)</t>
        </is>
      </c>
      <c r="B42" s="55" t="inlineStr">
        <is>
          <t>Tipo de vía del tramo final</t>
        </is>
      </c>
      <c r="C42" s="55" t="inlineStr">
        <is>
          <t>Camino de herradura</t>
        </is>
      </c>
      <c r="D42" s="55" t="inlineStr"/>
    </row>
    <row r="43">
      <c r="A43" s="56" t="inlineStr">
        <is>
          <t>7. Hidrología, acceso y logística (F-DT-05)</t>
        </is>
      </c>
      <c r="B43" s="56" t="inlineStr">
        <is>
          <t>Transitabilidad en época seca</t>
        </is>
      </c>
      <c r="C43" s="56" t="inlineStr">
        <is>
          <t>Alto</t>
        </is>
      </c>
      <c r="D43" s="56" t="inlineStr"/>
    </row>
    <row r="44">
      <c r="A44" s="55" t="inlineStr">
        <is>
          <t>7. Hidrología, acceso y logística (F-DT-05)</t>
        </is>
      </c>
      <c r="B44" s="55" t="inlineStr">
        <is>
          <t>Transitabilidad en época lluviosa</t>
        </is>
      </c>
      <c r="C44" s="55" t="inlineStr">
        <is>
          <t>Medio</t>
        </is>
      </c>
      <c r="D44" s="55" t="inlineStr"/>
    </row>
    <row r="45">
      <c r="A45" s="56" t="inlineStr">
        <is>
          <t>7. Hidrología, acceso y logística (F-DT-05)</t>
        </is>
      </c>
      <c r="B45" s="56" t="inlineStr">
        <is>
          <t>Tiempo a la capital distrital (min)</t>
        </is>
      </c>
      <c r="C45" s="56" t="inlineStr">
        <is>
          <t>20</t>
        </is>
      </c>
      <c r="D45" s="56" t="inlineStr">
        <is>
          <t>min</t>
        </is>
      </c>
    </row>
    <row r="46">
      <c r="A46" s="55" t="inlineStr">
        <is>
          <t>7. Hidrología, acceso y logística (F-DT-05)</t>
        </is>
      </c>
      <c r="B46" s="55" t="inlineStr">
        <is>
          <t>Señal celular</t>
        </is>
      </c>
      <c r="C46" s="55" t="inlineStr">
        <is>
          <t>Parcial</t>
        </is>
      </c>
      <c r="D46" s="55" t="inlineStr"/>
    </row>
    <row r="47">
      <c r="A47" s="56" t="inlineStr">
        <is>
          <t>7. Hidrología, acceso y logística (F-DT-05)</t>
        </is>
      </c>
      <c r="B47" s="56" t="inlineStr">
        <is>
          <t>Operador con cobertura</t>
        </is>
      </c>
      <c r="C47" s="56" t="inlineStr">
        <is>
          <t>Bitel</t>
        </is>
      </c>
      <c r="D47" s="56" t="inlineStr"/>
    </row>
    <row r="48">
      <c r="A48" s="55" t="inlineStr">
        <is>
          <t>7. Hidrología, acceso y logística (F-DT-05)</t>
        </is>
      </c>
      <c r="B48" s="55" t="inlineStr">
        <is>
          <t>Alojamiento disponible en la zona</t>
        </is>
      </c>
      <c r="C48" s="55" t="inlineStr">
        <is>
          <t>No</t>
        </is>
      </c>
      <c r="D48" s="55" t="inlineStr"/>
    </row>
    <row r="49">
      <c r="A49" s="56" t="inlineStr">
        <is>
          <t>7. Hidrología, acceso y logística (F-DT-05)</t>
        </is>
      </c>
      <c r="B49" s="56" t="inlineStr">
        <is>
          <t>Requiere coordinación con ronda / comunidad</t>
        </is>
      </c>
      <c r="C49" s="56" t="inlineStr">
        <is>
          <t>No</t>
        </is>
      </c>
      <c r="D49" s="56" t="inlineStr"/>
    </row>
    <row r="51">
      <c r="A51" s="53" t="inlineStr">
        <is>
          <t>C. PROCEDENCIA DE LOS HECHOS DECLARADOS</t>
        </is>
      </c>
    </row>
    <row r="52">
      <c r="A52" s="54" t="inlineStr">
        <is>
          <t>Fuente</t>
        </is>
      </c>
      <c r="B52" s="54" t="inlineStr">
        <is>
          <t>Hechos</t>
        </is>
      </c>
      <c r="C52" s="54" t="inlineStr">
        <is>
          <t>Alcance de la fuente</t>
        </is>
      </c>
    </row>
    <row r="53">
      <c r="A53" s="55" t="inlineStr">
        <is>
          <t>Dato de campo</t>
        </is>
      </c>
      <c r="B53" s="55" t="n">
        <v>67</v>
      </c>
      <c r="C53" s="55" t="inlineStr">
        <is>
          <t>Verificación en campo. Fichas F-DT-01 a F-DT-05 de la Plantilla DT Campo Check Validada V5, suscritas por el evaluador.</t>
        </is>
      </c>
    </row>
    <row r="54">
      <c r="A54" s="56" t="inlineStr">
        <is>
          <t>Gabinete (GIS / teledetección)</t>
        </is>
      </c>
      <c r="B54" s="56" t="n">
        <v>21</v>
      </c>
      <c r="C54" s="56" t="inlineStr">
        <is>
          <t>Gabinete. Estadística zonal sobre el MDE y compuestos Sentinel-2 (NDVI mediana 2025, MSAVI 2024 por clase DN).</t>
        </is>
      </c>
    </row>
    <row r="55">
      <c r="A55" s="55" t="inlineStr">
        <is>
          <t>Fuente oficial</t>
        </is>
      </c>
      <c r="B55" s="55" t="n">
        <v>14</v>
      </c>
      <c r="C55" s="55" t="inlineStr">
        <is>
          <t>Fuente oficial. Catálogo maestro Bloques V5/V6, división política INEI y codificación de microcuencas de la ANA.</t>
        </is>
      </c>
    </row>
    <row r="57">
      <c r="A57" s="53" t="inlineStr">
        <is>
          <t>D. ESTADO DEL CRUCE ENTRE FUENTES</t>
        </is>
      </c>
    </row>
    <row r="58">
      <c r="A58" s="54" t="inlineStr">
        <is>
          <t>Estado</t>
        </is>
      </c>
      <c r="B58" s="54" t="inlineStr">
        <is>
          <t>Hechos</t>
        </is>
      </c>
      <c r="C58" s="54" t="inlineStr">
        <is>
          <t>Significado</t>
        </is>
      </c>
    </row>
    <row r="59">
      <c r="A59" s="55" t="inlineStr">
        <is>
          <t>CONFORME</t>
        </is>
      </c>
      <c r="B59" s="55" t="n">
        <v>100</v>
      </c>
      <c r="C59" s="55" t="inlineStr">
        <is>
          <t>Las dos fuentes declaran lo mismo, o solo la fuente que manda sobre el hecho lo declara.</t>
        </is>
      </c>
    </row>
    <row r="60">
      <c r="A60" s="56" t="inlineStr">
        <is>
          <t>COMPLEMENTADO</t>
        </is>
      </c>
      <c r="B60" s="56" t="n">
        <v>0</v>
      </c>
      <c r="C60" s="56" t="inlineStr">
        <is>
          <t>Solo una de las fuentes lo declara y se adopta ese valor.</t>
        </is>
      </c>
    </row>
    <row r="61">
      <c r="A61" s="55" t="inlineStr">
        <is>
          <t>ACTUALIZADO</t>
        </is>
      </c>
      <c r="B61" s="55" t="n">
        <v>2</v>
      </c>
      <c r="C61" s="55" t="inlineStr">
        <is>
          <t>La verificación de campo vigente corrige lo que traía el libro de resumen.</t>
        </is>
      </c>
    </row>
    <row r="62">
      <c r="A62" s="56" t="inlineStr">
        <is>
          <t>DISCREPANTE</t>
        </is>
      </c>
      <c r="B62" s="56" t="n">
        <v>0</v>
      </c>
      <c r="C62" s="56" t="inlineStr">
        <is>
          <t>Las fuentes se contradicen; prevalece la que manda sobre el hecho y la otra queda declarada.</t>
        </is>
      </c>
    </row>
    <row r="63">
      <c r="A63" s="55" t="inlineStr">
        <is>
          <t>PENDIENTE</t>
        </is>
      </c>
      <c r="B63" s="55" t="n">
        <v>12</v>
      </c>
      <c r="C63"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2</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Faique</t>
        </is>
      </c>
      <c r="C13" s="55" t="inlineStr">
        <is>
          <t>Vachellia macracantha</t>
        </is>
      </c>
      <c r="D13" s="55" t="inlineStr">
        <is>
          <t>Fabaceae</t>
        </is>
      </c>
      <c r="E13" s="55" t="inlineStr">
        <is>
          <t>Arbóreo bajo (4-8 m)</t>
        </is>
      </c>
      <c r="F13" s="55" t="inlineStr">
        <is>
          <t>Nativa</t>
        </is>
      </c>
      <c r="G13" s="55" t="inlineStr">
        <is>
          <t>Frecuente (5-20%)</t>
        </is>
      </c>
      <c r="H13" s="55" t="n"/>
      <c r="I13" s="55" t="n"/>
    </row>
    <row r="14">
      <c r="A14" s="56" t="inlineStr">
        <is>
          <t>2</t>
        </is>
      </c>
      <c r="B14" s="56" t="inlineStr">
        <is>
          <t>Algarrobo</t>
        </is>
      </c>
      <c r="C14" s="56" t="inlineStr">
        <is>
          <t>Prosopis pallida</t>
        </is>
      </c>
      <c r="D14" s="56" t="inlineStr">
        <is>
          <t>Fabaceae</t>
        </is>
      </c>
      <c r="E14" s="56" t="inlineStr">
        <is>
          <t>Arbóreo bajo (4-8 m)</t>
        </is>
      </c>
      <c r="F14" s="56" t="inlineStr">
        <is>
          <t>Nativa</t>
        </is>
      </c>
      <c r="G14" s="56" t="inlineStr">
        <is>
          <t>Ocasional (1-5%)</t>
        </is>
      </c>
      <c r="H14" s="56" t="n"/>
      <c r="I14" s="56" t="n"/>
    </row>
    <row r="15">
      <c r="A15" s="55" t="inlineStr">
        <is>
          <t>3</t>
        </is>
      </c>
      <c r="B15" s="55" t="inlineStr">
        <is>
          <t>Sapote</t>
        </is>
      </c>
      <c r="C15" s="55" t="inlineStr">
        <is>
          <t>Colicodendron scabridum</t>
        </is>
      </c>
      <c r="D15" s="55" t="inlineStr">
        <is>
          <t>Capparaceae</t>
        </is>
      </c>
      <c r="E15" s="55" t="inlineStr">
        <is>
          <t>Arbóreo bajo (4-8 m)</t>
        </is>
      </c>
      <c r="F15" s="55" t="inlineStr">
        <is>
          <t>Nativa</t>
        </is>
      </c>
      <c r="G15" s="55" t="inlineStr">
        <is>
          <t>Frecuente (5-20%)</t>
        </is>
      </c>
      <c r="H15" s="55" t="n"/>
      <c r="I15" s="55" t="n"/>
    </row>
    <row r="16">
      <c r="A16" s="56" t="inlineStr">
        <is>
          <t>4</t>
        </is>
      </c>
      <c r="B16" s="56" t="inlineStr">
        <is>
          <t>Hualtaco</t>
        </is>
      </c>
      <c r="C16" s="56" t="inlineStr">
        <is>
          <t>Loxopterygium huasango</t>
        </is>
      </c>
      <c r="D16" s="56" t="inlineStr">
        <is>
          <t>Anacardiaceae</t>
        </is>
      </c>
      <c r="E16" s="56" t="inlineStr">
        <is>
          <t>Arbóreo medio (8-15 m)</t>
        </is>
      </c>
      <c r="F16" s="56" t="inlineStr">
        <is>
          <t>Nativa</t>
        </is>
      </c>
      <c r="G16" s="56" t="inlineStr">
        <is>
          <t>Ocasional (1-5%)</t>
        </is>
      </c>
      <c r="H16" s="56" t="n"/>
      <c r="I16" s="56" t="n"/>
    </row>
    <row r="17">
      <c r="A17" s="55" t="inlineStr">
        <is>
          <t>5</t>
        </is>
      </c>
      <c r="B17" s="55" t="inlineStr">
        <is>
          <t>Palo santo</t>
        </is>
      </c>
      <c r="C17" s="55" t="inlineStr">
        <is>
          <t>Bursera graveolens</t>
        </is>
      </c>
      <c r="D17" s="55" t="inlineStr">
        <is>
          <t>Burseraceae</t>
        </is>
      </c>
      <c r="E17" s="55" t="inlineStr">
        <is>
          <t>Arbóreo bajo (4-8 m)</t>
        </is>
      </c>
      <c r="F17" s="55" t="inlineStr">
        <is>
          <t>Nativa</t>
        </is>
      </c>
      <c r="G17" s="55" t="inlineStr">
        <is>
          <t>Ocasional (1-5%)</t>
        </is>
      </c>
      <c r="H17" s="55" t="n"/>
      <c r="I17" s="55" t="n"/>
    </row>
    <row r="18">
      <c r="A18" s="56" t="inlineStr">
        <is>
          <t>6</t>
        </is>
      </c>
      <c r="B18" s="56" t="inlineStr">
        <is>
          <t>Overo</t>
        </is>
      </c>
      <c r="C18" s="56" t="inlineStr">
        <is>
          <t>Cordia lutea</t>
        </is>
      </c>
      <c r="D18" s="56" t="inlineStr">
        <is>
          <t>Cordiaceae</t>
        </is>
      </c>
      <c r="E18" s="56" t="inlineStr">
        <is>
          <t>Arbustivo alto (1.5-4 m)</t>
        </is>
      </c>
      <c r="F18" s="56" t="inlineStr">
        <is>
          <t>Nativa</t>
        </is>
      </c>
      <c r="G18" s="56" t="inlineStr">
        <is>
          <t>Abundante (20-40%)</t>
        </is>
      </c>
      <c r="H18" s="56" t="n"/>
      <c r="I18" s="56" t="n"/>
    </row>
    <row r="19">
      <c r="A19" s="55" t="inlineStr">
        <is>
          <t>7</t>
        </is>
      </c>
      <c r="B19" s="55" t="inlineStr">
        <is>
          <t>Cactácea columnar</t>
        </is>
      </c>
      <c r="C19" s="55" t="inlineStr">
        <is>
          <t>Cactaceae (indet.)</t>
        </is>
      </c>
      <c r="D19" s="55" t="inlineStr">
        <is>
          <t>Cactaceae</t>
        </is>
      </c>
      <c r="E19" s="55" t="inlineStr">
        <is>
          <t>Arbustivo alto (1.5-4 m)</t>
        </is>
      </c>
      <c r="F19" s="55" t="inlineStr">
        <is>
          <t>Nativa</t>
        </is>
      </c>
      <c r="G19" s="55" t="inlineStr">
        <is>
          <t>Frecuente (5-20%)</t>
        </is>
      </c>
      <c r="H19" s="55" t="n"/>
      <c r="I19" s="55" t="n"/>
    </row>
    <row r="20">
      <c r="A20" s="56" t="inlineStr">
        <is>
          <t>8</t>
        </is>
      </c>
      <c r="B20" s="56" t="inlineStr">
        <is>
          <t>Suelda con suelda</t>
        </is>
      </c>
      <c r="C20" s="56" t="inlineStr">
        <is>
          <t>Loranthaceae (indet.)</t>
        </is>
      </c>
      <c r="D20" s="56" t="inlineStr">
        <is>
          <t>Loranthaceae</t>
        </is>
      </c>
      <c r="E20" s="56" t="inlineStr">
        <is>
          <t>Epífito</t>
        </is>
      </c>
      <c r="F20" s="56" t="inlineStr">
        <is>
          <t>Nativa</t>
        </is>
      </c>
      <c r="G20" s="56" t="inlineStr">
        <is>
          <t>Ocasional (1-5%)</t>
        </is>
      </c>
      <c r="H20" s="56" t="n"/>
      <c r="I20" s="56" t="n"/>
    </row>
    <row r="21">
      <c r="A21" s="55" t="inlineStr">
        <is>
          <t>9</t>
        </is>
      </c>
      <c r="B21" s="55" t="inlineStr">
        <is>
          <t>Bromelias epífitas</t>
        </is>
      </c>
      <c r="C21" s="55" t="inlineStr">
        <is>
          <t>Bromeliaceae (indet.)</t>
        </is>
      </c>
      <c r="D21" s="55" t="inlineStr">
        <is>
          <t>Bromeliaceae</t>
        </is>
      </c>
      <c r="E21" s="55" t="inlineStr">
        <is>
          <t>Epífito</t>
        </is>
      </c>
      <c r="F21" s="55" t="inlineStr">
        <is>
          <t>Nativa</t>
        </is>
      </c>
      <c r="G21" s="55" t="inlineStr">
        <is>
          <t>Ocasional (1-5%)</t>
        </is>
      </c>
      <c r="H21" s="55" t="n"/>
      <c r="I21" s="55" t="n"/>
    </row>
    <row r="22">
      <c r="A22" s="56" t="inlineStr">
        <is>
          <t>10</t>
        </is>
      </c>
      <c r="B22" s="56" t="inlineStr">
        <is>
          <t>Herbáceas estacionales</t>
        </is>
      </c>
      <c r="C22" s="56" t="inlineStr">
        <is>
          <t>Indet.</t>
        </is>
      </c>
      <c r="D22" s="56" t="inlineStr">
        <is>
          <t>Indet.</t>
        </is>
      </c>
      <c r="E22" s="56" t="inlineStr">
        <is>
          <t>Herbáceo (&lt;0.5 m)</t>
        </is>
      </c>
      <c r="F22" s="56" t="inlineStr">
        <is>
          <t>Nativa</t>
        </is>
      </c>
      <c r="G22" s="56" t="inlineStr">
        <is>
          <t>Frecuente (5-20%)</t>
        </is>
      </c>
      <c r="H22" s="56" t="n"/>
      <c r="I22" s="56" t="n"/>
    </row>
    <row r="24">
      <c r="A24" s="53" t="inlineStr">
        <is>
          <t>F-DT-03 · ESPECIES CLAVE GEORREFERENCIADAS</t>
        </is>
      </c>
    </row>
    <row r="25">
      <c r="A25" s="54" t="inlineStr">
        <is>
          <t>N.o</t>
        </is>
      </c>
      <c r="B25" s="54" t="inlineStr">
        <is>
          <t>Especie</t>
        </is>
      </c>
      <c r="C25" s="54" t="inlineStr">
        <is>
          <t>Categoría</t>
        </is>
      </c>
      <c r="D25" s="54" t="inlineStr">
        <is>
          <t>Estado UICN</t>
        </is>
      </c>
      <c r="E25" s="54" t="inlineStr">
        <is>
          <t>UTM ESTE</t>
        </is>
      </c>
      <c r="F25" s="54" t="inlineStr">
        <is>
          <t>UTM NORTE</t>
        </is>
      </c>
      <c r="G25" s="54" t="inlineStr">
        <is>
          <t>N.° individuos</t>
        </is>
      </c>
      <c r="H25" s="54" t="inlineStr">
        <is>
          <t>Observación</t>
        </is>
      </c>
    </row>
    <row r="26">
      <c r="A26" s="55" t="inlineStr">
        <is>
          <t>1</t>
        </is>
      </c>
      <c r="B26" s="55" t="inlineStr">
        <is>
          <t>Hualtaco (Loxopterygium huasango)</t>
        </is>
      </c>
      <c r="C26" s="55" t="inlineStr">
        <is>
          <t>Amenazada (D.S. 043-2006-AG)</t>
        </is>
      </c>
      <c r="D26" s="55" t="inlineStr"/>
      <c r="E26" s="55" t="n"/>
      <c r="F26" s="55" t="n"/>
      <c r="G26" s="55" t="n"/>
      <c r="H26" s="55" t="inlineStr">
        <is>
          <t>Especie del bosque seco con proteccion normativa; categoria exacta (D.S. 043-2006-AG / UICN) POR CONFIRMAR. No fotografiada.</t>
        </is>
      </c>
    </row>
    <row r="27">
      <c r="A27" s="56" t="inlineStr">
        <is>
          <t>2</t>
        </is>
      </c>
      <c r="B27" s="56" t="inlineStr">
        <is>
          <t>Palo santo (Bursera graveolens)</t>
        </is>
      </c>
      <c r="C27" s="56" t="inlineStr">
        <is>
          <t>Clave cultural</t>
        </is>
      </c>
      <c r="D27" s="56" t="inlineStr"/>
      <c r="E27" s="56" t="n"/>
      <c r="F27" s="56" t="n"/>
      <c r="G27" s="56" t="n"/>
      <c r="H27" s="56" t="inlineStr">
        <is>
          <t>Uso local (sahumerio/aceite esencial). Estatus normativo POR VERIFICAR.</t>
        </is>
      </c>
    </row>
    <row r="28">
      <c r="A28" s="55" t="inlineStr">
        <is>
          <t>3</t>
        </is>
      </c>
      <c r="B28" s="55" t="inlineStr">
        <is>
          <t>Sapote (Colicodendron scabridum)</t>
        </is>
      </c>
      <c r="C28" s="55" t="inlineStr">
        <is>
          <t>Indicadora de buen estado</t>
        </is>
      </c>
      <c r="D28" s="55" t="inlineStr"/>
      <c r="E28" s="60" t="n">
        <v>602921</v>
      </c>
      <c r="F28" s="60" t="n">
        <v>9438252</v>
      </c>
      <c r="G28" s="55" t="n"/>
      <c r="H28" s="55" t="inlineStr">
        <is>
          <t>Individuo arboreo aislado sobre senda; determinacion a nivel de especie POR CONFIRMAR.</t>
        </is>
      </c>
    </row>
    <row r="29">
      <c r="A29" s="56" t="inlineStr">
        <is>
          <t>4</t>
        </is>
      </c>
      <c r="B29" s="56" t="inlineStr">
        <is>
          <t>Overo (Cordia lutea)</t>
        </is>
      </c>
      <c r="C29" s="56" t="inlineStr">
        <is>
          <t>Indicadora de perturbación</t>
        </is>
      </c>
      <c r="D29" s="56" t="inlineStr"/>
      <c r="E29" s="61" t="n">
        <v>602912</v>
      </c>
      <c r="F29" s="61" t="n">
        <v>9438250</v>
      </c>
      <c r="G29" s="56" t="n"/>
      <c r="H29" s="56" t="inlineStr">
        <is>
          <t>Arbusto en floracion (julio 2026); pionera nativa de bordes y areas disturbadas del BES.</t>
        </is>
      </c>
    </row>
    <row r="30">
      <c r="A30" s="55" t="inlineStr">
        <is>
          <t>5</t>
        </is>
      </c>
      <c r="B30" s="55" t="inlineStr">
        <is>
          <t>Cactácea columnar (Cactaceae indet.)</t>
        </is>
      </c>
      <c r="C30" s="55" t="inlineStr">
        <is>
          <t>Indicadora de perturbación</t>
        </is>
      </c>
      <c r="D30" s="55" t="inlineStr"/>
      <c r="E30" s="60" t="n">
        <v>602909</v>
      </c>
      <c r="F30" s="60" t="n">
        <v>9438249</v>
      </c>
      <c r="G30" s="55" t="n"/>
      <c r="H30" s="55" t="inlineStr">
        <is>
          <t>Genero y especie POR DETERMINAR; indicador de xerofitismo y de presion de pastoreo.</t>
        </is>
      </c>
    </row>
    <row r="31">
      <c r="A31" s="56" t="inlineStr">
        <is>
          <t>6</t>
        </is>
      </c>
      <c r="B31" s="56" t="inlineStr">
        <is>
          <t>Algarrobo (Prosopis pallida)</t>
        </is>
      </c>
      <c r="C31" s="56" t="inlineStr">
        <is>
          <t>Clave cultural</t>
        </is>
      </c>
      <c r="D31" s="56" t="inlineStr"/>
      <c r="E31" s="56" t="n"/>
      <c r="F31" s="56" t="n"/>
      <c r="G31" s="56" t="n"/>
      <c r="H31" s="56" t="inlineStr">
        <is>
          <t>Reportada por la brigada; no registrada fotograficamente. POR CONFIRMAR.</t>
        </is>
      </c>
    </row>
    <row r="32">
      <c r="A32" s="55" t="inlineStr">
        <is>
          <t>7</t>
        </is>
      </c>
      <c r="B32" s="55" t="inlineStr">
        <is>
          <t>Suelda con suelda (Loranthaceae)</t>
        </is>
      </c>
      <c r="C32" s="55" t="inlineStr">
        <is>
          <t>Indicadora de perturbación</t>
        </is>
      </c>
      <c r="D32" s="55" t="inlineStr"/>
      <c r="E32" s="55" t="n"/>
      <c r="F32" s="55" t="n"/>
      <c r="G32" s="55" t="n"/>
      <c r="H32" s="55" t="inlineStr">
        <is>
          <t>Hemiparasita sobre leñosas; genero POR DETERMINAR.</t>
        </is>
      </c>
    </row>
    <row r="33">
      <c r="A33" s="56" t="inlineStr">
        <is>
          <t>8</t>
        </is>
      </c>
      <c r="B33" s="56" t="inlineStr">
        <is>
          <t>Bromelias epífitas (Bromeliaceae)</t>
        </is>
      </c>
      <c r="C33" s="56" t="inlineStr">
        <is>
          <t>Indicadora de buen estado</t>
        </is>
      </c>
      <c r="D33" s="56" t="inlineStr"/>
      <c r="E33" s="56" t="n"/>
      <c r="F33" s="56" t="n"/>
      <c r="G33" s="56" t="n"/>
      <c r="H33" s="56" t="inlineStr">
        <is>
          <t>Genero POR DETERMINAR (probable Tillandsia sp.); indicador de humedad atmosferica.</t>
        </is>
      </c>
    </row>
    <row r="35">
      <c r="A35" s="53" t="inlineStr">
        <is>
          <t>F-DT-04 · MATRIZ DE CAUSAS DE DEGRADACIÓN</t>
        </is>
      </c>
    </row>
    <row r="36">
      <c r="A36" s="54" t="inlineStr">
        <is>
          <t>N.o</t>
        </is>
      </c>
      <c r="B36" s="54" t="inlineStr">
        <is>
          <t>Causa</t>
        </is>
      </c>
      <c r="C36" s="54" t="inlineStr">
        <is>
          <t>Presencia</t>
        </is>
      </c>
      <c r="D36" s="54" t="inlineStr">
        <is>
          <t>Intensidad</t>
        </is>
      </c>
      <c r="E36" s="54" t="inlineStr">
        <is>
          <t>Extensión</t>
        </is>
      </c>
      <c r="F36" s="54" t="inlineStr">
        <is>
          <t>Antigüedad</t>
        </is>
      </c>
      <c r="G36" s="54" t="inlineStr">
        <is>
          <t>Evidencia</t>
        </is>
      </c>
    </row>
    <row r="37">
      <c r="A37" s="55" t="inlineStr">
        <is>
          <t>1</t>
        </is>
      </c>
      <c r="B37" s="55" t="inlineStr">
        <is>
          <t>Sobrepastoreo (caprino/vacuno)</t>
        </is>
      </c>
      <c r="C37" s="55" t="inlineStr">
        <is>
          <t>Sí</t>
        </is>
      </c>
      <c r="D37" s="55" t="inlineStr">
        <is>
          <t>Moderada</t>
        </is>
      </c>
      <c r="E37" s="55" t="inlineStr">
        <is>
          <t>40</t>
        </is>
      </c>
      <c r="F37" s="55" t="inlineStr">
        <is>
          <t>Por determinar</t>
        </is>
      </c>
      <c r="G37" s="55" t="inlineStr">
        <is>
          <t>Ganaderia caprino/vacuna extensiva: suelo desnudo pedregoso, sendas de ganado y potreros cercados con alambre de pua (F-02, F-06). Carga ganadera POR DETERMINAR.</t>
        </is>
      </c>
    </row>
    <row r="38">
      <c r="A38" s="56" t="inlineStr">
        <is>
          <t>2</t>
        </is>
      </c>
      <c r="B38" s="56" t="inlineStr">
        <is>
          <t>Tala para leña</t>
        </is>
      </c>
      <c r="C38" s="56" t="inlineStr">
        <is>
          <t>Sí</t>
        </is>
      </c>
      <c r="D38" s="56" t="inlineStr">
        <is>
          <t>Ligera</t>
        </is>
      </c>
      <c r="E38" s="56" t="inlineStr"/>
      <c r="F38" s="56" t="inlineStr">
        <is>
          <t>Por determinar</t>
        </is>
      </c>
      <c r="G38" s="56" t="inlineStr">
        <is>
          <t>Extraccion puntual de lena y postes muertos de cerco. Magnitud POR VERIFICAR.</t>
        </is>
      </c>
    </row>
    <row r="39">
      <c r="A39" s="55" t="inlineStr">
        <is>
          <t>3</t>
        </is>
      </c>
      <c r="B39" s="55" t="inlineStr">
        <is>
          <t>Tala para carbón</t>
        </is>
      </c>
      <c r="C39" s="55" t="inlineStr">
        <is>
          <t>No</t>
        </is>
      </c>
      <c r="D39" s="55" t="inlineStr"/>
      <c r="E39" s="55" t="inlineStr"/>
      <c r="F39" s="55" t="inlineStr"/>
      <c r="G39" s="55" t="inlineStr">
        <is>
          <t>No observado en el sector recorrido (por verificar en el resto del bloque).</t>
        </is>
      </c>
    </row>
    <row r="40">
      <c r="A40" s="56" t="inlineStr">
        <is>
          <t>4</t>
        </is>
      </c>
      <c r="B40" s="56" t="inlineStr">
        <is>
          <t>Tala para madera</t>
        </is>
      </c>
      <c r="C40" s="56" t="inlineStr">
        <is>
          <t>No</t>
        </is>
      </c>
      <c r="D40" s="56" t="inlineStr"/>
      <c r="E40" s="56" t="inlineStr"/>
      <c r="F40" s="56" t="inlineStr"/>
      <c r="G40" s="56" t="inlineStr">
        <is>
          <t>No observado en el sector recorrido (por verificar en el resto del bloque).</t>
        </is>
      </c>
    </row>
    <row r="41">
      <c r="A41" s="55" t="inlineStr">
        <is>
          <t>5</t>
        </is>
      </c>
      <c r="B41" s="55" t="inlineStr">
        <is>
          <t>Quema (renovación de pastos)</t>
        </is>
      </c>
      <c r="C41" s="55" t="inlineStr">
        <is>
          <t>No</t>
        </is>
      </c>
      <c r="D41" s="55" t="inlineStr"/>
      <c r="E41" s="55" t="inlineStr"/>
      <c r="F41" s="55" t="inlineStr"/>
      <c r="G41" s="55" t="inlineStr">
        <is>
          <t>No observado en el sector recorrido (por verificar en el resto del bloque).</t>
        </is>
      </c>
    </row>
    <row r="42">
      <c r="A42" s="56" t="inlineStr">
        <is>
          <t>6</t>
        </is>
      </c>
      <c r="B42" s="56" t="inlineStr">
        <is>
          <t>Quema accidental / Incendio</t>
        </is>
      </c>
      <c r="C42" s="56" t="inlineStr">
        <is>
          <t>No</t>
        </is>
      </c>
      <c r="D42" s="56" t="inlineStr"/>
      <c r="E42" s="56" t="inlineStr"/>
      <c r="F42" s="56" t="inlineStr"/>
      <c r="G42" s="56" t="inlineStr">
        <is>
          <t>No observado en el sector recorrido (por verificar en el resto del bloque).</t>
        </is>
      </c>
    </row>
    <row r="43">
      <c r="A43" s="55" t="inlineStr">
        <is>
          <t>7</t>
        </is>
      </c>
      <c r="B43" s="55" t="inlineStr">
        <is>
          <t>Cambio de uso a agricultura</t>
        </is>
      </c>
      <c r="C43" s="55" t="inlineStr">
        <is>
          <t>No</t>
        </is>
      </c>
      <c r="D43" s="55" t="inlineStr"/>
      <c r="E43" s="55" t="inlineStr"/>
      <c r="F43" s="55" t="inlineStr"/>
      <c r="G43" s="55" t="inlineStr">
        <is>
          <t>No observado en el sector recorrido (por verificar en el resto del bloque).</t>
        </is>
      </c>
    </row>
    <row r="44">
      <c r="A44" s="56" t="inlineStr">
        <is>
          <t>8</t>
        </is>
      </c>
      <c r="B44" s="56" t="inlineStr">
        <is>
          <t>Cambio de uso a pastoreo</t>
        </is>
      </c>
      <c r="C44" s="56" t="inlineStr">
        <is>
          <t>Sí</t>
        </is>
      </c>
      <c r="D44" s="56" t="inlineStr">
        <is>
          <t>Moderada</t>
        </is>
      </c>
      <c r="E44" s="56" t="inlineStr">
        <is>
          <t>40</t>
        </is>
      </c>
      <c r="F44" s="56" t="inlineStr">
        <is>
          <t>Por determinar</t>
        </is>
      </c>
      <c r="G44" s="56" t="inlineStr">
        <is>
          <t>Conversion del matorral seco a potreros cercados de pastoreo extensivo.</t>
        </is>
      </c>
    </row>
    <row r="45">
      <c r="A45" s="55" t="inlineStr">
        <is>
          <t>9</t>
        </is>
      </c>
      <c r="B45" s="55" t="inlineStr">
        <is>
          <t>Expansión urbana / vial</t>
        </is>
      </c>
      <c r="C45" s="55" t="inlineStr">
        <is>
          <t>Sí</t>
        </is>
      </c>
      <c r="D45" s="55" t="inlineStr">
        <is>
          <t>Moderada</t>
        </is>
      </c>
      <c r="E45" s="55" t="inlineStr">
        <is>
          <t>10</t>
        </is>
      </c>
      <c r="F45" s="55" t="inlineStr">
        <is>
          <t>Por determinar</t>
        </is>
      </c>
      <c r="G45" s="55" t="inlineStr">
        <is>
          <t>Via asfaltada que atraviesa el sector sur; movimiento de tierras y nivelacion de plataformas para ocupacion/vivienda (F-08); cercos de malla y lindero predial (F-01).</t>
        </is>
      </c>
    </row>
    <row r="46">
      <c r="A46" s="56" t="inlineStr">
        <is>
          <t>10</t>
        </is>
      </c>
      <c r="B46" s="56" t="inlineStr">
        <is>
          <t>Minería informal</t>
        </is>
      </c>
      <c r="C46" s="56" t="inlineStr">
        <is>
          <t>No</t>
        </is>
      </c>
      <c r="D46" s="56" t="inlineStr"/>
      <c r="E46" s="56" t="inlineStr"/>
      <c r="F46" s="56" t="inlineStr"/>
      <c r="G46" s="56" t="inlineStr">
        <is>
          <t>No observado en el sector recorrido (por verificar en el resto del bloque).</t>
        </is>
      </c>
    </row>
    <row r="47">
      <c r="A47" s="55" t="inlineStr">
        <is>
          <t>11</t>
        </is>
      </c>
      <c r="B47" s="55" t="inlineStr">
        <is>
          <t>Extracción de áridos (cauces)</t>
        </is>
      </c>
      <c r="C47" s="55" t="inlineStr">
        <is>
          <t>No</t>
        </is>
      </c>
      <c r="D47" s="55" t="inlineStr"/>
      <c r="E47" s="55" t="inlineStr"/>
      <c r="F47" s="55" t="inlineStr"/>
      <c r="G47" s="55" t="inlineStr">
        <is>
          <t>No observado en el sector recorrido (por verificar en el resto del bloque).</t>
        </is>
      </c>
    </row>
    <row r="48">
      <c r="A48" s="56" t="inlineStr">
        <is>
          <t>12</t>
        </is>
      </c>
      <c r="B48" s="56" t="inlineStr">
        <is>
          <t>Especies invasoras</t>
        </is>
      </c>
      <c r="C48" s="56" t="inlineStr">
        <is>
          <t>No</t>
        </is>
      </c>
      <c r="D48" s="56" t="inlineStr"/>
      <c r="E48" s="56" t="inlineStr"/>
      <c r="F48" s="56" t="inlineStr"/>
      <c r="G48" s="56" t="inlineStr">
        <is>
          <t>No observado en el sector recorrido (por verificar en el resto del bloque).</t>
        </is>
      </c>
    </row>
    <row r="49">
      <c r="A49" s="55" t="inlineStr">
        <is>
          <t>13</t>
        </is>
      </c>
      <c r="B49" s="55" t="inlineStr">
        <is>
          <t>Erosión natural severa</t>
        </is>
      </c>
      <c r="C49" s="55" t="inlineStr">
        <is>
          <t>Sí</t>
        </is>
      </c>
      <c r="D49" s="55" t="inlineStr">
        <is>
          <t>Ligera</t>
        </is>
      </c>
      <c r="E49" s="55" t="inlineStr">
        <is>
          <t>10</t>
        </is>
      </c>
      <c r="F49" s="55" t="inlineStr">
        <is>
          <t>Por determinar</t>
        </is>
      </c>
      <c r="G49" s="55" t="inlineStr">
        <is>
          <t>Erosion laminar con pavimento de erosion (lavado de finos) en laderas de pastoreo; sin carcavas.</t>
        </is>
      </c>
    </row>
    <row r="50">
      <c r="A50" s="56" t="inlineStr">
        <is>
          <t>14</t>
        </is>
      </c>
      <c r="B50" s="56" t="inlineStr">
        <is>
          <t>Sequía prolongada / CC</t>
        </is>
      </c>
      <c r="C50" s="56" t="inlineStr">
        <is>
          <t>Sí</t>
        </is>
      </c>
      <c r="D50" s="56" t="inlineStr">
        <is>
          <t>Moderada</t>
        </is>
      </c>
      <c r="E50" s="56" t="inlineStr"/>
      <c r="F50" s="56" t="inlineStr">
        <is>
          <t>Por determinar</t>
        </is>
      </c>
      <c r="G50" s="56" t="inlineStr">
        <is>
          <t>Estres hidrico estacional evidente (defoliacion, dominancia de cactaceas). Requiere corroboracion con series SENAMHI y escenarios CC.</t>
        </is>
      </c>
    </row>
    <row r="51">
      <c r="A51" s="55" t="inlineStr">
        <is>
          <t>15</t>
        </is>
      </c>
      <c r="B51" s="55" t="inlineStr">
        <is>
          <t>Plagas o enfermedades forestales</t>
        </is>
      </c>
      <c r="C51" s="55" t="inlineStr">
        <is>
          <t>No</t>
        </is>
      </c>
      <c r="D51" s="55" t="inlineStr"/>
      <c r="E51" s="55" t="inlineStr"/>
      <c r="F51" s="55" t="inlineStr"/>
      <c r="G51" s="55" t="inlineStr">
        <is>
          <t>No observado en el sector recorrido (por verificar en el resto del bloque).</t>
        </is>
      </c>
    </row>
    <row r="52">
      <c r="A52" s="56" t="inlineStr">
        <is>
          <t>16</t>
        </is>
      </c>
      <c r="B52" s="56" t="inlineStr">
        <is>
          <t>Otro</t>
        </is>
      </c>
      <c r="C52" s="56" t="inlineStr"/>
      <c r="D52" s="56" t="inlineStr"/>
      <c r="E52" s="56" t="inlineStr"/>
      <c r="F52" s="56" t="inlineStr"/>
      <c r="G52" s="56" t="inlineStr">
        <is>
          <t>Ocupacion predial / cercado del bosque seco (ver N° 9). Ver observaciones.</t>
        </is>
      </c>
    </row>
    <row r="54">
      <c r="A54" s="53" t="inlineStr">
        <is>
          <t>F-DT-04 · INDICADORES CUANTITATIVOS</t>
        </is>
      </c>
    </row>
    <row r="55">
      <c r="A55" s="54" t="inlineStr">
        <is>
          <t>N.o</t>
        </is>
      </c>
      <c r="B55" s="54" t="inlineStr">
        <is>
          <t>Indicador</t>
        </is>
      </c>
      <c r="C55" s="54" t="inlineStr">
        <is>
          <t>Unidad</t>
        </is>
      </c>
      <c r="D55" s="54" t="inlineStr">
        <is>
          <t>Valor</t>
        </is>
      </c>
      <c r="E55" s="54" t="inlineStr">
        <is>
          <t>Fuente</t>
        </is>
      </c>
      <c r="F55" s="54" t="inlineStr">
        <is>
          <t>Umbral</t>
        </is>
      </c>
      <c r="G55" s="54" t="inlineStr">
        <is>
          <t>Nivel</t>
        </is>
      </c>
    </row>
    <row r="56">
      <c r="A56" s="55" t="inlineStr">
        <is>
          <t>1</t>
        </is>
      </c>
      <c r="B56" s="55" t="inlineStr">
        <is>
          <t>Cobertura vegetal total</t>
        </is>
      </c>
      <c r="C56" s="55" t="inlineStr">
        <is>
          <t>%</t>
        </is>
      </c>
      <c r="D56" s="55" t="inlineStr">
        <is>
          <t>70</t>
        </is>
      </c>
      <c r="E56" s="55" t="inlineStr">
        <is>
          <t>Estimación ocular de campo + MSAVI 2024 (0.3586)</t>
        </is>
      </c>
      <c r="F56" s="55" t="inlineStr">
        <is>
          <t>&gt;60% bueno; 30-60% medio; &lt;30% malo</t>
        </is>
      </c>
      <c r="G56" s="55" t="inlineStr">
        <is>
          <t>Alto</t>
        </is>
      </c>
    </row>
    <row r="57">
      <c r="A57" s="56" t="inlineStr">
        <is>
          <t>2</t>
        </is>
      </c>
      <c r="B57" s="56" t="inlineStr">
        <is>
          <t>Porcentaje de suelo desnudo</t>
        </is>
      </c>
      <c r="C57" s="56" t="inlineStr">
        <is>
          <t>%</t>
        </is>
      </c>
      <c r="D57" s="56" t="inlineStr">
        <is>
          <t>25</t>
        </is>
      </c>
      <c r="E57" s="56" t="inlineStr">
        <is>
          <t>Estimación ocular de campo</t>
        </is>
      </c>
      <c r="F57" s="56" t="inlineStr">
        <is>
          <t>&lt;10% bueno; 10-30% medio; &gt;30% malo</t>
        </is>
      </c>
      <c r="G57" s="56" t="inlineStr">
        <is>
          <t>Medio</t>
        </is>
      </c>
    </row>
    <row r="58">
      <c r="A58" s="55" t="inlineStr">
        <is>
          <t>3</t>
        </is>
      </c>
      <c r="B58" s="55" t="inlineStr">
        <is>
          <t>Densidad de cárcavas</t>
        </is>
      </c>
      <c r="C58" s="55" t="inlineStr">
        <is>
          <t>N°/ha</t>
        </is>
      </c>
      <c r="D58" s="55" t="inlineStr">
        <is>
          <t>0</t>
        </is>
      </c>
      <c r="E58" s="55" t="inlineStr">
        <is>
          <t>Reconocimiento de campo 02/07/2026</t>
        </is>
      </c>
      <c r="F58" s="55" t="inlineStr">
        <is>
          <t>0 nulo; 1-3 medio; &gt;3 alto</t>
        </is>
      </c>
      <c r="G58" s="55" t="inlineStr">
        <is>
          <t>Bajo</t>
        </is>
      </c>
    </row>
    <row r="59">
      <c r="A59" s="56" t="inlineStr">
        <is>
          <t>4</t>
        </is>
      </c>
      <c r="B59" s="56" t="inlineStr">
        <is>
          <t>Presencia de especies invasoras</t>
        </is>
      </c>
      <c r="C59" s="56" t="inlineStr">
        <is>
          <t>% área</t>
        </is>
      </c>
      <c r="D59" s="56" t="inlineStr">
        <is>
          <t>0</t>
        </is>
      </c>
      <c r="E59" s="56" t="inlineStr">
        <is>
          <t>Estimación ocular (no se observaron exóticas)</t>
        </is>
      </c>
      <c r="F59" s="56" t="inlineStr">
        <is>
          <t>&lt;5% bueno; 5-20% medio; &gt;20% alto</t>
        </is>
      </c>
      <c r="G59" s="56" t="inlineStr">
        <is>
          <t>Bajo</t>
        </is>
      </c>
    </row>
    <row r="60">
      <c r="A60" s="55" t="inlineStr">
        <is>
          <t>5</t>
        </is>
      </c>
      <c r="B60" s="55" t="inlineStr">
        <is>
          <t>Carga ganadera estimada</t>
        </is>
      </c>
      <c r="C60" s="55" t="inlineStr">
        <is>
          <t>UA/ha</t>
        </is>
      </c>
      <c r="D60" s="55" t="inlineStr">
        <is>
          <t>Por determinar</t>
        </is>
      </c>
      <c r="E60" s="55" t="inlineStr">
        <is>
          <t>Pendiente de cuantificación</t>
        </is>
      </c>
      <c r="F60" s="55" t="inlineStr">
        <is>
          <t>Según tipo de ecosistema</t>
        </is>
      </c>
      <c r="G60" s="55" t="inlineStr"/>
    </row>
    <row r="61">
      <c r="A61" s="56" t="inlineStr">
        <is>
          <t>6</t>
        </is>
      </c>
      <c r="B61" s="56" t="inlineStr">
        <is>
          <t>Frecuencia de quemas últimos 5 años</t>
        </is>
      </c>
      <c r="C61" s="56" t="inlineStr">
        <is>
          <t>N°</t>
        </is>
      </c>
      <c r="D61" s="56" t="inlineStr">
        <is>
          <t>Por determinar</t>
        </is>
      </c>
      <c r="E61" s="56" t="inlineStr">
        <is>
          <t>Pendiente de verificación con comuneros</t>
        </is>
      </c>
      <c r="F61" s="56" t="inlineStr">
        <is>
          <t>0 nulo; 1-2 medio; &gt;2 alto</t>
        </is>
      </c>
      <c r="G61" s="56" t="inlineStr"/>
    </row>
    <row r="62">
      <c r="A62" s="55" t="inlineStr">
        <is>
          <t>7</t>
        </is>
      </c>
      <c r="B62" s="55" t="inlineStr">
        <is>
          <t>% área con pendiente &gt;50%</t>
        </is>
      </c>
      <c r="C62" s="55" t="inlineStr">
        <is>
          <t>%</t>
        </is>
      </c>
      <c r="D62" s="55" t="inlineStr">
        <is>
          <t>Por determinar</t>
        </is>
      </c>
      <c r="E62" s="55" t="inlineStr">
        <is>
          <t>Requiere cálculo con DEM</t>
        </is>
      </c>
      <c r="F62" s="55" t="inlineStr">
        <is>
          <t>Factor de susceptibilidad</t>
        </is>
      </c>
      <c r="G62" s="55" t="inlineStr"/>
    </row>
    <row r="63">
      <c r="A63" s="56" t="inlineStr">
        <is>
          <t>8</t>
        </is>
      </c>
      <c r="B63" s="56" t="inlineStr">
        <is>
          <t>Distancia a vía vecinal más cercana</t>
        </is>
      </c>
      <c r="C63" s="56" t="inlineStr">
        <is>
          <t>m</t>
        </is>
      </c>
      <c r="D63" s="56" t="inlineStr">
        <is>
          <t>0</t>
        </is>
      </c>
      <c r="E63" s="56" t="inlineStr">
        <is>
          <t>Vía asfaltada atraviesa el sector sur del bloque</t>
        </is>
      </c>
      <c r="F63" s="56" t="inlineStr">
        <is>
          <t>A menor distancia → mayor presión</t>
        </is>
      </c>
      <c r="G63" s="56" t="inlineStr">
        <is>
          <t>Alto</t>
        </is>
      </c>
    </row>
    <row r="65">
      <c r="A65" s="53" t="inlineStr">
        <is>
          <t>F-DT-05 · FUENTES DE AGUA INVENTARIADAS</t>
        </is>
      </c>
    </row>
    <row r="66">
      <c r="A66" s="54" t="inlineStr">
        <is>
          <t>N.o</t>
        </is>
      </c>
      <c r="B66" s="54" t="inlineStr">
        <is>
          <t>Tipo de fuente</t>
        </is>
      </c>
      <c r="C66" s="54" t="inlineStr">
        <is>
          <t>UTM ESTE</t>
        </is>
      </c>
      <c r="D66" s="54" t="inlineStr">
        <is>
          <t>UTM NORTE</t>
        </is>
      </c>
      <c r="E66" s="54" t="inlineStr">
        <is>
          <t>Régimen</t>
        </is>
      </c>
      <c r="F66" s="54" t="inlineStr">
        <is>
          <t>Calidad</t>
        </is>
      </c>
      <c r="G66" s="54" t="inlineStr">
        <is>
          <t>Distancia (m)</t>
        </is>
      </c>
      <c r="H66" s="54" t="inlineStr">
        <is>
          <t>Uso / observación</t>
        </is>
      </c>
    </row>
    <row r="67">
      <c r="A67" s="55" t="inlineStr">
        <is>
          <t>1</t>
        </is>
      </c>
      <c r="B67" s="55" t="inlineStr">
        <is>
          <t>Río</t>
        </is>
      </c>
      <c r="C67" s="60" t="n">
        <v>603900</v>
      </c>
      <c r="D67" s="60" t="n">
        <v>9439300</v>
      </c>
      <c r="E67" s="55" t="inlineStr"/>
      <c r="F67" s="55" t="inlineStr">
        <is>
          <t>No evaluable</t>
        </is>
      </c>
      <c r="G67" s="55" t="n"/>
      <c r="H67" s="55" t="inlineStr">
        <is>
          <t>Curso principal de cauce ancho y trenzado al E/SE del bloque (imagen satelital Google Earth). Nombre, regimen, calidad y distancia POR VERIFICAR.</t>
        </is>
      </c>
    </row>
    <row r="68">
      <c r="A68" s="56" t="inlineStr">
        <is>
          <t>2</t>
        </is>
      </c>
      <c r="B68" s="56" t="inlineStr">
        <is>
          <t>Quebrada estacional</t>
        </is>
      </c>
      <c r="C68" s="61" t="n">
        <v>603300</v>
      </c>
      <c r="D68" s="61" t="n">
        <v>9439600</v>
      </c>
      <c r="E68" s="56" t="inlineStr"/>
      <c r="F68" s="56" t="inlineStr">
        <is>
          <t>No evaluable</t>
        </is>
      </c>
      <c r="G68" s="56" t="n"/>
      <c r="H68" s="56" t="inlineStr">
        <is>
          <t>Quebrada tributaria seca que diseca el bloque (imagen satelital). Ubicacion aproximada; regimen y distancia POR VERIFICAR.</t>
        </is>
      </c>
    </row>
    <row r="71">
      <c r="A71" s="53" t="inlineStr">
        <is>
          <t>OBSERVACIONES DEL EVALUADOR POR FICHA</t>
        </is>
      </c>
    </row>
    <row r="72">
      <c r="A72" s="54" t="inlineStr">
        <is>
          <t>Ficha</t>
        </is>
      </c>
      <c r="B72" s="54" t="inlineStr">
        <is>
          <t>Observación registrada en campo</t>
        </is>
      </c>
    </row>
    <row r="73">
      <c r="A73" s="55" t="inlineStr">
        <is>
          <t>F-DT-01</t>
        </is>
      </c>
      <c r="B73" s="55" t="inlineStr">
        <is>
          <t>Verificacion de campo del 02/07/2026, sector sur/acceso del bloque (602 380 - 602 922 E / 9 438 047 - 9 438 253 N). Altitud GPS no registrada por la aplicacion fotografica: POR DETERMINAR. Perfil de elevacion Google Earth de transecto referencial (1.79 km): elevacion 131-325 msnm (media 219 msnm), pendiente media 13.7 %, maxima 34.9 %. Centroide del bloque (catalogo Bloques V5): 603 652.81 E / 9 439 351.37 N; area 330.599 ha; microcuenca C1096-Q9558. Forma del terreno, rango de pendiente, posicion fisiografica y exposicion son JUICIO EXPERTO sobre el sector recorrido: requieren confirmacion con DEM para el poligono completo. No se observaron remociones en masa activas, escarpes activos ni reptacion en el sector recorrido; no se observaron afloramientos rocosos (si pedregosidad superficial abundante). C.P. de referencia INEI: Balcones de Talandracas (691 hab., 602 137 E / 9 437 858 N); tambien proximos C.P. Papelillo y Pueblo Nuevo de Talandracas.</t>
        </is>
      </c>
    </row>
    <row r="74">
      <c r="A74" s="56" t="inlineStr">
        <is>
          <t>F-DT-02</t>
        </is>
      </c>
      <c r="B74" s="56" t="inlineStr">
        <is>
          <t>Recorrido de reconocimiento: NO se registraron carcavas ni surcos incipientes en el sector visitado; el inventario georreferenciado (seccion 3) queda vacio por ausencia de rasgos observados, no por falta de levantamiento. Patron de carcavas dominante: no aplica (0 carcavas). Se observa erosion laminar con pavimento de erosion (concentracion superficial de gravas y cantos rodados por lavado de finos), asociada a compactacion por pisoteo de ganado y a suelo desnudo en areas cercadas sobrepastoreadas. Erosion laminar (20 %) y % de bloque afectado son ESTIMACION OCULAR sujeta a revision. Dimensiones instrumentales, densidad de carcavas por hectarea y longitud acumulada quedan pendientes de levantamiento por el especialista de Infraestructura Marron. Se registra ademas erosion inducida por movimiento de tierras y nivelacion de plataformas junto a la via asfaltada (602 388 E / 9 438 061 N). Altitud del punto de muestreo: POR DETERMINAR.</t>
        </is>
      </c>
    </row>
    <row r="75">
      <c r="A75" s="55" t="inlineStr">
        <is>
          <t>F-DT-05</t>
        </is>
      </c>
      <c r="B75" s="55" t="inlineStr">
        <is>
          <t>No se identificaron manantiales, puquios ni captaciones poblacionales dentro del sector recorrido. Las dos fuentes registradas se derivan de fotointerpretacion satelital (Google Earth, imagen 12/06/2023): coordenadas APROXIMADAS, regimen y distancia al bloque POR VERIFICAR en campo. Distancia a captacion poblacional, nombre de la JASS, tiempos de viaje desde capital distrital/provincial, senial y operador celular, alojamiento rural y contacto de la Ronda Campesina: POR DETERMINAR. La ausencia de restriccion de Ronda Campesina se consigna como "No" por no haberse presentado restriccion durante el recorrido, pero queda POR CONFIRMAR con las autoridades de los CC.PP. de referencia. El bloque se ubica en zona de origen y recarga de la microcuenca C1096-Q9558; se infiere escorrentia concentrada por la red de quebradas secas visible en imagen satelital. ADVERTENCIA PREDIAL: el sector sur presenta linderos de propiedad privada, cercos de alambre de pua y movimiento de tierras para ocupacion, lo que condiciona la disponibilidad efectiva del area.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2</t>
        </is>
      </c>
    </row>
    <row r="7">
      <c r="A7" s="53" t="inlineStr">
        <is>
          <t>Hechos declarados por fuente</t>
        </is>
      </c>
    </row>
    <row r="8">
      <c r="A8" s="54" t="inlineStr">
        <is>
          <t>Fuente</t>
        </is>
      </c>
      <c r="B8" s="54" t="inlineStr">
        <is>
          <t>Hechos</t>
        </is>
      </c>
    </row>
    <row r="9">
      <c r="A9" s="55" t="inlineStr">
        <is>
          <t>Dato de campo</t>
        </is>
      </c>
      <c r="B9" s="55" t="n">
        <v>67</v>
      </c>
    </row>
    <row r="10">
      <c r="A10" s="56" t="inlineStr">
        <is>
          <t>Gabinete (GIS / teledetección)</t>
        </is>
      </c>
      <c r="B10" s="56" t="n">
        <v>21</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100</v>
      </c>
    </row>
    <row r="29">
      <c r="A29" s="56" t="inlineStr">
        <is>
          <t>COMPLEMENTADO</t>
        </is>
      </c>
      <c r="B29" s="56" t="n">
        <v>0</v>
      </c>
    </row>
    <row r="30">
      <c r="A30" s="55" t="inlineStr">
        <is>
          <t>ACTUALIZADO</t>
        </is>
      </c>
      <c r="B30" s="55" t="n">
        <v>2</v>
      </c>
    </row>
    <row r="31">
      <c r="A31" s="56" t="inlineStr">
        <is>
          <t>DISCREPANTE</t>
        </is>
      </c>
      <c r="B31" s="56" t="n">
        <v>0</v>
      </c>
    </row>
    <row r="32">
      <c r="A32" s="55" t="inlineStr">
        <is>
          <t>PENDIENTE</t>
        </is>
      </c>
      <c r="B32" s="55" t="n">
        <v>12</v>
      </c>
    </row>
    <row r="45">
      <c r="A45" s="53" t="inlineStr">
        <is>
          <t>Cobertura por estrato — campo (%)</t>
        </is>
      </c>
    </row>
    <row r="46">
      <c r="A46" s="54" t="inlineStr">
        <is>
          <t>Estrato</t>
        </is>
      </c>
      <c r="B46" s="54" t="inlineStr">
        <is>
          <t>% del área</t>
        </is>
      </c>
    </row>
    <row r="47">
      <c r="A47" s="55" t="inlineStr">
        <is>
          <t>Dosel</t>
        </is>
      </c>
      <c r="B47" s="60" t="n">
        <v>15</v>
      </c>
    </row>
    <row r="48">
      <c r="A48" s="56" t="inlineStr">
        <is>
          <t>Arbustiva</t>
        </is>
      </c>
      <c r="B48" s="61" t="n">
        <v>45</v>
      </c>
    </row>
    <row r="49">
      <c r="A49" s="55" t="inlineStr">
        <is>
          <t>Herbácea</t>
        </is>
      </c>
      <c r="B49" s="60" t="n">
        <v>10</v>
      </c>
    </row>
    <row r="50">
      <c r="A50" s="56" t="inlineStr">
        <is>
          <t>Suelo desnudo</t>
        </is>
      </c>
      <c r="B50" s="61" t="n">
        <v>25</v>
      </c>
    </row>
    <row r="64">
      <c r="A64" s="53" t="inlineStr">
        <is>
          <t>Causas activas de degradación (F-DT-04)</t>
        </is>
      </c>
    </row>
    <row r="65">
      <c r="A65" s="54" t="inlineStr">
        <is>
          <t>Causa</t>
        </is>
      </c>
      <c r="B65" s="54" t="inlineStr">
        <is>
          <t>Intensidad (1 ligera - 4 muy fuerte)</t>
        </is>
      </c>
    </row>
    <row r="66">
      <c r="A66" s="55" t="inlineStr">
        <is>
          <t>Cambio de uso a pastoreo</t>
        </is>
      </c>
      <c r="B66" s="55" t="n">
        <v>2</v>
      </c>
    </row>
    <row r="67">
      <c r="A67" s="56" t="inlineStr">
        <is>
          <t>Expansión urbana / vial</t>
        </is>
      </c>
      <c r="B67" s="56" t="n">
        <v>2</v>
      </c>
    </row>
    <row r="68">
      <c r="A68" s="55" t="inlineStr">
        <is>
          <t>Sequía prolongada / CC</t>
        </is>
      </c>
      <c r="B68" s="55" t="n">
        <v>2</v>
      </c>
    </row>
    <row r="69">
      <c r="A69" s="56" t="inlineStr">
        <is>
          <t>Sobrepastoreo (caprino/vacuno)</t>
        </is>
      </c>
      <c r="B69" s="56" t="n">
        <v>2</v>
      </c>
    </row>
    <row r="70">
      <c r="A70" s="55" t="inlineStr">
        <is>
          <t>Erosión natural severa</t>
        </is>
      </c>
      <c r="B70" s="55" t="n">
        <v>1</v>
      </c>
    </row>
    <row r="71">
      <c r="A71" s="56" t="inlineStr">
        <is>
          <t>Tala para leña</t>
        </is>
      </c>
      <c r="B71" s="56" t="n">
        <v>1</v>
      </c>
    </row>
    <row r="83">
      <c r="A83" s="53" t="inlineStr">
        <is>
          <t>Control de consistencia por calificación</t>
        </is>
      </c>
    </row>
    <row r="84">
      <c r="A84" s="54" t="inlineStr">
        <is>
          <t>Calificación</t>
        </is>
      </c>
      <c r="B84" s="54" t="inlineStr">
        <is>
          <t>Verificaciones</t>
        </is>
      </c>
    </row>
    <row r="85">
      <c r="A85" s="55" t="inlineStr">
        <is>
          <t>SUSTANTIVA</t>
        </is>
      </c>
      <c r="B85" s="55" t="n">
        <v>2</v>
      </c>
    </row>
    <row r="86">
      <c r="A86" s="56" t="inlineStr">
        <is>
          <t>NO SUSTANTIVA</t>
        </is>
      </c>
      <c r="B86" s="56" t="n">
        <v>3</v>
      </c>
    </row>
    <row r="87">
      <c r="A87" s="55" t="inlineStr">
        <is>
          <t>CORREGIDO</t>
        </is>
      </c>
      <c r="B87" s="55" t="n">
        <v>2</v>
      </c>
    </row>
    <row r="88">
      <c r="A88" s="56" t="inlineStr">
        <is>
          <t>CONFORME</t>
        </is>
      </c>
      <c r="B88"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 — IN Piura</dc:title>
  <dc:subject>Diagnóstico Territorial por bloque de intervención</dc:subject>
  <dcterms:created xsi:type="dcterms:W3CDTF">2026-09-08T03:39:53Z</dcterms:created>
  <dcterms:modified xsi:type="dcterms:W3CDTF">2026-09-11T21:26:24Z</dcterms:modified>
</cp:coreProperties>
</file>