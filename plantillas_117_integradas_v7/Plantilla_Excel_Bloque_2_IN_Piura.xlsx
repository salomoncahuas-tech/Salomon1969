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men" sheetId="1" state="visible" r:id="rId1"/>
    <sheet name="Cobertura MSAVI-NDVI" sheetId="2" state="visible" r:id="rId2"/>
    <sheet name="Estaciones fotográficas" sheetId="3" state="visible" r:id="rId3"/>
    <sheet name="Microcuenca" sheetId="4" state="visible" r:id="rId4"/>
    <sheet name="Control de consistencia" sheetId="5" state="visible" r:id="rId5"/>
    <sheet name="Integración de campo" sheetId="6" state="visible" r:id="rId6"/>
    <sheet name="Registro de campo F-DT" sheetId="7" state="visible" r:id="rId7"/>
    <sheet name="Gráficos de integración" sheetId="8" state="visible" r:id="rId8"/>
  </sheets>
  <definedNames/>
  <calcPr calcId="124519" fullCalcOnLoad="1"/>
</workbook>
</file>

<file path=xl/styles.xml><?xml version="1.0" encoding="utf-8"?>
<styleSheet xmlns="http://schemas.openxmlformats.org/spreadsheetml/2006/main">
  <numFmts count="2">
    <numFmt numFmtId="164" formatCode="0.0000"/>
    <numFmt numFmtId="165" formatCode="0.000"/>
  </numFmts>
  <fonts count="14">
    <font>
      <name val="Calibri"/>
      <family val="2"/>
      <color theme="1"/>
      <sz val="11"/>
      <scheme val="minor"/>
    </font>
    <font>
      <name val="Arial"/>
      <b val="1"/>
      <color rgb="00FFFFFF"/>
      <sz val="10"/>
    </font>
    <font>
      <name val="Arial"/>
      <color rgb="00FFFFFF"/>
      <sz val="8"/>
    </font>
    <font>
      <name val="Arial"/>
      <b val="1"/>
      <color rgb="001B4D2E"/>
      <sz val="12"/>
    </font>
    <font>
      <name val="Arial"/>
      <i val="1"/>
      <color rgb="00555555"/>
      <sz val="8"/>
    </font>
    <font>
      <name val="Arial"/>
      <b val="1"/>
      <sz val="9"/>
    </font>
    <font>
      <name val="Arial"/>
      <sz val="9"/>
    </font>
    <font>
      <name val="Arial"/>
      <i val="1"/>
      <color rgb="00333333"/>
      <sz val="8"/>
    </font>
    <font>
      <name val="Arial"/>
      <b val="1"/>
      <color rgb="00FFFFFF"/>
      <sz val="9"/>
    </font>
    <font>
      <name val="Arial"/>
      <b val="1"/>
      <color rgb="001B4D2E"/>
      <sz val="9"/>
    </font>
    <font>
      <name val="Arial"/>
      <i val="1"/>
      <sz val="8"/>
    </font>
    <font>
      <name val="Arial"/>
      <b val="1"/>
      <color rgb="00FFFFFF"/>
      <sz val="12"/>
    </font>
    <font>
      <name val="Arial"/>
      <b val="1"/>
      <color rgb="001B4F72"/>
      <sz val="10"/>
    </font>
    <font>
      <name val="Arial"/>
      <i val="1"/>
      <sz val="7.5"/>
    </font>
  </fonts>
  <fills count="9">
    <fill>
      <patternFill/>
    </fill>
    <fill>
      <patternFill patternType="gray125"/>
    </fill>
    <fill>
      <patternFill patternType="solid">
        <fgColor rgb="001B4D2E"/>
      </patternFill>
    </fill>
    <fill>
      <patternFill patternType="solid">
        <fgColor rgb="001B4F72"/>
      </patternFill>
    </fill>
    <fill>
      <patternFill patternType="solid">
        <fgColor rgb="00E8F0EA"/>
      </patternFill>
    </fill>
    <fill>
      <patternFill patternType="solid">
        <fgColor rgb="00F2F2F2"/>
      </patternFill>
    </fill>
    <fill>
      <patternFill patternType="solid">
        <fgColor rgb="00FFF2CC"/>
      </patternFill>
    </fill>
    <fill>
      <patternFill patternType="solid">
        <fgColor rgb="00D9E1F2"/>
      </patternFill>
    </fill>
    <fill>
      <patternFill patternType="solid">
        <fgColor rgb="00F8CBAD"/>
      </patternFill>
    </fill>
  </fills>
  <borders count="8">
    <border>
      <left/>
      <right/>
      <top/>
      <bottom/>
      <diagonal/>
    </border>
    <border>
      <left style="thin">
        <color rgb="009C9C9C"/>
      </left>
      <right style="thin">
        <color rgb="009C9C9C"/>
      </right>
      <top style="thin">
        <color rgb="009C9C9C"/>
      </top>
      <bottom style="thin">
        <color rgb="009C9C9C"/>
      </bottom>
    </border>
    <border>
      <left/>
      <right/>
      <top style="thin">
        <color rgb="009C9C9C"/>
      </top>
      <bottom/>
      <diagonal/>
    </border>
    <border>
      <left/>
      <right style="thin">
        <color rgb="009C9C9C"/>
      </right>
      <top style="thin">
        <color rgb="009C9C9C"/>
      </top>
      <bottom/>
      <diagonal/>
    </border>
    <border>
      <left/>
      <right/>
      <top style="thin">
        <color rgb="009C9C9C"/>
      </top>
      <bottom style="thin">
        <color rgb="009C9C9C"/>
      </bottom>
      <diagonal/>
    </border>
    <border>
      <left/>
      <right style="thin">
        <color rgb="009C9C9C"/>
      </right>
      <top style="thin">
        <color rgb="009C9C9C"/>
      </top>
      <bottom style="thin">
        <color rgb="009C9C9C"/>
      </bottom>
      <diagonal/>
    </border>
    <border>
      <left style="thin">
        <color rgb="00B7C4BA"/>
      </left>
      <right style="thin">
        <color rgb="00B7C4BA"/>
      </right>
      <top style="thin">
        <color rgb="00B7C4BA"/>
      </top>
      <bottom style="thin">
        <color rgb="00B7C4BA"/>
      </bottom>
    </border>
    <border>
      <left style="thin">
        <color rgb="00BFBFBF"/>
      </left>
      <right style="thin">
        <color rgb="00BFBFBF"/>
      </right>
      <top style="thin">
        <color rgb="00BFBFBF"/>
      </top>
      <bottom style="thin">
        <color rgb="00BFBFBF"/>
      </bottom>
    </border>
  </borders>
  <cellStyleXfs count="1">
    <xf numFmtId="0" fontId="0" fillId="0" borderId="0"/>
  </cellStyleXfs>
  <cellXfs count="62">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3" fillId="4" borderId="0" applyAlignment="1" pivotButton="0" quotePrefix="0" xfId="0">
      <alignment horizontal="center" vertical="center"/>
    </xf>
    <xf numFmtId="0" fontId="4" fillId="0" borderId="0" applyAlignment="1" pivotButton="0" quotePrefix="0" xfId="0">
      <alignment horizontal="center" vertical="center" wrapText="1"/>
    </xf>
    <xf numFmtId="0" fontId="1" fillId="2" borderId="0" applyAlignment="1" pivotButton="0" quotePrefix="0" xfId="0">
      <alignment horizontal="left" vertical="center" indent="1"/>
    </xf>
    <xf numFmtId="0" fontId="5" fillId="5" borderId="1" applyAlignment="1" pivotButton="0" quotePrefix="0" xfId="0">
      <alignment horizontal="left" vertical="center" wrapText="1" indent="1"/>
    </xf>
    <xf numFmtId="0" fontId="6" fillId="0" borderId="1" applyAlignment="1" pivotButton="0" quotePrefix="0" xfId="0">
      <alignment horizontal="left" vertical="center" wrapText="1" indent="1"/>
    </xf>
    <xf numFmtId="0" fontId="0" fillId="0" borderId="1" pivotButton="0" quotePrefix="0" xfId="0"/>
    <xf numFmtId="0" fontId="7" fillId="0" borderId="1" applyAlignment="1" pivotButton="0" quotePrefix="0" xfId="0">
      <alignment horizontal="justify" vertical="top" wrapText="1"/>
    </xf>
    <xf numFmtId="0" fontId="8" fillId="2" borderId="1" applyAlignment="1" pivotButton="0" quotePrefix="0" xfId="0">
      <alignment horizontal="center" vertical="center" wrapText="1"/>
    </xf>
    <xf numFmtId="0" fontId="6" fillId="0" borderId="1" applyAlignment="1" pivotButton="0" quotePrefix="0" xfId="0">
      <alignment horizontal="center" vertical="center" wrapText="1"/>
    </xf>
    <xf numFmtId="0" fontId="6" fillId="4" borderId="1" applyAlignment="1" pivotButton="0" quotePrefix="0" xfId="0">
      <alignment horizontal="left" vertical="center" wrapText="1" indent="1"/>
    </xf>
    <xf numFmtId="0" fontId="6" fillId="4" borderId="1" applyAlignment="1" pivotButton="0" quotePrefix="0" xfId="0">
      <alignment horizontal="center" vertical="center" wrapText="1"/>
    </xf>
    <xf numFmtId="0" fontId="5" fillId="6" borderId="1" applyAlignment="1" pivotButton="0" quotePrefix="0" xfId="0">
      <alignment horizontal="left" vertical="center" wrapText="1" indent="1"/>
    </xf>
    <xf numFmtId="0" fontId="5" fillId="6" borderId="1" applyAlignment="1" pivotButton="0" quotePrefix="0" xfId="0">
      <alignment horizontal="center" vertical="center" wrapText="1"/>
    </xf>
    <xf numFmtId="0" fontId="5" fillId="4" borderId="1" applyAlignment="1" pivotButton="0" quotePrefix="0" xfId="0">
      <alignment horizontal="left" vertical="center" wrapText="1" indent="1"/>
    </xf>
    <xf numFmtId="0" fontId="5" fillId="4" borderId="1" applyAlignment="1" pivotButton="0" quotePrefix="0" xfId="0">
      <alignment horizontal="center" vertical="center" wrapText="1"/>
    </xf>
    <xf numFmtId="164" fontId="6" fillId="0" borderId="1" applyAlignment="1" pivotButton="0" quotePrefix="0" xfId="0">
      <alignment horizontal="center" vertical="center" wrapText="1"/>
    </xf>
    <xf numFmtId="2" fontId="6" fillId="0" borderId="1" applyAlignment="1" pivotButton="0" quotePrefix="0" xfId="0">
      <alignment horizontal="center" vertical="center" wrapText="1"/>
    </xf>
    <xf numFmtId="164" fontId="6" fillId="4" borderId="1" applyAlignment="1" pivotButton="0" quotePrefix="0" xfId="0">
      <alignment horizontal="center" vertical="center" wrapText="1"/>
    </xf>
    <xf numFmtId="2" fontId="6" fillId="4" borderId="1" applyAlignment="1" pivotButton="0" quotePrefix="0" xfId="0">
      <alignment horizontal="center" vertical="center" wrapText="1"/>
    </xf>
    <xf numFmtId="164" fontId="5" fillId="4" borderId="1" applyAlignment="1" pivotButton="0" quotePrefix="0" xfId="0">
      <alignment horizontal="center" vertical="center" wrapText="1"/>
    </xf>
    <xf numFmtId="2" fontId="5" fillId="4" borderId="1" applyAlignment="1" pivotButton="0" quotePrefix="0" xfId="0">
      <alignment horizontal="center" vertical="center" wrapText="1"/>
    </xf>
    <xf numFmtId="0" fontId="5" fillId="0" borderId="1" applyAlignment="1" pivotButton="0" quotePrefix="0" xfId="0">
      <alignment horizontal="left" vertical="center" wrapText="1" indent="1"/>
    </xf>
    <xf numFmtId="0" fontId="5" fillId="0" borderId="1" applyAlignment="1" pivotButton="0" quotePrefix="0" xfId="0">
      <alignment horizontal="center" vertical="center" wrapText="1"/>
    </xf>
    <xf numFmtId="3" fontId="6" fillId="0" borderId="1" applyAlignment="1" pivotButton="0" quotePrefix="0" xfId="0">
      <alignment horizontal="center" vertical="center" wrapText="1"/>
    </xf>
    <xf numFmtId="3" fontId="6" fillId="4" borderId="1" applyAlignment="1" pivotButton="0" quotePrefix="0" xfId="0">
      <alignment horizontal="center" vertical="center" wrapText="1"/>
    </xf>
    <xf numFmtId="165" fontId="5" fillId="6" borderId="1" applyAlignment="1" pivotButton="0" quotePrefix="0" xfId="0">
      <alignment horizontal="center" vertical="center" wrapText="1"/>
    </xf>
    <xf numFmtId="2" fontId="5" fillId="6" borderId="1" applyAlignment="1" pivotButton="0" quotePrefix="0" xfId="0">
      <alignment horizontal="center" vertical="center" wrapText="1"/>
    </xf>
    <xf numFmtId="164" fontId="5" fillId="6" borderId="1" applyAlignment="1" pivotButton="0" quotePrefix="0" xfId="0">
      <alignment horizontal="center" vertical="center" wrapText="1"/>
    </xf>
    <xf numFmtId="165" fontId="6" fillId="4" borderId="1" applyAlignment="1" pivotButton="0" quotePrefix="0" xfId="0">
      <alignment horizontal="center" vertical="center" wrapText="1"/>
    </xf>
    <xf numFmtId="165" fontId="5" fillId="4" borderId="1" applyAlignment="1" pivotButton="0" quotePrefix="0" xfId="0">
      <alignment horizontal="center" vertical="center" wrapText="1"/>
    </xf>
    <xf numFmtId="0" fontId="6" fillId="0" borderId="1" applyAlignment="1" pivotButton="0" quotePrefix="0" xfId="0">
      <alignment horizontal="left" vertical="top" wrapText="1" indent="1"/>
    </xf>
    <xf numFmtId="0" fontId="5" fillId="7" borderId="1" applyAlignment="1" pivotButton="0" quotePrefix="0" xfId="0">
      <alignment horizontal="center" vertical="center" wrapText="1"/>
    </xf>
    <xf numFmtId="0" fontId="6" fillId="4" borderId="1" applyAlignment="1" pivotButton="0" quotePrefix="0" xfId="0">
      <alignment horizontal="left" vertical="top" wrapText="1" indent="1"/>
    </xf>
    <xf numFmtId="0" fontId="5" fillId="8" borderId="1" applyAlignment="1" pivotButton="0" quotePrefix="0" xfId="0">
      <alignment horizontal="center" vertical="center" wrapText="1"/>
    </xf>
    <xf numFmtId="165" fontId="6" fillId="0" borderId="1" applyAlignment="1" pivotButton="0" quotePrefix="0" xfId="0">
      <alignment horizontal="left" vertical="center" wrapText="1" indent="1"/>
    </xf>
    <xf numFmtId="2" fontId="6" fillId="0" borderId="1" applyAlignment="1" pivotButton="0" quotePrefix="0" xfId="0">
      <alignment horizontal="left" vertical="center" wrapText="1" indent="1"/>
    </xf>
    <xf numFmtId="1" fontId="6" fillId="0" borderId="1" applyAlignment="1" pivotButton="0" quotePrefix="0" xfId="0">
      <alignment horizontal="left" vertical="center" wrapText="1" indent="1"/>
    </xf>
    <xf numFmtId="0" fontId="0" fillId="0" borderId="4" pivotButton="0" quotePrefix="0" xfId="0"/>
    <xf numFmtId="0" fontId="0" fillId="0" borderId="5" pivotButton="0" quotePrefix="0" xfId="0"/>
    <xf numFmtId="0" fontId="5" fillId="4" borderId="6" applyAlignment="1" pivotButton="0" quotePrefix="0" xfId="0">
      <alignment horizontal="left" vertical="center" wrapText="1"/>
    </xf>
    <xf numFmtId="164" fontId="5" fillId="4" borderId="6" applyAlignment="1" pivotButton="0" quotePrefix="0" xfId="0">
      <alignment horizontal="center" vertical="center" wrapText="1"/>
    </xf>
    <xf numFmtId="2" fontId="5" fillId="4" borderId="6" applyAlignment="1" pivotButton="0" quotePrefix="0" xfId="0">
      <alignment horizontal="center" vertical="center" wrapText="1"/>
    </xf>
    <xf numFmtId="0" fontId="6" fillId="0" borderId="6" applyAlignment="1" pivotButton="0" quotePrefix="0" xfId="0">
      <alignment horizontal="left" vertical="center" wrapText="1"/>
    </xf>
    <xf numFmtId="164" fontId="6" fillId="0" borderId="6" applyAlignment="1" pivotButton="0" quotePrefix="0" xfId="0">
      <alignment horizontal="center" vertical="center" wrapText="1"/>
    </xf>
    <xf numFmtId="2" fontId="6" fillId="0" borderId="6" applyAlignment="1" pivotButton="0" quotePrefix="0" xfId="0">
      <alignment horizontal="center" vertical="center" wrapText="1"/>
    </xf>
    <xf numFmtId="0" fontId="6" fillId="0" borderId="6" applyAlignment="1" pivotButton="0" quotePrefix="0" xfId="0">
      <alignment horizontal="center" vertical="center" wrapText="1"/>
    </xf>
    <xf numFmtId="0" fontId="6" fillId="0" borderId="1" applyAlignment="1" pivotButton="0" quotePrefix="0" xfId="0">
      <alignment vertical="top" wrapText="1"/>
    </xf>
    <xf numFmtId="0" fontId="9" fillId="0" borderId="0" pivotButton="0" quotePrefix="0" xfId="0"/>
    <xf numFmtId="0" fontId="10" fillId="0" borderId="0" pivotButton="0" quotePrefix="0" xfId="0"/>
    <xf numFmtId="0" fontId="11" fillId="2" borderId="0" applyAlignment="1" pivotButton="0" quotePrefix="0" xfId="0">
      <alignment horizontal="center" vertical="center"/>
    </xf>
    <xf numFmtId="0" fontId="12" fillId="0" borderId="0" pivotButton="0" quotePrefix="0" xfId="0"/>
    <xf numFmtId="0" fontId="8" fillId="2" borderId="7" applyAlignment="1" pivotButton="0" quotePrefix="0" xfId="0">
      <alignment horizontal="center" wrapText="1"/>
    </xf>
    <xf numFmtId="0" fontId="6" fillId="0" borderId="7" pivotButton="0" quotePrefix="0" xfId="0"/>
    <xf numFmtId="0" fontId="6" fillId="5" borderId="7" pivotButton="0" quotePrefix="0" xfId="0"/>
    <xf numFmtId="0" fontId="5" fillId="0" borderId="0" pivotButton="0" quotePrefix="0" xfId="0"/>
    <xf numFmtId="0" fontId="6" fillId="0" borderId="0" pivotButton="0" quotePrefix="0" xfId="0"/>
    <xf numFmtId="0" fontId="13" fillId="0" borderId="0" applyAlignment="1" pivotButton="0" quotePrefix="0" xfId="0">
      <alignment vertical="top" wrapText="1"/>
    </xf>
    <xf numFmtId="4" fontId="6" fillId="0" borderId="7" pivotButton="0" quotePrefix="0" xfId="0"/>
    <xf numFmtId="4" fontId="6" fillId="5" borderId="7"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charts/chart1.xml><?xml version="1.0" encoding="utf-8"?>
<chartSpace xmlns:a="http://schemas.openxmlformats.org/drawingml/2006/main" xmlns="http://schemas.openxmlformats.org/drawingml/2006/chart">
  <chart>
    <title>
      <tx>
        <rich>
          <a:bodyPr/>
          <a:p>
            <a:pPr>
              <a:defRPr/>
            </a:pPr>
            <a:r>
              <a:t>Procedencia de los hechos declarados</a:t>
            </a:r>
          </a:p>
        </rich>
      </tx>
    </title>
    <plotArea>
      <pieChart>
        <varyColors val="1"/>
        <ser>
          <idx val="0"/>
          <order val="0"/>
          <tx>
            <strRef>
              <f>'Gráficos de integración'!B8</f>
            </strRef>
          </tx>
          <spPr>
            <a:ln>
              <a:prstDash val="solid"/>
            </a:ln>
          </spPr>
          <cat>
            <numRef>
              <f>'Gráficos de integración'!$A$9:$A$11</f>
            </numRef>
          </cat>
          <val>
            <numRef>
              <f>'Gráficos de integración'!$B$9:$B$11</f>
            </numRef>
          </val>
        </ser>
        <firstSliceAng val="0"/>
      </pieChart>
    </plotArea>
    <legend>
      <legendPos val="r"/>
    </legend>
    <plotVisOnly val="1"/>
    <dispBlanksAs val="gap"/>
  </chart>
</chartSpace>
</file>

<file path=xl/charts/chart2.xml><?xml version="1.0" encoding="utf-8"?>
<chartSpace xmlns:a="http://schemas.openxmlformats.org/drawingml/2006/main" xmlns="http://schemas.openxmlformats.org/drawingml/2006/chart">
  <style val="10"/>
  <chart>
    <title>
      <tx>
        <rich>
          <a:bodyPr/>
          <a:p>
            <a:pPr>
              <a:defRPr/>
            </a:pPr>
            <a:r>
              <a:t>Estado del cruce entre fuentes</a:t>
            </a:r>
          </a:p>
        </rich>
      </tx>
    </title>
    <plotArea>
      <barChart>
        <barDir val="col"/>
        <grouping val="clustered"/>
        <ser>
          <idx val="0"/>
          <order val="0"/>
          <tx>
            <strRef>
              <f>'Gráficos de integración'!B29</f>
            </strRef>
          </tx>
          <spPr>
            <a:ln>
              <a:prstDash val="solid"/>
            </a:ln>
          </spPr>
          <cat>
            <numRef>
              <f>'Gráficos de integración'!$A$30:$A$34</f>
            </numRef>
          </cat>
          <val>
            <numRef>
              <f>'Gráficos de integración'!$B$30:$B$34</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Hechos</a:t>
                </a:r>
              </a:p>
            </rich>
          </tx>
        </title>
        <majorTickMark val="none"/>
        <minorTickMark val="none"/>
        <crossAx val="10"/>
      </valAx>
    </plotArea>
    <plotVisOnly val="1"/>
    <dispBlanksAs val="gap"/>
  </chart>
</chartSpace>
</file>

<file path=xl/charts/chart3.xml><?xml version="1.0" encoding="utf-8"?>
<chartSpace xmlns:a="http://schemas.openxmlformats.org/drawingml/2006/main" xmlns="http://schemas.openxmlformats.org/drawingml/2006/chart">
  <style val="10"/>
  <chart>
    <title>
      <tx>
        <rich>
          <a:bodyPr/>
          <a:p>
            <a:pPr>
              <a:defRPr/>
            </a:pPr>
            <a:r>
              <a:t>Cobertura por estrato (%)</a:t>
            </a:r>
          </a:p>
        </rich>
      </tx>
    </title>
    <plotArea>
      <barChart>
        <barDir val="col"/>
        <grouping val="clustered"/>
        <ser>
          <idx val="0"/>
          <order val="0"/>
          <tx>
            <strRef>
              <f>'Gráficos de integración'!B52</f>
            </strRef>
          </tx>
          <spPr>
            <a:ln>
              <a:prstDash val="solid"/>
            </a:ln>
          </spPr>
          <cat>
            <numRef>
              <f>'Gráficos de integración'!$A$53:$A$56</f>
            </numRef>
          </cat>
          <val>
            <numRef>
              <f>'Gráficos de integración'!$B$53:$B$56</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a:t>
                </a:r>
              </a:p>
            </rich>
          </tx>
        </title>
        <majorTickMark val="none"/>
        <minorTickMark val="none"/>
        <crossAx val="10"/>
      </valAx>
    </plotArea>
    <plotVisOnly val="1"/>
    <dispBlanksAs val="gap"/>
  </chart>
</chartSpace>
</file>

<file path=xl/charts/chart4.xml><?xml version="1.0" encoding="utf-8"?>
<chartSpace xmlns:a="http://schemas.openxmlformats.org/drawingml/2006/main" xmlns="http://schemas.openxmlformats.org/drawingml/2006/chart">
  <style val="10"/>
  <chart>
    <title>
      <tx>
        <rich>
          <a:bodyPr/>
          <a:p>
            <a:pPr>
              <a:defRPr/>
            </a:pPr>
            <a:r>
              <a:t>Causas activas por intensidad</a:t>
            </a:r>
          </a:p>
        </rich>
      </tx>
    </title>
    <plotArea>
      <barChart>
        <barDir val="col"/>
        <grouping val="clustered"/>
        <ser>
          <idx val="0"/>
          <order val="0"/>
          <tx>
            <strRef>
              <f>'Gráficos de integración'!B74</f>
            </strRef>
          </tx>
          <spPr>
            <a:ln>
              <a:prstDash val="solid"/>
            </a:ln>
          </spPr>
          <cat>
            <numRef>
              <f>'Gráficos de integración'!$A$75:$A$80</f>
            </numRef>
          </cat>
          <val>
            <numRef>
              <f>'Gráficos de integración'!$B$75:$B$80</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Intensidad</a:t>
                </a:r>
              </a:p>
            </rich>
          </tx>
        </title>
        <majorTickMark val="none"/>
        <minorTickMark val="none"/>
        <crossAx val="10"/>
      </valAx>
    </plotArea>
    <plotVisOnly val="1"/>
    <dispBlanksAs val="gap"/>
  </chart>
</chartSpace>
</file>

<file path=xl/charts/chart5.xml><?xml version="1.0" encoding="utf-8"?>
<chartSpace xmlns:a="http://schemas.openxmlformats.org/drawingml/2006/main" xmlns="http://schemas.openxmlformats.org/drawingml/2006/chart">
  <chart>
    <title>
      <tx>
        <rich>
          <a:bodyPr/>
          <a:p>
            <a:pPr>
              <a:defRPr/>
            </a:pPr>
            <a:r>
              <a:t>Control de consistencia</a:t>
            </a:r>
          </a:p>
        </rich>
      </tx>
    </title>
    <plotArea>
      <pieChart>
        <varyColors val="1"/>
        <ser>
          <idx val="0"/>
          <order val="0"/>
          <tx>
            <strRef>
              <f>'Gráficos de integración'!B98</f>
            </strRef>
          </tx>
          <spPr>
            <a:ln>
              <a:prstDash val="solid"/>
            </a:ln>
          </spPr>
          <cat>
            <numRef>
              <f>'Gráficos de integración'!$A$99:$A$102</f>
            </numRef>
          </cat>
          <val>
            <numRef>
              <f>'Gráficos de integración'!$B$99:$B$102</f>
            </numRef>
          </val>
        </ser>
        <firstSliceAng val="0"/>
      </pieChart>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 Type="http://schemas.openxmlformats.org/officeDocument/2006/relationships/chart" Target="/xl/charts/chart3.xml" Id="rId3" /><Relationship Type="http://schemas.openxmlformats.org/officeDocument/2006/relationships/chart" Target="/xl/charts/chart4.xml" Id="rId4" /><Relationship Type="http://schemas.openxmlformats.org/officeDocument/2006/relationships/chart" Target="/xl/charts/chart5.xml" Id="rId5"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3</col>
      <colOff>0</colOff>
      <row>7</row>
      <rowOff>0</rowOff>
    </from>
    <ext cx="4320000" cy="2880000"/>
    <graphicFrame>
      <nvGraphicFramePr>
        <cNvPr id="1" name="Chart 1"/>
        <cNvGraphicFramePr/>
      </nvGraphicFramePr>
      <xfrm/>
      <a:graphic>
        <a:graphicData uri="http://schemas.openxmlformats.org/drawingml/2006/chart">
          <c:chart r:id="rId1"/>
        </a:graphicData>
      </a:graphic>
    </graphicFrame>
    <clientData/>
  </oneCellAnchor>
  <oneCellAnchor>
    <from>
      <col>3</col>
      <colOff>0</colOff>
      <row>28</row>
      <rowOff>0</rowOff>
    </from>
    <ext cx="5760000" cy="2880000"/>
    <graphicFrame>
      <nvGraphicFramePr>
        <cNvPr id="2" name="Chart 2"/>
        <cNvGraphicFramePr/>
      </nvGraphicFramePr>
      <xfrm/>
      <a:graphic>
        <a:graphicData uri="http://schemas.openxmlformats.org/drawingml/2006/chart">
          <c:chart r:id="rId2"/>
        </a:graphicData>
      </a:graphic>
    </graphicFrame>
    <clientData/>
  </oneCellAnchor>
  <oneCellAnchor>
    <from>
      <col>3</col>
      <colOff>0</colOff>
      <row>51</row>
      <rowOff>0</rowOff>
    </from>
    <ext cx="5760000" cy="2880000"/>
    <graphicFrame>
      <nvGraphicFramePr>
        <cNvPr id="3" name="Chart 3"/>
        <cNvGraphicFramePr/>
      </nvGraphicFramePr>
      <xfrm/>
      <a:graphic>
        <a:graphicData uri="http://schemas.openxmlformats.org/drawingml/2006/chart">
          <c:chart r:id="rId3"/>
        </a:graphicData>
      </a:graphic>
    </graphicFrame>
    <clientData/>
  </oneCellAnchor>
  <oneCellAnchor>
    <from>
      <col>3</col>
      <colOff>0</colOff>
      <row>73</row>
      <rowOff>0</rowOff>
    </from>
    <ext cx="5760000" cy="2880000"/>
    <graphicFrame>
      <nvGraphicFramePr>
        <cNvPr id="4" name="Chart 4"/>
        <cNvGraphicFramePr/>
      </nvGraphicFramePr>
      <xfrm/>
      <a:graphic>
        <a:graphicData uri="http://schemas.openxmlformats.org/drawingml/2006/chart">
          <c:chart r:id="rId4"/>
        </a:graphicData>
      </a:graphic>
    </graphicFrame>
    <clientData/>
  </oneCellAnchor>
  <oneCellAnchor>
    <from>
      <col>3</col>
      <colOff>0</colOff>
      <row>97</row>
      <rowOff>0</rowOff>
    </from>
    <ext cx="4320000" cy="2880000"/>
    <graphicFrame>
      <nvGraphicFramePr>
        <cNvPr id="5" name="Chart 5"/>
        <cNvGraphicFramePr/>
      </nvGraphicFramePr>
      <xfrm/>
      <a:graphic>
        <a:graphicData uri="http://schemas.openxmlformats.org/drawingml/2006/chart">
          <c:chart r:id="rId5"/>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8.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F57"/>
  <sheetViews>
    <sheetView showGridLines="0" workbookViewId="0">
      <pane ySplit="6" topLeftCell="A7" activePane="bottomLeft" state="frozen"/>
      <selection pane="bottomLeft" activeCell="A1" sqref="A1"/>
    </sheetView>
  </sheetViews>
  <sheetFormatPr baseColWidth="8" defaultRowHeight="15"/>
  <cols>
    <col width="26" customWidth="1" min="1" max="1"/>
    <col width="30" customWidth="1" min="2" max="2"/>
    <col width="26" customWidth="1" min="3" max="3"/>
    <col width="30" customWidth="1" min="4" max="4"/>
    <col width="14" customWidth="1" min="5" max="5"/>
    <col width="14" customWidth="1" min="6" max="6"/>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FICHA RESUMEN — BLOQUE PRELIMINAR DE INTERVENCIÓN 2</t>
        </is>
      </c>
    </row>
    <row r="6" ht="24" customHeight="1">
      <c r="A6" s="4" t="inlineStr">
        <is>
          <t>Diagnóstico Territorial — Plantilla DT Campo Check Validada V5 | Sistema de referencia: UTM WGS 84 Zona 17S (EPSG:32717) · Integrado con la ficha de campo F-DT vigente (Plantilla_DT_Campo_Bloque2_IN_Piura_V5.xlsx) — V7 - resumen V6 + campo F-DT integrado</t>
        </is>
      </c>
    </row>
    <row r="7"/>
    <row r="8" ht="18" customHeight="1">
      <c r="A8" s="5" t="inlineStr">
        <is>
          <t>1. IDENTIFICACIÓN Y LOCALIZACIÓN</t>
        </is>
      </c>
    </row>
    <row r="9">
      <c r="A9" s="6" t="inlineStr">
        <is>
          <t>Código del bloque</t>
        </is>
      </c>
      <c r="B9" s="7" t="inlineStr">
        <is>
          <t>2</t>
        </is>
      </c>
      <c r="C9" s="6" t="inlineStr">
        <is>
          <t>Microcuenca (catálogo)</t>
        </is>
      </c>
      <c r="D9" s="7" t="inlineStr">
        <is>
          <t>C1096-Q9558</t>
        </is>
      </c>
      <c r="E9" s="8" t="n"/>
      <c r="F9" s="8" t="n"/>
    </row>
    <row r="10">
      <c r="A10" s="6" t="inlineStr">
        <is>
          <t>Zona de planificación</t>
        </is>
      </c>
      <c r="B10" s="7" t="inlineStr">
        <is>
          <t>Z01</t>
        </is>
      </c>
      <c r="C10" s="6" t="inlineStr">
        <is>
          <t>Microcuenca declarada en ficha DT</t>
        </is>
      </c>
      <c r="D10" s="7" t="inlineStr">
        <is>
          <t>C1096-Q9558</t>
        </is>
      </c>
      <c r="E10" s="8" t="n"/>
      <c r="F10" s="8" t="n"/>
    </row>
    <row r="11">
      <c r="A11" s="6" t="inlineStr">
        <is>
          <t>Departamento</t>
        </is>
      </c>
      <c r="B11" s="7" t="inlineStr">
        <is>
          <t>Piura</t>
        </is>
      </c>
      <c r="C11" s="6" t="inlineStr">
        <is>
          <t>Provincia</t>
        </is>
      </c>
      <c r="D11" s="7" t="inlineStr">
        <is>
          <t>Morropon</t>
        </is>
      </c>
      <c r="E11" s="8" t="n"/>
      <c r="F11" s="8" t="n"/>
    </row>
    <row r="12">
      <c r="A12" s="6" t="inlineStr">
        <is>
          <t>Distrito</t>
        </is>
      </c>
      <c r="B12" s="7" t="inlineStr">
        <is>
          <t>Chulucanas</t>
        </is>
      </c>
      <c r="C12" s="6" t="inlineStr">
        <is>
          <t>Capital distrital</t>
        </is>
      </c>
      <c r="D12" s="7" t="inlineStr">
        <is>
          <t>Chulucanas</t>
        </is>
      </c>
      <c r="E12" s="8" t="n"/>
      <c r="F12" s="8" t="n"/>
    </row>
    <row r="13">
      <c r="A13" s="6" t="inlineStr">
        <is>
          <t>Centro poblado asociado</t>
        </is>
      </c>
      <c r="B13" s="7" t="inlineStr">
        <is>
          <t>Balcones de Talandracas (691 hab.; 602137 E / 9437858 N)</t>
        </is>
      </c>
      <c r="C13" s="6" t="inlineStr">
        <is>
          <t>Comunidad campesina</t>
        </is>
      </c>
      <c r="D13" s="7" t="inlineStr">
        <is>
          <t>Por verificar</t>
        </is>
      </c>
      <c r="E13" s="8" t="n"/>
      <c r="F13" s="8" t="n"/>
    </row>
    <row r="14">
      <c r="A14" s="6" t="inlineStr">
        <is>
          <t>Superficie de catálogo (V5/V6), ha</t>
        </is>
      </c>
      <c r="B14" s="7" t="n">
        <v>330.6</v>
      </c>
      <c r="C14" s="6" t="inlineStr">
        <is>
          <t>Fuente de superficie</t>
        </is>
      </c>
      <c r="D14" s="7" t="inlineStr">
        <is>
          <t>Catálogo maestro Bloques V5/V6</t>
        </is>
      </c>
      <c r="E14" s="8" t="n"/>
      <c r="F14" s="8" t="n"/>
    </row>
    <row r="15">
      <c r="A15" s="6" t="inlineStr">
        <is>
          <t>Centroide UTM ESTE (m)</t>
        </is>
      </c>
      <c r="B15" s="7" t="n">
        <v>603653</v>
      </c>
      <c r="C15" s="6" t="inlineStr">
        <is>
          <t>Centroide UTM NORTE (m)</t>
        </is>
      </c>
      <c r="D15" s="7" t="n">
        <v>9439351</v>
      </c>
      <c r="E15" s="8" t="n"/>
      <c r="F15" s="8" t="n"/>
    </row>
    <row r="16">
      <c r="A16" s="6" t="inlineStr">
        <is>
          <t>Sistema de coordenadas</t>
        </is>
      </c>
      <c r="B16" s="7" t="inlineStr">
        <is>
          <t>UTM WGS 84 Zona 17S (EPSG:32717)</t>
        </is>
      </c>
      <c r="C16" s="6" t="inlineStr">
        <is>
          <t>Tipo de intervención</t>
        </is>
      </c>
      <c r="D16" s="7" t="inlineStr">
        <is>
          <t>Restauración</t>
        </is>
      </c>
      <c r="E16" s="8" t="n"/>
      <c r="F16" s="8" t="n"/>
    </row>
    <row r="17"/>
    <row r="18" ht="18" customHeight="1">
      <c r="A18" s="5" t="inlineStr">
        <is>
          <t>2. PARÁMETROS FÍSICOS (ESTADÍSTICA ZONAL SOBRE MDE)</t>
        </is>
      </c>
    </row>
    <row r="19">
      <c r="A19" s="6" t="inlineStr">
        <is>
          <t>Altitud mínima (msnm)</t>
        </is>
      </c>
      <c r="B19" s="7" t="n">
        <v>142</v>
      </c>
      <c r="C19" s="6" t="inlineStr">
        <is>
          <t>Altitud máxima (msnm)</t>
        </is>
      </c>
      <c r="D19" s="7" t="n">
        <v>406</v>
      </c>
      <c r="E19" s="8" t="n"/>
      <c r="F19" s="8" t="n"/>
    </row>
    <row r="20">
      <c r="A20" s="6" t="inlineStr">
        <is>
          <t>Amplitud altitudinal (m)</t>
        </is>
      </c>
      <c r="B20" s="7" t="n">
        <v>264</v>
      </c>
      <c r="C20" s="6" t="inlineStr">
        <is>
          <t>Piso altitudinal dominante</t>
        </is>
      </c>
      <c r="D20" s="7" t="inlineStr">
        <is>
          <t>&lt;1000 m (Yunga)</t>
        </is>
      </c>
      <c r="E20" s="8" t="n"/>
      <c r="F20" s="8" t="n"/>
    </row>
    <row r="21">
      <c r="A21" s="6" t="inlineStr">
        <is>
          <t>Pendiente promedio (%)</t>
        </is>
      </c>
      <c r="B21" s="7" t="n">
        <v>13.27</v>
      </c>
      <c r="C21" s="6" t="inlineStr">
        <is>
          <t>Pendiente promedio (grados)</t>
        </is>
      </c>
      <c r="D21" s="7" t="n">
        <v>7.6</v>
      </c>
      <c r="E21" s="8" t="n"/>
      <c r="F21" s="8" t="n"/>
    </row>
    <row r="22">
      <c r="A22" s="6" t="inlineStr">
        <is>
          <t>Clase de pendiente equivalente</t>
        </is>
      </c>
      <c r="B22" s="7" t="inlineStr">
        <is>
          <t>8-15% (Mod. inclinado)</t>
        </is>
      </c>
      <c r="C22" s="6" t="inlineStr">
        <is>
          <t>Rango de pendiente declarado en campo</t>
        </is>
      </c>
      <c r="D22" s="7" t="inlineStr">
        <is>
          <t>15-25% (Fuert. inclinado)</t>
        </is>
      </c>
      <c r="E22" s="8" t="n"/>
      <c r="F22" s="8" t="n"/>
    </row>
    <row r="23">
      <c r="A23" s="6" t="inlineStr">
        <is>
          <t>Forma predominante del terreno</t>
        </is>
      </c>
      <c r="B23" s="7" t="inlineStr">
        <is>
          <t>Montañoso</t>
        </is>
      </c>
      <c r="C23" s="6" t="inlineStr">
        <is>
          <t>Posición fisiográfica</t>
        </is>
      </c>
      <c r="D23" s="7" t="inlineStr">
        <is>
          <t>Ladera baja</t>
        </is>
      </c>
      <c r="E23" s="8" t="n"/>
      <c r="F23" s="8" t="n"/>
    </row>
    <row r="24">
      <c r="A24" s="6" t="inlineStr">
        <is>
          <t>Exposición / orientación</t>
        </is>
      </c>
      <c r="B24" s="7" t="inlineStr">
        <is>
          <t>Suroeste</t>
        </is>
      </c>
      <c r="C24" s="6" t="inlineStr">
        <is>
          <t>Afloramientos rocosos</t>
        </is>
      </c>
      <c r="D24" s="7" t="inlineStr">
        <is>
          <t>No</t>
        </is>
      </c>
      <c r="E24" s="8" t="n"/>
      <c r="F24" s="8" t="n"/>
    </row>
    <row r="25">
      <c r="A25" s="6" t="inlineStr">
        <is>
          <t>Escarpes activos</t>
        </is>
      </c>
      <c r="B25" s="7" t="inlineStr">
        <is>
          <t>No</t>
        </is>
      </c>
      <c r="C25" s="6" t="inlineStr">
        <is>
          <t>Remociones en masa activas</t>
        </is>
      </c>
      <c r="D25" s="7" t="inlineStr">
        <is>
          <t>No</t>
        </is>
      </c>
      <c r="E25" s="8" t="n"/>
      <c r="F25" s="8" t="n"/>
    </row>
    <row r="26"/>
    <row r="27" ht="18" customHeight="1">
      <c r="A27" s="5" t="inlineStr">
        <is>
          <t>3. ÍNDICES DE VEGETACIÓN (SENTINEL-2)</t>
        </is>
      </c>
    </row>
    <row r="28">
      <c r="A28" s="6" t="inlineStr">
        <is>
          <t>MSAVI 2024 — media del bloque</t>
        </is>
      </c>
      <c r="B28" s="7" t="n">
        <v>0.3586</v>
      </c>
      <c r="C28" s="6" t="inlineStr">
        <is>
          <t>MSAVI 2024 — clase de la media</t>
        </is>
      </c>
      <c r="D28" s="7" t="inlineStr">
        <is>
          <t>0.2650 - 0.3813 (Vigor muy bajo)</t>
        </is>
      </c>
      <c r="E28" s="8" t="n"/>
      <c r="F28" s="8" t="n"/>
    </row>
    <row r="29">
      <c r="A29" s="6" t="inlineStr">
        <is>
          <t>Condición frente al umbral 0.4976</t>
        </is>
      </c>
      <c r="B29" s="7" t="inlineStr">
        <is>
          <t>BAJO umbral 0.4976</t>
        </is>
      </c>
      <c r="C29" s="6" t="inlineStr">
        <is>
          <t>NDVI mediana 2025 — clase modal</t>
        </is>
      </c>
      <c r="D29" s="7" t="inlineStr">
        <is>
          <t>Vegetación ligera (69.48 %)</t>
        </is>
      </c>
      <c r="E29" s="8" t="n"/>
      <c r="F29" s="8" t="n"/>
    </row>
    <row r="30">
      <c r="A30" s="6" t="inlineStr">
        <is>
          <t>Superficie clasificada NDVI 2025 (ha)</t>
        </is>
      </c>
      <c r="B30" s="7" t="n">
        <v>330.776</v>
      </c>
      <c r="C30" s="6" t="inlineStr">
        <is>
          <t>Desviación frente al catálogo (%)</t>
        </is>
      </c>
      <c r="D30" s="7" t="n">
        <v>0.05</v>
      </c>
      <c r="E30" s="8" t="n"/>
      <c r="F30" s="8" t="n"/>
    </row>
    <row r="31">
      <c r="A31" s="6" t="inlineStr">
        <is>
          <t>Superficie clasificada MSAVI 2024 (ha)</t>
        </is>
      </c>
      <c r="B31" s="37" t="n">
        <v>330.599</v>
      </c>
      <c r="C31" s="6" t="inlineStr">
        <is>
          <t>Desviación MSAVI frente al catálogo (%)</t>
        </is>
      </c>
      <c r="D31" s="38" t="n">
        <v>0</v>
      </c>
      <c r="E31" s="8" t="n"/>
      <c r="F31" s="8" t="n"/>
    </row>
    <row r="32">
      <c r="A32" s="6" t="inlineStr">
        <is>
          <t>Superficie bajo umbral MSAVI 0.4976 (ha)</t>
        </is>
      </c>
      <c r="B32" s="37" t="n">
        <v>327.888</v>
      </c>
      <c r="C32" s="6" t="inlineStr">
        <is>
          <t>% del bloque bajo umbral (brecha espectral)</t>
        </is>
      </c>
      <c r="D32" s="38" t="n">
        <v>99.18000000000001</v>
      </c>
      <c r="E32" s="8" t="n"/>
      <c r="F32" s="8" t="n"/>
    </row>
    <row r="33">
      <c r="A33" s="6" t="inlineStr">
        <is>
          <t>Clase DN dominante (MSAVI 2024)</t>
        </is>
      </c>
      <c r="B33" s="7" t="inlineStr">
        <is>
          <t>DN 2 · 0.2650 - 0.3813 (Vigor muy bajo)</t>
        </is>
      </c>
      <c r="C33" s="6" t="inlineStr">
        <is>
          <t>N.° de polígonos MSAVI del bloque</t>
        </is>
      </c>
      <c r="D33" s="39" t="n">
        <v>904</v>
      </c>
      <c r="E33" s="8" t="n"/>
      <c r="F33" s="8" t="n"/>
    </row>
    <row r="34"/>
    <row r="35" ht="18" customHeight="1">
      <c r="A35" s="5" t="inlineStr">
        <is>
          <t>4. ECOSISTEMA Y ESTADO DE CONSERVACIÓN</t>
        </is>
      </c>
    </row>
    <row r="36">
      <c r="A36" s="6" t="inlineStr">
        <is>
          <t>Tipo de ecosistema (UP)</t>
        </is>
      </c>
      <c r="B36" s="7" t="inlineStr">
        <is>
          <t>Bosque Estacionalmente Seco Colina/Montaña (Bes-cm)</t>
        </is>
      </c>
      <c r="C36" s="6" t="inlineStr">
        <is>
          <t>Superficie de ecosistema (ha)</t>
        </is>
      </c>
      <c r="D36" s="49" t="inlineStr">
        <is>
          <t>330.6</t>
        </is>
      </c>
      <c r="E36" s="8" t="n"/>
      <c r="F36" s="8" t="n"/>
    </row>
    <row r="37">
      <c r="A37" s="6" t="inlineStr">
        <is>
          <t>Estado de conservación</t>
        </is>
      </c>
      <c r="B37" s="7" t="inlineStr">
        <is>
          <t>Medianamente alterado</t>
        </is>
      </c>
      <c r="C37" s="6" t="inlineStr">
        <is>
          <t>Uso actual dominante del suelo</t>
        </is>
      </c>
      <c r="D37" s="7" t="inlineStr">
        <is>
          <t>Pastoreo extensivo</t>
        </is>
      </c>
      <c r="E37" s="8" t="n"/>
      <c r="F37" s="8" t="n"/>
    </row>
    <row r="38">
      <c r="A38" s="6" t="inlineStr">
        <is>
          <t>Tipo de cobertura dominante</t>
        </is>
      </c>
      <c r="B38" s="7" t="inlineStr">
        <is>
          <t>Bosque ralo (30-70%)</t>
        </is>
      </c>
      <c r="C38" s="6" t="inlineStr">
        <is>
          <t>Cobertura vegetal total — campo (%)</t>
        </is>
      </c>
      <c r="D38" s="7" t="n">
        <v>70</v>
      </c>
      <c r="E38" s="8" t="n"/>
      <c r="F38" s="8" t="n"/>
    </row>
    <row r="39">
      <c r="A39" s="6" t="inlineStr">
        <is>
          <t>Suelo desnudo — campo (%)</t>
        </is>
      </c>
      <c r="B39" s="7" t="n">
        <v>25</v>
      </c>
      <c r="C39" s="6" t="inlineStr">
        <is>
          <t>Regeneración natural</t>
        </is>
      </c>
      <c r="D39" s="7" t="inlineStr">
        <is>
          <t>Regular (10-50 pl./100m²)</t>
        </is>
      </c>
      <c r="E39" s="8" t="n"/>
      <c r="F39" s="8" t="n"/>
    </row>
    <row r="40">
      <c r="A40" s="6" t="inlineStr">
        <is>
          <t>Nivel general de erosión</t>
        </is>
      </c>
      <c r="B40" s="7" t="inlineStr">
        <is>
          <t>Ligera (laminar)</t>
        </is>
      </c>
      <c r="C40" s="6" t="inlineStr">
        <is>
          <t>N.° de cárcavas registradas</t>
        </is>
      </c>
      <c r="D40" s="7" t="n">
        <v>0</v>
      </c>
      <c r="E40" s="8" t="n"/>
      <c r="F40" s="8" t="n"/>
    </row>
    <row r="41">
      <c r="A41" s="6" t="inlineStr">
        <is>
          <t>Elenco florístico (n.° de taxones)</t>
        </is>
      </c>
      <c r="B41" s="7" t="n">
        <v>10</v>
      </c>
      <c r="C41" s="6" t="inlineStr">
        <is>
          <t>Estado sanitario</t>
        </is>
      </c>
      <c r="D41" s="7" t="inlineStr">
        <is>
          <t>Sano</t>
        </is>
      </c>
      <c r="E41" s="8" t="n"/>
      <c r="F41" s="8" t="n"/>
    </row>
    <row r="42"/>
    <row r="43" ht="18" customHeight="1">
      <c r="A43" s="5" t="inlineStr">
        <is>
          <t>5. RESPONSABLE Y MODALIDAD DE LA EVALUACIÓN</t>
        </is>
      </c>
    </row>
    <row r="44">
      <c r="A44" s="6" t="inlineStr">
        <is>
          <t>Responsable de la evaluación</t>
        </is>
      </c>
      <c r="B44" s="7" t="inlineStr">
        <is>
          <t>Ing. Héctor S. Cahuas Miller (ANIN/DIME-SESDI)</t>
        </is>
      </c>
      <c r="C44" s="6" t="inlineStr">
        <is>
          <t>Fecha de evaluación</t>
        </is>
      </c>
      <c r="D44" s="7" t="inlineStr">
        <is>
          <t>2026-07-02</t>
        </is>
      </c>
      <c r="E44" s="8" t="n"/>
      <c r="F44" s="8" t="n"/>
    </row>
    <row r="45">
      <c r="A45" s="6" t="inlineStr">
        <is>
          <t>Hora de registro</t>
        </is>
      </c>
      <c r="B45" s="7" t="inlineStr">
        <is>
          <t>15:13 - 15:40 h</t>
        </is>
      </c>
      <c r="C45" s="6" t="inlineStr">
        <is>
          <t>Correlativo de ficha</t>
        </is>
      </c>
      <c r="D45" s="7" t="inlineStr">
        <is>
          <t>F-DT-01-B2</t>
        </is>
      </c>
      <c r="E45" s="8" t="n"/>
      <c r="F45" s="8" t="n"/>
    </row>
    <row r="46">
      <c r="A46" s="6" t="inlineStr">
        <is>
          <t>Entidad</t>
        </is>
      </c>
      <c r="B46" s="7" t="inlineStr">
        <is>
          <t>ANIN - DIME - SESDI</t>
        </is>
      </c>
      <c r="C46" s="6" t="inlineStr">
        <is>
          <t>Fase del estudio</t>
        </is>
      </c>
      <c r="D46" s="7" t="inlineStr">
        <is>
          <t>Preinversión (Perfil) · Invierte.pe</t>
        </is>
      </c>
      <c r="E46" s="8" t="n"/>
      <c r="F46" s="8" t="n"/>
    </row>
    <row r="47">
      <c r="A47" s="6" t="inlineStr">
        <is>
          <t>Instrumento aplicado</t>
        </is>
      </c>
      <c r="B47" s="7" t="inlineStr">
        <is>
          <t>Fichas F-DT-01 a F-DT-05 (Plantilla V5)</t>
        </is>
      </c>
      <c r="C47" s="6" t="inlineStr">
        <is>
          <t>Parcela de muestreo</t>
        </is>
      </c>
      <c r="D47" s="49" t="inlineStr">
        <is>
          <t>Sector sur del bloque (recorrido de reconocimiento, sin parcela permanente)</t>
        </is>
      </c>
      <c r="E47" s="8" t="n"/>
      <c r="F47" s="8" t="n"/>
    </row>
    <row r="48">
      <c r="A48" s="6" t="inlineStr">
        <is>
          <t>Estaciones fotográficas georreferenciadas</t>
        </is>
      </c>
      <c r="B48" s="7" t="inlineStr">
        <is>
          <t>Sin registro en la ficha DT</t>
        </is>
      </c>
      <c r="C48" s="6" t="inlineStr">
        <is>
          <t>Modalidad de acceso</t>
        </is>
      </c>
      <c r="D48" s="7" t="inlineStr">
        <is>
          <t>Vehicular + caminata &lt;30 min</t>
        </is>
      </c>
      <c r="E48" s="8" t="n"/>
      <c r="F48" s="8" t="n"/>
    </row>
    <row r="49"/>
    <row r="50" ht="18" customHeight="1">
      <c r="A50" s="5" t="inlineStr">
        <is>
          <t>6. SÍNTESIS PARA LA GESTIÓN DEL RIESGO EN CONTEXTO DE CAMBIO CLIMÁTICO</t>
        </is>
      </c>
    </row>
    <row r="51">
      <c r="A51" s="6" t="inlineStr">
        <is>
          <t>Causa subyacente principal</t>
        </is>
      </c>
      <c r="B51" s="7" t="inlineStr">
        <is>
          <t>Presión socioeconómica de subsistencia y avance de la frontera predial/vial en el piedemonte inmediato a los CC.PP.</t>
        </is>
      </c>
      <c r="C51" s="6" t="inlineStr">
        <is>
          <t>Velocidad de degradación</t>
        </is>
      </c>
      <c r="D51" s="7" t="inlineStr">
        <is>
          <t>Moderada</t>
        </is>
      </c>
      <c r="E51" s="8" t="n"/>
      <c r="F51" s="8" t="n"/>
    </row>
    <row r="52">
      <c r="A52" s="6" t="inlineStr">
        <is>
          <t>Reversibilidad técnica</t>
        </is>
      </c>
      <c r="B52" s="7" t="inlineStr">
        <is>
          <t>Parcialmente reversible</t>
        </is>
      </c>
      <c r="C52" s="6" t="inlineStr">
        <is>
          <t>Urgencia de intervención</t>
        </is>
      </c>
      <c r="D52" s="7" t="inlineStr">
        <is>
          <t>Media</t>
        </is>
      </c>
      <c r="E52" s="8" t="n"/>
      <c r="F52" s="8" t="n"/>
    </row>
    <row r="53">
      <c r="A53" s="6" t="inlineStr">
        <is>
          <t>Urgencia de control de erosión</t>
        </is>
      </c>
      <c r="B53" s="7" t="inlineStr">
        <is>
          <t>Media</t>
        </is>
      </c>
      <c r="C53" s="6" t="inlineStr">
        <is>
          <t>Zona de recarga hídrica</t>
        </is>
      </c>
      <c r="D53" s="7" t="inlineStr">
        <is>
          <t>Sí</t>
        </is>
      </c>
      <c r="E53" s="8" t="n"/>
      <c r="F53" s="8" t="n"/>
    </row>
    <row r="54">
      <c r="A54" s="6" t="inlineStr">
        <is>
          <t>Peligro integrado preliminar (MCA-AHP)</t>
        </is>
      </c>
      <c r="B54" s="7" t="inlineStr">
        <is>
          <t>No disponible en los insumos; debe tomarse del modelamiento de mesolocalización</t>
        </is>
      </c>
      <c r="C54" s="6" t="inlineStr">
        <is>
          <t>Prioridad de intervención</t>
        </is>
      </c>
      <c r="D54" s="7" t="inlineStr">
        <is>
          <t>Por definir en mesolocalización</t>
        </is>
      </c>
      <c r="E54" s="8" t="n"/>
      <c r="F54" s="8" t="n"/>
    </row>
    <row r="55">
      <c r="A55" s="6" t="inlineStr">
        <is>
          <t>Estado de verificación de campo</t>
        </is>
      </c>
      <c r="B55" s="7" t="inlineStr">
        <is>
          <t>VERIFICADO</t>
        </is>
      </c>
      <c r="C55" s="6" t="inlineStr">
        <is>
          <t>Marco del indicador de brecha</t>
        </is>
      </c>
      <c r="D55" s="7" t="inlineStr">
        <is>
          <t>R.M. N.° 00213-2024-MINAM</t>
        </is>
      </c>
      <c r="E55" s="8" t="n"/>
      <c r="F55" s="8" t="n"/>
    </row>
    <row r="56"/>
    <row r="57" ht="72" customHeight="1">
      <c r="A57" s="9" t="inlineStr">
        <is>
          <t>DECLARACIÓN DE INTEGRIDAD DE DATOS. Ningún valor ausente ha sido estimado o inferido sin declararlo. Los campos que no pudieron sustentarse en observación de campo, estadística zonal o catálogo oficial se consignan como «Por determinar» o «Por verificar». La altitud y la pendiente proceden de estadística zonal sobre el modelo digital de elevación; el MSAVI 2024 y el NDVI mediana 2025 proceden de compuestos Sentinel-2. Las discrepancias detectadas entre campo, gabinete y catálogo se listan en la hoja «Control de consistencia». La distribución areal por clase de MSAVI 2024 procede de la estadística zonal del ráster MSAVI clasificado (AREAS_MSAVI_BLOQUES_V6_REV_HSCM) y se detalla en la hoja «Cobertura MSAVI-NDVI»; la equivalencia entre el valor de clase DN y los umbrales del proyecto se declara en la nota metodológica de esa hoja.</t>
        </is>
      </c>
      <c r="B57" s="40" t="n"/>
      <c r="C57" s="40" t="n"/>
      <c r="D57" s="40" t="n"/>
      <c r="E57" s="40" t="n"/>
      <c r="F57" s="41" t="n"/>
    </row>
  </sheetData>
  <mergeCells count="13">
    <mergeCell ref="A2:F2"/>
    <mergeCell ref="A43:F43"/>
    <mergeCell ref="A1:F1"/>
    <mergeCell ref="A5:F5"/>
    <mergeCell ref="A27:F27"/>
    <mergeCell ref="A8:F8"/>
    <mergeCell ref="A6:F6"/>
    <mergeCell ref="A50:F50"/>
    <mergeCell ref="A35:F35"/>
    <mergeCell ref="A18:F18"/>
    <mergeCell ref="A3:F3"/>
    <mergeCell ref="A4:F4"/>
    <mergeCell ref="A57:F57"/>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2"/>
  <sheetViews>
    <sheetView showGridLines="0" workbookViewId="0">
      <pane ySplit="6" topLeftCell="A7" activePane="bottomLeft" state="frozen"/>
      <selection pane="bottomLeft" activeCell="A1" sqref="A1"/>
    </sheetView>
  </sheetViews>
  <sheetFormatPr baseColWidth="8" defaultRowHeight="15"/>
  <cols>
    <col width="24" customWidth="1" min="1" max="1"/>
    <col width="16" customWidth="1" min="2" max="2"/>
    <col width="20" customWidth="1" min="3" max="3"/>
    <col width="30" customWidth="1" min="4" max="4"/>
    <col width="28" customWidth="1" min="5" max="5"/>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DISTRIBUCIÓN AREAL DE CLASES ESPECTRALES — BLOQUE 2</t>
        </is>
      </c>
    </row>
    <row r="6" ht="24" customHeight="1">
      <c r="A6" s="4" t="inlineStr">
        <is>
          <t>MSAVI 2024 y NDVI mediana 2025 (Sentinel-2, mosaico Piura) · Umbral de brecha del proyecto: MSAVI = 0.4976</t>
        </is>
      </c>
    </row>
    <row r="8" ht="18" customHeight="1">
      <c r="A8" s="5" t="inlineStr">
        <is>
          <t>A. MSAVI 2024 — CLASIFICACIÓN POR UMBRALES DEL PROYECTO</t>
        </is>
      </c>
    </row>
    <row r="9" ht="28" customHeight="1">
      <c r="A9" s="10" t="inlineStr">
        <is>
          <t>Clase MSAVI</t>
        </is>
      </c>
      <c r="B9" s="10" t="inlineStr">
        <is>
          <t>Superficie (ha)</t>
        </is>
      </c>
      <c r="C9" s="10" t="inlineStr">
        <is>
          <t>% del área clasificada</t>
        </is>
      </c>
      <c r="D9" s="10" t="inlineStr">
        <is>
          <t>Interpretación</t>
        </is>
      </c>
      <c r="E9" s="10" t="inlineStr">
        <is>
          <t>Condición frente al umbral 0.4976</t>
        </is>
      </c>
    </row>
    <row r="10">
      <c r="A10" s="7" t="inlineStr">
        <is>
          <t>&gt; 0.6139 · DN 5</t>
        </is>
      </c>
      <c r="B10" s="18" t="n">
        <v>0.0572</v>
      </c>
      <c r="C10" s="19">
        <f>ROUND(B10/$B$15*100,2)</f>
        <v/>
      </c>
      <c r="D10" s="11" t="inlineStr">
        <is>
          <t>Vigor alto</t>
        </is>
      </c>
      <c r="E10" s="11" t="inlineStr">
        <is>
          <t>Sobre umbral</t>
        </is>
      </c>
    </row>
    <row r="11">
      <c r="A11" s="12" t="inlineStr">
        <is>
          <t>0.4976 - 0.6139 · DN 4</t>
        </is>
      </c>
      <c r="B11" s="20" t="n">
        <v>2.6537</v>
      </c>
      <c r="C11" s="21">
        <f>ROUND(B11/$B$15*100,2)</f>
        <v/>
      </c>
      <c r="D11" s="13" t="inlineStr">
        <is>
          <t>Vigor moderado</t>
        </is>
      </c>
      <c r="E11" s="13" t="inlineStr">
        <is>
          <t>Sobre umbral</t>
        </is>
      </c>
    </row>
    <row r="12">
      <c r="A12" s="7" t="inlineStr">
        <is>
          <t>0.3813 - 0.4976 · DN 3</t>
        </is>
      </c>
      <c r="B12" s="18" t="n">
        <v>104.623</v>
      </c>
      <c r="C12" s="19">
        <f>ROUND(B12/$B$15*100,2)</f>
        <v/>
      </c>
      <c r="D12" s="11" t="inlineStr">
        <is>
          <t>Vigor bajo</t>
        </is>
      </c>
      <c r="E12" s="11" t="inlineStr">
        <is>
          <t>BAJO umbral 0.4976</t>
        </is>
      </c>
    </row>
    <row r="13">
      <c r="A13" s="14" t="inlineStr">
        <is>
          <t>0.2650 - 0.3813 · DN 2</t>
        </is>
      </c>
      <c r="B13" s="30" t="n">
        <v>213.4429</v>
      </c>
      <c r="C13" s="29">
        <f>ROUND(B13/$B$15*100,2)</f>
        <v/>
      </c>
      <c r="D13" s="15" t="inlineStr">
        <is>
          <t>Vigor muy bajo</t>
        </is>
      </c>
      <c r="E13" s="15" t="inlineStr">
        <is>
          <t>BAJO umbral 0.4976</t>
        </is>
      </c>
    </row>
    <row r="14">
      <c r="A14" s="7" t="inlineStr">
        <is>
          <t>&lt;= 0.2650 · DN 1</t>
        </is>
      </c>
      <c r="B14" s="18" t="n">
        <v>9.8223</v>
      </c>
      <c r="C14" s="19">
        <f>ROUND(B14/$B$15*100,2)</f>
        <v/>
      </c>
      <c r="D14" s="11" t="inlineStr">
        <is>
          <t>Suelo desnudo / no vegetal</t>
        </is>
      </c>
      <c r="E14" s="11" t="inlineStr">
        <is>
          <t>BAJO umbral 0.4976</t>
        </is>
      </c>
    </row>
    <row r="15" ht="30" customHeight="1">
      <c r="A15" s="42" t="inlineStr">
        <is>
          <t>TOTAL CLASIFICADO MSAVI 2024</t>
        </is>
      </c>
      <c r="B15" s="43">
        <f>SUM(B10:B14)</f>
        <v/>
      </c>
      <c r="C15" s="44">
        <f>SUM(C10:C14)</f>
        <v/>
      </c>
      <c r="D15" s="42" t="inlineStr">
        <is>
          <t>Suma de la distribución areal · 904 polígonos</t>
        </is>
      </c>
      <c r="E15" s="42" t="inlineStr">
        <is>
          <t>—</t>
        </is>
      </c>
    </row>
    <row r="16" ht="30" customHeight="1">
      <c r="A16" s="45" t="inlineStr">
        <is>
          <t>Superficie SOBRE umbral 0.4976 (ha)</t>
        </is>
      </c>
      <c r="B16" s="46">
        <f>SUM(B10:B11)</f>
        <v/>
      </c>
      <c r="C16" s="47">
        <f>ROUND(B16/B15*100,2)</f>
        <v/>
      </c>
      <c r="D16" s="45" t="inlineStr">
        <is>
          <t>Vigor alto y moderado (DN 4 y DN 5)</t>
        </is>
      </c>
      <c r="E16" s="45" t="inlineStr">
        <is>
          <t>Sobre umbral 0.4976</t>
        </is>
      </c>
    </row>
    <row r="17" ht="30" customHeight="1">
      <c r="A17" s="45" t="inlineStr">
        <is>
          <t>Superficie BAJO umbral 0.4976 (ha) — brecha</t>
        </is>
      </c>
      <c r="B17" s="46">
        <f>SUM(B12:B14)</f>
        <v/>
      </c>
      <c r="C17" s="47">
        <f>ROUND(B17/B15*100,2)</f>
        <v/>
      </c>
      <c r="D17" s="45" t="inlineStr">
        <is>
          <t>Vigor bajo, muy bajo y suelo desnudo (DN 1 a DN 3)</t>
        </is>
      </c>
      <c r="E17" s="45" t="inlineStr">
        <is>
          <t>Base para el indicador de brecha (R.M. N.° 00213-2024-MINAM)</t>
        </is>
      </c>
    </row>
    <row r="18" ht="30" customHeight="1">
      <c r="A18" s="45" t="inlineStr">
        <is>
          <t>Superficie de catálogo (V5/V6) — contraste MSAVI</t>
        </is>
      </c>
      <c r="B18" s="46" t="n">
        <v>330.6</v>
      </c>
      <c r="C18" s="48" t="inlineStr">
        <is>
          <t>—</t>
        </is>
      </c>
      <c r="D18" s="45" t="inlineStr">
        <is>
          <t>Desviación planimétrica frente al catálogo</t>
        </is>
      </c>
      <c r="E18" s="45" t="inlineStr">
        <is>
          <t>+0.00 %</t>
        </is>
      </c>
    </row>
    <row r="19">
      <c r="A19" s="16" t="inlineStr">
        <is>
          <t>MSAVI 2024 — MEDIA DEL BLOQUE</t>
        </is>
      </c>
      <c r="B19" s="17" t="n">
        <v>0.358601</v>
      </c>
      <c r="C19" s="17" t="inlineStr">
        <is>
          <t>—</t>
        </is>
      </c>
      <c r="D19" s="17" t="inlineStr">
        <is>
          <t>Vigor muy bajo · clase 0.2650 - 0.3813</t>
        </is>
      </c>
      <c r="E19" s="17" t="inlineStr">
        <is>
          <t>BAJO umbral 0.4976</t>
        </is>
      </c>
    </row>
    <row r="21" ht="72" customHeight="1">
      <c r="A21" s="9" t="inlineStr">
        <is>
          <t>NOTA METODOLÓGICA. La distribución areal por clase de MSAVI 2024 procede de la estadística zonal por polígono del ráster MSAVI clasificado (archivo AREAS_MSAVI_BLOQUES_V6_REV_HSCM.xlsx, hojas «Datos_Detalle» y «Resumen_por_Bloque»): 904 polígonos agregados para este bloque, con superficies obtenidas como Area_m2 / 10 000. El archivo fuente no documenta la semántica del valor de clase DN; la equivalencia DN 1 = clase inferior … DN 5 = clase superior se estableció por contraste con la media MSAVI 2024 del catálogo maestro de los 117 bloques (coeficiente de correlación 0.9965 y error absoluto medio 0.0091 al reconstruir la media con los puntos medios de clase; el orden inverso arroja correlación negativa), y debe ser confirmada por el especialista SIG del proyecto. La media del bloque (0.3586) se conserva del catálogo maestro y es dato oficial; la fila resaltada indica la clase en la que cae dicha media. Los totales y porcentajes se calculan con fórmulas sobre las filas del cuadro.</t>
        </is>
      </c>
      <c r="B21" s="40" t="n"/>
      <c r="C21" s="40" t="n"/>
      <c r="D21" s="40" t="n"/>
      <c r="E21" s="41" t="n"/>
    </row>
    <row r="23" ht="18" customHeight="1">
      <c r="A23" s="5" t="inlineStr">
        <is>
          <t>B. NDVI MEDIANA 2025 — DISTRIBUCIÓN AREAL (ESTADÍSTICA ZONAL)</t>
        </is>
      </c>
    </row>
    <row r="24" ht="28" customHeight="1">
      <c r="A24" s="10" t="inlineStr">
        <is>
          <t>Clase NDVI</t>
        </is>
      </c>
      <c r="B24" s="10" t="inlineStr">
        <is>
          <t>Superficie (ha)</t>
        </is>
      </c>
      <c r="C24" s="10" t="inlineStr">
        <is>
          <t>% del área clasificada</t>
        </is>
      </c>
      <c r="D24" s="10" t="inlineStr">
        <is>
          <t>Interpretación</t>
        </is>
      </c>
      <c r="E24" s="10" t="inlineStr">
        <is>
          <t>Observación</t>
        </is>
      </c>
    </row>
    <row r="25">
      <c r="A25" s="7" t="inlineStr">
        <is>
          <t>Vegetación alta</t>
        </is>
      </c>
      <c r="B25" s="18" t="n">
        <v>1.0659</v>
      </c>
      <c r="C25" s="19" t="n">
        <v>0.32</v>
      </c>
      <c r="D25" s="11" t="inlineStr">
        <is>
          <t>Dosel continuo, matorral denso o mosaico agroforestal</t>
        </is>
      </c>
      <c r="E25" s="11" t="inlineStr"/>
    </row>
    <row r="26">
      <c r="A26" s="12" t="inlineStr">
        <is>
          <t>Vegetación mediana</t>
        </is>
      </c>
      <c r="B26" s="20" t="n">
        <v>95.17910000000001</v>
      </c>
      <c r="C26" s="21" t="n">
        <v>28.77</v>
      </c>
      <c r="D26" s="13" t="inlineStr">
        <is>
          <t>Pastizal cultivado, matorral ralo, parcelas agrícolas</t>
        </is>
      </c>
      <c r="E26" s="13" t="inlineStr"/>
    </row>
    <row r="27">
      <c r="A27" s="7" t="inlineStr">
        <is>
          <t>Vegetación ligera</t>
        </is>
      </c>
      <c r="B27" s="18" t="n">
        <v>229.8077</v>
      </c>
      <c r="C27" s="19" t="n">
        <v>69.48</v>
      </c>
      <c r="D27" s="11" t="inlineStr">
        <is>
          <t>Cobertura discontinua, suelo parcialmente expuesto</t>
        </is>
      </c>
      <c r="E27" s="11" t="inlineStr"/>
    </row>
    <row r="28">
      <c r="A28" s="12" t="inlineStr">
        <is>
          <t>Tierra desnuda</t>
        </is>
      </c>
      <c r="B28" s="20" t="n">
        <v>4.7229</v>
      </c>
      <c r="C28" s="21" t="n">
        <v>1.43</v>
      </c>
      <c r="D28" s="13" t="inlineStr">
        <is>
          <t>Suelo desnudo, afloramientos, plataformas y taludes</t>
        </is>
      </c>
      <c r="E28" s="13" t="inlineStr"/>
    </row>
    <row r="29">
      <c r="A29" s="16" t="inlineStr">
        <is>
          <t>TOTAL CLASIFICADO</t>
        </is>
      </c>
      <c r="B29" s="22">
        <f>SUM(B25:B28)</f>
        <v/>
      </c>
      <c r="C29" s="23">
        <f>SUM(C25:C28)</f>
        <v/>
      </c>
      <c r="D29" s="17" t="inlineStr"/>
      <c r="E29" s="17" t="inlineStr"/>
    </row>
    <row r="30">
      <c r="A30" s="24" t="inlineStr">
        <is>
          <t>Superficie de catálogo (V5/V6)</t>
        </is>
      </c>
      <c r="B30" s="25" t="n">
        <v>330.6</v>
      </c>
      <c r="C30" s="25" t="inlineStr">
        <is>
          <t>—</t>
        </is>
      </c>
      <c r="D30" s="25" t="inlineStr">
        <is>
          <t>Desviación planimétrica frente al catálogo</t>
        </is>
      </c>
      <c r="E30" s="25" t="inlineStr">
        <is>
          <t>+0.05 %</t>
        </is>
      </c>
    </row>
    <row r="32" ht="108" customHeight="1">
      <c r="A32" s="9" t="inlineStr">
        <is>
          <t>LECTURA CRÍTICA. Los índices MSAVI y NDVI miden vigor y densidad de biomasa, no composición ni integridad ecosistémica. Un valor alto NO equivale a ausencia de degradación: en bloques con mosaico agrícola, pastizal cultivado o plantaciones, la respuesta espectral puede ser alta sobre una unidad productora sustituida en su composición. La diferencia entre ambos productos no debe leerse como mejora entre 2024 y 2025: son índices distintos (el NDVI satura ante biomasa densa, el MSAVI conserva sensibilidad al suelo de fondo) aplicados sobre compuestos temporales distintos. Contraste registrado en este bloque: la cobertura vegetal estimada en campo es 70 % frente a un 0.32 % del polígono clasificado como «Vegetación alta» por el NDVI 2025; la observación de campo corresponde a una parcela o recorrido puntual y no es estadísticamente representativa de las 330.600 ha del bloque.</t>
        </is>
      </c>
      <c r="B32" s="40" t="n"/>
      <c r="C32" s="40" t="n"/>
      <c r="D32" s="40" t="n"/>
      <c r="E32" s="41" t="n"/>
    </row>
  </sheetData>
  <mergeCells count="10">
    <mergeCell ref="A21:E21"/>
    <mergeCell ref="A4:E4"/>
    <mergeCell ref="A2:E2"/>
    <mergeCell ref="A1:E1"/>
    <mergeCell ref="A23:E23"/>
    <mergeCell ref="A32:E32"/>
    <mergeCell ref="A5:E5"/>
    <mergeCell ref="A8:E8"/>
    <mergeCell ref="A6:E6"/>
    <mergeCell ref="A3:E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8"/>
  <sheetViews>
    <sheetView showGridLines="0" workbookViewId="0">
      <pane ySplit="6" topLeftCell="A7" activePane="bottomLeft" state="frozen"/>
      <selection pane="bottomLeft" activeCell="A1" sqref="A1"/>
    </sheetView>
  </sheetViews>
  <sheetFormatPr baseColWidth="8" defaultRowHeight="15"/>
  <cols>
    <col width="12" customWidth="1" min="1" max="1"/>
    <col width="34" customWidth="1" min="2" max="2"/>
    <col width="15" customWidth="1" min="3" max="3"/>
    <col width="15" customWidth="1" min="4" max="4"/>
    <col width="18" customWidth="1" min="5" max="5"/>
    <col width="22" customWidth="1" min="6" max="6"/>
    <col width="44" customWidth="1" min="7" max="7"/>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PUNTOS GEORREFERENCIADOS DE VERIFICACIÓN — BLOQUE 2</t>
        </is>
      </c>
    </row>
    <row r="6" ht="24" customHeight="1">
      <c r="A6" s="4" t="inlineStr">
        <is>
          <t>Levantamiento del 2026-07-02 · Sistema de referencia UTM WGS 84 Zona 17S (EPSG:32717)</t>
        </is>
      </c>
    </row>
    <row r="8" ht="18" customHeight="1">
      <c r="A8" s="5" t="inlineStr">
        <is>
          <t>INVENTARIO DE PUNTOS GEORREFERENCIADOS DE LA FICHA DT</t>
        </is>
      </c>
    </row>
    <row r="9" ht="28" customHeight="1">
      <c r="A9" s="10" t="inlineStr">
        <is>
          <t>Código</t>
        </is>
      </c>
      <c r="B9" s="10" t="inlineStr">
        <is>
          <t>Naturaleza del punto</t>
        </is>
      </c>
      <c r="C9" s="10" t="inlineStr">
        <is>
          <t>UTM ESTE (m)</t>
        </is>
      </c>
      <c r="D9" s="10" t="inlineStr">
        <is>
          <t>UTM NORTE (m)</t>
        </is>
      </c>
      <c r="E9" s="10" t="inlineStr">
        <is>
          <t>Dist. al centroide (m)</t>
        </is>
      </c>
      <c r="F9" s="10" t="inlineStr">
        <is>
          <t>Estado / régimen</t>
        </is>
      </c>
      <c r="G9" s="10" t="inlineStr">
        <is>
          <t>Contenido registrado</t>
        </is>
      </c>
    </row>
    <row r="10">
      <c r="A10" s="7" t="inlineStr">
        <is>
          <t>P-00</t>
        </is>
      </c>
      <c r="B10" s="11" t="inlineStr">
        <is>
          <t>Punto de muestreo declarado en ficha DT</t>
        </is>
      </c>
      <c r="C10" s="26" t="n">
        <v>602909</v>
      </c>
      <c r="D10" s="26" t="n">
        <v>9438249</v>
      </c>
      <c r="E10" s="11" t="n">
        <v>1329.6</v>
      </c>
      <c r="F10" s="11" t="inlineStr"/>
      <c r="G10" s="11" t="inlineStr">
        <is>
          <t>Coordenada consignada en F-DT-01</t>
        </is>
      </c>
    </row>
    <row r="11">
      <c r="A11" s="12" t="inlineStr">
        <is>
          <t>H-01</t>
        </is>
      </c>
      <c r="B11" s="13" t="inlineStr">
        <is>
          <t>Fuente de agua — Río</t>
        </is>
      </c>
      <c r="C11" s="27" t="n">
        <v>603900</v>
      </c>
      <c r="D11" s="27" t="n">
        <v>9439300</v>
      </c>
      <c r="E11" s="13" t="n">
        <v>252.2</v>
      </c>
      <c r="F11" s="13" t="inlineStr">
        <is>
          <t>No evaluable</t>
        </is>
      </c>
      <c r="G11" s="13" t="inlineStr">
        <is>
          <t>Curso principal de cauce</t>
        </is>
      </c>
    </row>
    <row r="12">
      <c r="A12" s="7" t="inlineStr">
        <is>
          <t>H-02</t>
        </is>
      </c>
      <c r="B12" s="11" t="inlineStr">
        <is>
          <t>Fuente de agua — Quebrada estacional</t>
        </is>
      </c>
      <c r="C12" s="26" t="n">
        <v>603300</v>
      </c>
      <c r="D12" s="26" t="n">
        <v>9439600</v>
      </c>
      <c r="E12" s="11" t="n">
        <v>432</v>
      </c>
      <c r="F12" s="11" t="inlineStr">
        <is>
          <t>Estacional</t>
        </is>
      </c>
      <c r="G12" s="11" t="inlineStr">
        <is>
          <t>Quebrada tributaria seca</t>
        </is>
      </c>
    </row>
    <row r="13">
      <c r="A13" s="16" t="inlineStr">
        <is>
          <t>TOTAL: 3 puntos</t>
        </is>
      </c>
      <c r="B13" s="17" t="inlineStr"/>
      <c r="C13" s="17" t="inlineStr"/>
      <c r="D13" s="17" t="inlineStr"/>
      <c r="E13" s="17" t="inlineStr"/>
      <c r="F13" s="17" t="inlineStr"/>
      <c r="G13" s="17" t="inlineStr"/>
    </row>
    <row r="15">
      <c r="A15" s="6" t="inlineStr">
        <is>
          <t>Centroide del bloque — UTM ESTE (m)</t>
        </is>
      </c>
      <c r="B15" s="7" t="n">
        <v>603653</v>
      </c>
      <c r="C15" s="6" t="inlineStr">
        <is>
          <t>Centroide del bloque — UTM NORTE (m)</t>
        </is>
      </c>
      <c r="D15" s="7" t="n">
        <v>9439351</v>
      </c>
      <c r="E15" s="8" t="n"/>
      <c r="F15" s="8" t="n"/>
      <c r="G15" s="8" t="n"/>
      <c r="H15" s="8" t="n"/>
    </row>
    <row r="16">
      <c r="A16" s="6" t="inlineStr">
        <is>
          <t>N.° de estaciones fotográficas declaradas</t>
        </is>
      </c>
      <c r="B16" s="7" t="inlineStr">
        <is>
          <t>Sin registro en la ficha DT</t>
        </is>
      </c>
      <c r="C16" s="6" t="inlineStr">
        <is>
          <t>Estaciones dentro del polígono</t>
        </is>
      </c>
      <c r="D16" s="7" t="inlineStr">
        <is>
          <t>Por determinar</t>
        </is>
      </c>
      <c r="E16" s="8" t="n"/>
      <c r="F16" s="8" t="n"/>
      <c r="G16" s="8" t="n"/>
      <c r="H16" s="8" t="n"/>
    </row>
    <row r="18" ht="96" customHeight="1">
      <c r="A18" s="9" t="inlineStr">
        <is>
          <t>CONTROL GEOMÉTRICO. Las coordenadas de esta hoja proceden de la ficha DT del bloque (F-DT-01 a F-DT-05) y corresponden a rasgos erosivos, fuentes de agua, especies clave y al punto de muestreo declarado. La distancia al centroide se calcula sobre coordenadas UTM 17S y es referencial: no acredita inclusión ni exclusión respecto del polígono, que exige prueba de inclusión sobre la geometría del bloque. Las estaciones situadas a menos de ~30 m del límite deben considerarse SOBRE EL LÍMITE, dentro del margen de error de la georreferenciación (± 10-15 m). Verificación de campo 02/07/2026, sector sur/acceso. Altitud GPS no registrada. Forma del terreno, pendiente, posición fisiográfica y exposición son JUICIO EXPERTO sobre el sector recorrido: requieren confirmación con MDE para el polígono completo.</t>
        </is>
      </c>
      <c r="B18" s="40" t="n"/>
      <c r="C18" s="40" t="n"/>
      <c r="D18" s="40" t="n"/>
      <c r="E18" s="40" t="n"/>
      <c r="F18" s="40" t="n"/>
      <c r="G18" s="41" t="n"/>
    </row>
  </sheetData>
  <mergeCells count="8">
    <mergeCell ref="A1:G1"/>
    <mergeCell ref="A18:G18"/>
    <mergeCell ref="A8:G8"/>
    <mergeCell ref="A3:G3"/>
    <mergeCell ref="A6:G6"/>
    <mergeCell ref="A4:G4"/>
    <mergeCell ref="A2:G2"/>
    <mergeCell ref="A5:G5"/>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6"/>
  <sheetViews>
    <sheetView showGridLines="0" workbookViewId="0">
      <pane ySplit="6" topLeftCell="A7" activePane="bottomLeft" state="frozen"/>
      <selection pane="bottomLeft" activeCell="A1" sqref="A1"/>
    </sheetView>
  </sheetViews>
  <sheetFormatPr baseColWidth="8" defaultRowHeight="15"/>
  <cols>
    <col width="14" customWidth="1" min="1" max="1"/>
    <col width="13" customWidth="1" min="2" max="2"/>
    <col width="14" customWidth="1" min="3" max="3"/>
    <col width="24" customWidth="1" min="4" max="4"/>
    <col width="13" customWidth="1" min="5" max="5"/>
    <col width="18" customWidth="1" min="6" max="6"/>
    <col width="13" customWidth="1" min="7" max="7"/>
    <col width="20" customWidth="1" min="8" max="8"/>
    <col width="22" customWidth="1" min="9" max="9"/>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CONTEXTO INTRAMICROCUENCA C1096-Q9558 — BLOQUE 2</t>
        </is>
      </c>
    </row>
    <row r="6" ht="24" customHeight="1">
      <c r="A6" s="4" t="inlineStr">
        <is>
          <t>Distrito de Chulucanas · Provincia de Morropon · Comparación de los bloques preliminares de intervención de la misma microcuenca</t>
        </is>
      </c>
    </row>
    <row r="8" ht="18" customHeight="1">
      <c r="A8" s="5" t="inlineStr">
        <is>
          <t>BLOQUES DE LA MICROCUENCA C1096-Q9558</t>
        </is>
      </c>
    </row>
    <row r="9" ht="28" customHeight="1">
      <c r="A9" s="10" t="inlineStr">
        <is>
          <t>Bloque</t>
        </is>
      </c>
      <c r="B9" s="10" t="inlineStr">
        <is>
          <t>Área (ha)</t>
        </is>
      </c>
      <c r="C9" s="10" t="inlineStr">
        <is>
          <t>% microcuenca</t>
        </is>
      </c>
      <c r="D9" s="10" t="inlineStr">
        <is>
          <t>Rango altitudinal (msnm)</t>
        </is>
      </c>
      <c r="E9" s="10" t="inlineStr">
        <is>
          <t>Amplitud (m)</t>
        </is>
      </c>
      <c r="F9" s="10" t="inlineStr">
        <is>
          <t>Pendiente prom. (%)</t>
        </is>
      </c>
      <c r="G9" s="10" t="inlineStr">
        <is>
          <t>MSAVI 2024</t>
        </is>
      </c>
      <c r="H9" s="10" t="inlineStr">
        <is>
          <t>NDVI 2025 — Veg. alta (%)</t>
        </is>
      </c>
      <c r="I9" s="10" t="inlineStr">
        <is>
          <t>MSAVI — % bajo umbral 0.4976</t>
        </is>
      </c>
    </row>
    <row r="10">
      <c r="A10" s="14" t="inlineStr">
        <is>
          <t>► 2</t>
        </is>
      </c>
      <c r="B10" s="28" t="n">
        <v>330.6</v>
      </c>
      <c r="C10" s="29" t="n">
        <v>90.34</v>
      </c>
      <c r="D10" s="15" t="inlineStr">
        <is>
          <t>142 – 406</t>
        </is>
      </c>
      <c r="E10" s="15" t="n">
        <v>264</v>
      </c>
      <c r="F10" s="15" t="n">
        <v>13.27</v>
      </c>
      <c r="G10" s="30" t="n">
        <v>0.3586</v>
      </c>
      <c r="H10" s="29" t="n">
        <v>0.32</v>
      </c>
      <c r="I10" s="29" t="n">
        <v>99.18000000000001</v>
      </c>
    </row>
    <row r="11">
      <c r="A11" s="12" t="inlineStr">
        <is>
          <t>M8B2</t>
        </is>
      </c>
      <c r="B11" s="31" t="n">
        <v>35.35</v>
      </c>
      <c r="C11" s="21" t="n">
        <v>9.66</v>
      </c>
      <c r="D11" s="13" t="inlineStr">
        <is>
          <t>882 – 1181</t>
        </is>
      </c>
      <c r="E11" s="13" t="n">
        <v>299</v>
      </c>
      <c r="F11" s="13" t="n">
        <v>24.49</v>
      </c>
      <c r="G11" s="20" t="n">
        <v>0.5305</v>
      </c>
      <c r="H11" s="21" t="n">
        <v>59.58</v>
      </c>
      <c r="I11" s="21" t="n">
        <v>31.22</v>
      </c>
    </row>
    <row r="12">
      <c r="A12" s="16" t="inlineStr">
        <is>
          <t>TOTAL / PROMEDIO</t>
        </is>
      </c>
      <c r="B12" s="32">
        <f>SUM(B10:B11)</f>
        <v/>
      </c>
      <c r="C12" s="23">
        <f>SUM(C10:C11)</f>
        <v/>
      </c>
      <c r="D12" s="17" t="inlineStr">
        <is>
          <t>142 – 1181</t>
        </is>
      </c>
      <c r="E12" s="17" t="inlineStr"/>
      <c r="F12" s="17">
        <f>ROUND(AVERAGE(F10:F11),2)</f>
        <v/>
      </c>
      <c r="G12" s="22">
        <f>ROUND(AVERAGE(G10:G11),4)</f>
        <v/>
      </c>
      <c r="H12" s="23">
        <f>ROUND(AVERAGE(H10:H11),2)</f>
        <v/>
      </c>
      <c r="I12" s="23">
        <f>ROUND(AVERAGE(I10:I11),2)</f>
        <v/>
      </c>
    </row>
    <row r="14" ht="84" customHeight="1">
      <c r="A14" s="9" t="inlineStr">
        <is>
          <t>LECTURA INTRAMICROCUENCA. El bloque 2 ocupa el puesto 1 de 2 por superficie dentro de la microcuenca C1096-Q9558 (90.34 % de las 365.95 ha preliminares de la microcuenca). Su pendiente promedio (13.27 %, clase «8-15% (Mod. inclinado)») es la 1.ª más baja de 2 y se sitúa por debajo del promedio de la microcuenca (18.88 %). Su MSAVI 2024 (0.3586) es el 2.º de 2 y queda por debajo del promedio local (0.4445). Amplitud altitudinal del bloque: 264 m (142–406 msnm). El cuadro conserva todos los bloques catalogados en la microcuenca, incluidos los descartados en el tamizaje, para referencia del conjunto. Los bloques sin ficha DT figuran con sus parámetros de gabinete. BRECHA ESPECTRAL. El 99.18 % de la superficie del bloque (327.888 ha de 330.599 ha) se sitúa bajo el umbral MSAVI 0.4976, por encima del promedio local de la microcuenca (65.20 %) calculado sobre los bloques con dato MSAVI disponible.</t>
        </is>
      </c>
      <c r="B14" s="40" t="n"/>
      <c r="C14" s="40" t="n"/>
      <c r="D14" s="40" t="n"/>
      <c r="E14" s="40" t="n"/>
      <c r="F14" s="40" t="n"/>
      <c r="G14" s="40" t="n"/>
      <c r="H14" s="40" t="n"/>
      <c r="I14" s="41" t="n"/>
    </row>
    <row r="16" ht="60" customHeight="1">
      <c r="A16" s="9" t="inlineStr">
        <is>
          <t>NOTA METODOLÓGICA. Área y MSAVI 2024 proceden del catálogo maestro de bloques V5/V6. El rango altitudinal y la pendiente promedio proceden del reporte de estadística zonal sobre el MDE («Rango de altitud y Pendiente Promedio por Bloques V6»). El porcentaje de «Vegetación alta» procede de la estadística zonal del NDVI mediana 2025 (Sentinel-2). Los totales y promedios se calculan con fórmulas sobre las filas del cuadro. El porcentaje bajo el umbral MSAVI 0.4976 procede de la estadística zonal del ráster MSAVI 2024 clasificado (AREAS_MSAVI_BLOQUES_V6_REV_HSCM) y corresponde a la suma de las clases DN 1 a DN 3 sobre la superficie clasificada de cada bloque; «s/d» indica bloques del catálogo sin cobertura en ese archivo.</t>
        </is>
      </c>
      <c r="B16" s="40" t="n"/>
      <c r="C16" s="40" t="n"/>
      <c r="D16" s="40" t="n"/>
      <c r="E16" s="40" t="n"/>
      <c r="F16" s="40" t="n"/>
      <c r="G16" s="40" t="n"/>
      <c r="H16" s="40" t="n"/>
      <c r="I16" s="41" t="n"/>
    </row>
  </sheetData>
  <mergeCells count="9">
    <mergeCell ref="A2:I2"/>
    <mergeCell ref="A5:I5"/>
    <mergeCell ref="A14:I14"/>
    <mergeCell ref="A1:I1"/>
    <mergeCell ref="A8:I8"/>
    <mergeCell ref="A3:I3"/>
    <mergeCell ref="A6:I6"/>
    <mergeCell ref="A4:I4"/>
    <mergeCell ref="A16:I16"/>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30"/>
  <sheetViews>
    <sheetView workbookViewId="0">
      <pane ySplit="8" topLeftCell="A9" activePane="bottomLeft" state="frozen"/>
      <selection pane="bottomLeft" activeCell="A1" sqref="A1"/>
    </sheetView>
  </sheetViews>
  <sheetFormatPr baseColWidth="8" defaultRowHeight="15"/>
  <cols>
    <col width="8" customWidth="1" min="1" max="1"/>
    <col width="30" customWidth="1" min="2" max="2"/>
    <col width="62" customWidth="1" min="3" max="3"/>
    <col width="16" customWidth="1" min="4" max="4"/>
    <col width="62" customWidth="1" min="5" max="5"/>
  </cols>
  <sheetData>
    <row r="1">
      <c r="A1" s="50" t="inlineStr">
        <is>
          <t>AUTORIDAD NACIONAL DE INFRAESTRUCTURA - ANIN</t>
        </is>
      </c>
    </row>
    <row r="2">
      <c r="A2" s="50" t="inlineStr">
        <is>
          <t>DIRECCION DE INTERVENCIONES MULTISECTORIALES Y DE EMERGENCIA - DIME</t>
        </is>
      </c>
    </row>
    <row r="3">
      <c r="A3" s="50" t="inlineStr">
        <is>
          <t>SUBDIRECCION DE ESTUDIOS DE INVERSION - SESDI</t>
        </is>
      </c>
    </row>
    <row r="4">
      <c r="A4" s="51" t="inlineStr">
        <is>
          <t>PROYECTO IN PIURA | CUI 2669244 | Recuperacion del servicio de regulacion de riesgos naturales y de ecosistemas degradados - Cuenca Alta del Rio Piura</t>
        </is>
      </c>
    </row>
    <row r="5" ht="22" customHeight="1">
      <c r="A5" s="52" t="inlineStr">
        <is>
          <t>CONTROL DE CONSISTENCIA — BLOQUE 2</t>
        </is>
      </c>
    </row>
    <row r="6">
      <c r="A6" s="51" t="inlineStr">
        <is>
          <t>Cruce de la ficha de campo F-DT vigente con la ficha de resumen de gabinete y el catálogo maestro. Integración 2026-09-11 20:22:26.</t>
        </is>
      </c>
    </row>
    <row r="7">
      <c r="A7" s="53" t="inlineStr">
        <is>
          <t>DISCREPANCIAS Y VERIFICACIONES</t>
        </is>
      </c>
    </row>
    <row r="8">
      <c r="A8" s="54" t="inlineStr">
        <is>
          <t>Cod.</t>
        </is>
      </c>
      <c r="B8" s="54" t="inlineStr">
        <is>
          <t>Campo afectado</t>
        </is>
      </c>
      <c r="C8" s="54" t="inlineStr">
        <is>
          <t>Discrepancia observada</t>
        </is>
      </c>
      <c r="D8" s="54" t="inlineStr">
        <is>
          <t>Calificación</t>
        </is>
      </c>
      <c r="E8" s="54" t="inlineStr">
        <is>
          <t>Tratamiento adoptado</t>
        </is>
      </c>
    </row>
    <row r="9">
      <c r="A9" s="55" t="inlineStr">
        <is>
          <t>G-01</t>
        </is>
      </c>
      <c r="B9" s="55" t="inlineStr">
        <is>
          <t>Código de microcuenca</t>
        </is>
      </c>
      <c r="C9" s="55" t="inlineStr">
        <is>
          <t>Ficha DT y catálogo maestro coinciden en «C1096-Q9558».</t>
        </is>
      </c>
      <c r="D9" s="55" t="inlineStr">
        <is>
          <t>CONFORME</t>
        </is>
      </c>
      <c r="E9" s="55" t="inlineStr">
        <is>
          <t>Sin acción.</t>
        </is>
      </c>
    </row>
    <row r="10">
      <c r="A10" s="56" t="inlineStr">
        <is>
          <t>G-02</t>
        </is>
      </c>
      <c r="B10" s="56" t="inlineStr">
        <is>
          <t>UTM del punto de muestreo</t>
        </is>
      </c>
      <c r="C10" s="56" t="inlineStr">
        <is>
          <t>El punto de muestreo declarado dista 1320.5 m del centroide, dentro del radio de control.</t>
        </is>
      </c>
      <c r="D10" s="56" t="inlineStr">
        <is>
          <t>CONFORME</t>
        </is>
      </c>
      <c r="E10" s="56" t="inlineStr">
        <is>
          <t>Sin acción.</t>
        </is>
      </c>
    </row>
    <row r="11">
      <c r="A11" s="55" t="inlineStr">
        <is>
          <t>G-03</t>
        </is>
      </c>
      <c r="B11" s="55" t="inlineStr">
        <is>
          <t>Sistema de referencia UTM 17S</t>
        </is>
      </c>
      <c r="C11" s="55" t="inlineStr">
        <is>
          <t>Verificación de rango para EPSG:32717: Conforme.</t>
        </is>
      </c>
      <c r="D11" s="55" t="inlineStr">
        <is>
          <t>CONFORME</t>
        </is>
      </c>
      <c r="E11" s="55" t="inlineStr">
        <is>
          <t>Sin acción.</t>
        </is>
      </c>
    </row>
    <row r="12">
      <c r="A12" s="56" t="inlineStr">
        <is>
          <t>G-04</t>
        </is>
      </c>
      <c r="B12" s="56" t="inlineStr">
        <is>
          <t>Altitud del punto de muestreo</t>
        </is>
      </c>
      <c r="C12" s="56" t="inlineStr">
        <is>
          <t>No es posible contrastar la altitud GPS con el rango altitudinal del bloque: falta uno de los dos datos.</t>
        </is>
      </c>
      <c r="D12" s="56" t="inlineStr">
        <is>
          <t>NO SUSTANTIVA</t>
        </is>
      </c>
      <c r="E12" s="56" t="inlineStr">
        <is>
          <t>Se completa con la lectura GPS de F-DT-01 o con la estadística zonal del MDE.</t>
        </is>
      </c>
    </row>
    <row r="13">
      <c r="A13" s="55" t="inlineStr">
        <is>
          <t>G-05</t>
        </is>
      </c>
      <c r="B13" s="55" t="inlineStr">
        <is>
          <t>Superficie NDVI vs. catálogo</t>
        </is>
      </c>
      <c r="C13" s="55" t="inlineStr">
        <is>
          <t>La superficie clasificada por el NDVI mediana 2025 (330.776 ha) se desvía 0.05 % de la superficie de catálogo (330.60 ha).</t>
        </is>
      </c>
      <c r="D13" s="55" t="inlineStr">
        <is>
          <t>CONFORME</t>
        </is>
      </c>
      <c r="E13" s="55" t="inlineStr">
        <is>
          <t>Sin acción: la segmentación valida la geometría del bloque.</t>
        </is>
      </c>
    </row>
    <row r="14">
      <c r="A14" s="56" t="inlineStr">
        <is>
          <t>G-06</t>
        </is>
      </c>
      <c r="B14" s="56" t="inlineStr">
        <is>
          <t>Superficie MSAVI vs. catálogo</t>
        </is>
      </c>
      <c r="C14" s="56" t="inlineStr">
        <is>
          <t>La superficie clasificada por el MSAVI 2024 (330.599 ha) se desvía -0.00 % de la superficie de catálogo (330.60 ha).</t>
        </is>
      </c>
      <c r="D14" s="56" t="inlineStr">
        <is>
          <t>CONFORME</t>
        </is>
      </c>
      <c r="E14" s="56" t="inlineStr">
        <is>
          <t>Sin acción: la segmentación valida la geometría del bloque.</t>
        </is>
      </c>
    </row>
    <row r="15">
      <c r="A15" s="55" t="inlineStr">
        <is>
          <t>G-07</t>
        </is>
      </c>
      <c r="B15" s="55" t="inlineStr">
        <is>
          <t>Brecha espectral MSAVI</t>
        </is>
      </c>
      <c r="C15" s="55" t="inlineStr">
        <is>
          <t>El 99.18 % del bloque queda bajo el umbral 0.4976; superficie de brecha 327.89 ha.</t>
        </is>
      </c>
      <c r="D15" s="55" t="inlineStr">
        <is>
          <t>CONFORME</t>
        </is>
      </c>
      <c r="E15" s="55" t="inlineStr">
        <is>
          <t>Sin acción: alimenta el indicador de brecha del proyecto.</t>
        </is>
      </c>
    </row>
    <row r="16">
      <c r="A16" s="56" t="inlineStr">
        <is>
          <t>G-08</t>
        </is>
      </c>
      <c r="B16" s="56" t="inlineStr">
        <is>
          <t>Distribución areal MSAVI 2024</t>
        </is>
      </c>
      <c r="C16" s="56" t="inlineStr">
        <is>
          <t>La hoja de cobertura declara 5 clases DN con superficie, 330.60 ha clasificadas en total.</t>
        </is>
      </c>
      <c r="D16" s="56" t="inlineStr">
        <is>
          <t>CONFORME</t>
        </is>
      </c>
      <c r="E16" s="56" t="inlineStr">
        <is>
          <t>Sin acción: procede de la estadística zonal del raster MSAVI 2024 clasificado.</t>
        </is>
      </c>
    </row>
    <row r="17">
      <c r="A17" s="55" t="inlineStr">
        <is>
          <t>G-09</t>
        </is>
      </c>
      <c r="B17" s="55" t="inlineStr">
        <is>
          <t>Media MSAVI vs. clase DN dominante</t>
        </is>
      </c>
      <c r="C17" s="55" t="inlineStr">
        <is>
          <t>La media del bloque (0.3586) cae en la clase «0.2650 - 0.3813 (Vigor muy bajo)» y la clase DN dominante por superficie es «DN 2 · 0.2650 - 0.3813 (Vigor muy bajo)».</t>
        </is>
      </c>
      <c r="D17" s="55" t="inlineStr">
        <is>
          <t>CONFORME</t>
        </is>
      </c>
      <c r="E17" s="55" t="inlineStr">
        <is>
          <t>Sin acción: media y clase dominante son coherentes.</t>
        </is>
      </c>
    </row>
    <row r="18">
      <c r="A18" s="56" t="inlineStr">
        <is>
          <t>G-10</t>
        </is>
      </c>
      <c r="B18" s="56" t="inlineStr">
        <is>
          <t>Peligro integrado (MCA-AHP)</t>
        </is>
      </c>
      <c r="C18" s="56" t="inlineStr">
        <is>
          <t>El nivel de peligro integrado no está disponible en los insumos de este entregable.</t>
        </is>
      </c>
      <c r="D18" s="56" t="inlineStr">
        <is>
          <t>SUSTANTIVA</t>
        </is>
      </c>
      <c r="E18" s="56" t="inlineStr">
        <is>
          <t>Debe tomarse del modelamiento de mesolocalización (MCA-AHP de PMM, EPH y PGI) antes de cerrar el perfil.</t>
        </is>
      </c>
    </row>
    <row r="19">
      <c r="A19" s="55" t="inlineStr">
        <is>
          <t>I-01</t>
        </is>
      </c>
      <c r="B19" s="55" t="inlineStr">
        <is>
          <t>Superficie de ecosistema (ha)</t>
        </is>
      </c>
      <c r="C19" s="55" t="inlineStr">
        <is>
          <t>El libro de resumen V6 consignaba «330.599 ha (100% del bloque)»; la ficha de campo vigente declara «330.6».</t>
        </is>
      </c>
      <c r="D19" s="55" t="inlineStr">
        <is>
          <t>CORREGIDO</t>
        </is>
      </c>
      <c r="E19" s="55" t="inlineStr">
        <is>
          <t>Se adopta el valor de campo por ser la fuente que manda sobre el dato y la más reciente. El valor anterior queda declarado para trazabilidad.</t>
        </is>
      </c>
    </row>
    <row r="20">
      <c r="A20" s="56" t="inlineStr">
        <is>
          <t>I-02</t>
        </is>
      </c>
      <c r="B20" s="56" t="inlineStr">
        <is>
          <t>Parcela de muestreo</t>
        </is>
      </c>
      <c r="C20" s="56" t="inlineStr">
        <is>
          <t>El libro de resumen V6 consignaba «Sector sur (recorrido de reconocimiento, sin parcela permanente)»; la ficha de campo vigente declara «Sector sur del bloque (recorrido de reconocimiento, sin parcela permanente)».</t>
        </is>
      </c>
      <c r="D20" s="56" t="inlineStr">
        <is>
          <t>CORREGIDO</t>
        </is>
      </c>
      <c r="E20" s="56" t="inlineStr">
        <is>
          <t>Se adopta el valor de campo por ser la fuente que manda sobre el dato y la más reciente. El valor anterior queda declarado para trazabilidad.</t>
        </is>
      </c>
    </row>
    <row r="21">
      <c r="A21" s="55" t="inlineStr">
        <is>
          <t>F-01</t>
        </is>
      </c>
      <c r="B21" s="55" t="inlineStr">
        <is>
          <t>Fichas F-DT levantadas</t>
        </is>
      </c>
      <c r="C21" s="55" t="inlineStr">
        <is>
          <t>La plantilla de campo trae las cinco fichas F-DT-01 a F-DT-05 (completitud 96.4 % de los campos esperados).</t>
        </is>
      </c>
      <c r="D21" s="55" t="inlineStr">
        <is>
          <t>CONFORME</t>
        </is>
      </c>
      <c r="E21" s="55" t="inlineStr">
        <is>
          <t>Sin acción.</t>
        </is>
      </c>
    </row>
    <row r="22">
      <c r="A22" s="56" t="inlineStr">
        <is>
          <t>F-02</t>
        </is>
      </c>
      <c r="B22" s="56" t="inlineStr">
        <is>
          <t>Cobertura de la integración</t>
        </is>
      </c>
      <c r="C22" s="56" t="inlineStr">
        <is>
          <t>Se declararon 102 de 114 hechos integrados (89.5 %); 12 quedan sin dato en ninguna fuente.</t>
        </is>
      </c>
      <c r="D22" s="56" t="inlineStr">
        <is>
          <t>CONFORME</t>
        </is>
      </c>
      <c r="E22" s="56" t="inlineStr">
        <is>
          <t>Sin acción.</t>
        </is>
      </c>
    </row>
    <row r="23">
      <c r="A23" s="55" t="inlineStr">
        <is>
          <t>H-01</t>
        </is>
      </c>
      <c r="B23" s="55" t="inlineStr">
        <is>
          <t>Rango de pendiente dominante</t>
        </is>
      </c>
      <c r="C23" s="55" t="inlineStr">
        <is>
          <t>La ficha DT declara «15-25% (Fuert. inclinado)»; la estadística zonal sobre el MDE arroja una pendiente promedio de 13.27 %, que corresponde a la clase «8-15% (Mod. inclinado)»</t>
        </is>
      </c>
      <c r="D23" s="55" t="inlineStr">
        <is>
          <t>NO SUSTANTIVA</t>
        </is>
      </c>
      <c r="E23" s="55" t="inlineStr">
        <is>
          <t>Se conserva el registro de campo como observación de sector y se adopta el valor del MDE para el cálculo intramicrocuenca. La divergencia es esperable: el dato de campo es puntual y el del MDE es promedio del polígono. (Verificación heredada de la ficha de resumen V6.)</t>
        </is>
      </c>
    </row>
    <row r="24">
      <c r="A24" s="56" t="inlineStr">
        <is>
          <t>H-02</t>
        </is>
      </c>
      <c r="B24" s="56" t="inlineStr">
        <is>
          <t>Cobertura vegetal total</t>
        </is>
      </c>
      <c r="C24" s="56" t="inlineStr">
        <is>
          <t>La ficha DT estima 70 % de cobertura vegetal en campo; el NDVI mediana 2025 clasifica 98.57 % del polígono en clases de vegetación</t>
        </is>
      </c>
      <c r="D24" s="56" t="inlineStr">
        <is>
          <t>NO SUSTANTIVA</t>
        </is>
      </c>
      <c r="E24" s="56" t="inlineStr">
        <is>
          <t>Se declaran ambos valores. La observación de campo corresponde a una parcela o recorrido puntual y no es representativa de la totalidad del bloque; el índice espectral no discrimina composición ni integridad ecosistémica. (Verificación heredada de la ficha de resumen V6.)</t>
        </is>
      </c>
    </row>
    <row r="25">
      <c r="A25" s="55" t="inlineStr">
        <is>
          <t>H-03</t>
        </is>
      </c>
      <c r="B25" s="55" t="inlineStr">
        <is>
          <t>Elenco florístico</t>
        </is>
      </c>
      <c r="C25" s="55" t="inlineStr">
        <is>
          <t>La ficha registra 10 taxones, por debajo del mínimo de 15 que exige el formato V5</t>
        </is>
      </c>
      <c r="D25" s="55" t="inlineStr">
        <is>
          <t>SUSTANTIVA</t>
        </is>
      </c>
      <c r="E25" s="55" t="inlineStr">
        <is>
          <t>Registro florístico preliminar, sin colecta ni determinación botánica formal. Debe cerrarse con colecta botánica en la siguiente campaña. (Verificación heredada de la ficha de resumen V6.)</t>
        </is>
      </c>
    </row>
    <row r="26">
      <c r="A26" s="56" t="inlineStr">
        <is>
          <t>H-04</t>
        </is>
      </c>
      <c r="B26" s="56" t="inlineStr">
        <is>
          <t>Centro poblado asociado</t>
        </is>
      </c>
      <c r="C26" s="56" t="inlineStr">
        <is>
          <t>La ficha DT declara «Balcones de Talandracas (691 hab.; 602137 E / 9437858 N)»; el cruce INEI-Bloques V5 identifica 1 centro(s) poblado(s) en el bloque: BALCONES DE TALANDRACAS</t>
        </is>
      </c>
      <c r="D26" s="56" t="inlineStr">
        <is>
          <t>CONFORME</t>
        </is>
      </c>
      <c r="E26" s="56" t="inlineStr">
        <is>
          <t>Se conserva el registro de campo como referencia y se adopta el listado INEI para el diagnóstico social y el cálculo de población beneficiaria. (Verificación heredada de la ficha de resumen V6.)</t>
        </is>
      </c>
    </row>
    <row r="28">
      <c r="A28" s="57" t="inlineStr">
        <is>
          <t>RESUMEN</t>
        </is>
      </c>
      <c r="B28" s="58" t="inlineStr">
        <is>
          <t>18 verificaciones</t>
        </is>
      </c>
      <c r="C28" s="58" t="inlineStr">
        <is>
          <t>SUSTANTIVA: 2 · NO SUSTANTIVA: 3 · CORREGIDO: 2 · CONFORME: 11</t>
        </is>
      </c>
    </row>
    <row r="30">
      <c r="A30" s="59" t="inlineStr">
        <is>
          <t>NOTA METODOLÓGICA. Este control se genera del cruce automático entre la plantilla DT de campo vigente (fichas F-DT-01 a F-DT-05) y la ficha de resumen de gabinete. Cada hecho territorial se declara una sola vez, con la fuente que manda sobre el: campo para lo observado en terreno, gabinete para lo derivado del MDE y de los compuestos Sentinel-2, y fuente oficial para el catálogo maestro de bloques, la división política INEI y la codificación de microcuencas de la ANA. Ningún valor ausente se estima: lo que ninguna fuente declara se consigna como pendiente. Sistema de referencia UTM WGS 84 Zona 17S (EPSG:32717).</t>
        </is>
      </c>
    </row>
  </sheetData>
  <mergeCells count="7">
    <mergeCell ref="A30:E30"/>
    <mergeCell ref="A4:E4"/>
    <mergeCell ref="A2:E2"/>
    <mergeCell ref="A1:E1"/>
    <mergeCell ref="A5:E5"/>
    <mergeCell ref="A6:E6"/>
    <mergeCell ref="A3:E3"/>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63"/>
  <sheetViews>
    <sheetView workbookViewId="0">
      <selection activeCell="A1" sqref="A1"/>
    </sheetView>
  </sheetViews>
  <sheetFormatPr baseColWidth="8" defaultRowHeight="15"/>
  <cols>
    <col width="34" customWidth="1" min="1" max="1"/>
    <col width="38" customWidth="1" min="2" max="2"/>
    <col width="44" customWidth="1" min="3" max="3"/>
    <col width="44" customWidth="1" min="4" max="4"/>
    <col width="24" customWidth="1" min="5" max="5"/>
    <col width="18" customWidth="1" min="6" max="6"/>
  </cols>
  <sheetData>
    <row r="1">
      <c r="A1" s="50" t="inlineStr">
        <is>
          <t>AUTORIDAD NACIONAL DE INFRAESTRUCTURA - ANIN</t>
        </is>
      </c>
    </row>
    <row r="2">
      <c r="A2" s="50" t="inlineStr">
        <is>
          <t>DIRECCION DE INTERVENCIONES MULTISECTORIALES Y DE EMERGENCIA - DIME</t>
        </is>
      </c>
    </row>
    <row r="3">
      <c r="A3" s="50" t="inlineStr">
        <is>
          <t>SUBDIRECCION DE ESTUDIOS DE INVERSION - SESDI</t>
        </is>
      </c>
    </row>
    <row r="4">
      <c r="A4" s="51" t="inlineStr">
        <is>
          <t>PROYECTO IN PIURA | CUI 2669244 | Recuperacion del servicio de regulacion de riesgos naturales y de ecosistemas degradados - Cuenca Alta del Rio Piura</t>
        </is>
      </c>
    </row>
    <row r="5" ht="22" customHeight="1">
      <c r="A5" s="52" t="inlineStr">
        <is>
          <t>INTEGRACIÓN DE LA FICHA DE CAMPO — BLOQUE 2</t>
        </is>
      </c>
    </row>
    <row r="7">
      <c r="A7" s="53" t="inlineStr">
        <is>
          <t>A. HECHOS ACTUALIZADOS POR LA VERIFICACIÓN DE CAMPO</t>
        </is>
      </c>
    </row>
    <row r="8">
      <c r="A8" s="54" t="inlineStr">
        <is>
          <t>Sección</t>
        </is>
      </c>
      <c r="B8" s="54" t="inlineStr">
        <is>
          <t>Hecho</t>
        </is>
      </c>
      <c r="C8" s="54" t="inlineStr">
        <is>
          <t>Valor en la ficha V6</t>
        </is>
      </c>
      <c r="D8" s="54" t="inlineStr">
        <is>
          <t>Valor de campo vigente</t>
        </is>
      </c>
      <c r="E8" s="54" t="inlineStr">
        <is>
          <t>Fuente que manda</t>
        </is>
      </c>
    </row>
    <row r="9">
      <c r="A9" s="55" t="inlineStr">
        <is>
          <t>5. Ecosistema, cobertura y flora (F-DT-03)</t>
        </is>
      </c>
      <c r="B9" s="55" t="inlineStr">
        <is>
          <t>Superficie de ecosistema (ha)</t>
        </is>
      </c>
      <c r="C9" s="55" t="inlineStr">
        <is>
          <t>330.599 ha (100% del bloque)</t>
        </is>
      </c>
      <c r="D9" s="55" t="inlineStr">
        <is>
          <t>330.6</t>
        </is>
      </c>
      <c r="E9" s="55" t="inlineStr">
        <is>
          <t>Dato de campo</t>
        </is>
      </c>
    </row>
    <row r="10">
      <c r="A10" s="56" t="inlineStr">
        <is>
          <t>5. Ecosistema, cobertura y flora (F-DT-03)</t>
        </is>
      </c>
      <c r="B10" s="56" t="inlineStr">
        <is>
          <t>Parcela de muestreo</t>
        </is>
      </c>
      <c r="C10" s="56" t="inlineStr">
        <is>
          <t>Sector sur (recorrido de reconocimiento, sin parcela permanente)</t>
        </is>
      </c>
      <c r="D10" s="56" t="inlineStr">
        <is>
          <t>Sector sur del bloque (recorrido de reconocimiento, sin parcela permanente)</t>
        </is>
      </c>
      <c r="E10" s="56" t="inlineStr">
        <is>
          <t>Dato de campo</t>
        </is>
      </c>
    </row>
    <row r="12">
      <c r="A12" s="53" t="inlineStr">
        <is>
          <t>B. HECHOS APORTADOS ÚNICAMENTE POR LA FICHA DE CAMPO</t>
        </is>
      </c>
    </row>
    <row r="13">
      <c r="A13" s="54" t="inlineStr">
        <is>
          <t>Sección</t>
        </is>
      </c>
      <c r="B13" s="54" t="inlineStr">
        <is>
          <t>Hecho</t>
        </is>
      </c>
      <c r="C13" s="54" t="inlineStr">
        <is>
          <t>Valor</t>
        </is>
      </c>
      <c r="D13" s="54" t="inlineStr">
        <is>
          <t>Unidad</t>
        </is>
      </c>
    </row>
    <row r="14">
      <c r="A14" s="55" t="inlineStr">
        <is>
          <t>1. Identificación y localización</t>
        </is>
      </c>
      <c r="B14" s="55" t="inlineStr">
        <is>
          <t>UTM ESTE del punto de muestreo (m)</t>
        </is>
      </c>
      <c r="C14" s="55" t="inlineStr">
        <is>
          <t>602921</t>
        </is>
      </c>
      <c r="D14" s="55" t="inlineStr">
        <is>
          <t>m</t>
        </is>
      </c>
    </row>
    <row r="15">
      <c r="A15" s="56" t="inlineStr">
        <is>
          <t>1. Identificación y localización</t>
        </is>
      </c>
      <c r="B15" s="56" t="inlineStr">
        <is>
          <t>UTM NORTE del punto de muestreo (m)</t>
        </is>
      </c>
      <c r="C15" s="56" t="inlineStr">
        <is>
          <t>9438252</t>
        </is>
      </c>
      <c r="D15" s="56" t="inlineStr">
        <is>
          <t>m</t>
        </is>
      </c>
    </row>
    <row r="16">
      <c r="A16" s="55" t="inlineStr">
        <is>
          <t>2. Parámetros físicos del terreno</t>
        </is>
      </c>
      <c r="B16" s="55" t="inlineStr">
        <is>
          <t>Piso altitudinal del punto de muestreo</t>
        </is>
      </c>
      <c r="C16" s="55" t="inlineStr">
        <is>
          <t>&lt;1000 m (Yunga)</t>
        </is>
      </c>
      <c r="D16" s="55" t="inlineStr"/>
    </row>
    <row r="17">
      <c r="A17" s="56" t="inlineStr">
        <is>
          <t>2. Parámetros físicos del terreno</t>
        </is>
      </c>
      <c r="B17" s="56" t="inlineStr">
        <is>
          <t>Paisaje dominante descrito en campo</t>
        </is>
      </c>
      <c r="C17" s="56" t="inlineStr">
        <is>
          <t>Piedemonte y laderas de colina-montaña del bosque estacionalmente seco, con cimas conicas y quebradas secas tributarias; superficie pedregosa con cantos rodados; mosaico de matorral seco ralo con arboles dispersos (faique, sapote, palo santo, hualtaco) y cactaceas columnares. Sector sur del bloque intervenido por via asfaltada, cercos prediales y movimientos de tierra.</t>
        </is>
      </c>
      <c r="D17" s="56" t="inlineStr"/>
    </row>
    <row r="18">
      <c r="A18" s="55" t="inlineStr">
        <is>
          <t>2. Parámetros físicos del terreno</t>
        </is>
      </c>
      <c r="B18" s="55" t="inlineStr">
        <is>
          <t>Reptación de suelo</t>
        </is>
      </c>
      <c r="C18" s="55" t="inlineStr">
        <is>
          <t>No</t>
        </is>
      </c>
      <c r="D18" s="55" t="inlineStr"/>
    </row>
    <row r="19">
      <c r="A19" s="56" t="inlineStr">
        <is>
          <t>2. Parámetros físicos del terreno</t>
        </is>
      </c>
      <c r="B19" s="56" t="inlineStr">
        <is>
          <t>Deslizamientos antiguos</t>
        </is>
      </c>
      <c r="C19" s="56" t="inlineStr">
        <is>
          <t>No</t>
        </is>
      </c>
      <c r="D19" s="56" t="inlineStr"/>
    </row>
    <row r="20">
      <c r="A20" s="55" t="inlineStr">
        <is>
          <t>4. Suelos y erosión (F-DT-02)</t>
        </is>
      </c>
      <c r="B20" s="55" t="inlineStr">
        <is>
          <t>Nivel de erosión - síntesis de campo</t>
        </is>
      </c>
      <c r="C20" s="55" t="inlineStr">
        <is>
          <t>Ligera (laminar)</t>
        </is>
      </c>
      <c r="D20" s="55" t="inlineStr"/>
    </row>
    <row r="21">
      <c r="A21" s="56" t="inlineStr">
        <is>
          <t>4. Suelos y erosión (F-DT-02)</t>
        </is>
      </c>
      <c r="B21" s="56" t="inlineStr">
        <is>
          <t>Sellamiento / costra superficial</t>
        </is>
      </c>
      <c r="C21" s="56" t="inlineStr">
        <is>
          <t>No</t>
        </is>
      </c>
      <c r="D21" s="56" t="inlineStr"/>
    </row>
    <row r="22">
      <c r="A22" s="55" t="inlineStr">
        <is>
          <t>4. Suelos y erosión (F-DT-02)</t>
        </is>
      </c>
      <c r="B22" s="55" t="inlineStr">
        <is>
          <t>Compactación por pisoteo</t>
        </is>
      </c>
      <c r="C22" s="55" t="inlineStr">
        <is>
          <t>Sí</t>
        </is>
      </c>
      <c r="D22" s="55" t="inlineStr"/>
    </row>
    <row r="23">
      <c r="A23" s="56" t="inlineStr">
        <is>
          <t>4. Suelos y erosión (F-DT-02)</t>
        </is>
      </c>
      <c r="B23" s="56" t="inlineStr">
        <is>
          <t>Raíces expuestas</t>
        </is>
      </c>
      <c r="C23" s="56" t="inlineStr">
        <is>
          <t>No</t>
        </is>
      </c>
      <c r="D23" s="56" t="inlineStr"/>
    </row>
    <row r="24">
      <c r="A24" s="55" t="inlineStr">
        <is>
          <t>4. Suelos y erosión (F-DT-02)</t>
        </is>
      </c>
      <c r="B24" s="55" t="inlineStr">
        <is>
          <t>Longitud total de cárcavas (m)</t>
        </is>
      </c>
      <c r="C24" s="55" t="inlineStr">
        <is>
          <t>0</t>
        </is>
      </c>
      <c r="D24" s="55" t="inlineStr">
        <is>
          <t>m</t>
        </is>
      </c>
    </row>
    <row r="25">
      <c r="A25" s="56" t="inlineStr">
        <is>
          <t>4. Suelos y erosión (F-DT-02)</t>
        </is>
      </c>
      <c r="B25" s="56" t="inlineStr">
        <is>
          <t>% del bloque afectado por cárcavas</t>
        </is>
      </c>
      <c r="C25" s="56" t="inlineStr">
        <is>
          <t>0</t>
        </is>
      </c>
      <c r="D25" s="56" t="inlineStr">
        <is>
          <t>%</t>
        </is>
      </c>
    </row>
    <row r="26">
      <c r="A26" s="55" t="inlineStr">
        <is>
          <t>4. Suelos y erosión (F-DT-02)</t>
        </is>
      </c>
      <c r="B26" s="55" t="inlineStr">
        <is>
          <t>Erosión laminar (% del bloque)</t>
        </is>
      </c>
      <c r="C26" s="55" t="inlineStr">
        <is>
          <t>20</t>
        </is>
      </c>
      <c r="D26" s="55" t="inlineStr">
        <is>
          <t>%</t>
        </is>
      </c>
    </row>
    <row r="27">
      <c r="A27" s="56" t="inlineStr">
        <is>
          <t>4. Suelos y erosión (F-DT-02)</t>
        </is>
      </c>
      <c r="B27" s="56" t="inlineStr">
        <is>
          <t>Socavamiento de cauce</t>
        </is>
      </c>
      <c r="C27" s="56" t="inlineStr">
        <is>
          <t>No</t>
        </is>
      </c>
      <c r="D27" s="56" t="inlineStr"/>
    </row>
    <row r="28">
      <c r="A28" s="55" t="inlineStr">
        <is>
          <t>5. Ecosistema, cobertura y flora (F-DT-03)</t>
        </is>
      </c>
      <c r="B28" s="55" t="inlineStr">
        <is>
          <t>Cobertura del dosel (%)</t>
        </is>
      </c>
      <c r="C28" s="55" t="inlineStr">
        <is>
          <t>15</t>
        </is>
      </c>
      <c r="D28" s="55" t="inlineStr">
        <is>
          <t>%</t>
        </is>
      </c>
    </row>
    <row r="29">
      <c r="A29" s="56" t="inlineStr">
        <is>
          <t>5. Ecosistema, cobertura y flora (F-DT-03)</t>
        </is>
      </c>
      <c r="B29" s="56" t="inlineStr">
        <is>
          <t>Cobertura arbustiva (%)</t>
        </is>
      </c>
      <c r="C29" s="56" t="inlineStr">
        <is>
          <t>45</t>
        </is>
      </c>
      <c r="D29" s="56" t="inlineStr">
        <is>
          <t>%</t>
        </is>
      </c>
    </row>
    <row r="30">
      <c r="A30" s="55" t="inlineStr">
        <is>
          <t>5. Ecosistema, cobertura y flora (F-DT-03)</t>
        </is>
      </c>
      <c r="B30" s="55" t="inlineStr">
        <is>
          <t>Cobertura herbácea (%)</t>
        </is>
      </c>
      <c r="C30" s="55" t="inlineStr">
        <is>
          <t>10</t>
        </is>
      </c>
      <c r="D30" s="55" t="inlineStr">
        <is>
          <t>%</t>
        </is>
      </c>
    </row>
    <row r="31">
      <c r="A31" s="56" t="inlineStr">
        <is>
          <t>5. Ecosistema, cobertura y flora (F-DT-03)</t>
        </is>
      </c>
      <c r="B31" s="56" t="inlineStr">
        <is>
          <t>Altura del estrato dominante (m)</t>
        </is>
      </c>
      <c r="C31" s="56" t="inlineStr">
        <is>
          <t>3</t>
        </is>
      </c>
      <c r="D31" s="56" t="inlineStr">
        <is>
          <t>m</t>
        </is>
      </c>
    </row>
    <row r="32">
      <c r="A32" s="55" t="inlineStr">
        <is>
          <t>5. Ecosistema, cobertura y flora (F-DT-03)</t>
        </is>
      </c>
      <c r="B32" s="55" t="inlineStr">
        <is>
          <t>Altura máxima registrada (m)</t>
        </is>
      </c>
      <c r="C32" s="55" t="inlineStr">
        <is>
          <t>8</t>
        </is>
      </c>
      <c r="D32" s="55" t="inlineStr">
        <is>
          <t>m</t>
        </is>
      </c>
    </row>
    <row r="33">
      <c r="A33" s="56" t="inlineStr">
        <is>
          <t>5. Ecosistema, cobertura y flora (F-DT-03)</t>
        </is>
      </c>
      <c r="B33" s="56" t="inlineStr">
        <is>
          <t>Presencia de epífitas</t>
        </is>
      </c>
      <c r="C33" s="56" t="inlineStr">
        <is>
          <t>Sí</t>
        </is>
      </c>
      <c r="D33" s="56" t="inlineStr"/>
    </row>
    <row r="34">
      <c r="A34" s="55" t="inlineStr">
        <is>
          <t>5. Ecosistema, cobertura y flora (F-DT-03)</t>
        </is>
      </c>
      <c r="B34" s="55" t="inlineStr">
        <is>
          <t>Fenología dominante</t>
        </is>
      </c>
      <c r="C34" s="55" t="inlineStr">
        <is>
          <t>Latencia / Estrés hídrico</t>
        </is>
      </c>
      <c r="D34" s="55" t="inlineStr"/>
    </row>
    <row r="35">
      <c r="A35" s="56" t="inlineStr">
        <is>
          <t>5. Ecosistema, cobertura y flora (F-DT-03)</t>
        </is>
      </c>
      <c r="B35" s="56" t="inlineStr">
        <is>
          <t>Especies clave georreferenciadas</t>
        </is>
      </c>
      <c r="C35" s="56" t="inlineStr">
        <is>
          <t>8</t>
        </is>
      </c>
      <c r="D35" s="56" t="inlineStr"/>
    </row>
    <row r="36">
      <c r="A36" s="55" t="inlineStr">
        <is>
          <t>6. Degradación, causas y urgencia (F-DT-04)</t>
        </is>
      </c>
      <c r="B36" s="55" t="inlineStr">
        <is>
          <t>Causas directas de la degradación</t>
        </is>
      </c>
      <c r="C36" s="55" t="inlineStr">
        <is>
          <t>(1) Pastoreo extensivo y sobrepastoreo caprino/vacuno sobre potreros cercados; (2) expansion vial y ocupacion predial (via asfaltada, movimiento de tierras, nivelacion de plataformas, cercado); (3) extraccion puntual de lena; (4) erosion laminar asociada a la perdida de cobertura; (5) estres hidrico estacional agravado por variabilidad climatica.</t>
        </is>
      </c>
      <c r="D36" s="55" t="inlineStr"/>
    </row>
    <row r="37">
      <c r="A37" s="56" t="inlineStr">
        <is>
          <t>6. Degradación, causas y urgencia (F-DT-04)</t>
        </is>
      </c>
      <c r="B37" s="56" t="inlineStr">
        <is>
          <t>N.° de causas activas en la matriz F-DT-04</t>
        </is>
      </c>
      <c r="C37" s="56" t="inlineStr">
        <is>
          <t>6</t>
        </is>
      </c>
      <c r="D37" s="56" t="inlineStr"/>
    </row>
    <row r="38">
      <c r="A38" s="55" t="inlineStr">
        <is>
          <t>7. Hidrología, acceso y logística (F-DT-05)</t>
        </is>
      </c>
      <c r="B38" s="55" t="inlineStr">
        <is>
          <t>Escorrentía concentrada</t>
        </is>
      </c>
      <c r="C38" s="55" t="inlineStr">
        <is>
          <t>No</t>
        </is>
      </c>
      <c r="D38" s="55" t="inlineStr"/>
    </row>
    <row r="39">
      <c r="A39" s="56" t="inlineStr">
        <is>
          <t>7. Hidrología, acceso y logística (F-DT-05)</t>
        </is>
      </c>
      <c r="B39" s="56" t="inlineStr">
        <is>
          <t>Fuentes de agua inventariadas</t>
        </is>
      </c>
      <c r="C39" s="56" t="inlineStr">
        <is>
          <t>2</t>
        </is>
      </c>
      <c r="D39" s="56" t="inlineStr"/>
    </row>
    <row r="40">
      <c r="A40" s="55" t="inlineStr">
        <is>
          <t>7. Hidrología, acceso y logística (F-DT-05)</t>
        </is>
      </c>
      <c r="B40" s="55" t="inlineStr">
        <is>
          <t>Interferencia con riego</t>
        </is>
      </c>
      <c r="C40" s="55" t="inlineStr">
        <is>
          <t>No</t>
        </is>
      </c>
      <c r="D40" s="55" t="inlineStr"/>
    </row>
    <row r="41">
      <c r="A41" s="56" t="inlineStr">
        <is>
          <t>7. Hidrología, acceso y logística (F-DT-05)</t>
        </is>
      </c>
      <c r="B41" s="56" t="inlineStr">
        <is>
          <t>Vía principal de acceso</t>
        </is>
      </c>
      <c r="C41" s="56" t="inlineStr">
        <is>
          <t>Vía asfaltada Chulucanas – Pueblo Nuevo de Talandracas (código de ruta por confirmar)</t>
        </is>
      </c>
      <c r="D41" s="56" t="inlineStr"/>
    </row>
    <row r="42">
      <c r="A42" s="55" t="inlineStr">
        <is>
          <t>7. Hidrología, acceso y logística (F-DT-05)</t>
        </is>
      </c>
      <c r="B42" s="55" t="inlineStr">
        <is>
          <t>Tipo de vía del tramo final</t>
        </is>
      </c>
      <c r="C42" s="55" t="inlineStr">
        <is>
          <t>Camino de herradura</t>
        </is>
      </c>
      <c r="D42" s="55" t="inlineStr"/>
    </row>
    <row r="43">
      <c r="A43" s="56" t="inlineStr">
        <is>
          <t>7. Hidrología, acceso y logística (F-DT-05)</t>
        </is>
      </c>
      <c r="B43" s="56" t="inlineStr">
        <is>
          <t>Transitabilidad en época seca</t>
        </is>
      </c>
      <c r="C43" s="56" t="inlineStr">
        <is>
          <t>Alto</t>
        </is>
      </c>
      <c r="D43" s="56" t="inlineStr"/>
    </row>
    <row r="44">
      <c r="A44" s="55" t="inlineStr">
        <is>
          <t>7. Hidrología, acceso y logística (F-DT-05)</t>
        </is>
      </c>
      <c r="B44" s="55" t="inlineStr">
        <is>
          <t>Transitabilidad en época lluviosa</t>
        </is>
      </c>
      <c r="C44" s="55" t="inlineStr">
        <is>
          <t>Medio</t>
        </is>
      </c>
      <c r="D44" s="55" t="inlineStr"/>
    </row>
    <row r="45">
      <c r="A45" s="56" t="inlineStr">
        <is>
          <t>7. Hidrología, acceso y logística (F-DT-05)</t>
        </is>
      </c>
      <c r="B45" s="56" t="inlineStr">
        <is>
          <t>Tiempo a la capital distrital (min)</t>
        </is>
      </c>
      <c r="C45" s="56" t="inlineStr">
        <is>
          <t>20</t>
        </is>
      </c>
      <c r="D45" s="56" t="inlineStr">
        <is>
          <t>min</t>
        </is>
      </c>
    </row>
    <row r="46">
      <c r="A46" s="55" t="inlineStr">
        <is>
          <t>7. Hidrología, acceso y logística (F-DT-05)</t>
        </is>
      </c>
      <c r="B46" s="55" t="inlineStr">
        <is>
          <t>Señal celular</t>
        </is>
      </c>
      <c r="C46" s="55" t="inlineStr">
        <is>
          <t>Parcial</t>
        </is>
      </c>
      <c r="D46" s="55" t="inlineStr"/>
    </row>
    <row r="47">
      <c r="A47" s="56" t="inlineStr">
        <is>
          <t>7. Hidrología, acceso y logística (F-DT-05)</t>
        </is>
      </c>
      <c r="B47" s="56" t="inlineStr">
        <is>
          <t>Operador con cobertura</t>
        </is>
      </c>
      <c r="C47" s="56" t="inlineStr">
        <is>
          <t>Bitel</t>
        </is>
      </c>
      <c r="D47" s="56" t="inlineStr"/>
    </row>
    <row r="48">
      <c r="A48" s="55" t="inlineStr">
        <is>
          <t>7. Hidrología, acceso y logística (F-DT-05)</t>
        </is>
      </c>
      <c r="B48" s="55" t="inlineStr">
        <is>
          <t>Alojamiento disponible en la zona</t>
        </is>
      </c>
      <c r="C48" s="55" t="inlineStr">
        <is>
          <t>No</t>
        </is>
      </c>
      <c r="D48" s="55" t="inlineStr"/>
    </row>
    <row r="49">
      <c r="A49" s="56" t="inlineStr">
        <is>
          <t>7. Hidrología, acceso y logística (F-DT-05)</t>
        </is>
      </c>
      <c r="B49" s="56" t="inlineStr">
        <is>
          <t>Requiere coordinación con ronda / comunidad</t>
        </is>
      </c>
      <c r="C49" s="56" t="inlineStr">
        <is>
          <t>No</t>
        </is>
      </c>
      <c r="D49" s="56" t="inlineStr"/>
    </row>
    <row r="51">
      <c r="A51" s="53" t="inlineStr">
        <is>
          <t>C. PROCEDENCIA DE LOS HECHOS DECLARADOS</t>
        </is>
      </c>
    </row>
    <row r="52">
      <c r="A52" s="54" t="inlineStr">
        <is>
          <t>Fuente</t>
        </is>
      </c>
      <c r="B52" s="54" t="inlineStr">
        <is>
          <t>Hechos</t>
        </is>
      </c>
      <c r="C52" s="54" t="inlineStr">
        <is>
          <t>Alcance de la fuente</t>
        </is>
      </c>
    </row>
    <row r="53">
      <c r="A53" s="55" t="inlineStr">
        <is>
          <t>Dato de campo</t>
        </is>
      </c>
      <c r="B53" s="55" t="n">
        <v>67</v>
      </c>
      <c r="C53" s="55" t="inlineStr">
        <is>
          <t>Verificación en campo. Fichas F-DT-01 a F-DT-05 de la Plantilla DT Campo Check Validada V5, suscritas por el evaluador.</t>
        </is>
      </c>
    </row>
    <row r="54">
      <c r="A54" s="56" t="inlineStr">
        <is>
          <t>Gabinete (GIS / teledetección)</t>
        </is>
      </c>
      <c r="B54" s="56" t="n">
        <v>21</v>
      </c>
      <c r="C54" s="56" t="inlineStr">
        <is>
          <t>Gabinete. Estadística zonal sobre el MDE y compuestos Sentinel-2 (NDVI mediana 2025, MSAVI 2024 por clase DN).</t>
        </is>
      </c>
    </row>
    <row r="55">
      <c r="A55" s="55" t="inlineStr">
        <is>
          <t>Fuente oficial</t>
        </is>
      </c>
      <c r="B55" s="55" t="n">
        <v>14</v>
      </c>
      <c r="C55" s="55" t="inlineStr">
        <is>
          <t>Fuente oficial. Catálogo maestro Bloques V5/V6, división política INEI y codificación de microcuencas de la ANA.</t>
        </is>
      </c>
    </row>
    <row r="57">
      <c r="A57" s="53" t="inlineStr">
        <is>
          <t>D. ESTADO DEL CRUCE ENTRE FUENTES</t>
        </is>
      </c>
    </row>
    <row r="58">
      <c r="A58" s="54" t="inlineStr">
        <is>
          <t>Estado</t>
        </is>
      </c>
      <c r="B58" s="54" t="inlineStr">
        <is>
          <t>Hechos</t>
        </is>
      </c>
      <c r="C58" s="54" t="inlineStr">
        <is>
          <t>Significado</t>
        </is>
      </c>
    </row>
    <row r="59">
      <c r="A59" s="55" t="inlineStr">
        <is>
          <t>CONFORME</t>
        </is>
      </c>
      <c r="B59" s="55" t="n">
        <v>100</v>
      </c>
      <c r="C59" s="55" t="inlineStr">
        <is>
          <t>Las dos fuentes declaran lo mismo, o solo la fuente que manda sobre el hecho lo declara.</t>
        </is>
      </c>
    </row>
    <row r="60">
      <c r="A60" s="56" t="inlineStr">
        <is>
          <t>COMPLEMENTADO</t>
        </is>
      </c>
      <c r="B60" s="56" t="n">
        <v>0</v>
      </c>
      <c r="C60" s="56" t="inlineStr">
        <is>
          <t>Solo una de las fuentes lo declara y se adopta ese valor.</t>
        </is>
      </c>
    </row>
    <row r="61">
      <c r="A61" s="55" t="inlineStr">
        <is>
          <t>ACTUALIZADO</t>
        </is>
      </c>
      <c r="B61" s="55" t="n">
        <v>2</v>
      </c>
      <c r="C61" s="55" t="inlineStr">
        <is>
          <t>La verificación de campo vigente corrige lo que traía el libro de resumen.</t>
        </is>
      </c>
    </row>
    <row r="62">
      <c r="A62" s="56" t="inlineStr">
        <is>
          <t>DISCREPANTE</t>
        </is>
      </c>
      <c r="B62" s="56" t="n">
        <v>0</v>
      </c>
      <c r="C62" s="56" t="inlineStr">
        <is>
          <t>Las fuentes se contradicen; prevalece la que manda sobre el hecho y la otra queda declarada.</t>
        </is>
      </c>
    </row>
    <row r="63">
      <c r="A63" s="55" t="inlineStr">
        <is>
          <t>PENDIENTE</t>
        </is>
      </c>
      <c r="B63" s="55" t="n">
        <v>12</v>
      </c>
      <c r="C63" s="55" t="inlineStr">
        <is>
          <t>Ninguna fuente lo declara; no se estima valor alguno.</t>
        </is>
      </c>
    </row>
  </sheetData>
  <mergeCells count="5">
    <mergeCell ref="A2:F2"/>
    <mergeCell ref="A1:F1"/>
    <mergeCell ref="A5:F5"/>
    <mergeCell ref="A4:F4"/>
    <mergeCell ref="A3:F3"/>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75"/>
  <sheetViews>
    <sheetView workbookViewId="0">
      <selection activeCell="A1" sqref="A1"/>
    </sheetView>
  </sheetViews>
  <sheetFormatPr baseColWidth="8" defaultRowHeight="15"/>
  <cols>
    <col width="8" customWidth="1" min="1" max="1"/>
    <col width="30" customWidth="1" min="2" max="2"/>
    <col width="30" customWidth="1" min="3" max="3"/>
    <col width="22" customWidth="1" min="4" max="4"/>
    <col width="20" customWidth="1" min="5" max="5"/>
    <col width="16" customWidth="1" min="6" max="6"/>
    <col width="16" customWidth="1" min="7" max="7"/>
    <col width="20" customWidth="1" min="8" max="8"/>
    <col width="34" customWidth="1" min="9" max="9"/>
  </cols>
  <sheetData>
    <row r="1">
      <c r="A1" s="50" t="inlineStr">
        <is>
          <t>AUTORIDAD NACIONAL DE INFRAESTRUCTURA - ANIN</t>
        </is>
      </c>
    </row>
    <row r="2">
      <c r="A2" s="50" t="inlineStr">
        <is>
          <t>DIRECCION DE INTERVENCIONES MULTISECTORIALES Y DE EMERGENCIA - DIME</t>
        </is>
      </c>
    </row>
    <row r="3">
      <c r="A3" s="50" t="inlineStr">
        <is>
          <t>SUBDIRECCION DE ESTUDIOS DE INVERSION - SESDI</t>
        </is>
      </c>
    </row>
    <row r="4">
      <c r="A4" s="51" t="inlineStr">
        <is>
          <t>PROYECTO IN PIURA | CUI 2669244 | Recuperacion del servicio de regulacion de riesgos naturales y de ecosistemas degradados - Cuenca Alta del Rio Piura</t>
        </is>
      </c>
    </row>
    <row r="5" ht="22" customHeight="1">
      <c r="A5" s="52" t="inlineStr">
        <is>
          <t>REGISTRO DE CAMPO F-DT-01 A F-DT-05 — BLOQUE 2</t>
        </is>
      </c>
    </row>
    <row r="7">
      <c r="A7" s="53" t="inlineStr">
        <is>
          <t>F-DT-02 · INVENTARIO DE CÁRCAVAS</t>
        </is>
      </c>
    </row>
    <row r="8">
      <c r="A8" s="54" t="inlineStr">
        <is>
          <t>Código</t>
        </is>
      </c>
      <c r="B8" s="54" t="inlineStr">
        <is>
          <t>Tipo</t>
        </is>
      </c>
      <c r="C8" s="54" t="inlineStr">
        <is>
          <t>UTM E ini.</t>
        </is>
      </c>
      <c r="D8" s="54" t="inlineStr">
        <is>
          <t>UTM N ini.</t>
        </is>
      </c>
      <c r="E8" s="54" t="inlineStr">
        <is>
          <t>Longitud (m)</t>
        </is>
      </c>
      <c r="F8" s="54" t="inlineStr">
        <is>
          <t>Prof. (m)</t>
        </is>
      </c>
      <c r="G8" s="54" t="inlineStr">
        <is>
          <t>Ancho (m)</t>
        </is>
      </c>
      <c r="H8" s="54" t="inlineStr">
        <is>
          <t>Estado</t>
        </is>
      </c>
      <c r="I8" s="54" t="inlineStr">
        <is>
          <t>Causa</t>
        </is>
      </c>
    </row>
    <row r="9">
      <c r="A9" s="55" t="inlineStr">
        <is>
          <t>Sin cárcavas inventariadas en el tramo verificado</t>
        </is>
      </c>
      <c r="B9" s="55" t="inlineStr"/>
      <c r="C9" s="55" t="inlineStr"/>
      <c r="D9" s="55" t="inlineStr"/>
      <c r="E9" s="55" t="inlineStr"/>
      <c r="F9" s="55" t="inlineStr"/>
      <c r="G9" s="55" t="inlineStr"/>
      <c r="H9" s="55" t="inlineStr"/>
      <c r="I9" s="55" t="inlineStr"/>
    </row>
    <row r="11">
      <c r="A11" s="53" t="inlineStr">
        <is>
          <t>F-DT-03 · ELENCO FLORÍSTICO</t>
        </is>
      </c>
    </row>
    <row r="12">
      <c r="A12" s="54" t="inlineStr">
        <is>
          <t>N.o</t>
        </is>
      </c>
      <c r="B12" s="54" t="inlineStr">
        <is>
          <t>Nombre común</t>
        </is>
      </c>
      <c r="C12" s="54" t="inlineStr">
        <is>
          <t>Nombre científico</t>
        </is>
      </c>
      <c r="D12" s="54" t="inlineStr">
        <is>
          <t>Familia</t>
        </is>
      </c>
      <c r="E12" s="54" t="inlineStr">
        <is>
          <t>Estrato</t>
        </is>
      </c>
      <c r="F12" s="54" t="inlineStr">
        <is>
          <t>Origen</t>
        </is>
      </c>
      <c r="G12" s="54" t="inlineStr">
        <is>
          <t>Abundancia</t>
        </is>
      </c>
      <c r="H12" s="54" t="inlineStr">
        <is>
          <t>DAP (cm)</t>
        </is>
      </c>
      <c r="I12" s="54" t="inlineStr">
        <is>
          <t>Altura (m)</t>
        </is>
      </c>
    </row>
    <row r="13">
      <c r="A13" s="55" t="inlineStr">
        <is>
          <t>1</t>
        </is>
      </c>
      <c r="B13" s="55" t="inlineStr">
        <is>
          <t>Faique</t>
        </is>
      </c>
      <c r="C13" s="55" t="inlineStr">
        <is>
          <t>Vachellia macracantha</t>
        </is>
      </c>
      <c r="D13" s="55" t="inlineStr">
        <is>
          <t>Fabaceae</t>
        </is>
      </c>
      <c r="E13" s="55" t="inlineStr">
        <is>
          <t>Arbóreo bajo (4-8 m)</t>
        </is>
      </c>
      <c r="F13" s="55" t="inlineStr">
        <is>
          <t>Nativa</t>
        </is>
      </c>
      <c r="G13" s="55" t="inlineStr">
        <is>
          <t>Frecuente (5-20%)</t>
        </is>
      </c>
      <c r="H13" s="55" t="n"/>
      <c r="I13" s="55" t="n"/>
    </row>
    <row r="14">
      <c r="A14" s="56" t="inlineStr">
        <is>
          <t>2</t>
        </is>
      </c>
      <c r="B14" s="56" t="inlineStr">
        <is>
          <t>Algarrobo</t>
        </is>
      </c>
      <c r="C14" s="56" t="inlineStr">
        <is>
          <t>Prosopis pallida</t>
        </is>
      </c>
      <c r="D14" s="56" t="inlineStr">
        <is>
          <t>Fabaceae</t>
        </is>
      </c>
      <c r="E14" s="56" t="inlineStr">
        <is>
          <t>Arbóreo bajo (4-8 m)</t>
        </is>
      </c>
      <c r="F14" s="56" t="inlineStr">
        <is>
          <t>Nativa</t>
        </is>
      </c>
      <c r="G14" s="56" t="inlineStr">
        <is>
          <t>Ocasional (1-5%)</t>
        </is>
      </c>
      <c r="H14" s="56" t="n"/>
      <c r="I14" s="56" t="n"/>
    </row>
    <row r="15">
      <c r="A15" s="55" t="inlineStr">
        <is>
          <t>3</t>
        </is>
      </c>
      <c r="B15" s="55" t="inlineStr">
        <is>
          <t>Sapote</t>
        </is>
      </c>
      <c r="C15" s="55" t="inlineStr">
        <is>
          <t>Colicodendron scabridum</t>
        </is>
      </c>
      <c r="D15" s="55" t="inlineStr">
        <is>
          <t>Capparaceae</t>
        </is>
      </c>
      <c r="E15" s="55" t="inlineStr">
        <is>
          <t>Arbóreo bajo (4-8 m)</t>
        </is>
      </c>
      <c r="F15" s="55" t="inlineStr">
        <is>
          <t>Nativa</t>
        </is>
      </c>
      <c r="G15" s="55" t="inlineStr">
        <is>
          <t>Frecuente (5-20%)</t>
        </is>
      </c>
      <c r="H15" s="55" t="n"/>
      <c r="I15" s="55" t="n"/>
    </row>
    <row r="16">
      <c r="A16" s="56" t="inlineStr">
        <is>
          <t>4</t>
        </is>
      </c>
      <c r="B16" s="56" t="inlineStr">
        <is>
          <t>Hualtaco</t>
        </is>
      </c>
      <c r="C16" s="56" t="inlineStr">
        <is>
          <t>Loxopterygium huasango</t>
        </is>
      </c>
      <c r="D16" s="56" t="inlineStr">
        <is>
          <t>Anacardiaceae</t>
        </is>
      </c>
      <c r="E16" s="56" t="inlineStr">
        <is>
          <t>Arbóreo medio (8-15 m)</t>
        </is>
      </c>
      <c r="F16" s="56" t="inlineStr">
        <is>
          <t>Nativa</t>
        </is>
      </c>
      <c r="G16" s="56" t="inlineStr">
        <is>
          <t>Ocasional (1-5%)</t>
        </is>
      </c>
      <c r="H16" s="56" t="n"/>
      <c r="I16" s="56" t="n"/>
    </row>
    <row r="17">
      <c r="A17" s="55" t="inlineStr">
        <is>
          <t>5</t>
        </is>
      </c>
      <c r="B17" s="55" t="inlineStr">
        <is>
          <t>Palo santo</t>
        </is>
      </c>
      <c r="C17" s="55" t="inlineStr">
        <is>
          <t>Bursera graveolens</t>
        </is>
      </c>
      <c r="D17" s="55" t="inlineStr">
        <is>
          <t>Burseraceae</t>
        </is>
      </c>
      <c r="E17" s="55" t="inlineStr">
        <is>
          <t>Arbóreo bajo (4-8 m)</t>
        </is>
      </c>
      <c r="F17" s="55" t="inlineStr">
        <is>
          <t>Nativa</t>
        </is>
      </c>
      <c r="G17" s="55" t="inlineStr">
        <is>
          <t>Ocasional (1-5%)</t>
        </is>
      </c>
      <c r="H17" s="55" t="n"/>
      <c r="I17" s="55" t="n"/>
    </row>
    <row r="18">
      <c r="A18" s="56" t="inlineStr">
        <is>
          <t>6</t>
        </is>
      </c>
      <c r="B18" s="56" t="inlineStr">
        <is>
          <t>Overo</t>
        </is>
      </c>
      <c r="C18" s="56" t="inlineStr">
        <is>
          <t>Cordia lutea</t>
        </is>
      </c>
      <c r="D18" s="56" t="inlineStr">
        <is>
          <t>Cordiaceae</t>
        </is>
      </c>
      <c r="E18" s="56" t="inlineStr">
        <is>
          <t>Arbustivo alto (1.5-4 m)</t>
        </is>
      </c>
      <c r="F18" s="56" t="inlineStr">
        <is>
          <t>Nativa</t>
        </is>
      </c>
      <c r="G18" s="56" t="inlineStr">
        <is>
          <t>Abundante (20-40%)</t>
        </is>
      </c>
      <c r="H18" s="56" t="n"/>
      <c r="I18" s="56" t="n"/>
    </row>
    <row r="19">
      <c r="A19" s="55" t="inlineStr">
        <is>
          <t>7</t>
        </is>
      </c>
      <c r="B19" s="55" t="inlineStr">
        <is>
          <t>Cactácea columnar</t>
        </is>
      </c>
      <c r="C19" s="55" t="inlineStr">
        <is>
          <t>Cactaceae (indet.)</t>
        </is>
      </c>
      <c r="D19" s="55" t="inlineStr">
        <is>
          <t>Cactaceae</t>
        </is>
      </c>
      <c r="E19" s="55" t="inlineStr">
        <is>
          <t>Arbustivo alto (1.5-4 m)</t>
        </is>
      </c>
      <c r="F19" s="55" t="inlineStr">
        <is>
          <t>Nativa</t>
        </is>
      </c>
      <c r="G19" s="55" t="inlineStr">
        <is>
          <t>Frecuente (5-20%)</t>
        </is>
      </c>
      <c r="H19" s="55" t="n"/>
      <c r="I19" s="55" t="n"/>
    </row>
    <row r="20">
      <c r="A20" s="56" t="inlineStr">
        <is>
          <t>8</t>
        </is>
      </c>
      <c r="B20" s="56" t="inlineStr">
        <is>
          <t>Suelda con suelda</t>
        </is>
      </c>
      <c r="C20" s="56" t="inlineStr">
        <is>
          <t>Loranthaceae (indet.)</t>
        </is>
      </c>
      <c r="D20" s="56" t="inlineStr">
        <is>
          <t>Loranthaceae</t>
        </is>
      </c>
      <c r="E20" s="56" t="inlineStr">
        <is>
          <t>Epífito</t>
        </is>
      </c>
      <c r="F20" s="56" t="inlineStr">
        <is>
          <t>Nativa</t>
        </is>
      </c>
      <c r="G20" s="56" t="inlineStr">
        <is>
          <t>Ocasional (1-5%)</t>
        </is>
      </c>
      <c r="H20" s="56" t="n"/>
      <c r="I20" s="56" t="n"/>
    </row>
    <row r="21">
      <c r="A21" s="55" t="inlineStr">
        <is>
          <t>9</t>
        </is>
      </c>
      <c r="B21" s="55" t="inlineStr">
        <is>
          <t>Bromelias epífitas</t>
        </is>
      </c>
      <c r="C21" s="55" t="inlineStr">
        <is>
          <t>Bromeliaceae (indet.)</t>
        </is>
      </c>
      <c r="D21" s="55" t="inlineStr">
        <is>
          <t>Bromeliaceae</t>
        </is>
      </c>
      <c r="E21" s="55" t="inlineStr">
        <is>
          <t>Epífito</t>
        </is>
      </c>
      <c r="F21" s="55" t="inlineStr">
        <is>
          <t>Nativa</t>
        </is>
      </c>
      <c r="G21" s="55" t="inlineStr">
        <is>
          <t>Ocasional (1-5%)</t>
        </is>
      </c>
      <c r="H21" s="55" t="n"/>
      <c r="I21" s="55" t="n"/>
    </row>
    <row r="22">
      <c r="A22" s="56" t="inlineStr">
        <is>
          <t>10</t>
        </is>
      </c>
      <c r="B22" s="56" t="inlineStr">
        <is>
          <t>Herbáceas estacionales</t>
        </is>
      </c>
      <c r="C22" s="56" t="inlineStr">
        <is>
          <t>Indet.</t>
        </is>
      </c>
      <c r="D22" s="56" t="inlineStr">
        <is>
          <t>Indet.</t>
        </is>
      </c>
      <c r="E22" s="56" t="inlineStr">
        <is>
          <t>Herbáceo (&lt;0.5 m)</t>
        </is>
      </c>
      <c r="F22" s="56" t="inlineStr">
        <is>
          <t>Nativa</t>
        </is>
      </c>
      <c r="G22" s="56" t="inlineStr">
        <is>
          <t>Frecuente (5-20%)</t>
        </is>
      </c>
      <c r="H22" s="56" t="n"/>
      <c r="I22" s="56" t="n"/>
    </row>
    <row r="24">
      <c r="A24" s="53" t="inlineStr">
        <is>
          <t>F-DT-03 · ESPECIES CLAVE GEORREFERENCIADAS</t>
        </is>
      </c>
    </row>
    <row r="25">
      <c r="A25" s="54" t="inlineStr">
        <is>
          <t>N.o</t>
        </is>
      </c>
      <c r="B25" s="54" t="inlineStr">
        <is>
          <t>Especie</t>
        </is>
      </c>
      <c r="C25" s="54" t="inlineStr">
        <is>
          <t>Categoría</t>
        </is>
      </c>
      <c r="D25" s="54" t="inlineStr">
        <is>
          <t>Estado UICN</t>
        </is>
      </c>
      <c r="E25" s="54" t="inlineStr">
        <is>
          <t>UTM ESTE</t>
        </is>
      </c>
      <c r="F25" s="54" t="inlineStr">
        <is>
          <t>UTM NORTE</t>
        </is>
      </c>
      <c r="G25" s="54" t="inlineStr">
        <is>
          <t>N.° individuos</t>
        </is>
      </c>
      <c r="H25" s="54" t="inlineStr">
        <is>
          <t>Observación</t>
        </is>
      </c>
    </row>
    <row r="26">
      <c r="A26" s="55" t="inlineStr">
        <is>
          <t>1</t>
        </is>
      </c>
      <c r="B26" s="55" t="inlineStr">
        <is>
          <t>Hualtaco (Loxopterygium huasango)</t>
        </is>
      </c>
      <c r="C26" s="55" t="inlineStr">
        <is>
          <t>Amenazada (D.S. 043-2006-AG)</t>
        </is>
      </c>
      <c r="D26" s="55" t="inlineStr"/>
      <c r="E26" s="55" t="n"/>
      <c r="F26" s="55" t="n"/>
      <c r="G26" s="55" t="n"/>
      <c r="H26" s="55" t="inlineStr">
        <is>
          <t>Especie del bosque seco con proteccion normativa; categoria exacta (D.S. 043-2006-AG / UICN) POR CONFIRMAR. No fotografiada.</t>
        </is>
      </c>
    </row>
    <row r="27">
      <c r="A27" s="56" t="inlineStr">
        <is>
          <t>2</t>
        </is>
      </c>
      <c r="B27" s="56" t="inlineStr">
        <is>
          <t>Palo santo (Bursera graveolens)</t>
        </is>
      </c>
      <c r="C27" s="56" t="inlineStr">
        <is>
          <t>Clave cultural</t>
        </is>
      </c>
      <c r="D27" s="56" t="inlineStr"/>
      <c r="E27" s="56" t="n"/>
      <c r="F27" s="56" t="n"/>
      <c r="G27" s="56" t="n"/>
      <c r="H27" s="56" t="inlineStr">
        <is>
          <t>Uso local (sahumerio/aceite esencial). Estatus normativo POR VERIFICAR.</t>
        </is>
      </c>
    </row>
    <row r="28">
      <c r="A28" s="55" t="inlineStr">
        <is>
          <t>3</t>
        </is>
      </c>
      <c r="B28" s="55" t="inlineStr">
        <is>
          <t>Sapote (Colicodendron scabridum)</t>
        </is>
      </c>
      <c r="C28" s="55" t="inlineStr">
        <is>
          <t>Indicadora de buen estado</t>
        </is>
      </c>
      <c r="D28" s="55" t="inlineStr"/>
      <c r="E28" s="60" t="n">
        <v>602921</v>
      </c>
      <c r="F28" s="60" t="n">
        <v>9438252</v>
      </c>
      <c r="G28" s="55" t="n"/>
      <c r="H28" s="55" t="inlineStr">
        <is>
          <t>Individuo arboreo aislado sobre senda; determinacion a nivel de especie POR CONFIRMAR.</t>
        </is>
      </c>
    </row>
    <row r="29">
      <c r="A29" s="56" t="inlineStr">
        <is>
          <t>4</t>
        </is>
      </c>
      <c r="B29" s="56" t="inlineStr">
        <is>
          <t>Overo (Cordia lutea)</t>
        </is>
      </c>
      <c r="C29" s="56" t="inlineStr">
        <is>
          <t>Indicadora de perturbación</t>
        </is>
      </c>
      <c r="D29" s="56" t="inlineStr"/>
      <c r="E29" s="61" t="n">
        <v>602912</v>
      </c>
      <c r="F29" s="61" t="n">
        <v>9438250</v>
      </c>
      <c r="G29" s="56" t="n"/>
      <c r="H29" s="56" t="inlineStr">
        <is>
          <t>Arbusto en floracion (julio 2026); pionera nativa de bordes y areas disturbadas del BES.</t>
        </is>
      </c>
    </row>
    <row r="30">
      <c r="A30" s="55" t="inlineStr">
        <is>
          <t>5</t>
        </is>
      </c>
      <c r="B30" s="55" t="inlineStr">
        <is>
          <t>Cactácea columnar (Cactaceae indet.)</t>
        </is>
      </c>
      <c r="C30" s="55" t="inlineStr">
        <is>
          <t>Indicadora de perturbación</t>
        </is>
      </c>
      <c r="D30" s="55" t="inlineStr"/>
      <c r="E30" s="60" t="n">
        <v>602909</v>
      </c>
      <c r="F30" s="60" t="n">
        <v>9438249</v>
      </c>
      <c r="G30" s="55" t="n"/>
      <c r="H30" s="55" t="inlineStr">
        <is>
          <t>Genero y especie POR DETERMINAR; indicador de xerofitismo y de presion de pastoreo.</t>
        </is>
      </c>
    </row>
    <row r="31">
      <c r="A31" s="56" t="inlineStr">
        <is>
          <t>6</t>
        </is>
      </c>
      <c r="B31" s="56" t="inlineStr">
        <is>
          <t>Algarrobo (Prosopis pallida)</t>
        </is>
      </c>
      <c r="C31" s="56" t="inlineStr">
        <is>
          <t>Clave cultural</t>
        </is>
      </c>
      <c r="D31" s="56" t="inlineStr"/>
      <c r="E31" s="56" t="n"/>
      <c r="F31" s="56" t="n"/>
      <c r="G31" s="56" t="n"/>
      <c r="H31" s="56" t="inlineStr">
        <is>
          <t>Reportada por la brigada; no registrada fotograficamente. POR CONFIRMAR.</t>
        </is>
      </c>
    </row>
    <row r="32">
      <c r="A32" s="55" t="inlineStr">
        <is>
          <t>7</t>
        </is>
      </c>
      <c r="B32" s="55" t="inlineStr">
        <is>
          <t>Suelda con suelda (Loranthaceae)</t>
        </is>
      </c>
      <c r="C32" s="55" t="inlineStr">
        <is>
          <t>Indicadora de perturbación</t>
        </is>
      </c>
      <c r="D32" s="55" t="inlineStr"/>
      <c r="E32" s="55" t="n"/>
      <c r="F32" s="55" t="n"/>
      <c r="G32" s="55" t="n"/>
      <c r="H32" s="55" t="inlineStr">
        <is>
          <t>Hemiparasita sobre leñosas; genero POR DETERMINAR.</t>
        </is>
      </c>
    </row>
    <row r="33">
      <c r="A33" s="56" t="inlineStr">
        <is>
          <t>8</t>
        </is>
      </c>
      <c r="B33" s="56" t="inlineStr">
        <is>
          <t>Bromelias epífitas (Bromeliaceae)</t>
        </is>
      </c>
      <c r="C33" s="56" t="inlineStr">
        <is>
          <t>Indicadora de buen estado</t>
        </is>
      </c>
      <c r="D33" s="56" t="inlineStr"/>
      <c r="E33" s="56" t="n"/>
      <c r="F33" s="56" t="n"/>
      <c r="G33" s="56" t="n"/>
      <c r="H33" s="56" t="inlineStr">
        <is>
          <t>Genero POR DETERMINAR (probable Tillandsia sp.); indicador de humedad atmosferica.</t>
        </is>
      </c>
    </row>
    <row r="35">
      <c r="A35" s="53" t="inlineStr">
        <is>
          <t>F-DT-04 · MATRIZ DE CAUSAS DE DEGRADACIÓN</t>
        </is>
      </c>
    </row>
    <row r="36">
      <c r="A36" s="54" t="inlineStr">
        <is>
          <t>N.o</t>
        </is>
      </c>
      <c r="B36" s="54" t="inlineStr">
        <is>
          <t>Causa</t>
        </is>
      </c>
      <c r="C36" s="54" t="inlineStr">
        <is>
          <t>Presencia</t>
        </is>
      </c>
      <c r="D36" s="54" t="inlineStr">
        <is>
          <t>Intensidad</t>
        </is>
      </c>
      <c r="E36" s="54" t="inlineStr">
        <is>
          <t>Extensión</t>
        </is>
      </c>
      <c r="F36" s="54" t="inlineStr">
        <is>
          <t>Antigüedad</t>
        </is>
      </c>
      <c r="G36" s="54" t="inlineStr">
        <is>
          <t>Evidencia</t>
        </is>
      </c>
    </row>
    <row r="37">
      <c r="A37" s="55" t="inlineStr">
        <is>
          <t>1</t>
        </is>
      </c>
      <c r="B37" s="55" t="inlineStr">
        <is>
          <t>Sobrepastoreo (caprino/vacuno)</t>
        </is>
      </c>
      <c r="C37" s="55" t="inlineStr">
        <is>
          <t>Sí</t>
        </is>
      </c>
      <c r="D37" s="55" t="inlineStr">
        <is>
          <t>Moderada</t>
        </is>
      </c>
      <c r="E37" s="55" t="inlineStr">
        <is>
          <t>40</t>
        </is>
      </c>
      <c r="F37" s="55" t="inlineStr">
        <is>
          <t>Por determinar</t>
        </is>
      </c>
      <c r="G37" s="55" t="inlineStr">
        <is>
          <t>Ganaderia caprino/vacuna extensiva: suelo desnudo pedregoso, sendas de ganado y potreros cercados con alambre de pua (F-02, F-06). Carga ganadera POR DETERMINAR.</t>
        </is>
      </c>
    </row>
    <row r="38">
      <c r="A38" s="56" t="inlineStr">
        <is>
          <t>2</t>
        </is>
      </c>
      <c r="B38" s="56" t="inlineStr">
        <is>
          <t>Tala para leña</t>
        </is>
      </c>
      <c r="C38" s="56" t="inlineStr">
        <is>
          <t>Sí</t>
        </is>
      </c>
      <c r="D38" s="56" t="inlineStr">
        <is>
          <t>Ligera</t>
        </is>
      </c>
      <c r="E38" s="56" t="inlineStr"/>
      <c r="F38" s="56" t="inlineStr">
        <is>
          <t>Por determinar</t>
        </is>
      </c>
      <c r="G38" s="56" t="inlineStr">
        <is>
          <t>Extraccion puntual de lena y postes muertos de cerco. Magnitud POR VERIFICAR.</t>
        </is>
      </c>
    </row>
    <row r="39">
      <c r="A39" s="55" t="inlineStr">
        <is>
          <t>3</t>
        </is>
      </c>
      <c r="B39" s="55" t="inlineStr">
        <is>
          <t>Tala para carbón</t>
        </is>
      </c>
      <c r="C39" s="55" t="inlineStr">
        <is>
          <t>No</t>
        </is>
      </c>
      <c r="D39" s="55" t="inlineStr"/>
      <c r="E39" s="55" t="inlineStr"/>
      <c r="F39" s="55" t="inlineStr"/>
      <c r="G39" s="55" t="inlineStr">
        <is>
          <t>No observado en el sector recorrido (por verificar en el resto del bloque).</t>
        </is>
      </c>
    </row>
    <row r="40">
      <c r="A40" s="56" t="inlineStr">
        <is>
          <t>4</t>
        </is>
      </c>
      <c r="B40" s="56" t="inlineStr">
        <is>
          <t>Tala para madera</t>
        </is>
      </c>
      <c r="C40" s="56" t="inlineStr">
        <is>
          <t>No</t>
        </is>
      </c>
      <c r="D40" s="56" t="inlineStr"/>
      <c r="E40" s="56" t="inlineStr"/>
      <c r="F40" s="56" t="inlineStr"/>
      <c r="G40" s="56" t="inlineStr">
        <is>
          <t>No observado en el sector recorrido (por verificar en el resto del bloque).</t>
        </is>
      </c>
    </row>
    <row r="41">
      <c r="A41" s="55" t="inlineStr">
        <is>
          <t>5</t>
        </is>
      </c>
      <c r="B41" s="55" t="inlineStr">
        <is>
          <t>Quema (renovación de pastos)</t>
        </is>
      </c>
      <c r="C41" s="55" t="inlineStr">
        <is>
          <t>No</t>
        </is>
      </c>
      <c r="D41" s="55" t="inlineStr"/>
      <c r="E41" s="55" t="inlineStr"/>
      <c r="F41" s="55" t="inlineStr"/>
      <c r="G41" s="55" t="inlineStr">
        <is>
          <t>No observado en el sector recorrido (por verificar en el resto del bloque).</t>
        </is>
      </c>
    </row>
    <row r="42">
      <c r="A42" s="56" t="inlineStr">
        <is>
          <t>6</t>
        </is>
      </c>
      <c r="B42" s="56" t="inlineStr">
        <is>
          <t>Quema accidental / Incendio</t>
        </is>
      </c>
      <c r="C42" s="56" t="inlineStr">
        <is>
          <t>No</t>
        </is>
      </c>
      <c r="D42" s="56" t="inlineStr"/>
      <c r="E42" s="56" t="inlineStr"/>
      <c r="F42" s="56" t="inlineStr"/>
      <c r="G42" s="56" t="inlineStr">
        <is>
          <t>No observado en el sector recorrido (por verificar en el resto del bloque).</t>
        </is>
      </c>
    </row>
    <row r="43">
      <c r="A43" s="55" t="inlineStr">
        <is>
          <t>7</t>
        </is>
      </c>
      <c r="B43" s="55" t="inlineStr">
        <is>
          <t>Cambio de uso a agricultura</t>
        </is>
      </c>
      <c r="C43" s="55" t="inlineStr">
        <is>
          <t>No</t>
        </is>
      </c>
      <c r="D43" s="55" t="inlineStr"/>
      <c r="E43" s="55" t="inlineStr"/>
      <c r="F43" s="55" t="inlineStr"/>
      <c r="G43" s="55" t="inlineStr">
        <is>
          <t>No observado en el sector recorrido (por verificar en el resto del bloque).</t>
        </is>
      </c>
    </row>
    <row r="44">
      <c r="A44" s="56" t="inlineStr">
        <is>
          <t>8</t>
        </is>
      </c>
      <c r="B44" s="56" t="inlineStr">
        <is>
          <t>Cambio de uso a pastoreo</t>
        </is>
      </c>
      <c r="C44" s="56" t="inlineStr">
        <is>
          <t>Sí</t>
        </is>
      </c>
      <c r="D44" s="56" t="inlineStr">
        <is>
          <t>Moderada</t>
        </is>
      </c>
      <c r="E44" s="56" t="inlineStr">
        <is>
          <t>40</t>
        </is>
      </c>
      <c r="F44" s="56" t="inlineStr">
        <is>
          <t>Por determinar</t>
        </is>
      </c>
      <c r="G44" s="56" t="inlineStr">
        <is>
          <t>Conversion del matorral seco a potreros cercados de pastoreo extensivo.</t>
        </is>
      </c>
    </row>
    <row r="45">
      <c r="A45" s="55" t="inlineStr">
        <is>
          <t>9</t>
        </is>
      </c>
      <c r="B45" s="55" t="inlineStr">
        <is>
          <t>Expansión urbana / vial</t>
        </is>
      </c>
      <c r="C45" s="55" t="inlineStr">
        <is>
          <t>Sí</t>
        </is>
      </c>
      <c r="D45" s="55" t="inlineStr">
        <is>
          <t>Moderada</t>
        </is>
      </c>
      <c r="E45" s="55" t="inlineStr">
        <is>
          <t>10</t>
        </is>
      </c>
      <c r="F45" s="55" t="inlineStr">
        <is>
          <t>Por determinar</t>
        </is>
      </c>
      <c r="G45" s="55" t="inlineStr">
        <is>
          <t>Via asfaltada que atraviesa el sector sur; movimiento de tierras y nivelacion de plataformas para ocupacion/vivienda (F-08); cercos de malla y lindero predial (F-01).</t>
        </is>
      </c>
    </row>
    <row r="46">
      <c r="A46" s="56" t="inlineStr">
        <is>
          <t>10</t>
        </is>
      </c>
      <c r="B46" s="56" t="inlineStr">
        <is>
          <t>Minería informal</t>
        </is>
      </c>
      <c r="C46" s="56" t="inlineStr">
        <is>
          <t>No</t>
        </is>
      </c>
      <c r="D46" s="56" t="inlineStr"/>
      <c r="E46" s="56" t="inlineStr"/>
      <c r="F46" s="56" t="inlineStr"/>
      <c r="G46" s="56" t="inlineStr">
        <is>
          <t>No observado en el sector recorrido (por verificar en el resto del bloque).</t>
        </is>
      </c>
    </row>
    <row r="47">
      <c r="A47" s="55" t="inlineStr">
        <is>
          <t>11</t>
        </is>
      </c>
      <c r="B47" s="55" t="inlineStr">
        <is>
          <t>Extracción de áridos (cauces)</t>
        </is>
      </c>
      <c r="C47" s="55" t="inlineStr">
        <is>
          <t>No</t>
        </is>
      </c>
      <c r="D47" s="55" t="inlineStr"/>
      <c r="E47" s="55" t="inlineStr"/>
      <c r="F47" s="55" t="inlineStr"/>
      <c r="G47" s="55" t="inlineStr">
        <is>
          <t>No observado en el sector recorrido (por verificar en el resto del bloque).</t>
        </is>
      </c>
    </row>
    <row r="48">
      <c r="A48" s="56" t="inlineStr">
        <is>
          <t>12</t>
        </is>
      </c>
      <c r="B48" s="56" t="inlineStr">
        <is>
          <t>Especies invasoras</t>
        </is>
      </c>
      <c r="C48" s="56" t="inlineStr">
        <is>
          <t>No</t>
        </is>
      </c>
      <c r="D48" s="56" t="inlineStr"/>
      <c r="E48" s="56" t="inlineStr"/>
      <c r="F48" s="56" t="inlineStr"/>
      <c r="G48" s="56" t="inlineStr">
        <is>
          <t>No observado en el sector recorrido (por verificar en el resto del bloque).</t>
        </is>
      </c>
    </row>
    <row r="49">
      <c r="A49" s="55" t="inlineStr">
        <is>
          <t>13</t>
        </is>
      </c>
      <c r="B49" s="55" t="inlineStr">
        <is>
          <t>Erosión natural severa</t>
        </is>
      </c>
      <c r="C49" s="55" t="inlineStr">
        <is>
          <t>Sí</t>
        </is>
      </c>
      <c r="D49" s="55" t="inlineStr">
        <is>
          <t>Ligera</t>
        </is>
      </c>
      <c r="E49" s="55" t="inlineStr">
        <is>
          <t>10</t>
        </is>
      </c>
      <c r="F49" s="55" t="inlineStr">
        <is>
          <t>Por determinar</t>
        </is>
      </c>
      <c r="G49" s="55" t="inlineStr">
        <is>
          <t>Erosion laminar con pavimento de erosion (lavado de finos) en laderas de pastoreo; sin carcavas.</t>
        </is>
      </c>
    </row>
    <row r="50">
      <c r="A50" s="56" t="inlineStr">
        <is>
          <t>14</t>
        </is>
      </c>
      <c r="B50" s="56" t="inlineStr">
        <is>
          <t>Sequía prolongada / CC</t>
        </is>
      </c>
      <c r="C50" s="56" t="inlineStr">
        <is>
          <t>Sí</t>
        </is>
      </c>
      <c r="D50" s="56" t="inlineStr">
        <is>
          <t>Moderada</t>
        </is>
      </c>
      <c r="E50" s="56" t="inlineStr"/>
      <c r="F50" s="56" t="inlineStr">
        <is>
          <t>Por determinar</t>
        </is>
      </c>
      <c r="G50" s="56" t="inlineStr">
        <is>
          <t>Estres hidrico estacional evidente (defoliacion, dominancia de cactaceas). Requiere corroboracion con series SENAMHI y escenarios CC.</t>
        </is>
      </c>
    </row>
    <row r="51">
      <c r="A51" s="55" t="inlineStr">
        <is>
          <t>15</t>
        </is>
      </c>
      <c r="B51" s="55" t="inlineStr">
        <is>
          <t>Plagas o enfermedades forestales</t>
        </is>
      </c>
      <c r="C51" s="55" t="inlineStr">
        <is>
          <t>No</t>
        </is>
      </c>
      <c r="D51" s="55" t="inlineStr"/>
      <c r="E51" s="55" t="inlineStr"/>
      <c r="F51" s="55" t="inlineStr"/>
      <c r="G51" s="55" t="inlineStr">
        <is>
          <t>No observado en el sector recorrido (por verificar en el resto del bloque).</t>
        </is>
      </c>
    </row>
    <row r="52">
      <c r="A52" s="56" t="inlineStr">
        <is>
          <t>16</t>
        </is>
      </c>
      <c r="B52" s="56" t="inlineStr">
        <is>
          <t>Otro</t>
        </is>
      </c>
      <c r="C52" s="56" t="inlineStr"/>
      <c r="D52" s="56" t="inlineStr"/>
      <c r="E52" s="56" t="inlineStr"/>
      <c r="F52" s="56" t="inlineStr"/>
      <c r="G52" s="56" t="inlineStr">
        <is>
          <t>Ocupacion predial / cercado del bosque seco (ver N° 9). Ver observaciones.</t>
        </is>
      </c>
    </row>
    <row r="54">
      <c r="A54" s="53" t="inlineStr">
        <is>
          <t>F-DT-04 · INDICADORES CUANTITATIVOS</t>
        </is>
      </c>
    </row>
    <row r="55">
      <c r="A55" s="54" t="inlineStr">
        <is>
          <t>N.o</t>
        </is>
      </c>
      <c r="B55" s="54" t="inlineStr">
        <is>
          <t>Indicador</t>
        </is>
      </c>
      <c r="C55" s="54" t="inlineStr">
        <is>
          <t>Unidad</t>
        </is>
      </c>
      <c r="D55" s="54" t="inlineStr">
        <is>
          <t>Valor</t>
        </is>
      </c>
      <c r="E55" s="54" t="inlineStr">
        <is>
          <t>Fuente</t>
        </is>
      </c>
      <c r="F55" s="54" t="inlineStr">
        <is>
          <t>Umbral</t>
        </is>
      </c>
      <c r="G55" s="54" t="inlineStr">
        <is>
          <t>Nivel</t>
        </is>
      </c>
    </row>
    <row r="56">
      <c r="A56" s="55" t="inlineStr">
        <is>
          <t>1</t>
        </is>
      </c>
      <c r="B56" s="55" t="inlineStr">
        <is>
          <t>Cobertura vegetal total</t>
        </is>
      </c>
      <c r="C56" s="55" t="inlineStr">
        <is>
          <t>%</t>
        </is>
      </c>
      <c r="D56" s="55" t="inlineStr">
        <is>
          <t>70</t>
        </is>
      </c>
      <c r="E56" s="55" t="inlineStr">
        <is>
          <t>Estimación ocular de campo + MSAVI 2024 (0.3586)</t>
        </is>
      </c>
      <c r="F56" s="55" t="inlineStr">
        <is>
          <t>&gt;60% bueno; 30-60% medio; &lt;30% malo</t>
        </is>
      </c>
      <c r="G56" s="55" t="inlineStr">
        <is>
          <t>Alto</t>
        </is>
      </c>
    </row>
    <row r="57">
      <c r="A57" s="56" t="inlineStr">
        <is>
          <t>2</t>
        </is>
      </c>
      <c r="B57" s="56" t="inlineStr">
        <is>
          <t>Porcentaje de suelo desnudo</t>
        </is>
      </c>
      <c r="C57" s="56" t="inlineStr">
        <is>
          <t>%</t>
        </is>
      </c>
      <c r="D57" s="56" t="inlineStr">
        <is>
          <t>25</t>
        </is>
      </c>
      <c r="E57" s="56" t="inlineStr">
        <is>
          <t>Estimación ocular de campo</t>
        </is>
      </c>
      <c r="F57" s="56" t="inlineStr">
        <is>
          <t>&lt;10% bueno; 10-30% medio; &gt;30% malo</t>
        </is>
      </c>
      <c r="G57" s="56" t="inlineStr">
        <is>
          <t>Medio</t>
        </is>
      </c>
    </row>
    <row r="58">
      <c r="A58" s="55" t="inlineStr">
        <is>
          <t>3</t>
        </is>
      </c>
      <c r="B58" s="55" t="inlineStr">
        <is>
          <t>Densidad de cárcavas</t>
        </is>
      </c>
      <c r="C58" s="55" t="inlineStr">
        <is>
          <t>N°/ha</t>
        </is>
      </c>
      <c r="D58" s="55" t="inlineStr">
        <is>
          <t>0</t>
        </is>
      </c>
      <c r="E58" s="55" t="inlineStr">
        <is>
          <t>Reconocimiento de campo 02/07/2026</t>
        </is>
      </c>
      <c r="F58" s="55" t="inlineStr">
        <is>
          <t>0 nulo; 1-3 medio; &gt;3 alto</t>
        </is>
      </c>
      <c r="G58" s="55" t="inlineStr">
        <is>
          <t>Bajo</t>
        </is>
      </c>
    </row>
    <row r="59">
      <c r="A59" s="56" t="inlineStr">
        <is>
          <t>4</t>
        </is>
      </c>
      <c r="B59" s="56" t="inlineStr">
        <is>
          <t>Presencia de especies invasoras</t>
        </is>
      </c>
      <c r="C59" s="56" t="inlineStr">
        <is>
          <t>% área</t>
        </is>
      </c>
      <c r="D59" s="56" t="inlineStr">
        <is>
          <t>0</t>
        </is>
      </c>
      <c r="E59" s="56" t="inlineStr">
        <is>
          <t>Estimación ocular (no se observaron exóticas)</t>
        </is>
      </c>
      <c r="F59" s="56" t="inlineStr">
        <is>
          <t>&lt;5% bueno; 5-20% medio; &gt;20% alto</t>
        </is>
      </c>
      <c r="G59" s="56" t="inlineStr">
        <is>
          <t>Bajo</t>
        </is>
      </c>
    </row>
    <row r="60">
      <c r="A60" s="55" t="inlineStr">
        <is>
          <t>5</t>
        </is>
      </c>
      <c r="B60" s="55" t="inlineStr">
        <is>
          <t>Carga ganadera estimada</t>
        </is>
      </c>
      <c r="C60" s="55" t="inlineStr">
        <is>
          <t>UA/ha</t>
        </is>
      </c>
      <c r="D60" s="55" t="inlineStr">
        <is>
          <t>Por determinar</t>
        </is>
      </c>
      <c r="E60" s="55" t="inlineStr">
        <is>
          <t>Pendiente de cuantificación</t>
        </is>
      </c>
      <c r="F60" s="55" t="inlineStr">
        <is>
          <t>Según tipo de ecosistema</t>
        </is>
      </c>
      <c r="G60" s="55" t="inlineStr"/>
    </row>
    <row r="61">
      <c r="A61" s="56" t="inlineStr">
        <is>
          <t>6</t>
        </is>
      </c>
      <c r="B61" s="56" t="inlineStr">
        <is>
          <t>Frecuencia de quemas últimos 5 años</t>
        </is>
      </c>
      <c r="C61" s="56" t="inlineStr">
        <is>
          <t>N°</t>
        </is>
      </c>
      <c r="D61" s="56" t="inlineStr">
        <is>
          <t>Por determinar</t>
        </is>
      </c>
      <c r="E61" s="56" t="inlineStr">
        <is>
          <t>Pendiente de verificación con comuneros</t>
        </is>
      </c>
      <c r="F61" s="56" t="inlineStr">
        <is>
          <t>0 nulo; 1-2 medio; &gt;2 alto</t>
        </is>
      </c>
      <c r="G61" s="56" t="inlineStr"/>
    </row>
    <row r="62">
      <c r="A62" s="55" t="inlineStr">
        <is>
          <t>7</t>
        </is>
      </c>
      <c r="B62" s="55" t="inlineStr">
        <is>
          <t>% área con pendiente &gt;50%</t>
        </is>
      </c>
      <c r="C62" s="55" t="inlineStr">
        <is>
          <t>%</t>
        </is>
      </c>
      <c r="D62" s="55" t="inlineStr">
        <is>
          <t>Por determinar</t>
        </is>
      </c>
      <c r="E62" s="55" t="inlineStr">
        <is>
          <t>Requiere cálculo con DEM</t>
        </is>
      </c>
      <c r="F62" s="55" t="inlineStr">
        <is>
          <t>Factor de susceptibilidad</t>
        </is>
      </c>
      <c r="G62" s="55" t="inlineStr"/>
    </row>
    <row r="63">
      <c r="A63" s="56" t="inlineStr">
        <is>
          <t>8</t>
        </is>
      </c>
      <c r="B63" s="56" t="inlineStr">
        <is>
          <t>Distancia a vía vecinal más cercana</t>
        </is>
      </c>
      <c r="C63" s="56" t="inlineStr">
        <is>
          <t>m</t>
        </is>
      </c>
      <c r="D63" s="56" t="inlineStr">
        <is>
          <t>0</t>
        </is>
      </c>
      <c r="E63" s="56" t="inlineStr">
        <is>
          <t>Vía asfaltada atraviesa el sector sur del bloque</t>
        </is>
      </c>
      <c r="F63" s="56" t="inlineStr">
        <is>
          <t>A menor distancia → mayor presión</t>
        </is>
      </c>
      <c r="G63" s="56" t="inlineStr">
        <is>
          <t>Alto</t>
        </is>
      </c>
    </row>
    <row r="65">
      <c r="A65" s="53" t="inlineStr">
        <is>
          <t>F-DT-05 · FUENTES DE AGUA INVENTARIADAS</t>
        </is>
      </c>
    </row>
    <row r="66">
      <c r="A66" s="54" t="inlineStr">
        <is>
          <t>N.o</t>
        </is>
      </c>
      <c r="B66" s="54" t="inlineStr">
        <is>
          <t>Tipo de fuente</t>
        </is>
      </c>
      <c r="C66" s="54" t="inlineStr">
        <is>
          <t>UTM ESTE</t>
        </is>
      </c>
      <c r="D66" s="54" t="inlineStr">
        <is>
          <t>UTM NORTE</t>
        </is>
      </c>
      <c r="E66" s="54" t="inlineStr">
        <is>
          <t>Régimen</t>
        </is>
      </c>
      <c r="F66" s="54" t="inlineStr">
        <is>
          <t>Calidad</t>
        </is>
      </c>
      <c r="G66" s="54" t="inlineStr">
        <is>
          <t>Distancia (m)</t>
        </is>
      </c>
      <c r="H66" s="54" t="inlineStr">
        <is>
          <t>Uso / observación</t>
        </is>
      </c>
    </row>
    <row r="67">
      <c r="A67" s="55" t="inlineStr">
        <is>
          <t>1</t>
        </is>
      </c>
      <c r="B67" s="55" t="inlineStr">
        <is>
          <t>Río</t>
        </is>
      </c>
      <c r="C67" s="60" t="n">
        <v>603900</v>
      </c>
      <c r="D67" s="60" t="n">
        <v>9439300</v>
      </c>
      <c r="E67" s="55" t="inlineStr"/>
      <c r="F67" s="55" t="inlineStr">
        <is>
          <t>No evaluable</t>
        </is>
      </c>
      <c r="G67" s="55" t="n"/>
      <c r="H67" s="55" t="inlineStr">
        <is>
          <t>Curso principal de cauce ancho y trenzado al E/SE del bloque (imagen satelital Google Earth). Nombre, regimen, calidad y distancia POR VERIFICAR.</t>
        </is>
      </c>
    </row>
    <row r="68">
      <c r="A68" s="56" t="inlineStr">
        <is>
          <t>2</t>
        </is>
      </c>
      <c r="B68" s="56" t="inlineStr">
        <is>
          <t>Quebrada estacional</t>
        </is>
      </c>
      <c r="C68" s="61" t="n">
        <v>603300</v>
      </c>
      <c r="D68" s="61" t="n">
        <v>9439600</v>
      </c>
      <c r="E68" s="56" t="inlineStr"/>
      <c r="F68" s="56" t="inlineStr">
        <is>
          <t>No evaluable</t>
        </is>
      </c>
      <c r="G68" s="56" t="n"/>
      <c r="H68" s="56" t="inlineStr">
        <is>
          <t>Quebrada tributaria seca que diseca el bloque (imagen satelital). Ubicacion aproximada; regimen y distancia POR VERIFICAR.</t>
        </is>
      </c>
    </row>
    <row r="71">
      <c r="A71" s="53" t="inlineStr">
        <is>
          <t>OBSERVACIONES DEL EVALUADOR POR FICHA</t>
        </is>
      </c>
    </row>
    <row r="72">
      <c r="A72" s="54" t="inlineStr">
        <is>
          <t>Ficha</t>
        </is>
      </c>
      <c r="B72" s="54" t="inlineStr">
        <is>
          <t>Observación registrada en campo</t>
        </is>
      </c>
    </row>
    <row r="73">
      <c r="A73" s="55" t="inlineStr">
        <is>
          <t>F-DT-01</t>
        </is>
      </c>
      <c r="B73" s="55" t="inlineStr">
        <is>
          <t>Verificacion de campo del 02/07/2026, sector sur/acceso del bloque (602 380 - 602 922 E / 9 438 047 - 9 438 253 N). Altitud GPS no registrada por la aplicacion fotografica: POR DETERMINAR. Perfil de elevacion Google Earth de transecto referencial (1.79 km): elevacion 131-325 msnm (media 219 msnm), pendiente media 13.7 %, maxima 34.9 %. Centroide del bloque (catalogo Bloques V5): 603 652.81 E / 9 439 351.37 N; area 330.599 ha; microcuenca C1096-Q9558. Forma del terreno, rango de pendiente, posicion fisiografica y exposicion son JUICIO EXPERTO sobre el sector recorrido: requieren confirmacion con DEM para el poligono completo. No se observaron remociones en masa activas, escarpes activos ni reptacion en el sector recorrido; no se observaron afloramientos rocosos (si pedregosidad superficial abundante). C.P. de referencia INEI: Balcones de Talandracas (691 hab., 602 137 E / 9 437 858 N); tambien proximos C.P. Papelillo y Pueblo Nuevo de Talandracas.</t>
        </is>
      </c>
    </row>
    <row r="74">
      <c r="A74" s="56" t="inlineStr">
        <is>
          <t>F-DT-02</t>
        </is>
      </c>
      <c r="B74" s="56" t="inlineStr">
        <is>
          <t>Recorrido de reconocimiento: NO se registraron carcavas ni surcos incipientes en el sector visitado; el inventario georreferenciado (seccion 3) queda vacio por ausencia de rasgos observados, no por falta de levantamiento. Patron de carcavas dominante: no aplica (0 carcavas). Se observa erosion laminar con pavimento de erosion (concentracion superficial de gravas y cantos rodados por lavado de finos), asociada a compactacion por pisoteo de ganado y a suelo desnudo en areas cercadas sobrepastoreadas. Erosion laminar (20 %) y % de bloque afectado son ESTIMACION OCULAR sujeta a revision. Dimensiones instrumentales, densidad de carcavas por hectarea y longitud acumulada quedan pendientes de levantamiento por el especialista de Infraestructura Marron. Se registra ademas erosion inducida por movimiento de tierras y nivelacion de plataformas junto a la via asfaltada (602 388 E / 9 438 061 N). Altitud del punto de muestreo: POR DETERMINAR.</t>
        </is>
      </c>
    </row>
    <row r="75">
      <c r="A75" s="55" t="inlineStr">
        <is>
          <t>F-DT-05</t>
        </is>
      </c>
      <c r="B75" s="55" t="inlineStr">
        <is>
          <t>No se identificaron manantiales, puquios ni captaciones poblacionales dentro del sector recorrido. Las dos fuentes registradas se derivan de fotointerpretacion satelital (Google Earth, imagen 12/06/2023): coordenadas APROXIMADAS, regimen y distancia al bloque POR VERIFICAR en campo. Distancia a captacion poblacional, nombre de la JASS, tiempos de viaje desde capital distrital/provincial, senial y operador celular, alojamiento rural y contacto de la Ronda Campesina: POR DETERMINAR. La ausencia de restriccion de Ronda Campesina se consigna como "No" por no haberse presentado restriccion durante el recorrido, pero queda POR CONFIRMAR con las autoridades de los CC.PP. de referencia. El bloque se ubica en zona de origen y recarga de la microcuenca C1096-Q9558; se infiere escorrentia concentrada por la red de quebradas secas visible en imagen satelital. ADVERTENCIA PREDIAL: el sector sur presenta linderos de propiedad privada, cercos de alambre de pua y movimiento de tierras para ocupacion, lo que condiciona la disponibilidad efectiva del area.</t>
        </is>
      </c>
    </row>
  </sheetData>
  <mergeCells count="5">
    <mergeCell ref="A2:I2"/>
    <mergeCell ref="A5:I5"/>
    <mergeCell ref="A1:I1"/>
    <mergeCell ref="A3:I3"/>
    <mergeCell ref="A4:I4"/>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102"/>
  <sheetViews>
    <sheetView workbookViewId="0">
      <selection activeCell="A1" sqref="A1"/>
    </sheetView>
  </sheetViews>
  <sheetFormatPr baseColWidth="8" defaultRowHeight="15"/>
  <cols>
    <col width="44" customWidth="1" min="1" max="1"/>
    <col width="18" customWidth="1" min="2" max="2"/>
  </cols>
  <sheetData>
    <row r="1">
      <c r="A1" s="50" t="inlineStr">
        <is>
          <t>AUTORIDAD NACIONAL DE INFRAESTRUCTURA - ANIN</t>
        </is>
      </c>
    </row>
    <row r="2">
      <c r="A2" s="50" t="inlineStr">
        <is>
          <t>DIRECCION DE INTERVENCIONES MULTISECTORIALES Y DE EMERGENCIA - DIME</t>
        </is>
      </c>
    </row>
    <row r="3">
      <c r="A3" s="50" t="inlineStr">
        <is>
          <t>SUBDIRECCION DE ESTUDIOS DE INVERSION - SESDI</t>
        </is>
      </c>
    </row>
    <row r="4">
      <c r="A4" s="51" t="inlineStr">
        <is>
          <t>PROYECTO IN PIURA | CUI 2669244 | Recuperacion del servicio de regulacion de riesgos naturales y de ecosistemas degradados - Cuenca Alta del Rio Piura</t>
        </is>
      </c>
    </row>
    <row r="5" ht="22" customHeight="1">
      <c r="A5" s="52" t="inlineStr">
        <is>
          <t>GRÁFICOS DE LA INTEGRACIÓN — BLOQUE 2</t>
        </is>
      </c>
    </row>
    <row r="7">
      <c r="A7" s="53" t="inlineStr">
        <is>
          <t>Hechos declarados por fuente</t>
        </is>
      </c>
    </row>
    <row r="8">
      <c r="A8" s="54" t="inlineStr">
        <is>
          <t>Fuente</t>
        </is>
      </c>
      <c r="B8" s="54" t="inlineStr">
        <is>
          <t>Hechos</t>
        </is>
      </c>
    </row>
    <row r="9">
      <c r="A9" s="55" t="inlineStr">
        <is>
          <t>Dato de campo</t>
        </is>
      </c>
      <c r="B9" s="55" t="n">
        <v>67</v>
      </c>
    </row>
    <row r="10">
      <c r="A10" s="56" t="inlineStr">
        <is>
          <t>Gabinete (GIS / teledetección)</t>
        </is>
      </c>
      <c r="B10" s="56" t="n">
        <v>21</v>
      </c>
    </row>
    <row r="11">
      <c r="A11" s="55" t="inlineStr">
        <is>
          <t>Fuente oficial</t>
        </is>
      </c>
      <c r="B11" s="55" t="n">
        <v>14</v>
      </c>
    </row>
    <row r="28">
      <c r="A28" s="53" t="inlineStr">
        <is>
          <t>Estado del cruce entre fuentes</t>
        </is>
      </c>
    </row>
    <row r="29">
      <c r="A29" s="54" t="inlineStr">
        <is>
          <t>Estado</t>
        </is>
      </c>
      <c r="B29" s="54" t="inlineStr">
        <is>
          <t>Hechos</t>
        </is>
      </c>
    </row>
    <row r="30">
      <c r="A30" s="55" t="inlineStr">
        <is>
          <t>CONFORME</t>
        </is>
      </c>
      <c r="B30" s="55" t="n">
        <v>100</v>
      </c>
    </row>
    <row r="31">
      <c r="A31" s="56" t="inlineStr">
        <is>
          <t>COMPLEMENTADO</t>
        </is>
      </c>
      <c r="B31" s="56" t="n">
        <v>0</v>
      </c>
    </row>
    <row r="32">
      <c r="A32" s="55" t="inlineStr">
        <is>
          <t>ACTUALIZADO</t>
        </is>
      </c>
      <c r="B32" s="55" t="n">
        <v>2</v>
      </c>
    </row>
    <row r="33">
      <c r="A33" s="56" t="inlineStr">
        <is>
          <t>DISCREPANTE</t>
        </is>
      </c>
      <c r="B33" s="56" t="n">
        <v>0</v>
      </c>
    </row>
    <row r="34">
      <c r="A34" s="55" t="inlineStr">
        <is>
          <t>PENDIENTE</t>
        </is>
      </c>
      <c r="B34" s="55" t="n">
        <v>12</v>
      </c>
    </row>
    <row r="51">
      <c r="A51" s="53" t="inlineStr">
        <is>
          <t>Cobertura por estrato — campo (%)</t>
        </is>
      </c>
    </row>
    <row r="52">
      <c r="A52" s="54" t="inlineStr">
        <is>
          <t>Estrato</t>
        </is>
      </c>
      <c r="B52" s="54" t="inlineStr">
        <is>
          <t>% del área</t>
        </is>
      </c>
    </row>
    <row r="53">
      <c r="A53" s="55" t="inlineStr">
        <is>
          <t>Dosel</t>
        </is>
      </c>
      <c r="B53" s="60" t="n">
        <v>15</v>
      </c>
    </row>
    <row r="54">
      <c r="A54" s="56" t="inlineStr">
        <is>
          <t>Arbustiva</t>
        </is>
      </c>
      <c r="B54" s="61" t="n">
        <v>45</v>
      </c>
    </row>
    <row r="55">
      <c r="A55" s="55" t="inlineStr">
        <is>
          <t>Herbácea</t>
        </is>
      </c>
      <c r="B55" s="60" t="n">
        <v>10</v>
      </c>
    </row>
    <row r="56">
      <c r="A56" s="56" t="inlineStr">
        <is>
          <t>Suelo desnudo</t>
        </is>
      </c>
      <c r="B56" s="61" t="n">
        <v>25</v>
      </c>
    </row>
    <row r="73">
      <c r="A73" s="53" t="inlineStr">
        <is>
          <t>Causas activas de degradación (F-DT-04)</t>
        </is>
      </c>
    </row>
    <row r="74">
      <c r="A74" s="54" t="inlineStr">
        <is>
          <t>Causa</t>
        </is>
      </c>
      <c r="B74" s="54" t="inlineStr">
        <is>
          <t>Intensidad (1 ligera - 4 muy fuerte)</t>
        </is>
      </c>
    </row>
    <row r="75">
      <c r="A75" s="55" t="inlineStr">
        <is>
          <t>Cambio de uso a pastoreo</t>
        </is>
      </c>
      <c r="B75" s="55" t="n">
        <v>2</v>
      </c>
    </row>
    <row r="76">
      <c r="A76" s="56" t="inlineStr">
        <is>
          <t>Expansión urbana / vial</t>
        </is>
      </c>
      <c r="B76" s="56" t="n">
        <v>2</v>
      </c>
    </row>
    <row r="77">
      <c r="A77" s="55" t="inlineStr">
        <is>
          <t>Sequía prolongada / CC</t>
        </is>
      </c>
      <c r="B77" s="55" t="n">
        <v>2</v>
      </c>
    </row>
    <row r="78">
      <c r="A78" s="56" t="inlineStr">
        <is>
          <t>Sobrepastoreo (caprino/vacuno)</t>
        </is>
      </c>
      <c r="B78" s="56" t="n">
        <v>2</v>
      </c>
    </row>
    <row r="79">
      <c r="A79" s="55" t="inlineStr">
        <is>
          <t>Erosión natural severa</t>
        </is>
      </c>
      <c r="B79" s="55" t="n">
        <v>1</v>
      </c>
    </row>
    <row r="80">
      <c r="A80" s="56" t="inlineStr">
        <is>
          <t>Tala para leña</t>
        </is>
      </c>
      <c r="B80" s="56" t="n">
        <v>1</v>
      </c>
    </row>
    <row r="97">
      <c r="A97" s="53" t="inlineStr">
        <is>
          <t>Control de consistencia por calificación</t>
        </is>
      </c>
    </row>
    <row r="98">
      <c r="A98" s="54" t="inlineStr">
        <is>
          <t>Calificación</t>
        </is>
      </c>
      <c r="B98" s="54" t="inlineStr">
        <is>
          <t>Verificaciones</t>
        </is>
      </c>
    </row>
    <row r="99">
      <c r="A99" s="55" t="inlineStr">
        <is>
          <t>SUSTANTIVA</t>
        </is>
      </c>
      <c r="B99" s="55" t="n">
        <v>2</v>
      </c>
    </row>
    <row r="100">
      <c r="A100" s="56" t="inlineStr">
        <is>
          <t>NO SUSTANTIVA</t>
        </is>
      </c>
      <c r="B100" s="56" t="n">
        <v>3</v>
      </c>
    </row>
    <row r="101">
      <c r="A101" s="55" t="inlineStr">
        <is>
          <t>CORREGIDO</t>
        </is>
      </c>
      <c r="B101" s="55" t="n">
        <v>2</v>
      </c>
    </row>
    <row r="102">
      <c r="A102" s="56" t="inlineStr">
        <is>
          <t>CONFORME</t>
        </is>
      </c>
      <c r="B102" s="56" t="n">
        <v>11</v>
      </c>
    </row>
  </sheetData>
  <mergeCells count="5">
    <mergeCell ref="A1:H1"/>
    <mergeCell ref="A4:H4"/>
    <mergeCell ref="A3:H3"/>
    <mergeCell ref="A2:H2"/>
    <mergeCell ref="A5:H5"/>
  </mergeCells>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ANIN - DIME - SESDI | Proyecto IN Piura (CUI 2669244)</dc:creator>
  <dc:title>Plantilla Excel — Bloque 2 — IN Piura</dc:title>
  <dc:subject>Diagnóstico Territorial por bloque de intervención</dc:subject>
  <dcterms:created xsi:type="dcterms:W3CDTF">2026-09-08T03:39:53Z</dcterms:created>
  <dcterms:modified xsi:type="dcterms:W3CDTF">2026-09-11T20:22:26Z</dcterms:modified>
</cp:coreProperties>
</file>