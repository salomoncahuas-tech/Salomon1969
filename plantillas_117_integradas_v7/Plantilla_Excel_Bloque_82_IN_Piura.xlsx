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integración'!$A$66:$A$73</f>
            </numRef>
          </cat>
          <val>
            <numRef>
              <f>'Gráficos de integración'!$B$66:$B$73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82</t>
        </is>
      </c>
    </row>
    <row r="6" ht="24" customHeight="1">
      <c r="A6" s="4" t="inlineStr">
        <is>
          <t>Diagnóstico Territorial — Plantilla DT Campo Check Validada V5 | Sistema de referencia: UTM WGS 84 Zona 17S (EPSG:32717) · Integrado con la ficha de campo F-DT vigente (Plantilla_DT_Campo_Check_Validada_V5 Bloque 82.xlsx) — V7 - resumen V6 + campo F-DT integrado</t>
        </is>
      </c>
    </row>
    <row r="7"/>
    <row r="8" ht="18" customHeight="1">
      <c r="A8" s="5" t="inlineStr">
        <is>
          <t>1. IDENTIFICACIÓN Y LOCALIZACIÓN</t>
        </is>
      </c>
    </row>
    <row r="9">
      <c r="A9" s="6" t="inlineStr">
        <is>
          <t>Código del bloque</t>
        </is>
      </c>
      <c r="B9" s="7" t="inlineStr">
        <is>
          <t>82</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Santa Fe de Portachuelo</t>
        </is>
      </c>
      <c r="C13" s="6" t="inlineStr">
        <is>
          <t>Comunidad campesina</t>
        </is>
      </c>
      <c r="D13" s="7" t="inlineStr">
        <is>
          <t>Por verificar (predios particulares)</t>
        </is>
      </c>
      <c r="E13" s="8" t="n"/>
      <c r="F13" s="8" t="n"/>
    </row>
    <row r="14">
      <c r="A14" s="6" t="inlineStr">
        <is>
          <t>Superficie de catálogo (V5/V6), ha</t>
        </is>
      </c>
      <c r="B14" s="7" t="n">
        <v>35.66</v>
      </c>
      <c r="C14" s="6" t="inlineStr">
        <is>
          <t>Fuente de superficie</t>
        </is>
      </c>
      <c r="D14" s="7" t="inlineStr">
        <is>
          <t>Catálogo maestro Bloques V5/V6</t>
        </is>
      </c>
      <c r="E14" s="8" t="n"/>
      <c r="F14" s="8" t="n"/>
    </row>
    <row r="15">
      <c r="A15" s="6" t="inlineStr">
        <is>
          <t>Centroide UTM ESTE (m)</t>
        </is>
      </c>
      <c r="B15" s="7" t="n">
        <v>621452</v>
      </c>
      <c r="C15" s="6" t="inlineStr">
        <is>
          <t>Centroide UTM NORTE (m)</t>
        </is>
      </c>
      <c r="D15" s="7" t="n">
        <v>9443855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1796</v>
      </c>
      <c r="C19" s="6" t="inlineStr">
        <is>
          <t>Altitud máxima (msnm)</t>
        </is>
      </c>
      <c r="D19" s="7" t="n">
        <v>2098</v>
      </c>
      <c r="E19" s="8" t="n"/>
      <c r="F19" s="8" t="n"/>
    </row>
    <row r="20">
      <c r="A20" s="6" t="inlineStr">
        <is>
          <t>Amplitud altitudinal (m)</t>
        </is>
      </c>
      <c r="B20" s="7" t="n">
        <v>302</v>
      </c>
      <c r="C20" s="6" t="inlineStr">
        <is>
          <t>Piso altitudinal dominante</t>
        </is>
      </c>
      <c r="D20" s="7" t="inlineStr">
        <is>
          <t>1500-2000 m (Quechua media)</t>
        </is>
      </c>
      <c r="E20" s="8" t="n"/>
      <c r="F20" s="8" t="n"/>
    </row>
    <row r="21">
      <c r="A21" s="6" t="inlineStr">
        <is>
          <t>Pendiente promedio (%)</t>
        </is>
      </c>
      <c r="B21" s="7" t="n">
        <v>23.55</v>
      </c>
      <c r="C21" s="6" t="inlineStr">
        <is>
          <t>Pendiente promedio (grados)</t>
        </is>
      </c>
      <c r="D21" s="7" t="n">
        <v>13.3</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51" t="inlineStr">
        <is>
          <t>Sin registro en ficha</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0.6283</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(90.07 %)</t>
        </is>
      </c>
      <c r="E29" s="8" t="n"/>
      <c r="F29" s="8" t="n"/>
    </row>
    <row r="30">
      <c r="A30" s="6" t="inlineStr">
        <is>
          <t>Superficie clasificada NDVI 2025 (ha)</t>
        </is>
      </c>
      <c r="B30" s="7" t="n">
        <v>35.677</v>
      </c>
      <c r="C30" s="6" t="inlineStr">
        <is>
          <t>Desviación frente al catálogo (%)</t>
        </is>
      </c>
      <c r="D30" s="7" t="n">
        <v>0.05</v>
      </c>
      <c r="E30" s="8" t="n"/>
      <c r="F30" s="8" t="n"/>
    </row>
    <row r="31">
      <c r="A31" s="6" t="inlineStr">
        <is>
          <t>Superficie clasificada MSAVI 2024 (ha)</t>
        </is>
      </c>
      <c r="B31" s="39" t="n">
        <v>35.661</v>
      </c>
      <c r="C31" s="6" t="inlineStr">
        <is>
          <t>Desviación MSAVI frente al catálogo (%)</t>
        </is>
      </c>
      <c r="D31" s="40" t="n">
        <v>0</v>
      </c>
      <c r="E31" s="8" t="n"/>
      <c r="F31" s="8" t="n"/>
    </row>
    <row r="32">
      <c r="A32" s="6" t="inlineStr">
        <is>
          <t>Superficie bajo umbral MSAVI 0.4976 (ha)</t>
        </is>
      </c>
      <c r="B32" s="39" t="n">
        <v>4.52</v>
      </c>
      <c r="C32" s="6" t="inlineStr">
        <is>
          <t>% del bloque bajo umbral (brecha espectral)</t>
        </is>
      </c>
      <c r="D32" s="40" t="n">
        <v>12.67</v>
      </c>
      <c r="E32" s="8" t="n"/>
      <c r="F32" s="8" t="n"/>
    </row>
    <row r="33">
      <c r="A33" s="6" t="inlineStr">
        <is>
          <t>Clase DN dominante (MSAVI 2024)</t>
        </is>
      </c>
      <c r="B33" s="7" t="inlineStr">
        <is>
          <t>DN 5 · &gt; 0.6139 (Vigor alto)</t>
        </is>
      </c>
      <c r="C33" s="6" t="inlineStr">
        <is>
          <t>N.° de polígonos MSAVI del bloque</t>
        </is>
      </c>
      <c r="D33" s="41" t="n">
        <v>119</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35.66 ha totales — Matorral andino (Ma) 25.14 ha; Zona agrícola (Agri) 7.37 ha; Bosque relicto montano de vertiente occidental (Br-mvoc) 3.15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80</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 Ing. Pedro Talledo Hernández / Ing. Juan Carlos Domínguez Varas (ANIN-DIME-SESDI)</t>
        </is>
      </c>
      <c r="C44" s="6" t="inlineStr">
        <is>
          <t>Fecha de evaluación</t>
        </is>
      </c>
      <c r="D44" s="7" t="inlineStr">
        <is>
          <t>2026-06-10</t>
        </is>
      </c>
      <c r="E44" s="8" t="n"/>
      <c r="F44" s="8" t="n"/>
    </row>
    <row r="45">
      <c r="A45" s="6" t="inlineStr">
        <is>
          <t>Hora de registro</t>
        </is>
      </c>
      <c r="B45" s="51" t="inlineStr">
        <is>
          <t>11:30 a. m.</t>
        </is>
      </c>
      <c r="C45" s="6" t="inlineStr">
        <is>
          <t>Correlativo de ficha</t>
        </is>
      </c>
      <c r="D45" s="7" t="inlineStr">
        <is>
          <t>F-DT-82-2026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(sin parcela permanente)</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sostenida sobre laderas de fuerte pendiente,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17.0356</v>
      </c>
      <c r="C10" s="31">
        <f>ROUND(B10/$B$15*100,2)</f>
        <v/>
      </c>
      <c r="D10" s="12" t="inlineStr">
        <is>
          <t>Vigor alto</t>
        </is>
      </c>
      <c r="E10" s="12" t="inlineStr">
        <is>
          <t>Sobre umbral</t>
        </is>
      </c>
    </row>
    <row r="11">
      <c r="A11" s="13" t="inlineStr">
        <is>
          <t>0.4976 - 0.6139 · DN 4</t>
        </is>
      </c>
      <c r="B11" s="20" t="n">
        <v>14.1057</v>
      </c>
      <c r="C11" s="21">
        <f>ROUND(B11/$B$15*100,2)</f>
        <v/>
      </c>
      <c r="D11" s="14" t="inlineStr">
        <is>
          <t>Vigor moderado</t>
        </is>
      </c>
      <c r="E11" s="14" t="inlineStr">
        <is>
          <t>Sobre umbral</t>
        </is>
      </c>
    </row>
    <row r="12">
      <c r="A12" s="7" t="inlineStr">
        <is>
          <t>0.3813 - 0.4976 · DN 3</t>
        </is>
      </c>
      <c r="B12" s="18" t="n">
        <v>4.5199</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4" t="inlineStr">
        <is>
          <t>TOTAL CLASIFICADO MSAVI 2024</t>
        </is>
      </c>
      <c r="B15" s="45">
        <f>SUM(B10:B14)</f>
        <v/>
      </c>
      <c r="C15" s="46">
        <f>SUM(C10:C14)</f>
        <v/>
      </c>
      <c r="D15" s="44" t="inlineStr">
        <is>
          <t>Suma de la distribución areal · 119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35.66</v>
      </c>
      <c r="C18" s="50" t="inlineStr">
        <is>
          <t>—</t>
        </is>
      </c>
      <c r="D18" s="47" t="inlineStr">
        <is>
          <t>Desviación planimétrica frente al catálogo</t>
        </is>
      </c>
      <c r="E18" s="47" t="inlineStr">
        <is>
          <t>+0.00 %</t>
        </is>
      </c>
    </row>
    <row r="19">
      <c r="A19" s="16" t="inlineStr">
        <is>
          <t>MSAVI 2024 — MEDIA DEL BLOQUE</t>
        </is>
      </c>
      <c r="B19" s="17" t="n">
        <v>0.62835</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119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(0.6283)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32.1344</v>
      </c>
      <c r="C25" s="19" t="n">
        <v>90.06999999999999</v>
      </c>
      <c r="D25" s="15" t="inlineStr">
        <is>
          <t>Dosel continuo, matorral denso o mosaico agroforestal</t>
        </is>
      </c>
      <c r="E25" s="15" t="inlineStr"/>
    </row>
    <row r="26">
      <c r="A26" s="13" t="inlineStr">
        <is>
          <t>Vegetación mediana</t>
        </is>
      </c>
      <c r="B26" s="20" t="n">
        <v>3.5423</v>
      </c>
      <c r="C26" s="21" t="n">
        <v>9.93</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35.66</v>
      </c>
      <c r="C28" s="25" t="inlineStr">
        <is>
          <t>—</t>
        </is>
      </c>
      <c r="D28" s="25" t="inlineStr">
        <is>
          <t>Desviación planimétrica frente al catálogo</t>
        </is>
      </c>
      <c r="E28" s="25" t="inlineStr">
        <is>
          <t>+0.05 %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90.07 % del polígono clasificado como «Vegetación alta» por el NDVI 2025; la observación de campo corresponde a una parcela o recorrido puntual y no es estadísticamente representativa de las 35.660 ha del bloque.</t>
        </is>
      </c>
      <c r="B30" s="42" t="n"/>
      <c r="C30" s="42" t="n"/>
      <c r="D30" s="42" t="n"/>
      <c r="E30" s="43"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82</t>
        </is>
      </c>
    </row>
    <row r="6" ht="24" customHeight="1">
      <c r="A6" s="4" t="inlineStr">
        <is>
          <t>Levantamiento del 2026-06-10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621160</v>
      </c>
      <c r="D10" s="26" t="n">
        <v>9444038</v>
      </c>
      <c r="E10" s="15" t="n">
        <v>344.6</v>
      </c>
      <c r="F10" s="15" t="inlineStr"/>
      <c r="G10" s="15" t="inlineStr">
        <is>
          <t>Coordenada consignada en F-DT-01</t>
        </is>
      </c>
    </row>
    <row r="11">
      <c r="A11" s="13" t="inlineStr">
        <is>
          <t>C-01</t>
        </is>
      </c>
      <c r="B11" s="14" t="inlineStr">
        <is>
          <t>Rasgo erosivo — Por determinar</t>
        </is>
      </c>
      <c r="C11" s="27" t="n">
        <v>621081</v>
      </c>
      <c r="D11" s="27" t="n">
        <v>9444077</v>
      </c>
      <c r="E11" s="14" t="n">
        <v>432.3</v>
      </c>
      <c r="F11" s="14" t="inlineStr">
        <is>
          <t>Activa</t>
        </is>
      </c>
      <c r="G11" s="14" t="inlineStr">
        <is>
          <t>Otro (talud de corte de trocha)</t>
        </is>
      </c>
    </row>
    <row r="12">
      <c r="A12" s="7" t="inlineStr">
        <is>
          <t>C-02</t>
        </is>
      </c>
      <c r="B12" s="15" t="inlineStr">
        <is>
          <t>Rasgo erosivo — Por determinar</t>
        </is>
      </c>
      <c r="C12" s="26" t="n">
        <v>621119</v>
      </c>
      <c r="D12" s="26" t="n">
        <v>9444053</v>
      </c>
      <c r="E12" s="15" t="n">
        <v>387.4</v>
      </c>
      <c r="F12" s="15" t="inlineStr">
        <is>
          <t>Activa</t>
        </is>
      </c>
      <c r="G12" s="15" t="inlineStr">
        <is>
          <t>Por determinar</t>
        </is>
      </c>
    </row>
    <row r="13">
      <c r="A13" s="13" t="inlineStr">
        <is>
          <t>C-03</t>
        </is>
      </c>
      <c r="B13" s="14" t="inlineStr">
        <is>
          <t>Rasgo erosivo — Por determinar</t>
        </is>
      </c>
      <c r="C13" s="27" t="n">
        <v>621188</v>
      </c>
      <c r="D13" s="27" t="n">
        <v>9444024</v>
      </c>
      <c r="E13" s="14" t="n">
        <v>313.5</v>
      </c>
      <c r="F13" s="14" t="inlineStr">
        <is>
          <t>Semi-activa</t>
        </is>
      </c>
      <c r="G13" s="14" t="inlineStr">
        <is>
          <t>Quema</t>
        </is>
      </c>
    </row>
    <row r="14">
      <c r="A14" s="7" t="inlineStr">
        <is>
          <t>H-01</t>
        </is>
      </c>
      <c r="B14" s="15" t="inlineStr">
        <is>
          <t>Fuente de agua — Quebrada estacional</t>
        </is>
      </c>
      <c r="C14" s="26" t="n">
        <v>621000</v>
      </c>
      <c r="D14" s="26" t="n">
        <v>9443900</v>
      </c>
      <c r="E14" s="15" t="n">
        <v>454.2</v>
      </c>
      <c r="F14" s="15" t="inlineStr">
        <is>
          <t>Estacional</t>
        </is>
      </c>
      <c r="G14" s="15" t="inlineStr">
        <is>
          <t>Quebrada tributaria</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621452</v>
      </c>
      <c r="C17" s="6" t="inlineStr">
        <is>
          <t>Centroide del bloque — UTM NORTE (m)</t>
        </is>
      </c>
      <c r="D17" s="7" t="n">
        <v>9443855</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32"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media del recorrido 34.6% y máxima 55.3% (perfil Google Earth, longitud ≈554 m, cotas 1 833-2 029 msnm). LAS EVIDENCIAS DE INESTABILIDAD (escarpes y desprendimientos) SE CONCENTRAN EN LOS TALUDES DE CORTE DE LA TROCHA AFIRMADA (periferia/franja vial), NO EN LA SUPERFICIE NATURAL DEL BLOQUE. Coordenadas fotográficas pueden presentar leve error por señal GPS de celular. Bloque seleccionado por su rol en la REGULACIÓN DE MOVIMIENTOS EN MASA Y DE LA ESCORRENTÍA en la zona de origen de los peligros (cabecera de microcuenca). TIPO DE INTERVENCIÓN: REVEGETACIÓN (no restauración).</t>
        </is>
      </c>
      <c r="B20" s="42" t="n"/>
      <c r="C20" s="42" t="n"/>
      <c r="D20" s="42" t="n"/>
      <c r="E20" s="42" t="n"/>
      <c r="F20" s="42" t="n"/>
      <c r="G20" s="43"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82</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5" t="inlineStr">
        <is>
          <t>672 – 2244</t>
        </is>
      </c>
      <c r="E10" s="15" t="n">
        <v>1572</v>
      </c>
      <c r="F10" s="15" t="n">
        <v>27.41</v>
      </c>
      <c r="G10" s="18" t="n">
        <v>0.7067</v>
      </c>
      <c r="H10" s="19" t="n">
        <v>99.93000000000001</v>
      </c>
      <c r="I10" s="19" t="n">
        <v>0.07000000000000001</v>
      </c>
    </row>
    <row r="11">
      <c r="A11" s="13" t="inlineStr">
        <is>
          <t>11</t>
        </is>
      </c>
      <c r="B11" s="29" t="n">
        <v>103.95</v>
      </c>
      <c r="C11" s="21" t="n">
        <v>12.17</v>
      </c>
      <c r="D11" s="14" t="inlineStr">
        <is>
          <t>1375 – 1928</t>
        </is>
      </c>
      <c r="E11" s="14" t="n">
        <v>553</v>
      </c>
      <c r="F11" s="14" t="n">
        <v>32.19</v>
      </c>
      <c r="G11" s="20" t="n">
        <v>0.6047</v>
      </c>
      <c r="H11" s="21" t="n">
        <v>75.28</v>
      </c>
      <c r="I11" s="21" t="n">
        <v>11.34</v>
      </c>
    </row>
    <row r="12">
      <c r="A12" s="7" t="inlineStr">
        <is>
          <t>17</t>
        </is>
      </c>
      <c r="B12" s="28" t="n">
        <v>96.08</v>
      </c>
      <c r="C12" s="19" t="n">
        <v>11.25</v>
      </c>
      <c r="D12" s="15" t="inlineStr">
        <is>
          <t>1253 – 1880</t>
        </is>
      </c>
      <c r="E12" s="15" t="n">
        <v>627</v>
      </c>
      <c r="F12" s="15" t="n">
        <v>35.56</v>
      </c>
      <c r="G12" s="18" t="n">
        <v>0.6479</v>
      </c>
      <c r="H12" s="19" t="n">
        <v>88.68000000000001</v>
      </c>
      <c r="I12" s="19" t="n">
        <v>2.09</v>
      </c>
    </row>
    <row r="13">
      <c r="A13" s="13" t="inlineStr">
        <is>
          <t>14</t>
        </is>
      </c>
      <c r="B13" s="29" t="n">
        <v>92.90000000000001</v>
      </c>
      <c r="C13" s="21" t="n">
        <v>10.88</v>
      </c>
      <c r="D13" s="14" t="inlineStr">
        <is>
          <t>87 – 1355</t>
        </is>
      </c>
      <c r="E13" s="14" t="n">
        <v>1268</v>
      </c>
      <c r="F13" s="14" t="n">
        <v>23.75</v>
      </c>
      <c r="G13" s="20" t="n">
        <v>0.5197000000000001</v>
      </c>
      <c r="H13" s="21" t="n">
        <v>58.89</v>
      </c>
      <c r="I13" s="21" t="n">
        <v>39.02</v>
      </c>
    </row>
    <row r="14">
      <c r="A14" s="7" t="inlineStr">
        <is>
          <t>15</t>
        </is>
      </c>
      <c r="B14" s="28" t="n">
        <v>86.15000000000001</v>
      </c>
      <c r="C14" s="19" t="n">
        <v>10.09</v>
      </c>
      <c r="D14" s="15" t="inlineStr">
        <is>
          <t>1199 – 1655</t>
        </is>
      </c>
      <c r="E14" s="15" t="n">
        <v>456</v>
      </c>
      <c r="F14" s="15" t="n">
        <v>26.19</v>
      </c>
      <c r="G14" s="18" t="n">
        <v>0.5605</v>
      </c>
      <c r="H14" s="19" t="n">
        <v>56.47</v>
      </c>
      <c r="I14" s="19" t="n">
        <v>22.48</v>
      </c>
    </row>
    <row r="15">
      <c r="A15" s="13" t="inlineStr">
        <is>
          <t>23</t>
        </is>
      </c>
      <c r="B15" s="29" t="n">
        <v>81.78</v>
      </c>
      <c r="C15" s="21" t="n">
        <v>9.58</v>
      </c>
      <c r="D15" s="14" t="inlineStr">
        <is>
          <t>521 – 973</t>
        </is>
      </c>
      <c r="E15" s="14" t="n">
        <v>452</v>
      </c>
      <c r="F15" s="14" t="n">
        <v>35.28</v>
      </c>
      <c r="G15" s="20" t="n">
        <v>0.5731000000000001</v>
      </c>
      <c r="H15" s="21" t="n">
        <v>47.99</v>
      </c>
      <c r="I15" s="21" t="n">
        <v>18.75</v>
      </c>
    </row>
    <row r="16">
      <c r="A16" s="7" t="inlineStr">
        <is>
          <t>42</t>
        </is>
      </c>
      <c r="B16" s="28" t="n">
        <v>80.62</v>
      </c>
      <c r="C16" s="19" t="n">
        <v>9.44</v>
      </c>
      <c r="D16" s="15" t="inlineStr">
        <is>
          <t>1131 – 1548</t>
        </is>
      </c>
      <c r="E16" s="15" t="n">
        <v>417</v>
      </c>
      <c r="F16" s="15" t="n">
        <v>27.86</v>
      </c>
      <c r="G16" s="18" t="n">
        <v>0.6348</v>
      </c>
      <c r="H16" s="19" t="n">
        <v>88.83</v>
      </c>
      <c r="I16" s="19" t="n">
        <v>5.64</v>
      </c>
    </row>
    <row r="17">
      <c r="A17" s="13" t="inlineStr">
        <is>
          <t>M19B2</t>
        </is>
      </c>
      <c r="B17" s="29" t="n">
        <v>74.37</v>
      </c>
      <c r="C17" s="21" t="n">
        <v>8.710000000000001</v>
      </c>
      <c r="D17" s="14" t="inlineStr">
        <is>
          <t>203 – 523</t>
        </is>
      </c>
      <c r="E17" s="14" t="n">
        <v>320</v>
      </c>
      <c r="F17" s="14" t="n">
        <v>21.71</v>
      </c>
      <c r="G17" s="20" t="n">
        <v>0.4012</v>
      </c>
      <c r="H17" s="21" t="n">
        <v>1.28</v>
      </c>
      <c r="I17" s="21" t="n">
        <v>96.23999999999999</v>
      </c>
    </row>
    <row r="18">
      <c r="A18" s="11" t="inlineStr">
        <is>
          <t>► 82</t>
        </is>
      </c>
      <c r="B18" s="30" t="n">
        <v>35.66</v>
      </c>
      <c r="C18" s="31" t="n">
        <v>4.18</v>
      </c>
      <c r="D18" s="12" t="inlineStr">
        <is>
          <t>1796 – 2098</t>
        </is>
      </c>
      <c r="E18" s="12" t="n">
        <v>302</v>
      </c>
      <c r="F18" s="12" t="n">
        <v>23.55</v>
      </c>
      <c r="G18" s="32" t="n">
        <v>0.6283</v>
      </c>
      <c r="H18" s="31" t="n">
        <v>90.06999999999999</v>
      </c>
      <c r="I18" s="31" t="n">
        <v>12.67</v>
      </c>
    </row>
    <row r="19">
      <c r="A19" s="13" t="inlineStr">
        <is>
          <t>78</t>
        </is>
      </c>
      <c r="B19" s="29" t="n">
        <v>35.1</v>
      </c>
      <c r="C19" s="21" t="n">
        <v>4.11</v>
      </c>
      <c r="D19" s="14" t="inlineStr">
        <is>
          <t>1908 – 2236</t>
        </is>
      </c>
      <c r="E19" s="14" t="n">
        <v>328</v>
      </c>
      <c r="F19" s="14" t="n">
        <v>30.64</v>
      </c>
      <c r="G19" s="20" t="n">
        <v>0.7074</v>
      </c>
      <c r="H19" s="21" t="n">
        <v>89.33</v>
      </c>
      <c r="I19" s="21" t="n">
        <v>1.77</v>
      </c>
    </row>
    <row r="20">
      <c r="A20" s="7" t="inlineStr">
        <is>
          <t>M19B7</t>
        </is>
      </c>
      <c r="B20" s="28" t="n">
        <v>34.17</v>
      </c>
      <c r="C20" s="19" t="n">
        <v>4</v>
      </c>
      <c r="D20" s="15" t="inlineStr">
        <is>
          <t>1213 – 1578</t>
        </is>
      </c>
      <c r="E20" s="15" t="n">
        <v>365</v>
      </c>
      <c r="F20" s="15" t="n">
        <v>28.15</v>
      </c>
      <c r="G20" s="18" t="n">
        <v>0.5919</v>
      </c>
      <c r="H20" s="19" t="n">
        <v>78.52</v>
      </c>
      <c r="I20" s="19" t="n">
        <v>5.85</v>
      </c>
    </row>
    <row r="21">
      <c r="A21" s="13" t="inlineStr">
        <is>
          <t>59</t>
        </is>
      </c>
      <c r="B21" s="29" t="n">
        <v>13.55</v>
      </c>
      <c r="C21" s="21" t="n">
        <v>1.59</v>
      </c>
      <c r="D21" s="14" t="inlineStr">
        <is>
          <t>2045 – 2218</t>
        </is>
      </c>
      <c r="E21" s="14" t="n">
        <v>173</v>
      </c>
      <c r="F21" s="14" t="n">
        <v>29.85</v>
      </c>
      <c r="G21" s="20" t="n">
        <v>0.6147</v>
      </c>
      <c r="H21" s="21" t="n">
        <v>86.56999999999999</v>
      </c>
      <c r="I21" s="21" t="n">
        <v>13.72</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c r="I22" s="23">
        <f>ROUND(AVERAGE(I10:I21),2)</f>
        <v/>
      </c>
    </row>
    <row r="24" ht="84" customHeight="1">
      <c r="A24" s="9" t="inlineStr">
        <is>
          <t>LECTURA INTRAMICROCUENCA. El bloque 82 ocupa el puesto 9 de 12 por superficie dentro de la microcuenca C1086-Q9570 (4.18 % de las 853.87 ha preliminares de la microcuenca). Su pendiente promedio (23.55 %, clase «15-25% (Fuert. inclinado)») es la 2.ª más baja de 12 y se sitúa por debajo del promedio de la microcuenca (28.51 %). Su MSAVI 2024 (0.6283) es el 5.º de 12 y queda por encima del promedio local (0.5993). Amplitud altitudinal del bloque: 302 m (1796–2098 msnm). El cuadro conserva todos los bloques catalogados en la microcuenca, incluidos los descartados en el tamizaje, para referencia del conjunto. Los bloques sin ficha DT figuran con sus parámetros de gabinete. BRECHA ESPECTRAL. El 12.67 % de la superficie del bloque (4.520 ha de 35.661 ha) se sitúa bajo el umbral MSAVI 0.4976, por debajo del promedio local de la microcuenca (19.14 %) calculado sobre los bloques con dato MSAVI disponible.</t>
        </is>
      </c>
      <c r="B24" s="42" t="n"/>
      <c r="C24" s="42" t="n"/>
      <c r="D24" s="42" t="n"/>
      <c r="E24" s="42" t="n"/>
      <c r="F24" s="42" t="n"/>
      <c r="G24" s="42" t="n"/>
      <c r="H24" s="42" t="n"/>
      <c r="I24" s="43"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2" t="n"/>
      <c r="C26" s="42" t="n"/>
      <c r="D26" s="42" t="n"/>
      <c r="E26" s="42" t="n"/>
      <c r="F26" s="42" t="n"/>
      <c r="G26" s="42" t="n"/>
      <c r="H26" s="42" t="n"/>
      <c r="I26" s="43" t="n"/>
    </row>
  </sheetData>
  <mergeCells count="9">
    <mergeCell ref="A2:I2"/>
    <mergeCell ref="A5:I5"/>
    <mergeCell ref="A1:I1"/>
    <mergeCell ref="A8:I8"/>
    <mergeCell ref="A3:I3"/>
    <mergeCell ref="A6:I6"/>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82</t>
        </is>
      </c>
    </row>
    <row r="6">
      <c r="A6" s="53" t="inlineStr">
        <is>
          <t>Cruce de la ficha de campo F-DT vigente con la ficha de resumen de gabinete y el catálogo maestro. Integración 2026-09-11 21:26:31.</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«C1086-Q9570».</t>
        </is>
      </c>
      <c r="D9" s="57" t="inlineStr">
        <is>
          <t>CONFORME</t>
        </is>
      </c>
      <c r="E9" s="57" t="inlineStr">
        <is>
          <t>Sin acción.</t>
        </is>
      </c>
    </row>
    <row r="10">
      <c r="A10" s="58" t="inlineStr">
        <is>
          <t>G-02</t>
        </is>
      </c>
      <c r="B10" s="58" t="inlineStr">
        <is>
          <t>UTM del punto de muestreo</t>
        </is>
      </c>
      <c r="C10" s="58" t="inlineStr">
        <is>
          <t>El punto de muestreo declarado dista 182.1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(1940 msnm) cae dentro del rango altitudinal del bloque (1796 - 2098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(35.677 ha) se desvía 0.05 % de la superficie de catálogo (35.66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(35.661 ha) se desvía 0.00 % de la superficie de catálogo (35.66 ha).</t>
        </is>
      </c>
      <c r="D14" s="58" t="inlineStr">
        <is>
          <t>CONFORME</t>
        </is>
      </c>
      <c r="E14" s="58" t="inlineStr">
        <is>
          <t>Sin acción: la segmentación valida la geometría del bloque.</t>
        </is>
      </c>
    </row>
    <row r="15">
      <c r="A15" s="57" t="inlineStr">
        <is>
          <t>G-07</t>
        </is>
      </c>
      <c r="B15" s="57" t="inlineStr">
        <is>
          <t>Brecha espectral MSAVI</t>
        </is>
      </c>
      <c r="C15" s="57" t="inlineStr">
        <is>
          <t>El 12.67 % del bloque queda bajo el umbral 0.4976; superficie de brecha 4.5199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35.66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(0.6283) cae en la clase «&gt; 0.6139 (Vigor alto)» y la clase DN dominante por superficie es «DN 5 · &gt; 0.6139 (Vigor alto)».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Hora de registro</t>
        </is>
      </c>
      <c r="C19" s="57" t="inlineStr">
        <is>
          <t>El libro de resumen V6 consignaba «11:30 h»; la ficha de campo vigente declara «11:30 a. m.».</t>
        </is>
      </c>
      <c r="D19" s="57" t="inlineStr">
        <is>
          <t>CORREGIDO</t>
        </is>
      </c>
      <c r="E19" s="57" t="inlineStr">
        <is>
          <t>Se adopta el valor de campo por ser la fuente que manda sobre el dato y la más reciente. El valor anterior queda declarado para trazabilidad.</t>
        </is>
      </c>
    </row>
    <row r="20">
      <c r="A20" s="58" t="inlineStr">
        <is>
          <t>F-01</t>
        </is>
      </c>
      <c r="B20" s="58" t="inlineStr">
        <is>
          <t>Fichas F-DT levantadas</t>
        </is>
      </c>
      <c r="C20" s="58" t="inlineStr">
        <is>
          <t>La plantilla de campo trae las cinco fichas F-DT-01 a F-DT-05 (completitud 96.4 % de los campos esperados).</t>
        </is>
      </c>
      <c r="D20" s="58" t="inlineStr">
        <is>
          <t>CONFORME</t>
        </is>
      </c>
      <c r="E20" s="58" t="inlineStr">
        <is>
          <t>Sin acción.</t>
        </is>
      </c>
    </row>
    <row r="21">
      <c r="A21" s="57" t="inlineStr">
        <is>
          <t>F-02</t>
        </is>
      </c>
      <c r="B21" s="57" t="inlineStr">
        <is>
          <t>Cobertura de la integración</t>
        </is>
      </c>
      <c r="C21" s="57" t="inlineStr">
        <is>
          <t>Se declararon 99 de 114 hechos integrados (86.8 %); 15 quedan sin dato en ninguna fuente.</t>
        </is>
      </c>
      <c r="D21" s="57" t="inlineStr">
        <is>
          <t>CONFORME</t>
        </is>
      </c>
      <c r="E21" s="57" t="inlineStr">
        <is>
          <t>Sin acción.</t>
        </is>
      </c>
    </row>
    <row r="22">
      <c r="A22" s="58" t="inlineStr">
        <is>
          <t>H-01</t>
        </is>
      </c>
      <c r="B22" s="58" t="inlineStr">
        <is>
          <t>Rango de pendiente dominante</t>
        </is>
      </c>
      <c r="C22" s="58" t="inlineStr">
        <is>
          <t>La ficha DT declara «25-50% (Mod. escarpado)»; la estadística zonal sobre el MDE arroja una pendiente promedio de 23.55 %, que corresponde a la clase «15-25% (Fuert. inclinado)»</t>
        </is>
      </c>
      <c r="D22" s="58" t="inlineStr">
        <is>
          <t>NO SUSTANTIVA</t>
        </is>
      </c>
      <c r="E22" s="58"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3">
      <c r="A23" s="57" t="inlineStr">
        <is>
          <t>H-02</t>
        </is>
      </c>
      <c r="B23" s="57" t="inlineStr">
        <is>
          <t>Cobertura vegetal total</t>
        </is>
      </c>
      <c r="C23" s="57" t="inlineStr">
        <is>
          <t>La ficha DT estima 80 % de cobertura vegetal en campo; el NDVI mediana 2025 clasifica 100.00 % del polígono en clases de vegetación</t>
        </is>
      </c>
      <c r="D23" s="57" t="inlineStr">
        <is>
          <t>NO SUSTANTIVA</t>
        </is>
      </c>
      <c r="E23" s="5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4">
      <c r="A24" s="58" t="inlineStr">
        <is>
          <t>H-03</t>
        </is>
      </c>
      <c r="B24" s="58" t="inlineStr">
        <is>
          <t>Dimensiones del inventario de cárcavas</t>
        </is>
      </c>
      <c r="C24" s="58" t="inlineStr">
        <is>
          <t>Se registran 3 rasgos erosivos, pero longitud, profundidad y ancho no fueron medidos instrumentalmente</t>
        </is>
      </c>
      <c r="D24" s="58" t="inlineStr">
        <is>
          <t>NO SUSTANTIVA</t>
        </is>
      </c>
      <c r="E24" s="58" t="inlineStr">
        <is>
          <t>El conteo registrado no debe usarse para calcular densidad de cárcavas por hectárea. Pendiente de levantamiento con GPS submétrico. (Verificación heredada de la ficha de resumen V6.)</t>
        </is>
      </c>
    </row>
    <row r="25">
      <c r="A25" s="57" t="inlineStr">
        <is>
          <t>H-04</t>
        </is>
      </c>
      <c r="B25" s="57" t="inlineStr">
        <is>
          <t>Representatividad del levantamiento</t>
        </is>
      </c>
      <c r="C25" s="57" t="inlineStr">
        <is>
          <t>Ninguna de las estaciones fotográficas georreferenciadas se localiza dentro del polígono del bloque</t>
        </is>
      </c>
      <c r="D25" s="57" t="inlineStr">
        <is>
          <t>SUSTANTIVA</t>
        </is>
      </c>
      <c r="E25" s="57" t="inlineStr">
        <is>
          <t>La verificación documenta el perímetro y la vista panorámica del bloque, no su interior. Los parámetros que exigen recorrido interno se consignan «Por determinar». (Verificación heredada de la ficha de resumen V6.)</t>
        </is>
      </c>
    </row>
    <row r="26">
      <c r="A26" s="58" t="inlineStr">
        <is>
          <t>H-05</t>
        </is>
      </c>
      <c r="B26" s="58" t="inlineStr">
        <is>
          <t>Centro poblado asociado</t>
        </is>
      </c>
      <c r="C26" s="58" t="inlineStr">
        <is>
          <t>La ficha DT declara «Santa Fe de Portachuelo»; el cruce INEI-Bloques V5 identifica 1 centro(s) poblado(s) en el bloque: SANTA FE DE PORTACHUELO</t>
        </is>
      </c>
      <c r="D26" s="58" t="inlineStr">
        <is>
          <t>CONFORME</t>
        </is>
      </c>
      <c r="E26" s="58" t="inlineStr">
        <is>
          <t>Se conserva el registro de campo como referencia y se adopta el listado INEI para el diagnóstico social y el cálculo de población beneficiaria. (Verificación heredada de la ficha de resumen V6.)</t>
        </is>
      </c>
    </row>
    <row r="27">
      <c r="A27" s="57" t="inlineStr">
        <is>
          <t>H-06</t>
        </is>
      </c>
      <c r="B27" s="57" t="inlineStr">
        <is>
          <t>Plan de Ingreso</t>
        </is>
      </c>
      <c r="C27" s="57" t="inlineStr">
        <is>
          <t>Altitud = 0 msnm (captura por defecto del aplicativo)</t>
        </is>
      </c>
      <c r="D27" s="57" t="inlineStr">
        <is>
          <t>CORREGIDO</t>
        </is>
      </c>
      <c r="E27" s="57" t="inlineStr">
        <is>
          <t>Se reemplaza por la altitud GPS de campo (1940 msnm) (Verificación heredada de la ficha de resumen V6.)</t>
        </is>
      </c>
    </row>
    <row r="28">
      <c r="A28" s="58" t="inlineStr">
        <is>
          <t>H-07</t>
        </is>
      </c>
      <c r="B28" s="58" t="inlineStr">
        <is>
          <t>F-DT-02</t>
        </is>
      </c>
      <c r="C28" s="58" t="inlineStr">
        <is>
          <t>Las 3 cárcavas inventariadas carecen de tipo, dimensiones y (C-02) de causa</t>
        </is>
      </c>
      <c r="D28" s="58" t="inlineStr">
        <is>
          <t>NO SUSTANTIVA</t>
        </is>
      </c>
      <c r="E28" s="58" t="inlineStr">
        <is>
          <t>Levantamiento instrumental pendiente (Verificación heredada de la ficha de resumen V6.)</t>
        </is>
      </c>
    </row>
    <row r="29">
      <c r="A29" s="57" t="inlineStr">
        <is>
          <t>H-08</t>
        </is>
      </c>
      <c r="B29" s="57" t="inlineStr">
        <is>
          <t>F-DT-04</t>
        </is>
      </c>
      <c r="C29" s="57" t="inlineStr">
        <is>
          <t>Frecuencia de quemas no cuantificada pese a haberse registrado quema reciente de pastizal (C-03)</t>
        </is>
      </c>
      <c r="D29" s="57" t="inlineStr">
        <is>
          <t>SUSTANTIVA</t>
        </is>
      </c>
      <c r="E29" s="57" t="inlineStr">
        <is>
          <t>El indicador no puede consignarse en 0 (Verificación heredada de la ficha de resumen V6.)</t>
        </is>
      </c>
    </row>
    <row r="30">
      <c r="A30" s="58" t="inlineStr">
        <is>
          <t>H-09</t>
        </is>
      </c>
      <c r="B30" s="58" t="inlineStr">
        <is>
          <t>F-DT-03</t>
        </is>
      </c>
      <c r="C30" s="58" t="inlineStr">
        <is>
          <t>Lista florística basada en juicio de experto sobre fotografías y literatura regional, no en colecta</t>
        </is>
      </c>
      <c r="D30" s="58" t="inlineStr">
        <is>
          <t>SUSTANTIVA</t>
        </is>
      </c>
      <c r="E30" s="58" t="inlineStr">
        <is>
          <t>Determinación botánica formal pendiente (Verificación heredada de la ficha de resumen V6.)</t>
        </is>
      </c>
    </row>
    <row r="32">
      <c r="A32" s="59" t="inlineStr">
        <is>
          <t>RESUMEN</t>
        </is>
      </c>
      <c r="B32" s="60" t="inlineStr">
        <is>
          <t>22 verificaciones</t>
        </is>
      </c>
      <c r="C32" s="60" t="inlineStr">
        <is>
          <t>SUSTANTIVA: 4 · NO SUSTANTIVA: 4 · CORREGIDO: 2 · CONFORME: 12</t>
        </is>
      </c>
    </row>
    <row r="34">
      <c r="A34"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4:E34"/>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9"/>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82</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8. Responsable y modalidad de la evaluación</t>
        </is>
      </c>
      <c r="B9" s="57" t="inlineStr">
        <is>
          <t>Hora de registro</t>
        </is>
      </c>
      <c r="C9" s="57" t="inlineStr">
        <is>
          <t>11:30 h</t>
        </is>
      </c>
      <c r="D9" s="57" t="inlineStr">
        <is>
          <t>11:30 a. m.</t>
        </is>
      </c>
      <c r="E9" s="57" t="inlineStr">
        <is>
          <t>Dato de campo</t>
        </is>
      </c>
    </row>
    <row r="11">
      <c r="A11" s="55" t="inlineStr">
        <is>
          <t>B. HECHOS APORTADOS ÚNICAMENTE POR LA FICHA DE CAMPO</t>
        </is>
      </c>
    </row>
    <row r="12">
      <c r="A12" s="56" t="inlineStr">
        <is>
          <t>Sección</t>
        </is>
      </c>
      <c r="B12" s="56" t="inlineStr">
        <is>
          <t>Hecho</t>
        </is>
      </c>
      <c r="C12" s="56" t="inlineStr">
        <is>
          <t>Valor</t>
        </is>
      </c>
      <c r="D12" s="56" t="inlineStr">
        <is>
          <t>Unidad</t>
        </is>
      </c>
    </row>
    <row r="13">
      <c r="A13" s="57" t="inlineStr">
        <is>
          <t>1. Identificación y localización</t>
        </is>
      </c>
      <c r="B13" s="57" t="inlineStr">
        <is>
          <t>UTM ESTE del punto de muestreo (m)</t>
        </is>
      </c>
      <c r="C13" s="57" t="inlineStr">
        <is>
          <t>621270</t>
        </is>
      </c>
      <c r="D13" s="57" t="inlineStr">
        <is>
          <t>m</t>
        </is>
      </c>
    </row>
    <row r="14">
      <c r="A14" s="58" t="inlineStr">
        <is>
          <t>1. Identificación y localización</t>
        </is>
      </c>
      <c r="B14" s="58" t="inlineStr">
        <is>
          <t>UTM NORTE del punto de muestreo (m)</t>
        </is>
      </c>
      <c r="C14" s="58" t="inlineStr">
        <is>
          <t>9443860</t>
        </is>
      </c>
      <c r="D14" s="58" t="inlineStr">
        <is>
          <t>m</t>
        </is>
      </c>
    </row>
    <row r="15">
      <c r="A15" s="57" t="inlineStr">
        <is>
          <t>2. Parámetros físicos del terreno</t>
        </is>
      </c>
      <c r="B15" s="57" t="inlineStr">
        <is>
          <t>Altitud GPS del punto de muestreo (msnm)</t>
        </is>
      </c>
      <c r="C15" s="57" t="inlineStr">
        <is>
          <t>1940</t>
        </is>
      </c>
      <c r="D15" s="57" t="inlineStr">
        <is>
          <t>msnm</t>
        </is>
      </c>
    </row>
    <row r="16">
      <c r="A16" s="58" t="inlineStr">
        <is>
          <t>2. Parámetros físicos del terreno</t>
        </is>
      </c>
      <c r="B16" s="58" t="inlineStr">
        <is>
          <t>Piso altitudinal del punto de muestreo</t>
        </is>
      </c>
      <c r="C16" s="58" t="inlineStr">
        <is>
          <t>1500-2000 m (Quechua media)</t>
        </is>
      </c>
      <c r="D16" s="58" t="inlineStr"/>
    </row>
    <row r="17">
      <c r="A17" s="57" t="inlineStr">
        <is>
          <t>2. Parámetros físicos del terreno</t>
        </is>
      </c>
      <c r="B17" s="57" t="inlineStr">
        <is>
          <t>Paisaje dominante descrito en campo</t>
        </is>
      </c>
      <c r="C17" s="57" t="inlineStr">
        <is>
          <t>Ladera de colina-montaña de fuerte pendiente, elongada en sentido NO–SE, disectada por quebradas tributarias de la microcuenca C1086-Q9570. Mosaico de pastizales y cultivos en las laderas medias-bajas, con relictos de bosque montano y matorral andino en las cimas y sectores menos accesibles. Cotas observadas ~1833–2029 msnm; el recorrido desciende de O a E.</t>
        </is>
      </c>
      <c r="D17" s="57" t="inlineStr"/>
    </row>
    <row r="18">
      <c r="A18" s="58" t="inlineStr">
        <is>
          <t>2. Parámetros físicos del terreno</t>
        </is>
      </c>
      <c r="B18" s="58" t="inlineStr">
        <is>
          <t>Reptación de suelo</t>
        </is>
      </c>
      <c r="C18" s="58" t="inlineStr">
        <is>
          <t>No</t>
        </is>
      </c>
      <c r="D18" s="58" t="inlineStr"/>
    </row>
    <row r="19">
      <c r="A19" s="57" t="inlineStr">
        <is>
          <t>2. Parámetros físicos del terreno</t>
        </is>
      </c>
      <c r="B19" s="57" t="inlineStr">
        <is>
          <t>Deslizamientos antiguos</t>
        </is>
      </c>
      <c r="C19" s="57" t="inlineStr">
        <is>
          <t>No</t>
        </is>
      </c>
      <c r="D19" s="57" t="inlineStr"/>
    </row>
    <row r="20">
      <c r="A20" s="58" t="inlineStr">
        <is>
          <t>4. Suelos y erosión (F-DT-02)</t>
        </is>
      </c>
      <c r="B20" s="58" t="inlineStr">
        <is>
          <t>Nivel de erosión - síntesis de campo</t>
        </is>
      </c>
      <c r="C20" s="58" t="inlineStr">
        <is>
          <t>Moderada (surcos)</t>
        </is>
      </c>
      <c r="D20" s="58" t="inlineStr"/>
    </row>
    <row r="21">
      <c r="A21" s="57" t="inlineStr">
        <is>
          <t>4. Suelos y erosión (F-DT-02)</t>
        </is>
      </c>
      <c r="B21" s="57" t="inlineStr">
        <is>
          <t>Sellamiento / costra superficial</t>
        </is>
      </c>
      <c r="C21" s="57" t="inlineStr">
        <is>
          <t>No</t>
        </is>
      </c>
      <c r="D21" s="57" t="inlineStr"/>
    </row>
    <row r="22">
      <c r="A22" s="58" t="inlineStr">
        <is>
          <t>4. Suelos y erosión (F-DT-02)</t>
        </is>
      </c>
      <c r="B22" s="58" t="inlineStr">
        <is>
          <t>Compactación por pisoteo</t>
        </is>
      </c>
      <c r="C22" s="58" t="inlineStr">
        <is>
          <t>Sí</t>
        </is>
      </c>
      <c r="D22" s="58" t="inlineStr"/>
    </row>
    <row r="23">
      <c r="A23" s="57" t="inlineStr">
        <is>
          <t>4. Suelos y erosión (F-DT-02)</t>
        </is>
      </c>
      <c r="B23" s="57" t="inlineStr">
        <is>
          <t>Raíces expuestas</t>
        </is>
      </c>
      <c r="C23" s="57" t="inlineStr">
        <is>
          <t>Sí</t>
        </is>
      </c>
      <c r="D23" s="57" t="inlineStr"/>
    </row>
    <row r="24">
      <c r="A24" s="58" t="inlineStr">
        <is>
          <t>4. Suelos y erosión (F-DT-02)</t>
        </is>
      </c>
      <c r="B24" s="58" t="inlineStr">
        <is>
          <t>% del bloque afectado por cárcavas</t>
        </is>
      </c>
      <c r="C24" s="58" t="inlineStr">
        <is>
          <t>5</t>
        </is>
      </c>
      <c r="D24" s="58" t="inlineStr">
        <is>
          <t>%</t>
        </is>
      </c>
    </row>
    <row r="25">
      <c r="A25" s="57" t="inlineStr">
        <is>
          <t>4. Suelos y erosión (F-DT-02)</t>
        </is>
      </c>
      <c r="B25" s="57" t="inlineStr">
        <is>
          <t>Erosión laminar (% del bloque)</t>
        </is>
      </c>
      <c r="C25" s="57" t="inlineStr">
        <is>
          <t>10</t>
        </is>
      </c>
      <c r="D25" s="57" t="inlineStr">
        <is>
          <t>%</t>
        </is>
      </c>
    </row>
    <row r="26">
      <c r="A26" s="58" t="inlineStr">
        <is>
          <t>4. Suelos y erosión (F-DT-02)</t>
        </is>
      </c>
      <c r="B26" s="58" t="inlineStr">
        <is>
          <t>Patrón de cárcavas</t>
        </is>
      </c>
      <c r="C26" s="58" t="inlineStr">
        <is>
          <t>Aislado</t>
        </is>
      </c>
      <c r="D26" s="58" t="inlineStr"/>
    </row>
    <row r="27">
      <c r="A27" s="57" t="inlineStr">
        <is>
          <t>4. Suelos y erosión (F-DT-02)</t>
        </is>
      </c>
      <c r="B27" s="57" t="inlineStr">
        <is>
          <t>Socavamiento de cauce</t>
        </is>
      </c>
      <c r="C27" s="57" t="inlineStr">
        <is>
          <t>No</t>
        </is>
      </c>
      <c r="D27" s="57" t="inlineStr"/>
    </row>
    <row r="28">
      <c r="A28" s="58" t="inlineStr">
        <is>
          <t>5. Ecosistema, cobertura y flora (F-DT-03)</t>
        </is>
      </c>
      <c r="B28" s="58" t="inlineStr">
        <is>
          <t>Cobertura del dosel (%)</t>
        </is>
      </c>
      <c r="C28" s="58" t="inlineStr">
        <is>
          <t>30</t>
        </is>
      </c>
      <c r="D28" s="58" t="inlineStr">
        <is>
          <t>%</t>
        </is>
      </c>
    </row>
    <row r="29">
      <c r="A29" s="57" t="inlineStr">
        <is>
          <t>5. Ecosistema, cobertura y flora (F-DT-03)</t>
        </is>
      </c>
      <c r="B29" s="57" t="inlineStr">
        <is>
          <t>Cobertura arbustiva (%)</t>
        </is>
      </c>
      <c r="C29" s="57" t="inlineStr">
        <is>
          <t>25</t>
        </is>
      </c>
      <c r="D29" s="57" t="inlineStr">
        <is>
          <t>%</t>
        </is>
      </c>
    </row>
    <row r="30">
      <c r="A30" s="58" t="inlineStr">
        <is>
          <t>5. Ecosistema, cobertura y flora (F-DT-03)</t>
        </is>
      </c>
      <c r="B30" s="58" t="inlineStr">
        <is>
          <t>Cobertura herbácea (%)</t>
        </is>
      </c>
      <c r="C30" s="58" t="inlineStr">
        <is>
          <t>40</t>
        </is>
      </c>
      <c r="D30" s="58" t="inlineStr">
        <is>
          <t>%</t>
        </is>
      </c>
    </row>
    <row r="31">
      <c r="A31" s="57" t="inlineStr">
        <is>
          <t>5. Ecosistema, cobertura y flora (F-DT-03)</t>
        </is>
      </c>
      <c r="B31" s="57" t="inlineStr">
        <is>
          <t>Cobertura de hojarasca (%)</t>
        </is>
      </c>
      <c r="C31" s="57" t="inlineStr">
        <is>
          <t>15</t>
        </is>
      </c>
      <c r="D31" s="57" t="inlineStr">
        <is>
          <t>%</t>
        </is>
      </c>
    </row>
    <row r="32">
      <c r="A32" s="58" t="inlineStr">
        <is>
          <t>5. Ecosistema, cobertura y flora (F-DT-03)</t>
        </is>
      </c>
      <c r="B32" s="58" t="inlineStr">
        <is>
          <t>Presencia de epífitas</t>
        </is>
      </c>
      <c r="C32" s="58" t="inlineStr">
        <is>
          <t>Sí</t>
        </is>
      </c>
      <c r="D32" s="58" t="inlineStr"/>
    </row>
    <row r="33">
      <c r="A33" s="57" t="inlineStr">
        <is>
          <t>5. Ecosistema, cobertura y flora (F-DT-03)</t>
        </is>
      </c>
      <c r="B33" s="57" t="inlineStr">
        <is>
          <t>Fenología dominante</t>
        </is>
      </c>
      <c r="C33" s="57" t="inlineStr">
        <is>
          <t>Vegetativo</t>
        </is>
      </c>
      <c r="D33" s="57" t="inlineStr"/>
    </row>
    <row r="34">
      <c r="A34" s="58" t="inlineStr">
        <is>
          <t>5. Ecosistema, cobertura y flora (F-DT-03)</t>
        </is>
      </c>
      <c r="B34" s="58" t="inlineStr">
        <is>
          <t>Pendiente de la parcela (%)</t>
        </is>
      </c>
      <c r="C34" s="58" t="inlineStr">
        <is>
          <t>35</t>
        </is>
      </c>
      <c r="D34" s="58" t="inlineStr">
        <is>
          <t>%</t>
        </is>
      </c>
    </row>
    <row r="35">
      <c r="A35" s="57" t="inlineStr">
        <is>
          <t>5. Ecosistema, cobertura y flora (F-DT-03)</t>
        </is>
      </c>
      <c r="B35" s="57" t="inlineStr">
        <is>
          <t>Especies clave georreferenciadas</t>
        </is>
      </c>
      <c r="C35" s="57" t="inlineStr">
        <is>
          <t>5</t>
        </is>
      </c>
      <c r="D35" s="57" t="inlineStr"/>
    </row>
    <row r="36">
      <c r="A36" s="58" t="inlineStr">
        <is>
          <t>6. Degradación, causas y urgencia (F-DT-04)</t>
        </is>
      </c>
      <c r="B36" s="58" t="inlineStr">
        <is>
          <t>Causas directas de la degradación</t>
        </is>
      </c>
      <c r="C36" s="58" t="inlineStr">
        <is>
          <t>Sobrepastoreo (vacuno/asnal), cambio de uso a pastos cultivados y a cultivos de maíz, arveja y trigo, quema de pastizales y desestabilización de taludes por la trocha afirmada.</t>
        </is>
      </c>
      <c r="D36" s="58" t="inlineStr"/>
    </row>
    <row r="37">
      <c r="A37" s="57" t="inlineStr">
        <is>
          <t>6. Degradación, causas y urgencia (F-DT-04)</t>
        </is>
      </c>
      <c r="B37" s="57" t="inlineStr">
        <is>
          <t>N.° de causas activas en la matriz F-DT-04</t>
        </is>
      </c>
      <c r="C37" s="57" t="inlineStr">
        <is>
          <t>8</t>
        </is>
      </c>
      <c r="D37" s="57" t="inlineStr"/>
    </row>
    <row r="38">
      <c r="A38" s="58" t="inlineStr">
        <is>
          <t>7. Hidrología, acceso y logística (F-DT-05)</t>
        </is>
      </c>
      <c r="B38" s="58" t="inlineStr">
        <is>
          <t>Escorrentía concentrada</t>
        </is>
      </c>
      <c r="C38" s="58" t="inlineStr">
        <is>
          <t>Sí</t>
        </is>
      </c>
      <c r="D38" s="58" t="inlineStr"/>
    </row>
    <row r="39">
      <c r="A39" s="57" t="inlineStr">
        <is>
          <t>7. Hidrología, acceso y logística (F-DT-05)</t>
        </is>
      </c>
      <c r="B39" s="57" t="inlineStr">
        <is>
          <t>Fuentes de agua inventariadas</t>
        </is>
      </c>
      <c r="C39" s="57" t="inlineStr">
        <is>
          <t>1</t>
        </is>
      </c>
      <c r="D39" s="57" t="inlineStr"/>
    </row>
    <row r="40">
      <c r="A40" s="58" t="inlineStr">
        <is>
          <t>7. Hidrología, acceso y logística (F-DT-05)</t>
        </is>
      </c>
      <c r="B40" s="58" t="inlineStr">
        <is>
          <t>Interferencia con riego</t>
        </is>
      </c>
      <c r="C40" s="58" t="inlineStr">
        <is>
          <t>No</t>
        </is>
      </c>
      <c r="D40" s="58" t="inlineStr"/>
    </row>
    <row r="41">
      <c r="A41" s="57" t="inlineStr">
        <is>
          <t>7. Hidrología, acceso y logística (F-DT-05)</t>
        </is>
      </c>
      <c r="B41" s="57" t="inlineStr">
        <is>
          <t>Vía principal de acceso</t>
        </is>
      </c>
      <c r="C41" s="57" t="inlineStr">
        <is>
          <t>Trocha carrozable afirmada (acceso desde Santo Domingo vía C.P. Santa Fe de Portachuelo)</t>
        </is>
      </c>
      <c r="D41" s="57" t="inlineStr"/>
    </row>
    <row r="42">
      <c r="A42" s="58" t="inlineStr">
        <is>
          <t>7. Hidrología, acceso y logística (F-DT-05)</t>
        </is>
      </c>
      <c r="B42" s="58" t="inlineStr">
        <is>
          <t>Tipo de vía del tramo final</t>
        </is>
      </c>
      <c r="C42" s="58" t="inlineStr">
        <is>
          <t>Camino de herradura</t>
        </is>
      </c>
      <c r="D42" s="58" t="inlineStr"/>
    </row>
    <row r="43">
      <c r="A43" s="57" t="inlineStr">
        <is>
          <t>7. Hidrología, acceso y logística (F-DT-05)</t>
        </is>
      </c>
      <c r="B43" s="57" t="inlineStr">
        <is>
          <t>Transitabilidad en época seca</t>
        </is>
      </c>
      <c r="C43" s="57" t="inlineStr">
        <is>
          <t>Medio</t>
        </is>
      </c>
      <c r="D43" s="57" t="inlineStr"/>
    </row>
    <row r="44">
      <c r="A44" s="58" t="inlineStr">
        <is>
          <t>7. Hidrología, acceso y logística (F-DT-05)</t>
        </is>
      </c>
      <c r="B44" s="58" t="inlineStr">
        <is>
          <t>Transitabilidad en época lluviosa</t>
        </is>
      </c>
      <c r="C44" s="58" t="inlineStr">
        <is>
          <t>Bajo</t>
        </is>
      </c>
      <c r="D44" s="58" t="inlineStr"/>
    </row>
    <row r="45">
      <c r="A45" s="57" t="inlineStr">
        <is>
          <t>7. Hidrología, acceso y logística (F-DT-05)</t>
        </is>
      </c>
      <c r="B45" s="57" t="inlineStr">
        <is>
          <t>Requiere coordinación con ronda / comunidad</t>
        </is>
      </c>
      <c r="C45" s="57" t="inlineStr">
        <is>
          <t>No</t>
        </is>
      </c>
      <c r="D45" s="57" t="inlineStr"/>
    </row>
    <row r="47">
      <c r="A47" s="55" t="inlineStr">
        <is>
          <t>C. PROCEDENCIA DE LOS HECHOS DECLARADOS</t>
        </is>
      </c>
    </row>
    <row r="48">
      <c r="A48" s="56" t="inlineStr">
        <is>
          <t>Fuente</t>
        </is>
      </c>
      <c r="B48" s="56" t="inlineStr">
        <is>
          <t>Hechos</t>
        </is>
      </c>
      <c r="C48" s="56" t="inlineStr">
        <is>
          <t>Alcance de la fuente</t>
        </is>
      </c>
    </row>
    <row r="49">
      <c r="A49" s="57" t="inlineStr">
        <is>
          <t>Dato de campo</t>
        </is>
      </c>
      <c r="B49" s="57" t="n">
        <v>63</v>
      </c>
      <c r="C49" s="57" t="inlineStr">
        <is>
          <t>Verificación en campo. Fichas F-DT-01 a F-DT-05 de la Plantilla DT Campo Check Validada V5, suscritas por el evaluador.</t>
        </is>
      </c>
    </row>
    <row r="50">
      <c r="A50" s="58" t="inlineStr">
        <is>
          <t>Gabinete (GIS / teledetección)</t>
        </is>
      </c>
      <c r="B50" s="58" t="n">
        <v>22</v>
      </c>
      <c r="C50" s="58" t="inlineStr">
        <is>
          <t>Gabinete. Estadística zonal sobre el MDE y compuestos Sentinel-2 (NDVI mediana 2025, MSAVI 2024 por clase DN).</t>
        </is>
      </c>
    </row>
    <row r="51">
      <c r="A51" s="57" t="inlineStr">
        <is>
          <t>Fuente oficial</t>
        </is>
      </c>
      <c r="B51" s="57" t="n">
        <v>14</v>
      </c>
      <c r="C51" s="57" t="inlineStr">
        <is>
          <t>Fuente oficial. Catálogo maestro Bloques V5/V6, división política INEI y codificación de microcuencas de la ANA.</t>
        </is>
      </c>
    </row>
    <row r="53">
      <c r="A53" s="55" t="inlineStr">
        <is>
          <t>D. ESTADO DEL CRUCE ENTRE FUENTES</t>
        </is>
      </c>
    </row>
    <row r="54">
      <c r="A54" s="56" t="inlineStr">
        <is>
          <t>Estado</t>
        </is>
      </c>
      <c r="B54" s="56" t="inlineStr">
        <is>
          <t>Hechos</t>
        </is>
      </c>
      <c r="C54" s="56" t="inlineStr">
        <is>
          <t>Significado</t>
        </is>
      </c>
    </row>
    <row r="55">
      <c r="A55" s="57" t="inlineStr">
        <is>
          <t>CONFORME</t>
        </is>
      </c>
      <c r="B55" s="57" t="n">
        <v>97</v>
      </c>
      <c r="C55" s="57" t="inlineStr">
        <is>
          <t>Las dos fuentes declaran lo mismo, o solo la fuente que manda sobre el hecho lo declara.</t>
        </is>
      </c>
    </row>
    <row r="56">
      <c r="A56" s="58" t="inlineStr">
        <is>
          <t>COMPLEMENTADO</t>
        </is>
      </c>
      <c r="B56" s="58" t="n">
        <v>1</v>
      </c>
      <c r="C56" s="58" t="inlineStr">
        <is>
          <t>Solo una de las fuentes lo declara y se adopta ese valor.</t>
        </is>
      </c>
    </row>
    <row r="57">
      <c r="A57" s="57" t="inlineStr">
        <is>
          <t>ACTUALIZADO</t>
        </is>
      </c>
      <c r="B57" s="57" t="n">
        <v>1</v>
      </c>
      <c r="C57" s="57" t="inlineStr">
        <is>
          <t>La verificación de campo vigente corrige lo que traía el libro de resumen.</t>
        </is>
      </c>
    </row>
    <row r="58">
      <c r="A58" s="58" t="inlineStr">
        <is>
          <t>DISCREPANTE</t>
        </is>
      </c>
      <c r="B58" s="58" t="n">
        <v>0</v>
      </c>
      <c r="C58" s="58" t="inlineStr">
        <is>
          <t>Las fuentes se contradicen; prevalece la que manda sobre el hecho y la otra queda declarada.</t>
        </is>
      </c>
    </row>
    <row r="59">
      <c r="A59" s="57" t="inlineStr">
        <is>
          <t>PENDIENTE</t>
        </is>
      </c>
      <c r="B59" s="57" t="n">
        <v>15</v>
      </c>
      <c r="C59"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9"/>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82</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C-01</t>
        </is>
      </c>
      <c r="B9" s="57" t="inlineStr">
        <is>
          <t>Cárcava somera (0.5-2 m)</t>
        </is>
      </c>
      <c r="C9" s="62" t="n">
        <v>621081</v>
      </c>
      <c r="D9" s="62" t="n">
        <v>9444077</v>
      </c>
      <c r="E9" s="57" t="n"/>
      <c r="F9" s="57" t="n"/>
      <c r="G9" s="57" t="n"/>
      <c r="H9" s="57" t="inlineStr">
        <is>
          <t>Activa</t>
        </is>
      </c>
      <c r="I9" s="57" t="inlineStr">
        <is>
          <t>Otro</t>
        </is>
      </c>
    </row>
    <row r="10">
      <c r="A10" s="58" t="inlineStr">
        <is>
          <t>C-02</t>
        </is>
      </c>
      <c r="B10" s="58" t="inlineStr">
        <is>
          <t>Surco (&lt;30 cm)</t>
        </is>
      </c>
      <c r="C10" s="63" t="n">
        <v>621119</v>
      </c>
      <c r="D10" s="63" t="n">
        <v>9444053</v>
      </c>
      <c r="E10" s="58" t="n"/>
      <c r="F10" s="58" t="n"/>
      <c r="G10" s="58" t="n"/>
      <c r="H10" s="58" t="inlineStr">
        <is>
          <t>Activa</t>
        </is>
      </c>
      <c r="I10" s="58" t="inlineStr">
        <is>
          <t>Caminos / huellas de ganado</t>
        </is>
      </c>
    </row>
    <row r="11">
      <c r="A11" s="57" t="inlineStr">
        <is>
          <t>C-03</t>
        </is>
      </c>
      <c r="B11" s="57" t="inlineStr">
        <is>
          <t>Cárcava incipiente (30-50 cm)</t>
        </is>
      </c>
      <c r="C11" s="62" t="n">
        <v>621188</v>
      </c>
      <c r="D11" s="62" t="n">
        <v>9444024</v>
      </c>
      <c r="E11" s="57" t="n"/>
      <c r="F11" s="57" t="n"/>
      <c r="G11" s="57" t="n"/>
      <c r="H11" s="57" t="inlineStr">
        <is>
          <t>Semi-activa</t>
        </is>
      </c>
      <c r="I11" s="57" t="inlineStr">
        <is>
          <t>Quema</t>
        </is>
      </c>
    </row>
    <row r="13">
      <c r="A13" s="55" t="inlineStr">
        <is>
          <t>F-DT-03 · ELENCO FLORÍSTICO</t>
        </is>
      </c>
    </row>
    <row r="14">
      <c r="A14" s="56" t="inlineStr">
        <is>
          <t>N.o</t>
        </is>
      </c>
      <c r="B14" s="56" t="inlineStr">
        <is>
          <t>Nombre común</t>
        </is>
      </c>
      <c r="C14" s="56" t="inlineStr">
        <is>
          <t>Nombre científico</t>
        </is>
      </c>
      <c r="D14" s="56" t="inlineStr">
        <is>
          <t>Familia</t>
        </is>
      </c>
      <c r="E14" s="56" t="inlineStr">
        <is>
          <t>Estrato</t>
        </is>
      </c>
      <c r="F14" s="56" t="inlineStr">
        <is>
          <t>Origen</t>
        </is>
      </c>
      <c r="G14" s="56" t="inlineStr">
        <is>
          <t>Abundancia</t>
        </is>
      </c>
      <c r="H14" s="56" t="inlineStr">
        <is>
          <t>DAP (cm)</t>
        </is>
      </c>
      <c r="I14" s="56" t="inlineStr">
        <is>
          <t>Altura (m)</t>
        </is>
      </c>
    </row>
    <row r="15">
      <c r="A15" s="57" t="inlineStr">
        <is>
          <t>1</t>
        </is>
      </c>
      <c r="B15" s="57" t="inlineStr">
        <is>
          <t>Higuerón</t>
        </is>
      </c>
      <c r="C15" s="57" t="inlineStr">
        <is>
          <t>Ficus sp.</t>
        </is>
      </c>
      <c r="D15" s="57" t="inlineStr">
        <is>
          <t>Moraceae</t>
        </is>
      </c>
      <c r="E15" s="57" t="inlineStr">
        <is>
          <t>Arbóreo medio (8-15 m)</t>
        </is>
      </c>
      <c r="F15" s="57" t="inlineStr">
        <is>
          <t>Nativa</t>
        </is>
      </c>
      <c r="G15" s="57" t="inlineStr">
        <is>
          <t>Frecuente (5-20%)</t>
        </is>
      </c>
      <c r="H15" s="57" t="n"/>
      <c r="I15" s="57" t="n"/>
    </row>
    <row r="16">
      <c r="A16" s="58" t="inlineStr">
        <is>
          <t>2</t>
        </is>
      </c>
      <c r="B16" s="58" t="inlineStr">
        <is>
          <t>Nogal</t>
        </is>
      </c>
      <c r="C16" s="58" t="inlineStr">
        <is>
          <t>Juglans sp.</t>
        </is>
      </c>
      <c r="D16" s="58" t="inlineStr">
        <is>
          <t>Juglandaceae</t>
        </is>
      </c>
      <c r="E16" s="58" t="inlineStr">
        <is>
          <t>Arbóreo medio (8-15 m)</t>
        </is>
      </c>
      <c r="F16" s="58" t="inlineStr">
        <is>
          <t>Nativa</t>
        </is>
      </c>
      <c r="G16" s="58" t="inlineStr">
        <is>
          <t>Ocasional (1-5%)</t>
        </is>
      </c>
      <c r="H16" s="58" t="n"/>
      <c r="I16" s="58" t="n"/>
    </row>
    <row r="17">
      <c r="A17" s="57" t="inlineStr">
        <is>
          <t>3</t>
        </is>
      </c>
      <c r="B17" s="57" t="inlineStr">
        <is>
          <t>Chirimoya silvestre</t>
        </is>
      </c>
      <c r="C17" s="57" t="inlineStr">
        <is>
          <t>Annona sp.</t>
        </is>
      </c>
      <c r="D17" s="57" t="inlineStr">
        <is>
          <t>Annonaceae</t>
        </is>
      </c>
      <c r="E17" s="57" t="inlineStr">
        <is>
          <t>Arbóreo bajo (4-8 m)</t>
        </is>
      </c>
      <c r="F17" s="57" t="inlineStr">
        <is>
          <t>Nativa</t>
        </is>
      </c>
      <c r="G17" s="57" t="inlineStr">
        <is>
          <t>Ocasional (1-5%)</t>
        </is>
      </c>
      <c r="H17" s="57" t="n"/>
      <c r="I17" s="57" t="n"/>
    </row>
    <row r="18">
      <c r="A18" s="58" t="inlineStr">
        <is>
          <t>4</t>
        </is>
      </c>
      <c r="B18" s="58" t="inlineStr">
        <is>
          <t>Pacae</t>
        </is>
      </c>
      <c r="C18" s="58" t="inlineStr">
        <is>
          <t>Inga sp.</t>
        </is>
      </c>
      <c r="D18" s="58" t="inlineStr">
        <is>
          <t>Fabaceae</t>
        </is>
      </c>
      <c r="E18" s="58" t="inlineStr">
        <is>
          <t>Arbóreo bajo (4-8 m)</t>
        </is>
      </c>
      <c r="F18" s="58" t="inlineStr">
        <is>
          <t>Nativa</t>
        </is>
      </c>
      <c r="G18" s="58" t="inlineStr">
        <is>
          <t>Frecuente (5-20%)</t>
        </is>
      </c>
      <c r="H18" s="58" t="n"/>
      <c r="I18" s="58" t="n"/>
    </row>
    <row r="19">
      <c r="A19" s="57" t="inlineStr">
        <is>
          <t>5</t>
        </is>
      </c>
      <c r="B19" s="57" t="inlineStr">
        <is>
          <t>Romerillo / Podocarpus</t>
        </is>
      </c>
      <c r="C19" s="57" t="inlineStr">
        <is>
          <t>Podocarpus sp.</t>
        </is>
      </c>
      <c r="D19" s="57" t="inlineStr">
        <is>
          <t>Podocarpaceae</t>
        </is>
      </c>
      <c r="E19" s="57" t="inlineStr">
        <is>
          <t>Arbóreo medio (8-15 m)</t>
        </is>
      </c>
      <c r="F19" s="57" t="inlineStr">
        <is>
          <t>Nativa</t>
        </is>
      </c>
      <c r="G19" s="57" t="inlineStr">
        <is>
          <t>Rara (&lt;1%)</t>
        </is>
      </c>
      <c r="H19" s="57" t="n"/>
      <c r="I19" s="57" t="n"/>
    </row>
    <row r="20">
      <c r="A20" s="58" t="inlineStr">
        <is>
          <t>6</t>
        </is>
      </c>
      <c r="B20" s="58" t="inlineStr">
        <is>
          <t>Caña Guayaquil</t>
        </is>
      </c>
      <c r="C20" s="58" t="inlineStr">
        <is>
          <t>Guadua angustifolia</t>
        </is>
      </c>
      <c r="D20" s="58" t="inlineStr">
        <is>
          <t>Poaceae</t>
        </is>
      </c>
      <c r="E20" s="58" t="inlineStr">
        <is>
          <t>Arbustivo alto (1.5-4 m)</t>
        </is>
      </c>
      <c r="F20" s="58" t="inlineStr">
        <is>
          <t>Nativa</t>
        </is>
      </c>
      <c r="G20" s="58" t="inlineStr">
        <is>
          <t>Ocasional (1-5%)</t>
        </is>
      </c>
      <c r="H20" s="58" t="n"/>
      <c r="I20" s="58" t="n"/>
    </row>
    <row r="21">
      <c r="A21" s="57" t="inlineStr">
        <is>
          <t>7</t>
        </is>
      </c>
      <c r="B21" s="57" t="inlineStr">
        <is>
          <t>Yuca de monte</t>
        </is>
      </c>
      <c r="C21" s="57" t="inlineStr">
        <is>
          <t>Apodanthera biflora</t>
        </is>
      </c>
      <c r="D21" s="57" t="inlineStr">
        <is>
          <t>Cucurbitaceae</t>
        </is>
      </c>
      <c r="E21" s="57" t="inlineStr">
        <is>
          <t>Trepador</t>
        </is>
      </c>
      <c r="F21" s="57" t="inlineStr">
        <is>
          <t>Nativa</t>
        </is>
      </c>
      <c r="G21" s="57" t="inlineStr">
        <is>
          <t>Ocasional (1-5%)</t>
        </is>
      </c>
      <c r="H21" s="57" t="n"/>
      <c r="I21" s="57" t="n"/>
    </row>
    <row r="22">
      <c r="A22" s="58" t="inlineStr">
        <is>
          <t>8</t>
        </is>
      </c>
      <c r="B22" s="58" t="inlineStr">
        <is>
          <t>Helechos</t>
        </is>
      </c>
      <c r="C22" s="58" t="inlineStr">
        <is>
          <t>Pteridophyta (indet.)</t>
        </is>
      </c>
      <c r="D22" s="58" t="inlineStr">
        <is>
          <t>Polypodiopsida</t>
        </is>
      </c>
      <c r="E22" s="58" t="inlineStr">
        <is>
          <t>Herbáceo (&lt;0.5 m)</t>
        </is>
      </c>
      <c r="F22" s="58" t="inlineStr">
        <is>
          <t>Nativa</t>
        </is>
      </c>
      <c r="G22" s="58" t="inlineStr">
        <is>
          <t>Frecuente (5-20%)</t>
        </is>
      </c>
      <c r="H22" s="58" t="n"/>
      <c r="I22" s="58" t="n"/>
    </row>
    <row r="23">
      <c r="A23" s="57" t="inlineStr">
        <is>
          <t>9</t>
        </is>
      </c>
      <c r="B23" s="57" t="inlineStr">
        <is>
          <t>Bromelias epífitas</t>
        </is>
      </c>
      <c r="C23" s="57" t="inlineStr">
        <is>
          <t>Bromeliaceae (indet.)</t>
        </is>
      </c>
      <c r="D23" s="57" t="inlineStr">
        <is>
          <t>Bromeliaceae</t>
        </is>
      </c>
      <c r="E23" s="57" t="inlineStr">
        <is>
          <t>Epífito</t>
        </is>
      </c>
      <c r="F23" s="57" t="inlineStr">
        <is>
          <t>Nativa</t>
        </is>
      </c>
      <c r="G23" s="57" t="inlineStr">
        <is>
          <t>Ocasional (1-5%)</t>
        </is>
      </c>
      <c r="H23" s="57" t="n"/>
      <c r="I23" s="57" t="n"/>
    </row>
    <row r="24">
      <c r="A24" s="58" t="inlineStr">
        <is>
          <t>10</t>
        </is>
      </c>
      <c r="B24" s="58" t="inlineStr">
        <is>
          <t>Cactácea columnar</t>
        </is>
      </c>
      <c r="C24" s="58" t="inlineStr">
        <is>
          <t>Cactaceae (indet.)</t>
        </is>
      </c>
      <c r="D24" s="58" t="inlineStr">
        <is>
          <t>Cactaceae</t>
        </is>
      </c>
      <c r="E24" s="58" t="inlineStr">
        <is>
          <t>Arbustivo bajo (0.5-1.5 m)</t>
        </is>
      </c>
      <c r="F24" s="58" t="inlineStr">
        <is>
          <t>Nativa</t>
        </is>
      </c>
      <c r="G24" s="58" t="inlineStr">
        <is>
          <t>Rara (&lt;1%)</t>
        </is>
      </c>
      <c r="H24" s="58" t="n"/>
      <c r="I24" s="58" t="n"/>
    </row>
    <row r="25">
      <c r="A25" s="57" t="inlineStr">
        <is>
          <t>11</t>
        </is>
      </c>
      <c r="B25" s="57" t="inlineStr">
        <is>
          <t>Grevilea</t>
        </is>
      </c>
      <c r="C25" s="57" t="inlineStr">
        <is>
          <t>Grevillea robusta</t>
        </is>
      </c>
      <c r="D25" s="57" t="inlineStr">
        <is>
          <t>Proteaceae</t>
        </is>
      </c>
      <c r="E25" s="57" t="inlineStr">
        <is>
          <t>Arbóreo medio (8-15 m)</t>
        </is>
      </c>
      <c r="F25" s="57" t="inlineStr">
        <is>
          <t>Introducida</t>
        </is>
      </c>
      <c r="G25" s="57" t="inlineStr">
        <is>
          <t>Ocasional (1-5%)</t>
        </is>
      </c>
      <c r="H25" s="57" t="n"/>
      <c r="I25" s="57" t="n"/>
    </row>
    <row r="26">
      <c r="A26" s="58" t="inlineStr">
        <is>
          <t>12</t>
        </is>
      </c>
      <c r="B26" s="58" t="inlineStr">
        <is>
          <t>Eucalipto</t>
        </is>
      </c>
      <c r="C26" s="58" t="inlineStr">
        <is>
          <t>Eucalyptus globulus</t>
        </is>
      </c>
      <c r="D26" s="58" t="inlineStr">
        <is>
          <t>Myrtaceae</t>
        </is>
      </c>
      <c r="E26" s="58" t="inlineStr">
        <is>
          <t>Arbóreo superior (&gt;15 m)</t>
        </is>
      </c>
      <c r="F26" s="58" t="inlineStr">
        <is>
          <t>Introducida</t>
        </is>
      </c>
      <c r="G26" s="58" t="inlineStr">
        <is>
          <t>Frecuente (5-20%)</t>
        </is>
      </c>
      <c r="H26" s="58" t="n"/>
      <c r="I26" s="58" t="n"/>
    </row>
    <row r="27">
      <c r="A27" s="57" t="inlineStr">
        <is>
          <t>13</t>
        </is>
      </c>
      <c r="B27" s="57" t="inlineStr">
        <is>
          <t>Ciprés</t>
        </is>
      </c>
      <c r="C27" s="57" t="inlineStr">
        <is>
          <t>Cupressus macrocarpa</t>
        </is>
      </c>
      <c r="D27" s="57" t="inlineStr">
        <is>
          <t>Cupressaceae</t>
        </is>
      </c>
      <c r="E27" s="57" t="inlineStr">
        <is>
          <t>Arbóreo medio (8-15 m)</t>
        </is>
      </c>
      <c r="F27" s="57" t="inlineStr">
        <is>
          <t>Introducida</t>
        </is>
      </c>
      <c r="G27" s="57" t="inlineStr">
        <is>
          <t>Ocasional (1-5%)</t>
        </is>
      </c>
      <c r="H27" s="57" t="n"/>
      <c r="I27" s="57" t="n"/>
    </row>
    <row r="28">
      <c r="A28" s="58" t="inlineStr">
        <is>
          <t>14</t>
        </is>
      </c>
      <c r="B28" s="58" t="inlineStr">
        <is>
          <t>Pino</t>
        </is>
      </c>
      <c r="C28" s="58" t="inlineStr">
        <is>
          <t>Pinus sp.</t>
        </is>
      </c>
      <c r="D28" s="58" t="inlineStr">
        <is>
          <t>Pinaceae</t>
        </is>
      </c>
      <c r="E28" s="58" t="inlineStr">
        <is>
          <t>Arbóreo medio (8-15 m)</t>
        </is>
      </c>
      <c r="F28" s="58" t="inlineStr">
        <is>
          <t>Introducida</t>
        </is>
      </c>
      <c r="G28" s="58" t="inlineStr">
        <is>
          <t>Ocasional (1-5%)</t>
        </is>
      </c>
      <c r="H28" s="58" t="n"/>
      <c r="I28" s="58" t="n"/>
    </row>
    <row r="29">
      <c r="A29" s="57" t="inlineStr">
        <is>
          <t>15</t>
        </is>
      </c>
      <c r="B29" s="57" t="inlineStr">
        <is>
          <t>Pastos cultivados</t>
        </is>
      </c>
      <c r="C29" s="57" t="inlineStr">
        <is>
          <t>Poaceae (indet.)</t>
        </is>
      </c>
      <c r="D29" s="57" t="inlineStr">
        <is>
          <t>Poaceae</t>
        </is>
      </c>
      <c r="E29" s="57" t="inlineStr">
        <is>
          <t>Herbáceo (&lt;0.5 m)</t>
        </is>
      </c>
      <c r="F29" s="57" t="inlineStr">
        <is>
          <t>Introducida</t>
        </is>
      </c>
      <c r="G29" s="57" t="inlineStr">
        <is>
          <t>Dominante (&gt;40%)</t>
        </is>
      </c>
      <c r="H29" s="57" t="n"/>
      <c r="I29" s="57" t="n"/>
    </row>
    <row r="31">
      <c r="A31" s="55" t="inlineStr">
        <is>
          <t>F-DT-03 · ESPECIES CLAVE GEORREFERENCIADAS</t>
        </is>
      </c>
    </row>
    <row r="32">
      <c r="A32" s="56" t="inlineStr">
        <is>
          <t>N.o</t>
        </is>
      </c>
      <c r="B32" s="56" t="inlineStr">
        <is>
          <t>Especie</t>
        </is>
      </c>
      <c r="C32" s="56" t="inlineStr">
        <is>
          <t>Categoría</t>
        </is>
      </c>
      <c r="D32" s="56" t="inlineStr">
        <is>
          <t>Estado UICN</t>
        </is>
      </c>
      <c r="E32" s="56" t="inlineStr">
        <is>
          <t>UTM ESTE</t>
        </is>
      </c>
      <c r="F32" s="56" t="inlineStr">
        <is>
          <t>UTM NORTE</t>
        </is>
      </c>
      <c r="G32" s="56" t="inlineStr">
        <is>
          <t>N.° individuos</t>
        </is>
      </c>
      <c r="H32" s="56" t="inlineStr">
        <is>
          <t>Observación</t>
        </is>
      </c>
    </row>
    <row r="33">
      <c r="A33" s="57" t="inlineStr">
        <is>
          <t>1</t>
        </is>
      </c>
      <c r="B33" s="57" t="inlineStr">
        <is>
          <t>Nogal (Juglans sp.)</t>
        </is>
      </c>
      <c r="C33" s="57" t="inlineStr">
        <is>
          <t>Amenazada (D.S. 043-2006-AG)</t>
        </is>
      </c>
      <c r="D33" s="57" t="inlineStr">
        <is>
          <t>EN — En Peligro</t>
        </is>
      </c>
      <c r="E33" s="62" t="n">
        <v>621055</v>
      </c>
      <c r="F33" s="62" t="n">
        <v>9444111</v>
      </c>
      <c r="G33" s="57" t="n"/>
      <c r="H33" s="57" t="inlineStr">
        <is>
          <t>Si se confirma Juglans neotropica (EN); determinación por confirmar</t>
        </is>
      </c>
    </row>
    <row r="34">
      <c r="A34" s="58" t="inlineStr">
        <is>
          <t>2</t>
        </is>
      </c>
      <c r="B34" s="58" t="inlineStr">
        <is>
          <t>Romerillo (Podocarpus sp.)</t>
        </is>
      </c>
      <c r="C34" s="58" t="inlineStr">
        <is>
          <t>Amenazada (D.S. 043-2006-AG)</t>
        </is>
      </c>
      <c r="D34" s="58" t="inlineStr">
        <is>
          <t>VU — Vulnerable</t>
        </is>
      </c>
      <c r="E34" s="58" t="n"/>
      <c r="F34" s="58" t="n"/>
      <c r="G34" s="58" t="n"/>
      <c r="H34" s="58" t="inlineStr">
        <is>
          <t>Género protegido; especie y categoría por confirmar</t>
        </is>
      </c>
    </row>
    <row r="35">
      <c r="A35" s="57" t="inlineStr">
        <is>
          <t>3</t>
        </is>
      </c>
      <c r="B35" s="57" t="inlineStr">
        <is>
          <t>Higuerón (Ficus sp.)</t>
        </is>
      </c>
      <c r="C35" s="57" t="inlineStr">
        <is>
          <t>Indicadora de buen estado</t>
        </is>
      </c>
      <c r="D35" s="57" t="inlineStr">
        <is>
          <t>No aplica</t>
        </is>
      </c>
      <c r="E35" s="57" t="n"/>
      <c r="F35" s="57" t="n"/>
      <c r="G35" s="57" t="n"/>
      <c r="H35" s="57" t="inlineStr">
        <is>
          <t>Nativo emergente de relictos montanos</t>
        </is>
      </c>
    </row>
    <row r="36">
      <c r="A36" s="58" t="inlineStr">
        <is>
          <t>4</t>
        </is>
      </c>
      <c r="B36" s="58" t="inlineStr">
        <is>
          <t>Pacae (Inga sp.)</t>
        </is>
      </c>
      <c r="C36" s="58" t="inlineStr">
        <is>
          <t>Indicadora de buen estado</t>
        </is>
      </c>
      <c r="D36" s="58" t="inlineStr">
        <is>
          <t>NE — No Evaluado</t>
        </is>
      </c>
      <c r="E36" s="63" t="n">
        <v>621042</v>
      </c>
      <c r="F36" s="63" t="n">
        <v>9444111</v>
      </c>
      <c r="G36" s="58" t="n"/>
      <c r="H36" s="58" t="inlineStr">
        <is>
          <t>Nativo; fija nitrógeno, indicador de humedad</t>
        </is>
      </c>
    </row>
    <row r="37">
      <c r="A37" s="57" t="inlineStr">
        <is>
          <t>5</t>
        </is>
      </c>
      <c r="B37" s="57" t="inlineStr">
        <is>
          <t>Chirimoya silvestre (Annona sp.)</t>
        </is>
      </c>
      <c r="C37" s="57" t="inlineStr">
        <is>
          <t>Clave cultural</t>
        </is>
      </c>
      <c r="D37" s="57" t="inlineStr">
        <is>
          <t>NE — No Evaluado</t>
        </is>
      </c>
      <c r="E37" s="57" t="n"/>
      <c r="F37" s="57" t="n"/>
      <c r="G37" s="57" t="n"/>
      <c r="H37" s="57" t="inlineStr">
        <is>
          <t>Uso local; determinación por confirmar</t>
        </is>
      </c>
    </row>
    <row r="39">
      <c r="A39" s="55" t="inlineStr">
        <is>
          <t>F-DT-04 · MATRIZ DE CAUSAS DE DEGRADACIÓN</t>
        </is>
      </c>
    </row>
    <row r="40">
      <c r="A40" s="56" t="inlineStr">
        <is>
          <t>N.o</t>
        </is>
      </c>
      <c r="B40" s="56" t="inlineStr">
        <is>
          <t>Causa</t>
        </is>
      </c>
      <c r="C40" s="56" t="inlineStr">
        <is>
          <t>Presencia</t>
        </is>
      </c>
      <c r="D40" s="56" t="inlineStr">
        <is>
          <t>Intensidad</t>
        </is>
      </c>
      <c r="E40" s="56" t="inlineStr">
        <is>
          <t>Extensión</t>
        </is>
      </c>
      <c r="F40" s="56" t="inlineStr">
        <is>
          <t>Antigüedad</t>
        </is>
      </c>
      <c r="G40" s="56" t="inlineStr">
        <is>
          <t>Evidencia</t>
        </is>
      </c>
    </row>
    <row r="41">
      <c r="A41" s="57" t="inlineStr">
        <is>
          <t>1</t>
        </is>
      </c>
      <c r="B41" s="57" t="inlineStr">
        <is>
          <t>Sobrepastoreo (caprino/vacuno)</t>
        </is>
      </c>
      <c r="C41" s="57" t="inlineStr">
        <is>
          <t>Sí</t>
        </is>
      </c>
      <c r="D41" s="57" t="inlineStr">
        <is>
          <t>Moderada</t>
        </is>
      </c>
      <c r="E41" s="57" t="inlineStr">
        <is>
          <t>40</t>
        </is>
      </c>
      <c r="F41" s="57" t="inlineStr"/>
      <c r="G41" s="57" t="inlineStr">
        <is>
          <t>Ganado vacuno y asnal en laderas; pisoteo y huellas (F-12, F-16)</t>
        </is>
      </c>
    </row>
    <row r="42">
      <c r="A42" s="58" t="inlineStr">
        <is>
          <t>2</t>
        </is>
      </c>
      <c r="B42" s="58" t="inlineStr">
        <is>
          <t>Tala para leña</t>
        </is>
      </c>
      <c r="C42" s="58" t="inlineStr">
        <is>
          <t>Sí</t>
        </is>
      </c>
      <c r="D42" s="58" t="inlineStr">
        <is>
          <t>Ligera</t>
        </is>
      </c>
      <c r="E42" s="58" t="inlineStr"/>
      <c r="F42" s="58" t="inlineStr"/>
      <c r="G42" s="58" t="inlineStr">
        <is>
          <t>Extracción puntual de leña para autoconsumo (por verificar)</t>
        </is>
      </c>
    </row>
    <row r="43">
      <c r="A43" s="57" t="inlineStr">
        <is>
          <t>3</t>
        </is>
      </c>
      <c r="B43" s="57" t="inlineStr">
        <is>
          <t>Tala para carbón</t>
        </is>
      </c>
      <c r="C43" s="57" t="inlineStr">
        <is>
          <t>No</t>
        </is>
      </c>
      <c r="D43" s="57" t="inlineStr"/>
      <c r="E43" s="57" t="inlineStr"/>
      <c r="F43" s="57" t="inlineStr"/>
      <c r="G43" s="57" t="inlineStr"/>
    </row>
    <row r="44">
      <c r="A44" s="58" t="inlineStr">
        <is>
          <t>4</t>
        </is>
      </c>
      <c r="B44" s="58" t="inlineStr">
        <is>
          <t>Tala para madera</t>
        </is>
      </c>
      <c r="C44" s="58" t="inlineStr">
        <is>
          <t>No</t>
        </is>
      </c>
      <c r="D44" s="58" t="inlineStr"/>
      <c r="E44" s="58" t="inlineStr"/>
      <c r="F44" s="58" t="inlineStr"/>
      <c r="G44" s="58" t="inlineStr"/>
    </row>
    <row r="45">
      <c r="A45" s="57" t="inlineStr">
        <is>
          <t>5</t>
        </is>
      </c>
      <c r="B45" s="57" t="inlineStr">
        <is>
          <t>Quema (renovación de pastos)</t>
        </is>
      </c>
      <c r="C45" s="57" t="inlineStr">
        <is>
          <t>Sí</t>
        </is>
      </c>
      <c r="D45" s="57" t="inlineStr">
        <is>
          <t>Moderada</t>
        </is>
      </c>
      <c r="E45" s="57" t="inlineStr">
        <is>
          <t>10</t>
        </is>
      </c>
      <c r="F45" s="57" t="inlineStr"/>
      <c r="G45" s="57" t="inlineStr">
        <is>
          <t>Sector de pastizal quemado en ladera (F-09)</t>
        </is>
      </c>
    </row>
    <row r="46">
      <c r="A46" s="58" t="inlineStr">
        <is>
          <t>6</t>
        </is>
      </c>
      <c r="B46" s="58" t="inlineStr">
        <is>
          <t>Quema accidental / Incendio</t>
        </is>
      </c>
      <c r="C46" s="58" t="inlineStr">
        <is>
          <t>No</t>
        </is>
      </c>
      <c r="D46" s="58" t="inlineStr"/>
      <c r="E46" s="58" t="inlineStr"/>
      <c r="F46" s="58" t="inlineStr"/>
      <c r="G46" s="58" t="inlineStr"/>
    </row>
    <row r="47">
      <c r="A47" s="57" t="inlineStr">
        <is>
          <t>7</t>
        </is>
      </c>
      <c r="B47" s="57" t="inlineStr">
        <is>
          <t>Cambio de uso a agricultura</t>
        </is>
      </c>
      <c r="C47" s="57" t="inlineStr">
        <is>
          <t>Sí</t>
        </is>
      </c>
      <c r="D47" s="57" t="inlineStr">
        <is>
          <t>Moderada</t>
        </is>
      </c>
      <c r="E47" s="57" t="inlineStr">
        <is>
          <t>20</t>
        </is>
      </c>
      <c r="F47" s="57" t="inlineStr"/>
      <c r="G47" s="57" t="inlineStr">
        <is>
          <t>Parcelas de maíz, arveja y trigo en laderas</t>
        </is>
      </c>
    </row>
    <row r="48">
      <c r="A48" s="58" t="inlineStr">
        <is>
          <t>8</t>
        </is>
      </c>
      <c r="B48" s="58" t="inlineStr">
        <is>
          <t>Cambio de uso a pastoreo</t>
        </is>
      </c>
      <c r="C48" s="58" t="inlineStr">
        <is>
          <t>Sí</t>
        </is>
      </c>
      <c r="D48" s="58" t="inlineStr">
        <is>
          <t>Moderada</t>
        </is>
      </c>
      <c r="E48" s="58" t="inlineStr">
        <is>
          <t>35</t>
        </is>
      </c>
      <c r="F48" s="58" t="inlineStr"/>
      <c r="G48" s="58" t="inlineStr">
        <is>
          <t>Conversión a pastos cultivados (cobertura dominante)</t>
        </is>
      </c>
    </row>
    <row r="49">
      <c r="A49" s="57" t="inlineStr">
        <is>
          <t>9</t>
        </is>
      </c>
      <c r="B49" s="57" t="inlineStr">
        <is>
          <t>Expansión urbana / vial</t>
        </is>
      </c>
      <c r="C49" s="57" t="inlineStr">
        <is>
          <t>Sí</t>
        </is>
      </c>
      <c r="D49" s="57" t="inlineStr">
        <is>
          <t>Ligera</t>
        </is>
      </c>
      <c r="E49" s="57" t="inlineStr">
        <is>
          <t>10</t>
        </is>
      </c>
      <c r="F49" s="57" t="inlineStr"/>
      <c r="G49" s="57" t="inlineStr">
        <is>
          <t>Taludes de corte inestables de la trocha afirmada (F-13, F-14)</t>
        </is>
      </c>
    </row>
    <row r="50">
      <c r="A50" s="58" t="inlineStr">
        <is>
          <t>10</t>
        </is>
      </c>
      <c r="B50" s="58" t="inlineStr">
        <is>
          <t>Minería informal</t>
        </is>
      </c>
      <c r="C50" s="58" t="inlineStr">
        <is>
          <t>No</t>
        </is>
      </c>
      <c r="D50" s="58" t="inlineStr"/>
      <c r="E50" s="58" t="inlineStr"/>
      <c r="F50" s="58" t="inlineStr"/>
      <c r="G50" s="58" t="inlineStr"/>
    </row>
    <row r="51">
      <c r="A51" s="57" t="inlineStr">
        <is>
          <t>11</t>
        </is>
      </c>
      <c r="B51" s="57" t="inlineStr">
        <is>
          <t>Extracción de áridos (cauces)</t>
        </is>
      </c>
      <c r="C51" s="57" t="inlineStr">
        <is>
          <t>No</t>
        </is>
      </c>
      <c r="D51" s="57" t="inlineStr"/>
      <c r="E51" s="57" t="inlineStr"/>
      <c r="F51" s="57" t="inlineStr"/>
      <c r="G51" s="57" t="inlineStr"/>
    </row>
    <row r="52">
      <c r="A52" s="58" t="inlineStr">
        <is>
          <t>12</t>
        </is>
      </c>
      <c r="B52" s="58" t="inlineStr">
        <is>
          <t>Especies invasoras</t>
        </is>
      </c>
      <c r="C52" s="58" t="inlineStr">
        <is>
          <t>Sí</t>
        </is>
      </c>
      <c r="D52" s="58" t="inlineStr">
        <is>
          <t>Ligera</t>
        </is>
      </c>
      <c r="E52" s="58" t="inlineStr"/>
      <c r="F52" s="58" t="inlineStr"/>
      <c r="G52" s="58" t="inlineStr">
        <is>
          <t>Plantaciones exóticas: Pino, Ciprés, Eucalipto; Agave en taludes</t>
        </is>
      </c>
    </row>
    <row r="53">
      <c r="A53" s="57" t="inlineStr">
        <is>
          <t>13</t>
        </is>
      </c>
      <c r="B53" s="57" t="inlineStr">
        <is>
          <t>Erosión natural severa</t>
        </is>
      </c>
      <c r="C53" s="57" t="inlineStr">
        <is>
          <t>Sí</t>
        </is>
      </c>
      <c r="D53" s="57" t="inlineStr">
        <is>
          <t>Ligera</t>
        </is>
      </c>
      <c r="E53" s="57" t="inlineStr">
        <is>
          <t>5</t>
        </is>
      </c>
      <c r="F53" s="57" t="inlineStr"/>
      <c r="G53" s="57" t="inlineStr">
        <is>
          <t>Surcos y cárcavas someras en líneas de drenaje y taludes</t>
        </is>
      </c>
    </row>
    <row r="54">
      <c r="A54" s="58" t="inlineStr">
        <is>
          <t>14</t>
        </is>
      </c>
      <c r="B54" s="58" t="inlineStr">
        <is>
          <t>Sequía prolongada / CC</t>
        </is>
      </c>
      <c r="C54" s="58" t="inlineStr">
        <is>
          <t>No</t>
        </is>
      </c>
      <c r="D54" s="58" t="inlineStr"/>
      <c r="E54" s="58" t="inlineStr"/>
      <c r="F54" s="58" t="inlineStr"/>
      <c r="G54" s="58" t="inlineStr"/>
    </row>
    <row r="55">
      <c r="A55" s="57" t="inlineStr">
        <is>
          <t>15</t>
        </is>
      </c>
      <c r="B55" s="57" t="inlineStr">
        <is>
          <t>Plagas o enfermedades forestales</t>
        </is>
      </c>
      <c r="C55" s="57" t="inlineStr">
        <is>
          <t>No</t>
        </is>
      </c>
      <c r="D55" s="57" t="inlineStr"/>
      <c r="E55" s="57" t="inlineStr"/>
      <c r="F55" s="57" t="inlineStr"/>
      <c r="G55" s="57" t="inlineStr"/>
    </row>
    <row r="56">
      <c r="A56" s="58" t="inlineStr">
        <is>
          <t>16</t>
        </is>
      </c>
      <c r="B56" s="58" t="inlineStr">
        <is>
          <t>Otro</t>
        </is>
      </c>
      <c r="C56" s="58" t="inlineStr">
        <is>
          <t>No</t>
        </is>
      </c>
      <c r="D56" s="58" t="inlineStr"/>
      <c r="E56" s="58" t="inlineStr"/>
      <c r="F56" s="58" t="inlineStr"/>
      <c r="G56" s="58" t="inlineStr"/>
    </row>
    <row r="58">
      <c r="A58" s="55" t="inlineStr">
        <is>
          <t>F-DT-04 · INDICADORES CUANTITATIVOS</t>
        </is>
      </c>
    </row>
    <row r="59">
      <c r="A59" s="56" t="inlineStr">
        <is>
          <t>N.o</t>
        </is>
      </c>
      <c r="B59" s="56" t="inlineStr">
        <is>
          <t>Indicador</t>
        </is>
      </c>
      <c r="C59" s="56" t="inlineStr">
        <is>
          <t>Unidad</t>
        </is>
      </c>
      <c r="D59" s="56" t="inlineStr">
        <is>
          <t>Valor</t>
        </is>
      </c>
      <c r="E59" s="56" t="inlineStr">
        <is>
          <t>Fuente</t>
        </is>
      </c>
      <c r="F59" s="56" t="inlineStr">
        <is>
          <t>Umbral</t>
        </is>
      </c>
      <c r="G59" s="56" t="inlineStr">
        <is>
          <t>Nivel</t>
        </is>
      </c>
    </row>
    <row r="60">
      <c r="A60" s="57" t="inlineStr">
        <is>
          <t>1</t>
        </is>
      </c>
      <c r="B60" s="57" t="inlineStr">
        <is>
          <t>Cobertura vegetal total</t>
        </is>
      </c>
      <c r="C60" s="57" t="inlineStr">
        <is>
          <t>%</t>
        </is>
      </c>
      <c r="D60" s="57" t="inlineStr">
        <is>
          <t>80</t>
        </is>
      </c>
      <c r="E60" s="57" t="inlineStr">
        <is>
          <t>MSAVI 2024 (Sentinel-2) + estimación ocular</t>
        </is>
      </c>
      <c r="F60" s="57" t="inlineStr">
        <is>
          <t>&gt;60% bueno; 30-60% medio; &lt;30% malo</t>
        </is>
      </c>
      <c r="G60" s="57" t="inlineStr">
        <is>
          <t>Alto</t>
        </is>
      </c>
    </row>
    <row r="61">
      <c r="A61" s="58" t="inlineStr">
        <is>
          <t>2</t>
        </is>
      </c>
      <c r="B61" s="58" t="inlineStr">
        <is>
          <t>Porcentaje de suelo desnudo</t>
        </is>
      </c>
      <c r="C61" s="58" t="inlineStr">
        <is>
          <t>%</t>
        </is>
      </c>
      <c r="D61" s="58" t="inlineStr">
        <is>
          <t>10</t>
        </is>
      </c>
      <c r="E61" s="58" t="inlineStr">
        <is>
          <t>Estimación ocular de campo</t>
        </is>
      </c>
      <c r="F61" s="58" t="inlineStr">
        <is>
          <t>&lt;10% bueno; 10-30% medio; &gt;30% malo</t>
        </is>
      </c>
      <c r="G61" s="58" t="inlineStr">
        <is>
          <t>Bajo</t>
        </is>
      </c>
    </row>
    <row r="62">
      <c r="A62" s="57" t="inlineStr">
        <is>
          <t>3</t>
        </is>
      </c>
      <c r="B62" s="57" t="inlineStr">
        <is>
          <t>Densidad de cárcavas</t>
        </is>
      </c>
      <c r="C62" s="57" t="inlineStr">
        <is>
          <t>N°/ha</t>
        </is>
      </c>
      <c r="D62" s="57" t="inlineStr"/>
      <c r="E62" s="57" t="inlineStr"/>
      <c r="F62" s="57" t="inlineStr">
        <is>
          <t>0 nulo; 1-3 medio; &gt;3 alto</t>
        </is>
      </c>
      <c r="G62" s="57" t="inlineStr"/>
    </row>
    <row r="63">
      <c r="A63" s="58" t="inlineStr">
        <is>
          <t>4</t>
        </is>
      </c>
      <c r="B63" s="58" t="inlineStr">
        <is>
          <t>Presencia de especies invasoras</t>
        </is>
      </c>
      <c r="C63" s="58" t="inlineStr">
        <is>
          <t>% área</t>
        </is>
      </c>
      <c r="D63" s="58" t="inlineStr">
        <is>
          <t>10</t>
        </is>
      </c>
      <c r="E63" s="58" t="inlineStr">
        <is>
          <t>Estimación ocular (plantaciones exóticas)</t>
        </is>
      </c>
      <c r="F63" s="58" t="inlineStr">
        <is>
          <t>&lt;5% bueno; 5-20% medio; &gt;20% alto</t>
        </is>
      </c>
      <c r="G63" s="58" t="inlineStr">
        <is>
          <t>Medio</t>
        </is>
      </c>
    </row>
    <row r="64">
      <c r="A64" s="57" t="inlineStr">
        <is>
          <t>5</t>
        </is>
      </c>
      <c r="B64" s="57" t="inlineStr">
        <is>
          <t>Carga ganadera estimada</t>
        </is>
      </c>
      <c r="C64" s="57" t="inlineStr">
        <is>
          <t>UA/ha</t>
        </is>
      </c>
      <c r="D64" s="57" t="inlineStr"/>
      <c r="E64" s="57" t="inlineStr"/>
      <c r="F64" s="57" t="inlineStr">
        <is>
          <t>Según tipo de ecosistema</t>
        </is>
      </c>
      <c r="G64" s="57" t="inlineStr"/>
    </row>
    <row r="65">
      <c r="A65" s="58" t="inlineStr">
        <is>
          <t>6</t>
        </is>
      </c>
      <c r="B65" s="58" t="inlineStr">
        <is>
          <t>Frecuencia de quemas últimos 5 años</t>
        </is>
      </c>
      <c r="C65" s="58" t="inlineStr">
        <is>
          <t>N°</t>
        </is>
      </c>
      <c r="D65" s="58" t="inlineStr"/>
      <c r="E65" s="58" t="inlineStr"/>
      <c r="F65" s="58" t="inlineStr">
        <is>
          <t>0 nulo; 1-2 medio; &gt;2 alto</t>
        </is>
      </c>
      <c r="G65" s="58" t="inlineStr"/>
    </row>
    <row r="66">
      <c r="A66" s="57" t="inlineStr">
        <is>
          <t>7</t>
        </is>
      </c>
      <c r="B66" s="57" t="inlineStr">
        <is>
          <t>% área con pendiente &gt;50%</t>
        </is>
      </c>
      <c r="C66" s="57" t="inlineStr">
        <is>
          <t>%</t>
        </is>
      </c>
      <c r="D66" s="57" t="inlineStr">
        <is>
          <t>30</t>
        </is>
      </c>
      <c r="E66" s="57" t="inlineStr">
        <is>
          <t>Perfil de elevación Google Earth (máx. 55%)</t>
        </is>
      </c>
      <c r="F66" s="57" t="inlineStr">
        <is>
          <t>Factor de susceptibilidad</t>
        </is>
      </c>
      <c r="G66" s="57" t="inlineStr">
        <is>
          <t>Medio</t>
        </is>
      </c>
    </row>
    <row r="67">
      <c r="A67" s="58" t="inlineStr">
        <is>
          <t>8</t>
        </is>
      </c>
      <c r="B67" s="58" t="inlineStr">
        <is>
          <t>Distancia a vía vecinal más cercana</t>
        </is>
      </c>
      <c r="C67" s="58" t="inlineStr">
        <is>
          <t>m</t>
        </is>
      </c>
      <c r="D67" s="58" t="inlineStr">
        <is>
          <t>0</t>
        </is>
      </c>
      <c r="E67" s="58" t="inlineStr">
        <is>
          <t>Trocha afirmada atraviesa el bloque</t>
        </is>
      </c>
      <c r="F67" s="58" t="inlineStr">
        <is>
          <t>A menor distancia → mayor presión</t>
        </is>
      </c>
      <c r="G67" s="58" t="inlineStr">
        <is>
          <t>Alto</t>
        </is>
      </c>
    </row>
    <row r="69">
      <c r="A69" s="55" t="inlineStr">
        <is>
          <t>F-DT-05 · FUENTES DE AGUA INVENTARIADAS</t>
        </is>
      </c>
    </row>
    <row r="70">
      <c r="A70" s="56" t="inlineStr">
        <is>
          <t>N.o</t>
        </is>
      </c>
      <c r="B70" s="56" t="inlineStr">
        <is>
          <t>Tipo de fuente</t>
        </is>
      </c>
      <c r="C70" s="56" t="inlineStr">
        <is>
          <t>UTM ESTE</t>
        </is>
      </c>
      <c r="D70" s="56" t="inlineStr">
        <is>
          <t>UTM NORTE</t>
        </is>
      </c>
      <c r="E70" s="56" t="inlineStr">
        <is>
          <t>Régimen</t>
        </is>
      </c>
      <c r="F70" s="56" t="inlineStr">
        <is>
          <t>Calidad</t>
        </is>
      </c>
      <c r="G70" s="56" t="inlineStr">
        <is>
          <t>Distancia (m)</t>
        </is>
      </c>
      <c r="H70" s="56" t="inlineStr">
        <is>
          <t>Uso / observación</t>
        </is>
      </c>
    </row>
    <row r="71">
      <c r="A71" s="57" t="inlineStr">
        <is>
          <t>1</t>
        </is>
      </c>
      <c r="B71" s="57" t="inlineStr">
        <is>
          <t>Quebrada estacional</t>
        </is>
      </c>
      <c r="C71" s="62" t="n">
        <v>621000</v>
      </c>
      <c r="D71" s="62" t="n">
        <v>9443900</v>
      </c>
      <c r="E71" s="57" t="inlineStr">
        <is>
          <t>Estacional (lluvias)</t>
        </is>
      </c>
      <c r="F71" s="57" t="inlineStr">
        <is>
          <t>No evaluable</t>
        </is>
      </c>
      <c r="G71" s="57" t="n"/>
      <c r="H71" s="57" t="inlineStr">
        <is>
          <t>Quebrada tributaria que delimita el bloque por el O (ubic. aprox., régimen por verificar)</t>
        </is>
      </c>
    </row>
    <row r="74">
      <c r="A74" s="55" t="inlineStr">
        <is>
          <t>OBSERVACIONES DEL EVALUADOR POR FICHA</t>
        </is>
      </c>
    </row>
    <row r="75">
      <c r="A75" s="56" t="inlineStr">
        <is>
          <t>Ficha</t>
        </is>
      </c>
      <c r="B75" s="56" t="inlineStr">
        <is>
          <t>Observación registrada en campo</t>
        </is>
      </c>
    </row>
    <row r="76">
      <c r="A76" s="57" t="inlineStr">
        <is>
          <t>F-DT-01</t>
        </is>
      </c>
      <c r="B76" s="57" t="inlineStr">
        <is>
          <t>Pendiente media del recorrido 34,6 % y máxima 55,3 % (perfil Google Earth, longitud ≈ 554 m, cotas 1833–2029 msnm). Las evidencias de inestabilidad (escarpes y desprendimientos) se concentran en los taludes de corte de la trocha afirmada (periferia/franja vial), no en la superficie natural del bloque. Coordenadas fotográficas pueden presentar leve error por señal GPS de celular. Bloque seleccionado por su rol en la regulación de movimientos en masa y de la escorrentía en la zona de origen de los peligros (cabecera de microcuenca).</t>
        </is>
      </c>
    </row>
    <row r="77">
      <c r="A77" s="58" t="inlineStr">
        <is>
          <t>F-DT-02</t>
        </is>
      </c>
      <c r="B77" s="58" t="inlineStr">
        <is>
          <t>Los rasgos erosivos más marcados (surcos y cárcavas someras) se localizan en los taludes de corte de la trocha afirmada que atraviesa el bloque y en sendas de ganado. Dimensiones instrumentales (longitud, profundidad, ancho), longitud total acumulada y densidad por hectárea quedan pendientes de levantamiento por el especialista de Infraestructura Marrón. Se observó un sector con quema reciente de pastizal asociado a erosión incipiente.</t>
        </is>
      </c>
    </row>
    <row r="78">
      <c r="A78" s="57" t="inlineStr">
        <is>
          <t>F-DT-03</t>
        </is>
      </c>
      <c r="B78" s="57" t="inlineStr">
        <is>
          <t>El bloque integra tres ecosistemas MINAM: Bosque relicto montano de vertiente occidental (Br-mvoc, 3,15 ha), Matorral andino (Ma, 25,14 ha) y Zona agrícola (Agri, 7,37 ha), que suman las 35,66 ha del bloque. Lista florística PRELIMINAR, basada en juicio de experto sobre fotografías y literatura regional; nombres a nivel de especie y categorías de conservación sujetos a colección y determinación botánica formal. DAP y alturas no medidos en este reconocimiento.</t>
        </is>
      </c>
    </row>
    <row r="79">
      <c r="A79" s="58" t="inlineStr">
        <is>
          <t>F-DT-05</t>
        </is>
      </c>
      <c r="B79" s="58" t="inlineStr">
        <is>
          <t>No se identificaron manantiales ni captaciones poblacionales dentro del recorrido; la distancia a captación poblacional, el nombre de la JASS y los datos de la Ronda Campesina quedan por verificar. El bloque se ubica en zona de origen y recarga de la microcuenca C1086-Q9570; la presencia de helechos, epífitas y relictos de bosque montano evidencia humedad. Acceso en camioneta por trocha afirmada y a pie por camino de herradura. Señal/operador celular, tiempos de viaje y alojamiento no registrados por no ser necesarios para este diagnóstico.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82</t>
        </is>
      </c>
    </row>
    <row r="7">
      <c r="A7" s="55" t="inlineStr">
        <is>
          <t>Hechos declarados por fuente</t>
        </is>
      </c>
    </row>
    <row r="8">
      <c r="A8" s="56" t="inlineStr">
        <is>
          <t>Fuente</t>
        </is>
      </c>
      <c r="B8" s="56" t="inlineStr">
        <is>
          <t>Hechos</t>
        </is>
      </c>
    </row>
    <row r="9">
      <c r="A9" s="57" t="inlineStr">
        <is>
          <t>Dato de campo</t>
        </is>
      </c>
      <c r="B9" s="57" t="n">
        <v>63</v>
      </c>
    </row>
    <row r="10">
      <c r="A10" s="58" t="inlineStr">
        <is>
          <t>Gabinete (GIS / teledetección)</t>
        </is>
      </c>
      <c r="B10" s="58" t="n">
        <v>22</v>
      </c>
    </row>
    <row r="11">
      <c r="A11" s="57" t="inlineStr">
        <is>
          <t>Fuente oficial</t>
        </is>
      </c>
      <c r="B11" s="57" t="n">
        <v>14</v>
      </c>
    </row>
    <row r="26">
      <c r="A26" s="55" t="inlineStr">
        <is>
          <t>Estado del cruce entre fuentes</t>
        </is>
      </c>
    </row>
    <row r="27">
      <c r="A27" s="56" t="inlineStr">
        <is>
          <t>Estado</t>
        </is>
      </c>
      <c r="B27" s="56" t="inlineStr">
        <is>
          <t>Hechos</t>
        </is>
      </c>
    </row>
    <row r="28">
      <c r="A28" s="57" t="inlineStr">
        <is>
          <t>CONFORME</t>
        </is>
      </c>
      <c r="B28" s="57" t="n">
        <v>97</v>
      </c>
    </row>
    <row r="29">
      <c r="A29" s="58" t="inlineStr">
        <is>
          <t>COMPLEMENTADO</t>
        </is>
      </c>
      <c r="B29" s="58" t="n">
        <v>1</v>
      </c>
    </row>
    <row r="30">
      <c r="A30" s="57" t="inlineStr">
        <is>
          <t>ACTUALIZADO</t>
        </is>
      </c>
      <c r="B30" s="57" t="n">
        <v>1</v>
      </c>
    </row>
    <row r="31">
      <c r="A31" s="58" t="inlineStr">
        <is>
          <t>DISCREPANTE</t>
        </is>
      </c>
      <c r="B31" s="58" t="n">
        <v>0</v>
      </c>
    </row>
    <row r="32">
      <c r="A32" s="57" t="inlineStr">
        <is>
          <t>PENDIENTE</t>
        </is>
      </c>
      <c r="B32" s="57" t="n">
        <v>15</v>
      </c>
    </row>
    <row r="45">
      <c r="A45" s="55" t="inlineStr">
        <is>
          <t>Cobertura por estrato — campo (%)</t>
        </is>
      </c>
    </row>
    <row r="46">
      <c r="A46" s="56" t="inlineStr">
        <is>
          <t>Estrato</t>
        </is>
      </c>
      <c r="B46" s="56" t="inlineStr">
        <is>
          <t>% del área</t>
        </is>
      </c>
    </row>
    <row r="47">
      <c r="A47" s="57" t="inlineStr">
        <is>
          <t>Dosel</t>
        </is>
      </c>
      <c r="B47" s="62" t="n">
        <v>30</v>
      </c>
    </row>
    <row r="48">
      <c r="A48" s="58" t="inlineStr">
        <is>
          <t>Arbustiva</t>
        </is>
      </c>
      <c r="B48" s="63" t="n">
        <v>25</v>
      </c>
    </row>
    <row r="49">
      <c r="A49" s="57" t="inlineStr">
        <is>
          <t>Herbácea</t>
        </is>
      </c>
      <c r="B49" s="62" t="n">
        <v>40</v>
      </c>
    </row>
    <row r="50">
      <c r="A50" s="58" t="inlineStr">
        <is>
          <t>Hojarasca</t>
        </is>
      </c>
      <c r="B50" s="63" t="n">
        <v>15</v>
      </c>
    </row>
    <row r="51">
      <c r="A51" s="57" t="inlineStr">
        <is>
          <t>Suelo desnudo</t>
        </is>
      </c>
      <c r="B51" s="62" t="n">
        <v>10</v>
      </c>
    </row>
    <row r="64">
      <c r="A64" s="55" t="inlineStr">
        <is>
          <t>Causas activas de degradación (F-DT-04)</t>
        </is>
      </c>
    </row>
    <row r="65">
      <c r="A65" s="56" t="inlineStr">
        <is>
          <t>Causa</t>
        </is>
      </c>
      <c r="B65" s="56" t="inlineStr">
        <is>
          <t>Intensidad (1 ligera - 4 muy fuerte)</t>
        </is>
      </c>
    </row>
    <row r="66">
      <c r="A66" s="57" t="inlineStr">
        <is>
          <t>Cambio de uso a agricultura</t>
        </is>
      </c>
      <c r="B66" s="57" t="n">
        <v>2</v>
      </c>
    </row>
    <row r="67">
      <c r="A67" s="58" t="inlineStr">
        <is>
          <t>Cambio de uso a pastoreo</t>
        </is>
      </c>
      <c r="B67" s="58" t="n">
        <v>2</v>
      </c>
    </row>
    <row r="68">
      <c r="A68" s="57" t="inlineStr">
        <is>
          <t>Quema (renovación de pastos)</t>
        </is>
      </c>
      <c r="B68" s="57" t="n">
        <v>2</v>
      </c>
    </row>
    <row r="69">
      <c r="A69" s="58" t="inlineStr">
        <is>
          <t>Sobrepastoreo (caprino/vacuno)</t>
        </is>
      </c>
      <c r="B69" s="58" t="n">
        <v>2</v>
      </c>
    </row>
    <row r="70">
      <c r="A70" s="57" t="inlineStr">
        <is>
          <t>Erosión natural severa</t>
        </is>
      </c>
      <c r="B70" s="57" t="n">
        <v>1</v>
      </c>
    </row>
    <row r="71">
      <c r="A71" s="58" t="inlineStr">
        <is>
          <t>Especies invasoras</t>
        </is>
      </c>
      <c r="B71" s="58" t="n">
        <v>1</v>
      </c>
    </row>
    <row r="72">
      <c r="A72" s="57" t="inlineStr">
        <is>
          <t>Expansión urbana / vial</t>
        </is>
      </c>
      <c r="B72" s="57" t="n">
        <v>1</v>
      </c>
    </row>
    <row r="73">
      <c r="A73" s="58" t="inlineStr">
        <is>
          <t>Tala para leña</t>
        </is>
      </c>
      <c r="B73" s="58" t="n">
        <v>1</v>
      </c>
    </row>
    <row r="83">
      <c r="A83" s="55" t="inlineStr">
        <is>
          <t>Control de consistencia por calificación</t>
        </is>
      </c>
    </row>
    <row r="84">
      <c r="A84" s="56" t="inlineStr">
        <is>
          <t>Calificación</t>
        </is>
      </c>
      <c r="B84" s="56" t="inlineStr">
        <is>
          <t>Verificaciones</t>
        </is>
      </c>
    </row>
    <row r="85">
      <c r="A85" s="57" t="inlineStr">
        <is>
          <t>SUSTANTIVA</t>
        </is>
      </c>
      <c r="B85" s="57" t="n">
        <v>4</v>
      </c>
    </row>
    <row r="86">
      <c r="A86" s="58" t="inlineStr">
        <is>
          <t>NO SUSTANTIVA</t>
        </is>
      </c>
      <c r="B86" s="58" t="n">
        <v>4</v>
      </c>
    </row>
    <row r="87">
      <c r="A87" s="57" t="inlineStr">
        <is>
          <t>CORREGIDO</t>
        </is>
      </c>
      <c r="B87" s="57" t="n">
        <v>2</v>
      </c>
    </row>
    <row r="88">
      <c r="A88" s="58" t="inlineStr">
        <is>
          <t>CONFORME</t>
        </is>
      </c>
      <c r="B88" s="58"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82 — IN Piura</dc:title>
  <dc:subject>Diagnóstico Territorial por bloque de intervención</dc:subject>
  <dcterms:created xsi:type="dcterms:W3CDTF">2026-09-08T03:39:57Z</dcterms:created>
  <dcterms:modified xsi:type="dcterms:W3CDTF">2026-09-11T21:26:31Z</dcterms:modified>
</cp:coreProperties>
</file>