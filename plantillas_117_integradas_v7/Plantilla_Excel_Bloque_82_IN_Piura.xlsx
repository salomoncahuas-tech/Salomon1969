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 name="Integración de campo" sheetId="6" state="visible" r:id="rId6"/>
    <sheet name="Registro de campo F-DT" sheetId="7" state="visible" r:id="rId7"/>
    <sheet name="Gráficos de integración" sheetId="8" state="visible" r:id="rId8"/>
  </sheets>
  <definedNames/>
  <calcPr calcId="124519" fullCalcOnLoad="1"/>
</workbook>
</file>

<file path=xl/styles.xml><?xml version="1.0" encoding="utf-8"?>
<styleSheet xmlns="http://schemas.openxmlformats.org/spreadsheetml/2006/main">
  <numFmts count="2">
    <numFmt numFmtId="164" formatCode="0.0000"/>
    <numFmt numFmtId="165" formatCode="0.000"/>
  </numFmts>
  <fonts count="14">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
      <name val="Arial"/>
      <b val="1"/>
      <color rgb="001B4D2E"/>
      <sz val="9"/>
    </font>
    <font>
      <name val="Arial"/>
      <i val="1"/>
      <sz val="8"/>
    </font>
    <font>
      <name val="Arial"/>
      <b val="1"/>
      <color rgb="00FFFFFF"/>
      <sz val="12"/>
    </font>
    <font>
      <name val="Arial"/>
      <b val="1"/>
      <color rgb="001B4F72"/>
      <sz val="10"/>
    </font>
    <font>
      <name val="Arial"/>
      <i val="1"/>
      <sz val="7.5"/>
    </font>
  </fonts>
  <fills count="10">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D9E1F2"/>
      </patternFill>
    </fill>
    <fill>
      <patternFill patternType="solid">
        <fgColor rgb="00F8CBAD"/>
      </patternFill>
    </fill>
    <fill>
      <patternFill patternType="solid">
        <fgColor rgb="00C6E0B4"/>
      </patternFill>
    </fill>
  </fills>
  <borders count="8">
    <border>
      <left/>
      <right/>
      <top/>
      <bottom/>
      <diagonal/>
    </border>
    <border>
      <left style="thin">
        <color rgb="009C9C9C"/>
      </left>
      <right style="thin">
        <color rgb="009C9C9C"/>
      </right>
      <top style="thin">
        <color rgb="009C9C9C"/>
      </top>
      <bottom style="thin">
        <color rgb="009C9C9C"/>
      </bottom>
    </border>
    <border>
      <left/>
      <right/>
      <top style="thin">
        <color rgb="009C9C9C"/>
      </top>
      <bottom/>
      <diagonal/>
    </border>
    <border>
      <left/>
      <right style="thin">
        <color rgb="009C9C9C"/>
      </right>
      <top style="thin">
        <color rgb="009C9C9C"/>
      </top>
      <bottom/>
      <diagonal/>
    </border>
    <border>
      <left/>
      <right/>
      <top style="thin">
        <color rgb="009C9C9C"/>
      </top>
      <bottom style="thin">
        <color rgb="009C9C9C"/>
      </bottom>
      <diagonal/>
    </border>
    <border>
      <left/>
      <right style="thin">
        <color rgb="009C9C9C"/>
      </right>
      <top style="thin">
        <color rgb="009C9C9C"/>
      </top>
      <bottom style="thin">
        <color rgb="009C9C9C"/>
      </bottom>
      <diagonal/>
    </border>
    <border>
      <left style="thin">
        <color rgb="00B7C4BA"/>
      </left>
      <right style="thin">
        <color rgb="00B7C4BA"/>
      </right>
      <top style="thin">
        <color rgb="00B7C4BA"/>
      </top>
      <bottom style="thin">
        <color rgb="00B7C4BA"/>
      </bottom>
    </border>
    <border>
      <left style="thin">
        <color rgb="00BFBFBF"/>
      </left>
      <right style="thin">
        <color rgb="00BFBFBF"/>
      </right>
      <top style="thin">
        <color rgb="00BFBFBF"/>
      </top>
      <bottom style="thin">
        <color rgb="00BFBFBF"/>
      </bottom>
    </border>
  </borders>
  <cellStyleXfs count="1">
    <xf numFmtId="0" fontId="0" fillId="0" borderId="0"/>
  </cellStyleXfs>
  <cellXfs count="64">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6" fillId="0"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3" fontId="6" fillId="4" borderId="1" applyAlignment="1" pivotButton="0" quotePrefix="0" xfId="0">
      <alignment horizontal="center" vertical="center" wrapText="1"/>
    </xf>
    <xf numFmtId="165" fontId="6" fillId="0" borderId="1" applyAlignment="1" pivotButton="0" quotePrefix="0" xfId="0">
      <alignment horizontal="center" vertical="center" wrapText="1"/>
    </xf>
    <xf numFmtId="165" fontId="6" fillId="4"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xf numFmtId="0" fontId="5" fillId="9" borderId="1" applyAlignment="1" pivotButton="0" quotePrefix="0" xfId="0">
      <alignment horizontal="center" vertical="center" wrapText="1"/>
    </xf>
    <xf numFmtId="165" fontId="6" fillId="0" borderId="1" applyAlignment="1" pivotButton="0" quotePrefix="0" xfId="0">
      <alignment horizontal="left" vertical="center" wrapText="1" indent="1"/>
    </xf>
    <xf numFmtId="2" fontId="6" fillId="0" borderId="1" applyAlignment="1" pivotButton="0" quotePrefix="0" xfId="0">
      <alignment horizontal="left" vertical="center" wrapText="1" indent="1"/>
    </xf>
    <xf numFmtId="1" fontId="6" fillId="0" borderId="1" applyAlignment="1" pivotButton="0" quotePrefix="0" xfId="0">
      <alignment horizontal="left" vertical="center" wrapText="1" indent="1"/>
    </xf>
    <xf numFmtId="0" fontId="0" fillId="0" borderId="4" pivotButton="0" quotePrefix="0" xfId="0"/>
    <xf numFmtId="0" fontId="0" fillId="0" borderId="5" pivotButton="0" quotePrefix="0" xfId="0"/>
    <xf numFmtId="0" fontId="5" fillId="4" borderId="6" applyAlignment="1" pivotButton="0" quotePrefix="0" xfId="0">
      <alignment horizontal="left" vertical="center" wrapText="1"/>
    </xf>
    <xf numFmtId="164" fontId="5" fillId="4" borderId="6" applyAlignment="1" pivotButton="0" quotePrefix="0" xfId="0">
      <alignment horizontal="center" vertical="center" wrapText="1"/>
    </xf>
    <xf numFmtId="2" fontId="5" fillId="4" borderId="6" applyAlignment="1" pivotButton="0" quotePrefix="0" xfId="0">
      <alignment horizontal="center" vertical="center" wrapText="1"/>
    </xf>
    <xf numFmtId="0" fontId="6" fillId="0" borderId="6" applyAlignment="1" pivotButton="0" quotePrefix="0" xfId="0">
      <alignment horizontal="left" vertical="center" wrapText="1"/>
    </xf>
    <xf numFmtId="164" fontId="6" fillId="0" borderId="6" applyAlignment="1" pivotButton="0" quotePrefix="0" xfId="0">
      <alignment horizontal="center" vertical="center" wrapText="1"/>
    </xf>
    <xf numFmtId="2" fontId="6" fillId="0" borderId="6" applyAlignment="1" pivotButton="0" quotePrefix="0" xfId="0">
      <alignment horizontal="center" vertical="center" wrapText="1"/>
    </xf>
    <xf numFmtId="0" fontId="6" fillId="0" borderId="6" applyAlignment="1" pivotButton="0" quotePrefix="0" xfId="0">
      <alignment horizontal="center" vertical="center" wrapText="1"/>
    </xf>
    <xf numFmtId="0" fontId="6" fillId="0" borderId="1" applyAlignment="1" pivotButton="0" quotePrefix="0" xfId="0">
      <alignment vertical="top" wrapText="1"/>
    </xf>
    <xf numFmtId="0" fontId="9" fillId="0" borderId="0" pivotButton="0" quotePrefix="0" xfId="0"/>
    <xf numFmtId="0" fontId="10" fillId="0" borderId="0" pivotButton="0" quotePrefix="0" xfId="0"/>
    <xf numFmtId="0" fontId="11" fillId="2" borderId="0" applyAlignment="1" pivotButton="0" quotePrefix="0" xfId="0">
      <alignment horizontal="center" vertical="center"/>
    </xf>
    <xf numFmtId="0" fontId="12" fillId="0" borderId="0" pivotButton="0" quotePrefix="0" xfId="0"/>
    <xf numFmtId="0" fontId="8" fillId="2" borderId="7" applyAlignment="1" pivotButton="0" quotePrefix="0" xfId="0">
      <alignment horizontal="center" wrapText="1"/>
    </xf>
    <xf numFmtId="0" fontId="6" fillId="0" borderId="7" pivotButton="0" quotePrefix="0" xfId="0"/>
    <xf numFmtId="0" fontId="6" fillId="5" borderId="7" pivotButton="0" quotePrefix="0" xfId="0"/>
    <xf numFmtId="0" fontId="5" fillId="0" borderId="0" pivotButton="0" quotePrefix="0" xfId="0"/>
    <xf numFmtId="0" fontId="6" fillId="0" borderId="0" pivotButton="0" quotePrefix="0" xfId="0"/>
    <xf numFmtId="0" fontId="13" fillId="0" borderId="0" applyAlignment="1" pivotButton="0" quotePrefix="0" xfId="0">
      <alignment vertical="top" wrapText="1"/>
    </xf>
    <xf numFmtId="4" fontId="6" fillId="0" borderId="7" pivotButton="0" quotePrefix="0" xfId="0"/>
    <xf numFmtId="4" fontId="6" fillId="5" borderId="7"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charts/chart1.xml><?xml version="1.0" encoding="utf-8"?>
<chartSpace xmlns:a="http://schemas.openxmlformats.org/drawingml/2006/main" xmlns="http://schemas.openxmlformats.org/drawingml/2006/chart">
  <chart>
    <title>
      <tx>
        <rich>
          <a:bodyPr/>
          <a:p>
            <a:pPr>
              <a:defRPr/>
            </a:pPr>
            <a:r>
              <a:t>Procedencia de los hechos declarados</a:t>
            </a:r>
          </a:p>
        </rich>
      </tx>
    </title>
    <plotArea>
      <pieChart>
        <varyColors val="1"/>
        <ser>
          <idx val="0"/>
          <order val="0"/>
          <tx>
            <strRef>
              <f>'Gráficos de integración'!B8</f>
            </strRef>
          </tx>
          <spPr>
            <a:ln>
              <a:prstDash val="solid"/>
            </a:ln>
          </spPr>
          <cat>
            <numRef>
              <f>'Gráficos de integración'!$A$9:$A$11</f>
            </numRef>
          </cat>
          <val>
            <numRef>
              <f>'Gráficos de integración'!$B$9:$B$11</f>
            </numRef>
          </val>
        </ser>
        <firstSliceAng val="0"/>
      </pieChart>
    </plotArea>
    <legend>
      <legendPos val="r"/>
    </legend>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Estado del cruce entre fuentes</a:t>
            </a:r>
          </a:p>
        </rich>
      </tx>
    </title>
    <plotArea>
      <barChart>
        <barDir val="col"/>
        <grouping val="clustered"/>
        <ser>
          <idx val="0"/>
          <order val="0"/>
          <tx>
            <strRef>
              <f>'Gráficos de integración'!B29</f>
            </strRef>
          </tx>
          <spPr>
            <a:ln>
              <a:prstDash val="solid"/>
            </a:ln>
          </spPr>
          <cat>
            <numRef>
              <f>'Gráficos de integración'!$A$30:$A$34</f>
            </numRef>
          </cat>
          <val>
            <numRef>
              <f>'Gráficos de integración'!$B$30:$B$34</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Hechos</a:t>
                </a:r>
              </a:p>
            </rich>
          </tx>
        </title>
        <majorTickMark val="none"/>
        <minorTickMark val="none"/>
        <crossAx val="10"/>
      </valAx>
    </plotArea>
    <plotVisOnly val="1"/>
    <dispBlanksAs val="gap"/>
  </chart>
</chartSpace>
</file>

<file path=xl/charts/chart3.xml><?xml version="1.0" encoding="utf-8"?>
<chartSpace xmlns:a="http://schemas.openxmlformats.org/drawingml/2006/main" xmlns="http://schemas.openxmlformats.org/drawingml/2006/chart">
  <style val="10"/>
  <chart>
    <title>
      <tx>
        <rich>
          <a:bodyPr/>
          <a:p>
            <a:pPr>
              <a:defRPr/>
            </a:pPr>
            <a:r>
              <a:t>Cobertura por estrato (%)</a:t>
            </a:r>
          </a:p>
        </rich>
      </tx>
    </title>
    <plotArea>
      <barChart>
        <barDir val="col"/>
        <grouping val="clustered"/>
        <ser>
          <idx val="0"/>
          <order val="0"/>
          <tx>
            <strRef>
              <f>'Gráficos de integración'!B52</f>
            </strRef>
          </tx>
          <spPr>
            <a:ln>
              <a:prstDash val="solid"/>
            </a:ln>
          </spPr>
          <cat>
            <numRef>
              <f>'Gráficos de integración'!$A$53:$A$57</f>
            </numRef>
          </cat>
          <val>
            <numRef>
              <f>'Gráficos de integración'!$B$53:$B$57</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a:t>
                </a:r>
              </a:p>
            </rich>
          </tx>
        </title>
        <majorTickMark val="none"/>
        <minorTickMark val="none"/>
        <crossAx val="10"/>
      </valAx>
    </plotArea>
    <plotVisOnly val="1"/>
    <dispBlanksAs val="gap"/>
  </chart>
</chartSpace>
</file>

<file path=xl/charts/chart4.xml><?xml version="1.0" encoding="utf-8"?>
<chartSpace xmlns:a="http://schemas.openxmlformats.org/drawingml/2006/main" xmlns="http://schemas.openxmlformats.org/drawingml/2006/chart">
  <style val="10"/>
  <chart>
    <title>
      <tx>
        <rich>
          <a:bodyPr/>
          <a:p>
            <a:pPr>
              <a:defRPr/>
            </a:pPr>
            <a:r>
              <a:t>Causas activas por intensidad</a:t>
            </a:r>
          </a:p>
        </rich>
      </tx>
    </title>
    <plotArea>
      <barChart>
        <barDir val="col"/>
        <grouping val="clustered"/>
        <ser>
          <idx val="0"/>
          <order val="0"/>
          <tx>
            <strRef>
              <f>'Gráficos de integración'!B75</f>
            </strRef>
          </tx>
          <spPr>
            <a:ln>
              <a:prstDash val="solid"/>
            </a:ln>
          </spPr>
          <cat>
            <numRef>
              <f>'Gráficos de integración'!$A$76:$A$83</f>
            </numRef>
          </cat>
          <val>
            <numRef>
              <f>'Gráficos de integración'!$B$76:$B$83</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Intensidad</a:t>
                </a:r>
              </a:p>
            </rich>
          </tx>
        </title>
        <majorTickMark val="none"/>
        <minorTickMark val="none"/>
        <crossAx val="10"/>
      </valAx>
    </plotArea>
    <plotVisOnly val="1"/>
    <dispBlanksAs val="gap"/>
  </chart>
</chartSpace>
</file>

<file path=xl/charts/chart5.xml><?xml version="1.0" encoding="utf-8"?>
<chartSpace xmlns:a="http://schemas.openxmlformats.org/drawingml/2006/main" xmlns="http://schemas.openxmlformats.org/drawingml/2006/chart">
  <chart>
    <title>
      <tx>
        <rich>
          <a:bodyPr/>
          <a:p>
            <a:pPr>
              <a:defRPr/>
            </a:pPr>
            <a:r>
              <a:t>Control de consistencia</a:t>
            </a:r>
          </a:p>
        </rich>
      </tx>
    </title>
    <plotArea>
      <pieChart>
        <varyColors val="1"/>
        <ser>
          <idx val="0"/>
          <order val="0"/>
          <tx>
            <strRef>
              <f>'Gráficos de integración'!B101</f>
            </strRef>
          </tx>
          <spPr>
            <a:ln>
              <a:prstDash val="solid"/>
            </a:ln>
          </spPr>
          <cat>
            <numRef>
              <f>'Gráficos de integración'!$A$102:$A$105</f>
            </numRef>
          </cat>
          <val>
            <numRef>
              <f>'Gráficos de integración'!$B$102:$B$105</f>
            </numRef>
          </val>
        </ser>
        <firstSliceAng val="0"/>
      </pieChart>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 Type="http://schemas.openxmlformats.org/officeDocument/2006/relationships/chart" Target="/xl/charts/chart4.xml" Id="rId4" /><Relationship Type="http://schemas.openxmlformats.org/officeDocument/2006/relationships/chart" Target="/xl/charts/chart5.xml" Id="rId5"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col>
      <colOff>0</colOff>
      <row>7</row>
      <rowOff>0</rowOff>
    </from>
    <ext cx="4320000" cy="2880000"/>
    <graphicFrame>
      <nvGraphicFramePr>
        <cNvPr id="1" name="Chart 1"/>
        <cNvGraphicFramePr/>
      </nvGraphicFramePr>
      <xfrm/>
      <a:graphic>
        <a:graphicData uri="http://schemas.openxmlformats.org/drawingml/2006/chart">
          <c:chart r:id="rId1"/>
        </a:graphicData>
      </a:graphic>
    </graphicFrame>
    <clientData/>
  </oneCellAnchor>
  <oneCellAnchor>
    <from>
      <col>3</col>
      <colOff>0</colOff>
      <row>28</row>
      <rowOff>0</rowOff>
    </from>
    <ext cx="5760000" cy="2880000"/>
    <graphicFrame>
      <nvGraphicFramePr>
        <cNvPr id="2" name="Chart 2"/>
        <cNvGraphicFramePr/>
      </nvGraphicFramePr>
      <xfrm/>
      <a:graphic>
        <a:graphicData uri="http://schemas.openxmlformats.org/drawingml/2006/chart">
          <c:chart r:id="rId2"/>
        </a:graphicData>
      </a:graphic>
    </graphicFrame>
    <clientData/>
  </oneCellAnchor>
  <oneCellAnchor>
    <from>
      <col>3</col>
      <colOff>0</colOff>
      <row>51</row>
      <rowOff>0</rowOff>
    </from>
    <ext cx="5760000" cy="2880000"/>
    <graphicFrame>
      <nvGraphicFramePr>
        <cNvPr id="3" name="Chart 3"/>
        <cNvGraphicFramePr/>
      </nvGraphicFramePr>
      <xfrm/>
      <a:graphic>
        <a:graphicData uri="http://schemas.openxmlformats.org/drawingml/2006/chart">
          <c:chart r:id="rId3"/>
        </a:graphicData>
      </a:graphic>
    </graphicFrame>
    <clientData/>
  </oneCellAnchor>
  <oneCellAnchor>
    <from>
      <col>3</col>
      <colOff>0</colOff>
      <row>74</row>
      <rowOff>0</rowOff>
    </from>
    <ext cx="5760000" cy="2880000"/>
    <graphicFrame>
      <nvGraphicFramePr>
        <cNvPr id="4" name="Chart 4"/>
        <cNvGraphicFramePr/>
      </nvGraphicFramePr>
      <xfrm/>
      <a:graphic>
        <a:graphicData uri="http://schemas.openxmlformats.org/drawingml/2006/chart">
          <c:chart r:id="rId4"/>
        </a:graphicData>
      </a:graphic>
    </graphicFrame>
    <clientData/>
  </oneCellAnchor>
  <oneCellAnchor>
    <from>
      <col>3</col>
      <colOff>0</colOff>
      <row>100</row>
      <rowOff>0</rowOff>
    </from>
    <ext cx="4320000" cy="2880000"/>
    <graphicFrame>
      <nvGraphicFramePr>
        <cNvPr id="5" name="Chart 5"/>
        <cNvGraphicFramePr/>
      </nvGraphicFramePr>
      <xfrm/>
      <a:graphic>
        <a:graphicData uri="http://schemas.openxmlformats.org/drawingml/2006/chart">
          <c:chart r:id="rId5"/>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8.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F57"/>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82</t>
        </is>
      </c>
    </row>
    <row r="6" ht="24" customHeight="1">
      <c r="A6" s="4" t="inlineStr">
        <is>
          <t>Diagnóstico Territorial — Plantilla DT Campo Check Validada V5 | Sistema de referencia: UTM WGS 84 Zona 17S (EPSG:32717) · Integrado con la ficha de campo F-DT vigente (Plantilla_DT_Campo_Check_Validada_V5 Bloque 82.xlsx) — V7 - resumen V6 + campo F-DT integrado</t>
        </is>
      </c>
    </row>
    <row r="7"/>
    <row r="8" ht="18" customHeight="1">
      <c r="A8" s="5" t="inlineStr">
        <is>
          <t>1. IDENTIFICACIÓN Y LOCALIZACIÓN</t>
        </is>
      </c>
    </row>
    <row r="9">
      <c r="A9" s="6" t="inlineStr">
        <is>
          <t>Código del bloque</t>
        </is>
      </c>
      <c r="B9" s="7" t="inlineStr">
        <is>
          <t>82</t>
        </is>
      </c>
      <c r="C9" s="6" t="inlineStr">
        <is>
          <t>Microcuenca (catálogo)</t>
        </is>
      </c>
      <c r="D9" s="7" t="inlineStr">
        <is>
          <t>C1086-Q9570</t>
        </is>
      </c>
      <c r="E9" s="8" t="n"/>
      <c r="F9" s="8" t="n"/>
    </row>
    <row r="10">
      <c r="A10" s="6" t="inlineStr">
        <is>
          <t>Zona de planificación</t>
        </is>
      </c>
      <c r="B10" s="7" t="inlineStr">
        <is>
          <t>Z03</t>
        </is>
      </c>
      <c r="C10" s="6" t="inlineStr">
        <is>
          <t>Microcuenca declarada en ficha DT</t>
        </is>
      </c>
      <c r="D10" s="7" t="inlineStr">
        <is>
          <t>C1086-Q9570</t>
        </is>
      </c>
      <c r="E10" s="8" t="n"/>
      <c r="F10" s="8" t="n"/>
    </row>
    <row r="11">
      <c r="A11" s="6" t="inlineStr">
        <is>
          <t>Departamento</t>
        </is>
      </c>
      <c r="B11" s="7" t="inlineStr">
        <is>
          <t>Piura</t>
        </is>
      </c>
      <c r="C11" s="6" t="inlineStr">
        <is>
          <t>Provincia</t>
        </is>
      </c>
      <c r="D11" s="7" t="inlineStr">
        <is>
          <t>Morropon</t>
        </is>
      </c>
      <c r="E11" s="8" t="n"/>
      <c r="F11" s="8" t="n"/>
    </row>
    <row r="12">
      <c r="A12" s="6" t="inlineStr">
        <is>
          <t>Distrito</t>
        </is>
      </c>
      <c r="B12" s="7" t="inlineStr">
        <is>
          <t>Santo Domingo</t>
        </is>
      </c>
      <c r="C12" s="6" t="inlineStr">
        <is>
          <t>Capital distrital</t>
        </is>
      </c>
      <c r="D12" s="7" t="inlineStr">
        <is>
          <t>Santo Domingo</t>
        </is>
      </c>
      <c r="E12" s="8" t="n"/>
      <c r="F12" s="8" t="n"/>
    </row>
    <row r="13">
      <c r="A13" s="6" t="inlineStr">
        <is>
          <t>Centro poblado asociado</t>
        </is>
      </c>
      <c r="B13" s="7" t="inlineStr">
        <is>
          <t>Santa Fe de Portachuelo</t>
        </is>
      </c>
      <c r="C13" s="6" t="inlineStr">
        <is>
          <t>Comunidad campesina</t>
        </is>
      </c>
      <c r="D13" s="7" t="inlineStr">
        <is>
          <t>Por verificar (predios particulares)</t>
        </is>
      </c>
      <c r="E13" s="8" t="n"/>
      <c r="F13" s="8" t="n"/>
    </row>
    <row r="14">
      <c r="A14" s="6" t="inlineStr">
        <is>
          <t>Superficie de catálogo (V5/V6), ha</t>
        </is>
      </c>
      <c r="B14" s="7" t="n">
        <v>35.66</v>
      </c>
      <c r="C14" s="6" t="inlineStr">
        <is>
          <t>Fuente de superficie</t>
        </is>
      </c>
      <c r="D14" s="7" t="inlineStr">
        <is>
          <t>Catálogo maestro Bloques V5/V6</t>
        </is>
      </c>
      <c r="E14" s="8" t="n"/>
      <c r="F14" s="8" t="n"/>
    </row>
    <row r="15">
      <c r="A15" s="6" t="inlineStr">
        <is>
          <t>Centroide UTM ESTE (m)</t>
        </is>
      </c>
      <c r="B15" s="7" t="n">
        <v>621452</v>
      </c>
      <c r="C15" s="6" t="inlineStr">
        <is>
          <t>Centroide UTM NORTE (m)</t>
        </is>
      </c>
      <c r="D15" s="7" t="n">
        <v>9443855</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7"/>
    <row r="18" ht="18" customHeight="1">
      <c r="A18" s="5" t="inlineStr">
        <is>
          <t>2. PARÁMETROS FÍSICOS (ESTADÍSTICA ZONAL SOBRE MDE)</t>
        </is>
      </c>
    </row>
    <row r="19">
      <c r="A19" s="6" t="inlineStr">
        <is>
          <t>Altitud mínima (msnm)</t>
        </is>
      </c>
      <c r="B19" s="7" t="n">
        <v>1796</v>
      </c>
      <c r="C19" s="6" t="inlineStr">
        <is>
          <t>Altitud máxima (msnm)</t>
        </is>
      </c>
      <c r="D19" s="7" t="n">
        <v>2098</v>
      </c>
      <c r="E19" s="8" t="n"/>
      <c r="F19" s="8" t="n"/>
    </row>
    <row r="20">
      <c r="A20" s="6" t="inlineStr">
        <is>
          <t>Amplitud altitudinal (m)</t>
        </is>
      </c>
      <c r="B20" s="7" t="n">
        <v>302</v>
      </c>
      <c r="C20" s="6" t="inlineStr">
        <is>
          <t>Piso altitudinal dominante</t>
        </is>
      </c>
      <c r="D20" s="7" t="inlineStr">
        <is>
          <t>1500-2000 m (Quechua media)</t>
        </is>
      </c>
      <c r="E20" s="8" t="n"/>
      <c r="F20" s="8" t="n"/>
    </row>
    <row r="21">
      <c r="A21" s="6" t="inlineStr">
        <is>
          <t>Pendiente promedio (%)</t>
        </is>
      </c>
      <c r="B21" s="7" t="n">
        <v>23.55</v>
      </c>
      <c r="C21" s="6" t="inlineStr">
        <is>
          <t>Pendiente promedio (grados)</t>
        </is>
      </c>
      <c r="D21" s="7" t="n">
        <v>13.3</v>
      </c>
      <c r="E21" s="8" t="n"/>
      <c r="F21" s="8" t="n"/>
    </row>
    <row r="22">
      <c r="A22" s="6" t="inlineStr">
        <is>
          <t>Clase de pendiente equivalente</t>
        </is>
      </c>
      <c r="B22" s="7" t="inlineStr">
        <is>
          <t>15-25% (Fuert. inclinado)</t>
        </is>
      </c>
      <c r="C22" s="6" t="inlineStr">
        <is>
          <t>Rango de pendiente declarado en campo</t>
        </is>
      </c>
      <c r="D22" s="7" t="inlineStr">
        <is>
          <t>25-50% (Mod. escarpado)</t>
        </is>
      </c>
      <c r="E22" s="8" t="n"/>
      <c r="F22" s="8" t="n"/>
    </row>
    <row r="23">
      <c r="A23" s="6" t="inlineStr">
        <is>
          <t>Forma predominante del terreno</t>
        </is>
      </c>
      <c r="B23" s="7" t="inlineStr">
        <is>
          <t>Montañoso</t>
        </is>
      </c>
      <c r="C23" s="6" t="inlineStr">
        <is>
          <t>Posición fisiográfica</t>
        </is>
      </c>
      <c r="D23" s="7" t="inlineStr">
        <is>
          <t>Ladera media</t>
        </is>
      </c>
      <c r="E23" s="8" t="n"/>
      <c r="F23" s="8" t="n"/>
    </row>
    <row r="24">
      <c r="A24" s="6" t="inlineStr">
        <is>
          <t>Exposición / orientación</t>
        </is>
      </c>
      <c r="B24" s="7" t="inlineStr">
        <is>
          <t>Este</t>
        </is>
      </c>
      <c r="C24" s="6" t="inlineStr">
        <is>
          <t>Afloramientos rocosos</t>
        </is>
      </c>
      <c r="D24" s="51" t="inlineStr">
        <is>
          <t>Sin registro en ficha</t>
        </is>
      </c>
      <c r="E24" s="8" t="n"/>
      <c r="F24" s="8" t="n"/>
    </row>
    <row r="25">
      <c r="A25" s="6" t="inlineStr">
        <is>
          <t>Escarpes activos</t>
        </is>
      </c>
      <c r="B25" s="7" t="inlineStr">
        <is>
          <t>Sí</t>
        </is>
      </c>
      <c r="C25" s="6" t="inlineStr">
        <is>
          <t>Remociones en masa activas</t>
        </is>
      </c>
      <c r="D25" s="7" t="inlineStr">
        <is>
          <t>No</t>
        </is>
      </c>
      <c r="E25" s="8" t="n"/>
      <c r="F25" s="8" t="n"/>
    </row>
    <row r="26"/>
    <row r="27" ht="18" customHeight="1">
      <c r="A27" s="5" t="inlineStr">
        <is>
          <t>3. ÍNDICES DE VEGETACIÓN (SENTINEL-2)</t>
        </is>
      </c>
    </row>
    <row r="28">
      <c r="A28" s="6" t="inlineStr">
        <is>
          <t>MSAVI 2024 — media del bloque</t>
        </is>
      </c>
      <c r="B28" s="7" t="n">
        <v>0.6283</v>
      </c>
      <c r="C28" s="6" t="inlineStr">
        <is>
          <t>MSAVI 2024 — clase de la media</t>
        </is>
      </c>
      <c r="D28" s="7" t="inlineStr">
        <is>
          <t>&gt; 0.6139 (Vigor alto)</t>
        </is>
      </c>
      <c r="E28" s="8" t="n"/>
      <c r="F28" s="8" t="n"/>
    </row>
    <row r="29">
      <c r="A29" s="6" t="inlineStr">
        <is>
          <t>Condición frente al umbral 0.4976</t>
        </is>
      </c>
      <c r="B29" s="7" t="inlineStr">
        <is>
          <t>Sobre umbral</t>
        </is>
      </c>
      <c r="C29" s="6" t="inlineStr">
        <is>
          <t>NDVI mediana 2025 — clase modal</t>
        </is>
      </c>
      <c r="D29" s="7" t="inlineStr">
        <is>
          <t>Vegetación alta (90.07 %)</t>
        </is>
      </c>
      <c r="E29" s="8" t="n"/>
      <c r="F29" s="8" t="n"/>
    </row>
    <row r="30">
      <c r="A30" s="6" t="inlineStr">
        <is>
          <t>Superficie clasificada NDVI 2025 (ha)</t>
        </is>
      </c>
      <c r="B30" s="7" t="n">
        <v>35.677</v>
      </c>
      <c r="C30" s="6" t="inlineStr">
        <is>
          <t>Desviación frente al catálogo (%)</t>
        </is>
      </c>
      <c r="D30" s="7" t="n">
        <v>0.05</v>
      </c>
      <c r="E30" s="8" t="n"/>
      <c r="F30" s="8" t="n"/>
    </row>
    <row r="31">
      <c r="A31" s="6" t="inlineStr">
        <is>
          <t>Superficie clasificada MSAVI 2024 (ha)</t>
        </is>
      </c>
      <c r="B31" s="39" t="n">
        <v>35.661</v>
      </c>
      <c r="C31" s="6" t="inlineStr">
        <is>
          <t>Desviación MSAVI frente al catálogo (%)</t>
        </is>
      </c>
      <c r="D31" s="40" t="n">
        <v>0</v>
      </c>
      <c r="E31" s="8" t="n"/>
      <c r="F31" s="8" t="n"/>
    </row>
    <row r="32">
      <c r="A32" s="6" t="inlineStr">
        <is>
          <t>Superficie bajo umbral MSAVI 0.4976 (ha)</t>
        </is>
      </c>
      <c r="B32" s="39" t="n">
        <v>4.52</v>
      </c>
      <c r="C32" s="6" t="inlineStr">
        <is>
          <t>% del bloque bajo umbral (brecha espectral)</t>
        </is>
      </c>
      <c r="D32" s="40" t="n">
        <v>12.67</v>
      </c>
      <c r="E32" s="8" t="n"/>
      <c r="F32" s="8" t="n"/>
    </row>
    <row r="33">
      <c r="A33" s="6" t="inlineStr">
        <is>
          <t>Clase DN dominante (MSAVI 2024)</t>
        </is>
      </c>
      <c r="B33" s="7" t="inlineStr">
        <is>
          <t>DN 5 · &gt; 0.6139 (Vigor alto)</t>
        </is>
      </c>
      <c r="C33" s="6" t="inlineStr">
        <is>
          <t>N.° de polígonos MSAVI del bloque</t>
        </is>
      </c>
      <c r="D33" s="41" t="n">
        <v>119</v>
      </c>
      <c r="E33" s="8" t="n"/>
      <c r="F33" s="8" t="n"/>
    </row>
    <row r="34"/>
    <row r="35" ht="18" customHeight="1">
      <c r="A35" s="5" t="inlineStr">
        <is>
          <t>4. ECOSISTEMA Y ESTADO DE CONSERVACIÓN</t>
        </is>
      </c>
    </row>
    <row r="36">
      <c r="A36" s="6" t="inlineStr">
        <is>
          <t>Tipo de ecosistema (UP)</t>
        </is>
      </c>
      <c r="B36" s="7" t="inlineStr">
        <is>
          <t>Matorral Andino subhúmedo</t>
        </is>
      </c>
      <c r="C36" s="6" t="inlineStr">
        <is>
          <t>Superficie de ecosistema (ha)</t>
        </is>
      </c>
      <c r="D36" s="7" t="inlineStr">
        <is>
          <t>35.66 ha totales — Matorral andino (Ma) 25.14 ha; Zona agrícola (Agri) 7.37 ha; Bosque relicto montano de vertiente occidental (Br-mvoc) 3.15 ha</t>
        </is>
      </c>
      <c r="E36" s="8" t="n"/>
      <c r="F36" s="8" t="n"/>
    </row>
    <row r="37">
      <c r="A37" s="6" t="inlineStr">
        <is>
          <t>Estado de conservación</t>
        </is>
      </c>
      <c r="B37" s="7" t="inlineStr">
        <is>
          <t>Medianamente alterado</t>
        </is>
      </c>
      <c r="C37" s="6" t="inlineStr">
        <is>
          <t>Uso actual dominante del suelo</t>
        </is>
      </c>
      <c r="D37" s="7" t="inlineStr">
        <is>
          <t>Uso mixto</t>
        </is>
      </c>
      <c r="E37" s="8" t="n"/>
      <c r="F37" s="8" t="n"/>
    </row>
    <row r="38">
      <c r="A38" s="6" t="inlineStr">
        <is>
          <t>Tipo de cobertura dominante</t>
        </is>
      </c>
      <c r="B38" s="7" t="inlineStr">
        <is>
          <t>Mixto / Mosaico</t>
        </is>
      </c>
      <c r="C38" s="6" t="inlineStr">
        <is>
          <t>Cobertura vegetal total — campo (%)</t>
        </is>
      </c>
      <c r="D38" s="7" t="n">
        <v>80</v>
      </c>
      <c r="E38" s="8" t="n"/>
      <c r="F38" s="8" t="n"/>
    </row>
    <row r="39">
      <c r="A39" s="6" t="inlineStr">
        <is>
          <t>Suelo desnudo — campo (%)</t>
        </is>
      </c>
      <c r="B39" s="7" t="n">
        <v>10</v>
      </c>
      <c r="C39" s="6" t="inlineStr">
        <is>
          <t>Regeneración natural</t>
        </is>
      </c>
      <c r="D39" s="7" t="inlineStr">
        <is>
          <t>Regular (10-50 pl./100m²)</t>
        </is>
      </c>
      <c r="E39" s="8" t="n"/>
      <c r="F39" s="8" t="n"/>
    </row>
    <row r="40">
      <c r="A40" s="6" t="inlineStr">
        <is>
          <t>Nivel general de erosión</t>
        </is>
      </c>
      <c r="B40" s="7" t="inlineStr">
        <is>
          <t>Moderada (surcos)</t>
        </is>
      </c>
      <c r="C40" s="6" t="inlineStr">
        <is>
          <t>N.° de cárcavas registradas</t>
        </is>
      </c>
      <c r="D40" s="7" t="n">
        <v>3</v>
      </c>
      <c r="E40" s="8" t="n"/>
      <c r="F40" s="8" t="n"/>
    </row>
    <row r="41">
      <c r="A41" s="6" t="inlineStr">
        <is>
          <t>Elenco florístico (n.° de taxones)</t>
        </is>
      </c>
      <c r="B41" s="7" t="n">
        <v>15</v>
      </c>
      <c r="C41" s="6" t="inlineStr">
        <is>
          <t>Estado sanitario</t>
        </is>
      </c>
      <c r="D41" s="7" t="inlineStr">
        <is>
          <t>Sano</t>
        </is>
      </c>
      <c r="E41" s="8" t="n"/>
      <c r="F41" s="8" t="n"/>
    </row>
    <row r="42"/>
    <row r="43" ht="18" customHeight="1">
      <c r="A43" s="5" t="inlineStr">
        <is>
          <t>5. RESPONSABLE Y MODALIDAD DE LA EVALUACIÓN</t>
        </is>
      </c>
    </row>
    <row r="44">
      <c r="A44" s="6" t="inlineStr">
        <is>
          <t>Responsable de la evaluación</t>
        </is>
      </c>
      <c r="B44" s="7" t="inlineStr">
        <is>
          <t>Ing. Héctor S. Cahuas Miller / Ing. Pedro Talledo Hernández / Ing. Juan Carlos Domínguez Varas (ANIN-DIME-SESDI)</t>
        </is>
      </c>
      <c r="C44" s="6" t="inlineStr">
        <is>
          <t>Fecha de evaluación</t>
        </is>
      </c>
      <c r="D44" s="7" t="inlineStr">
        <is>
          <t>2026-06-10</t>
        </is>
      </c>
      <c r="E44" s="8" t="n"/>
      <c r="F44" s="8" t="n"/>
    </row>
    <row r="45">
      <c r="A45" s="6" t="inlineStr">
        <is>
          <t>Hora de registro</t>
        </is>
      </c>
      <c r="B45" s="51" t="inlineStr">
        <is>
          <t>11:30 a. m.</t>
        </is>
      </c>
      <c r="C45" s="6" t="inlineStr">
        <is>
          <t>Correlativo de ficha</t>
        </is>
      </c>
      <c r="D45" s="7" t="inlineStr">
        <is>
          <t>F-DT-82-2026</t>
        </is>
      </c>
      <c r="E45" s="8" t="n"/>
      <c r="F45" s="8" t="n"/>
    </row>
    <row r="46">
      <c r="A46" s="6" t="inlineStr">
        <is>
          <t>Entidad</t>
        </is>
      </c>
      <c r="B46" s="7" t="inlineStr">
        <is>
          <t>ANIN - DIME - SESDI</t>
        </is>
      </c>
      <c r="C46" s="6" t="inlineStr">
        <is>
          <t>Fase del estudio</t>
        </is>
      </c>
      <c r="D46" s="7" t="inlineStr">
        <is>
          <t>Preinversión (Perfil) · Invierte.pe</t>
        </is>
      </c>
      <c r="E46" s="8" t="n"/>
      <c r="F46" s="8" t="n"/>
    </row>
    <row r="47">
      <c r="A47" s="6" t="inlineStr">
        <is>
          <t>Instrumento aplicado</t>
        </is>
      </c>
      <c r="B47" s="7" t="inlineStr">
        <is>
          <t>Fichas F-DT-01 a F-DT-05 (Plantilla V5)</t>
        </is>
      </c>
      <c r="C47" s="6" t="inlineStr">
        <is>
          <t>Parcela de muestreo</t>
        </is>
      </c>
      <c r="D47" s="7" t="inlineStr">
        <is>
          <t>Recorrido (sin parcela permanente)</t>
        </is>
      </c>
      <c r="E47" s="8" t="n"/>
      <c r="F47" s="8" t="n"/>
    </row>
    <row r="48">
      <c r="A48" s="6" t="inlineStr">
        <is>
          <t>Estaciones fotográficas georreferenciadas</t>
        </is>
      </c>
      <c r="B48" s="7" t="n">
        <v>0</v>
      </c>
      <c r="C48" s="6" t="inlineStr">
        <is>
          <t>Modalidad de acceso</t>
        </is>
      </c>
      <c r="D48" s="7" t="inlineStr">
        <is>
          <t>Vehicular + caminata &lt;30 min</t>
        </is>
      </c>
      <c r="E48" s="8" t="n"/>
      <c r="F48" s="8" t="n"/>
    </row>
    <row r="49"/>
    <row r="50" ht="18" customHeight="1">
      <c r="A50" s="5" t="inlineStr">
        <is>
          <t>6. SÍNTESIS PARA LA GESTIÓN DEL RIESGO EN CONTEXTO DE CAMBIO CLIMÁTICO</t>
        </is>
      </c>
    </row>
    <row r="51">
      <c r="A51" s="6" t="inlineStr">
        <is>
          <t>Causa subyacente principal</t>
        </is>
      </c>
      <c r="B51" s="7" t="inlineStr">
        <is>
          <t>Presión agropecuaria sostenida sobre laderas de fuerte pendiente, sin prácticas de conservación de suelos</t>
        </is>
      </c>
      <c r="C51" s="6" t="inlineStr">
        <is>
          <t>Velocidad de degradación</t>
        </is>
      </c>
      <c r="D51" s="7" t="inlineStr">
        <is>
          <t>Moderada</t>
        </is>
      </c>
      <c r="E51" s="8" t="n"/>
      <c r="F51" s="8" t="n"/>
    </row>
    <row r="52">
      <c r="A52" s="6" t="inlineStr">
        <is>
          <t>Reversibilidad técnica</t>
        </is>
      </c>
      <c r="B52" s="7" t="inlineStr">
        <is>
          <t>Parcialmente reversible</t>
        </is>
      </c>
      <c r="C52" s="6" t="inlineStr">
        <is>
          <t>Urgencia de intervención</t>
        </is>
      </c>
      <c r="D52" s="7" t="inlineStr">
        <is>
          <t>Media</t>
        </is>
      </c>
      <c r="E52" s="8" t="n"/>
      <c r="F52" s="8" t="n"/>
    </row>
    <row r="53">
      <c r="A53" s="6" t="inlineStr">
        <is>
          <t>Urgencia de control de erosión</t>
        </is>
      </c>
      <c r="B53" s="7" t="inlineStr">
        <is>
          <t>Media</t>
        </is>
      </c>
      <c r="C53" s="6" t="inlineStr">
        <is>
          <t>Zona de recarga hídrica</t>
        </is>
      </c>
      <c r="D53" s="7" t="inlineStr">
        <is>
          <t>Sí</t>
        </is>
      </c>
      <c r="E53" s="8" t="n"/>
      <c r="F53" s="8" t="n"/>
    </row>
    <row r="54">
      <c r="A54" s="6" t="inlineStr">
        <is>
          <t>Peligro integrado preliminar (MCA-AHP)</t>
        </is>
      </c>
      <c r="B54" s="7" t="inlineStr">
        <is>
          <t>No disponible en los insumos; debe tomarse del modelamiento de mesolocalización</t>
        </is>
      </c>
      <c r="C54" s="6" t="inlineStr">
        <is>
          <t>Prioridad de intervención</t>
        </is>
      </c>
      <c r="D54" s="7" t="inlineStr">
        <is>
          <t>Por definir en mesolocalización</t>
        </is>
      </c>
      <c r="E54" s="8" t="n"/>
      <c r="F54" s="8" t="n"/>
    </row>
    <row r="55">
      <c r="A55" s="6" t="inlineStr">
        <is>
          <t>Estado de verificación de campo</t>
        </is>
      </c>
      <c r="B55" s="7" t="inlineStr">
        <is>
          <t>VERIFICADO</t>
        </is>
      </c>
      <c r="C55" s="6" t="inlineStr">
        <is>
          <t>Marco del indicador de brecha</t>
        </is>
      </c>
      <c r="D55" s="7" t="inlineStr">
        <is>
          <t>R.M. N.° 00213-2024-MINAM</t>
        </is>
      </c>
      <c r="E55" s="8" t="n"/>
      <c r="F55" s="8" t="n"/>
    </row>
    <row r="56"/>
    <row r="57" ht="72" customHeight="1">
      <c r="A57"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 La distribución areal por clase de MSAVI 2024 procede de la estadística zonal del ráster MSAVI clasificado (AREAS_MSAVI_BLOQUES_V6_REV_HSCM) y se detalla en la hoja «Cobertura MSAVI-NDVI»; la equivalencia entre el valor de clase DN y los umbrales del proyecto se declara en la nota metodológica de esa hoja.</t>
        </is>
      </c>
      <c r="B57" s="42" t="n"/>
      <c r="C57" s="42" t="n"/>
      <c r="D57" s="42" t="n"/>
      <c r="E57" s="42" t="n"/>
      <c r="F57" s="43" t="n"/>
    </row>
  </sheetData>
  <mergeCells count="13">
    <mergeCell ref="A2:F2"/>
    <mergeCell ref="A43:F43"/>
    <mergeCell ref="A1:F1"/>
    <mergeCell ref="A5:F5"/>
    <mergeCell ref="A27:F27"/>
    <mergeCell ref="A8:F8"/>
    <mergeCell ref="A6:F6"/>
    <mergeCell ref="A50:F50"/>
    <mergeCell ref="A35:F35"/>
    <mergeCell ref="A18:F18"/>
    <mergeCell ref="A3:F3"/>
    <mergeCell ref="A4:F4"/>
    <mergeCell ref="A57:F5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0"/>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82</t>
        </is>
      </c>
    </row>
    <row r="6" ht="24" customHeight="1">
      <c r="A6" s="4" t="inlineStr">
        <is>
          <t>MSAVI 2024 y NDVI mediana 2025 (Sentinel-2, mosaico Piura) · Umbral de brecha del proyecto: MSAVI = 0.4976</t>
        </is>
      </c>
    </row>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11" t="inlineStr">
        <is>
          <t>&gt; 0.6139 · DN 5</t>
        </is>
      </c>
      <c r="B10" s="32" t="n">
        <v>17.0356</v>
      </c>
      <c r="C10" s="31">
        <f>ROUND(B10/$B$15*100,2)</f>
        <v/>
      </c>
      <c r="D10" s="12" t="inlineStr">
        <is>
          <t>Vigor alto</t>
        </is>
      </c>
      <c r="E10" s="12" t="inlineStr">
        <is>
          <t>Sobre umbral</t>
        </is>
      </c>
    </row>
    <row r="11">
      <c r="A11" s="13" t="inlineStr">
        <is>
          <t>0.4976 - 0.6139 · DN 4</t>
        </is>
      </c>
      <c r="B11" s="20" t="n">
        <v>14.1057</v>
      </c>
      <c r="C11" s="21">
        <f>ROUND(B11/$B$15*100,2)</f>
        <v/>
      </c>
      <c r="D11" s="14" t="inlineStr">
        <is>
          <t>Vigor moderado</t>
        </is>
      </c>
      <c r="E11" s="14" t="inlineStr">
        <is>
          <t>Sobre umbral</t>
        </is>
      </c>
    </row>
    <row r="12">
      <c r="A12" s="7" t="inlineStr">
        <is>
          <t>0.3813 - 0.4976 · DN 3</t>
        </is>
      </c>
      <c r="B12" s="18" t="n">
        <v>4.5199</v>
      </c>
      <c r="C12" s="19">
        <f>ROUND(B12/$B$15*100,2)</f>
        <v/>
      </c>
      <c r="D12" s="15" t="inlineStr">
        <is>
          <t>Vigor bajo</t>
        </is>
      </c>
      <c r="E12" s="15" t="inlineStr">
        <is>
          <t>BAJO umbral 0.4976</t>
        </is>
      </c>
    </row>
    <row r="13">
      <c r="A13" s="13" t="inlineStr">
        <is>
          <t>0.2650 - 0.3813 · DN 2</t>
        </is>
      </c>
      <c r="B13" s="20" t="n">
        <v>0</v>
      </c>
      <c r="C13" s="21">
        <f>ROUND(B13/$B$15*100,2)</f>
        <v/>
      </c>
      <c r="D13" s="14" t="inlineStr">
        <is>
          <t>Vigor muy bajo</t>
        </is>
      </c>
      <c r="E13" s="14" t="inlineStr">
        <is>
          <t>BAJO umbral 0.4976</t>
        </is>
      </c>
    </row>
    <row r="14">
      <c r="A14" s="7" t="inlineStr">
        <is>
          <t>&lt;= 0.2650 · DN 1</t>
        </is>
      </c>
      <c r="B14" s="18" t="n">
        <v>0</v>
      </c>
      <c r="C14" s="19">
        <f>ROUND(B14/$B$15*100,2)</f>
        <v/>
      </c>
      <c r="D14" s="15" t="inlineStr">
        <is>
          <t>Suelo desnudo / no vegetal</t>
        </is>
      </c>
      <c r="E14" s="15" t="inlineStr">
        <is>
          <t>BAJO umbral 0.4976</t>
        </is>
      </c>
    </row>
    <row r="15" ht="30" customHeight="1">
      <c r="A15" s="44" t="inlineStr">
        <is>
          <t>TOTAL CLASIFICADO MSAVI 2024</t>
        </is>
      </c>
      <c r="B15" s="45">
        <f>SUM(B10:B14)</f>
        <v/>
      </c>
      <c r="C15" s="46">
        <f>SUM(C10:C14)</f>
        <v/>
      </c>
      <c r="D15" s="44" t="inlineStr">
        <is>
          <t>Suma de la distribución areal · 119 polígonos</t>
        </is>
      </c>
      <c r="E15" s="44" t="inlineStr">
        <is>
          <t>—</t>
        </is>
      </c>
    </row>
    <row r="16" ht="30" customHeight="1">
      <c r="A16" s="47" t="inlineStr">
        <is>
          <t>Superficie SOBRE umbral 0.4976 (ha)</t>
        </is>
      </c>
      <c r="B16" s="48">
        <f>SUM(B10:B11)</f>
        <v/>
      </c>
      <c r="C16" s="49">
        <f>ROUND(B16/B15*100,2)</f>
        <v/>
      </c>
      <c r="D16" s="47" t="inlineStr">
        <is>
          <t>Vigor alto y moderado (DN 4 y DN 5)</t>
        </is>
      </c>
      <c r="E16" s="47" t="inlineStr">
        <is>
          <t>Sobre umbral 0.4976</t>
        </is>
      </c>
    </row>
    <row r="17" ht="30" customHeight="1">
      <c r="A17" s="47" t="inlineStr">
        <is>
          <t>Superficie BAJO umbral 0.4976 (ha) — brecha</t>
        </is>
      </c>
      <c r="B17" s="48">
        <f>SUM(B12:B14)</f>
        <v/>
      </c>
      <c r="C17" s="49">
        <f>ROUND(B17/B15*100,2)</f>
        <v/>
      </c>
      <c r="D17" s="47" t="inlineStr">
        <is>
          <t>Vigor bajo, muy bajo y suelo desnudo (DN 1 a DN 3)</t>
        </is>
      </c>
      <c r="E17" s="47" t="inlineStr">
        <is>
          <t>Base para el indicador de brecha (R.M. N.° 00213-2024-MINAM)</t>
        </is>
      </c>
    </row>
    <row r="18" ht="30" customHeight="1">
      <c r="A18" s="47" t="inlineStr">
        <is>
          <t>Superficie de catálogo (V5/V6) — contraste MSAVI</t>
        </is>
      </c>
      <c r="B18" s="48" t="n">
        <v>35.66</v>
      </c>
      <c r="C18" s="50" t="inlineStr">
        <is>
          <t>—</t>
        </is>
      </c>
      <c r="D18" s="47" t="inlineStr">
        <is>
          <t>Desviación planimétrica frente al catálogo</t>
        </is>
      </c>
      <c r="E18" s="47" t="inlineStr">
        <is>
          <t>+0.00 %</t>
        </is>
      </c>
    </row>
    <row r="19">
      <c r="A19" s="16" t="inlineStr">
        <is>
          <t>MSAVI 2024 — MEDIA DEL BLOQUE</t>
        </is>
      </c>
      <c r="B19" s="17" t="n">
        <v>0.62835</v>
      </c>
      <c r="C19" s="17" t="inlineStr">
        <is>
          <t>—</t>
        </is>
      </c>
      <c r="D19" s="17" t="inlineStr">
        <is>
          <t>Vigor alto · clase &gt; 0.6139</t>
        </is>
      </c>
      <c r="E19" s="17" t="inlineStr">
        <is>
          <t>Sobre umbral</t>
        </is>
      </c>
    </row>
    <row r="21" ht="72" customHeight="1">
      <c r="A21" s="9" t="inlineStr">
        <is>
          <t>NOTA METODOLÓGICA. La distribución areal por clase de MSAVI 2024 procede de la estadística zonal por polígono del ráster MSAVI clasificado (archivo AREAS_MSAVI_BLOQUES_V6_REV_HSCM.xlsx, hojas «Datos_Detalle» y «Resumen_por_Bloque»): 119 polígonos agregados para este bloque, con superficies obtenidas como Area_m2 / 10 000. El archivo fuente no documenta la semántica del valor de clase DN; la equivalencia DN 1 = clase inferior … DN 5 = clase superior se estableció por contraste con la media MSAVI 2024 del catálogo maestro de los 117 bloques (coeficiente de correlación 0.9965 y error absoluto medio 0.0091 al reconstruir la media con los puntos medios de clase; el orden inverso arroja correlación negativa), y debe ser confirmada por el especialista SIG del proyecto. La media del bloque (0.6283) se conserva del catálogo maestro y es dato oficial; la fila resaltada indica la clase en la que cae dicha media. Los totales y porcentajes se calculan con fórmulas sobre las filas del cuadro.</t>
        </is>
      </c>
      <c r="B21" s="42" t="n"/>
      <c r="C21" s="42" t="n"/>
      <c r="D21" s="42" t="n"/>
      <c r="E21" s="43" t="n"/>
    </row>
    <row r="23" ht="18" customHeight="1">
      <c r="A23" s="5" t="inlineStr">
        <is>
          <t>B. NDVI MEDIANA 2025 — DISTRIBUCIÓN AREAL (ESTADÍSTICA ZONAL)</t>
        </is>
      </c>
    </row>
    <row r="24" ht="28" customHeight="1">
      <c r="A24" s="10" t="inlineStr">
        <is>
          <t>Clase NDVI</t>
        </is>
      </c>
      <c r="B24" s="10" t="inlineStr">
        <is>
          <t>Superficie (ha)</t>
        </is>
      </c>
      <c r="C24" s="10" t="inlineStr">
        <is>
          <t>% del área clasificada</t>
        </is>
      </c>
      <c r="D24" s="10" t="inlineStr">
        <is>
          <t>Interpretación</t>
        </is>
      </c>
      <c r="E24" s="10" t="inlineStr">
        <is>
          <t>Observación</t>
        </is>
      </c>
    </row>
    <row r="25">
      <c r="A25" s="7" t="inlineStr">
        <is>
          <t>Vegetación alta</t>
        </is>
      </c>
      <c r="B25" s="18" t="n">
        <v>32.1344</v>
      </c>
      <c r="C25" s="19" t="n">
        <v>90.06999999999999</v>
      </c>
      <c r="D25" s="15" t="inlineStr">
        <is>
          <t>Dosel continuo, matorral denso o mosaico agroforestal</t>
        </is>
      </c>
      <c r="E25" s="15" t="inlineStr"/>
    </row>
    <row r="26">
      <c r="A26" s="13" t="inlineStr">
        <is>
          <t>Vegetación mediana</t>
        </is>
      </c>
      <c r="B26" s="20" t="n">
        <v>3.5423</v>
      </c>
      <c r="C26" s="21" t="n">
        <v>9.93</v>
      </c>
      <c r="D26" s="14" t="inlineStr">
        <is>
          <t>Pastizal cultivado, matorral ralo, parcelas agrícolas</t>
        </is>
      </c>
      <c r="E26" s="14" t="inlineStr"/>
    </row>
    <row r="27">
      <c r="A27" s="16" t="inlineStr">
        <is>
          <t>TOTAL CLASIFICADO</t>
        </is>
      </c>
      <c r="B27" s="22">
        <f>SUM(B25:B26)</f>
        <v/>
      </c>
      <c r="C27" s="23">
        <f>SUM(C25:C26)</f>
        <v/>
      </c>
      <c r="D27" s="17" t="inlineStr"/>
      <c r="E27" s="17" t="inlineStr"/>
    </row>
    <row r="28">
      <c r="A28" s="24" t="inlineStr">
        <is>
          <t>Superficie de catálogo (V5/V6)</t>
        </is>
      </c>
      <c r="B28" s="25" t="n">
        <v>35.66</v>
      </c>
      <c r="C28" s="25" t="inlineStr">
        <is>
          <t>—</t>
        </is>
      </c>
      <c r="D28" s="25" t="inlineStr">
        <is>
          <t>Desviación planimétrica frente al catálogo</t>
        </is>
      </c>
      <c r="E28" s="25" t="inlineStr">
        <is>
          <t>+0.05 %</t>
        </is>
      </c>
    </row>
    <row r="30" ht="108" customHeight="1">
      <c r="A30"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 Contraste registrado en este bloque: la cobertura vegetal estimada en campo es 80 % frente a un 90.07 % del polígono clasificado como «Vegetación alta» por el NDVI 2025; la observación de campo corresponde a una parcela o recorrido puntual y no es estadísticamente representativa de las 35.660 ha del bloque.</t>
        </is>
      </c>
      <c r="B30" s="42" t="n"/>
      <c r="C30" s="42" t="n"/>
      <c r="D30" s="42" t="n"/>
      <c r="E30" s="43" t="n"/>
    </row>
  </sheetData>
  <mergeCells count="10">
    <mergeCell ref="A30:E30"/>
    <mergeCell ref="A21:E21"/>
    <mergeCell ref="A4:E4"/>
    <mergeCell ref="A2:E2"/>
    <mergeCell ref="A1:E1"/>
    <mergeCell ref="A23:E23"/>
    <mergeCell ref="A5:E5"/>
    <mergeCell ref="A8:E8"/>
    <mergeCell ref="A6:E6"/>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0"/>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82</t>
        </is>
      </c>
    </row>
    <row r="6" ht="24" customHeight="1">
      <c r="A6" s="4" t="inlineStr">
        <is>
          <t>Levantamiento del 2026-06-10 · Sistema de referencia UTM WGS 84 Zona 17S (EPSG:32717)</t>
        </is>
      </c>
    </row>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5" t="inlineStr">
        <is>
          <t>Punto de muestreo declarado en ficha DT</t>
        </is>
      </c>
      <c r="C10" s="26" t="n">
        <v>621160</v>
      </c>
      <c r="D10" s="26" t="n">
        <v>9444038</v>
      </c>
      <c r="E10" s="15" t="n">
        <v>344.6</v>
      </c>
      <c r="F10" s="15" t="inlineStr"/>
      <c r="G10" s="15" t="inlineStr">
        <is>
          <t>Coordenada consignada en F-DT-01</t>
        </is>
      </c>
    </row>
    <row r="11">
      <c r="A11" s="13" t="inlineStr">
        <is>
          <t>C-01</t>
        </is>
      </c>
      <c r="B11" s="14" t="inlineStr">
        <is>
          <t>Rasgo erosivo — Por determinar</t>
        </is>
      </c>
      <c r="C11" s="27" t="n">
        <v>621081</v>
      </c>
      <c r="D11" s="27" t="n">
        <v>9444077</v>
      </c>
      <c r="E11" s="14" t="n">
        <v>432.3</v>
      </c>
      <c r="F11" s="14" t="inlineStr">
        <is>
          <t>Activa</t>
        </is>
      </c>
      <c r="G11" s="14" t="inlineStr">
        <is>
          <t>Otro (talud de corte de trocha)</t>
        </is>
      </c>
    </row>
    <row r="12">
      <c r="A12" s="7" t="inlineStr">
        <is>
          <t>C-02</t>
        </is>
      </c>
      <c r="B12" s="15" t="inlineStr">
        <is>
          <t>Rasgo erosivo — Por determinar</t>
        </is>
      </c>
      <c r="C12" s="26" t="n">
        <v>621119</v>
      </c>
      <c r="D12" s="26" t="n">
        <v>9444053</v>
      </c>
      <c r="E12" s="15" t="n">
        <v>387.4</v>
      </c>
      <c r="F12" s="15" t="inlineStr">
        <is>
          <t>Activa</t>
        </is>
      </c>
      <c r="G12" s="15" t="inlineStr">
        <is>
          <t>Por determinar</t>
        </is>
      </c>
    </row>
    <row r="13">
      <c r="A13" s="13" t="inlineStr">
        <is>
          <t>C-03</t>
        </is>
      </c>
      <c r="B13" s="14" t="inlineStr">
        <is>
          <t>Rasgo erosivo — Por determinar</t>
        </is>
      </c>
      <c r="C13" s="27" t="n">
        <v>621188</v>
      </c>
      <c r="D13" s="27" t="n">
        <v>9444024</v>
      </c>
      <c r="E13" s="14" t="n">
        <v>313.5</v>
      </c>
      <c r="F13" s="14" t="inlineStr">
        <is>
          <t>Semi-activa</t>
        </is>
      </c>
      <c r="G13" s="14" t="inlineStr">
        <is>
          <t>Quema</t>
        </is>
      </c>
    </row>
    <row r="14">
      <c r="A14" s="7" t="inlineStr">
        <is>
          <t>H-01</t>
        </is>
      </c>
      <c r="B14" s="15" t="inlineStr">
        <is>
          <t>Fuente de agua — Quebrada estacional</t>
        </is>
      </c>
      <c r="C14" s="26" t="n">
        <v>621000</v>
      </c>
      <c r="D14" s="26" t="n">
        <v>9443900</v>
      </c>
      <c r="E14" s="15" t="n">
        <v>454.2</v>
      </c>
      <c r="F14" s="15" t="inlineStr">
        <is>
          <t>Estacional</t>
        </is>
      </c>
      <c r="G14" s="15" t="inlineStr">
        <is>
          <t>Quebrada tributaria</t>
        </is>
      </c>
    </row>
    <row r="15">
      <c r="A15" s="16" t="inlineStr">
        <is>
          <t>TOTAL: 5 puntos</t>
        </is>
      </c>
      <c r="B15" s="17" t="inlineStr"/>
      <c r="C15" s="17" t="inlineStr"/>
      <c r="D15" s="17" t="inlineStr"/>
      <c r="E15" s="17" t="inlineStr"/>
      <c r="F15" s="17" t="inlineStr"/>
      <c r="G15" s="17" t="inlineStr"/>
    </row>
    <row r="17">
      <c r="A17" s="6" t="inlineStr">
        <is>
          <t>Centroide del bloque — UTM ESTE (m)</t>
        </is>
      </c>
      <c r="B17" s="7" t="n">
        <v>621452</v>
      </c>
      <c r="C17" s="6" t="inlineStr">
        <is>
          <t>Centroide del bloque — UTM NORTE (m)</t>
        </is>
      </c>
      <c r="D17" s="7" t="n">
        <v>9443855</v>
      </c>
      <c r="E17" s="8" t="n"/>
      <c r="F17" s="8" t="n"/>
      <c r="G17" s="8" t="n"/>
      <c r="H17" s="8" t="n"/>
    </row>
    <row r="18">
      <c r="A18" s="6" t="inlineStr">
        <is>
          <t>N.° de estaciones fotográficas declaradas</t>
        </is>
      </c>
      <c r="B18" s="7" t="n">
        <v>0</v>
      </c>
      <c r="C18" s="6" t="inlineStr">
        <is>
          <t>Estaciones dentro del polígono</t>
        </is>
      </c>
      <c r="D18" s="7" t="n">
        <v>0</v>
      </c>
      <c r="E18" s="8" t="n"/>
      <c r="F18" s="8" t="n"/>
      <c r="G18" s="8" t="n"/>
      <c r="H18" s="8" t="n"/>
    </row>
    <row r="20" ht="132" customHeight="1">
      <c r="A20"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Pendiente media del recorrido 34.6% y máxima 55.3% (perfil Google Earth, longitud ≈554 m, cotas 1 833-2 029 msnm). LAS EVIDENCIAS DE INESTABILIDAD (escarpes y desprendimientos) SE CONCENTRAN EN LOS TALUDES DE CORTE DE LA TROCHA AFIRMADA (periferia/franja vial), NO EN LA SUPERFICIE NATURAL DEL BLOQUE. Coordenadas fotográficas pueden presentar leve error por señal GPS de celular. Bloque seleccionado por su rol en la REGULACIÓN DE MOVIMIENTOS EN MASA Y DE LA ESCORRENTÍA en la zona de origen de los peligros (cabecera de microcuenca). TIPO DE INTERVENCIÓN: REVEGETACIÓN (no restauración).</t>
        </is>
      </c>
      <c r="B20" s="42" t="n"/>
      <c r="C20" s="42" t="n"/>
      <c r="D20" s="42" t="n"/>
      <c r="E20" s="42" t="n"/>
      <c r="F20" s="42" t="n"/>
      <c r="G20" s="43" t="n"/>
    </row>
  </sheetData>
  <mergeCells count="8">
    <mergeCell ref="A1:G1"/>
    <mergeCell ref="A8:G8"/>
    <mergeCell ref="A3:G3"/>
    <mergeCell ref="A6:G6"/>
    <mergeCell ref="A4:G4"/>
    <mergeCell ref="A20:G20"/>
    <mergeCell ref="A2:G2"/>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6"/>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 width="22" customWidth="1" min="9" max="9"/>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C1086-Q9570 — BLOQUE 82</t>
        </is>
      </c>
    </row>
    <row r="6" ht="24" customHeight="1">
      <c r="A6" s="4" t="inlineStr">
        <is>
          <t>Distrito de Santo Domingo · Provincia de Morropon · Comparación de los bloques preliminares de intervención de la misma microcuenca</t>
        </is>
      </c>
    </row>
    <row r="8" ht="18" customHeight="1">
      <c r="A8" s="5" t="inlineStr">
        <is>
          <t>BLOQUES DE LA MICROCUENCA C1086-Q9570</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c r="I9" s="10" t="inlineStr">
        <is>
          <t>MSAVI — % bajo umbral 0.4976</t>
        </is>
      </c>
    </row>
    <row r="10">
      <c r="A10" s="7" t="inlineStr">
        <is>
          <t>12</t>
        </is>
      </c>
      <c r="B10" s="28" t="n">
        <v>119.54</v>
      </c>
      <c r="C10" s="19" t="n">
        <v>14</v>
      </c>
      <c r="D10" s="15" t="inlineStr">
        <is>
          <t>672 – 2244</t>
        </is>
      </c>
      <c r="E10" s="15" t="n">
        <v>1572</v>
      </c>
      <c r="F10" s="15" t="n">
        <v>27.41</v>
      </c>
      <c r="G10" s="18" t="n">
        <v>0.7067</v>
      </c>
      <c r="H10" s="19" t="n">
        <v>99.93000000000001</v>
      </c>
      <c r="I10" s="19" t="n">
        <v>0.07000000000000001</v>
      </c>
    </row>
    <row r="11">
      <c r="A11" s="13" t="inlineStr">
        <is>
          <t>11</t>
        </is>
      </c>
      <c r="B11" s="29" t="n">
        <v>103.95</v>
      </c>
      <c r="C11" s="21" t="n">
        <v>12.17</v>
      </c>
      <c r="D11" s="14" t="inlineStr">
        <is>
          <t>1375 – 1928</t>
        </is>
      </c>
      <c r="E11" s="14" t="n">
        <v>553</v>
      </c>
      <c r="F11" s="14" t="n">
        <v>32.19</v>
      </c>
      <c r="G11" s="20" t="n">
        <v>0.6047</v>
      </c>
      <c r="H11" s="21" t="n">
        <v>75.28</v>
      </c>
      <c r="I11" s="21" t="n">
        <v>11.34</v>
      </c>
    </row>
    <row r="12">
      <c r="A12" s="7" t="inlineStr">
        <is>
          <t>17</t>
        </is>
      </c>
      <c r="B12" s="28" t="n">
        <v>96.08</v>
      </c>
      <c r="C12" s="19" t="n">
        <v>11.25</v>
      </c>
      <c r="D12" s="15" t="inlineStr">
        <is>
          <t>1253 – 1880</t>
        </is>
      </c>
      <c r="E12" s="15" t="n">
        <v>627</v>
      </c>
      <c r="F12" s="15" t="n">
        <v>35.56</v>
      </c>
      <c r="G12" s="18" t="n">
        <v>0.6479</v>
      </c>
      <c r="H12" s="19" t="n">
        <v>88.68000000000001</v>
      </c>
      <c r="I12" s="19" t="n">
        <v>2.09</v>
      </c>
    </row>
    <row r="13">
      <c r="A13" s="13" t="inlineStr">
        <is>
          <t>14</t>
        </is>
      </c>
      <c r="B13" s="29" t="n">
        <v>92.90000000000001</v>
      </c>
      <c r="C13" s="21" t="n">
        <v>10.88</v>
      </c>
      <c r="D13" s="14" t="inlineStr">
        <is>
          <t>87 – 1355</t>
        </is>
      </c>
      <c r="E13" s="14" t="n">
        <v>1268</v>
      </c>
      <c r="F13" s="14" t="n">
        <v>23.75</v>
      </c>
      <c r="G13" s="20" t="n">
        <v>0.5197000000000001</v>
      </c>
      <c r="H13" s="21" t="n">
        <v>58.89</v>
      </c>
      <c r="I13" s="21" t="n">
        <v>39.02</v>
      </c>
    </row>
    <row r="14">
      <c r="A14" s="7" t="inlineStr">
        <is>
          <t>15</t>
        </is>
      </c>
      <c r="B14" s="28" t="n">
        <v>86.15000000000001</v>
      </c>
      <c r="C14" s="19" t="n">
        <v>10.09</v>
      </c>
      <c r="D14" s="15" t="inlineStr">
        <is>
          <t>1199 – 1655</t>
        </is>
      </c>
      <c r="E14" s="15" t="n">
        <v>456</v>
      </c>
      <c r="F14" s="15" t="n">
        <v>26.19</v>
      </c>
      <c r="G14" s="18" t="n">
        <v>0.5605</v>
      </c>
      <c r="H14" s="19" t="n">
        <v>56.47</v>
      </c>
      <c r="I14" s="19" t="n">
        <v>22.48</v>
      </c>
    </row>
    <row r="15">
      <c r="A15" s="13" t="inlineStr">
        <is>
          <t>23</t>
        </is>
      </c>
      <c r="B15" s="29" t="n">
        <v>81.78</v>
      </c>
      <c r="C15" s="21" t="n">
        <v>9.58</v>
      </c>
      <c r="D15" s="14" t="inlineStr">
        <is>
          <t>521 – 973</t>
        </is>
      </c>
      <c r="E15" s="14" t="n">
        <v>452</v>
      </c>
      <c r="F15" s="14" t="n">
        <v>35.28</v>
      </c>
      <c r="G15" s="20" t="n">
        <v>0.5731000000000001</v>
      </c>
      <c r="H15" s="21" t="n">
        <v>47.99</v>
      </c>
      <c r="I15" s="21" t="n">
        <v>18.75</v>
      </c>
    </row>
    <row r="16">
      <c r="A16" s="7" t="inlineStr">
        <is>
          <t>42</t>
        </is>
      </c>
      <c r="B16" s="28" t="n">
        <v>80.62</v>
      </c>
      <c r="C16" s="19" t="n">
        <v>9.44</v>
      </c>
      <c r="D16" s="15" t="inlineStr">
        <is>
          <t>1131 – 1548</t>
        </is>
      </c>
      <c r="E16" s="15" t="n">
        <v>417</v>
      </c>
      <c r="F16" s="15" t="n">
        <v>27.86</v>
      </c>
      <c r="G16" s="18" t="n">
        <v>0.6348</v>
      </c>
      <c r="H16" s="19" t="n">
        <v>88.83</v>
      </c>
      <c r="I16" s="19" t="n">
        <v>5.64</v>
      </c>
    </row>
    <row r="17">
      <c r="A17" s="13" t="inlineStr">
        <is>
          <t>M19B2</t>
        </is>
      </c>
      <c r="B17" s="29" t="n">
        <v>74.37</v>
      </c>
      <c r="C17" s="21" t="n">
        <v>8.710000000000001</v>
      </c>
      <c r="D17" s="14" t="inlineStr">
        <is>
          <t>203 – 523</t>
        </is>
      </c>
      <c r="E17" s="14" t="n">
        <v>320</v>
      </c>
      <c r="F17" s="14" t="n">
        <v>21.71</v>
      </c>
      <c r="G17" s="20" t="n">
        <v>0.4012</v>
      </c>
      <c r="H17" s="21" t="n">
        <v>1.28</v>
      </c>
      <c r="I17" s="21" t="n">
        <v>96.23999999999999</v>
      </c>
    </row>
    <row r="18">
      <c r="A18" s="11" t="inlineStr">
        <is>
          <t>► 82</t>
        </is>
      </c>
      <c r="B18" s="30" t="n">
        <v>35.66</v>
      </c>
      <c r="C18" s="31" t="n">
        <v>4.18</v>
      </c>
      <c r="D18" s="12" t="inlineStr">
        <is>
          <t>1796 – 2098</t>
        </is>
      </c>
      <c r="E18" s="12" t="n">
        <v>302</v>
      </c>
      <c r="F18" s="12" t="n">
        <v>23.55</v>
      </c>
      <c r="G18" s="32" t="n">
        <v>0.6283</v>
      </c>
      <c r="H18" s="31" t="n">
        <v>90.06999999999999</v>
      </c>
      <c r="I18" s="31" t="n">
        <v>12.67</v>
      </c>
    </row>
    <row r="19">
      <c r="A19" s="13" t="inlineStr">
        <is>
          <t>78</t>
        </is>
      </c>
      <c r="B19" s="29" t="n">
        <v>35.1</v>
      </c>
      <c r="C19" s="21" t="n">
        <v>4.11</v>
      </c>
      <c r="D19" s="14" t="inlineStr">
        <is>
          <t>1908 – 2236</t>
        </is>
      </c>
      <c r="E19" s="14" t="n">
        <v>328</v>
      </c>
      <c r="F19" s="14" t="n">
        <v>30.64</v>
      </c>
      <c r="G19" s="20" t="n">
        <v>0.7074</v>
      </c>
      <c r="H19" s="21" t="n">
        <v>89.33</v>
      </c>
      <c r="I19" s="21" t="n">
        <v>1.77</v>
      </c>
    </row>
    <row r="20">
      <c r="A20" s="7" t="inlineStr">
        <is>
          <t>M19B7</t>
        </is>
      </c>
      <c r="B20" s="28" t="n">
        <v>34.17</v>
      </c>
      <c r="C20" s="19" t="n">
        <v>4</v>
      </c>
      <c r="D20" s="15" t="inlineStr">
        <is>
          <t>1213 – 1578</t>
        </is>
      </c>
      <c r="E20" s="15" t="n">
        <v>365</v>
      </c>
      <c r="F20" s="15" t="n">
        <v>28.15</v>
      </c>
      <c r="G20" s="18" t="n">
        <v>0.5919</v>
      </c>
      <c r="H20" s="19" t="n">
        <v>78.52</v>
      </c>
      <c r="I20" s="19" t="n">
        <v>5.85</v>
      </c>
    </row>
    <row r="21">
      <c r="A21" s="13" t="inlineStr">
        <is>
          <t>59</t>
        </is>
      </c>
      <c r="B21" s="29" t="n">
        <v>13.55</v>
      </c>
      <c r="C21" s="21" t="n">
        <v>1.59</v>
      </c>
      <c r="D21" s="14" t="inlineStr">
        <is>
          <t>2045 – 2218</t>
        </is>
      </c>
      <c r="E21" s="14" t="n">
        <v>173</v>
      </c>
      <c r="F21" s="14" t="n">
        <v>29.85</v>
      </c>
      <c r="G21" s="20" t="n">
        <v>0.6147</v>
      </c>
      <c r="H21" s="21" t="n">
        <v>86.56999999999999</v>
      </c>
      <c r="I21" s="21" t="n">
        <v>13.72</v>
      </c>
    </row>
    <row r="22">
      <c r="A22" s="16" t="inlineStr">
        <is>
          <t>TOTAL / PROMEDIO</t>
        </is>
      </c>
      <c r="B22" s="33">
        <f>SUM(B10:B21)</f>
        <v/>
      </c>
      <c r="C22" s="23">
        <f>SUM(C10:C21)</f>
        <v/>
      </c>
      <c r="D22" s="17" t="inlineStr">
        <is>
          <t>87 – 2244</t>
        </is>
      </c>
      <c r="E22" s="17" t="inlineStr"/>
      <c r="F22" s="17">
        <f>ROUND(AVERAGE(F10:F21),2)</f>
        <v/>
      </c>
      <c r="G22" s="22">
        <f>ROUND(AVERAGE(G10:G21),4)</f>
        <v/>
      </c>
      <c r="H22" s="23">
        <f>ROUND(AVERAGE(H10:H21),2)</f>
        <v/>
      </c>
      <c r="I22" s="23">
        <f>ROUND(AVERAGE(I10:I21),2)</f>
        <v/>
      </c>
    </row>
    <row r="24" ht="84" customHeight="1">
      <c r="A24" s="9" t="inlineStr">
        <is>
          <t>LECTURA INTRAMICROCUENCA. El bloque 82 ocupa el puesto 9 de 12 por superficie dentro de la microcuenca C1086-Q9570 (4.18 % de las 853.87 ha preliminares de la microcuenca). Su pendiente promedio (23.55 %, clase «15-25% (Fuert. inclinado)») es la 2.ª más baja de 12 y se sitúa por debajo del promedio de la microcuenca (28.51 %). Su MSAVI 2024 (0.6283) es el 5.º de 12 y queda por encima del promedio local (0.5993). Amplitud altitudinal del bloque: 302 m (1796–2098 msnm). El cuadro conserva todos los bloques catalogados en la microcuenca, incluidos los descartados en el tamizaje, para referencia del conjunto. Los bloques sin ficha DT figuran con sus parámetros de gabinete. BRECHA ESPECTRAL. El 12.67 % de la superficie del bloque (4.520 ha de 35.661 ha) se sitúa bajo el umbral MSAVI 0.4976, por debajo del promedio local de la microcuenca (19.14 %) calculado sobre los bloques con dato MSAVI disponible.</t>
        </is>
      </c>
      <c r="B24" s="42" t="n"/>
      <c r="C24" s="42" t="n"/>
      <c r="D24" s="42" t="n"/>
      <c r="E24" s="42" t="n"/>
      <c r="F24" s="42" t="n"/>
      <c r="G24" s="42" t="n"/>
      <c r="H24" s="42" t="n"/>
      <c r="I24" s="43" t="n"/>
    </row>
    <row r="26" ht="60" customHeight="1">
      <c r="A26"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 El porcentaje bajo el umbral MSAVI 0.4976 procede de la estadística zonal del ráster MSAVI 2024 clasificado (AREAS_MSAVI_BLOQUES_V6_REV_HSCM) y corresponde a la suma de las clases DN 1 a DN 3 sobre la superficie clasificada de cada bloque; «s/d» indica bloques del catálogo sin cobertura en ese archivo.</t>
        </is>
      </c>
      <c r="B26" s="42" t="n"/>
      <c r="C26" s="42" t="n"/>
      <c r="D26" s="42" t="n"/>
      <c r="E26" s="42" t="n"/>
      <c r="F26" s="42" t="n"/>
      <c r="G26" s="42" t="n"/>
      <c r="H26" s="42" t="n"/>
      <c r="I26" s="43" t="n"/>
    </row>
  </sheetData>
  <mergeCells count="9">
    <mergeCell ref="A2:I2"/>
    <mergeCell ref="A5:I5"/>
    <mergeCell ref="A1:I1"/>
    <mergeCell ref="A8:I8"/>
    <mergeCell ref="A3:I3"/>
    <mergeCell ref="A6:I6"/>
    <mergeCell ref="A4:I4"/>
    <mergeCell ref="A26:I26"/>
    <mergeCell ref="A24:I24"/>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34"/>
  <sheetViews>
    <sheetView workbookViewId="0">
      <pane ySplit="8" topLeftCell="A9" activePane="bottomLeft" state="frozen"/>
      <selection pane="bottomLeft" activeCell="A1" sqref="A1"/>
    </sheetView>
  </sheetViews>
  <sheetFormatPr baseColWidth="8" defaultRowHeight="15"/>
  <cols>
    <col width="8" customWidth="1" min="1" max="1"/>
    <col width="30" customWidth="1" min="2" max="2"/>
    <col width="62" customWidth="1" min="3" max="3"/>
    <col width="16" customWidth="1" min="4" max="4"/>
    <col width="62" customWidth="1" min="5" max="5"/>
  </cols>
  <sheetData>
    <row r="1">
      <c r="A1" s="52" t="inlineStr">
        <is>
          <t>AUTORIDAD NACIONAL DE INFRAESTRUCTURA - ANIN</t>
        </is>
      </c>
    </row>
    <row r="2">
      <c r="A2" s="52" t="inlineStr">
        <is>
          <t>DIRECCION DE INTERVENCIONES MULTISECTORIALES Y DE EMERGENCIA - DIME</t>
        </is>
      </c>
    </row>
    <row r="3">
      <c r="A3" s="52" t="inlineStr">
        <is>
          <t>SUBDIRECCION DE ESTUDIOS DE INVERSION - SESDI</t>
        </is>
      </c>
    </row>
    <row r="4">
      <c r="A4" s="53" t="inlineStr">
        <is>
          <t>PROYECTO IN PIURA | CUI 2669244 | Recuperacion del servicio de regulacion de riesgos naturales y de ecosistemas degradados - Cuenca Alta del Rio Piura</t>
        </is>
      </c>
    </row>
    <row r="5" ht="22" customHeight="1">
      <c r="A5" s="54" t="inlineStr">
        <is>
          <t>CONTROL DE CONSISTENCIA — BLOQUE 82</t>
        </is>
      </c>
    </row>
    <row r="6">
      <c r="A6" s="53" t="inlineStr">
        <is>
          <t>Cruce de la ficha de campo F-DT vigente con la ficha de resumen de gabinete y el catálogo maestro. Integración 2026-09-11 20:22:33.</t>
        </is>
      </c>
    </row>
    <row r="7">
      <c r="A7" s="55" t="inlineStr">
        <is>
          <t>DISCREPANCIAS Y VERIFICACIONES</t>
        </is>
      </c>
    </row>
    <row r="8">
      <c r="A8" s="56" t="inlineStr">
        <is>
          <t>Cod.</t>
        </is>
      </c>
      <c r="B8" s="56" t="inlineStr">
        <is>
          <t>Campo afectado</t>
        </is>
      </c>
      <c r="C8" s="56" t="inlineStr">
        <is>
          <t>Discrepancia observada</t>
        </is>
      </c>
      <c r="D8" s="56" t="inlineStr">
        <is>
          <t>Calificación</t>
        </is>
      </c>
      <c r="E8" s="56" t="inlineStr">
        <is>
          <t>Tratamiento adoptado</t>
        </is>
      </c>
    </row>
    <row r="9">
      <c r="A9" s="57" t="inlineStr">
        <is>
          <t>G-01</t>
        </is>
      </c>
      <c r="B9" s="57" t="inlineStr">
        <is>
          <t>Código de microcuenca</t>
        </is>
      </c>
      <c r="C9" s="57" t="inlineStr">
        <is>
          <t>Ficha DT y catálogo maestro coinciden en «C1086-Q9570».</t>
        </is>
      </c>
      <c r="D9" s="57" t="inlineStr">
        <is>
          <t>CONFORME</t>
        </is>
      </c>
      <c r="E9" s="57" t="inlineStr">
        <is>
          <t>Sin acción.</t>
        </is>
      </c>
    </row>
    <row r="10">
      <c r="A10" s="58" t="inlineStr">
        <is>
          <t>G-02</t>
        </is>
      </c>
      <c r="B10" s="58" t="inlineStr">
        <is>
          <t>UTM del punto de muestreo</t>
        </is>
      </c>
      <c r="C10" s="58" t="inlineStr">
        <is>
          <t>El punto de muestreo declarado dista 182.1 m del centroide, dentro del radio de control.</t>
        </is>
      </c>
      <c r="D10" s="58" t="inlineStr">
        <is>
          <t>CONFORME</t>
        </is>
      </c>
      <c r="E10" s="58" t="inlineStr">
        <is>
          <t>Sin acción.</t>
        </is>
      </c>
    </row>
    <row r="11">
      <c r="A11" s="57" t="inlineStr">
        <is>
          <t>G-03</t>
        </is>
      </c>
      <c r="B11" s="57" t="inlineStr">
        <is>
          <t>Sistema de referencia UTM 17S</t>
        </is>
      </c>
      <c r="C11" s="57" t="inlineStr">
        <is>
          <t>Verificación de rango para EPSG:32717: Conforme.</t>
        </is>
      </c>
      <c r="D11" s="57" t="inlineStr">
        <is>
          <t>CONFORME</t>
        </is>
      </c>
      <c r="E11" s="57" t="inlineStr">
        <is>
          <t>Sin acción.</t>
        </is>
      </c>
    </row>
    <row r="12">
      <c r="A12" s="58" t="inlineStr">
        <is>
          <t>G-04</t>
        </is>
      </c>
      <c r="B12" s="58" t="inlineStr">
        <is>
          <t>Altitud del punto de muestreo</t>
        </is>
      </c>
      <c r="C12" s="58" t="inlineStr">
        <is>
          <t>La altitud GPS (1940 msnm) cae dentro del rango altitudinal del bloque (1796 - 2098 msnm).</t>
        </is>
      </c>
      <c r="D12" s="58" t="inlineStr">
        <is>
          <t>CONFORME</t>
        </is>
      </c>
      <c r="E12" s="58" t="inlineStr">
        <is>
          <t>Sin acción.</t>
        </is>
      </c>
    </row>
    <row r="13">
      <c r="A13" s="57" t="inlineStr">
        <is>
          <t>G-05</t>
        </is>
      </c>
      <c r="B13" s="57" t="inlineStr">
        <is>
          <t>Superficie NDVI vs. catálogo</t>
        </is>
      </c>
      <c r="C13" s="57" t="inlineStr">
        <is>
          <t>La superficie clasificada por el NDVI mediana 2025 (35.677 ha) se desvía 0.05 % de la superficie de catálogo (35.66 ha).</t>
        </is>
      </c>
      <c r="D13" s="57" t="inlineStr">
        <is>
          <t>CONFORME</t>
        </is>
      </c>
      <c r="E13" s="57" t="inlineStr">
        <is>
          <t>Sin acción: la segmentación valida la geometría del bloque.</t>
        </is>
      </c>
    </row>
    <row r="14">
      <c r="A14" s="58" t="inlineStr">
        <is>
          <t>G-06</t>
        </is>
      </c>
      <c r="B14" s="58" t="inlineStr">
        <is>
          <t>Superficie MSAVI vs. catálogo</t>
        </is>
      </c>
      <c r="C14" s="58" t="inlineStr">
        <is>
          <t>La superficie clasificada por el MSAVI 2024 (35.661 ha) se desvía 0.00 % de la superficie de catálogo (35.66 ha).</t>
        </is>
      </c>
      <c r="D14" s="58" t="inlineStr">
        <is>
          <t>CONFORME</t>
        </is>
      </c>
      <c r="E14" s="58" t="inlineStr">
        <is>
          <t>Sin acción: la segmentación valida la geometría del bloque.</t>
        </is>
      </c>
    </row>
    <row r="15">
      <c r="A15" s="57" t="inlineStr">
        <is>
          <t>G-07</t>
        </is>
      </c>
      <c r="B15" s="57" t="inlineStr">
        <is>
          <t>Brecha espectral MSAVI</t>
        </is>
      </c>
      <c r="C15" s="57" t="inlineStr">
        <is>
          <t>El 12.67 % del bloque queda bajo el umbral 0.4976; superficie de brecha 4.5199 ha.</t>
        </is>
      </c>
      <c r="D15" s="57" t="inlineStr">
        <is>
          <t>CONFORME</t>
        </is>
      </c>
      <c r="E15" s="57" t="inlineStr">
        <is>
          <t>Sin acción: alimenta el indicador de brecha del proyecto.</t>
        </is>
      </c>
    </row>
    <row r="16">
      <c r="A16" s="58" t="inlineStr">
        <is>
          <t>G-08</t>
        </is>
      </c>
      <c r="B16" s="58" t="inlineStr">
        <is>
          <t>Distribución areal MSAVI 2024</t>
        </is>
      </c>
      <c r="C16" s="58" t="inlineStr">
        <is>
          <t>La hoja de cobertura declara 5 clases DN con superficie, 35.66 ha clasificadas en total.</t>
        </is>
      </c>
      <c r="D16" s="58" t="inlineStr">
        <is>
          <t>CONFORME</t>
        </is>
      </c>
      <c r="E16" s="58" t="inlineStr">
        <is>
          <t>Sin acción: procede de la estadística zonal del raster MSAVI 2024 clasificado.</t>
        </is>
      </c>
    </row>
    <row r="17">
      <c r="A17" s="57" t="inlineStr">
        <is>
          <t>G-09</t>
        </is>
      </c>
      <c r="B17" s="57" t="inlineStr">
        <is>
          <t>Media MSAVI vs. clase DN dominante</t>
        </is>
      </c>
      <c r="C17" s="57" t="inlineStr">
        <is>
          <t>La media del bloque (0.6283) cae en la clase «&gt; 0.6139 (Vigor alto)» y la clase DN dominante por superficie es «DN 5 · &gt; 0.6139 (Vigor alto)».</t>
        </is>
      </c>
      <c r="D17" s="57" t="inlineStr">
        <is>
          <t>CONFORME</t>
        </is>
      </c>
      <c r="E17" s="57" t="inlineStr">
        <is>
          <t>Sin acción: media y clase dominante son coherentes.</t>
        </is>
      </c>
    </row>
    <row r="18">
      <c r="A18" s="58" t="inlineStr">
        <is>
          <t>G-10</t>
        </is>
      </c>
      <c r="B18" s="58" t="inlineStr">
        <is>
          <t>Peligro integrado (MCA-AHP)</t>
        </is>
      </c>
      <c r="C18" s="58" t="inlineStr">
        <is>
          <t>El nivel de peligro integrado no está disponible en los insumos de este entregable.</t>
        </is>
      </c>
      <c r="D18" s="58" t="inlineStr">
        <is>
          <t>SUSTANTIVA</t>
        </is>
      </c>
      <c r="E18" s="58" t="inlineStr">
        <is>
          <t>Debe tomarse del modelamiento de mesolocalización (MCA-AHP de PMM, EPH y PGI) antes de cerrar el perfil.</t>
        </is>
      </c>
    </row>
    <row r="19">
      <c r="A19" s="57" t="inlineStr">
        <is>
          <t>I-01</t>
        </is>
      </c>
      <c r="B19" s="57" t="inlineStr">
        <is>
          <t>Hora de registro</t>
        </is>
      </c>
      <c r="C19" s="57" t="inlineStr">
        <is>
          <t>El libro de resumen V6 consignaba «11:30 h»; la ficha de campo vigente declara «11:30 a. m.».</t>
        </is>
      </c>
      <c r="D19" s="57" t="inlineStr">
        <is>
          <t>CORREGIDO</t>
        </is>
      </c>
      <c r="E19" s="57" t="inlineStr">
        <is>
          <t>Se adopta el valor de campo por ser la fuente que manda sobre el dato y la más reciente. El valor anterior queda declarado para trazabilidad.</t>
        </is>
      </c>
    </row>
    <row r="20">
      <c r="A20" s="58" t="inlineStr">
        <is>
          <t>F-01</t>
        </is>
      </c>
      <c r="B20" s="58" t="inlineStr">
        <is>
          <t>Fichas F-DT levantadas</t>
        </is>
      </c>
      <c r="C20" s="58" t="inlineStr">
        <is>
          <t>La plantilla de campo trae las cinco fichas F-DT-01 a F-DT-05 (completitud 96.4 % de los campos esperados).</t>
        </is>
      </c>
      <c r="D20" s="58" t="inlineStr">
        <is>
          <t>CONFORME</t>
        </is>
      </c>
      <c r="E20" s="58" t="inlineStr">
        <is>
          <t>Sin acción.</t>
        </is>
      </c>
    </row>
    <row r="21">
      <c r="A21" s="57" t="inlineStr">
        <is>
          <t>F-02</t>
        </is>
      </c>
      <c r="B21" s="57" t="inlineStr">
        <is>
          <t>Cobertura de la integración</t>
        </is>
      </c>
      <c r="C21" s="57" t="inlineStr">
        <is>
          <t>Se declararon 99 de 114 hechos integrados (86.8 %); 15 quedan sin dato en ninguna fuente.</t>
        </is>
      </c>
      <c r="D21" s="57" t="inlineStr">
        <is>
          <t>CONFORME</t>
        </is>
      </c>
      <c r="E21" s="57" t="inlineStr">
        <is>
          <t>Sin acción.</t>
        </is>
      </c>
    </row>
    <row r="22">
      <c r="A22" s="58" t="inlineStr">
        <is>
          <t>H-01</t>
        </is>
      </c>
      <c r="B22" s="58" t="inlineStr">
        <is>
          <t>Rango de pendiente dominante</t>
        </is>
      </c>
      <c r="C22" s="58" t="inlineStr">
        <is>
          <t>La ficha DT declara «25-50% (Mod. escarpado)»; la estadística zonal sobre el MDE arroja una pendiente promedio de 23.55 %, que corresponde a la clase «15-25% (Fuert. inclinado)»</t>
        </is>
      </c>
      <c r="D22" s="58" t="inlineStr">
        <is>
          <t>NO SUSTANTIVA</t>
        </is>
      </c>
      <c r="E22" s="58" t="inlineStr">
        <is>
          <t>Se conserva el registro de campo como observación de sector y se adopta el valor del MDE para el cálculo intramicrocuenca. La divergencia es esperable: el dato de campo es puntual y el del MDE es promedio del polígono. (Verificación heredada de la ficha de resumen V6.)</t>
        </is>
      </c>
    </row>
    <row r="23">
      <c r="A23" s="57" t="inlineStr">
        <is>
          <t>H-02</t>
        </is>
      </c>
      <c r="B23" s="57" t="inlineStr">
        <is>
          <t>Cobertura vegetal total</t>
        </is>
      </c>
      <c r="C23" s="57" t="inlineStr">
        <is>
          <t>La ficha DT estima 80 % de cobertura vegetal en campo; el NDVI mediana 2025 clasifica 100.00 % del polígono en clases de vegetación</t>
        </is>
      </c>
      <c r="D23" s="57" t="inlineStr">
        <is>
          <t>NO SUSTANTIVA</t>
        </is>
      </c>
      <c r="E23" s="57" t="inlineStr">
        <is>
          <t>Se declaran ambos valores. La observación de campo corresponde a una parcela o recorrido puntual y no es representativa de la totalidad del bloque; el índice espectral no discrimina composición ni integridad ecosistémica. (Verificación heredada de la ficha de resumen V6.)</t>
        </is>
      </c>
    </row>
    <row r="24">
      <c r="A24" s="58" t="inlineStr">
        <is>
          <t>H-03</t>
        </is>
      </c>
      <c r="B24" s="58" t="inlineStr">
        <is>
          <t>Dimensiones del inventario de cárcavas</t>
        </is>
      </c>
      <c r="C24" s="58" t="inlineStr">
        <is>
          <t>Se registran 3 rasgos erosivos, pero longitud, profundidad y ancho no fueron medidos instrumentalmente</t>
        </is>
      </c>
      <c r="D24" s="58" t="inlineStr">
        <is>
          <t>NO SUSTANTIVA</t>
        </is>
      </c>
      <c r="E24" s="58" t="inlineStr">
        <is>
          <t>El conteo registrado no debe usarse para calcular densidad de cárcavas por hectárea. Pendiente de levantamiento con GPS submétrico. (Verificación heredada de la ficha de resumen V6.)</t>
        </is>
      </c>
    </row>
    <row r="25">
      <c r="A25" s="57" t="inlineStr">
        <is>
          <t>H-04</t>
        </is>
      </c>
      <c r="B25" s="57" t="inlineStr">
        <is>
          <t>Representatividad del levantamiento</t>
        </is>
      </c>
      <c r="C25" s="57" t="inlineStr">
        <is>
          <t>Ninguna de las estaciones fotográficas georreferenciadas se localiza dentro del polígono del bloque</t>
        </is>
      </c>
      <c r="D25" s="57" t="inlineStr">
        <is>
          <t>SUSTANTIVA</t>
        </is>
      </c>
      <c r="E25" s="57" t="inlineStr">
        <is>
          <t>La verificación documenta el perímetro y la vista panorámica del bloque, no su interior. Los parámetros que exigen recorrido interno se consignan «Por determinar». (Verificación heredada de la ficha de resumen V6.)</t>
        </is>
      </c>
    </row>
    <row r="26">
      <c r="A26" s="58" t="inlineStr">
        <is>
          <t>H-05</t>
        </is>
      </c>
      <c r="B26" s="58" t="inlineStr">
        <is>
          <t>Centro poblado asociado</t>
        </is>
      </c>
      <c r="C26" s="58" t="inlineStr">
        <is>
          <t>La ficha DT declara «Santa Fe de Portachuelo»; el cruce INEI-Bloques V5 identifica 1 centro(s) poblado(s) en el bloque: SANTA FE DE PORTACHUELO</t>
        </is>
      </c>
      <c r="D26" s="58" t="inlineStr">
        <is>
          <t>CONFORME</t>
        </is>
      </c>
      <c r="E26" s="58" t="inlineStr">
        <is>
          <t>Se conserva el registro de campo como referencia y se adopta el listado INEI para el diagnóstico social y el cálculo de población beneficiaria. (Verificación heredada de la ficha de resumen V6.)</t>
        </is>
      </c>
    </row>
    <row r="27">
      <c r="A27" s="57" t="inlineStr">
        <is>
          <t>H-06</t>
        </is>
      </c>
      <c r="B27" s="57" t="inlineStr">
        <is>
          <t>Plan de Ingreso</t>
        </is>
      </c>
      <c r="C27" s="57" t="inlineStr">
        <is>
          <t>Altitud = 0 msnm (captura por defecto del aplicativo)</t>
        </is>
      </c>
      <c r="D27" s="57" t="inlineStr">
        <is>
          <t>CORREGIDO</t>
        </is>
      </c>
      <c r="E27" s="57" t="inlineStr">
        <is>
          <t>Se reemplaza por la altitud GPS de campo (1940 msnm) (Verificación heredada de la ficha de resumen V6.)</t>
        </is>
      </c>
    </row>
    <row r="28">
      <c r="A28" s="58" t="inlineStr">
        <is>
          <t>H-07</t>
        </is>
      </c>
      <c r="B28" s="58" t="inlineStr">
        <is>
          <t>F-DT-02</t>
        </is>
      </c>
      <c r="C28" s="58" t="inlineStr">
        <is>
          <t>Las 3 cárcavas inventariadas carecen de tipo, dimensiones y (C-02) de causa</t>
        </is>
      </c>
      <c r="D28" s="58" t="inlineStr">
        <is>
          <t>NO SUSTANTIVA</t>
        </is>
      </c>
      <c r="E28" s="58" t="inlineStr">
        <is>
          <t>Levantamiento instrumental pendiente (Verificación heredada de la ficha de resumen V6.)</t>
        </is>
      </c>
    </row>
    <row r="29">
      <c r="A29" s="57" t="inlineStr">
        <is>
          <t>H-08</t>
        </is>
      </c>
      <c r="B29" s="57" t="inlineStr">
        <is>
          <t>F-DT-04</t>
        </is>
      </c>
      <c r="C29" s="57" t="inlineStr">
        <is>
          <t>Frecuencia de quemas no cuantificada pese a haberse registrado quema reciente de pastizal (C-03)</t>
        </is>
      </c>
      <c r="D29" s="57" t="inlineStr">
        <is>
          <t>SUSTANTIVA</t>
        </is>
      </c>
      <c r="E29" s="57" t="inlineStr">
        <is>
          <t>El indicador no puede consignarse en 0 (Verificación heredada de la ficha de resumen V6.)</t>
        </is>
      </c>
    </row>
    <row r="30">
      <c r="A30" s="58" t="inlineStr">
        <is>
          <t>H-09</t>
        </is>
      </c>
      <c r="B30" s="58" t="inlineStr">
        <is>
          <t>F-DT-03</t>
        </is>
      </c>
      <c r="C30" s="58" t="inlineStr">
        <is>
          <t>Lista florística basada en juicio de experto sobre fotografías y literatura regional, no en colecta</t>
        </is>
      </c>
      <c r="D30" s="58" t="inlineStr">
        <is>
          <t>SUSTANTIVA</t>
        </is>
      </c>
      <c r="E30" s="58" t="inlineStr">
        <is>
          <t>Determinación botánica formal pendiente (Verificación heredada de la ficha de resumen V6.)</t>
        </is>
      </c>
    </row>
    <row r="32">
      <c r="A32" s="59" t="inlineStr">
        <is>
          <t>RESUMEN</t>
        </is>
      </c>
      <c r="B32" s="60" t="inlineStr">
        <is>
          <t>22 verificaciones</t>
        </is>
      </c>
      <c r="C32" s="60" t="inlineStr">
        <is>
          <t>SUSTANTIVA: 4 · NO SUSTANTIVA: 4 · CORREGIDO: 2 · CONFORME: 12</t>
        </is>
      </c>
    </row>
    <row r="34">
      <c r="A34" s="61" t="inlineStr">
        <is>
          <t>NOTA METODOLÓGICA. Este control se genera del cruce automático entre la plantilla DT de campo vigente (fichas F-DT-01 a F-DT-05) y la ficha de resumen de gabinete. Cada hecho territorial se declara una sola vez, con la fuente que manda sobre el: campo para lo observado en terreno, gabinete para lo derivado del MDE y de los compuestos Sentinel-2, y fuente oficial para el catálogo maestro de bloques, la división política INEI y la codificación de microcuencas de la ANA. Ningún valor ausente se estima: lo que ninguna fuente declara se consigna como pendiente. Sistema de referencia UTM WGS 84 Zona 17S (EPSG:32717).</t>
        </is>
      </c>
    </row>
  </sheetData>
  <mergeCells count="7">
    <mergeCell ref="A34:E34"/>
    <mergeCell ref="A4:E4"/>
    <mergeCell ref="A2:E2"/>
    <mergeCell ref="A1:E1"/>
    <mergeCell ref="A5:E5"/>
    <mergeCell ref="A6:E6"/>
    <mergeCell ref="A3:E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59"/>
  <sheetViews>
    <sheetView workbookViewId="0">
      <selection activeCell="A1" sqref="A1"/>
    </sheetView>
  </sheetViews>
  <sheetFormatPr baseColWidth="8" defaultRowHeight="15"/>
  <cols>
    <col width="34" customWidth="1" min="1" max="1"/>
    <col width="38" customWidth="1" min="2" max="2"/>
    <col width="44" customWidth="1" min="3" max="3"/>
    <col width="44" customWidth="1" min="4" max="4"/>
    <col width="24" customWidth="1" min="5" max="5"/>
    <col width="18" customWidth="1" min="6" max="6"/>
  </cols>
  <sheetData>
    <row r="1">
      <c r="A1" s="52" t="inlineStr">
        <is>
          <t>AUTORIDAD NACIONAL DE INFRAESTRUCTURA - ANIN</t>
        </is>
      </c>
    </row>
    <row r="2">
      <c r="A2" s="52" t="inlineStr">
        <is>
          <t>DIRECCION DE INTERVENCIONES MULTISECTORIALES Y DE EMERGENCIA - DIME</t>
        </is>
      </c>
    </row>
    <row r="3">
      <c r="A3" s="52" t="inlineStr">
        <is>
          <t>SUBDIRECCION DE ESTUDIOS DE INVERSION - SESDI</t>
        </is>
      </c>
    </row>
    <row r="4">
      <c r="A4" s="53" t="inlineStr">
        <is>
          <t>PROYECTO IN PIURA | CUI 2669244 | Recuperacion del servicio de regulacion de riesgos naturales y de ecosistemas degradados - Cuenca Alta del Rio Piura</t>
        </is>
      </c>
    </row>
    <row r="5" ht="22" customHeight="1">
      <c r="A5" s="54" t="inlineStr">
        <is>
          <t>INTEGRACIÓN DE LA FICHA DE CAMPO — BLOQUE 82</t>
        </is>
      </c>
    </row>
    <row r="7">
      <c r="A7" s="55" t="inlineStr">
        <is>
          <t>A. HECHOS ACTUALIZADOS POR LA VERIFICACIÓN DE CAMPO</t>
        </is>
      </c>
    </row>
    <row r="8">
      <c r="A8" s="56" t="inlineStr">
        <is>
          <t>Sección</t>
        </is>
      </c>
      <c r="B8" s="56" t="inlineStr">
        <is>
          <t>Hecho</t>
        </is>
      </c>
      <c r="C8" s="56" t="inlineStr">
        <is>
          <t>Valor en la ficha V6</t>
        </is>
      </c>
      <c r="D8" s="56" t="inlineStr">
        <is>
          <t>Valor de campo vigente</t>
        </is>
      </c>
      <c r="E8" s="56" t="inlineStr">
        <is>
          <t>Fuente que manda</t>
        </is>
      </c>
    </row>
    <row r="9">
      <c r="A9" s="57" t="inlineStr">
        <is>
          <t>8. Responsable y modalidad de la evaluación</t>
        </is>
      </c>
      <c r="B9" s="57" t="inlineStr">
        <is>
          <t>Hora de registro</t>
        </is>
      </c>
      <c r="C9" s="57" t="inlineStr">
        <is>
          <t>11:30 h</t>
        </is>
      </c>
      <c r="D9" s="57" t="inlineStr">
        <is>
          <t>11:30 a. m.</t>
        </is>
      </c>
      <c r="E9" s="57" t="inlineStr">
        <is>
          <t>Dato de campo</t>
        </is>
      </c>
    </row>
    <row r="11">
      <c r="A11" s="55" t="inlineStr">
        <is>
          <t>B. HECHOS APORTADOS ÚNICAMENTE POR LA FICHA DE CAMPO</t>
        </is>
      </c>
    </row>
    <row r="12">
      <c r="A12" s="56" t="inlineStr">
        <is>
          <t>Sección</t>
        </is>
      </c>
      <c r="B12" s="56" t="inlineStr">
        <is>
          <t>Hecho</t>
        </is>
      </c>
      <c r="C12" s="56" t="inlineStr">
        <is>
          <t>Valor</t>
        </is>
      </c>
      <c r="D12" s="56" t="inlineStr">
        <is>
          <t>Unidad</t>
        </is>
      </c>
    </row>
    <row r="13">
      <c r="A13" s="57" t="inlineStr">
        <is>
          <t>1. Identificación y localización</t>
        </is>
      </c>
      <c r="B13" s="57" t="inlineStr">
        <is>
          <t>UTM ESTE del punto de muestreo (m)</t>
        </is>
      </c>
      <c r="C13" s="57" t="inlineStr">
        <is>
          <t>621270</t>
        </is>
      </c>
      <c r="D13" s="57" t="inlineStr">
        <is>
          <t>m</t>
        </is>
      </c>
    </row>
    <row r="14">
      <c r="A14" s="58" t="inlineStr">
        <is>
          <t>1. Identificación y localización</t>
        </is>
      </c>
      <c r="B14" s="58" t="inlineStr">
        <is>
          <t>UTM NORTE del punto de muestreo (m)</t>
        </is>
      </c>
      <c r="C14" s="58" t="inlineStr">
        <is>
          <t>9443860</t>
        </is>
      </c>
      <c r="D14" s="58" t="inlineStr">
        <is>
          <t>m</t>
        </is>
      </c>
    </row>
    <row r="15">
      <c r="A15" s="57" t="inlineStr">
        <is>
          <t>2. Parámetros físicos del terreno</t>
        </is>
      </c>
      <c r="B15" s="57" t="inlineStr">
        <is>
          <t>Altitud GPS del punto de muestreo (msnm)</t>
        </is>
      </c>
      <c r="C15" s="57" t="inlineStr">
        <is>
          <t>1940</t>
        </is>
      </c>
      <c r="D15" s="57" t="inlineStr">
        <is>
          <t>msnm</t>
        </is>
      </c>
    </row>
    <row r="16">
      <c r="A16" s="58" t="inlineStr">
        <is>
          <t>2. Parámetros físicos del terreno</t>
        </is>
      </c>
      <c r="B16" s="58" t="inlineStr">
        <is>
          <t>Piso altitudinal del punto de muestreo</t>
        </is>
      </c>
      <c r="C16" s="58" t="inlineStr">
        <is>
          <t>1500-2000 m (Quechua media)</t>
        </is>
      </c>
      <c r="D16" s="58" t="inlineStr"/>
    </row>
    <row r="17">
      <c r="A17" s="57" t="inlineStr">
        <is>
          <t>2. Parámetros físicos del terreno</t>
        </is>
      </c>
      <c r="B17" s="57" t="inlineStr">
        <is>
          <t>Paisaje dominante descrito en campo</t>
        </is>
      </c>
      <c r="C17" s="57" t="inlineStr">
        <is>
          <t>Ladera de colina-montaña de fuerte pendiente, elongada en sentido NO–SE, disectada por quebradas tributarias de la microcuenca C1086-Q9570. Mosaico de pastizales y cultivos en las laderas medias-bajas, con relictos de bosque montano y matorral andino en las cimas y sectores menos accesibles. Cotas observadas ~1833–2029 msnm; el recorrido desciende de O a E.</t>
        </is>
      </c>
      <c r="D17" s="57" t="inlineStr"/>
    </row>
    <row r="18">
      <c r="A18" s="58" t="inlineStr">
        <is>
          <t>2. Parámetros físicos del terreno</t>
        </is>
      </c>
      <c r="B18" s="58" t="inlineStr">
        <is>
          <t>Reptación de suelo</t>
        </is>
      </c>
      <c r="C18" s="58" t="inlineStr">
        <is>
          <t>No</t>
        </is>
      </c>
      <c r="D18" s="58" t="inlineStr"/>
    </row>
    <row r="19">
      <c r="A19" s="57" t="inlineStr">
        <is>
          <t>2. Parámetros físicos del terreno</t>
        </is>
      </c>
      <c r="B19" s="57" t="inlineStr">
        <is>
          <t>Deslizamientos antiguos</t>
        </is>
      </c>
      <c r="C19" s="57" t="inlineStr">
        <is>
          <t>No</t>
        </is>
      </c>
      <c r="D19" s="57" t="inlineStr"/>
    </row>
    <row r="20">
      <c r="A20" s="58" t="inlineStr">
        <is>
          <t>4. Suelos y erosión (F-DT-02)</t>
        </is>
      </c>
      <c r="B20" s="58" t="inlineStr">
        <is>
          <t>Nivel de erosión - síntesis de campo</t>
        </is>
      </c>
      <c r="C20" s="58" t="inlineStr">
        <is>
          <t>Moderada (surcos)</t>
        </is>
      </c>
      <c r="D20" s="58" t="inlineStr"/>
    </row>
    <row r="21">
      <c r="A21" s="57" t="inlineStr">
        <is>
          <t>4. Suelos y erosión (F-DT-02)</t>
        </is>
      </c>
      <c r="B21" s="57" t="inlineStr">
        <is>
          <t>Sellamiento / costra superficial</t>
        </is>
      </c>
      <c r="C21" s="57" t="inlineStr">
        <is>
          <t>No</t>
        </is>
      </c>
      <c r="D21" s="57" t="inlineStr"/>
    </row>
    <row r="22">
      <c r="A22" s="58" t="inlineStr">
        <is>
          <t>4. Suelos y erosión (F-DT-02)</t>
        </is>
      </c>
      <c r="B22" s="58" t="inlineStr">
        <is>
          <t>Compactación por pisoteo</t>
        </is>
      </c>
      <c r="C22" s="58" t="inlineStr">
        <is>
          <t>Sí</t>
        </is>
      </c>
      <c r="D22" s="58" t="inlineStr"/>
    </row>
    <row r="23">
      <c r="A23" s="57" t="inlineStr">
        <is>
          <t>4. Suelos y erosión (F-DT-02)</t>
        </is>
      </c>
      <c r="B23" s="57" t="inlineStr">
        <is>
          <t>Raíces expuestas</t>
        </is>
      </c>
      <c r="C23" s="57" t="inlineStr">
        <is>
          <t>Sí</t>
        </is>
      </c>
      <c r="D23" s="57" t="inlineStr"/>
    </row>
    <row r="24">
      <c r="A24" s="58" t="inlineStr">
        <is>
          <t>4. Suelos y erosión (F-DT-02)</t>
        </is>
      </c>
      <c r="B24" s="58" t="inlineStr">
        <is>
          <t>% del bloque afectado por cárcavas</t>
        </is>
      </c>
      <c r="C24" s="58" t="inlineStr">
        <is>
          <t>5</t>
        </is>
      </c>
      <c r="D24" s="58" t="inlineStr">
        <is>
          <t>%</t>
        </is>
      </c>
    </row>
    <row r="25">
      <c r="A25" s="57" t="inlineStr">
        <is>
          <t>4. Suelos y erosión (F-DT-02)</t>
        </is>
      </c>
      <c r="B25" s="57" t="inlineStr">
        <is>
          <t>Erosión laminar (% del bloque)</t>
        </is>
      </c>
      <c r="C25" s="57" t="inlineStr">
        <is>
          <t>10</t>
        </is>
      </c>
      <c r="D25" s="57" t="inlineStr">
        <is>
          <t>%</t>
        </is>
      </c>
    </row>
    <row r="26">
      <c r="A26" s="58" t="inlineStr">
        <is>
          <t>4. Suelos y erosión (F-DT-02)</t>
        </is>
      </c>
      <c r="B26" s="58" t="inlineStr">
        <is>
          <t>Patrón de cárcavas</t>
        </is>
      </c>
      <c r="C26" s="58" t="inlineStr">
        <is>
          <t>Aislado</t>
        </is>
      </c>
      <c r="D26" s="58" t="inlineStr"/>
    </row>
    <row r="27">
      <c r="A27" s="57" t="inlineStr">
        <is>
          <t>4. Suelos y erosión (F-DT-02)</t>
        </is>
      </c>
      <c r="B27" s="57" t="inlineStr">
        <is>
          <t>Socavamiento de cauce</t>
        </is>
      </c>
      <c r="C27" s="57" t="inlineStr">
        <is>
          <t>No</t>
        </is>
      </c>
      <c r="D27" s="57" t="inlineStr"/>
    </row>
    <row r="28">
      <c r="A28" s="58" t="inlineStr">
        <is>
          <t>5. Ecosistema, cobertura y flora (F-DT-03)</t>
        </is>
      </c>
      <c r="B28" s="58" t="inlineStr">
        <is>
          <t>Cobertura del dosel (%)</t>
        </is>
      </c>
      <c r="C28" s="58" t="inlineStr">
        <is>
          <t>30</t>
        </is>
      </c>
      <c r="D28" s="58" t="inlineStr">
        <is>
          <t>%</t>
        </is>
      </c>
    </row>
    <row r="29">
      <c r="A29" s="57" t="inlineStr">
        <is>
          <t>5. Ecosistema, cobertura y flora (F-DT-03)</t>
        </is>
      </c>
      <c r="B29" s="57" t="inlineStr">
        <is>
          <t>Cobertura arbustiva (%)</t>
        </is>
      </c>
      <c r="C29" s="57" t="inlineStr">
        <is>
          <t>25</t>
        </is>
      </c>
      <c r="D29" s="57" t="inlineStr">
        <is>
          <t>%</t>
        </is>
      </c>
    </row>
    <row r="30">
      <c r="A30" s="58" t="inlineStr">
        <is>
          <t>5. Ecosistema, cobertura y flora (F-DT-03)</t>
        </is>
      </c>
      <c r="B30" s="58" t="inlineStr">
        <is>
          <t>Cobertura herbácea (%)</t>
        </is>
      </c>
      <c r="C30" s="58" t="inlineStr">
        <is>
          <t>40</t>
        </is>
      </c>
      <c r="D30" s="58" t="inlineStr">
        <is>
          <t>%</t>
        </is>
      </c>
    </row>
    <row r="31">
      <c r="A31" s="57" t="inlineStr">
        <is>
          <t>5. Ecosistema, cobertura y flora (F-DT-03)</t>
        </is>
      </c>
      <c r="B31" s="57" t="inlineStr">
        <is>
          <t>Cobertura de hojarasca (%)</t>
        </is>
      </c>
      <c r="C31" s="57" t="inlineStr">
        <is>
          <t>15</t>
        </is>
      </c>
      <c r="D31" s="57" t="inlineStr">
        <is>
          <t>%</t>
        </is>
      </c>
    </row>
    <row r="32">
      <c r="A32" s="58" t="inlineStr">
        <is>
          <t>5. Ecosistema, cobertura y flora (F-DT-03)</t>
        </is>
      </c>
      <c r="B32" s="58" t="inlineStr">
        <is>
          <t>Presencia de epífitas</t>
        </is>
      </c>
      <c r="C32" s="58" t="inlineStr">
        <is>
          <t>Sí</t>
        </is>
      </c>
      <c r="D32" s="58" t="inlineStr"/>
    </row>
    <row r="33">
      <c r="A33" s="57" t="inlineStr">
        <is>
          <t>5. Ecosistema, cobertura y flora (F-DT-03)</t>
        </is>
      </c>
      <c r="B33" s="57" t="inlineStr">
        <is>
          <t>Fenología dominante</t>
        </is>
      </c>
      <c r="C33" s="57" t="inlineStr">
        <is>
          <t>Vegetativo</t>
        </is>
      </c>
      <c r="D33" s="57" t="inlineStr"/>
    </row>
    <row r="34">
      <c r="A34" s="58" t="inlineStr">
        <is>
          <t>5. Ecosistema, cobertura y flora (F-DT-03)</t>
        </is>
      </c>
      <c r="B34" s="58" t="inlineStr">
        <is>
          <t>Pendiente de la parcela (%)</t>
        </is>
      </c>
      <c r="C34" s="58" t="inlineStr">
        <is>
          <t>35</t>
        </is>
      </c>
      <c r="D34" s="58" t="inlineStr">
        <is>
          <t>%</t>
        </is>
      </c>
    </row>
    <row r="35">
      <c r="A35" s="57" t="inlineStr">
        <is>
          <t>5. Ecosistema, cobertura y flora (F-DT-03)</t>
        </is>
      </c>
      <c r="B35" s="57" t="inlineStr">
        <is>
          <t>Especies clave georreferenciadas</t>
        </is>
      </c>
      <c r="C35" s="57" t="inlineStr">
        <is>
          <t>5</t>
        </is>
      </c>
      <c r="D35" s="57" t="inlineStr"/>
    </row>
    <row r="36">
      <c r="A36" s="58" t="inlineStr">
        <is>
          <t>6. Degradación, causas y urgencia (F-DT-04)</t>
        </is>
      </c>
      <c r="B36" s="58" t="inlineStr">
        <is>
          <t>Causas directas de la degradación</t>
        </is>
      </c>
      <c r="C36" s="58" t="inlineStr">
        <is>
          <t>Sobrepastoreo (vacuno/asnal), cambio de uso a pastos cultivados y a cultivos de maíz, arveja y trigo, quema de pastizales y desestabilización de taludes por la trocha afirmada.</t>
        </is>
      </c>
      <c r="D36" s="58" t="inlineStr"/>
    </row>
    <row r="37">
      <c r="A37" s="57" t="inlineStr">
        <is>
          <t>6. Degradación, causas y urgencia (F-DT-04)</t>
        </is>
      </c>
      <c r="B37" s="57" t="inlineStr">
        <is>
          <t>N.° de causas activas en la matriz F-DT-04</t>
        </is>
      </c>
      <c r="C37" s="57" t="inlineStr">
        <is>
          <t>8</t>
        </is>
      </c>
      <c r="D37" s="57" t="inlineStr"/>
    </row>
    <row r="38">
      <c r="A38" s="58" t="inlineStr">
        <is>
          <t>7. Hidrología, acceso y logística (F-DT-05)</t>
        </is>
      </c>
      <c r="B38" s="58" t="inlineStr">
        <is>
          <t>Escorrentía concentrada</t>
        </is>
      </c>
      <c r="C38" s="58" t="inlineStr">
        <is>
          <t>Sí</t>
        </is>
      </c>
      <c r="D38" s="58" t="inlineStr"/>
    </row>
    <row r="39">
      <c r="A39" s="57" t="inlineStr">
        <is>
          <t>7. Hidrología, acceso y logística (F-DT-05)</t>
        </is>
      </c>
      <c r="B39" s="57" t="inlineStr">
        <is>
          <t>Fuentes de agua inventariadas</t>
        </is>
      </c>
      <c r="C39" s="57" t="inlineStr">
        <is>
          <t>1</t>
        </is>
      </c>
      <c r="D39" s="57" t="inlineStr"/>
    </row>
    <row r="40">
      <c r="A40" s="58" t="inlineStr">
        <is>
          <t>7. Hidrología, acceso y logística (F-DT-05)</t>
        </is>
      </c>
      <c r="B40" s="58" t="inlineStr">
        <is>
          <t>Interferencia con riego</t>
        </is>
      </c>
      <c r="C40" s="58" t="inlineStr">
        <is>
          <t>No</t>
        </is>
      </c>
      <c r="D40" s="58" t="inlineStr"/>
    </row>
    <row r="41">
      <c r="A41" s="57" t="inlineStr">
        <is>
          <t>7. Hidrología, acceso y logística (F-DT-05)</t>
        </is>
      </c>
      <c r="B41" s="57" t="inlineStr">
        <is>
          <t>Vía principal de acceso</t>
        </is>
      </c>
      <c r="C41" s="57" t="inlineStr">
        <is>
          <t>Trocha carrozable afirmada (acceso desde Santo Domingo vía C.P. Santa Fe de Portachuelo)</t>
        </is>
      </c>
      <c r="D41" s="57" t="inlineStr"/>
    </row>
    <row r="42">
      <c r="A42" s="58" t="inlineStr">
        <is>
          <t>7. Hidrología, acceso y logística (F-DT-05)</t>
        </is>
      </c>
      <c r="B42" s="58" t="inlineStr">
        <is>
          <t>Tipo de vía del tramo final</t>
        </is>
      </c>
      <c r="C42" s="58" t="inlineStr">
        <is>
          <t>Camino de herradura</t>
        </is>
      </c>
      <c r="D42" s="58" t="inlineStr"/>
    </row>
    <row r="43">
      <c r="A43" s="57" t="inlineStr">
        <is>
          <t>7. Hidrología, acceso y logística (F-DT-05)</t>
        </is>
      </c>
      <c r="B43" s="57" t="inlineStr">
        <is>
          <t>Transitabilidad en época seca</t>
        </is>
      </c>
      <c r="C43" s="57" t="inlineStr">
        <is>
          <t>Medio</t>
        </is>
      </c>
      <c r="D43" s="57" t="inlineStr"/>
    </row>
    <row r="44">
      <c r="A44" s="58" t="inlineStr">
        <is>
          <t>7. Hidrología, acceso y logística (F-DT-05)</t>
        </is>
      </c>
      <c r="B44" s="58" t="inlineStr">
        <is>
          <t>Transitabilidad en época lluviosa</t>
        </is>
      </c>
      <c r="C44" s="58" t="inlineStr">
        <is>
          <t>Bajo</t>
        </is>
      </c>
      <c r="D44" s="58" t="inlineStr"/>
    </row>
    <row r="45">
      <c r="A45" s="57" t="inlineStr">
        <is>
          <t>7. Hidrología, acceso y logística (F-DT-05)</t>
        </is>
      </c>
      <c r="B45" s="57" t="inlineStr">
        <is>
          <t>Requiere coordinación con ronda / comunidad</t>
        </is>
      </c>
      <c r="C45" s="57" t="inlineStr">
        <is>
          <t>No</t>
        </is>
      </c>
      <c r="D45" s="57" t="inlineStr"/>
    </row>
    <row r="47">
      <c r="A47" s="55" t="inlineStr">
        <is>
          <t>C. PROCEDENCIA DE LOS HECHOS DECLARADOS</t>
        </is>
      </c>
    </row>
    <row r="48">
      <c r="A48" s="56" t="inlineStr">
        <is>
          <t>Fuente</t>
        </is>
      </c>
      <c r="B48" s="56" t="inlineStr">
        <is>
          <t>Hechos</t>
        </is>
      </c>
      <c r="C48" s="56" t="inlineStr">
        <is>
          <t>Alcance de la fuente</t>
        </is>
      </c>
    </row>
    <row r="49">
      <c r="A49" s="57" t="inlineStr">
        <is>
          <t>Dato de campo</t>
        </is>
      </c>
      <c r="B49" s="57" t="n">
        <v>63</v>
      </c>
      <c r="C49" s="57" t="inlineStr">
        <is>
          <t>Verificación en campo. Fichas F-DT-01 a F-DT-05 de la Plantilla DT Campo Check Validada V5, suscritas por el evaluador.</t>
        </is>
      </c>
    </row>
    <row r="50">
      <c r="A50" s="58" t="inlineStr">
        <is>
          <t>Gabinete (GIS / teledetección)</t>
        </is>
      </c>
      <c r="B50" s="58" t="n">
        <v>22</v>
      </c>
      <c r="C50" s="58" t="inlineStr">
        <is>
          <t>Gabinete. Estadística zonal sobre el MDE y compuestos Sentinel-2 (NDVI mediana 2025, MSAVI 2024 por clase DN).</t>
        </is>
      </c>
    </row>
    <row r="51">
      <c r="A51" s="57" t="inlineStr">
        <is>
          <t>Fuente oficial</t>
        </is>
      </c>
      <c r="B51" s="57" t="n">
        <v>14</v>
      </c>
      <c r="C51" s="57" t="inlineStr">
        <is>
          <t>Fuente oficial. Catálogo maestro Bloques V5/V6, división política INEI y codificación de microcuencas de la ANA.</t>
        </is>
      </c>
    </row>
    <row r="53">
      <c r="A53" s="55" t="inlineStr">
        <is>
          <t>D. ESTADO DEL CRUCE ENTRE FUENTES</t>
        </is>
      </c>
    </row>
    <row r="54">
      <c r="A54" s="56" t="inlineStr">
        <is>
          <t>Estado</t>
        </is>
      </c>
      <c r="B54" s="56" t="inlineStr">
        <is>
          <t>Hechos</t>
        </is>
      </c>
      <c r="C54" s="56" t="inlineStr">
        <is>
          <t>Significado</t>
        </is>
      </c>
    </row>
    <row r="55">
      <c r="A55" s="57" t="inlineStr">
        <is>
          <t>CONFORME</t>
        </is>
      </c>
      <c r="B55" s="57" t="n">
        <v>97</v>
      </c>
      <c r="C55" s="57" t="inlineStr">
        <is>
          <t>Las dos fuentes declaran lo mismo, o solo la fuente que manda sobre el hecho lo declara.</t>
        </is>
      </c>
    </row>
    <row r="56">
      <c r="A56" s="58" t="inlineStr">
        <is>
          <t>COMPLEMENTADO</t>
        </is>
      </c>
      <c r="B56" s="58" t="n">
        <v>1</v>
      </c>
      <c r="C56" s="58" t="inlineStr">
        <is>
          <t>Solo una de las fuentes lo declara y se adopta ese valor.</t>
        </is>
      </c>
    </row>
    <row r="57">
      <c r="A57" s="57" t="inlineStr">
        <is>
          <t>ACTUALIZADO</t>
        </is>
      </c>
      <c r="B57" s="57" t="n">
        <v>1</v>
      </c>
      <c r="C57" s="57" t="inlineStr">
        <is>
          <t>La verificación de campo vigente corrige lo que traía el libro de resumen.</t>
        </is>
      </c>
    </row>
    <row r="58">
      <c r="A58" s="58" t="inlineStr">
        <is>
          <t>DISCREPANTE</t>
        </is>
      </c>
      <c r="B58" s="58" t="n">
        <v>0</v>
      </c>
      <c r="C58" s="58" t="inlineStr">
        <is>
          <t>Las fuentes se contradicen; prevalece la que manda sobre el hecho y la otra queda declarada.</t>
        </is>
      </c>
    </row>
    <row r="59">
      <c r="A59" s="57" t="inlineStr">
        <is>
          <t>PENDIENTE</t>
        </is>
      </c>
      <c r="B59" s="57" t="n">
        <v>15</v>
      </c>
      <c r="C59" s="57" t="inlineStr">
        <is>
          <t>Ninguna fuente lo declara; no se estima valor alguno.</t>
        </is>
      </c>
    </row>
  </sheetData>
  <mergeCells count="5">
    <mergeCell ref="A2:F2"/>
    <mergeCell ref="A1:F1"/>
    <mergeCell ref="A5:F5"/>
    <mergeCell ref="A4:F4"/>
    <mergeCell ref="A3:F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79"/>
  <sheetViews>
    <sheetView workbookViewId="0">
      <selection activeCell="A1" sqref="A1"/>
    </sheetView>
  </sheetViews>
  <sheetFormatPr baseColWidth="8" defaultRowHeight="15"/>
  <cols>
    <col width="8" customWidth="1" min="1" max="1"/>
    <col width="30" customWidth="1" min="2" max="2"/>
    <col width="30" customWidth="1" min="3" max="3"/>
    <col width="22" customWidth="1" min="4" max="4"/>
    <col width="20" customWidth="1" min="5" max="5"/>
    <col width="16" customWidth="1" min="6" max="6"/>
    <col width="16" customWidth="1" min="7" max="7"/>
    <col width="20" customWidth="1" min="8" max="8"/>
    <col width="34" customWidth="1" min="9" max="9"/>
  </cols>
  <sheetData>
    <row r="1">
      <c r="A1" s="52" t="inlineStr">
        <is>
          <t>AUTORIDAD NACIONAL DE INFRAESTRUCTURA - ANIN</t>
        </is>
      </c>
    </row>
    <row r="2">
      <c r="A2" s="52" t="inlineStr">
        <is>
          <t>DIRECCION DE INTERVENCIONES MULTISECTORIALES Y DE EMERGENCIA - DIME</t>
        </is>
      </c>
    </row>
    <row r="3">
      <c r="A3" s="52" t="inlineStr">
        <is>
          <t>SUBDIRECCION DE ESTUDIOS DE INVERSION - SESDI</t>
        </is>
      </c>
    </row>
    <row r="4">
      <c r="A4" s="53" t="inlineStr">
        <is>
          <t>PROYECTO IN PIURA | CUI 2669244 | Recuperacion del servicio de regulacion de riesgos naturales y de ecosistemas degradados - Cuenca Alta del Rio Piura</t>
        </is>
      </c>
    </row>
    <row r="5" ht="22" customHeight="1">
      <c r="A5" s="54" t="inlineStr">
        <is>
          <t>REGISTRO DE CAMPO F-DT-01 A F-DT-05 — BLOQUE 82</t>
        </is>
      </c>
    </row>
    <row r="7">
      <c r="A7" s="55" t="inlineStr">
        <is>
          <t>F-DT-02 · INVENTARIO DE CÁRCAVAS</t>
        </is>
      </c>
    </row>
    <row r="8">
      <c r="A8" s="56" t="inlineStr">
        <is>
          <t>Código</t>
        </is>
      </c>
      <c r="B8" s="56" t="inlineStr">
        <is>
          <t>Tipo</t>
        </is>
      </c>
      <c r="C8" s="56" t="inlineStr">
        <is>
          <t>UTM E ini.</t>
        </is>
      </c>
      <c r="D8" s="56" t="inlineStr">
        <is>
          <t>UTM N ini.</t>
        </is>
      </c>
      <c r="E8" s="56" t="inlineStr">
        <is>
          <t>Longitud (m)</t>
        </is>
      </c>
      <c r="F8" s="56" t="inlineStr">
        <is>
          <t>Prof. (m)</t>
        </is>
      </c>
      <c r="G8" s="56" t="inlineStr">
        <is>
          <t>Ancho (m)</t>
        </is>
      </c>
      <c r="H8" s="56" t="inlineStr">
        <is>
          <t>Estado</t>
        </is>
      </c>
      <c r="I8" s="56" t="inlineStr">
        <is>
          <t>Causa</t>
        </is>
      </c>
    </row>
    <row r="9">
      <c r="A9" s="57" t="inlineStr">
        <is>
          <t>C-01</t>
        </is>
      </c>
      <c r="B9" s="57" t="inlineStr">
        <is>
          <t>Cárcava somera (0.5-2 m)</t>
        </is>
      </c>
      <c r="C9" s="62" t="n">
        <v>621081</v>
      </c>
      <c r="D9" s="62" t="n">
        <v>9444077</v>
      </c>
      <c r="E9" s="57" t="n"/>
      <c r="F9" s="57" t="n"/>
      <c r="G9" s="57" t="n"/>
      <c r="H9" s="57" t="inlineStr">
        <is>
          <t>Activa</t>
        </is>
      </c>
      <c r="I9" s="57" t="inlineStr">
        <is>
          <t>Otro</t>
        </is>
      </c>
    </row>
    <row r="10">
      <c r="A10" s="58" t="inlineStr">
        <is>
          <t>C-02</t>
        </is>
      </c>
      <c r="B10" s="58" t="inlineStr">
        <is>
          <t>Surco (&lt;30 cm)</t>
        </is>
      </c>
      <c r="C10" s="63" t="n">
        <v>621119</v>
      </c>
      <c r="D10" s="63" t="n">
        <v>9444053</v>
      </c>
      <c r="E10" s="58" t="n"/>
      <c r="F10" s="58" t="n"/>
      <c r="G10" s="58" t="n"/>
      <c r="H10" s="58" t="inlineStr">
        <is>
          <t>Activa</t>
        </is>
      </c>
      <c r="I10" s="58" t="inlineStr">
        <is>
          <t>Caminos / huellas de ganado</t>
        </is>
      </c>
    </row>
    <row r="11">
      <c r="A11" s="57" t="inlineStr">
        <is>
          <t>C-03</t>
        </is>
      </c>
      <c r="B11" s="57" t="inlineStr">
        <is>
          <t>Cárcava incipiente (30-50 cm)</t>
        </is>
      </c>
      <c r="C11" s="62" t="n">
        <v>621188</v>
      </c>
      <c r="D11" s="62" t="n">
        <v>9444024</v>
      </c>
      <c r="E11" s="57" t="n"/>
      <c r="F11" s="57" t="n"/>
      <c r="G11" s="57" t="n"/>
      <c r="H11" s="57" t="inlineStr">
        <is>
          <t>Semi-activa</t>
        </is>
      </c>
      <c r="I11" s="57" t="inlineStr">
        <is>
          <t>Quema</t>
        </is>
      </c>
    </row>
    <row r="13">
      <c r="A13" s="55" t="inlineStr">
        <is>
          <t>F-DT-03 · ELENCO FLORÍSTICO</t>
        </is>
      </c>
    </row>
    <row r="14">
      <c r="A14" s="56" t="inlineStr">
        <is>
          <t>N.o</t>
        </is>
      </c>
      <c r="B14" s="56" t="inlineStr">
        <is>
          <t>Nombre común</t>
        </is>
      </c>
      <c r="C14" s="56" t="inlineStr">
        <is>
          <t>Nombre científico</t>
        </is>
      </c>
      <c r="D14" s="56" t="inlineStr">
        <is>
          <t>Familia</t>
        </is>
      </c>
      <c r="E14" s="56" t="inlineStr">
        <is>
          <t>Estrato</t>
        </is>
      </c>
      <c r="F14" s="56" t="inlineStr">
        <is>
          <t>Origen</t>
        </is>
      </c>
      <c r="G14" s="56" t="inlineStr">
        <is>
          <t>Abundancia</t>
        </is>
      </c>
      <c r="H14" s="56" t="inlineStr">
        <is>
          <t>DAP (cm)</t>
        </is>
      </c>
      <c r="I14" s="56" t="inlineStr">
        <is>
          <t>Altura (m)</t>
        </is>
      </c>
    </row>
    <row r="15">
      <c r="A15" s="57" t="inlineStr">
        <is>
          <t>1</t>
        </is>
      </c>
      <c r="B15" s="57" t="inlineStr">
        <is>
          <t>Higuerón</t>
        </is>
      </c>
      <c r="C15" s="57" t="inlineStr">
        <is>
          <t>Ficus sp.</t>
        </is>
      </c>
      <c r="D15" s="57" t="inlineStr">
        <is>
          <t>Moraceae</t>
        </is>
      </c>
      <c r="E15" s="57" t="inlineStr">
        <is>
          <t>Arbóreo medio (8-15 m)</t>
        </is>
      </c>
      <c r="F15" s="57" t="inlineStr">
        <is>
          <t>Nativa</t>
        </is>
      </c>
      <c r="G15" s="57" t="inlineStr">
        <is>
          <t>Frecuente (5-20%)</t>
        </is>
      </c>
      <c r="H15" s="57" t="n"/>
      <c r="I15" s="57" t="n"/>
    </row>
    <row r="16">
      <c r="A16" s="58" t="inlineStr">
        <is>
          <t>2</t>
        </is>
      </c>
      <c r="B16" s="58" t="inlineStr">
        <is>
          <t>Nogal</t>
        </is>
      </c>
      <c r="C16" s="58" t="inlineStr">
        <is>
          <t>Juglans sp.</t>
        </is>
      </c>
      <c r="D16" s="58" t="inlineStr">
        <is>
          <t>Juglandaceae</t>
        </is>
      </c>
      <c r="E16" s="58" t="inlineStr">
        <is>
          <t>Arbóreo medio (8-15 m)</t>
        </is>
      </c>
      <c r="F16" s="58" t="inlineStr">
        <is>
          <t>Nativa</t>
        </is>
      </c>
      <c r="G16" s="58" t="inlineStr">
        <is>
          <t>Ocasional (1-5%)</t>
        </is>
      </c>
      <c r="H16" s="58" t="n"/>
      <c r="I16" s="58" t="n"/>
    </row>
    <row r="17">
      <c r="A17" s="57" t="inlineStr">
        <is>
          <t>3</t>
        </is>
      </c>
      <c r="B17" s="57" t="inlineStr">
        <is>
          <t>Chirimoya silvestre</t>
        </is>
      </c>
      <c r="C17" s="57" t="inlineStr">
        <is>
          <t>Annona sp.</t>
        </is>
      </c>
      <c r="D17" s="57" t="inlineStr">
        <is>
          <t>Annonaceae</t>
        </is>
      </c>
      <c r="E17" s="57" t="inlineStr">
        <is>
          <t>Arbóreo bajo (4-8 m)</t>
        </is>
      </c>
      <c r="F17" s="57" t="inlineStr">
        <is>
          <t>Nativa</t>
        </is>
      </c>
      <c r="G17" s="57" t="inlineStr">
        <is>
          <t>Ocasional (1-5%)</t>
        </is>
      </c>
      <c r="H17" s="57" t="n"/>
      <c r="I17" s="57" t="n"/>
    </row>
    <row r="18">
      <c r="A18" s="58" t="inlineStr">
        <is>
          <t>4</t>
        </is>
      </c>
      <c r="B18" s="58" t="inlineStr">
        <is>
          <t>Pacae</t>
        </is>
      </c>
      <c r="C18" s="58" t="inlineStr">
        <is>
          <t>Inga sp.</t>
        </is>
      </c>
      <c r="D18" s="58" t="inlineStr">
        <is>
          <t>Fabaceae</t>
        </is>
      </c>
      <c r="E18" s="58" t="inlineStr">
        <is>
          <t>Arbóreo bajo (4-8 m)</t>
        </is>
      </c>
      <c r="F18" s="58" t="inlineStr">
        <is>
          <t>Nativa</t>
        </is>
      </c>
      <c r="G18" s="58" t="inlineStr">
        <is>
          <t>Frecuente (5-20%)</t>
        </is>
      </c>
      <c r="H18" s="58" t="n"/>
      <c r="I18" s="58" t="n"/>
    </row>
    <row r="19">
      <c r="A19" s="57" t="inlineStr">
        <is>
          <t>5</t>
        </is>
      </c>
      <c r="B19" s="57" t="inlineStr">
        <is>
          <t>Romerillo / Podocarpus</t>
        </is>
      </c>
      <c r="C19" s="57" t="inlineStr">
        <is>
          <t>Podocarpus sp.</t>
        </is>
      </c>
      <c r="D19" s="57" t="inlineStr">
        <is>
          <t>Podocarpaceae</t>
        </is>
      </c>
      <c r="E19" s="57" t="inlineStr">
        <is>
          <t>Arbóreo medio (8-15 m)</t>
        </is>
      </c>
      <c r="F19" s="57" t="inlineStr">
        <is>
          <t>Nativa</t>
        </is>
      </c>
      <c r="G19" s="57" t="inlineStr">
        <is>
          <t>Rara (&lt;1%)</t>
        </is>
      </c>
      <c r="H19" s="57" t="n"/>
      <c r="I19" s="57" t="n"/>
    </row>
    <row r="20">
      <c r="A20" s="58" t="inlineStr">
        <is>
          <t>6</t>
        </is>
      </c>
      <c r="B20" s="58" t="inlineStr">
        <is>
          <t>Caña Guayaquil</t>
        </is>
      </c>
      <c r="C20" s="58" t="inlineStr">
        <is>
          <t>Guadua angustifolia</t>
        </is>
      </c>
      <c r="D20" s="58" t="inlineStr">
        <is>
          <t>Poaceae</t>
        </is>
      </c>
      <c r="E20" s="58" t="inlineStr">
        <is>
          <t>Arbustivo alto (1.5-4 m)</t>
        </is>
      </c>
      <c r="F20" s="58" t="inlineStr">
        <is>
          <t>Nativa</t>
        </is>
      </c>
      <c r="G20" s="58" t="inlineStr">
        <is>
          <t>Ocasional (1-5%)</t>
        </is>
      </c>
      <c r="H20" s="58" t="n"/>
      <c r="I20" s="58" t="n"/>
    </row>
    <row r="21">
      <c r="A21" s="57" t="inlineStr">
        <is>
          <t>7</t>
        </is>
      </c>
      <c r="B21" s="57" t="inlineStr">
        <is>
          <t>Yuca de monte</t>
        </is>
      </c>
      <c r="C21" s="57" t="inlineStr">
        <is>
          <t>Apodanthera biflora</t>
        </is>
      </c>
      <c r="D21" s="57" t="inlineStr">
        <is>
          <t>Cucurbitaceae</t>
        </is>
      </c>
      <c r="E21" s="57" t="inlineStr">
        <is>
          <t>Trepador</t>
        </is>
      </c>
      <c r="F21" s="57" t="inlineStr">
        <is>
          <t>Nativa</t>
        </is>
      </c>
      <c r="G21" s="57" t="inlineStr">
        <is>
          <t>Ocasional (1-5%)</t>
        </is>
      </c>
      <c r="H21" s="57" t="n"/>
      <c r="I21" s="57" t="n"/>
    </row>
    <row r="22">
      <c r="A22" s="58" t="inlineStr">
        <is>
          <t>8</t>
        </is>
      </c>
      <c r="B22" s="58" t="inlineStr">
        <is>
          <t>Helechos</t>
        </is>
      </c>
      <c r="C22" s="58" t="inlineStr">
        <is>
          <t>Pteridophyta (indet.)</t>
        </is>
      </c>
      <c r="D22" s="58" t="inlineStr">
        <is>
          <t>Polypodiopsida</t>
        </is>
      </c>
      <c r="E22" s="58" t="inlineStr">
        <is>
          <t>Herbáceo (&lt;0.5 m)</t>
        </is>
      </c>
      <c r="F22" s="58" t="inlineStr">
        <is>
          <t>Nativa</t>
        </is>
      </c>
      <c r="G22" s="58" t="inlineStr">
        <is>
          <t>Frecuente (5-20%)</t>
        </is>
      </c>
      <c r="H22" s="58" t="n"/>
      <c r="I22" s="58" t="n"/>
    </row>
    <row r="23">
      <c r="A23" s="57" t="inlineStr">
        <is>
          <t>9</t>
        </is>
      </c>
      <c r="B23" s="57" t="inlineStr">
        <is>
          <t>Bromelias epífitas</t>
        </is>
      </c>
      <c r="C23" s="57" t="inlineStr">
        <is>
          <t>Bromeliaceae (indet.)</t>
        </is>
      </c>
      <c r="D23" s="57" t="inlineStr">
        <is>
          <t>Bromeliaceae</t>
        </is>
      </c>
      <c r="E23" s="57" t="inlineStr">
        <is>
          <t>Epífito</t>
        </is>
      </c>
      <c r="F23" s="57" t="inlineStr">
        <is>
          <t>Nativa</t>
        </is>
      </c>
      <c r="G23" s="57" t="inlineStr">
        <is>
          <t>Ocasional (1-5%)</t>
        </is>
      </c>
      <c r="H23" s="57" t="n"/>
      <c r="I23" s="57" t="n"/>
    </row>
    <row r="24">
      <c r="A24" s="58" t="inlineStr">
        <is>
          <t>10</t>
        </is>
      </c>
      <c r="B24" s="58" t="inlineStr">
        <is>
          <t>Cactácea columnar</t>
        </is>
      </c>
      <c r="C24" s="58" t="inlineStr">
        <is>
          <t>Cactaceae (indet.)</t>
        </is>
      </c>
      <c r="D24" s="58" t="inlineStr">
        <is>
          <t>Cactaceae</t>
        </is>
      </c>
      <c r="E24" s="58" t="inlineStr">
        <is>
          <t>Arbustivo bajo (0.5-1.5 m)</t>
        </is>
      </c>
      <c r="F24" s="58" t="inlineStr">
        <is>
          <t>Nativa</t>
        </is>
      </c>
      <c r="G24" s="58" t="inlineStr">
        <is>
          <t>Rara (&lt;1%)</t>
        </is>
      </c>
      <c r="H24" s="58" t="n"/>
      <c r="I24" s="58" t="n"/>
    </row>
    <row r="25">
      <c r="A25" s="57" t="inlineStr">
        <is>
          <t>11</t>
        </is>
      </c>
      <c r="B25" s="57" t="inlineStr">
        <is>
          <t>Grevilea</t>
        </is>
      </c>
      <c r="C25" s="57" t="inlineStr">
        <is>
          <t>Grevillea robusta</t>
        </is>
      </c>
      <c r="D25" s="57" t="inlineStr">
        <is>
          <t>Proteaceae</t>
        </is>
      </c>
      <c r="E25" s="57" t="inlineStr">
        <is>
          <t>Arbóreo medio (8-15 m)</t>
        </is>
      </c>
      <c r="F25" s="57" t="inlineStr">
        <is>
          <t>Introducida</t>
        </is>
      </c>
      <c r="G25" s="57" t="inlineStr">
        <is>
          <t>Ocasional (1-5%)</t>
        </is>
      </c>
      <c r="H25" s="57" t="n"/>
      <c r="I25" s="57" t="n"/>
    </row>
    <row r="26">
      <c r="A26" s="58" t="inlineStr">
        <is>
          <t>12</t>
        </is>
      </c>
      <c r="B26" s="58" t="inlineStr">
        <is>
          <t>Eucalipto</t>
        </is>
      </c>
      <c r="C26" s="58" t="inlineStr">
        <is>
          <t>Eucalyptus globulus</t>
        </is>
      </c>
      <c r="D26" s="58" t="inlineStr">
        <is>
          <t>Myrtaceae</t>
        </is>
      </c>
      <c r="E26" s="58" t="inlineStr">
        <is>
          <t>Arbóreo superior (&gt;15 m)</t>
        </is>
      </c>
      <c r="F26" s="58" t="inlineStr">
        <is>
          <t>Introducida</t>
        </is>
      </c>
      <c r="G26" s="58" t="inlineStr">
        <is>
          <t>Frecuente (5-20%)</t>
        </is>
      </c>
      <c r="H26" s="58" t="n"/>
      <c r="I26" s="58" t="n"/>
    </row>
    <row r="27">
      <c r="A27" s="57" t="inlineStr">
        <is>
          <t>13</t>
        </is>
      </c>
      <c r="B27" s="57" t="inlineStr">
        <is>
          <t>Ciprés</t>
        </is>
      </c>
      <c r="C27" s="57" t="inlineStr">
        <is>
          <t>Cupressus macrocarpa</t>
        </is>
      </c>
      <c r="D27" s="57" t="inlineStr">
        <is>
          <t>Cupressaceae</t>
        </is>
      </c>
      <c r="E27" s="57" t="inlineStr">
        <is>
          <t>Arbóreo medio (8-15 m)</t>
        </is>
      </c>
      <c r="F27" s="57" t="inlineStr">
        <is>
          <t>Introducida</t>
        </is>
      </c>
      <c r="G27" s="57" t="inlineStr">
        <is>
          <t>Ocasional (1-5%)</t>
        </is>
      </c>
      <c r="H27" s="57" t="n"/>
      <c r="I27" s="57" t="n"/>
    </row>
    <row r="28">
      <c r="A28" s="58" t="inlineStr">
        <is>
          <t>14</t>
        </is>
      </c>
      <c r="B28" s="58" t="inlineStr">
        <is>
          <t>Pino</t>
        </is>
      </c>
      <c r="C28" s="58" t="inlineStr">
        <is>
          <t>Pinus sp.</t>
        </is>
      </c>
      <c r="D28" s="58" t="inlineStr">
        <is>
          <t>Pinaceae</t>
        </is>
      </c>
      <c r="E28" s="58" t="inlineStr">
        <is>
          <t>Arbóreo medio (8-15 m)</t>
        </is>
      </c>
      <c r="F28" s="58" t="inlineStr">
        <is>
          <t>Introducida</t>
        </is>
      </c>
      <c r="G28" s="58" t="inlineStr">
        <is>
          <t>Ocasional (1-5%)</t>
        </is>
      </c>
      <c r="H28" s="58" t="n"/>
      <c r="I28" s="58" t="n"/>
    </row>
    <row r="29">
      <c r="A29" s="57" t="inlineStr">
        <is>
          <t>15</t>
        </is>
      </c>
      <c r="B29" s="57" t="inlineStr">
        <is>
          <t>Pastos cultivados</t>
        </is>
      </c>
      <c r="C29" s="57" t="inlineStr">
        <is>
          <t>Poaceae (indet.)</t>
        </is>
      </c>
      <c r="D29" s="57" t="inlineStr">
        <is>
          <t>Poaceae</t>
        </is>
      </c>
      <c r="E29" s="57" t="inlineStr">
        <is>
          <t>Herbáceo (&lt;0.5 m)</t>
        </is>
      </c>
      <c r="F29" s="57" t="inlineStr">
        <is>
          <t>Introducida</t>
        </is>
      </c>
      <c r="G29" s="57" t="inlineStr">
        <is>
          <t>Dominante (&gt;40%)</t>
        </is>
      </c>
      <c r="H29" s="57" t="n"/>
      <c r="I29" s="57" t="n"/>
    </row>
    <row r="31">
      <c r="A31" s="55" t="inlineStr">
        <is>
          <t>F-DT-03 · ESPECIES CLAVE GEORREFERENCIADAS</t>
        </is>
      </c>
    </row>
    <row r="32">
      <c r="A32" s="56" t="inlineStr">
        <is>
          <t>N.o</t>
        </is>
      </c>
      <c r="B32" s="56" t="inlineStr">
        <is>
          <t>Especie</t>
        </is>
      </c>
      <c r="C32" s="56" t="inlineStr">
        <is>
          <t>Categoría</t>
        </is>
      </c>
      <c r="D32" s="56" t="inlineStr">
        <is>
          <t>Estado UICN</t>
        </is>
      </c>
      <c r="E32" s="56" t="inlineStr">
        <is>
          <t>UTM ESTE</t>
        </is>
      </c>
      <c r="F32" s="56" t="inlineStr">
        <is>
          <t>UTM NORTE</t>
        </is>
      </c>
      <c r="G32" s="56" t="inlineStr">
        <is>
          <t>N.° individuos</t>
        </is>
      </c>
      <c r="H32" s="56" t="inlineStr">
        <is>
          <t>Observación</t>
        </is>
      </c>
    </row>
    <row r="33">
      <c r="A33" s="57" t="inlineStr">
        <is>
          <t>1</t>
        </is>
      </c>
      <c r="B33" s="57" t="inlineStr">
        <is>
          <t>Nogal (Juglans sp.)</t>
        </is>
      </c>
      <c r="C33" s="57" t="inlineStr">
        <is>
          <t>Amenazada (D.S. 043-2006-AG)</t>
        </is>
      </c>
      <c r="D33" s="57" t="inlineStr">
        <is>
          <t>EN — En Peligro</t>
        </is>
      </c>
      <c r="E33" s="62" t="n">
        <v>621055</v>
      </c>
      <c r="F33" s="62" t="n">
        <v>9444111</v>
      </c>
      <c r="G33" s="57" t="n"/>
      <c r="H33" s="57" t="inlineStr">
        <is>
          <t>Si se confirma Juglans neotropica (EN); determinación por confirmar</t>
        </is>
      </c>
    </row>
    <row r="34">
      <c r="A34" s="58" t="inlineStr">
        <is>
          <t>2</t>
        </is>
      </c>
      <c r="B34" s="58" t="inlineStr">
        <is>
          <t>Romerillo (Podocarpus sp.)</t>
        </is>
      </c>
      <c r="C34" s="58" t="inlineStr">
        <is>
          <t>Amenazada (D.S. 043-2006-AG)</t>
        </is>
      </c>
      <c r="D34" s="58" t="inlineStr">
        <is>
          <t>VU — Vulnerable</t>
        </is>
      </c>
      <c r="E34" s="58" t="n"/>
      <c r="F34" s="58" t="n"/>
      <c r="G34" s="58" t="n"/>
      <c r="H34" s="58" t="inlineStr">
        <is>
          <t>Género protegido; especie y categoría por confirmar</t>
        </is>
      </c>
    </row>
    <row r="35">
      <c r="A35" s="57" t="inlineStr">
        <is>
          <t>3</t>
        </is>
      </c>
      <c r="B35" s="57" t="inlineStr">
        <is>
          <t>Higuerón (Ficus sp.)</t>
        </is>
      </c>
      <c r="C35" s="57" t="inlineStr">
        <is>
          <t>Indicadora de buen estado</t>
        </is>
      </c>
      <c r="D35" s="57" t="inlineStr">
        <is>
          <t>No aplica</t>
        </is>
      </c>
      <c r="E35" s="57" t="n"/>
      <c r="F35" s="57" t="n"/>
      <c r="G35" s="57" t="n"/>
      <c r="H35" s="57" t="inlineStr">
        <is>
          <t>Nativo emergente de relictos montanos</t>
        </is>
      </c>
    </row>
    <row r="36">
      <c r="A36" s="58" t="inlineStr">
        <is>
          <t>4</t>
        </is>
      </c>
      <c r="B36" s="58" t="inlineStr">
        <is>
          <t>Pacae (Inga sp.)</t>
        </is>
      </c>
      <c r="C36" s="58" t="inlineStr">
        <is>
          <t>Indicadora de buen estado</t>
        </is>
      </c>
      <c r="D36" s="58" t="inlineStr">
        <is>
          <t>NE — No Evaluado</t>
        </is>
      </c>
      <c r="E36" s="63" t="n">
        <v>621042</v>
      </c>
      <c r="F36" s="63" t="n">
        <v>9444111</v>
      </c>
      <c r="G36" s="58" t="n"/>
      <c r="H36" s="58" t="inlineStr">
        <is>
          <t>Nativo; fija nitrógeno, indicador de humedad</t>
        </is>
      </c>
    </row>
    <row r="37">
      <c r="A37" s="57" t="inlineStr">
        <is>
          <t>5</t>
        </is>
      </c>
      <c r="B37" s="57" t="inlineStr">
        <is>
          <t>Chirimoya silvestre (Annona sp.)</t>
        </is>
      </c>
      <c r="C37" s="57" t="inlineStr">
        <is>
          <t>Clave cultural</t>
        </is>
      </c>
      <c r="D37" s="57" t="inlineStr">
        <is>
          <t>NE — No Evaluado</t>
        </is>
      </c>
      <c r="E37" s="57" t="n"/>
      <c r="F37" s="57" t="n"/>
      <c r="G37" s="57" t="n"/>
      <c r="H37" s="57" t="inlineStr">
        <is>
          <t>Uso local; determinación por confirmar</t>
        </is>
      </c>
    </row>
    <row r="39">
      <c r="A39" s="55" t="inlineStr">
        <is>
          <t>F-DT-04 · MATRIZ DE CAUSAS DE DEGRADACIÓN</t>
        </is>
      </c>
    </row>
    <row r="40">
      <c r="A40" s="56" t="inlineStr">
        <is>
          <t>N.o</t>
        </is>
      </c>
      <c r="B40" s="56" t="inlineStr">
        <is>
          <t>Causa</t>
        </is>
      </c>
      <c r="C40" s="56" t="inlineStr">
        <is>
          <t>Presencia</t>
        </is>
      </c>
      <c r="D40" s="56" t="inlineStr">
        <is>
          <t>Intensidad</t>
        </is>
      </c>
      <c r="E40" s="56" t="inlineStr">
        <is>
          <t>Extensión</t>
        </is>
      </c>
      <c r="F40" s="56" t="inlineStr">
        <is>
          <t>Antigüedad</t>
        </is>
      </c>
      <c r="G40" s="56" t="inlineStr">
        <is>
          <t>Evidencia</t>
        </is>
      </c>
    </row>
    <row r="41">
      <c r="A41" s="57" t="inlineStr">
        <is>
          <t>1</t>
        </is>
      </c>
      <c r="B41" s="57" t="inlineStr">
        <is>
          <t>Sobrepastoreo (caprino/vacuno)</t>
        </is>
      </c>
      <c r="C41" s="57" t="inlineStr">
        <is>
          <t>Sí</t>
        </is>
      </c>
      <c r="D41" s="57" t="inlineStr">
        <is>
          <t>Moderada</t>
        </is>
      </c>
      <c r="E41" s="57" t="inlineStr">
        <is>
          <t>40</t>
        </is>
      </c>
      <c r="F41" s="57" t="inlineStr"/>
      <c r="G41" s="57" t="inlineStr">
        <is>
          <t>Ganado vacuno y asnal en laderas; pisoteo y huellas (F-12, F-16)</t>
        </is>
      </c>
    </row>
    <row r="42">
      <c r="A42" s="58" t="inlineStr">
        <is>
          <t>2</t>
        </is>
      </c>
      <c r="B42" s="58" t="inlineStr">
        <is>
          <t>Tala para leña</t>
        </is>
      </c>
      <c r="C42" s="58" t="inlineStr">
        <is>
          <t>Sí</t>
        </is>
      </c>
      <c r="D42" s="58" t="inlineStr">
        <is>
          <t>Ligera</t>
        </is>
      </c>
      <c r="E42" s="58" t="inlineStr"/>
      <c r="F42" s="58" t="inlineStr"/>
      <c r="G42" s="58" t="inlineStr">
        <is>
          <t>Extracción puntual de leña para autoconsumo (por verificar)</t>
        </is>
      </c>
    </row>
    <row r="43">
      <c r="A43" s="57" t="inlineStr">
        <is>
          <t>3</t>
        </is>
      </c>
      <c r="B43" s="57" t="inlineStr">
        <is>
          <t>Tala para carbón</t>
        </is>
      </c>
      <c r="C43" s="57" t="inlineStr">
        <is>
          <t>No</t>
        </is>
      </c>
      <c r="D43" s="57" t="inlineStr"/>
      <c r="E43" s="57" t="inlineStr"/>
      <c r="F43" s="57" t="inlineStr"/>
      <c r="G43" s="57" t="inlineStr"/>
    </row>
    <row r="44">
      <c r="A44" s="58" t="inlineStr">
        <is>
          <t>4</t>
        </is>
      </c>
      <c r="B44" s="58" t="inlineStr">
        <is>
          <t>Tala para madera</t>
        </is>
      </c>
      <c r="C44" s="58" t="inlineStr">
        <is>
          <t>No</t>
        </is>
      </c>
      <c r="D44" s="58" t="inlineStr"/>
      <c r="E44" s="58" t="inlineStr"/>
      <c r="F44" s="58" t="inlineStr"/>
      <c r="G44" s="58" t="inlineStr"/>
    </row>
    <row r="45">
      <c r="A45" s="57" t="inlineStr">
        <is>
          <t>5</t>
        </is>
      </c>
      <c r="B45" s="57" t="inlineStr">
        <is>
          <t>Quema (renovación de pastos)</t>
        </is>
      </c>
      <c r="C45" s="57" t="inlineStr">
        <is>
          <t>Sí</t>
        </is>
      </c>
      <c r="D45" s="57" t="inlineStr">
        <is>
          <t>Moderada</t>
        </is>
      </c>
      <c r="E45" s="57" t="inlineStr">
        <is>
          <t>10</t>
        </is>
      </c>
      <c r="F45" s="57" t="inlineStr"/>
      <c r="G45" s="57" t="inlineStr">
        <is>
          <t>Sector de pastizal quemado en ladera (F-09)</t>
        </is>
      </c>
    </row>
    <row r="46">
      <c r="A46" s="58" t="inlineStr">
        <is>
          <t>6</t>
        </is>
      </c>
      <c r="B46" s="58" t="inlineStr">
        <is>
          <t>Quema accidental / Incendio</t>
        </is>
      </c>
      <c r="C46" s="58" t="inlineStr">
        <is>
          <t>No</t>
        </is>
      </c>
      <c r="D46" s="58" t="inlineStr"/>
      <c r="E46" s="58" t="inlineStr"/>
      <c r="F46" s="58" t="inlineStr"/>
      <c r="G46" s="58" t="inlineStr"/>
    </row>
    <row r="47">
      <c r="A47" s="57" t="inlineStr">
        <is>
          <t>7</t>
        </is>
      </c>
      <c r="B47" s="57" t="inlineStr">
        <is>
          <t>Cambio de uso a agricultura</t>
        </is>
      </c>
      <c r="C47" s="57" t="inlineStr">
        <is>
          <t>Sí</t>
        </is>
      </c>
      <c r="D47" s="57" t="inlineStr">
        <is>
          <t>Moderada</t>
        </is>
      </c>
      <c r="E47" s="57" t="inlineStr">
        <is>
          <t>20</t>
        </is>
      </c>
      <c r="F47" s="57" t="inlineStr"/>
      <c r="G47" s="57" t="inlineStr">
        <is>
          <t>Parcelas de maíz, arveja y trigo en laderas</t>
        </is>
      </c>
    </row>
    <row r="48">
      <c r="A48" s="58" t="inlineStr">
        <is>
          <t>8</t>
        </is>
      </c>
      <c r="B48" s="58" t="inlineStr">
        <is>
          <t>Cambio de uso a pastoreo</t>
        </is>
      </c>
      <c r="C48" s="58" t="inlineStr">
        <is>
          <t>Sí</t>
        </is>
      </c>
      <c r="D48" s="58" t="inlineStr">
        <is>
          <t>Moderada</t>
        </is>
      </c>
      <c r="E48" s="58" t="inlineStr">
        <is>
          <t>35</t>
        </is>
      </c>
      <c r="F48" s="58" t="inlineStr"/>
      <c r="G48" s="58" t="inlineStr">
        <is>
          <t>Conversión a pastos cultivados (cobertura dominante)</t>
        </is>
      </c>
    </row>
    <row r="49">
      <c r="A49" s="57" t="inlineStr">
        <is>
          <t>9</t>
        </is>
      </c>
      <c r="B49" s="57" t="inlineStr">
        <is>
          <t>Expansión urbana / vial</t>
        </is>
      </c>
      <c r="C49" s="57" t="inlineStr">
        <is>
          <t>Sí</t>
        </is>
      </c>
      <c r="D49" s="57" t="inlineStr">
        <is>
          <t>Ligera</t>
        </is>
      </c>
      <c r="E49" s="57" t="inlineStr">
        <is>
          <t>10</t>
        </is>
      </c>
      <c r="F49" s="57" t="inlineStr"/>
      <c r="G49" s="57" t="inlineStr">
        <is>
          <t>Taludes de corte inestables de la trocha afirmada (F-13, F-14)</t>
        </is>
      </c>
    </row>
    <row r="50">
      <c r="A50" s="58" t="inlineStr">
        <is>
          <t>10</t>
        </is>
      </c>
      <c r="B50" s="58" t="inlineStr">
        <is>
          <t>Minería informal</t>
        </is>
      </c>
      <c r="C50" s="58" t="inlineStr">
        <is>
          <t>No</t>
        </is>
      </c>
      <c r="D50" s="58" t="inlineStr"/>
      <c r="E50" s="58" t="inlineStr"/>
      <c r="F50" s="58" t="inlineStr"/>
      <c r="G50" s="58" t="inlineStr"/>
    </row>
    <row r="51">
      <c r="A51" s="57" t="inlineStr">
        <is>
          <t>11</t>
        </is>
      </c>
      <c r="B51" s="57" t="inlineStr">
        <is>
          <t>Extracción de áridos (cauces)</t>
        </is>
      </c>
      <c r="C51" s="57" t="inlineStr">
        <is>
          <t>No</t>
        </is>
      </c>
      <c r="D51" s="57" t="inlineStr"/>
      <c r="E51" s="57" t="inlineStr"/>
      <c r="F51" s="57" t="inlineStr"/>
      <c r="G51" s="57" t="inlineStr"/>
    </row>
    <row r="52">
      <c r="A52" s="58" t="inlineStr">
        <is>
          <t>12</t>
        </is>
      </c>
      <c r="B52" s="58" t="inlineStr">
        <is>
          <t>Especies invasoras</t>
        </is>
      </c>
      <c r="C52" s="58" t="inlineStr">
        <is>
          <t>Sí</t>
        </is>
      </c>
      <c r="D52" s="58" t="inlineStr">
        <is>
          <t>Ligera</t>
        </is>
      </c>
      <c r="E52" s="58" t="inlineStr"/>
      <c r="F52" s="58" t="inlineStr"/>
      <c r="G52" s="58" t="inlineStr">
        <is>
          <t>Plantaciones exóticas: Pino, Ciprés, Eucalipto; Agave en taludes</t>
        </is>
      </c>
    </row>
    <row r="53">
      <c r="A53" s="57" t="inlineStr">
        <is>
          <t>13</t>
        </is>
      </c>
      <c r="B53" s="57" t="inlineStr">
        <is>
          <t>Erosión natural severa</t>
        </is>
      </c>
      <c r="C53" s="57" t="inlineStr">
        <is>
          <t>Sí</t>
        </is>
      </c>
      <c r="D53" s="57" t="inlineStr">
        <is>
          <t>Ligera</t>
        </is>
      </c>
      <c r="E53" s="57" t="inlineStr">
        <is>
          <t>5</t>
        </is>
      </c>
      <c r="F53" s="57" t="inlineStr"/>
      <c r="G53" s="57" t="inlineStr">
        <is>
          <t>Surcos y cárcavas someras en líneas de drenaje y taludes</t>
        </is>
      </c>
    </row>
    <row r="54">
      <c r="A54" s="58" t="inlineStr">
        <is>
          <t>14</t>
        </is>
      </c>
      <c r="B54" s="58" t="inlineStr">
        <is>
          <t>Sequía prolongada / CC</t>
        </is>
      </c>
      <c r="C54" s="58" t="inlineStr">
        <is>
          <t>No</t>
        </is>
      </c>
      <c r="D54" s="58" t="inlineStr"/>
      <c r="E54" s="58" t="inlineStr"/>
      <c r="F54" s="58" t="inlineStr"/>
      <c r="G54" s="58" t="inlineStr"/>
    </row>
    <row r="55">
      <c r="A55" s="57" t="inlineStr">
        <is>
          <t>15</t>
        </is>
      </c>
      <c r="B55" s="57" t="inlineStr">
        <is>
          <t>Plagas o enfermedades forestales</t>
        </is>
      </c>
      <c r="C55" s="57" t="inlineStr">
        <is>
          <t>No</t>
        </is>
      </c>
      <c r="D55" s="57" t="inlineStr"/>
      <c r="E55" s="57" t="inlineStr"/>
      <c r="F55" s="57" t="inlineStr"/>
      <c r="G55" s="57" t="inlineStr"/>
    </row>
    <row r="56">
      <c r="A56" s="58" t="inlineStr">
        <is>
          <t>16</t>
        </is>
      </c>
      <c r="B56" s="58" t="inlineStr">
        <is>
          <t>Otro</t>
        </is>
      </c>
      <c r="C56" s="58" t="inlineStr">
        <is>
          <t>No</t>
        </is>
      </c>
      <c r="D56" s="58" t="inlineStr"/>
      <c r="E56" s="58" t="inlineStr"/>
      <c r="F56" s="58" t="inlineStr"/>
      <c r="G56" s="58" t="inlineStr"/>
    </row>
    <row r="58">
      <c r="A58" s="55" t="inlineStr">
        <is>
          <t>F-DT-04 · INDICADORES CUANTITATIVOS</t>
        </is>
      </c>
    </row>
    <row r="59">
      <c r="A59" s="56" t="inlineStr">
        <is>
          <t>N.o</t>
        </is>
      </c>
      <c r="B59" s="56" t="inlineStr">
        <is>
          <t>Indicador</t>
        </is>
      </c>
      <c r="C59" s="56" t="inlineStr">
        <is>
          <t>Unidad</t>
        </is>
      </c>
      <c r="D59" s="56" t="inlineStr">
        <is>
          <t>Valor</t>
        </is>
      </c>
      <c r="E59" s="56" t="inlineStr">
        <is>
          <t>Fuente</t>
        </is>
      </c>
      <c r="F59" s="56" t="inlineStr">
        <is>
          <t>Umbral</t>
        </is>
      </c>
      <c r="G59" s="56" t="inlineStr">
        <is>
          <t>Nivel</t>
        </is>
      </c>
    </row>
    <row r="60">
      <c r="A60" s="57" t="inlineStr">
        <is>
          <t>1</t>
        </is>
      </c>
      <c r="B60" s="57" t="inlineStr">
        <is>
          <t>Cobertura vegetal total</t>
        </is>
      </c>
      <c r="C60" s="57" t="inlineStr">
        <is>
          <t>%</t>
        </is>
      </c>
      <c r="D60" s="57" t="inlineStr">
        <is>
          <t>80</t>
        </is>
      </c>
      <c r="E60" s="57" t="inlineStr">
        <is>
          <t>MSAVI 2024 (Sentinel-2) + estimación ocular</t>
        </is>
      </c>
      <c r="F60" s="57" t="inlineStr">
        <is>
          <t>&gt;60% bueno; 30-60% medio; &lt;30% malo</t>
        </is>
      </c>
      <c r="G60" s="57" t="inlineStr">
        <is>
          <t>Alto</t>
        </is>
      </c>
    </row>
    <row r="61">
      <c r="A61" s="58" t="inlineStr">
        <is>
          <t>2</t>
        </is>
      </c>
      <c r="B61" s="58" t="inlineStr">
        <is>
          <t>Porcentaje de suelo desnudo</t>
        </is>
      </c>
      <c r="C61" s="58" t="inlineStr">
        <is>
          <t>%</t>
        </is>
      </c>
      <c r="D61" s="58" t="inlineStr">
        <is>
          <t>10</t>
        </is>
      </c>
      <c r="E61" s="58" t="inlineStr">
        <is>
          <t>Estimación ocular de campo</t>
        </is>
      </c>
      <c r="F61" s="58" t="inlineStr">
        <is>
          <t>&lt;10% bueno; 10-30% medio; &gt;30% malo</t>
        </is>
      </c>
      <c r="G61" s="58" t="inlineStr">
        <is>
          <t>Bajo</t>
        </is>
      </c>
    </row>
    <row r="62">
      <c r="A62" s="57" t="inlineStr">
        <is>
          <t>3</t>
        </is>
      </c>
      <c r="B62" s="57" t="inlineStr">
        <is>
          <t>Densidad de cárcavas</t>
        </is>
      </c>
      <c r="C62" s="57" t="inlineStr">
        <is>
          <t>N°/ha</t>
        </is>
      </c>
      <c r="D62" s="57" t="inlineStr"/>
      <c r="E62" s="57" t="inlineStr"/>
      <c r="F62" s="57" t="inlineStr">
        <is>
          <t>0 nulo; 1-3 medio; &gt;3 alto</t>
        </is>
      </c>
      <c r="G62" s="57" t="inlineStr"/>
    </row>
    <row r="63">
      <c r="A63" s="58" t="inlineStr">
        <is>
          <t>4</t>
        </is>
      </c>
      <c r="B63" s="58" t="inlineStr">
        <is>
          <t>Presencia de especies invasoras</t>
        </is>
      </c>
      <c r="C63" s="58" t="inlineStr">
        <is>
          <t>% área</t>
        </is>
      </c>
      <c r="D63" s="58" t="inlineStr">
        <is>
          <t>10</t>
        </is>
      </c>
      <c r="E63" s="58" t="inlineStr">
        <is>
          <t>Estimación ocular (plantaciones exóticas)</t>
        </is>
      </c>
      <c r="F63" s="58" t="inlineStr">
        <is>
          <t>&lt;5% bueno; 5-20% medio; &gt;20% alto</t>
        </is>
      </c>
      <c r="G63" s="58" t="inlineStr">
        <is>
          <t>Medio</t>
        </is>
      </c>
    </row>
    <row r="64">
      <c r="A64" s="57" t="inlineStr">
        <is>
          <t>5</t>
        </is>
      </c>
      <c r="B64" s="57" t="inlineStr">
        <is>
          <t>Carga ganadera estimada</t>
        </is>
      </c>
      <c r="C64" s="57" t="inlineStr">
        <is>
          <t>UA/ha</t>
        </is>
      </c>
      <c r="D64" s="57" t="inlineStr"/>
      <c r="E64" s="57" t="inlineStr"/>
      <c r="F64" s="57" t="inlineStr">
        <is>
          <t>Según tipo de ecosistema</t>
        </is>
      </c>
      <c r="G64" s="57" t="inlineStr"/>
    </row>
    <row r="65">
      <c r="A65" s="58" t="inlineStr">
        <is>
          <t>6</t>
        </is>
      </c>
      <c r="B65" s="58" t="inlineStr">
        <is>
          <t>Frecuencia de quemas últimos 5 años</t>
        </is>
      </c>
      <c r="C65" s="58" t="inlineStr">
        <is>
          <t>N°</t>
        </is>
      </c>
      <c r="D65" s="58" t="inlineStr"/>
      <c r="E65" s="58" t="inlineStr"/>
      <c r="F65" s="58" t="inlineStr">
        <is>
          <t>0 nulo; 1-2 medio; &gt;2 alto</t>
        </is>
      </c>
      <c r="G65" s="58" t="inlineStr"/>
    </row>
    <row r="66">
      <c r="A66" s="57" t="inlineStr">
        <is>
          <t>7</t>
        </is>
      </c>
      <c r="B66" s="57" t="inlineStr">
        <is>
          <t>% área con pendiente &gt;50%</t>
        </is>
      </c>
      <c r="C66" s="57" t="inlineStr">
        <is>
          <t>%</t>
        </is>
      </c>
      <c r="D66" s="57" t="inlineStr">
        <is>
          <t>30</t>
        </is>
      </c>
      <c r="E66" s="57" t="inlineStr">
        <is>
          <t>Perfil de elevación Google Earth (máx. 55%)</t>
        </is>
      </c>
      <c r="F66" s="57" t="inlineStr">
        <is>
          <t>Factor de susceptibilidad</t>
        </is>
      </c>
      <c r="G66" s="57" t="inlineStr">
        <is>
          <t>Medio</t>
        </is>
      </c>
    </row>
    <row r="67">
      <c r="A67" s="58" t="inlineStr">
        <is>
          <t>8</t>
        </is>
      </c>
      <c r="B67" s="58" t="inlineStr">
        <is>
          <t>Distancia a vía vecinal más cercana</t>
        </is>
      </c>
      <c r="C67" s="58" t="inlineStr">
        <is>
          <t>m</t>
        </is>
      </c>
      <c r="D67" s="58" t="inlineStr">
        <is>
          <t>0</t>
        </is>
      </c>
      <c r="E67" s="58" t="inlineStr">
        <is>
          <t>Trocha afirmada atraviesa el bloque</t>
        </is>
      </c>
      <c r="F67" s="58" t="inlineStr">
        <is>
          <t>A menor distancia → mayor presión</t>
        </is>
      </c>
      <c r="G67" s="58" t="inlineStr">
        <is>
          <t>Alto</t>
        </is>
      </c>
    </row>
    <row r="69">
      <c r="A69" s="55" t="inlineStr">
        <is>
          <t>F-DT-05 · FUENTES DE AGUA INVENTARIADAS</t>
        </is>
      </c>
    </row>
    <row r="70">
      <c r="A70" s="56" t="inlineStr">
        <is>
          <t>N.o</t>
        </is>
      </c>
      <c r="B70" s="56" t="inlineStr">
        <is>
          <t>Tipo de fuente</t>
        </is>
      </c>
      <c r="C70" s="56" t="inlineStr">
        <is>
          <t>UTM ESTE</t>
        </is>
      </c>
      <c r="D70" s="56" t="inlineStr">
        <is>
          <t>UTM NORTE</t>
        </is>
      </c>
      <c r="E70" s="56" t="inlineStr">
        <is>
          <t>Régimen</t>
        </is>
      </c>
      <c r="F70" s="56" t="inlineStr">
        <is>
          <t>Calidad</t>
        </is>
      </c>
      <c r="G70" s="56" t="inlineStr">
        <is>
          <t>Distancia (m)</t>
        </is>
      </c>
      <c r="H70" s="56" t="inlineStr">
        <is>
          <t>Uso / observación</t>
        </is>
      </c>
    </row>
    <row r="71">
      <c r="A71" s="57" t="inlineStr">
        <is>
          <t>1</t>
        </is>
      </c>
      <c r="B71" s="57" t="inlineStr">
        <is>
          <t>Quebrada estacional</t>
        </is>
      </c>
      <c r="C71" s="62" t="n">
        <v>621000</v>
      </c>
      <c r="D71" s="62" t="n">
        <v>9443900</v>
      </c>
      <c r="E71" s="57" t="inlineStr">
        <is>
          <t>Estacional (lluvias)</t>
        </is>
      </c>
      <c r="F71" s="57" t="inlineStr">
        <is>
          <t>No evaluable</t>
        </is>
      </c>
      <c r="G71" s="57" t="n"/>
      <c r="H71" s="57" t="inlineStr">
        <is>
          <t>Quebrada tributaria que delimita el bloque por el O (ubic. aprox., régimen por verificar)</t>
        </is>
      </c>
    </row>
    <row r="74">
      <c r="A74" s="55" t="inlineStr">
        <is>
          <t>OBSERVACIONES DEL EVALUADOR POR FICHA</t>
        </is>
      </c>
    </row>
    <row r="75">
      <c r="A75" s="56" t="inlineStr">
        <is>
          <t>Ficha</t>
        </is>
      </c>
      <c r="B75" s="56" t="inlineStr">
        <is>
          <t>Observación registrada en campo</t>
        </is>
      </c>
    </row>
    <row r="76">
      <c r="A76" s="57" t="inlineStr">
        <is>
          <t>F-DT-01</t>
        </is>
      </c>
      <c r="B76" s="57" t="inlineStr">
        <is>
          <t>Pendiente media del recorrido 34,6 % y máxima 55,3 % (perfil Google Earth, longitud ≈ 554 m, cotas 1833–2029 msnm). Las evidencias de inestabilidad (escarpes y desprendimientos) se concentran en los taludes de corte de la trocha afirmada (periferia/franja vial), no en la superficie natural del bloque. Coordenadas fotográficas pueden presentar leve error por señal GPS de celular. Bloque seleccionado por su rol en la regulación de movimientos en masa y de la escorrentía en la zona de origen de los peligros (cabecera de microcuenca).</t>
        </is>
      </c>
    </row>
    <row r="77">
      <c r="A77" s="58" t="inlineStr">
        <is>
          <t>F-DT-02</t>
        </is>
      </c>
      <c r="B77" s="58" t="inlineStr">
        <is>
          <t>Los rasgos erosivos más marcados (surcos y cárcavas someras) se localizan en los taludes de corte de la trocha afirmada que atraviesa el bloque y en sendas de ganado. Dimensiones instrumentales (longitud, profundidad, ancho), longitud total acumulada y densidad por hectárea quedan pendientes de levantamiento por el especialista de Infraestructura Marrón. Se observó un sector con quema reciente de pastizal asociado a erosión incipiente.</t>
        </is>
      </c>
    </row>
    <row r="78">
      <c r="A78" s="57" t="inlineStr">
        <is>
          <t>F-DT-03</t>
        </is>
      </c>
      <c r="B78" s="57" t="inlineStr">
        <is>
          <t>El bloque integra tres ecosistemas MINAM: Bosque relicto montano de vertiente occidental (Br-mvoc, 3,15 ha), Matorral andino (Ma, 25,14 ha) y Zona agrícola (Agri, 7,37 ha), que suman las 35,66 ha del bloque. Lista florística PRELIMINAR, basada en juicio de experto sobre fotografías y literatura regional; nombres a nivel de especie y categorías de conservación sujetos a colección y determinación botánica formal. DAP y alturas no medidos en este reconocimiento.</t>
        </is>
      </c>
    </row>
    <row r="79">
      <c r="A79" s="58" t="inlineStr">
        <is>
          <t>F-DT-05</t>
        </is>
      </c>
      <c r="B79" s="58" t="inlineStr">
        <is>
          <t>No se identificaron manantiales ni captaciones poblacionales dentro del recorrido; la distancia a captación poblacional, el nombre de la JASS y los datos de la Ronda Campesina quedan por verificar. El bloque se ubica en zona de origen y recarga de la microcuenca C1086-Q9570; la presencia de helechos, epífitas y relictos de bosque montano evidencia humedad. Acceso en camioneta por trocha afirmada y a pie por camino de herradura. Señal/operador celular, tiempos de viaje y alojamiento no registrados por no ser necesarios para este diagnóstico.</t>
        </is>
      </c>
    </row>
  </sheetData>
  <mergeCells count="5">
    <mergeCell ref="A2:I2"/>
    <mergeCell ref="A5:I5"/>
    <mergeCell ref="A1:I1"/>
    <mergeCell ref="A3:I3"/>
    <mergeCell ref="A4:I4"/>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05"/>
  <sheetViews>
    <sheetView workbookViewId="0">
      <selection activeCell="A1" sqref="A1"/>
    </sheetView>
  </sheetViews>
  <sheetFormatPr baseColWidth="8" defaultRowHeight="15"/>
  <cols>
    <col width="44" customWidth="1" min="1" max="1"/>
    <col width="18" customWidth="1" min="2" max="2"/>
  </cols>
  <sheetData>
    <row r="1">
      <c r="A1" s="52" t="inlineStr">
        <is>
          <t>AUTORIDAD NACIONAL DE INFRAESTRUCTURA - ANIN</t>
        </is>
      </c>
    </row>
    <row r="2">
      <c r="A2" s="52" t="inlineStr">
        <is>
          <t>DIRECCION DE INTERVENCIONES MULTISECTORIALES Y DE EMERGENCIA - DIME</t>
        </is>
      </c>
    </row>
    <row r="3">
      <c r="A3" s="52" t="inlineStr">
        <is>
          <t>SUBDIRECCION DE ESTUDIOS DE INVERSION - SESDI</t>
        </is>
      </c>
    </row>
    <row r="4">
      <c r="A4" s="53" t="inlineStr">
        <is>
          <t>PROYECTO IN PIURA | CUI 2669244 | Recuperacion del servicio de regulacion de riesgos naturales y de ecosistemas degradados - Cuenca Alta del Rio Piura</t>
        </is>
      </c>
    </row>
    <row r="5" ht="22" customHeight="1">
      <c r="A5" s="54" t="inlineStr">
        <is>
          <t>GRÁFICOS DE LA INTEGRACIÓN — BLOQUE 82</t>
        </is>
      </c>
    </row>
    <row r="7">
      <c r="A7" s="55" t="inlineStr">
        <is>
          <t>Hechos declarados por fuente</t>
        </is>
      </c>
    </row>
    <row r="8">
      <c r="A8" s="56" t="inlineStr">
        <is>
          <t>Fuente</t>
        </is>
      </c>
      <c r="B8" s="56" t="inlineStr">
        <is>
          <t>Hechos</t>
        </is>
      </c>
    </row>
    <row r="9">
      <c r="A9" s="57" t="inlineStr">
        <is>
          <t>Dato de campo</t>
        </is>
      </c>
      <c r="B9" s="57" t="n">
        <v>63</v>
      </c>
    </row>
    <row r="10">
      <c r="A10" s="58" t="inlineStr">
        <is>
          <t>Gabinete (GIS / teledetección)</t>
        </is>
      </c>
      <c r="B10" s="58" t="n">
        <v>22</v>
      </c>
    </row>
    <row r="11">
      <c r="A11" s="57" t="inlineStr">
        <is>
          <t>Fuente oficial</t>
        </is>
      </c>
      <c r="B11" s="57" t="n">
        <v>14</v>
      </c>
    </row>
    <row r="28">
      <c r="A28" s="55" t="inlineStr">
        <is>
          <t>Estado del cruce entre fuentes</t>
        </is>
      </c>
    </row>
    <row r="29">
      <c r="A29" s="56" t="inlineStr">
        <is>
          <t>Estado</t>
        </is>
      </c>
      <c r="B29" s="56" t="inlineStr">
        <is>
          <t>Hechos</t>
        </is>
      </c>
    </row>
    <row r="30">
      <c r="A30" s="57" t="inlineStr">
        <is>
          <t>CONFORME</t>
        </is>
      </c>
      <c r="B30" s="57" t="n">
        <v>97</v>
      </c>
    </row>
    <row r="31">
      <c r="A31" s="58" t="inlineStr">
        <is>
          <t>COMPLEMENTADO</t>
        </is>
      </c>
      <c r="B31" s="58" t="n">
        <v>1</v>
      </c>
    </row>
    <row r="32">
      <c r="A32" s="57" t="inlineStr">
        <is>
          <t>ACTUALIZADO</t>
        </is>
      </c>
      <c r="B32" s="57" t="n">
        <v>1</v>
      </c>
    </row>
    <row r="33">
      <c r="A33" s="58" t="inlineStr">
        <is>
          <t>DISCREPANTE</t>
        </is>
      </c>
      <c r="B33" s="58" t="n">
        <v>0</v>
      </c>
    </row>
    <row r="34">
      <c r="A34" s="57" t="inlineStr">
        <is>
          <t>PENDIENTE</t>
        </is>
      </c>
      <c r="B34" s="57" t="n">
        <v>15</v>
      </c>
    </row>
    <row r="51">
      <c r="A51" s="55" t="inlineStr">
        <is>
          <t>Cobertura por estrato — campo (%)</t>
        </is>
      </c>
    </row>
    <row r="52">
      <c r="A52" s="56" t="inlineStr">
        <is>
          <t>Estrato</t>
        </is>
      </c>
      <c r="B52" s="56" t="inlineStr">
        <is>
          <t>% del área</t>
        </is>
      </c>
    </row>
    <row r="53">
      <c r="A53" s="57" t="inlineStr">
        <is>
          <t>Dosel</t>
        </is>
      </c>
      <c r="B53" s="62" t="n">
        <v>30</v>
      </c>
    </row>
    <row r="54">
      <c r="A54" s="58" t="inlineStr">
        <is>
          <t>Arbustiva</t>
        </is>
      </c>
      <c r="B54" s="63" t="n">
        <v>25</v>
      </c>
    </row>
    <row r="55">
      <c r="A55" s="57" t="inlineStr">
        <is>
          <t>Herbácea</t>
        </is>
      </c>
      <c r="B55" s="62" t="n">
        <v>40</v>
      </c>
    </row>
    <row r="56">
      <c r="A56" s="58" t="inlineStr">
        <is>
          <t>Hojarasca</t>
        </is>
      </c>
      <c r="B56" s="63" t="n">
        <v>15</v>
      </c>
    </row>
    <row r="57">
      <c r="A57" s="57" t="inlineStr">
        <is>
          <t>Suelo desnudo</t>
        </is>
      </c>
      <c r="B57" s="62" t="n">
        <v>10</v>
      </c>
    </row>
    <row r="74">
      <c r="A74" s="55" t="inlineStr">
        <is>
          <t>Causas activas de degradación (F-DT-04)</t>
        </is>
      </c>
    </row>
    <row r="75">
      <c r="A75" s="56" t="inlineStr">
        <is>
          <t>Causa</t>
        </is>
      </c>
      <c r="B75" s="56" t="inlineStr">
        <is>
          <t>Intensidad (1 ligera - 4 muy fuerte)</t>
        </is>
      </c>
    </row>
    <row r="76">
      <c r="A76" s="57" t="inlineStr">
        <is>
          <t>Cambio de uso a agricultura</t>
        </is>
      </c>
      <c r="B76" s="57" t="n">
        <v>2</v>
      </c>
    </row>
    <row r="77">
      <c r="A77" s="58" t="inlineStr">
        <is>
          <t>Cambio de uso a pastoreo</t>
        </is>
      </c>
      <c r="B77" s="58" t="n">
        <v>2</v>
      </c>
    </row>
    <row r="78">
      <c r="A78" s="57" t="inlineStr">
        <is>
          <t>Quema (renovación de pastos)</t>
        </is>
      </c>
      <c r="B78" s="57" t="n">
        <v>2</v>
      </c>
    </row>
    <row r="79">
      <c r="A79" s="58" t="inlineStr">
        <is>
          <t>Sobrepastoreo (caprino/vacuno)</t>
        </is>
      </c>
      <c r="B79" s="58" t="n">
        <v>2</v>
      </c>
    </row>
    <row r="80">
      <c r="A80" s="57" t="inlineStr">
        <is>
          <t>Erosión natural severa</t>
        </is>
      </c>
      <c r="B80" s="57" t="n">
        <v>1</v>
      </c>
    </row>
    <row r="81">
      <c r="A81" s="58" t="inlineStr">
        <is>
          <t>Especies invasoras</t>
        </is>
      </c>
      <c r="B81" s="58" t="n">
        <v>1</v>
      </c>
    </row>
    <row r="82">
      <c r="A82" s="57" t="inlineStr">
        <is>
          <t>Expansión urbana / vial</t>
        </is>
      </c>
      <c r="B82" s="57" t="n">
        <v>1</v>
      </c>
    </row>
    <row r="83">
      <c r="A83" s="58" t="inlineStr">
        <is>
          <t>Tala para leña</t>
        </is>
      </c>
      <c r="B83" s="58" t="n">
        <v>1</v>
      </c>
    </row>
    <row r="100">
      <c r="A100" s="55" t="inlineStr">
        <is>
          <t>Control de consistencia por calificación</t>
        </is>
      </c>
    </row>
    <row r="101">
      <c r="A101" s="56" t="inlineStr">
        <is>
          <t>Calificación</t>
        </is>
      </c>
      <c r="B101" s="56" t="inlineStr">
        <is>
          <t>Verificaciones</t>
        </is>
      </c>
    </row>
    <row r="102">
      <c r="A102" s="57" t="inlineStr">
        <is>
          <t>SUSTANTIVA</t>
        </is>
      </c>
      <c r="B102" s="57" t="n">
        <v>4</v>
      </c>
    </row>
    <row r="103">
      <c r="A103" s="58" t="inlineStr">
        <is>
          <t>NO SUSTANTIVA</t>
        </is>
      </c>
      <c r="B103" s="58" t="n">
        <v>4</v>
      </c>
    </row>
    <row r="104">
      <c r="A104" s="57" t="inlineStr">
        <is>
          <t>CORREGIDO</t>
        </is>
      </c>
      <c r="B104" s="57" t="n">
        <v>2</v>
      </c>
    </row>
    <row r="105">
      <c r="A105" s="58" t="inlineStr">
        <is>
          <t>CONFORME</t>
        </is>
      </c>
      <c r="B105" s="58" t="n">
        <v>12</v>
      </c>
    </row>
  </sheetData>
  <mergeCells count="5">
    <mergeCell ref="A1:H1"/>
    <mergeCell ref="A4:H4"/>
    <mergeCell ref="A3:H3"/>
    <mergeCell ref="A2:H2"/>
    <mergeCell ref="A5:H5"/>
  </mergeCells>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82 — IN Piura</dc:title>
  <dc:subject>Diagnóstico Territorial por bloque de intervención</dc:subject>
  <dcterms:created xsi:type="dcterms:W3CDTF">2026-09-08T03:39:57Z</dcterms:created>
  <dcterms:modified xsi:type="dcterms:W3CDTF">2026-09-11T20:22:33Z</dcterms:modified>
</cp:coreProperties>
</file>