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integración'!B52</f>
            </strRef>
          </tx>
          <spPr>
            <a:ln>
              <a:prstDash val="solid"/>
            </a:ln>
          </spPr>
          <cat>
            <numRef>
              <f>'Gráficos de integración'!$A$53:$A$56</f>
            </numRef>
          </cat>
          <val>
            <numRef>
              <f>'Gráficos de integración'!$B$53:$B$56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integración'!B74</f>
            </strRef>
          </tx>
          <spPr>
            <a:ln>
              <a:prstDash val="solid"/>
            </a:ln>
          </spPr>
          <cat>
            <numRef>
              <f>'Gráficos de integración'!$A$75:$A$78</f>
            </numRef>
          </cat>
          <val>
            <numRef>
              <f>'Gráficos de integración'!$B$75:$B$78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73</row>
      <rowOff>0</rowOff>
    </from>
    <ext cx="4320000" cy="288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M17B1</t>
        </is>
      </c>
    </row>
    <row r="6" ht="24" customHeight="1">
      <c r="A6" s="4" t="inlineStr">
        <is>
          <t>Diagnóstico Territorial — Plantilla DT Campo Check Validada V5 | Sistema de referencia: UTM WGS 84 Zona 17S (EPSG:32717) · Integrado con la ficha de campo F-DT vigente (Plantilla_DT_Campo_Check_Validada_V5_M17B1_CORREGIDA.xlsx) — V7 - resumen V6 + campo F-DT integrado</t>
        </is>
      </c>
    </row>
    <row r="7"/>
    <row r="8" ht="18" customHeight="1">
      <c r="A8" s="5" t="inlineStr">
        <is>
          <t>1. IDENTIFICACIÓN Y LOCALIZACIÓN</t>
        </is>
      </c>
    </row>
    <row r="9">
      <c r="A9" s="6" t="inlineStr">
        <is>
          <t>Código del bloque</t>
        </is>
      </c>
      <c r="B9" s="7" t="inlineStr">
        <is>
          <t>M17B1</t>
        </is>
      </c>
      <c r="C9" s="6" t="inlineStr">
        <is>
          <t>Microcuenca (catálogo)</t>
        </is>
      </c>
      <c r="D9" s="7" t="inlineStr">
        <is>
          <t>C1096-Q9556</t>
        </is>
      </c>
      <c r="E9" s="8" t="n"/>
      <c r="F9" s="8" t="n"/>
    </row>
    <row r="10">
      <c r="A10" s="6" t="inlineStr">
        <is>
          <t>Zona de planificación</t>
        </is>
      </c>
      <c r="B10" s="7" t="inlineStr">
        <is>
          <t>Z01</t>
        </is>
      </c>
      <c r="C10" s="6" t="inlineStr">
        <is>
          <t>Microcuenca declarada en ficha DT</t>
        </is>
      </c>
      <c r="D10" s="7" t="inlineStr">
        <is>
          <t>C1096-Q9556</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Chulucanas</t>
        </is>
      </c>
      <c r="C12" s="6" t="inlineStr">
        <is>
          <t>Capital distrital</t>
        </is>
      </c>
      <c r="D12" s="7" t="inlineStr">
        <is>
          <t>Chulucanas</t>
        </is>
      </c>
      <c r="E12" s="8" t="n"/>
      <c r="F12" s="8" t="n"/>
    </row>
    <row r="13">
      <c r="A13" s="6" t="inlineStr">
        <is>
          <t>Centro poblado asociado</t>
        </is>
      </c>
      <c r="B13" s="7" t="inlineStr">
        <is>
          <t>C.P. Papelillo</t>
        </is>
      </c>
      <c r="C13" s="6" t="inlineStr">
        <is>
          <t>Comunidad campesina</t>
        </is>
      </c>
      <c r="D13" s="7" t="inlineStr">
        <is>
          <t>Por verificar</t>
        </is>
      </c>
      <c r="E13" s="8" t="n"/>
      <c r="F13" s="8" t="n"/>
    </row>
    <row r="14">
      <c r="A14" s="6" t="inlineStr">
        <is>
          <t>Superficie de catálogo (V5/V6), ha</t>
        </is>
      </c>
      <c r="B14" s="7" t="n">
        <v>42.45</v>
      </c>
      <c r="C14" s="6" t="inlineStr">
        <is>
          <t>Fuente de superficie</t>
        </is>
      </c>
      <c r="D14" s="7" t="inlineStr">
        <is>
          <t>Catálogo maestro Bloques V5/V6</t>
        </is>
      </c>
      <c r="E14" s="8" t="n"/>
      <c r="F14" s="8" t="n"/>
    </row>
    <row r="15">
      <c r="A15" s="6" t="inlineStr">
        <is>
          <t>Centroide UTM ESTE (m)</t>
        </is>
      </c>
      <c r="B15" s="7" t="n">
        <v>600644</v>
      </c>
      <c r="C15" s="6" t="inlineStr">
        <is>
          <t>Centroide UTM NORTE (m)</t>
        </is>
      </c>
      <c r="D15" s="7" t="n">
        <v>9440436</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177</v>
      </c>
      <c r="C19" s="6" t="inlineStr">
        <is>
          <t>Altitud máxima (msnm)</t>
        </is>
      </c>
      <c r="D19" s="7" t="n">
        <v>313</v>
      </c>
      <c r="E19" s="8" t="n"/>
      <c r="F19" s="8" t="n"/>
    </row>
    <row r="20">
      <c r="A20" s="6" t="inlineStr">
        <is>
          <t>Amplitud altitudinal (m)</t>
        </is>
      </c>
      <c r="B20" s="7" t="n">
        <v>136</v>
      </c>
      <c r="C20" s="6" t="inlineStr">
        <is>
          <t>Piso altitudinal dominante</t>
        </is>
      </c>
      <c r="D20" s="7" t="inlineStr">
        <is>
          <t>&lt;1000 m (Yunga)</t>
        </is>
      </c>
      <c r="E20" s="8" t="n"/>
      <c r="F20" s="8" t="n"/>
    </row>
    <row r="21">
      <c r="A21" s="6" t="inlineStr">
        <is>
          <t>Pendiente promedio (%)</t>
        </is>
      </c>
      <c r="B21" s="7" t="n">
        <v>14.73</v>
      </c>
      <c r="C21" s="6" t="inlineStr">
        <is>
          <t>Pendiente promedio (grados)</t>
        </is>
      </c>
      <c r="D21" s="7" t="n">
        <v>8.4</v>
      </c>
      <c r="E21" s="8" t="n"/>
      <c r="F21" s="8" t="n"/>
    </row>
    <row r="22">
      <c r="A22" s="6" t="inlineStr">
        <is>
          <t>Clase de pendiente equivalente</t>
        </is>
      </c>
      <c r="B22" s="7" t="inlineStr">
        <is>
          <t>8-15% (Mod. inclinado)</t>
        </is>
      </c>
      <c r="C22" s="6" t="inlineStr">
        <is>
          <t>Rango de pendiente declarado en campo</t>
        </is>
      </c>
      <c r="D22" s="7" t="inlineStr">
        <is>
          <t>8-15% (Mod. inclinado)</t>
        </is>
      </c>
      <c r="E22" s="8" t="n"/>
      <c r="F22" s="8" t="n"/>
    </row>
    <row r="23">
      <c r="A23" s="6" t="inlineStr">
        <is>
          <t>Forma predominante del terreno</t>
        </is>
      </c>
      <c r="B23" s="7" t="inlineStr">
        <is>
          <t>Colinoso</t>
        </is>
      </c>
      <c r="C23" s="6" t="inlineStr">
        <is>
          <t>Posición fisiográfica</t>
        </is>
      </c>
      <c r="D23" s="7" t="inlineStr">
        <is>
          <t>Ladera baja</t>
        </is>
      </c>
      <c r="E23" s="8" t="n"/>
      <c r="F23" s="8" t="n"/>
    </row>
    <row r="24">
      <c r="A24" s="6" t="inlineStr">
        <is>
          <t>Exposición / orientación</t>
        </is>
      </c>
      <c r="B24" s="7" t="inlineStr">
        <is>
          <t>Sureste</t>
        </is>
      </c>
      <c r="C24" s="6" t="inlineStr">
        <is>
          <t>Afloramientos rocosos</t>
        </is>
      </c>
      <c r="D24" s="7" t="inlineStr">
        <is>
          <t>Sí (de origen antrópico: cortes de talud)</t>
        </is>
      </c>
      <c r="E24" s="8" t="n"/>
      <c r="F24" s="8" t="n"/>
    </row>
    <row r="25">
      <c r="A25" s="6" t="inlineStr">
        <is>
          <t>Escarpes activos</t>
        </is>
      </c>
      <c r="B25" s="7" t="inlineStr">
        <is>
          <t>Sí (de origen antrópico)</t>
        </is>
      </c>
      <c r="C25" s="6" t="inlineStr">
        <is>
          <t>Remociones en masa activas</t>
        </is>
      </c>
      <c r="D25" s="7" t="inlineStr">
        <is>
          <t>Sí (caída de rocas activa)</t>
        </is>
      </c>
      <c r="E25" s="8" t="n"/>
      <c r="F25" s="8" t="n"/>
    </row>
    <row r="26"/>
    <row r="27" ht="18" customHeight="1">
      <c r="A27" s="5" t="inlineStr">
        <is>
          <t>3. ÍNDICES DE VEGETACIÓN (SENTINEL-2)</t>
        </is>
      </c>
    </row>
    <row r="28">
      <c r="A28" s="6" t="inlineStr">
        <is>
          <t>MSAVI 2024 — media del bloque</t>
        </is>
      </c>
      <c r="B28" s="7" t="n">
        <v>0.3323</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(81.83 %)</t>
        </is>
      </c>
      <c r="E29" s="8" t="n"/>
      <c r="F29" s="8" t="n"/>
    </row>
    <row r="30">
      <c r="A30" s="6" t="inlineStr">
        <is>
          <t>Superficie clasificada NDVI 2025 (ha)</t>
        </is>
      </c>
      <c r="B30" s="7" t="n">
        <v>42.472</v>
      </c>
      <c r="C30" s="6" t="inlineStr">
        <is>
          <t>Desviación frente al catálogo (%)</t>
        </is>
      </c>
      <c r="D30" s="7" t="n">
        <v>0.05</v>
      </c>
      <c r="E30" s="8" t="n"/>
      <c r="F30" s="8" t="n"/>
    </row>
    <row r="31">
      <c r="A31" s="6" t="inlineStr">
        <is>
          <t>Superficie clasificada MSAVI 2024 (ha)</t>
        </is>
      </c>
      <c r="B31" s="39" t="n">
        <v>42.449</v>
      </c>
      <c r="C31" s="6" t="inlineStr">
        <is>
          <t>Desviación MSAVI frente al catálogo (%)</t>
        </is>
      </c>
      <c r="D31" s="40" t="n">
        <v>0</v>
      </c>
      <c r="E31" s="8" t="n"/>
      <c r="F31" s="8" t="n"/>
    </row>
    <row r="32">
      <c r="A32" s="6" t="inlineStr">
        <is>
          <t>Superficie bajo umbral MSAVI 0.4976 (ha)</t>
        </is>
      </c>
      <c r="B32" s="39" t="n">
        <v>42.379</v>
      </c>
      <c r="C32" s="6" t="inlineStr">
        <is>
          <t>% del bloque bajo umbral (brecha espectral)</t>
        </is>
      </c>
      <c r="D32" s="40" t="n">
        <v>99.84</v>
      </c>
      <c r="E32" s="8" t="n"/>
      <c r="F32" s="8" t="n"/>
    </row>
    <row r="33">
      <c r="A33" s="6" t="inlineStr">
        <is>
          <t>Clase DN dominante (MSAVI 2024)</t>
        </is>
      </c>
      <c r="B33" s="7" t="inlineStr">
        <is>
          <t>DN 2 · 0.2650 - 0.3813 (Vigor muy bajo)</t>
        </is>
      </c>
      <c r="C33" s="6" t="inlineStr">
        <is>
          <t>N.° de polígonos MSAVI del bloque</t>
        </is>
      </c>
      <c r="D33" s="41" t="n">
        <v>123</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Por verificar</t>
        </is>
      </c>
      <c r="E36" s="8" t="n"/>
      <c r="F36" s="8" t="n"/>
    </row>
    <row r="37">
      <c r="A37" s="6" t="inlineStr">
        <is>
          <t>Estado de conservación</t>
        </is>
      </c>
      <c r="B37" s="7" t="inlineStr">
        <is>
          <t>Medianamente alterado</t>
        </is>
      </c>
      <c r="C37" s="6" t="inlineStr">
        <is>
          <t>Uso actual dominante del suelo</t>
        </is>
      </c>
      <c r="D37" s="51" t="inlineStr">
        <is>
          <t>Forestal protección</t>
        </is>
      </c>
      <c r="E37" s="8" t="n"/>
      <c r="F37" s="8" t="n"/>
    </row>
    <row r="38">
      <c r="A38" s="6" t="inlineStr">
        <is>
          <t>Tipo de cobertura dominante</t>
        </is>
      </c>
      <c r="B38" s="7" t="inlineStr">
        <is>
          <t>Bosque ralo (30-70%)</t>
        </is>
      </c>
      <c r="C38" s="6" t="inlineStr">
        <is>
          <t>Cobertura vegetal total — campo (%)</t>
        </is>
      </c>
      <c r="D38" s="7" t="inlineStr">
        <is>
          <t>40 - 60</t>
        </is>
      </c>
      <c r="E38" s="8" t="n"/>
      <c r="F38" s="8" t="n"/>
    </row>
    <row r="39">
      <c r="A39" s="6" t="inlineStr">
        <is>
          <t>Suelo desnudo — campo (%)</t>
        </is>
      </c>
      <c r="B39" s="7" t="inlineStr">
        <is>
          <t>Por verificar</t>
        </is>
      </c>
      <c r="C39" s="6" t="inlineStr">
        <is>
          <t>Regeneración natural</t>
        </is>
      </c>
      <c r="D39" s="7" t="inlineStr">
        <is>
          <t>Regular (10-50 pl./100m²) — por equivalencia cualitativa, NO cuantificada</t>
        </is>
      </c>
      <c r="E39" s="8" t="n"/>
      <c r="F39" s="8" t="n"/>
    </row>
    <row r="40">
      <c r="A40" s="6" t="inlineStr">
        <is>
          <t>Nivel general de erosión</t>
        </is>
      </c>
      <c r="B40" s="7" t="inlineStr">
        <is>
          <t>Moderada (surcos)</t>
        </is>
      </c>
      <c r="C40" s="6" t="inlineStr">
        <is>
          <t>N.° de cárcavas registradas</t>
        </is>
      </c>
      <c r="D40" s="7" t="n">
        <v>0</v>
      </c>
      <c r="E40" s="8" t="n"/>
      <c r="F40" s="8" t="n"/>
    </row>
    <row r="41">
      <c r="A41" s="6" t="inlineStr">
        <is>
          <t>Elenco florístico (n.° de taxones)</t>
        </is>
      </c>
      <c r="B41" s="7" t="n">
        <v>6</v>
      </c>
      <c r="C41" s="6" t="inlineStr">
        <is>
          <t>Estado sanitario</t>
        </is>
      </c>
      <c r="D41" s="7" t="inlineStr">
        <is>
          <t>Daño mecánico</t>
        </is>
      </c>
      <c r="E41" s="8" t="n"/>
      <c r="F41" s="8" t="n"/>
    </row>
    <row r="42"/>
    <row r="43" ht="18" customHeight="1">
      <c r="A43" s="5" t="inlineStr">
        <is>
          <t>5. RESPONSABLE Y MODALIDAD DE LA EVALUACIÓN</t>
        </is>
      </c>
    </row>
    <row r="44">
      <c r="A44" s="6" t="inlineStr">
        <is>
          <t>Responsable de la evaluación</t>
        </is>
      </c>
      <c r="B44" s="7" t="inlineStr">
        <is>
          <t>Por verificar</t>
        </is>
      </c>
      <c r="C44" s="6" t="inlineStr">
        <is>
          <t>Fecha de evaluación</t>
        </is>
      </c>
      <c r="D44" s="7" t="inlineStr">
        <is>
          <t>2026-07-02</t>
        </is>
      </c>
      <c r="E44" s="8" t="n"/>
      <c r="F44" s="8" t="n"/>
    </row>
    <row r="45">
      <c r="A45" s="6" t="inlineStr">
        <is>
          <t>Hora de registro</t>
        </is>
      </c>
      <c r="B45" s="7" t="inlineStr">
        <is>
          <t>16:02 - 16:21 h</t>
        </is>
      </c>
      <c r="C45" s="6" t="inlineStr">
        <is>
          <t>Correlativo de ficha</t>
        </is>
      </c>
      <c r="D45" s="7" t="inlineStr">
        <is>
          <t>Por verificar</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 (recorrido de reconocimiento)</t>
        </is>
      </c>
      <c r="E47" s="8" t="n"/>
      <c r="F47" s="8" t="n"/>
    </row>
    <row r="48">
      <c r="A48" s="6" t="inlineStr">
        <is>
          <t>Estaciones fotográficas georreferenciadas</t>
        </is>
      </c>
      <c r="B48" s="7" t="n">
        <v>12</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Ejecución de una obra vial sin medidas de manejo ambiental ni revegetación de taludes, sobre un ecosistema de bosque seco</t>
        </is>
      </c>
      <c r="C51" s="6" t="inlineStr">
        <is>
          <t>Velocidad de degradación</t>
        </is>
      </c>
      <c r="D51" s="7" t="inlineStr">
        <is>
          <t>Rápida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No (condición no evaluada)</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M17B1</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0.0693</v>
      </c>
      <c r="C11" s="21">
        <f>ROUND(B11/$B$15*100,2)</f>
        <v/>
      </c>
      <c r="D11" s="13" t="inlineStr">
        <is>
          <t>Vigor moderado</t>
        </is>
      </c>
      <c r="E11" s="13" t="inlineStr">
        <is>
          <t>Sobre umbral</t>
        </is>
      </c>
    </row>
    <row r="12">
      <c r="A12" s="7" t="inlineStr">
        <is>
          <t>0.3813 - 0.4976 · DN 3</t>
        </is>
      </c>
      <c r="B12" s="18" t="n">
        <v>7.6468</v>
      </c>
      <c r="C12" s="19">
        <f>ROUND(B12/$B$15*100,2)</f>
        <v/>
      </c>
      <c r="D12" s="11" t="inlineStr">
        <is>
          <t>Vigor bajo</t>
        </is>
      </c>
      <c r="E12" s="11" t="inlineStr">
        <is>
          <t>BAJO umbral 0.4976</t>
        </is>
      </c>
    </row>
    <row r="13">
      <c r="A13" s="14" t="inlineStr">
        <is>
          <t>0.2650 - 0.3813 · DN 2</t>
        </is>
      </c>
      <c r="B13" s="32" t="n">
        <v>30.741</v>
      </c>
      <c r="C13" s="31">
        <f>ROUND(B13/$B$15*100,2)</f>
        <v/>
      </c>
      <c r="D13" s="15" t="inlineStr">
        <is>
          <t>Vigor muy bajo</t>
        </is>
      </c>
      <c r="E13" s="15" t="inlineStr">
        <is>
          <t>BAJO umbral 0.4976</t>
        </is>
      </c>
    </row>
    <row r="14">
      <c r="A14" s="7" t="inlineStr">
        <is>
          <t>&lt;= 0.2650 · DN 1</t>
        </is>
      </c>
      <c r="B14" s="18" t="n">
        <v>3.9915</v>
      </c>
      <c r="C14" s="19">
        <f>ROUND(B14/$B$15*100,2)</f>
        <v/>
      </c>
      <c r="D14" s="11" t="inlineStr">
        <is>
          <t>Suelo desnudo / no vegetal</t>
        </is>
      </c>
      <c r="E14" s="11" t="inlineStr">
        <is>
          <t>BAJO umbral 0.4976</t>
        </is>
      </c>
    </row>
    <row r="15" ht="30" customHeight="1">
      <c r="A15" s="44" t="inlineStr">
        <is>
          <t>TOTAL CLASIFICADO MSAVI 2024</t>
        </is>
      </c>
      <c r="B15" s="45">
        <f>SUM(B10:B14)</f>
        <v/>
      </c>
      <c r="C15" s="46">
        <f>SUM(C10:C14)</f>
        <v/>
      </c>
      <c r="D15" s="44" t="inlineStr">
        <is>
          <t>Suma de la distribución areal · 123 polígonos</t>
        </is>
      </c>
      <c r="E15" s="44" t="inlineStr">
        <is>
          <t>—</t>
        </is>
      </c>
    </row>
    <row r="16" ht="30" customHeight="1">
      <c r="A16" s="47" t="inlineStr">
        <is>
          <t>Superficie SOBRE umbral 0.4976 (ha)</t>
        </is>
      </c>
      <c r="B16" s="48">
        <f>SUM(B10:B11)</f>
        <v/>
      </c>
      <c r="C16" s="49">
        <f>ROUND(B16/B15*100,2)</f>
        <v/>
      </c>
      <c r="D16" s="47" t="inlineStr">
        <is>
          <t>Vigor alto y moderado (DN 4 y DN 5)</t>
        </is>
      </c>
      <c r="E16" s="47" t="inlineStr">
        <is>
          <t>Sobre umbral 0.4976</t>
        </is>
      </c>
    </row>
    <row r="17" ht="30" customHeight="1">
      <c r="A17" s="47" t="inlineStr">
        <is>
          <t>Superficie BAJO umbral 0.4976 (ha) — brecha</t>
        </is>
      </c>
      <c r="B17" s="48">
        <f>SUM(B12:B14)</f>
        <v/>
      </c>
      <c r="C17" s="49">
        <f>ROUND(B17/B15*100,2)</f>
        <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42.45</v>
      </c>
      <c r="C18" s="50" t="inlineStr">
        <is>
          <t>—</t>
        </is>
      </c>
      <c r="D18" s="47" t="inlineStr">
        <is>
          <t>Desviación planimétrica frente al catálogo</t>
        </is>
      </c>
      <c r="E18" s="47" t="inlineStr">
        <is>
          <t>+0.00 %</t>
        </is>
      </c>
    </row>
    <row r="19">
      <c r="A19" s="16" t="inlineStr">
        <is>
          <t>MSAVI 2024 — MEDIA DEL BLOQUE</t>
        </is>
      </c>
      <c r="B19" s="17" t="n">
        <v>0.332263</v>
      </c>
      <c r="C19" s="17" t="inlineStr">
        <is>
          <t>—</t>
        </is>
      </c>
      <c r="D19" s="17" t="inlineStr">
        <is>
          <t>Vigor muy bajo · clase 0.2650 - 0.3813</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123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(0.3323) se conserva del catálogo maestro y es dato oficial; la fila resaltada indica la clase en la que cae dicha media. Los totales y porcentajes se calculan con fórmulas sobre las filas del cuadro.</t>
        </is>
      </c>
      <c r="B21" s="42" t="n"/>
      <c r="C21" s="42" t="n"/>
      <c r="D21" s="42" t="n"/>
      <c r="E21" s="43"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mediana</t>
        </is>
      </c>
      <c r="B25" s="18" t="n">
        <v>6.1053</v>
      </c>
      <c r="C25" s="19" t="n">
        <v>14.38</v>
      </c>
      <c r="D25" s="11" t="inlineStr">
        <is>
          <t>Pastizal cultivado, matorral ralo, parcelas agrícolas</t>
        </is>
      </c>
      <c r="E25" s="11" t="inlineStr"/>
    </row>
    <row r="26">
      <c r="A26" s="12" t="inlineStr">
        <is>
          <t>Vegetación ligera</t>
        </is>
      </c>
      <c r="B26" s="20" t="n">
        <v>34.7541</v>
      </c>
      <c r="C26" s="21" t="n">
        <v>81.83</v>
      </c>
      <c r="D26" s="13" t="inlineStr">
        <is>
          <t>Cobertura discontinua, suelo parcialmente expuesto</t>
        </is>
      </c>
      <c r="E26" s="13" t="inlineStr"/>
    </row>
    <row r="27">
      <c r="A27" s="7" t="inlineStr">
        <is>
          <t>Tierra desnuda</t>
        </is>
      </c>
      <c r="B27" s="18" t="n">
        <v>1.6125</v>
      </c>
      <c r="C27" s="19" t="n">
        <v>3.8</v>
      </c>
      <c r="D27" s="11" t="inlineStr">
        <is>
          <t>Suelo desnudo, afloramientos, plataformas y taludes</t>
        </is>
      </c>
      <c r="E27" s="11" t="inlineStr"/>
    </row>
    <row r="28">
      <c r="A28" s="16" t="inlineStr">
        <is>
          <t>TOTAL CLASIFICADO</t>
        </is>
      </c>
      <c r="B28" s="22">
        <f>SUM(B25:B27)</f>
        <v/>
      </c>
      <c r="C28" s="23">
        <f>SUM(C25:C27)</f>
        <v/>
      </c>
      <c r="D28" s="17" t="inlineStr"/>
      <c r="E28" s="17" t="inlineStr"/>
    </row>
    <row r="29">
      <c r="A29" s="24" t="inlineStr">
        <is>
          <t>Superficie de catálogo (V5/V6)</t>
        </is>
      </c>
      <c r="B29" s="25" t="n">
        <v>42.45</v>
      </c>
      <c r="C29" s="25" t="inlineStr">
        <is>
          <t>—</t>
        </is>
      </c>
      <c r="D29" s="25" t="inlineStr">
        <is>
          <t>Desviación planimétrica frente al catálogo</t>
        </is>
      </c>
      <c r="E29" s="25" t="inlineStr">
        <is>
          <t>+0.05 %</t>
        </is>
      </c>
    </row>
    <row r="31" ht="72"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1" s="42" t="n"/>
      <c r="C31" s="42" t="n"/>
      <c r="D31" s="42" t="n"/>
      <c r="E31" s="43" t="n"/>
    </row>
  </sheetData>
  <mergeCells count="10">
    <mergeCell ref="A21:E21"/>
    <mergeCell ref="A4:E4"/>
    <mergeCell ref="A2:E2"/>
    <mergeCell ref="A5:E5"/>
    <mergeCell ref="A1:E1"/>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M17B1</t>
        </is>
      </c>
    </row>
    <row r="6" ht="24" customHeight="1">
      <c r="A6" s="4" t="inlineStr">
        <is>
          <t>Levantamiento del 2026-07-02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600020</v>
      </c>
      <c r="D10" s="26" t="n">
        <v>9440272</v>
      </c>
      <c r="E10" s="11" t="n">
        <v>645.2</v>
      </c>
      <c r="F10" s="11" t="inlineStr"/>
      <c r="G10" s="11" t="inlineStr">
        <is>
          <t>Coordenada consignada en F-DT-01</t>
        </is>
      </c>
    </row>
    <row r="11">
      <c r="A11" s="12" t="inlineStr">
        <is>
          <t>P-01</t>
        </is>
      </c>
      <c r="B11" s="13" t="inlineStr">
        <is>
          <t>Estación fotográfica</t>
        </is>
      </c>
      <c r="C11" s="27" t="n">
        <v>600020</v>
      </c>
      <c r="D11" s="27" t="n">
        <v>9440272</v>
      </c>
      <c r="E11" s="13" t="n">
        <v>645.2</v>
      </c>
      <c r="F11" s="13" t="inlineStr"/>
      <c r="G11" s="13" t="inlineStr">
        <is>
          <t>Registro fotográfico georreferenciado</t>
        </is>
      </c>
    </row>
    <row r="12">
      <c r="A12" s="7" t="inlineStr">
        <is>
          <t>P-caída de rocas</t>
        </is>
      </c>
      <c r="B12" s="11" t="inlineStr">
        <is>
          <t>Estación fotográfica</t>
        </is>
      </c>
      <c r="C12" s="26" t="n">
        <v>600587</v>
      </c>
      <c r="D12" s="26" t="n">
        <v>9440722</v>
      </c>
      <c r="E12" s="11" t="n">
        <v>291.6</v>
      </c>
      <c r="F12" s="11" t="inlineStr"/>
      <c r="G12" s="11" t="inlineStr">
        <is>
          <t>Registro fotográfico georreferenciado</t>
        </is>
      </c>
    </row>
    <row r="13">
      <c r="A13" s="12" t="inlineStr">
        <is>
          <t>P-surcos</t>
        </is>
      </c>
      <c r="B13" s="13" t="inlineStr">
        <is>
          <t>Estación fotográfica</t>
        </is>
      </c>
      <c r="C13" s="27" t="n">
        <v>600547</v>
      </c>
      <c r="D13" s="27" t="n">
        <v>9440698</v>
      </c>
      <c r="E13" s="13" t="n">
        <v>279.4</v>
      </c>
      <c r="F13" s="13" t="inlineStr"/>
      <c r="G13" s="13" t="inlineStr">
        <is>
          <t>Registro fotográfico georreferenciado</t>
        </is>
      </c>
    </row>
    <row r="14">
      <c r="A14" s="7" t="inlineStr">
        <is>
          <t>P-laminar</t>
        </is>
      </c>
      <c r="B14" s="11" t="inlineStr">
        <is>
          <t>Estación fotográfica</t>
        </is>
      </c>
      <c r="C14" s="26" t="n">
        <v>600601</v>
      </c>
      <c r="D14" s="26" t="n">
        <v>9440729</v>
      </c>
      <c r="E14" s="11" t="n">
        <v>296.1</v>
      </c>
      <c r="F14" s="11" t="inlineStr"/>
      <c r="G14" s="11" t="inlineStr">
        <is>
          <t>Registro fotográfico georreferenciado</t>
        </is>
      </c>
    </row>
    <row r="15">
      <c r="A15" s="12" t="inlineStr">
        <is>
          <t>P-final</t>
        </is>
      </c>
      <c r="B15" s="13" t="inlineStr">
        <is>
          <t>Estación fotográfica</t>
        </is>
      </c>
      <c r="C15" s="27" t="n">
        <v>601042</v>
      </c>
      <c r="D15" s="27" t="n">
        <v>9440961</v>
      </c>
      <c r="E15" s="13" t="n">
        <v>658.8</v>
      </c>
      <c r="F15" s="13" t="inlineStr"/>
      <c r="G15" s="13" t="inlineStr">
        <is>
          <t>Registro fotográfico georreferenciado</t>
        </is>
      </c>
    </row>
    <row r="16">
      <c r="A16" s="7" t="inlineStr">
        <is>
          <t>H-01</t>
        </is>
      </c>
      <c r="B16" s="11" t="inlineStr">
        <is>
          <t>Fuente de agua — Río</t>
        </is>
      </c>
      <c r="C16" s="26" t="inlineStr">
        <is>
          <t>Por verificar</t>
        </is>
      </c>
      <c r="D16" s="26" t="inlineStr">
        <is>
          <t>Por verificar</t>
        </is>
      </c>
      <c r="E16" s="11" t="inlineStr"/>
      <c r="F16" s="11" t="inlineStr">
        <is>
          <t>Permanente</t>
        </is>
      </c>
      <c r="G16" s="11" t="inlineStr">
        <is>
          <t>Río Piura. Cauce ancho</t>
        </is>
      </c>
    </row>
    <row r="17">
      <c r="A17" s="12" t="inlineStr">
        <is>
          <t>H-02</t>
        </is>
      </c>
      <c r="B17" s="13" t="inlineStr">
        <is>
          <t>Fuente de agua — Quebrada estacional</t>
        </is>
      </c>
      <c r="C17" s="27" t="inlineStr">
        <is>
          <t>Por verificar</t>
        </is>
      </c>
      <c r="D17" s="27" t="inlineStr">
        <is>
          <t>Por verificar</t>
        </is>
      </c>
      <c r="E17" s="13" t="inlineStr"/>
      <c r="F17" s="13" t="inlineStr">
        <is>
          <t>Efímero</t>
        </is>
      </c>
      <c r="G17" s="13" t="inlineStr">
        <is>
          <t>Cauces efímeros de bajo orden</t>
        </is>
      </c>
    </row>
    <row r="18">
      <c r="A18" s="16" t="inlineStr">
        <is>
          <t>TOTAL: 8 puntos</t>
        </is>
      </c>
      <c r="B18" s="17" t="inlineStr"/>
      <c r="C18" s="17" t="inlineStr"/>
      <c r="D18" s="17" t="inlineStr"/>
      <c r="E18" s="17" t="inlineStr"/>
      <c r="F18" s="17" t="inlineStr"/>
      <c r="G18" s="17" t="inlineStr"/>
    </row>
    <row r="20">
      <c r="A20" s="6" t="inlineStr">
        <is>
          <t>Centroide del bloque — UTM ESTE (m)</t>
        </is>
      </c>
      <c r="B20" s="7" t="n">
        <v>600644</v>
      </c>
      <c r="C20" s="6" t="inlineStr">
        <is>
          <t>Centroide del bloque — UTM NORTE (m)</t>
        </is>
      </c>
      <c r="D20" s="7" t="n">
        <v>9440436</v>
      </c>
      <c r="E20" s="8" t="n"/>
      <c r="F20" s="8" t="n"/>
      <c r="G20" s="8" t="n"/>
      <c r="H20" s="8" t="n"/>
    </row>
    <row r="21">
      <c r="A21" s="6" t="inlineStr">
        <is>
          <t>N.° de estaciones fotográficas declaradas</t>
        </is>
      </c>
      <c r="B21" s="7" t="n">
        <v>12</v>
      </c>
      <c r="C21" s="6" t="inlineStr">
        <is>
          <t>Estaciones dentro del polígono</t>
        </is>
      </c>
      <c r="D21" s="7" t="inlineStr">
        <is>
          <t>Por determinar (faja vial)</t>
        </is>
      </c>
      <c r="E21" s="8" t="n"/>
      <c r="F21" s="8" t="n"/>
      <c r="G21" s="8" t="n"/>
      <c r="H21" s="8" t="n"/>
    </row>
    <row r="23" ht="180" customHeight="1">
      <c r="A23"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ALCANCE DEL LEVANTAMIENTO: verificación del 02/07/2026. SE RECORRIÓ LA FAJA DE LA TROCHA CARROZABLE (APROX. 25% DEL BLOQUE); EL INTERIOR NO FUE RECORRIDO A PIE. 12 puntos GPS y 12 registros fotográficos (Garmin 66sr). Rango de los puntos: 600 020-601 042 E · 9 440 272-9 440 961 N. FISIOGRAFÍA: perfil sobre transecto de 622 m: desnivel +91.2 / −17.1 m; pendiente media 14.6% y máxima 34.5%; altitudes 184-259 msnm. VALORES VÁLIDOS PARA EL SECTOR BAJO; EL SECTOR ALTO NO FUE TRANSECTADO. INDICIOS DE REMOCIÓN EN MASA: LOS AFLORAMIENTOS Y ESCARPES REGISTRADOS SON DE ORIGEN ANTRÓPICO (cortes de talud de 2-3 m, localmente &gt;3 m, en material coluvial suelto con bolonería embebida). SE REGISTRÓ CAÍDA DE ROCAS ACTIVA: bolonería desprendida acumulada sobre la plataforma vial (600 587 · 9 440 722). DISCREPANCIA A RESOLVER: el catálogo maestro asigna 42.45 ha y centroide 600 644 · 9 440 436; LA FICHA DE CAMPO PREVIA CONSIGNABA 30.348 ha. Prevalece el valor del catálogo. PENDIENTE: brigada/responsable, N.° de ficha, altitud GPS del punto de muestreo, comunidad campesina y tenencia predial.</t>
        </is>
      </c>
      <c r="B23" s="42" t="n"/>
      <c r="C23" s="42" t="n"/>
      <c r="D23" s="42" t="n"/>
      <c r="E23" s="42" t="n"/>
      <c r="F23" s="42" t="n"/>
      <c r="G23" s="43" t="n"/>
    </row>
  </sheetData>
  <mergeCells count="8">
    <mergeCell ref="A1:G1"/>
    <mergeCell ref="A8:G8"/>
    <mergeCell ref="A3:G3"/>
    <mergeCell ref="A6:G6"/>
    <mergeCell ref="A4:G4"/>
    <mergeCell ref="A2:G2"/>
    <mergeCell ref="A5:G5"/>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C1096-Q9556 — BLOQUE M17B1</t>
        </is>
      </c>
    </row>
    <row r="6" ht="24" customHeight="1">
      <c r="A6" s="4" t="inlineStr">
        <is>
          <t>Distrito de Chulucanas · Provincia de Morropon · Comparación de los bloques preliminares de intervención de la misma microcuenca</t>
        </is>
      </c>
    </row>
    <row r="8" ht="18" customHeight="1">
      <c r="A8" s="5" t="inlineStr">
        <is>
          <t>BLOQUES DE LA MICROCUENCA C1096-Q9556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M17B7</t>
        </is>
      </c>
      <c r="B10" s="28" t="n">
        <v>258.84</v>
      </c>
      <c r="C10" s="19" t="n">
        <v>29.57</v>
      </c>
      <c r="D10" s="11" t="inlineStr">
        <is>
          <t>553 – 1517</t>
        </is>
      </c>
      <c r="E10" s="11" t="n">
        <v>964</v>
      </c>
      <c r="F10" s="11" t="n">
        <v>29.82</v>
      </c>
      <c r="G10" s="18" t="n">
        <v>0.5087</v>
      </c>
      <c r="H10" s="19" t="n">
        <v>58.63</v>
      </c>
      <c r="I10" s="19" t="n">
        <v>48.4</v>
      </c>
    </row>
    <row r="11">
      <c r="A11" s="12" t="inlineStr">
        <is>
          <t>M17B4</t>
        </is>
      </c>
      <c r="B11" s="29" t="n">
        <v>124.71</v>
      </c>
      <c r="C11" s="21" t="n">
        <v>14.25</v>
      </c>
      <c r="D11" s="13" t="inlineStr">
        <is>
          <t>294 – 629</t>
        </is>
      </c>
      <c r="E11" s="13" t="n">
        <v>335</v>
      </c>
      <c r="F11" s="13" t="n">
        <v>18.69</v>
      </c>
      <c r="G11" s="20" t="n">
        <v>0.4235</v>
      </c>
      <c r="H11" s="21" t="n">
        <v>3.97</v>
      </c>
      <c r="I11" s="21" t="n">
        <v>91.94</v>
      </c>
    </row>
    <row r="12">
      <c r="A12" s="7" t="inlineStr">
        <is>
          <t>M17B6</t>
        </is>
      </c>
      <c r="B12" s="28" t="n">
        <v>106.54</v>
      </c>
      <c r="C12" s="19" t="n">
        <v>12.17</v>
      </c>
      <c r="D12" s="11" t="inlineStr">
        <is>
          <t>403 – 1049</t>
        </is>
      </c>
      <c r="E12" s="11" t="n">
        <v>646</v>
      </c>
      <c r="F12" s="11" t="n">
        <v>23.42</v>
      </c>
      <c r="G12" s="18" t="n">
        <v>0.4464</v>
      </c>
      <c r="H12" s="19" t="n">
        <v>18.53</v>
      </c>
      <c r="I12" s="19" t="n">
        <v>81.81999999999999</v>
      </c>
    </row>
    <row r="13">
      <c r="A13" s="12" t="inlineStr">
        <is>
          <t>22</t>
        </is>
      </c>
      <c r="B13" s="29" t="n">
        <v>79.33</v>
      </c>
      <c r="C13" s="21" t="n">
        <v>9.06</v>
      </c>
      <c r="D13" s="13" t="inlineStr">
        <is>
          <t>235 – 596</t>
        </is>
      </c>
      <c r="E13" s="13" t="n">
        <v>361</v>
      </c>
      <c r="F13" s="13" t="n">
        <v>22.51</v>
      </c>
      <c r="G13" s="20" t="n">
        <v>0.4232</v>
      </c>
      <c r="H13" s="21" t="n">
        <v>0.32</v>
      </c>
      <c r="I13" s="21" t="n">
        <v>93.29000000000001</v>
      </c>
    </row>
    <row r="14">
      <c r="A14" s="7" t="inlineStr">
        <is>
          <t>27</t>
        </is>
      </c>
      <c r="B14" s="28" t="n">
        <v>78.15000000000001</v>
      </c>
      <c r="C14" s="19" t="n">
        <v>8.93</v>
      </c>
      <c r="D14" s="11" t="inlineStr">
        <is>
          <t>1518 – 1895</t>
        </is>
      </c>
      <c r="E14" s="11" t="n">
        <v>377</v>
      </c>
      <c r="F14" s="11" t="n">
        <v>30.25</v>
      </c>
      <c r="G14" s="18" t="n">
        <v>0.5323</v>
      </c>
      <c r="H14" s="19" t="n">
        <v>64.75</v>
      </c>
      <c r="I14" s="19" t="n">
        <v>37.5</v>
      </c>
    </row>
    <row r="15">
      <c r="A15" s="12" t="inlineStr">
        <is>
          <t>M17B10</t>
        </is>
      </c>
      <c r="B15" s="29" t="n">
        <v>75.36</v>
      </c>
      <c r="C15" s="21" t="n">
        <v>8.609999999999999</v>
      </c>
      <c r="D15" s="13" t="inlineStr">
        <is>
          <t>466 – 902</t>
        </is>
      </c>
      <c r="E15" s="13" t="n">
        <v>436</v>
      </c>
      <c r="F15" s="13" t="n">
        <v>25.94</v>
      </c>
      <c r="G15" s="20" t="n">
        <v>0.4725</v>
      </c>
      <c r="H15" s="21" t="n">
        <v>29.2</v>
      </c>
      <c r="I15" s="21" t="n">
        <v>73.33</v>
      </c>
    </row>
    <row r="16">
      <c r="A16" s="7" t="inlineStr">
        <is>
          <t>M17B5</t>
        </is>
      </c>
      <c r="B16" s="28" t="n">
        <v>74.03</v>
      </c>
      <c r="C16" s="19" t="n">
        <v>8.460000000000001</v>
      </c>
      <c r="D16" s="11" t="inlineStr">
        <is>
          <t>794 – 1317</t>
        </is>
      </c>
      <c r="E16" s="11" t="n">
        <v>523</v>
      </c>
      <c r="F16" s="11" t="n">
        <v>27.42</v>
      </c>
      <c r="G16" s="18" t="n">
        <v>0.5482</v>
      </c>
      <c r="H16" s="19" t="n">
        <v>61.34</v>
      </c>
      <c r="I16" s="19" t="n">
        <v>28.94</v>
      </c>
    </row>
    <row r="17">
      <c r="A17" s="14" t="inlineStr">
        <is>
          <t>► M17B1</t>
        </is>
      </c>
      <c r="B17" s="30" t="n">
        <v>42.45</v>
      </c>
      <c r="C17" s="31" t="n">
        <v>4.85</v>
      </c>
      <c r="D17" s="15" t="inlineStr">
        <is>
          <t>177 – 313</t>
        </is>
      </c>
      <c r="E17" s="15" t="n">
        <v>136</v>
      </c>
      <c r="F17" s="15" t="n">
        <v>14.73</v>
      </c>
      <c r="G17" s="32" t="n">
        <v>0.3323</v>
      </c>
      <c r="H17" s="31" t="n">
        <v>0</v>
      </c>
      <c r="I17" s="31" t="n">
        <v>99.84</v>
      </c>
    </row>
    <row r="18">
      <c r="A18" s="7" t="inlineStr">
        <is>
          <t>32</t>
        </is>
      </c>
      <c r="B18" s="28" t="n">
        <v>35.83</v>
      </c>
      <c r="C18" s="19" t="n">
        <v>4.09</v>
      </c>
      <c r="D18" s="11" t="inlineStr">
        <is>
          <t>197 – 269</t>
        </is>
      </c>
      <c r="E18" s="11" t="n">
        <v>72</v>
      </c>
      <c r="F18" s="11" t="n">
        <v>12.87</v>
      </c>
      <c r="G18" s="18" t="n">
        <v>0.3716</v>
      </c>
      <c r="H18" s="19" t="inlineStr">
        <is>
          <t>Por determinar</t>
        </is>
      </c>
      <c r="I18" s="11" t="inlineStr">
        <is>
          <t>s/d</t>
        </is>
      </c>
    </row>
    <row r="19">
      <c r="A19" s="16" t="inlineStr">
        <is>
          <t>TOTAL / PROMEDIO</t>
        </is>
      </c>
      <c r="B19" s="33">
        <f>SUM(B10:B18)</f>
        <v/>
      </c>
      <c r="C19" s="23">
        <f>SUM(C10:C18)</f>
        <v/>
      </c>
      <c r="D19" s="17" t="inlineStr">
        <is>
          <t>177 – 1895</t>
        </is>
      </c>
      <c r="E19" s="17" t="inlineStr"/>
      <c r="F19" s="17">
        <f>ROUND(AVERAGE(F10:F18),2)</f>
        <v/>
      </c>
      <c r="G19" s="22">
        <f>ROUND(AVERAGE(G10:G18),4)</f>
        <v/>
      </c>
      <c r="H19" s="23">
        <f>ROUND(AVERAGE(H10:H18),2)</f>
        <v/>
      </c>
      <c r="I19" s="23">
        <f>ROUND(AVERAGE(I10:I18),2)</f>
        <v/>
      </c>
    </row>
    <row r="20" ht="48" customHeight="1">
      <c r="A20" s="9" t="inlineStr">
        <is>
          <t>ALCANCE DE LOS PROMEDIOS. La fila TOTAL / PROMEDIO omite las celdas «Por determinar»: el promedio de VEGETACIÓN ALTA (NDVI 2025) se calcula sobre 8 de los 9 bloques; el bloque restante carece de estadística zonal de NDVI. Los totales de ÁREA y % de microcuenca sí comprenden la totalidad de los 9 bloques. No se estima ningún valor ausente.</t>
        </is>
      </c>
      <c r="B20" s="42" t="n"/>
      <c r="C20" s="42" t="n"/>
      <c r="D20" s="42" t="n"/>
      <c r="E20" s="42" t="n"/>
      <c r="F20" s="42" t="n"/>
      <c r="G20" s="42" t="n"/>
      <c r="H20" s="42" t="n"/>
      <c r="I20" s="43" t="n"/>
    </row>
    <row r="22" ht="84" customHeight="1">
      <c r="A22" s="9" t="inlineStr">
        <is>
          <t>LECTURA INTRAMICROCUENCA. El bloque M17B1 ocupa el puesto 8 de 9 por superficie dentro de la microcuenca C1096-Q9556 (4.85 % de las 875.24 ha preliminares de la microcuenca). Su pendiente promedio (14.73 %, clase «8-15% (Mod. inclinado)») es la 2.ª más baja de 9 y se sitúa por debajo del promedio de la microcuenca (22.85 %). Su MSAVI 2024 (0.3323) es el 9.º de 9 y queda por debajo del promedio local (0.4510). Amplitud altitudinal del bloque: 136 m (177–313 msnm). El cuadro conserva todos los bloques catalogados en la microcuenca, incluidos los descartados en el tamizaje, para referencia del conjunto. Los bloques sin ficha DT figuran con sus parámetros de gabinete. BRECHA ESPECTRAL. El 99.84 % de la superficie del bloque (42.379 ha de 42.449 ha) se sitúa bajo el umbral MSAVI 0.4976, por encima del promedio local de la microcuenca (69.38 %) calculado sobre los bloques con dato MSAVI disponible.</t>
        </is>
      </c>
      <c r="B22" s="42" t="n"/>
      <c r="C22" s="42" t="n"/>
      <c r="D22" s="42" t="n"/>
      <c r="E22" s="42" t="n"/>
      <c r="F22" s="42" t="n"/>
      <c r="G22" s="42" t="n"/>
      <c r="H22" s="42" t="n"/>
      <c r="I22" s="43" t="n"/>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2" t="n"/>
      <c r="C24" s="42" t="n"/>
      <c r="D24" s="42" t="n"/>
      <c r="E24" s="42" t="n"/>
      <c r="F24" s="42" t="n"/>
      <c r="G24" s="42" t="n"/>
      <c r="H24" s="42" t="n"/>
      <c r="I24" s="43" t="n"/>
    </row>
  </sheetData>
  <mergeCells count="10">
    <mergeCell ref="A2:I2"/>
    <mergeCell ref="A5:I5"/>
    <mergeCell ref="A1:I1"/>
    <mergeCell ref="A8:I8"/>
    <mergeCell ref="A3:I3"/>
    <mergeCell ref="A6:I6"/>
    <mergeCell ref="A22:I22"/>
    <mergeCell ref="A4:I4"/>
    <mergeCell ref="A20:I20"/>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CONTROL DE CONSISTENCIA — BLOQUE M17B1</t>
        </is>
      </c>
    </row>
    <row r="6">
      <c r="A6" s="53" t="inlineStr">
        <is>
          <t>Cruce de la ficha de campo F-DT vigente con la ficha de resumen de gabinete y el catálogo maestro. Integración 2026-09-11 20:22:35.</t>
        </is>
      </c>
    </row>
    <row r="7">
      <c r="A7" s="55" t="inlineStr">
        <is>
          <t>DISCREPANCIAS Y VERIFICACIONES</t>
        </is>
      </c>
    </row>
    <row r="8">
      <c r="A8" s="56" t="inlineStr">
        <is>
          <t>Cod.</t>
        </is>
      </c>
      <c r="B8" s="56" t="inlineStr">
        <is>
          <t>Campo afectado</t>
        </is>
      </c>
      <c r="C8" s="56" t="inlineStr">
        <is>
          <t>Discrepancia observada</t>
        </is>
      </c>
      <c r="D8" s="56" t="inlineStr">
        <is>
          <t>Calificación</t>
        </is>
      </c>
      <c r="E8" s="56" t="inlineStr">
        <is>
          <t>Tratamiento adoptado</t>
        </is>
      </c>
    </row>
    <row r="9">
      <c r="A9" s="57" t="inlineStr">
        <is>
          <t>G-01</t>
        </is>
      </c>
      <c r="B9" s="57" t="inlineStr">
        <is>
          <t>Código de microcuenca</t>
        </is>
      </c>
      <c r="C9" s="57" t="inlineStr">
        <is>
          <t>Ficha DT y catálogo maestro coinciden en «C1096-Q9556».</t>
        </is>
      </c>
      <c r="D9" s="57" t="inlineStr">
        <is>
          <t>CONFORME</t>
        </is>
      </c>
      <c r="E9" s="57" t="inlineStr">
        <is>
          <t>Sin acción.</t>
        </is>
      </c>
    </row>
    <row r="10">
      <c r="A10" s="58" t="inlineStr">
        <is>
          <t>G-02</t>
        </is>
      </c>
      <c r="B10" s="58" t="inlineStr">
        <is>
          <t>UTM del punto de muestreo</t>
        </is>
      </c>
      <c r="C10" s="58" t="inlineStr">
        <is>
          <t>El punto de muestreo declarado dista 645.2 m del centroide, dentro del radio de control.</t>
        </is>
      </c>
      <c r="D10" s="58" t="inlineStr">
        <is>
          <t>CONFORME</t>
        </is>
      </c>
      <c r="E10" s="58" t="inlineStr">
        <is>
          <t>Sin acción.</t>
        </is>
      </c>
    </row>
    <row r="11">
      <c r="A11" s="57" t="inlineStr">
        <is>
          <t>G-03</t>
        </is>
      </c>
      <c r="B11" s="57" t="inlineStr">
        <is>
          <t>Sistema de referencia UTM 17S</t>
        </is>
      </c>
      <c r="C11" s="57" t="inlineStr">
        <is>
          <t>Verificación de rango para EPSG:32717: Conforme.</t>
        </is>
      </c>
      <c r="D11" s="57" t="inlineStr">
        <is>
          <t>CONFORME</t>
        </is>
      </c>
      <c r="E11" s="57" t="inlineStr">
        <is>
          <t>Sin acción.</t>
        </is>
      </c>
    </row>
    <row r="12">
      <c r="A12" s="58" t="inlineStr">
        <is>
          <t>G-04</t>
        </is>
      </c>
      <c r="B12" s="58" t="inlineStr">
        <is>
          <t>Altitud del punto de muestreo</t>
        </is>
      </c>
      <c r="C12" s="58" t="inlineStr">
        <is>
          <t>No es posible contrastar la altitud GPS con el rango altitudinal del bloque: falta uno de los dos datos.</t>
        </is>
      </c>
      <c r="D12" s="58" t="inlineStr">
        <is>
          <t>NO SUSTANTIVA</t>
        </is>
      </c>
      <c r="E12" s="58" t="inlineStr">
        <is>
          <t>Se completa con la lectura GPS de F-DT-01 o con la estadística zonal del MDE.</t>
        </is>
      </c>
    </row>
    <row r="13">
      <c r="A13" s="57" t="inlineStr">
        <is>
          <t>G-05</t>
        </is>
      </c>
      <c r="B13" s="57" t="inlineStr">
        <is>
          <t>Superficie NDVI vs. catálogo</t>
        </is>
      </c>
      <c r="C13" s="57" t="inlineStr">
        <is>
          <t>La superficie clasificada por el NDVI mediana 2025 (42.472 ha) se desvía 0.05 % de la superficie de catálogo (42.45 ha).</t>
        </is>
      </c>
      <c r="D13" s="57" t="inlineStr">
        <is>
          <t>CONFORME</t>
        </is>
      </c>
      <c r="E13" s="57" t="inlineStr">
        <is>
          <t>Sin acción: la segmentación valida la geometría del bloque.</t>
        </is>
      </c>
    </row>
    <row r="14">
      <c r="A14" s="58" t="inlineStr">
        <is>
          <t>G-06</t>
        </is>
      </c>
      <c r="B14" s="58" t="inlineStr">
        <is>
          <t>Superficie MSAVI vs. catálogo</t>
        </is>
      </c>
      <c r="C14" s="58" t="inlineStr">
        <is>
          <t>La superficie clasificada por el MSAVI 2024 (42.449 ha) se desvía -0.00 % de la superficie de catálogo (42.45 ha).</t>
        </is>
      </c>
      <c r="D14" s="58" t="inlineStr">
        <is>
          <t>CONFORME</t>
        </is>
      </c>
      <c r="E14" s="58" t="inlineStr">
        <is>
          <t>Sin acción: la segmentación valida la geometría del bloque.</t>
        </is>
      </c>
    </row>
    <row r="15">
      <c r="A15" s="57" t="inlineStr">
        <is>
          <t>G-07</t>
        </is>
      </c>
      <c r="B15" s="57" t="inlineStr">
        <is>
          <t>Brecha espectral MSAVI</t>
        </is>
      </c>
      <c r="C15" s="57" t="inlineStr">
        <is>
          <t>El 99.84 % del bloque queda bajo el umbral 0.4976; superficie de brecha 42.38 ha.</t>
        </is>
      </c>
      <c r="D15" s="57" t="inlineStr">
        <is>
          <t>CONFORME</t>
        </is>
      </c>
      <c r="E15" s="57" t="inlineStr">
        <is>
          <t>Sin acción: alimenta el indicador de brecha del proyecto.</t>
        </is>
      </c>
    </row>
    <row r="16">
      <c r="A16" s="58" t="inlineStr">
        <is>
          <t>G-08</t>
        </is>
      </c>
      <c r="B16" s="58" t="inlineStr">
        <is>
          <t>Distribución areal MSAVI 2024</t>
        </is>
      </c>
      <c r="C16" s="58" t="inlineStr">
        <is>
          <t>La hoja de cobertura declara 5 clases DN con superficie, 42.45 ha clasificadas en total.</t>
        </is>
      </c>
      <c r="D16" s="58" t="inlineStr">
        <is>
          <t>CONFORME</t>
        </is>
      </c>
      <c r="E16" s="58" t="inlineStr">
        <is>
          <t>Sin acción: procede de la estadística zonal del raster MSAVI 2024 clasificado.</t>
        </is>
      </c>
    </row>
    <row r="17">
      <c r="A17" s="57" t="inlineStr">
        <is>
          <t>G-09</t>
        </is>
      </c>
      <c r="B17" s="57" t="inlineStr">
        <is>
          <t>Media MSAVI vs. clase DN dominante</t>
        </is>
      </c>
      <c r="C17" s="57" t="inlineStr">
        <is>
          <t>La media del bloque (0.3323) cae en la clase «0.2650 - 0.3813 (Vigor muy bajo)» y la clase DN dominante por superficie es «DN 2 · 0.2650 - 0.3813 (Vigor muy bajo)».</t>
        </is>
      </c>
      <c r="D17" s="57" t="inlineStr">
        <is>
          <t>CONFORME</t>
        </is>
      </c>
      <c r="E17" s="57" t="inlineStr">
        <is>
          <t>Sin acción: media y clase dominante son coherentes.</t>
        </is>
      </c>
    </row>
    <row r="18">
      <c r="A18" s="58" t="inlineStr">
        <is>
          <t>G-10</t>
        </is>
      </c>
      <c r="B18" s="58" t="inlineStr">
        <is>
          <t>Peligro integrado (MCA-AHP)</t>
        </is>
      </c>
      <c r="C18" s="58" t="inlineStr">
        <is>
          <t>El nivel de peligro integrado no está disponible en los insumos de este entregable.</t>
        </is>
      </c>
      <c r="D18" s="58" t="inlineStr">
        <is>
          <t>SUSTANTIVA</t>
        </is>
      </c>
      <c r="E18" s="58" t="inlineStr">
        <is>
          <t>Debe tomarse del modelamiento de mesolocalización (MCA-AHP de PMM, EPH y PGI) antes de cerrar el perfil.</t>
        </is>
      </c>
    </row>
    <row r="19">
      <c r="A19" s="57" t="inlineStr">
        <is>
          <t>I-01</t>
        </is>
      </c>
      <c r="B19" s="57" t="inlineStr">
        <is>
          <t>Uso actual dominante del suelo</t>
        </is>
      </c>
      <c r="C19" s="57" t="inlineStr">
        <is>
          <t>El libro de resumen V6 consignaba «Forestal de protección (sujeto a la clasificación oficial de CUM)»; la ficha de campo vigente declara «Forestal protección».</t>
        </is>
      </c>
      <c r="D19" s="57" t="inlineStr">
        <is>
          <t>CORREGIDO</t>
        </is>
      </c>
      <c r="E19" s="57" t="inlineStr">
        <is>
          <t>Se adopta el valor de campo por ser la fuente que manda sobre el dato y la más reciente. El valor anterior queda declarado para trazabilidad.</t>
        </is>
      </c>
    </row>
    <row r="20">
      <c r="A20" s="58" t="inlineStr">
        <is>
          <t>F-01</t>
        </is>
      </c>
      <c r="B20" s="58" t="inlineStr">
        <is>
          <t>Fichas F-DT levantadas</t>
        </is>
      </c>
      <c r="C20" s="58" t="inlineStr">
        <is>
          <t>La plantilla de campo trae las cinco fichas F-DT-01 a F-DT-05 (completitud 89.3 % de los campos esperados).</t>
        </is>
      </c>
      <c r="D20" s="58" t="inlineStr">
        <is>
          <t>CONFORME</t>
        </is>
      </c>
      <c r="E20" s="58" t="inlineStr">
        <is>
          <t>Sin acción.</t>
        </is>
      </c>
    </row>
    <row r="21">
      <c r="A21" s="57" t="inlineStr">
        <is>
          <t>F-02</t>
        </is>
      </c>
      <c r="B21" s="57" t="inlineStr">
        <is>
          <t>Cobertura de la integración</t>
        </is>
      </c>
      <c r="C21" s="57" t="inlineStr">
        <is>
          <t>Se declararon 88 de 114 hechos integrados (77.2 %); 26 quedan sin dato en ninguna fuente.</t>
        </is>
      </c>
      <c r="D21" s="57" t="inlineStr">
        <is>
          <t>CONFORME</t>
        </is>
      </c>
      <c r="E21" s="57" t="inlineStr">
        <is>
          <t>Sin acción.</t>
        </is>
      </c>
    </row>
    <row r="22">
      <c r="A22" s="58" t="inlineStr">
        <is>
          <t>H-01</t>
        </is>
      </c>
      <c r="B22" s="58" t="inlineStr">
        <is>
          <t>Elenco florístico</t>
        </is>
      </c>
      <c r="C22" s="58" t="inlineStr">
        <is>
          <t>La ficha registra 6 taxones, por debajo del mínimo de 15 que exige el formato V5</t>
        </is>
      </c>
      <c r="D22" s="58" t="inlineStr">
        <is>
          <t>SUSTANTIVA</t>
        </is>
      </c>
      <c r="E22" s="58" t="inlineStr">
        <is>
          <t>Registro florístico preliminar, sin colecta ni determinación botánica formal. Debe cerrarse con colecta botánica en la siguiente campaña. (Verificación heredada de la ficha de resumen V6.)</t>
        </is>
      </c>
    </row>
    <row r="23">
      <c r="A23" s="57" t="inlineStr">
        <is>
          <t>H-02</t>
        </is>
      </c>
      <c r="B23" s="57" t="inlineStr">
        <is>
          <t>Centro poblado asociado</t>
        </is>
      </c>
      <c r="C23" s="57" t="inlineStr">
        <is>
          <t>La ficha DT declara «C.P. Papelillo»; el cruce INEI-Bloques V5 identifica 1 centro(s) poblado(s) en el bloque: PAPELILLO</t>
        </is>
      </c>
      <c r="D23" s="57" t="inlineStr">
        <is>
          <t>CONFORME</t>
        </is>
      </c>
      <c r="E23" s="57" t="inlineStr">
        <is>
          <t>Se conserva el registro de campo como referencia y se adopta el listado INEI para el diagnóstico social y el cálculo de población beneficiaria. (Verificación heredada de la ficha de resumen V6.)</t>
        </is>
      </c>
    </row>
    <row r="24">
      <c r="A24" s="58" t="inlineStr">
        <is>
          <t>H-03</t>
        </is>
      </c>
      <c r="B24" s="58" t="inlineStr">
        <is>
          <t>Plan de Ingreso</t>
        </is>
      </c>
      <c r="C24" s="58" t="inlineStr">
        <is>
          <t>Altitud = 0 msnm (captura por defecto del aplicativo)</t>
        </is>
      </c>
      <c r="D24" s="58" t="inlineStr">
        <is>
          <t>CORREGIDO</t>
        </is>
      </c>
      <c r="E24" s="58" t="inlineStr">
        <is>
          <t>Se reemplaza por el rango del transecto 184-259 msnm (Verificación heredada de la ficha de resumen V6.)</t>
        </is>
      </c>
    </row>
    <row r="25">
      <c r="A25" s="57" t="inlineStr">
        <is>
          <t>H-04</t>
        </is>
      </c>
      <c r="B25" s="57" t="inlineStr">
        <is>
          <t>F-DT-01</t>
        </is>
      </c>
      <c r="C25" s="57" t="inlineStr">
        <is>
          <t>DISCREPANCIA DE ÁREA: catálogo maestro 42.45 ha frente a 30.348 ha de la ficha de campo previa</t>
        </is>
      </c>
      <c r="D25" s="57" t="inlineStr">
        <is>
          <t>SUSTANTIVA</t>
        </is>
      </c>
      <c r="E25" s="57" t="inlineStr">
        <is>
          <t>Prevalece el catálogo; verificar el origen del dato de 30.348 ha antes de consolidar el entregable (Verificación heredada de la ficha de resumen V6.)</t>
        </is>
      </c>
    </row>
    <row r="26">
      <c r="A26" s="58" t="inlineStr">
        <is>
          <t>H-05</t>
        </is>
      </c>
      <c r="B26" s="58" t="inlineStr">
        <is>
          <t>F-DT-02</t>
        </is>
      </c>
      <c r="C26" s="58" t="inlineStr">
        <is>
          <t>Sellamiento/costra y raíces expuestas no evaluados; inventario de cárcavas deliberadamente en blanco</t>
        </is>
      </c>
      <c r="D26" s="58" t="inlineStr">
        <is>
          <t>NO SUSTANTIVA</t>
        </is>
      </c>
      <c r="E26" s="58" t="inlineStr">
        <is>
          <t>Declarado en la propia ficha (Verificación heredada de la ficha de resumen V6.)</t>
        </is>
      </c>
    </row>
    <row r="27">
      <c r="A27" s="57" t="inlineStr">
        <is>
          <t>H-06</t>
        </is>
      </c>
      <c r="B27" s="57" t="inlineStr">
        <is>
          <t>F-DT-03</t>
        </is>
      </c>
      <c r="C27" s="57" t="inlineStr">
        <is>
          <t>Listado florístico preliminar (6 taxones) con nombres científicos asignados por correspondencia con el nombre común</t>
        </is>
      </c>
      <c r="D27" s="57" t="inlineStr">
        <is>
          <t>SUSTANTIVA</t>
        </is>
      </c>
      <c r="E27" s="57" t="inlineStr">
        <is>
          <t>Requiere colecta botánica (Verificación heredada de la ficha de resumen V6.)</t>
        </is>
      </c>
    </row>
    <row r="28">
      <c r="A28" s="58" t="inlineStr">
        <is>
          <t>H-07</t>
        </is>
      </c>
      <c r="B28" s="58" t="inlineStr">
        <is>
          <t>F-DT-04</t>
        </is>
      </c>
      <c r="C28" s="58" t="inlineStr">
        <is>
          <t>6 de los 8 indicadores cuantitativos por verificar; celdas de presencia en blanco no equivalen a ausencia</t>
        </is>
      </c>
      <c r="D28" s="58" t="inlineStr">
        <is>
          <t>SUSTANTIVA</t>
        </is>
      </c>
      <c r="E28" s="58" t="inlineStr">
        <is>
          <t>Cuantificación pendiente (Verificación heredada de la ficha de resumen V6.)</t>
        </is>
      </c>
    </row>
    <row r="29">
      <c r="A29" s="57" t="inlineStr">
        <is>
          <t>H-08</t>
        </is>
      </c>
      <c r="B29" s="57" t="inlineStr">
        <is>
          <t>F-DT-05</t>
        </is>
      </c>
      <c r="C29" s="57" t="inlineStr">
        <is>
          <t>HALLAZGO CRÍTICO: obra vial en ejecución DENTRO del polígono (progresiva 1+020)</t>
        </is>
      </c>
      <c r="D29" s="57" t="inlineStr">
        <is>
          <t>SUSTANTIVA</t>
        </is>
      </c>
      <c r="E29" s="57" t="inlineStr">
        <is>
          <t>Verificar superposición con el derecho de vía, titularidad y compatibilidad ANTES de consolidar el bloque (Verificación heredada de la ficha de resumen V6.)</t>
        </is>
      </c>
    </row>
    <row r="31">
      <c r="A31" s="59" t="inlineStr">
        <is>
          <t>RESUMEN</t>
        </is>
      </c>
      <c r="B31" s="60" t="inlineStr">
        <is>
          <t>21 verificaciones</t>
        </is>
      </c>
      <c r="C31" s="60" t="inlineStr">
        <is>
          <t>SUSTANTIVA: 6 · NO SUSTANTIVA: 2 · CORREGIDO: 2 · CONFORME: 11</t>
        </is>
      </c>
    </row>
    <row r="33">
      <c r="A33" s="61"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33:E33"/>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INTEGRACIÓN DE LA FICHA DE CAMPO — BLOQUE M17B1</t>
        </is>
      </c>
    </row>
    <row r="7">
      <c r="A7" s="55" t="inlineStr">
        <is>
          <t>A. HECHOS ACTUALIZADOS POR LA VERIFICACIÓN DE CAMPO</t>
        </is>
      </c>
    </row>
    <row r="8">
      <c r="A8" s="56" t="inlineStr">
        <is>
          <t>Sección</t>
        </is>
      </c>
      <c r="B8" s="56" t="inlineStr">
        <is>
          <t>Hecho</t>
        </is>
      </c>
      <c r="C8" s="56" t="inlineStr">
        <is>
          <t>Valor en la ficha V6</t>
        </is>
      </c>
      <c r="D8" s="56" t="inlineStr">
        <is>
          <t>Valor de campo vigente</t>
        </is>
      </c>
      <c r="E8" s="56" t="inlineStr">
        <is>
          <t>Fuente que manda</t>
        </is>
      </c>
    </row>
    <row r="9">
      <c r="A9" s="57" t="inlineStr">
        <is>
          <t>5. Ecosistema, cobertura y flora (F-DT-03)</t>
        </is>
      </c>
      <c r="B9" s="57" t="inlineStr">
        <is>
          <t>Uso actual dominante del suelo</t>
        </is>
      </c>
      <c r="C9" s="57" t="inlineStr">
        <is>
          <t>Forestal de protección (sujeto a la clasificación oficial de CUM)</t>
        </is>
      </c>
      <c r="D9" s="57" t="inlineStr">
        <is>
          <t>Forestal protección</t>
        </is>
      </c>
      <c r="E9" s="57" t="inlineStr">
        <is>
          <t>Dato de campo</t>
        </is>
      </c>
    </row>
    <row r="11">
      <c r="A11" s="55" t="inlineStr">
        <is>
          <t>B. HECHOS APORTADOS ÚNICAMENTE POR LA FICHA DE CAMPO</t>
        </is>
      </c>
    </row>
    <row r="12">
      <c r="A12" s="56" t="inlineStr">
        <is>
          <t>Sección</t>
        </is>
      </c>
      <c r="B12" s="56" t="inlineStr">
        <is>
          <t>Hecho</t>
        </is>
      </c>
      <c r="C12" s="56" t="inlineStr">
        <is>
          <t>Valor</t>
        </is>
      </c>
      <c r="D12" s="56" t="inlineStr">
        <is>
          <t>Unidad</t>
        </is>
      </c>
    </row>
    <row r="13">
      <c r="A13" s="57" t="inlineStr">
        <is>
          <t>1. Identificación y localización</t>
        </is>
      </c>
      <c r="B13" s="57" t="inlineStr">
        <is>
          <t>UTM ESTE del punto de muestreo (m)</t>
        </is>
      </c>
      <c r="C13" s="57" t="inlineStr">
        <is>
          <t>600020</t>
        </is>
      </c>
      <c r="D13" s="57" t="inlineStr">
        <is>
          <t>m</t>
        </is>
      </c>
    </row>
    <row r="14">
      <c r="A14" s="58" t="inlineStr">
        <is>
          <t>1. Identificación y localización</t>
        </is>
      </c>
      <c r="B14" s="58" t="inlineStr">
        <is>
          <t>UTM NORTE del punto de muestreo (m)</t>
        </is>
      </c>
      <c r="C14" s="58" t="inlineStr">
        <is>
          <t>9440272</t>
        </is>
      </c>
      <c r="D14" s="58" t="inlineStr">
        <is>
          <t>m</t>
        </is>
      </c>
    </row>
    <row r="15">
      <c r="A15" s="57" t="inlineStr">
        <is>
          <t>2. Parámetros físicos del terreno</t>
        </is>
      </c>
      <c r="B15" s="57" t="inlineStr">
        <is>
          <t>Piso altitudinal del punto de muestreo</t>
        </is>
      </c>
      <c r="C15" s="57" t="inlineStr">
        <is>
          <t>&lt;1000 m (Yunga)</t>
        </is>
      </c>
      <c r="D15" s="57" t="inlineStr"/>
    </row>
    <row r="16">
      <c r="A16" s="58" t="inlineStr">
        <is>
          <t>2. Parámetros físicos del terreno</t>
        </is>
      </c>
      <c r="B16" s="58" t="inlineStr">
        <is>
          <t>Paisaje dominante descrito en campo</t>
        </is>
      </c>
      <c r="C16" s="58" t="inlineStr">
        <is>
          <t>Colinas bajas de bosque estacionalmente seco sobre la margen derecha del rio Piura, sector C.P. Papelillo. Dosel arbustivo continuo con arboles dispersos de faique, algarrobo y sapote, y cactaceas columnares emergentes. Una trocha carrozable en ejecucion atraviesa el sector bajo del bloque de suroeste a noreste, generando cortes de talud recientes sin tratamiento. Acceso desde la carretera Chulucanas - Frias. Bloque M8B5 adyacente hacia el sureste.</t>
        </is>
      </c>
      <c r="D16" s="58" t="inlineStr"/>
    </row>
    <row r="17">
      <c r="A17" s="57" t="inlineStr">
        <is>
          <t>2. Parámetros físicos del terreno</t>
        </is>
      </c>
      <c r="B17" s="57" t="inlineStr">
        <is>
          <t>Reptación de suelo</t>
        </is>
      </c>
      <c r="C17" s="57" t="inlineStr">
        <is>
          <t>No</t>
        </is>
      </c>
      <c r="D17" s="57" t="inlineStr"/>
    </row>
    <row r="18">
      <c r="A18" s="58" t="inlineStr">
        <is>
          <t>2. Parámetros físicos del terreno</t>
        </is>
      </c>
      <c r="B18" s="58" t="inlineStr">
        <is>
          <t>Deslizamientos antiguos</t>
        </is>
      </c>
      <c r="C18" s="58" t="inlineStr">
        <is>
          <t>No</t>
        </is>
      </c>
      <c r="D18" s="58" t="inlineStr"/>
    </row>
    <row r="19">
      <c r="A19" s="57" t="inlineStr">
        <is>
          <t>4. Suelos y erosión (F-DT-02)</t>
        </is>
      </c>
      <c r="B19" s="57" t="inlineStr">
        <is>
          <t>Nivel de erosión - síntesis de campo</t>
        </is>
      </c>
      <c r="C19" s="57" t="inlineStr">
        <is>
          <t>Moderada (surcos)</t>
        </is>
      </c>
      <c r="D19" s="57" t="inlineStr"/>
    </row>
    <row r="20">
      <c r="A20" s="58" t="inlineStr">
        <is>
          <t>4. Suelos y erosión (F-DT-02)</t>
        </is>
      </c>
      <c r="B20" s="58" t="inlineStr">
        <is>
          <t>Compactación por pisoteo</t>
        </is>
      </c>
      <c r="C20" s="58" t="inlineStr">
        <is>
          <t>No</t>
        </is>
      </c>
      <c r="D20" s="58" t="inlineStr"/>
    </row>
    <row r="21">
      <c r="A21" s="57" t="inlineStr">
        <is>
          <t>4. Suelos y erosión (F-DT-02)</t>
        </is>
      </c>
      <c r="B21" s="57" t="inlineStr">
        <is>
          <t>Longitud total de cárcavas (m)</t>
        </is>
      </c>
      <c r="C21" s="57" t="inlineStr">
        <is>
          <t>0</t>
        </is>
      </c>
      <c r="D21" s="57" t="inlineStr">
        <is>
          <t>m</t>
        </is>
      </c>
    </row>
    <row r="22">
      <c r="A22" s="58" t="inlineStr">
        <is>
          <t>4. Suelos y erosión (F-DT-02)</t>
        </is>
      </c>
      <c r="B22" s="58" t="inlineStr">
        <is>
          <t>% del bloque afectado por cárcavas</t>
        </is>
      </c>
      <c r="C22" s="58" t="inlineStr">
        <is>
          <t>0</t>
        </is>
      </c>
      <c r="D22" s="58" t="inlineStr">
        <is>
          <t>%</t>
        </is>
      </c>
    </row>
    <row r="23">
      <c r="A23" s="57" t="inlineStr">
        <is>
          <t>4. Suelos y erosión (F-DT-02)</t>
        </is>
      </c>
      <c r="B23" s="57" t="inlineStr">
        <is>
          <t>Socavamiento de cauce</t>
        </is>
      </c>
      <c r="C23" s="57" t="inlineStr">
        <is>
          <t>No</t>
        </is>
      </c>
      <c r="D23" s="57" t="inlineStr"/>
    </row>
    <row r="24">
      <c r="A24" s="58" t="inlineStr">
        <is>
          <t>5. Ecosistema, cobertura y flora (F-DT-03)</t>
        </is>
      </c>
      <c r="B24" s="58" t="inlineStr">
        <is>
          <t>Altura del estrato dominante (m)</t>
        </is>
      </c>
      <c r="C24" s="58" t="inlineStr">
        <is>
          <t>3 - 7</t>
        </is>
      </c>
      <c r="D24" s="58" t="inlineStr">
        <is>
          <t>m</t>
        </is>
      </c>
    </row>
    <row r="25">
      <c r="A25" s="57" t="inlineStr">
        <is>
          <t>5. Ecosistema, cobertura y flora (F-DT-03)</t>
        </is>
      </c>
      <c r="B25" s="57" t="inlineStr">
        <is>
          <t>Fenología dominante</t>
        </is>
      </c>
      <c r="C25" s="57" t="inlineStr">
        <is>
          <t>Latencia / Estrés hídrico</t>
        </is>
      </c>
      <c r="D25" s="57" t="inlineStr"/>
    </row>
    <row r="26">
      <c r="A26" s="58" t="inlineStr">
        <is>
          <t>5. Ecosistema, cobertura y flora (F-DT-03)</t>
        </is>
      </c>
      <c r="B26" s="58" t="inlineStr">
        <is>
          <t>Dimensiones de la parcela (m)</t>
        </is>
      </c>
      <c r="C26" s="58" t="inlineStr">
        <is>
          <t>No aplica</t>
        </is>
      </c>
      <c r="D26" s="58" t="inlineStr"/>
    </row>
    <row r="27">
      <c r="A27" s="57" t="inlineStr">
        <is>
          <t>5. Ecosistema, cobertura y flora (F-DT-03)</t>
        </is>
      </c>
      <c r="B27" s="57" t="inlineStr">
        <is>
          <t>Pendiente de la parcela (%)</t>
        </is>
      </c>
      <c r="C27" s="57" t="inlineStr">
        <is>
          <t>14.6</t>
        </is>
      </c>
      <c r="D27" s="57" t="inlineStr">
        <is>
          <t>%</t>
        </is>
      </c>
    </row>
    <row r="28">
      <c r="A28" s="58" t="inlineStr">
        <is>
          <t>5. Ecosistema, cobertura y flora (F-DT-03)</t>
        </is>
      </c>
      <c r="B28" s="58" t="inlineStr">
        <is>
          <t>Especies clave georreferenciadas</t>
        </is>
      </c>
      <c r="C28" s="58" t="inlineStr">
        <is>
          <t>3</t>
        </is>
      </c>
      <c r="D28" s="58" t="inlineStr"/>
    </row>
    <row r="29">
      <c r="A29" s="57" t="inlineStr">
        <is>
          <t>6. Degradación, causas y urgencia (F-DT-04)</t>
        </is>
      </c>
      <c r="B29" s="57" t="inlineStr">
        <is>
          <t>Causas directas de la degradación</t>
        </is>
      </c>
      <c r="C29" s="57" t="inlineStr">
        <is>
          <t>(1) Movimiento de tierras por obra vial en ejecución dentro del polígono (causa dominante y activa); (2) tala selectiva para leña y mutilación de cactáceas columnares; (3) déficit hídrico estructural del bosque seco, agravado por la variabilidad climática; (4) presión puntual de vivienda rural dispersa en el borde oeste. El sobrepastoreo caprino se presume pero no fue verificado.</t>
        </is>
      </c>
      <c r="D29" s="57" t="inlineStr"/>
    </row>
    <row r="30">
      <c r="A30" s="58" t="inlineStr">
        <is>
          <t>6. Degradación, causas y urgencia (F-DT-04)</t>
        </is>
      </c>
      <c r="B30" s="58" t="inlineStr">
        <is>
          <t>N.° de causas activas en la matriz F-DT-04</t>
        </is>
      </c>
      <c r="C30" s="58" t="inlineStr">
        <is>
          <t>4</t>
        </is>
      </c>
      <c r="D30" s="58" t="inlineStr"/>
    </row>
    <row r="31">
      <c r="A31" s="57" t="inlineStr">
        <is>
          <t>7. Hidrología, acceso y logística (F-DT-05)</t>
        </is>
      </c>
      <c r="B31" s="57" t="inlineStr">
        <is>
          <t>Escorrentía concentrada</t>
        </is>
      </c>
      <c r="C31" s="57" t="inlineStr">
        <is>
          <t>Sí</t>
        </is>
      </c>
      <c r="D31" s="57" t="inlineStr"/>
    </row>
    <row r="32">
      <c r="A32" s="58" t="inlineStr">
        <is>
          <t>7. Hidrología, acceso y logística (F-DT-05)</t>
        </is>
      </c>
      <c r="B32" s="58" t="inlineStr">
        <is>
          <t>Fuentes de agua inventariadas</t>
        </is>
      </c>
      <c r="C32" s="58" t="inlineStr">
        <is>
          <t>2</t>
        </is>
      </c>
      <c r="D32" s="58" t="inlineStr"/>
    </row>
    <row r="33">
      <c r="A33" s="57" t="inlineStr">
        <is>
          <t>7. Hidrología, acceso y logística (F-DT-05)</t>
        </is>
      </c>
      <c r="B33" s="57" t="inlineStr">
        <is>
          <t>Interferencia con riego</t>
        </is>
      </c>
      <c r="C33" s="57" t="inlineStr">
        <is>
          <t>No</t>
        </is>
      </c>
      <c r="D33" s="57" t="inlineStr"/>
    </row>
    <row r="34">
      <c r="A34" s="58" t="inlineStr">
        <is>
          <t>7. Hidrología, acceso y logística (F-DT-05)</t>
        </is>
      </c>
      <c r="B34" s="58" t="inlineStr">
        <is>
          <t>Vía principal de acceso</t>
        </is>
      </c>
      <c r="C34" s="58" t="inlineStr">
        <is>
          <t>Carretera Chulucanas - Frías; desvío a trocha carrozable en construcción/mejoramiento hasta la progresiva 1+020</t>
        </is>
      </c>
      <c r="D34" s="58" t="inlineStr"/>
    </row>
    <row r="35">
      <c r="A35" s="57" t="inlineStr">
        <is>
          <t>7. Hidrología, acceso y logística (F-DT-05)</t>
        </is>
      </c>
      <c r="B35" s="57" t="inlineStr">
        <is>
          <t>Tipo de vía del tramo final</t>
        </is>
      </c>
      <c r="C35" s="57" t="inlineStr">
        <is>
          <t>Trocha carrozable</t>
        </is>
      </c>
      <c r="D35" s="57" t="inlineStr"/>
    </row>
    <row r="36">
      <c r="A36" s="58" t="inlineStr">
        <is>
          <t>7. Hidrología, acceso y logística (F-DT-05)</t>
        </is>
      </c>
      <c r="B36" s="58" t="inlineStr">
        <is>
          <t>Transitabilidad en época seca</t>
        </is>
      </c>
      <c r="C36" s="58" t="inlineStr">
        <is>
          <t>Medio</t>
        </is>
      </c>
      <c r="D36" s="58" t="inlineStr"/>
    </row>
    <row r="37">
      <c r="A37" s="57" t="inlineStr">
        <is>
          <t>7. Hidrología, acceso y logística (F-DT-05)</t>
        </is>
      </c>
      <c r="B37" s="57" t="inlineStr">
        <is>
          <t>Transitabilidad en época lluviosa</t>
        </is>
      </c>
      <c r="C37" s="57" t="inlineStr">
        <is>
          <t>Bajo</t>
        </is>
      </c>
      <c r="D37" s="57" t="inlineStr"/>
    </row>
    <row r="38">
      <c r="A38" s="58" t="inlineStr">
        <is>
          <t>7. Hidrología, acceso y logística (F-DT-05)</t>
        </is>
      </c>
      <c r="B38" s="58" t="inlineStr">
        <is>
          <t>Señal celular</t>
        </is>
      </c>
      <c r="C38" s="58" t="inlineStr">
        <is>
          <t>Intermitente</t>
        </is>
      </c>
      <c r="D38" s="58" t="inlineStr"/>
    </row>
    <row r="40">
      <c r="A40" s="55" t="inlineStr">
        <is>
          <t>C. PROCEDENCIA DE LOS HECHOS DECLARADOS</t>
        </is>
      </c>
    </row>
    <row r="41">
      <c r="A41" s="56" t="inlineStr">
        <is>
          <t>Fuente</t>
        </is>
      </c>
      <c r="B41" s="56" t="inlineStr">
        <is>
          <t>Hechos</t>
        </is>
      </c>
      <c r="C41" s="56" t="inlineStr">
        <is>
          <t>Alcance de la fuente</t>
        </is>
      </c>
    </row>
    <row r="42">
      <c r="A42" s="57" t="inlineStr">
        <is>
          <t>Dato de campo</t>
        </is>
      </c>
      <c r="B42" s="57" t="n">
        <v>49</v>
      </c>
      <c r="C42" s="57" t="inlineStr">
        <is>
          <t>Verificación en campo. Fichas F-DT-01 a F-DT-05 de la Plantilla DT Campo Check Validada V5, suscritas por el evaluador.</t>
        </is>
      </c>
    </row>
    <row r="43">
      <c r="A43" s="58" t="inlineStr">
        <is>
          <t>Gabinete (GIS / teledetección)</t>
        </is>
      </c>
      <c r="B43" s="58" t="n">
        <v>25</v>
      </c>
      <c r="C43" s="58" t="inlineStr">
        <is>
          <t>Gabinete. Estadística zonal sobre el MDE y compuestos Sentinel-2 (NDVI mediana 2025, MSAVI 2024 por clase DN).</t>
        </is>
      </c>
    </row>
    <row r="44">
      <c r="A44" s="57" t="inlineStr">
        <is>
          <t>Fuente oficial</t>
        </is>
      </c>
      <c r="B44" s="57" t="n">
        <v>14</v>
      </c>
      <c r="C44" s="57" t="inlineStr">
        <is>
          <t>Fuente oficial. Catálogo maestro Bloques V5/V6, división política INEI y codificación de microcuencas de la ANA.</t>
        </is>
      </c>
    </row>
    <row r="46">
      <c r="A46" s="55" t="inlineStr">
        <is>
          <t>D. ESTADO DEL CRUCE ENTRE FUENTES</t>
        </is>
      </c>
    </row>
    <row r="47">
      <c r="A47" s="56" t="inlineStr">
        <is>
          <t>Estado</t>
        </is>
      </c>
      <c r="B47" s="56" t="inlineStr">
        <is>
          <t>Hechos</t>
        </is>
      </c>
      <c r="C47" s="56" t="inlineStr">
        <is>
          <t>Significado</t>
        </is>
      </c>
    </row>
    <row r="48">
      <c r="A48" s="57" t="inlineStr">
        <is>
          <t>CONFORME</t>
        </is>
      </c>
      <c r="B48" s="57" t="n">
        <v>87</v>
      </c>
      <c r="C48" s="57" t="inlineStr">
        <is>
          <t>Las dos fuentes declaran lo mismo, o solo la fuente que manda sobre el hecho lo declara.</t>
        </is>
      </c>
    </row>
    <row r="49">
      <c r="A49" s="58" t="inlineStr">
        <is>
          <t>COMPLEMENTADO</t>
        </is>
      </c>
      <c r="B49" s="58" t="n">
        <v>0</v>
      </c>
      <c r="C49" s="58" t="inlineStr">
        <is>
          <t>Solo una de las fuentes lo declara y se adopta ese valor.</t>
        </is>
      </c>
    </row>
    <row r="50">
      <c r="A50" s="57" t="inlineStr">
        <is>
          <t>ACTUALIZADO</t>
        </is>
      </c>
      <c r="B50" s="57" t="n">
        <v>1</v>
      </c>
      <c r="C50" s="57" t="inlineStr">
        <is>
          <t>La verificación de campo vigente corrige lo que traía el libro de resumen.</t>
        </is>
      </c>
    </row>
    <row r="51">
      <c r="A51" s="58" t="inlineStr">
        <is>
          <t>DISCREPANTE</t>
        </is>
      </c>
      <c r="B51" s="58" t="n">
        <v>0</v>
      </c>
      <c r="C51" s="58" t="inlineStr">
        <is>
          <t>Las fuentes se contradicen; prevalece la que manda sobre el hecho y la otra queda declarada.</t>
        </is>
      </c>
    </row>
    <row r="52">
      <c r="A52" s="57" t="inlineStr">
        <is>
          <t>PENDIENTE</t>
        </is>
      </c>
      <c r="B52" s="57" t="n">
        <v>26</v>
      </c>
      <c r="C52" s="57"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REGISTRO DE CAMPO F-DT-01 A F-DT-05 — BLOQUE M17B1</t>
        </is>
      </c>
    </row>
    <row r="7">
      <c r="A7" s="55" t="inlineStr">
        <is>
          <t>F-DT-02 · INVENTARIO DE CÁRCAVAS</t>
        </is>
      </c>
    </row>
    <row r="8">
      <c r="A8" s="56" t="inlineStr">
        <is>
          <t>Código</t>
        </is>
      </c>
      <c r="B8" s="56" t="inlineStr">
        <is>
          <t>Tipo</t>
        </is>
      </c>
      <c r="C8" s="56" t="inlineStr">
        <is>
          <t>UTM E ini.</t>
        </is>
      </c>
      <c r="D8" s="56" t="inlineStr">
        <is>
          <t>UTM N ini.</t>
        </is>
      </c>
      <c r="E8" s="56" t="inlineStr">
        <is>
          <t>Longitud (m)</t>
        </is>
      </c>
      <c r="F8" s="56" t="inlineStr">
        <is>
          <t>Prof. (m)</t>
        </is>
      </c>
      <c r="G8" s="56" t="inlineStr">
        <is>
          <t>Ancho (m)</t>
        </is>
      </c>
      <c r="H8" s="56" t="inlineStr">
        <is>
          <t>Estado</t>
        </is>
      </c>
      <c r="I8" s="56" t="inlineStr">
        <is>
          <t>Causa</t>
        </is>
      </c>
    </row>
    <row r="9">
      <c r="A9" s="57" t="inlineStr">
        <is>
          <t>Sin cárcavas inventariadas en el tramo verificado</t>
        </is>
      </c>
      <c r="B9" s="57" t="inlineStr"/>
      <c r="C9" s="57" t="inlineStr"/>
      <c r="D9" s="57" t="inlineStr"/>
      <c r="E9" s="57" t="inlineStr"/>
      <c r="F9" s="57" t="inlineStr"/>
      <c r="G9" s="57" t="inlineStr"/>
      <c r="H9" s="57" t="inlineStr"/>
      <c r="I9" s="57" t="inlineStr"/>
    </row>
    <row r="11">
      <c r="A11" s="55" t="inlineStr">
        <is>
          <t>F-DT-03 · ELENCO FLORÍSTICO</t>
        </is>
      </c>
    </row>
    <row r="12">
      <c r="A12" s="56" t="inlineStr">
        <is>
          <t>N.o</t>
        </is>
      </c>
      <c r="B12" s="56" t="inlineStr">
        <is>
          <t>Nombre común</t>
        </is>
      </c>
      <c r="C12" s="56" t="inlineStr">
        <is>
          <t>Nombre científico</t>
        </is>
      </c>
      <c r="D12" s="56" t="inlineStr">
        <is>
          <t>Familia</t>
        </is>
      </c>
      <c r="E12" s="56" t="inlineStr">
        <is>
          <t>Estrato</t>
        </is>
      </c>
      <c r="F12" s="56" t="inlineStr">
        <is>
          <t>Origen</t>
        </is>
      </c>
      <c r="G12" s="56" t="inlineStr">
        <is>
          <t>Abundancia</t>
        </is>
      </c>
      <c r="H12" s="56" t="inlineStr">
        <is>
          <t>DAP (cm)</t>
        </is>
      </c>
      <c r="I12" s="56" t="inlineStr">
        <is>
          <t>Altura (m)</t>
        </is>
      </c>
    </row>
    <row r="13">
      <c r="A13" s="57" t="inlineStr">
        <is>
          <t>1</t>
        </is>
      </c>
      <c r="B13" s="57" t="inlineStr">
        <is>
          <t>Faique</t>
        </is>
      </c>
      <c r="C13" s="57" t="inlineStr">
        <is>
          <t>Vachellia macracantha (Humb. &amp; Bonpl. ex Willd.) Seigler &amp; Ebinger</t>
        </is>
      </c>
      <c r="D13" s="57" t="inlineStr">
        <is>
          <t>Fabaceae</t>
        </is>
      </c>
      <c r="E13" s="57" t="inlineStr">
        <is>
          <t>Arbóreo bajo (4-8 m)</t>
        </is>
      </c>
      <c r="F13" s="57" t="inlineStr">
        <is>
          <t>Nativa</t>
        </is>
      </c>
      <c r="G13" s="57" t="inlineStr">
        <is>
          <t>Abundante (20-40%)</t>
        </is>
      </c>
      <c r="H13" s="57" t="n"/>
      <c r="I13" s="57" t="n"/>
    </row>
    <row r="14">
      <c r="A14" s="58" t="inlineStr">
        <is>
          <t>2</t>
        </is>
      </c>
      <c r="B14" s="58" t="inlineStr">
        <is>
          <t>Algarrobo</t>
        </is>
      </c>
      <c r="C14" s="58" t="inlineStr">
        <is>
          <t>Prosopis pallida (Humb. &amp; Bonpl. ex Willd.) Kunth</t>
        </is>
      </c>
      <c r="D14" s="58" t="inlineStr">
        <is>
          <t>Fabaceae</t>
        </is>
      </c>
      <c r="E14" s="58" t="inlineStr">
        <is>
          <t>Arbóreo bajo (4-8 m)</t>
        </is>
      </c>
      <c r="F14" s="58" t="inlineStr">
        <is>
          <t>Nativa</t>
        </is>
      </c>
      <c r="G14" s="58" t="inlineStr">
        <is>
          <t>Frecuente (5-20%)</t>
        </is>
      </c>
      <c r="H14" s="58" t="n"/>
      <c r="I14" s="58" t="n"/>
    </row>
    <row r="15">
      <c r="A15" s="57" t="inlineStr">
        <is>
          <t>3</t>
        </is>
      </c>
      <c r="B15" s="57" t="inlineStr">
        <is>
          <t>Sapote</t>
        </is>
      </c>
      <c r="C15" s="57" t="inlineStr">
        <is>
          <t>Colicodendron scabridum (Kunth) Seem.</t>
        </is>
      </c>
      <c r="D15" s="57" t="inlineStr">
        <is>
          <t>Capparaceae</t>
        </is>
      </c>
      <c r="E15" s="57" t="inlineStr">
        <is>
          <t>Arbóreo bajo (4-8 m)</t>
        </is>
      </c>
      <c r="F15" s="57" t="inlineStr">
        <is>
          <t>Nativa</t>
        </is>
      </c>
      <c r="G15" s="57" t="inlineStr">
        <is>
          <t>Ocasional (1-5%)</t>
        </is>
      </c>
      <c r="H15" s="57" t="n"/>
      <c r="I15" s="57" t="n"/>
    </row>
    <row r="16">
      <c r="A16" s="58" t="inlineStr">
        <is>
          <t>4</t>
        </is>
      </c>
      <c r="B16" s="58" t="inlineStr">
        <is>
          <t>Overo</t>
        </is>
      </c>
      <c r="C16" s="58" t="inlineStr">
        <is>
          <t>Cordia lutea Lam.</t>
        </is>
      </c>
      <c r="D16" s="58" t="inlineStr">
        <is>
          <t>Cordiaceae</t>
        </is>
      </c>
      <c r="E16" s="58" t="inlineStr">
        <is>
          <t>Arbustivo alto (1.5-4 m)</t>
        </is>
      </c>
      <c r="F16" s="58" t="inlineStr">
        <is>
          <t>Nativa</t>
        </is>
      </c>
      <c r="G16" s="58" t="inlineStr">
        <is>
          <t>Abundante (20-40%)</t>
        </is>
      </c>
      <c r="H16" s="58" t="n"/>
      <c r="I16" s="58" t="n"/>
    </row>
    <row r="17">
      <c r="A17" s="57" t="inlineStr">
        <is>
          <t>5</t>
        </is>
      </c>
      <c r="B17" s="57" t="inlineStr">
        <is>
          <t>Cactáceas columnares</t>
        </is>
      </c>
      <c r="C17" s="57" t="inlineStr">
        <is>
          <t>Neoraimondia sp. / Armatocereus sp. (por confirmar)</t>
        </is>
      </c>
      <c r="D17" s="57" t="inlineStr">
        <is>
          <t>Cactaceae</t>
        </is>
      </c>
      <c r="E17" s="57" t="inlineStr">
        <is>
          <t>Arbóreo bajo (4-8 m)</t>
        </is>
      </c>
      <c r="F17" s="57" t="inlineStr">
        <is>
          <t>Nativa</t>
        </is>
      </c>
      <c r="G17" s="57" t="inlineStr">
        <is>
          <t>Frecuente (5-20%)</t>
        </is>
      </c>
      <c r="H17" s="57" t="n"/>
      <c r="I17" s="57" t="n"/>
    </row>
    <row r="18">
      <c r="A18" s="58" t="inlineStr">
        <is>
          <t>6</t>
        </is>
      </c>
      <c r="B18" s="58" t="inlineStr">
        <is>
          <t>Herbáceas estacionales</t>
        </is>
      </c>
      <c r="C18" s="58" t="inlineStr">
        <is>
          <t>Poaceae y Asteraceae (por determinar)</t>
        </is>
      </c>
      <c r="D18" s="58" t="inlineStr">
        <is>
          <t>Poaceae / Asteraceae</t>
        </is>
      </c>
      <c r="E18" s="58" t="inlineStr">
        <is>
          <t>Herbáceo (&lt;0.5 m)</t>
        </is>
      </c>
      <c r="F18" s="58" t="inlineStr"/>
      <c r="G18" s="58" t="inlineStr">
        <is>
          <t>Frecuente (5-20%)</t>
        </is>
      </c>
      <c r="H18" s="58" t="n"/>
      <c r="I18" s="58" t="n"/>
    </row>
    <row r="20">
      <c r="A20" s="55" t="inlineStr">
        <is>
          <t>F-DT-03 · ESPECIES CLAVE GEORREFERENCIADAS</t>
        </is>
      </c>
    </row>
    <row r="21">
      <c r="A21" s="56" t="inlineStr">
        <is>
          <t>N.o</t>
        </is>
      </c>
      <c r="B21" s="56" t="inlineStr">
        <is>
          <t>Especie</t>
        </is>
      </c>
      <c r="C21" s="56" t="inlineStr">
        <is>
          <t>Categoría</t>
        </is>
      </c>
      <c r="D21" s="56" t="inlineStr">
        <is>
          <t>Estado UICN</t>
        </is>
      </c>
      <c r="E21" s="56" t="inlineStr">
        <is>
          <t>UTM ESTE</t>
        </is>
      </c>
      <c r="F21" s="56" t="inlineStr">
        <is>
          <t>UTM NORTE</t>
        </is>
      </c>
      <c r="G21" s="56" t="inlineStr">
        <is>
          <t>N.° individuos</t>
        </is>
      </c>
      <c r="H21" s="56" t="inlineStr">
        <is>
          <t>Observación</t>
        </is>
      </c>
    </row>
    <row r="22">
      <c r="A22" s="57" t="inlineStr">
        <is>
          <t>1</t>
        </is>
      </c>
      <c r="B22" s="57" t="inlineStr">
        <is>
          <t>Neoraimondia sp. / Armatocereus sp. (cactáceas columnares)</t>
        </is>
      </c>
      <c r="C22" s="57" t="inlineStr">
        <is>
          <t>Indicadora de buen estado</t>
        </is>
      </c>
      <c r="D22" s="57" t="inlineStr">
        <is>
          <t>No aplica</t>
        </is>
      </c>
      <c r="E22" s="62" t="n">
        <v>600602</v>
      </c>
      <c r="F22" s="62" t="n">
        <v>9440720</v>
      </c>
      <c r="G22" s="57" t="n"/>
      <c r="H22" s="57" t="inlineStr">
        <is>
          <t>Emergentes sobre el dosel; se observaron individuos mutilados. Determinación taxonómica pendiente de colecta botánica.</t>
        </is>
      </c>
    </row>
    <row r="23">
      <c r="A23" s="58" t="inlineStr">
        <is>
          <t>2</t>
        </is>
      </c>
      <c r="B23" s="58" t="inlineStr">
        <is>
          <t>Vachellia macracantha (faique)</t>
        </is>
      </c>
      <c r="C23" s="58" t="inlineStr">
        <is>
          <t>Amenazada (D.S. 043-2006-AG)</t>
        </is>
      </c>
      <c r="D23" s="58" t="inlineStr">
        <is>
          <t>NT — Casi Amenazado</t>
        </is>
      </c>
      <c r="E23" s="63" t="n">
        <v>600601</v>
      </c>
      <c r="F23" s="63" t="n">
        <v>9440729</v>
      </c>
      <c r="G23" s="58" t="n"/>
      <c r="H23" s="58" t="inlineStr">
        <is>
          <t>Dominante del estrato arbóreo; fijadora de nitrógeno. Categoría según D.S. 043-2006-AG; verificar con colecta.</t>
        </is>
      </c>
    </row>
    <row r="24">
      <c r="A24" s="57" t="inlineStr">
        <is>
          <t>3</t>
        </is>
      </c>
      <c r="B24" s="57" t="inlineStr">
        <is>
          <t>Colicodendron scabridum (sapote)</t>
        </is>
      </c>
      <c r="C24" s="57" t="inlineStr">
        <is>
          <t>Indicadora de buen estado</t>
        </is>
      </c>
      <c r="D24" s="57" t="inlineStr">
        <is>
          <t>No aplica</t>
        </is>
      </c>
      <c r="E24" s="57" t="n"/>
      <c r="F24" s="57" t="n"/>
      <c r="G24" s="57" t="n"/>
      <c r="H24" s="57" t="inlineStr">
        <is>
          <t>Indicador de bosque seco con perturbación moderada. Registro visual sin coordenada individual (por verificar).</t>
        </is>
      </c>
    </row>
    <row r="26">
      <c r="A26" s="55" t="inlineStr">
        <is>
          <t>F-DT-04 · MATRIZ DE CAUSAS DE DEGRADACIÓN</t>
        </is>
      </c>
    </row>
    <row r="27">
      <c r="A27" s="56" t="inlineStr">
        <is>
          <t>N.o</t>
        </is>
      </c>
      <c r="B27" s="56" t="inlineStr">
        <is>
          <t>Causa</t>
        </is>
      </c>
      <c r="C27" s="56" t="inlineStr">
        <is>
          <t>Presencia</t>
        </is>
      </c>
      <c r="D27" s="56" t="inlineStr">
        <is>
          <t>Intensidad</t>
        </is>
      </c>
      <c r="E27" s="56" t="inlineStr">
        <is>
          <t>Extensión</t>
        </is>
      </c>
      <c r="F27" s="56" t="inlineStr">
        <is>
          <t>Antigüedad</t>
        </is>
      </c>
      <c r="G27" s="56" t="inlineStr">
        <is>
          <t>Evidencia</t>
        </is>
      </c>
    </row>
    <row r="28">
      <c r="A28" s="57" t="inlineStr">
        <is>
          <t>1</t>
        </is>
      </c>
      <c r="B28" s="57" t="inlineStr">
        <is>
          <t>Sobrepastoreo (caprino/vacuno)</t>
        </is>
      </c>
      <c r="C28" s="57" t="inlineStr"/>
      <c r="D28" s="57" t="inlineStr"/>
      <c r="E28" s="57" t="inlineStr"/>
      <c r="F28" s="57" t="inlineStr"/>
      <c r="G28" s="57" t="inlineStr">
        <is>
          <t>No se observó ganado durante la visita; el ramoneo del sotobosque sugiere presión de pastoreo caprino. Presencia e intensidad por verificar.</t>
        </is>
      </c>
    </row>
    <row r="29">
      <c r="A29" s="58" t="inlineStr">
        <is>
          <t>2</t>
        </is>
      </c>
      <c r="B29" s="58" t="inlineStr">
        <is>
          <t>Tala para leña</t>
        </is>
      </c>
      <c r="C29" s="58" t="inlineStr">
        <is>
          <t>Sí</t>
        </is>
      </c>
      <c r="D29" s="58" t="inlineStr">
        <is>
          <t>Moderada</t>
        </is>
      </c>
      <c r="E29" s="58" t="inlineStr">
        <is>
          <t>Por verificar</t>
        </is>
      </c>
      <c r="F29" s="58" t="inlineStr">
        <is>
          <t>Por verificar</t>
        </is>
      </c>
      <c r="G29" s="58" t="inlineStr">
        <is>
          <t>Tocones de tala selectiva y cactáceas columnares mutiladas; cerco de horcones de madera local junto a la vía.</t>
        </is>
      </c>
    </row>
    <row r="30">
      <c r="A30" s="57" t="inlineStr">
        <is>
          <t>3</t>
        </is>
      </c>
      <c r="B30" s="57" t="inlineStr">
        <is>
          <t>Tala para carbón</t>
        </is>
      </c>
      <c r="C30" s="57" t="inlineStr">
        <is>
          <t>No</t>
        </is>
      </c>
      <c r="D30" s="57" t="inlineStr"/>
      <c r="E30" s="57" t="inlineStr"/>
      <c r="F30" s="57" t="inlineStr"/>
      <c r="G30" s="57" t="inlineStr">
        <is>
          <t>No se observaron hornos ni evidencias de carboneo en la faja recorrida.</t>
        </is>
      </c>
    </row>
    <row r="31">
      <c r="A31" s="58" t="inlineStr">
        <is>
          <t>4</t>
        </is>
      </c>
      <c r="B31" s="58" t="inlineStr">
        <is>
          <t>Tala para madera</t>
        </is>
      </c>
      <c r="C31" s="58" t="inlineStr">
        <is>
          <t>No</t>
        </is>
      </c>
      <c r="D31" s="58" t="inlineStr"/>
      <c r="E31" s="58" t="inlineStr"/>
      <c r="F31" s="58" t="inlineStr"/>
      <c r="G31" s="58" t="inlineStr">
        <is>
          <t>No se observó extracción de madera rolliza.</t>
        </is>
      </c>
    </row>
    <row r="32">
      <c r="A32" s="57" t="inlineStr">
        <is>
          <t>5</t>
        </is>
      </c>
      <c r="B32" s="57" t="inlineStr">
        <is>
          <t>Quema (renovación de pastos)</t>
        </is>
      </c>
      <c r="C32" s="57" t="inlineStr">
        <is>
          <t>No</t>
        </is>
      </c>
      <c r="D32" s="57" t="inlineStr"/>
      <c r="E32" s="57" t="inlineStr"/>
      <c r="F32" s="57" t="inlineStr"/>
      <c r="G32" s="57" t="inlineStr">
        <is>
          <t>No se observaron cicatrices de quema en la faja recorrida.</t>
        </is>
      </c>
    </row>
    <row r="33">
      <c r="A33" s="58" t="inlineStr">
        <is>
          <t>6</t>
        </is>
      </c>
      <c r="B33" s="58" t="inlineStr">
        <is>
          <t>Quema accidental / Incendio</t>
        </is>
      </c>
      <c r="C33" s="58" t="inlineStr">
        <is>
          <t>No</t>
        </is>
      </c>
      <c r="D33" s="58" t="inlineStr"/>
      <c r="E33" s="58" t="inlineStr"/>
      <c r="F33" s="58" t="inlineStr"/>
      <c r="G33" s="58" t="inlineStr">
        <is>
          <t>No se observaron cicatrices de incendio en la faja recorrida.</t>
        </is>
      </c>
    </row>
    <row r="34">
      <c r="A34" s="57" t="inlineStr">
        <is>
          <t>7</t>
        </is>
      </c>
      <c r="B34" s="57" t="inlineStr">
        <is>
          <t>Cambio de uso a agricultura</t>
        </is>
      </c>
      <c r="C34" s="57" t="inlineStr">
        <is>
          <t>No</t>
        </is>
      </c>
      <c r="D34" s="57" t="inlineStr"/>
      <c r="E34" s="57" t="inlineStr"/>
      <c r="F34" s="57" t="inlineStr"/>
      <c r="G34" s="57" t="inlineStr">
        <is>
          <t>Parcelas agrícolas bajo riego en la margen izquierda del río Piura; no invaden el polígono del bloque (imagen satelital).</t>
        </is>
      </c>
    </row>
    <row r="35">
      <c r="A35" s="58" t="inlineStr">
        <is>
          <t>8</t>
        </is>
      </c>
      <c r="B35" s="58" t="inlineStr">
        <is>
          <t>Cambio de uso a pastoreo</t>
        </is>
      </c>
      <c r="C35" s="58" t="inlineStr"/>
      <c r="D35" s="58" t="inlineStr"/>
      <c r="E35" s="58" t="inlineStr"/>
      <c r="F35" s="58" t="inlineStr"/>
      <c r="G35" s="58" t="inlineStr">
        <is>
          <t>Sin evidencia directa en la faja recorrida; vinculado al ítem 1 (sobrepastoreo). Por verificar.</t>
        </is>
      </c>
    </row>
    <row r="36">
      <c r="A36" s="57" t="inlineStr">
        <is>
          <t>9</t>
        </is>
      </c>
      <c r="B36" s="57" t="inlineStr">
        <is>
          <t>Expansión urbana / vial</t>
        </is>
      </c>
      <c r="C36" s="57" t="inlineStr">
        <is>
          <t>Sí</t>
        </is>
      </c>
      <c r="D36" s="57" t="inlineStr">
        <is>
          <t>Fuerte</t>
        </is>
      </c>
      <c r="E36" s="57" t="inlineStr">
        <is>
          <t>4 - 6 % (estimado: faja de 1.1 km x 15-25 m)</t>
        </is>
      </c>
      <c r="F36" s="57" t="inlineStr">
        <is>
          <t>&lt; 1 (obra en ejecución)</t>
        </is>
      </c>
      <c r="G36" s="57" t="inlineStr">
        <is>
          <t>Cortes de talud recientes sin revegetación; hito de progresiva 1+020 confirma obra vial en ejecución dentro del polígono. Rango 600,602 - 601,042 E.</t>
        </is>
      </c>
    </row>
    <row r="37">
      <c r="A37" s="58" t="inlineStr">
        <is>
          <t>10</t>
        </is>
      </c>
      <c r="B37" s="58" t="inlineStr">
        <is>
          <t>Minería informal</t>
        </is>
      </c>
      <c r="C37" s="58" t="inlineStr">
        <is>
          <t>No</t>
        </is>
      </c>
      <c r="D37" s="58" t="inlineStr"/>
      <c r="E37" s="58" t="inlineStr"/>
      <c r="F37" s="58" t="inlineStr"/>
      <c r="G37" s="58" t="inlineStr">
        <is>
          <t>No se observaron labores mineras.</t>
        </is>
      </c>
    </row>
    <row r="38">
      <c r="A38" s="57" t="inlineStr">
        <is>
          <t>11</t>
        </is>
      </c>
      <c r="B38" s="57" t="inlineStr">
        <is>
          <t>Extracción de áridos (cauces)</t>
        </is>
      </c>
      <c r="C38" s="57" t="inlineStr">
        <is>
          <t>No</t>
        </is>
      </c>
      <c r="D38" s="57" t="inlineStr"/>
      <c r="E38" s="57" t="inlineStr"/>
      <c r="F38" s="57" t="inlineStr"/>
      <c r="G38" s="57" t="inlineStr">
        <is>
          <t>No se observó extracción de áridos en cauces.</t>
        </is>
      </c>
    </row>
    <row r="39">
      <c r="A39" s="58" t="inlineStr">
        <is>
          <t>12</t>
        </is>
      </c>
      <c r="B39" s="58" t="inlineStr">
        <is>
          <t>Especies invasoras</t>
        </is>
      </c>
      <c r="C39" s="58" t="inlineStr">
        <is>
          <t>No</t>
        </is>
      </c>
      <c r="D39" s="58" t="inlineStr"/>
      <c r="E39" s="58" t="inlineStr"/>
      <c r="F39" s="58" t="inlineStr"/>
      <c r="G39" s="58" t="inlineStr">
        <is>
          <t>No se registraron especies invasoras en la faja recorrida (p. ej. Ipomoea carnea). Por verificar en el interior del bloque.</t>
        </is>
      </c>
    </row>
    <row r="40">
      <c r="A40" s="57" t="inlineStr">
        <is>
          <t>13</t>
        </is>
      </c>
      <c r="B40" s="57" t="inlineStr">
        <is>
          <t>Erosión natural severa</t>
        </is>
      </c>
      <c r="C40" s="57" t="inlineStr">
        <is>
          <t>No</t>
        </is>
      </c>
      <c r="D40" s="57" t="inlineStr"/>
      <c r="E40" s="57" t="inlineStr"/>
      <c r="F40" s="57" t="inlineStr"/>
      <c r="G40" s="57" t="inlineStr">
        <is>
          <t>La erosión natural observada es laminar de grado ligero; los procesos severos son de origen antrópico (ítem 9).</t>
        </is>
      </c>
    </row>
    <row r="41">
      <c r="A41" s="58" t="inlineStr">
        <is>
          <t>14</t>
        </is>
      </c>
      <c r="B41" s="58" t="inlineStr">
        <is>
          <t>Sequía prolongada / CC</t>
        </is>
      </c>
      <c r="C41" s="58" t="inlineStr">
        <is>
          <t>Sí</t>
        </is>
      </c>
      <c r="D41" s="58" t="inlineStr">
        <is>
          <t>Fuerte</t>
        </is>
      </c>
      <c r="E41" s="58" t="inlineStr">
        <is>
          <t>100 %</t>
        </is>
      </c>
      <c r="F41" s="58" t="inlineStr">
        <is>
          <t>Por verificar</t>
        </is>
      </c>
      <c r="G41" s="58" t="inlineStr">
        <is>
          <t>Régimen de bosque seco con déficit hídrico proyectado (MPI-ESM1-2HR, SSP5-8.5, 2021-2040). Requiere contraste con el modelamiento climático del proyecto.</t>
        </is>
      </c>
    </row>
    <row r="42">
      <c r="A42" s="57" t="inlineStr">
        <is>
          <t>15</t>
        </is>
      </c>
      <c r="B42" s="57" t="inlineStr">
        <is>
          <t>Plagas o enfermedades forestales</t>
        </is>
      </c>
      <c r="C42" s="57" t="inlineStr">
        <is>
          <t>No</t>
        </is>
      </c>
      <c r="D42" s="57" t="inlineStr"/>
      <c r="E42" s="57" t="inlineStr"/>
      <c r="F42" s="57" t="inlineStr"/>
      <c r="G42" s="57" t="inlineStr">
        <is>
          <t>No se observaron plagas ni enfermedades forestales.</t>
        </is>
      </c>
    </row>
    <row r="43">
      <c r="A43" s="58" t="inlineStr">
        <is>
          <t>16</t>
        </is>
      </c>
      <c r="B43" s="58" t="inlineStr">
        <is>
          <t>Otro</t>
        </is>
      </c>
      <c r="C43" s="58" t="inlineStr">
        <is>
          <t>Sí</t>
        </is>
      </c>
      <c r="D43" s="58" t="inlineStr">
        <is>
          <t>Ligera</t>
        </is>
      </c>
      <c r="E43" s="58" t="inlineStr">
        <is>
          <t>Puntual (&lt; 1 %)</t>
        </is>
      </c>
      <c r="F43" s="58" t="inlineStr">
        <is>
          <t>Por verificar</t>
        </is>
      </c>
      <c r="G43" s="58" t="inlineStr">
        <is>
          <t>Vivienda rural de adobe sobre la corona del talud (600,020 E / 9,440,272 N), contigua al C.P. Papelillo. Poste de media tensión y antena sobre la corona del talud.</t>
        </is>
      </c>
    </row>
    <row r="45">
      <c r="A45" s="55" t="inlineStr">
        <is>
          <t>F-DT-04 · INDICADORES CUANTITATIVOS</t>
        </is>
      </c>
    </row>
    <row r="46">
      <c r="A46" s="56" t="inlineStr">
        <is>
          <t>N.o</t>
        </is>
      </c>
      <c r="B46" s="56" t="inlineStr">
        <is>
          <t>Indicador</t>
        </is>
      </c>
      <c r="C46" s="56" t="inlineStr">
        <is>
          <t>Unidad</t>
        </is>
      </c>
      <c r="D46" s="56" t="inlineStr">
        <is>
          <t>Valor</t>
        </is>
      </c>
      <c r="E46" s="56" t="inlineStr">
        <is>
          <t>Fuente</t>
        </is>
      </c>
      <c r="F46" s="56" t="inlineStr">
        <is>
          <t>Umbral</t>
        </is>
      </c>
      <c r="G46" s="56" t="inlineStr">
        <is>
          <t>Nivel</t>
        </is>
      </c>
    </row>
    <row r="47">
      <c r="A47" s="57" t="inlineStr">
        <is>
          <t>1</t>
        </is>
      </c>
      <c r="B47" s="57" t="inlineStr">
        <is>
          <t>Cobertura vegetal total</t>
        </is>
      </c>
      <c r="C47" s="57" t="inlineStr">
        <is>
          <t>%</t>
        </is>
      </c>
      <c r="D47" s="57" t="inlineStr">
        <is>
          <t>40 - 60</t>
        </is>
      </c>
      <c r="E47" s="57" t="inlineStr">
        <is>
          <t>Observación de campo</t>
        </is>
      </c>
      <c r="F47" s="57" t="inlineStr">
        <is>
          <t>&gt;60% bueno; 30-60% medio; &lt;30% malo</t>
        </is>
      </c>
      <c r="G47" s="57" t="inlineStr">
        <is>
          <t>Medio</t>
        </is>
      </c>
    </row>
    <row r="48">
      <c r="A48" s="58" t="inlineStr">
        <is>
          <t>2</t>
        </is>
      </c>
      <c r="B48" s="58" t="inlineStr">
        <is>
          <t>Porcentaje de suelo desnudo</t>
        </is>
      </c>
      <c r="C48" s="58" t="inlineStr">
        <is>
          <t>%</t>
        </is>
      </c>
      <c r="D48" s="58" t="inlineStr">
        <is>
          <t>Por verificar</t>
        </is>
      </c>
      <c r="E48" s="58" t="inlineStr">
        <is>
          <t>Por confirmar</t>
        </is>
      </c>
      <c r="F48" s="58" t="inlineStr">
        <is>
          <t>&lt;10% bueno; 10-30% medio; &gt;30% malo</t>
        </is>
      </c>
      <c r="G48" s="58" t="inlineStr"/>
    </row>
    <row r="49">
      <c r="A49" s="57" t="inlineStr">
        <is>
          <t>3</t>
        </is>
      </c>
      <c r="B49" s="57" t="inlineStr">
        <is>
          <t>Densidad de cárcavas</t>
        </is>
      </c>
      <c r="C49" s="57" t="inlineStr">
        <is>
          <t>N°/ha</t>
        </is>
      </c>
      <c r="D49" s="57" t="inlineStr">
        <is>
          <t>0</t>
        </is>
      </c>
      <c r="E49" s="57" t="inlineStr">
        <is>
          <t>Observación de campo (faja vial)</t>
        </is>
      </c>
      <c r="F49" s="57" t="inlineStr">
        <is>
          <t>0 nulo; 1-3 medio; &gt;3 alto</t>
        </is>
      </c>
      <c r="G49" s="57" t="inlineStr">
        <is>
          <t>Bajo</t>
        </is>
      </c>
    </row>
    <row r="50">
      <c r="A50" s="58" t="inlineStr">
        <is>
          <t>4</t>
        </is>
      </c>
      <c r="B50" s="58" t="inlineStr">
        <is>
          <t>Presencia de especies invasoras</t>
        </is>
      </c>
      <c r="C50" s="58" t="inlineStr">
        <is>
          <t>% área</t>
        </is>
      </c>
      <c r="D50" s="58" t="inlineStr">
        <is>
          <t>Por verificar</t>
        </is>
      </c>
      <c r="E50" s="58" t="inlineStr">
        <is>
          <t>Por confirmar</t>
        </is>
      </c>
      <c r="F50" s="58" t="inlineStr">
        <is>
          <t>&lt;5% bueno; 5-20% medio; &gt;20% alto</t>
        </is>
      </c>
      <c r="G50" s="58" t="inlineStr"/>
    </row>
    <row r="51">
      <c r="A51" s="57" t="inlineStr">
        <is>
          <t>5</t>
        </is>
      </c>
      <c r="B51" s="57" t="inlineStr">
        <is>
          <t>Carga ganadera estimada</t>
        </is>
      </c>
      <c r="C51" s="57" t="inlineStr">
        <is>
          <t>UA/ha</t>
        </is>
      </c>
      <c r="D51" s="57" t="inlineStr">
        <is>
          <t>Por verificar</t>
        </is>
      </c>
      <c r="E51" s="57" t="inlineStr">
        <is>
          <t>Por confirmar</t>
        </is>
      </c>
      <c r="F51" s="57" t="inlineStr">
        <is>
          <t>Según tipo de ecosistema</t>
        </is>
      </c>
      <c r="G51" s="57" t="inlineStr"/>
    </row>
    <row r="52">
      <c r="A52" s="58" t="inlineStr">
        <is>
          <t>6</t>
        </is>
      </c>
      <c r="B52" s="58" t="inlineStr">
        <is>
          <t>Frecuencia de quemas últimos 5 años</t>
        </is>
      </c>
      <c r="C52" s="58" t="inlineStr">
        <is>
          <t>N°</t>
        </is>
      </c>
      <c r="D52" s="58" t="inlineStr">
        <is>
          <t>Por verificar</t>
        </is>
      </c>
      <c r="E52" s="58" t="inlineStr">
        <is>
          <t>Por confirmar</t>
        </is>
      </c>
      <c r="F52" s="58" t="inlineStr">
        <is>
          <t>0 nulo; 1-2 medio; &gt;2 alto</t>
        </is>
      </c>
      <c r="G52" s="58" t="inlineStr"/>
    </row>
    <row r="53">
      <c r="A53" s="57" t="inlineStr">
        <is>
          <t>7</t>
        </is>
      </c>
      <c r="B53" s="57" t="inlineStr">
        <is>
          <t>% área con pendiente &gt;50%</t>
        </is>
      </c>
      <c r="C53" s="57" t="inlineStr">
        <is>
          <t>%</t>
        </is>
      </c>
      <c r="D53" s="57" t="inlineStr">
        <is>
          <t>Por verificar</t>
        </is>
      </c>
      <c r="E53" s="57" t="inlineStr">
        <is>
          <t>Perfil de elevación (DEM) — transecto: pendiente máxima 34.5 %</t>
        </is>
      </c>
      <c r="F53" s="57" t="inlineStr">
        <is>
          <t>Factor de susceptibilidad</t>
        </is>
      </c>
      <c r="G53" s="57" t="inlineStr"/>
    </row>
    <row r="54">
      <c r="A54" s="58" t="inlineStr">
        <is>
          <t>8</t>
        </is>
      </c>
      <c r="B54" s="58" t="inlineStr">
        <is>
          <t>Distancia a vía vecinal más cercana</t>
        </is>
      </c>
      <c r="C54" s="58" t="inlineStr">
        <is>
          <t>m</t>
        </is>
      </c>
      <c r="D54" s="58" t="inlineStr">
        <is>
          <t>0</t>
        </is>
      </c>
      <c r="E54" s="58" t="inlineStr">
        <is>
          <t>Observación de campo</t>
        </is>
      </c>
      <c r="F54" s="58" t="inlineStr">
        <is>
          <t>A menor distancia → mayor presión</t>
        </is>
      </c>
      <c r="G54" s="58" t="inlineStr">
        <is>
          <t>Alto</t>
        </is>
      </c>
    </row>
    <row r="56">
      <c r="A56" s="55" t="inlineStr">
        <is>
          <t>F-DT-05 · FUENTES DE AGUA INVENTARIADAS</t>
        </is>
      </c>
    </row>
    <row r="57">
      <c r="A57" s="56" t="inlineStr">
        <is>
          <t>N.o</t>
        </is>
      </c>
      <c r="B57" s="56" t="inlineStr">
        <is>
          <t>Tipo de fuente</t>
        </is>
      </c>
      <c r="C57" s="56" t="inlineStr">
        <is>
          <t>UTM ESTE</t>
        </is>
      </c>
      <c r="D57" s="56" t="inlineStr">
        <is>
          <t>UTM NORTE</t>
        </is>
      </c>
      <c r="E57" s="56" t="inlineStr">
        <is>
          <t>Régimen</t>
        </is>
      </c>
      <c r="F57" s="56" t="inlineStr">
        <is>
          <t>Calidad</t>
        </is>
      </c>
      <c r="G57" s="56" t="inlineStr">
        <is>
          <t>Distancia (m)</t>
        </is>
      </c>
      <c r="H57" s="56" t="inlineStr">
        <is>
          <t>Uso / observación</t>
        </is>
      </c>
    </row>
    <row r="58">
      <c r="A58" s="57" t="inlineStr">
        <is>
          <t>1</t>
        </is>
      </c>
      <c r="B58" s="57" t="inlineStr">
        <is>
          <t>Río</t>
        </is>
      </c>
      <c r="C58" s="57" t="n"/>
      <c r="D58" s="57" t="n"/>
      <c r="E58" s="57" t="inlineStr">
        <is>
          <t>Permanente</t>
        </is>
      </c>
      <c r="F58" s="57" t="inlineStr">
        <is>
          <t>No evaluable</t>
        </is>
      </c>
      <c r="G58" s="62" t="n">
        <v>600</v>
      </c>
      <c r="H58" s="57" t="inlineStr">
        <is>
          <t>Río Piura. Cauce ancho de lecho arenoso identificado en imagen satelital, fuera del polígono del bloque. Uso agrícola bajo riego en la margen izquierda. Coordenadas de la captación por verificar.</t>
        </is>
      </c>
    </row>
    <row r="59">
      <c r="A59" s="58" t="inlineStr">
        <is>
          <t>2</t>
        </is>
      </c>
      <c r="B59" s="58" t="inlineStr">
        <is>
          <t>Quebrada estacional</t>
        </is>
      </c>
      <c r="C59" s="58" t="n"/>
      <c r="D59" s="58" t="n"/>
      <c r="E59" s="58" t="inlineStr">
        <is>
          <t>Efímero</t>
        </is>
      </c>
      <c r="F59" s="58" t="inlineStr">
        <is>
          <t>No evaluable</t>
        </is>
      </c>
      <c r="G59" s="64" t="n">
        <v>0</v>
      </c>
      <c r="H59" s="58" t="inlineStr">
        <is>
          <t>Cauces efímeros de bajo orden, sin escurrimiento al 02/07/2026 (época seca). Régimen y trazado por verificar en época de lluvias.</t>
        </is>
      </c>
    </row>
    <row r="62">
      <c r="A62" s="55" t="inlineStr">
        <is>
          <t>OBSERVACIONES DEL EVALUADOR POR FICHA</t>
        </is>
      </c>
    </row>
    <row r="63">
      <c r="A63" s="56" t="inlineStr">
        <is>
          <t>Ficha</t>
        </is>
      </c>
      <c r="B63" s="56" t="inlineStr">
        <is>
          <t>Observación registrada en campo</t>
        </is>
      </c>
    </row>
    <row r="64">
      <c r="A64" s="57" t="inlineStr">
        <is>
          <t>F-DT-01</t>
        </is>
      </c>
      <c r="B64" s="57" t="inlineStr">
        <is>
          <t>ALCANCE DEL LEVANTAMIENTO: verificacion de campo del 02/07/2026, 16:02-16:21 h. Se recorrio la faja de la trocha carrozable (aprox. 25% del bloque); el interior no fue recorrido a pie. 12 puntos GPS y 12 registros fotograficos (Garmin 66sr, UTM WGS84 17S). Rango de los puntos: E 600,020-601,042 m | N 9,440,272-9,440,961 m, todos dentro de los limites de validez de la zona 17S. El punto de muestreo consignado (600,020 E / 9,440,272 N) corresponde al punto GPS 01, inicio del recorrido. FISIOGRAFIA: perfil de elevacion sobre transecto de 622 m: desnivel +91.2 / -17.1 m; pendiente media 14.6% y maxima 34.5%; altitudes 184-259 msnm. Valores validos para el sector bajo del bloque; el sector alto no fue transectado (por verificar). INDICIOS DE REMOCION EN MASA: los afloramientos y escarpes registrados son de origen antropico (cortes de talud de 2-3 m, localmente &gt;3 m, en material coluvial suelto con bolonería embebida). Se registro caida de rocas activa: bolonería desprendida acumulada sobre la plataforma vial (600,587 E / 9,440,722 N). No se observo reptacion de suelo ni deslizamientos antiguos en la faja recorrida. DISCREPANCIA A RESOLVER: el catalogo maestro (hoja "Bloques V4" / Bloques_V5.xlsx) asigna al bloque M17B1 un area de 42.45 ha y centroide 600,644 E / 9,440,436 N. La ficha de campo previa consignaba 30.348 ha. Prevalece el valor del catalogo maestro (celda autocalculada). Verificar el origen del dato de 30.348 ha antes de consolidar el entregable. PENDIENTE: brigada/responsable, N° de ficha, altitud GPS del punto de muestreo, comunidad campesina y tenencia predial (por verificar).</t>
        </is>
      </c>
    </row>
    <row r="65">
      <c r="A65" s="58" t="inlineStr">
        <is>
          <t>F-DT-02</t>
        </is>
      </c>
      <c r="B65" s="58" t="inlineStr">
        <is>
          <t>SUELO: los cortes de talud de la obra vial exponen un perfil de gravas y bolonería embebidas en matriz areno-limosa, sin horizonte organico apreciable. Textura aparente franco arenosa, profundidad efectiva superficial (25-50 cm), pedregosidad moderada y material parental de depositos coluvio-aluviales sobre roca sedimentaria. Todas son estimaciones visuales: requieren calicata y analisis de laboratorio para su confirmacion (por verificar). PROCESOS EROSIVOS REGISTRADOS EN LA FAJA RECORRIDA: (1) Erosion antropica por cortes de talud - grado severo - aprox. 1.1 km lineales de talud expuesto entre 600,020 E / 9,440,272 N y 601,042 E / 9,440,961 N; taludes recientes sin tratamiento ni revegetacion, con material suelto acumulado al pie. (2) Erosion en surcos - grado moderado - sectores puntuales sobre la cara de los taludes (600,547 E / 9,440,698 N); surcos verticales incipientes (&lt;0.2 m) por escurrimiento concentrado. (3) Erosion hidrica laminar - grado ligero - generalizada en laderas con cobertura &lt;60% (600,601 E / 9,440,729 N); perdida difusa bajo dosel abierto, sin carcavas apreciables. (4) Caida de rocas - grado ligero - puntual sobre la plataforma de via (600,587 E / 9,440,722 N). INVENTARIO DE CARCAVAS: no se identificaron carcavas ni surcos de magnitud significativa en la faja recorrida; el inventario georreferenciado (seccion 3) se deja en blanco de forma deliberada. El interior del bloque no fue recorrido a pie: el inventario queda pendiente de verificacion con GPS submetrico. CAMPOS EN BLANCO POR AUSENCIA DE DATO: sellamiento/costra superficial y raices expuestas no fueron evaluados en campo; el patron de carcavas dominante no aplica (0 carcavas registradas). No se observo ganado durante la visita, aunque el ramoneo del sotobosque sugiere presion de pastoreo (por verificar). URGENCIA DE CONTROL "ALTA": justificada por 1.1 km de talud de corte activo, sin revegetacion ni obras de drenaje, en material no consolidado y en visperas de la temporada de lluvias.</t>
        </is>
      </c>
    </row>
    <row r="66">
      <c r="A66" s="57" t="inlineStr">
        <is>
          <t>F-DT-03</t>
        </is>
      </c>
      <c r="B66" s="57" t="inlineStr">
        <is>
          <t>La parcela de muestreo NO fue instalada: el registro corresponde a un recorrido de reconocimiento sobre la faja de la trocha carrozable (aprox. 25% del bloque). El listado floristico (seccion 4) es preliminar y no constituye inventario cuantitativo; los nombres cientificos se asignaron por correspondencia con el nombre comun regional y requieren verificacion mediante colecta botanica. ESTRUCTURA: dos a tres estratos - arboreo disperso (faique, algarrobo, sapote) de 3-7 m; arbustivo denso continuo (overo y asociadas); herbaceo estacional en receso por epoca seca. Las cactaceas columnares actuan como emergentes. La cobertura es mas densa y continua en las laderas altas orientadas al este, y mas abierta en el borde vial. Cobertura vegetal total estimada visualmente en 40-60%; los porcentajes por estrato, alturas maximas y DAP no fueron medidos (por verificar). REGENERACION NATURAL: calificada como "Regular (10-50 pl./100 m2)" por equivalencia con la observacion cualitativa de campo ("moderada"); NO fue cuantificada mediante conteo en parcela (por verificar). ESTADO SANITARIO: se consigna "Dano mecanico" por la presencia de tocones de tala selectiva y de cactaceas columnares mutiladas; no se observaron plagas ni enfermedades. USO DOMINANTE: se consigna "Forestal proteccion" por el tipo de ecosistema (Bes-cm) y la posicion en ladera; queda sujeto a la clasificacion oficial de capacidad de uso mayor (por verificar). La presencia de epifitas no fue evaluada. Indice de vigor MSAVI (Sentinel-2, 2024) = 0.332 para el bloque (fuente: catalogo Bloques_V5.xlsx), consistente con un bosque seco de cobertura media en epoca de estiaje.</t>
        </is>
      </c>
    </row>
    <row r="67">
      <c r="A67" s="58" t="inlineStr">
        <is>
          <t>F-DT-04</t>
        </is>
      </c>
      <c r="B67" s="58" t="inlineStr">
        <is>
          <t>MATRIZ DE PELIGROS (AdR-CCC) - sintesis del levantamiento del 02/07/2026: 1. Movimientos en masa (deslizamientos) - Nivel MEDIO. Condicionante: talud de corte &gt;3 m sin banqueta en material coluvial suelto. Desencadenante: precipitacion intensa (FEN). Fuente: observacion de campo. 2. Caida de rocas - Nivel MEDIO. Condicionante: bolonería expuesta en la cara del talud. Desencadenante: precipitacion / gravedad. Evidencia: bolonería desprendida sobre la plataforma (600,587 E / 9,440,722 N). 3. Erosion en carcavas - Nivel BAJO. Surcos &lt;0.2 m sobre taludes; sin carcavas consolidadas. 4. Erosion hidrica laminar - Nivel MEDIO. Cobertura 40-60% y pendiente 8-15%; dosel abierto expone el suelo mineral. 5. Flujo de detritos / huaico - Nivel BAJO. Quebradas efimeras de bajo orden y corto recorrido; contribucion local. 6. Sequia - Nivel ALTO. Regimen de bosque seco y deficit hidrico proyectado (SSP5-8.5). Fuente por confirmar contra el modelo MPI-ESM1-2HR del proyecto. INDICADORES DE GABINETE: MSAVI (Sentinel-2, 2024) = 0.332 para el bloque (catalogo Bloques_V5.xlsx), coherente con cobertura media en estiaje. La celda "Distancia a via vecinal mas cercana = 0 m" refleja que la trocha carrozable atraviesa el poligono: maxima presion de acceso. Las celdas de presencia en blanco (items 1 y 8) corresponden a causas no verificadas en campo: NO deben interpretarse como ausencia. Los valores "Por verificar" no han sido estimados.</t>
        </is>
      </c>
    </row>
    <row r="68">
      <c r="A68" s="57" t="inlineStr">
        <is>
          <t>F-DT-05</t>
        </is>
      </c>
      <c r="B68" s="57" t="inlineStr">
        <is>
          <t>HALLAZGO CRITICO: obra vial en ejecucion dentro del poligono del bloque (hito de progresiva 1+020; tramo 600,602 - 601,042 E). Debe verificarse la superposicion con el derecho de via, la titularidad de la obra y su compatibilidad con la intervencion propuesta ANTES de consolidar el bloque. La trocha constituye una ventaja logistica para la implementacion de las MRR-CCC, pero introduce una fuente de degradacion activa que debe incorporarse al tamizaje. PRIORIDAD PRELIMINAR: MEDIA-ALTA, condicionada a la resolucion de la superposicion con la obra vial. COMPLETITUD DEL LEVANTAMIENTO: parcial, aprox. 25% (faja vial). El interior del bloque no fue recorrido a pie. HIDROLOGIA: no se identificaron manantiales ni captaciones dentro del bloque durante la visita. La condicion de zona de recarga hidrica no fue evaluada (celda en blanco, por verificar). Se observo escorrentia concentrada sobre la cara de los taludes de corte. Distancia a captacion poblacional, JASS asociada y coordenadas de las fuentes: por verificar. ACCESIBILIDAD Y LOGISTICA - CELDAS EN BLANCO POR AUSENCIA DE DATO: transitabilidad en epoca lluviosa (no se visito el bloque en temporada de lluvias), senal celular y operador dominante (no medidos, aunque se observo una antena y linea electrica junto al punto GPS 02), alojamiento rural y requerimiento de autorizacion de Ronda Campesina. Riesgo social y tenencia predial: por evaluar; tamizaje predial pendiente. Los campos "Por verificar" NO deben completarse con estimaciones: requieren una segunda salida de campo o el contraste con el catalogo maestro y el tamizaje predial.</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8"/>
  <sheetViews>
    <sheetView workbookViewId="0">
      <selection activeCell="A1" sqref="A1"/>
    </sheetView>
  </sheetViews>
  <sheetFormatPr baseColWidth="8" defaultRowHeight="15"/>
  <cols>
    <col width="44" customWidth="1" min="1" max="1"/>
    <col width="18" customWidth="1" min="2" max="2"/>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GRÁFICOS DE LA INTEGRACIÓN — BLOQUE M17B1</t>
        </is>
      </c>
    </row>
    <row r="7">
      <c r="A7" s="55" t="inlineStr">
        <is>
          <t>Hechos declarados por fuente</t>
        </is>
      </c>
    </row>
    <row r="8">
      <c r="A8" s="56" t="inlineStr">
        <is>
          <t>Fuente</t>
        </is>
      </c>
      <c r="B8" s="56" t="inlineStr">
        <is>
          <t>Hechos</t>
        </is>
      </c>
    </row>
    <row r="9">
      <c r="A9" s="57" t="inlineStr">
        <is>
          <t>Dato de campo</t>
        </is>
      </c>
      <c r="B9" s="57" t="n">
        <v>49</v>
      </c>
    </row>
    <row r="10">
      <c r="A10" s="58" t="inlineStr">
        <is>
          <t>Gabinete (GIS / teledetección)</t>
        </is>
      </c>
      <c r="B10" s="58" t="n">
        <v>25</v>
      </c>
    </row>
    <row r="11">
      <c r="A11" s="57" t="inlineStr">
        <is>
          <t>Fuente oficial</t>
        </is>
      </c>
      <c r="B11" s="57" t="n">
        <v>14</v>
      </c>
    </row>
    <row r="28">
      <c r="A28" s="55" t="inlineStr">
        <is>
          <t>Estado del cruce entre fuentes</t>
        </is>
      </c>
    </row>
    <row r="29">
      <c r="A29" s="56" t="inlineStr">
        <is>
          <t>Estado</t>
        </is>
      </c>
      <c r="B29" s="56" t="inlineStr">
        <is>
          <t>Hechos</t>
        </is>
      </c>
    </row>
    <row r="30">
      <c r="A30" s="57" t="inlineStr">
        <is>
          <t>CONFORME</t>
        </is>
      </c>
      <c r="B30" s="57" t="n">
        <v>87</v>
      </c>
    </row>
    <row r="31">
      <c r="A31" s="58" t="inlineStr">
        <is>
          <t>COMPLEMENTADO</t>
        </is>
      </c>
      <c r="B31" s="58" t="n">
        <v>0</v>
      </c>
    </row>
    <row r="32">
      <c r="A32" s="57" t="inlineStr">
        <is>
          <t>ACTUALIZADO</t>
        </is>
      </c>
      <c r="B32" s="57" t="n">
        <v>1</v>
      </c>
    </row>
    <row r="33">
      <c r="A33" s="58" t="inlineStr">
        <is>
          <t>DISCREPANTE</t>
        </is>
      </c>
      <c r="B33" s="58" t="n">
        <v>0</v>
      </c>
    </row>
    <row r="34">
      <c r="A34" s="57" t="inlineStr">
        <is>
          <t>PENDIENTE</t>
        </is>
      </c>
      <c r="B34" s="57" t="n">
        <v>26</v>
      </c>
    </row>
    <row r="51">
      <c r="A51" s="55" t="inlineStr">
        <is>
          <t>Causas activas de degradación (F-DT-04)</t>
        </is>
      </c>
    </row>
    <row r="52">
      <c r="A52" s="56" t="inlineStr">
        <is>
          <t>Causa</t>
        </is>
      </c>
      <c r="B52" s="56" t="inlineStr">
        <is>
          <t>Intensidad (1 ligera - 4 muy fuerte)</t>
        </is>
      </c>
    </row>
    <row r="53">
      <c r="A53" s="57" t="inlineStr">
        <is>
          <t>Expansión urbana / vial</t>
        </is>
      </c>
      <c r="B53" s="57" t="n">
        <v>3</v>
      </c>
    </row>
    <row r="54">
      <c r="A54" s="58" t="inlineStr">
        <is>
          <t>Sequía prolongada / CC</t>
        </is>
      </c>
      <c r="B54" s="58" t="n">
        <v>3</v>
      </c>
    </row>
    <row r="55">
      <c r="A55" s="57" t="inlineStr">
        <is>
          <t>Tala para leña</t>
        </is>
      </c>
      <c r="B55" s="57" t="n">
        <v>2</v>
      </c>
    </row>
    <row r="56">
      <c r="A56" s="58" t="inlineStr">
        <is>
          <t>Otro</t>
        </is>
      </c>
      <c r="B56" s="58" t="n">
        <v>1</v>
      </c>
    </row>
    <row r="73">
      <c r="A73" s="55" t="inlineStr">
        <is>
          <t>Control de consistencia por calificación</t>
        </is>
      </c>
    </row>
    <row r="74">
      <c r="A74" s="56" t="inlineStr">
        <is>
          <t>Calificación</t>
        </is>
      </c>
      <c r="B74" s="56" t="inlineStr">
        <is>
          <t>Verificaciones</t>
        </is>
      </c>
    </row>
    <row r="75">
      <c r="A75" s="57" t="inlineStr">
        <is>
          <t>SUSTANTIVA</t>
        </is>
      </c>
      <c r="B75" s="57" t="n">
        <v>6</v>
      </c>
    </row>
    <row r="76">
      <c r="A76" s="58" t="inlineStr">
        <is>
          <t>NO SUSTANTIVA</t>
        </is>
      </c>
      <c r="B76" s="58" t="n">
        <v>2</v>
      </c>
    </row>
    <row r="77">
      <c r="A77" s="57" t="inlineStr">
        <is>
          <t>CORREGIDO</t>
        </is>
      </c>
      <c r="B77" s="57" t="n">
        <v>2</v>
      </c>
    </row>
    <row r="78">
      <c r="A78" s="58" t="inlineStr">
        <is>
          <t>CONFORME</t>
        </is>
      </c>
      <c r="B78" s="58"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M17B1 — IN Piura</dc:title>
  <dc:subject>Diagnóstico Territorial por bloque de intervención</dc:subject>
  <dcterms:created xsi:type="dcterms:W3CDTF">2026-09-08T03:39:53Z</dcterms:created>
  <dcterms:modified xsi:type="dcterms:W3CDTF">2026-09-11T20:22:35Z</dcterms:modified>
</cp:coreProperties>
</file>