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f>
            </numRef>
          </cat>
          <val>
            <numRef>
              <f>'Gráficos de integración'!$B$53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integración'!B71</f>
            </strRef>
          </tx>
          <spPr>
            <a:ln>
              <a:prstDash val="solid"/>
            </a:ln>
          </spPr>
          <cat>
            <numRef>
              <f>'Gráficos de integración'!$A$72:$A$77</f>
            </numRef>
          </cat>
          <val>
            <numRef>
              <f>'Gráficos de integración'!$B$72:$B$77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integración'!B95</f>
            </strRef>
          </tx>
          <spPr>
            <a:ln>
              <a:prstDash val="solid"/>
            </a:ln>
          </spPr>
          <cat>
            <numRef>
              <f>'Gráficos de integración'!$A$96:$A$99</f>
            </numRef>
          </cat>
          <val>
            <numRef>
              <f>'Gráficos de integración'!$B$96:$B$99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70</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94</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81</t>
        </is>
      </c>
    </row>
    <row r="6" ht="24" customHeight="1">
      <c r="A6" s="4" t="inlineStr">
        <is>
          <t>Diagnóstico Territorial — Plantilla DT Campo Check Validada V5 | Sistema de referencia: UTM WGS 84 Zona 17S (EPSG:32717) · Integrado con la ficha de campo F-DT vigente (Plantilla_DT_Campo_B81_IN_Piura.xlsx) — V7 - resumen V6 + campo F-DT integrado</t>
        </is>
      </c>
    </row>
    <row r="7"/>
    <row r="8" ht="18" customHeight="1">
      <c r="A8" s="5" t="inlineStr">
        <is>
          <t>1. IDENTIFICACIÓN Y LOCALIZACIÓN</t>
        </is>
      </c>
    </row>
    <row r="9">
      <c r="A9" s="6" t="inlineStr">
        <is>
          <t>Código del bloque</t>
        </is>
      </c>
      <c r="B9" s="7" t="inlineStr">
        <is>
          <t>81</t>
        </is>
      </c>
      <c r="C9" s="6" t="inlineStr">
        <is>
          <t>Microcuenca (catálogo)</t>
        </is>
      </c>
      <c r="D9" s="7" t="inlineStr">
        <is>
          <t>C1076-Q9585</t>
        </is>
      </c>
      <c r="E9" s="8" t="n"/>
      <c r="F9" s="8" t="n"/>
    </row>
    <row r="10">
      <c r="A10" s="6" t="inlineStr">
        <is>
          <t>Zona de planificación</t>
        </is>
      </c>
      <c r="B10" s="7" t="inlineStr">
        <is>
          <t>Z11</t>
        </is>
      </c>
      <c r="C10" s="6" t="inlineStr">
        <is>
          <t>Microcuenca declarada en ficha DT</t>
        </is>
      </c>
      <c r="D10" s="7" t="inlineStr">
        <is>
          <t>C1076-Q9585</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Hualtacal</t>
        </is>
      </c>
      <c r="C13" s="6" t="inlineStr">
        <is>
          <t>Comunidad campesina</t>
        </is>
      </c>
      <c r="D13" s="7" t="inlineStr">
        <is>
          <t>Por verificar</t>
        </is>
      </c>
      <c r="E13" s="8" t="n"/>
      <c r="F13" s="8" t="n"/>
    </row>
    <row r="14">
      <c r="A14" s="6" t="inlineStr">
        <is>
          <t>Superficie de catálogo (V5/V6), ha</t>
        </is>
      </c>
      <c r="B14" s="7" t="n">
        <v>8.93</v>
      </c>
      <c r="C14" s="6" t="inlineStr">
        <is>
          <t>Fuente de superficie</t>
        </is>
      </c>
      <c r="D14" s="7" t="inlineStr">
        <is>
          <t>Catálogo maestro Bloques V5/V6</t>
        </is>
      </c>
      <c r="E14" s="8" t="n"/>
      <c r="F14" s="8" t="n"/>
    </row>
    <row r="15">
      <c r="A15" s="6" t="inlineStr">
        <is>
          <t>Centroide UTM ESTE (m)</t>
        </is>
      </c>
      <c r="B15" s="7" t="n">
        <v>641538</v>
      </c>
      <c r="C15" s="6" t="inlineStr">
        <is>
          <t>Centroide UTM NORTE (m)</t>
        </is>
      </c>
      <c r="D15" s="7" t="n">
        <v>9401360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272</v>
      </c>
      <c r="C19" s="6" t="inlineStr">
        <is>
          <t>Altitud máxima (msnm)</t>
        </is>
      </c>
      <c r="D19" s="7" t="n">
        <v>371</v>
      </c>
      <c r="E19" s="8" t="n"/>
      <c r="F19" s="8" t="n"/>
    </row>
    <row r="20">
      <c r="A20" s="6" t="inlineStr">
        <is>
          <t>Amplitud altitudinal (m)</t>
        </is>
      </c>
      <c r="B20" s="7" t="n">
        <v>99</v>
      </c>
      <c r="C20" s="6" t="inlineStr">
        <is>
          <t>Piso altitudinal dominante</t>
        </is>
      </c>
      <c r="D20" s="7" t="inlineStr">
        <is>
          <t>&lt;1000 m (Yunga)</t>
        </is>
      </c>
      <c r="E20" s="8" t="n"/>
      <c r="F20" s="8" t="n"/>
    </row>
    <row r="21">
      <c r="A21" s="6" t="inlineStr">
        <is>
          <t>Pendiente promedio (%)</t>
        </is>
      </c>
      <c r="B21" s="7" t="n">
        <v>16.05</v>
      </c>
      <c r="C21" s="6" t="inlineStr">
        <is>
          <t>Pendiente promedio (grados)</t>
        </is>
      </c>
      <c r="D21" s="7" t="n">
        <v>9.1</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0.2747</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(75.21 %)</t>
        </is>
      </c>
      <c r="E29" s="8" t="n"/>
      <c r="F29" s="8" t="n"/>
    </row>
    <row r="30">
      <c r="A30" s="6" t="inlineStr">
        <is>
          <t>Superficie clasificada NDVI 2025 (ha)</t>
        </is>
      </c>
      <c r="B30" s="7" t="n">
        <v>8.930999999999999</v>
      </c>
      <c r="C30" s="6" t="inlineStr">
        <is>
          <t>Desviación frente al catálogo (%)</t>
        </is>
      </c>
      <c r="D30" s="7" t="n">
        <v>0.02</v>
      </c>
      <c r="E30" s="8" t="n"/>
      <c r="F30" s="8" t="n"/>
    </row>
    <row r="31">
      <c r="A31" s="6" t="inlineStr">
        <is>
          <t>Superficie clasificada MSAVI 2024 (ha)</t>
        </is>
      </c>
      <c r="B31" s="37" t="n">
        <v>8.929</v>
      </c>
      <c r="C31" s="6" t="inlineStr">
        <is>
          <t>Desviación MSAVI frente al catálogo (%)</t>
        </is>
      </c>
      <c r="D31" s="38" t="n">
        <v>-0.01</v>
      </c>
      <c r="E31" s="8" t="n"/>
      <c r="F31" s="8" t="n"/>
    </row>
    <row r="32">
      <c r="A32" s="6" t="inlineStr">
        <is>
          <t>Superficie bajo umbral MSAVI 0.4976 (ha)</t>
        </is>
      </c>
      <c r="B32" s="37" t="n">
        <v>8.929</v>
      </c>
      <c r="C32" s="6" t="inlineStr">
        <is>
          <t>% del bloque bajo umbral (brecha espectral)</t>
        </is>
      </c>
      <c r="D32" s="38" t="n">
        <v>100</v>
      </c>
      <c r="E32" s="8" t="n"/>
      <c r="F32" s="8" t="n"/>
    </row>
    <row r="33">
      <c r="A33" s="6" t="inlineStr">
        <is>
          <t>Clase DN dominante (MSAVI 2024)</t>
        </is>
      </c>
      <c r="B33" s="7" t="inlineStr">
        <is>
          <t>DN 2 · 0.2650 - 0.3813 (Vigor muy bajo)</t>
        </is>
      </c>
      <c r="C33" s="6" t="inlineStr">
        <is>
          <t>N.° de polígonos MSAVI del bloque</t>
        </is>
      </c>
      <c r="D33" s="39" t="n">
        <v>52</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8.93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t>
        </is>
      </c>
      <c r="C44" s="6" t="inlineStr">
        <is>
          <t>Fecha de evaluación</t>
        </is>
      </c>
      <c r="D44" s="7" t="inlineStr">
        <is>
          <t>2026-07-20</t>
        </is>
      </c>
      <c r="E44" s="8" t="n"/>
      <c r="F44" s="8" t="n"/>
    </row>
    <row r="45">
      <c r="A45" s="6" t="inlineStr">
        <is>
          <t>Hora de registro</t>
        </is>
      </c>
      <c r="B45" s="7" t="inlineStr">
        <is>
          <t>11:43-12:15</t>
        </is>
      </c>
      <c r="C45" s="6" t="inlineStr">
        <is>
          <t>Correlativo de ficha</t>
        </is>
      </c>
      <c r="D45" s="49"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No consignada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Demanda de leña y presión agropecuaria comunal sobre el bosque seco, sin prácticas de manejo y conservación</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v>
      </c>
      <c r="C11" s="21">
        <f>ROUND(B11/$B$15*100,2)</f>
        <v/>
      </c>
      <c r="D11" s="13" t="inlineStr">
        <is>
          <t>Vigor moderado</t>
        </is>
      </c>
      <c r="E11" s="13" t="inlineStr">
        <is>
          <t>Sobre umbral</t>
        </is>
      </c>
    </row>
    <row r="12">
      <c r="A12" s="7" t="inlineStr">
        <is>
          <t>0.3813 - 0.4976 · DN 3</t>
        </is>
      </c>
      <c r="B12" s="18" t="n">
        <v>0.1365</v>
      </c>
      <c r="C12" s="19">
        <f>ROUND(B12/$B$15*100,2)</f>
        <v/>
      </c>
      <c r="D12" s="11" t="inlineStr">
        <is>
          <t>Vigor bajo</t>
        </is>
      </c>
      <c r="E12" s="11" t="inlineStr">
        <is>
          <t>BAJO umbral 0.4976</t>
        </is>
      </c>
    </row>
    <row r="13">
      <c r="A13" s="14" t="inlineStr">
        <is>
          <t>0.2650 - 0.3813 · DN 2</t>
        </is>
      </c>
      <c r="B13" s="31" t="n">
        <v>4.8342</v>
      </c>
      <c r="C13" s="30">
        <f>ROUND(B13/$B$15*100,2)</f>
        <v/>
      </c>
      <c r="D13" s="15" t="inlineStr">
        <is>
          <t>Vigor muy bajo</t>
        </is>
      </c>
      <c r="E13" s="15" t="inlineStr">
        <is>
          <t>BAJO umbral 0.4976</t>
        </is>
      </c>
    </row>
    <row r="14">
      <c r="A14" s="7" t="inlineStr">
        <is>
          <t>&lt;= 0.2650 · DN 1</t>
        </is>
      </c>
      <c r="B14" s="18" t="n">
        <v>3.958</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52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8.93</v>
      </c>
      <c r="C18" s="48" t="inlineStr">
        <is>
          <t>—</t>
        </is>
      </c>
      <c r="D18" s="45" t="inlineStr">
        <is>
          <t>Desviación planimétrica frente al catálogo</t>
        </is>
      </c>
      <c r="E18" s="45" t="inlineStr">
        <is>
          <t>-0.01 %</t>
        </is>
      </c>
    </row>
    <row r="19">
      <c r="A19" s="16" t="inlineStr">
        <is>
          <t>MSAVI 2024 — MEDIA DEL BLOQUE</t>
        </is>
      </c>
      <c r="B19" s="17" t="n">
        <v>0.274714</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(0.2747)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1.2826</v>
      </c>
      <c r="C25" s="19" t="n">
        <v>14.36</v>
      </c>
      <c r="D25" s="11" t="inlineStr">
        <is>
          <t>Pastizal cultivado, matorral ralo, parcelas agrícolas</t>
        </is>
      </c>
      <c r="E25" s="11" t="inlineStr"/>
    </row>
    <row r="26">
      <c r="A26" s="12" t="inlineStr">
        <is>
          <t>Vegetación ligera</t>
        </is>
      </c>
      <c r="B26" s="20" t="n">
        <v>6.7175</v>
      </c>
      <c r="C26" s="21" t="n">
        <v>75.20999999999999</v>
      </c>
      <c r="D26" s="13" t="inlineStr">
        <is>
          <t>Cobertura discontinua, suelo parcialmente expuesto</t>
        </is>
      </c>
      <c r="E26" s="13" t="inlineStr"/>
    </row>
    <row r="27">
      <c r="A27" s="7" t="inlineStr">
        <is>
          <t>Tierra desnuda</t>
        </is>
      </c>
      <c r="B27" s="18" t="n">
        <v>0.9313</v>
      </c>
      <c r="C27" s="19" t="n">
        <v>10.43</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8.93</v>
      </c>
      <c r="C29" s="25" t="inlineStr">
        <is>
          <t>—</t>
        </is>
      </c>
      <c r="D29" s="25" t="inlineStr">
        <is>
          <t>Desviación planimétrica frente al catálogo</t>
        </is>
      </c>
      <c r="E29" s="25" t="inlineStr">
        <is>
          <t>+0.02 %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0.00 % del polígono clasificado como «Vegetación alta» por el NDVI 2025; la observación de campo corresponde a una parcela o recorrido puntual y no es estadísticamente representativa de las 8.930 ha del bloque.</t>
        </is>
      </c>
      <c r="B31" s="40" t="n"/>
      <c r="C31" s="40" t="n"/>
      <c r="D31" s="40" t="n"/>
      <c r="E31" s="41"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81</t>
        </is>
      </c>
    </row>
    <row r="6" ht="24" customHeight="1">
      <c r="A6" s="4" t="inlineStr">
        <is>
          <t>Levantamiento del 2026-07-20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E-01</t>
        </is>
      </c>
      <c r="B10" s="11" t="inlineStr">
        <is>
          <t>Rasgo erosivo — Surco/cárcava</t>
        </is>
      </c>
      <c r="C10" s="26" t="n">
        <v>641368</v>
      </c>
      <c r="D10" s="26" t="n">
        <v>9401094</v>
      </c>
      <c r="E10" s="11" t="n">
        <v>315.7</v>
      </c>
      <c r="F10" s="11" t="inlineStr">
        <is>
          <t>Activa</t>
        </is>
      </c>
      <c r="G10" s="11" t="inlineStr">
        <is>
          <t>Caminos / huellas de ganado</t>
        </is>
      </c>
    </row>
    <row r="11">
      <c r="A11" s="12" t="inlineStr">
        <is>
          <t>E-02</t>
        </is>
      </c>
      <c r="B11" s="13" t="inlineStr">
        <is>
          <t>Rasgo erosivo — Surco/cárcava</t>
        </is>
      </c>
      <c r="C11" s="27" t="n">
        <v>641365</v>
      </c>
      <c r="D11" s="27" t="n">
        <v>9401097</v>
      </c>
      <c r="E11" s="13" t="n">
        <v>314.8</v>
      </c>
      <c r="F11" s="13" t="inlineStr">
        <is>
          <t>Semi-activa</t>
        </is>
      </c>
      <c r="G11" s="13" t="inlineStr">
        <is>
          <t>Socavamiento de cauce</t>
        </is>
      </c>
    </row>
    <row r="12">
      <c r="A12" s="7" t="inlineStr">
        <is>
          <t>H-01</t>
        </is>
      </c>
      <c r="B12" s="11" t="inlineStr">
        <is>
          <t>Fuente de agua — Quebrada permanente</t>
        </is>
      </c>
      <c r="C12" s="26" t="n">
        <v>641365</v>
      </c>
      <c r="D12" s="26" t="n">
        <v>9401097</v>
      </c>
      <c r="E12" s="11" t="n">
        <v>314.8</v>
      </c>
      <c r="F12" s="11" t="inlineStr">
        <is>
          <t>Permanente</t>
        </is>
      </c>
      <c r="G12" s="11" t="inlineStr">
        <is>
          <t>Discurre por el borde</t>
        </is>
      </c>
    </row>
    <row r="13">
      <c r="A13" s="12" t="inlineStr">
        <is>
          <t>H-02</t>
        </is>
      </c>
      <c r="B13" s="13" t="inlineStr">
        <is>
          <t>Fuente de agua — Canal de riego</t>
        </is>
      </c>
      <c r="C13" s="27" t="n">
        <v>641626</v>
      </c>
      <c r="D13" s="27" t="n">
        <v>9401035</v>
      </c>
      <c r="E13" s="13" t="n">
        <v>336.7</v>
      </c>
      <c r="F13" s="13" t="inlineStr">
        <is>
          <t>Permanente</t>
        </is>
      </c>
      <c r="G13" s="13" t="inlineStr">
        <is>
          <t>Canal revestido en operación</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641538</v>
      </c>
      <c r="C16" s="6" t="inlineStr">
        <is>
          <t>Centroide del bloque — UTM NORTE (m)</t>
        </is>
      </c>
      <c r="D16" s="7" t="n">
        <v>9401360</v>
      </c>
      <c r="E16" s="8" t="n"/>
      <c r="F16" s="8" t="n"/>
      <c r="G16" s="8" t="n"/>
      <c r="H16" s="8" t="n"/>
    </row>
    <row r="17">
      <c r="A17" s="6" t="inlineStr">
        <is>
          <t>N.° de estaciones fotográficas declaradas</t>
        </is>
      </c>
      <c r="B17" s="7" t="inlineStr">
        <is>
          <t>Sin registro en la ficha DT</t>
        </is>
      </c>
      <c r="C17" s="6" t="inlineStr">
        <is>
          <t>Estaciones dentro del polígono</t>
        </is>
      </c>
      <c r="D17" s="7" t="inlineStr">
        <is>
          <t>Por determinar</t>
        </is>
      </c>
      <c r="E17" s="8" t="n"/>
      <c r="F17" s="8" t="n"/>
      <c r="G17" s="8" t="n"/>
      <c r="H17" s="8" t="n"/>
    </row>
    <row r="19" ht="84"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Terreno de la Comunidad Campesina de Andanjo. Opera el Vivero Forestal Hualtacal (Proyecto Pusmalca). Altitud GPS de campo por verificar.</t>
        </is>
      </c>
      <c r="B19" s="40" t="n"/>
      <c r="C19" s="40" t="n"/>
      <c r="D19" s="40" t="n"/>
      <c r="E19" s="40" t="n"/>
      <c r="F19" s="40" t="n"/>
      <c r="G19" s="41"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C1076-Q9585 — BLOQUE 81</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C1076-Q9585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M20B1</t>
        </is>
      </c>
      <c r="B10" s="28" t="n">
        <v>279.68</v>
      </c>
      <c r="C10" s="19" t="n">
        <v>96.91</v>
      </c>
      <c r="D10" s="11" t="inlineStr">
        <is>
          <t>249 – 525</t>
        </is>
      </c>
      <c r="E10" s="11" t="n">
        <v>276</v>
      </c>
      <c r="F10" s="11" t="n">
        <v>15.53</v>
      </c>
      <c r="G10" s="18" t="n">
        <v>0.3553</v>
      </c>
      <c r="H10" s="19" t="n">
        <v>8.960000000000001</v>
      </c>
      <c r="I10" s="19" t="n">
        <v>97.18000000000001</v>
      </c>
    </row>
    <row r="11">
      <c r="A11" s="14" t="inlineStr">
        <is>
          <t>► 81</t>
        </is>
      </c>
      <c r="B11" s="29" t="n">
        <v>8.93</v>
      </c>
      <c r="C11" s="30" t="n">
        <v>3.09</v>
      </c>
      <c r="D11" s="15" t="inlineStr">
        <is>
          <t>272 – 371</t>
        </is>
      </c>
      <c r="E11" s="15" t="n">
        <v>99</v>
      </c>
      <c r="F11" s="15" t="n">
        <v>16.05</v>
      </c>
      <c r="G11" s="31" t="n">
        <v>0.2747</v>
      </c>
      <c r="H11" s="30" t="n">
        <v>0</v>
      </c>
      <c r="I11" s="30" t="n">
        <v>100</v>
      </c>
    </row>
    <row r="12">
      <c r="A12" s="16" t="inlineStr">
        <is>
          <t>TOTAL / PROMEDIO</t>
        </is>
      </c>
      <c r="B12" s="32">
        <f>SUM(B10:B11)</f>
        <v/>
      </c>
      <c r="C12" s="23">
        <f>SUM(C10:C11)</f>
        <v/>
      </c>
      <c r="D12" s="17" t="inlineStr">
        <is>
          <t>249 – 525</t>
        </is>
      </c>
      <c r="E12" s="17" t="inlineStr"/>
      <c r="F12" s="17">
        <f>ROUND(AVERAGE(F10:F11),2)</f>
        <v/>
      </c>
      <c r="G12" s="22">
        <f>ROUND(AVERAGE(G10:G11),4)</f>
        <v/>
      </c>
      <c r="H12" s="23">
        <f>ROUND(AVERAGE(H10:H11),2)</f>
        <v/>
      </c>
      <c r="I12" s="23">
        <f>ROUND(AVERAGE(I10:I11),2)</f>
        <v/>
      </c>
    </row>
    <row r="14" ht="84" customHeight="1">
      <c r="A14" s="9" t="inlineStr">
        <is>
          <t>LECTURA INTRAMICROCUENCA. El bloque 81 ocupa el puesto 2 de 2 por superficie dentro de la microcuenca C1076-Q9585 (3.09 % de las 288.61 ha preliminares de la microcuenca). Su pendiente promedio (16.05 %, clase «15-25% (Fuert. inclinado)») es la 2.ª más baja de 2 y se sitúa por encima del promedio de la microcuenca (15.79 %). Su MSAVI 2024 (0.2747) es el 2.º de 2 y queda por debajo del promedio local (0.3150). Amplitud altitudinal del bloque: 99 m (272–371 msnm). El cuadro conserva todos los bloques catalogados en la microcuenca, incluidos los descartados en el tamizaje, para referencia del conjunto. Los bloques sin ficha DT figuran con sus parámetros de gabinete. BRECHA ESPECTRAL. El 100.00 % de la superficie del bloque (8.929 ha de 8.929 ha) se sitúa bajo el umbral MSAVI 0.4976, por encima del promedio local de la microcuenca (98.59 %) calculado sobre los bloques con dato MSAVI disponible.</t>
        </is>
      </c>
      <c r="B14" s="40" t="n"/>
      <c r="C14" s="40" t="n"/>
      <c r="D14" s="40" t="n"/>
      <c r="E14" s="40" t="n"/>
      <c r="F14" s="40" t="n"/>
      <c r="G14" s="40" t="n"/>
      <c r="H14" s="40" t="n"/>
      <c r="I14" s="41"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0" t="n"/>
      <c r="C16" s="40" t="n"/>
      <c r="D16" s="40" t="n"/>
      <c r="E16" s="40" t="n"/>
      <c r="F16" s="40" t="n"/>
      <c r="G16" s="40" t="n"/>
      <c r="H16" s="40" t="n"/>
      <c r="I16" s="41"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81</t>
        </is>
      </c>
    </row>
    <row r="6">
      <c r="A6" s="51" t="inlineStr">
        <is>
          <t>Cruce de la ficha de campo F-DT vigente con la ficha de resumen de gabinete y el catálogo maestro. Integración 2026-09-11 20:22:33.</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«C1076-Q9585».</t>
        </is>
      </c>
      <c r="D9" s="55" t="inlineStr">
        <is>
          <t>CONFORME</t>
        </is>
      </c>
      <c r="E9" s="55" t="inlineStr">
        <is>
          <t>Sin acción.</t>
        </is>
      </c>
    </row>
    <row r="10">
      <c r="A10" s="56" t="inlineStr">
        <is>
          <t>G-02</t>
        </is>
      </c>
      <c r="B10" s="56" t="inlineStr">
        <is>
          <t>UTM del punto de muestreo</t>
        </is>
      </c>
      <c r="C10" s="56" t="inlineStr">
        <is>
          <t>El punto de muestreo declarado dista 315.7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No es posible contrastar la altitud GPS con el rango altitudinal del bloque: falta uno de los dos datos.</t>
        </is>
      </c>
      <c r="D12" s="56" t="inlineStr">
        <is>
          <t>NO SUSTANTIVA</t>
        </is>
      </c>
      <c r="E12" s="56" t="inlineStr">
        <is>
          <t>Se completa con la lectura GPS de F-DT-01 o con la estadística zonal del MDE.</t>
        </is>
      </c>
    </row>
    <row r="13">
      <c r="A13" s="55" t="inlineStr">
        <is>
          <t>G-05</t>
        </is>
      </c>
      <c r="B13" s="55" t="inlineStr">
        <is>
          <t>Superficie NDVI vs. catálogo</t>
        </is>
      </c>
      <c r="C13" s="55" t="inlineStr">
        <is>
          <t>La superficie clasificada por el NDVI mediana 2025 (8.931 ha) se desvía 0.01 % de la superficie de catálogo (8.93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(8.929 ha) se desvía -0.01 % de la superficie de catálogo (8.93 ha).</t>
        </is>
      </c>
      <c r="D14" s="56" t="inlineStr">
        <is>
          <t>CONFORME</t>
        </is>
      </c>
      <c r="E14" s="56" t="inlineStr">
        <is>
          <t>Sin acción: la segmentación valida la geometría del bloque.</t>
        </is>
      </c>
    </row>
    <row r="15">
      <c r="A15" s="55" t="inlineStr">
        <is>
          <t>G-07</t>
        </is>
      </c>
      <c r="B15" s="55" t="inlineStr">
        <is>
          <t>Brecha espectral MSAVI</t>
        </is>
      </c>
      <c r="C15" s="55" t="inlineStr">
        <is>
          <t>El 100.00 % del bloque queda bajo el umbral 0.4976; superficie de brecha 8.9287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8.9287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(0.2747) cae en la clase «0.2650 - 0.3813 (Vigor muy bajo)» y la clase DN dominante por superficie es «DN 2 · 0.2650 - 0.3813 (Vigor muy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92.9 % de los campos esperados).</t>
        </is>
      </c>
      <c r="D19" s="55" t="inlineStr">
        <is>
          <t>CONFORME</t>
        </is>
      </c>
      <c r="E19" s="55" t="inlineStr">
        <is>
          <t>Sin acción.</t>
        </is>
      </c>
    </row>
    <row r="20">
      <c r="A20" s="56" t="inlineStr">
        <is>
          <t>F-02</t>
        </is>
      </c>
      <c r="B20" s="56" t="inlineStr">
        <is>
          <t>Cobertura de la integración</t>
        </is>
      </c>
      <c r="C20" s="56" t="inlineStr">
        <is>
          <t>Se declararon 89 de 114 hechos integrados (78.1 %); 25 quedan sin dato en ninguna fuente.</t>
        </is>
      </c>
      <c r="D20" s="56" t="inlineStr">
        <is>
          <t>CONFORME</t>
        </is>
      </c>
      <c r="E20" s="56" t="inlineStr">
        <is>
          <t>Sin acción.</t>
        </is>
      </c>
    </row>
    <row r="21">
      <c r="A21" s="55" t="inlineStr">
        <is>
          <t>H-01</t>
        </is>
      </c>
      <c r="B21" s="55" t="inlineStr">
        <is>
          <t>Cobertura vegetal total</t>
        </is>
      </c>
      <c r="C21" s="55" t="inlineStr">
        <is>
          <t>La ficha DT estima 70 % de cobertura vegetal en campo; el NDVI mediana 2025 clasifica 89.57 % del polígono en clases de vegetación</t>
        </is>
      </c>
      <c r="D21" s="55" t="inlineStr">
        <is>
          <t>NO SUSTANTIVA</t>
        </is>
      </c>
      <c r="E21" s="55"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2">
      <c r="A22" s="56" t="inlineStr">
        <is>
          <t>H-02</t>
        </is>
      </c>
      <c r="B22" s="56" t="inlineStr">
        <is>
          <t>Dimensiones del inventario de cárcavas</t>
        </is>
      </c>
      <c r="C22" s="56" t="inlineStr">
        <is>
          <t>Se registran 2 rasgos erosivos, pero longitud, profundidad y ancho no fueron medidos instrumentalmente</t>
        </is>
      </c>
      <c r="D22" s="56" t="inlineStr">
        <is>
          <t>NO SUSTANTIVA</t>
        </is>
      </c>
      <c r="E22" s="56" t="inlineStr">
        <is>
          <t>El conteo registrado no debe usarse para calcular densidad de cárcavas por hectárea. Pendiente de levantamiento con GPS submétrico. (Verificación heredada de la ficha de resumen V6.)</t>
        </is>
      </c>
    </row>
    <row r="23">
      <c r="A23" s="55" t="inlineStr">
        <is>
          <t>H-03</t>
        </is>
      </c>
      <c r="B23" s="55" t="inlineStr">
        <is>
          <t>Elenco florístico</t>
        </is>
      </c>
      <c r="C23" s="55" t="inlineStr">
        <is>
          <t>La ficha registra 14 taxones, por debajo del mínimo de 15 que exige el formato V5</t>
        </is>
      </c>
      <c r="D23" s="55" t="inlineStr">
        <is>
          <t>SUSTANTIVA</t>
        </is>
      </c>
      <c r="E23" s="55" t="inlineStr">
        <is>
          <t>Registro florístico preliminar, sin colecta ni determinación botánica formal. Debe cerrarse con colecta botánica en la siguiente campaña. (Verificación heredada de la ficha de resumen V6.)</t>
        </is>
      </c>
    </row>
    <row r="24">
      <c r="A24" s="56" t="inlineStr">
        <is>
          <t>H-04</t>
        </is>
      </c>
      <c r="B24" s="56" t="inlineStr">
        <is>
          <t>Centro poblado asociado</t>
        </is>
      </c>
      <c r="C24" s="56" t="inlineStr">
        <is>
          <t>La ficha DT declara «Hualtacal»; el cruce INEI-Bloques V5 identifica 1 centro(s) poblado(s) en el bloque: HUALTACAL</t>
        </is>
      </c>
      <c r="D24" s="56" t="inlineStr">
        <is>
          <t>CONFORME</t>
        </is>
      </c>
      <c r="E24" s="56" t="inlineStr">
        <is>
          <t>Se conserva el registro de campo como referencia y se adopta el listado INEI para el diagnóstico social y el cálculo de población beneficiaria. (Verificación heredada de la ficha de resumen V6.)</t>
        </is>
      </c>
    </row>
    <row r="26">
      <c r="A26" s="57" t="inlineStr">
        <is>
          <t>RESUMEN</t>
        </is>
      </c>
      <c r="B26" s="58" t="inlineStr">
        <is>
          <t>16 verificaciones</t>
        </is>
      </c>
      <c r="C26" s="58" t="inlineStr">
        <is>
          <t>SUSTANTIVA: 2 · NO SUSTANTIVA: 3 · CONFORME: 11</t>
        </is>
      </c>
    </row>
    <row r="28">
      <c r="A28"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81</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641368</t>
        </is>
      </c>
      <c r="D13" s="55" t="inlineStr">
        <is>
          <t>m</t>
        </is>
      </c>
    </row>
    <row r="14">
      <c r="A14" s="56" t="inlineStr">
        <is>
          <t>1. Identificación y localización</t>
        </is>
      </c>
      <c r="B14" s="56" t="inlineStr">
        <is>
          <t>UTM NORTE del punto de muestreo (m)</t>
        </is>
      </c>
      <c r="C14" s="56" t="inlineStr">
        <is>
          <t>9401094</t>
        </is>
      </c>
      <c r="D14" s="56" t="inlineStr">
        <is>
          <t>m</t>
        </is>
      </c>
    </row>
    <row r="15">
      <c r="A15" s="55" t="inlineStr">
        <is>
          <t>2. Parámetros físicos del terreno</t>
        </is>
      </c>
      <c r="B15" s="55" t="inlineStr">
        <is>
          <t>Piso altitudinal del punto de muestreo</t>
        </is>
      </c>
      <c r="C15" s="55" t="inlineStr">
        <is>
          <t>&lt;1000 m (Yunga)</t>
        </is>
      </c>
      <c r="D15" s="55" t="inlineStr"/>
    </row>
    <row r="16">
      <c r="A16" s="56" t="inlineStr">
        <is>
          <t>2. Parámetros físicos del terreno</t>
        </is>
      </c>
      <c r="B16" s="56" t="inlineStr">
        <is>
          <t>Paisaje dominante descrito en campo</t>
        </is>
      </c>
      <c r="C16" s="56" t="inlineStr">
        <is>
          <t>Bosque estacionalmente seco de colina, dosel abierto con emergentes de Ceibo y Algarrobo; laderas sobre corredor de quebrada y canal de riego.</t>
        </is>
      </c>
      <c r="D16" s="56" t="inlineStr"/>
    </row>
    <row r="17">
      <c r="A17" s="55" t="inlineStr">
        <is>
          <t>2. Parámetros físicos del terreno</t>
        </is>
      </c>
      <c r="B17" s="55" t="inlineStr">
        <is>
          <t>Reptación de suelo</t>
        </is>
      </c>
      <c r="C17" s="55" t="inlineStr">
        <is>
          <t>No</t>
        </is>
      </c>
      <c r="D17" s="55" t="inlineStr"/>
    </row>
    <row r="18">
      <c r="A18" s="56" t="inlineStr">
        <is>
          <t>2. Parámetros físicos del terreno</t>
        </is>
      </c>
      <c r="B18" s="56" t="inlineStr">
        <is>
          <t>Deslizamientos antiguos</t>
        </is>
      </c>
      <c r="C18" s="56" t="inlineStr">
        <is>
          <t>No</t>
        </is>
      </c>
      <c r="D18" s="56" t="inlineStr"/>
    </row>
    <row r="19">
      <c r="A19" s="55" t="inlineStr">
        <is>
          <t>4. Suelos y erosión (F-DT-02)</t>
        </is>
      </c>
      <c r="B19" s="55" t="inlineStr">
        <is>
          <t>Nivel de erosión - síntesis de campo</t>
        </is>
      </c>
      <c r="C19" s="55" t="inlineStr">
        <is>
          <t>Moderada (surcos)</t>
        </is>
      </c>
      <c r="D19" s="55" t="inlineStr"/>
    </row>
    <row r="20">
      <c r="A20" s="56" t="inlineStr">
        <is>
          <t>4. Suelos y erosión (F-DT-02)</t>
        </is>
      </c>
      <c r="B20" s="56" t="inlineStr">
        <is>
          <t>Compactación por pisoteo</t>
        </is>
      </c>
      <c r="C20" s="56" t="inlineStr">
        <is>
          <t>Sí</t>
        </is>
      </c>
      <c r="D20" s="56" t="inlineStr"/>
    </row>
    <row r="21">
      <c r="A21" s="55" t="inlineStr">
        <is>
          <t>4. Suelos y erosión (F-DT-02)</t>
        </is>
      </c>
      <c r="B21" s="55" t="inlineStr">
        <is>
          <t>Raíces expuestas</t>
        </is>
      </c>
      <c r="C21" s="55" t="inlineStr">
        <is>
          <t>Sí</t>
        </is>
      </c>
      <c r="D21" s="55" t="inlineStr"/>
    </row>
    <row r="22">
      <c r="A22" s="56" t="inlineStr">
        <is>
          <t>4. Suelos y erosión (F-DT-02)</t>
        </is>
      </c>
      <c r="B22" s="56" t="inlineStr">
        <is>
          <t>Patrón de cárcavas</t>
        </is>
      </c>
      <c r="C22" s="56" t="inlineStr">
        <is>
          <t>Aislado</t>
        </is>
      </c>
      <c r="D22" s="56" t="inlineStr"/>
    </row>
    <row r="23">
      <c r="A23" s="55" t="inlineStr">
        <is>
          <t>4. Suelos y erosión (F-DT-02)</t>
        </is>
      </c>
      <c r="B23" s="55" t="inlineStr">
        <is>
          <t>Socavamiento de cauce</t>
        </is>
      </c>
      <c r="C23" s="55" t="inlineStr">
        <is>
          <t>F-15</t>
        </is>
      </c>
      <c r="D23" s="55" t="inlineStr"/>
    </row>
    <row r="24">
      <c r="A24" s="56" t="inlineStr">
        <is>
          <t>5. Ecosistema, cobertura y flora (F-DT-03)</t>
        </is>
      </c>
      <c r="B24" s="56" t="inlineStr">
        <is>
          <t>Fenología dominante</t>
        </is>
      </c>
      <c r="C24" s="56" t="inlineStr">
        <is>
          <t>Caducifolio (hojas caídas)</t>
        </is>
      </c>
      <c r="D24" s="56" t="inlineStr"/>
    </row>
    <row r="25">
      <c r="A25" s="55" t="inlineStr">
        <is>
          <t>5. Ecosistema, cobertura y flora (F-DT-03)</t>
        </is>
      </c>
      <c r="B25" s="55" t="inlineStr">
        <is>
          <t>Especies clave georreferenciadas</t>
        </is>
      </c>
      <c r="C25" s="55" t="inlineStr">
        <is>
          <t>5</t>
        </is>
      </c>
      <c r="D25" s="55" t="inlineStr"/>
    </row>
    <row r="26">
      <c r="A26" s="56" t="inlineStr">
        <is>
          <t>6. Degradación, causas y urgencia (F-DT-04)</t>
        </is>
      </c>
      <c r="B26" s="56" t="inlineStr">
        <is>
          <t>Causas directas de la degradación</t>
        </is>
      </c>
      <c r="C26" s="56" t="inlineStr">
        <is>
          <t>Extracción de leña (principal), sobrepastoreo caprino/vacuno, cambio de uso agrícola asociado al canal de riego y desestabilización de taludes por la trocha carrozable.</t>
        </is>
      </c>
      <c r="D26" s="56" t="inlineStr"/>
    </row>
    <row r="27">
      <c r="A27" s="55" t="inlineStr">
        <is>
          <t>6. Degradación, causas y urgencia (F-DT-04)</t>
        </is>
      </c>
      <c r="B27" s="55" t="inlineStr">
        <is>
          <t>N.° de causas activas en la matriz F-DT-04</t>
        </is>
      </c>
      <c r="C27" s="55" t="inlineStr">
        <is>
          <t>6</t>
        </is>
      </c>
      <c r="D27" s="55" t="inlineStr"/>
    </row>
    <row r="28">
      <c r="A28" s="56" t="inlineStr">
        <is>
          <t>7. Hidrología, acceso y logística (F-DT-05)</t>
        </is>
      </c>
      <c r="B28" s="56" t="inlineStr">
        <is>
          <t>Escorrentía concentrada</t>
        </is>
      </c>
      <c r="C28" s="56" t="inlineStr">
        <is>
          <t>Sí</t>
        </is>
      </c>
      <c r="D28" s="56" t="inlineStr"/>
    </row>
    <row r="29">
      <c r="A29" s="55" t="inlineStr">
        <is>
          <t>7. Hidrología, acceso y logística (F-DT-05)</t>
        </is>
      </c>
      <c r="B29" s="55" t="inlineStr">
        <is>
          <t>Fuentes de agua inventariadas</t>
        </is>
      </c>
      <c r="C29" s="55" t="inlineStr">
        <is>
          <t>2</t>
        </is>
      </c>
      <c r="D29" s="55" t="inlineStr"/>
    </row>
    <row r="30">
      <c r="A30" s="56" t="inlineStr">
        <is>
          <t>7. Hidrología, acceso y logística (F-DT-05)</t>
        </is>
      </c>
      <c r="B30" s="56" t="inlineStr">
        <is>
          <t>Interferencia con riego</t>
        </is>
      </c>
      <c r="C30" s="56" t="inlineStr">
        <is>
          <t>Sí</t>
        </is>
      </c>
      <c r="D30" s="56" t="inlineStr"/>
    </row>
    <row r="31">
      <c r="A31" s="55" t="inlineStr">
        <is>
          <t>7. Hidrología, acceso y logística (F-DT-05)</t>
        </is>
      </c>
      <c r="B31" s="55" t="inlineStr">
        <is>
          <t>Vía principal de acceso</t>
        </is>
      </c>
      <c r="C31" s="55" t="inlineStr">
        <is>
          <t>Trocha carrozable desde Canchaque, vía caserío Hualtacal</t>
        </is>
      </c>
      <c r="D31" s="55" t="inlineStr"/>
    </row>
    <row r="32">
      <c r="A32" s="56" t="inlineStr">
        <is>
          <t>7. Hidrología, acceso y logística (F-DT-05)</t>
        </is>
      </c>
      <c r="B32" s="56" t="inlineStr">
        <is>
          <t>Tipo de vía del tramo final</t>
        </is>
      </c>
      <c r="C32" s="56" t="inlineStr">
        <is>
          <t>Trocha carrozable</t>
        </is>
      </c>
      <c r="D32" s="56" t="inlineStr"/>
    </row>
    <row r="33">
      <c r="A33" s="55" t="inlineStr">
        <is>
          <t>7. Hidrología, acceso y logística (F-DT-05)</t>
        </is>
      </c>
      <c r="B33" s="55" t="inlineStr">
        <is>
          <t>Transitabilidad en época seca</t>
        </is>
      </c>
      <c r="C33" s="55" t="inlineStr">
        <is>
          <t>Alto</t>
        </is>
      </c>
      <c r="D33" s="55" t="inlineStr"/>
    </row>
    <row r="34">
      <c r="A34" s="56" t="inlineStr">
        <is>
          <t>7. Hidrología, acceso y logística (F-DT-05)</t>
        </is>
      </c>
      <c r="B34" s="56" t="inlineStr">
        <is>
          <t>Transitabilidad en época lluviosa</t>
        </is>
      </c>
      <c r="C34" s="56" t="inlineStr">
        <is>
          <t>Medio</t>
        </is>
      </c>
      <c r="D34" s="56" t="inlineStr"/>
    </row>
    <row r="35">
      <c r="A35" s="55" t="inlineStr">
        <is>
          <t>7. Hidrología, acceso y logística (F-DT-05)</t>
        </is>
      </c>
      <c r="B35" s="55" t="inlineStr">
        <is>
          <t>Requiere coordinación con ronda / comunidad</t>
        </is>
      </c>
      <c r="C35" s="55" t="inlineStr">
        <is>
          <t>No</t>
        </is>
      </c>
      <c r="D35" s="55" t="inlineStr"/>
    </row>
    <row r="37">
      <c r="A37" s="53" t="inlineStr">
        <is>
          <t>C. PROCEDENCIA DE LOS HECHOS DECLARADOS</t>
        </is>
      </c>
    </row>
    <row r="38">
      <c r="A38" s="54" t="inlineStr">
        <is>
          <t>Fuente</t>
        </is>
      </c>
      <c r="B38" s="54" t="inlineStr">
        <is>
          <t>Hechos</t>
        </is>
      </c>
      <c r="C38" s="54" t="inlineStr">
        <is>
          <t>Alcance de la fuente</t>
        </is>
      </c>
    </row>
    <row r="39">
      <c r="A39" s="55" t="inlineStr">
        <is>
          <t>Dato de campo</t>
        </is>
      </c>
      <c r="B39" s="55" t="n">
        <v>52</v>
      </c>
      <c r="C39" s="55" t="inlineStr">
        <is>
          <t>Verificación en campo. Fichas F-DT-01 a F-DT-05 de la Plantilla DT Campo Check Validada V5, suscritas por el evaluador.</t>
        </is>
      </c>
    </row>
    <row r="40">
      <c r="A40" s="56" t="inlineStr">
        <is>
          <t>Gabinete (GIS / teledetección)</t>
        </is>
      </c>
      <c r="B40" s="56" t="n">
        <v>23</v>
      </c>
      <c r="C40" s="56" t="inlineStr">
        <is>
          <t>Gabinete. Estadística zonal sobre el MDE y compuestos Sentinel-2 (NDVI mediana 2025, MSAVI 2024 por clase DN).</t>
        </is>
      </c>
    </row>
    <row r="41">
      <c r="A41" s="55" t="inlineStr">
        <is>
          <t>Fuente oficial</t>
        </is>
      </c>
      <c r="B41" s="55" t="n">
        <v>14</v>
      </c>
      <c r="C41" s="55" t="inlineStr">
        <is>
          <t>Fuente oficial. Catálogo maestro Bloques V5/V6, división política INEI y codificación de microcuencas de la ANA.</t>
        </is>
      </c>
    </row>
    <row r="43">
      <c r="A43" s="53" t="inlineStr">
        <is>
          <t>D. ESTADO DEL CRUCE ENTRE FUENTES</t>
        </is>
      </c>
    </row>
    <row r="44">
      <c r="A44" s="54" t="inlineStr">
        <is>
          <t>Estado</t>
        </is>
      </c>
      <c r="B44" s="54" t="inlineStr">
        <is>
          <t>Hechos</t>
        </is>
      </c>
      <c r="C44" s="54" t="inlineStr">
        <is>
          <t>Significado</t>
        </is>
      </c>
    </row>
    <row r="45">
      <c r="A45" s="55" t="inlineStr">
        <is>
          <t>CONFORME</t>
        </is>
      </c>
      <c r="B45" s="55" t="n">
        <v>87</v>
      </c>
      <c r="C45" s="55" t="inlineStr">
        <is>
          <t>Las dos fuentes declaran lo mismo, o solo la fuente que manda sobre el hecho lo declara.</t>
        </is>
      </c>
    </row>
    <row r="46">
      <c r="A46" s="56" t="inlineStr">
        <is>
          <t>COMPLEMENTADO</t>
        </is>
      </c>
      <c r="B46" s="56" t="n">
        <v>2</v>
      </c>
      <c r="C46" s="56" t="inlineStr">
        <is>
          <t>Solo una de las fuentes lo declara y se adopta ese valor.</t>
        </is>
      </c>
    </row>
    <row r="47">
      <c r="A47" s="55" t="inlineStr">
        <is>
          <t>ACTUALIZADO</t>
        </is>
      </c>
      <c r="B47" s="55" t="n">
        <v>0</v>
      </c>
      <c r="C47" s="55" t="inlineStr">
        <is>
          <t>La verificación de campo vigente corrige lo que traía el libro de resumen.</t>
        </is>
      </c>
    </row>
    <row r="48">
      <c r="A48" s="56" t="inlineStr">
        <is>
          <t>DISCREPANTE</t>
        </is>
      </c>
      <c r="B48" s="56" t="n">
        <v>0</v>
      </c>
      <c r="C48" s="56" t="inlineStr">
        <is>
          <t>Las fuentes se contradicen; prevalece la que manda sobre el hecho y la otra queda declarada.</t>
        </is>
      </c>
    </row>
    <row r="49">
      <c r="A49" s="55" t="inlineStr">
        <is>
          <t>PENDIENTE</t>
        </is>
      </c>
      <c r="B49" s="55" t="n">
        <v>25</v>
      </c>
      <c r="C49"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81</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E-01</t>
        </is>
      </c>
      <c r="B9" s="55" t="inlineStr">
        <is>
          <t>Surco (&lt;30 cm)</t>
        </is>
      </c>
      <c r="C9" s="60" t="n">
        <v>641368</v>
      </c>
      <c r="D9" s="60" t="n">
        <v>9401094</v>
      </c>
      <c r="E9" s="55" t="n"/>
      <c r="F9" s="55" t="n"/>
      <c r="G9" s="55" t="n"/>
      <c r="H9" s="55" t="inlineStr">
        <is>
          <t>Activa</t>
        </is>
      </c>
      <c r="I9" s="55" t="inlineStr">
        <is>
          <t>Caminos / huellas de ganado</t>
        </is>
      </c>
    </row>
    <row r="10">
      <c r="A10" s="56" t="inlineStr">
        <is>
          <t>E-02</t>
        </is>
      </c>
      <c r="B10" s="56" t="inlineStr">
        <is>
          <t>Cárcava incipiente (30-50 cm)</t>
        </is>
      </c>
      <c r="C10" s="61" t="n">
        <v>641365</v>
      </c>
      <c r="D10" s="61" t="n">
        <v>9401097</v>
      </c>
      <c r="E10" s="56" t="n"/>
      <c r="F10" s="56" t="n"/>
      <c r="G10" s="56" t="n"/>
      <c r="H10" s="56" t="inlineStr">
        <is>
          <t>Semi-activa</t>
        </is>
      </c>
      <c r="I10" s="56" t="inlineStr">
        <is>
          <t>Socavamiento de cauce</t>
        </is>
      </c>
    </row>
    <row r="12">
      <c r="A12" s="53" t="inlineStr">
        <is>
          <t>F-DT-03 · ELENCO FLORÍSTICO</t>
        </is>
      </c>
    </row>
    <row r="13">
      <c r="A13" s="54" t="inlineStr">
        <is>
          <t>N.o</t>
        </is>
      </c>
      <c r="B13" s="54" t="inlineStr">
        <is>
          <t>Nombre común</t>
        </is>
      </c>
      <c r="C13" s="54" t="inlineStr">
        <is>
          <t>Nombre científico</t>
        </is>
      </c>
      <c r="D13" s="54" t="inlineStr">
        <is>
          <t>Familia</t>
        </is>
      </c>
      <c r="E13" s="54" t="inlineStr">
        <is>
          <t>Estrato</t>
        </is>
      </c>
      <c r="F13" s="54" t="inlineStr">
        <is>
          <t>Origen</t>
        </is>
      </c>
      <c r="G13" s="54" t="inlineStr">
        <is>
          <t>Abundancia</t>
        </is>
      </c>
      <c r="H13" s="54" t="inlineStr">
        <is>
          <t>DAP (cm)</t>
        </is>
      </c>
      <c r="I13" s="54" t="inlineStr">
        <is>
          <t>Altura (m)</t>
        </is>
      </c>
    </row>
    <row r="14">
      <c r="A14" s="55" t="inlineStr">
        <is>
          <t>1</t>
        </is>
      </c>
      <c r="B14" s="55" t="inlineStr">
        <is>
          <t>Ceibo</t>
        </is>
      </c>
      <c r="C14" s="55" t="inlineStr">
        <is>
          <t>Ceiba trichistandra</t>
        </is>
      </c>
      <c r="D14" s="55" t="inlineStr">
        <is>
          <t>Malvaceae</t>
        </is>
      </c>
      <c r="E14" s="55" t="inlineStr">
        <is>
          <t>Arbóreo superior (&gt;15 m)</t>
        </is>
      </c>
      <c r="F14" s="55" t="inlineStr">
        <is>
          <t>Nativa</t>
        </is>
      </c>
      <c r="G14" s="55" t="inlineStr"/>
      <c r="H14" s="55" t="n"/>
      <c r="I14" s="55" t="n"/>
    </row>
    <row r="15">
      <c r="A15" s="56" t="inlineStr">
        <is>
          <t>2</t>
        </is>
      </c>
      <c r="B15" s="56" t="inlineStr">
        <is>
          <t>Algarrobo</t>
        </is>
      </c>
      <c r="C15" s="56" t="inlineStr">
        <is>
          <t>Prosopis pallida</t>
        </is>
      </c>
      <c r="D15" s="56" t="inlineStr">
        <is>
          <t>Fabaceae</t>
        </is>
      </c>
      <c r="E15" s="56" t="inlineStr">
        <is>
          <t>Arbóreo medio (8-15 m)</t>
        </is>
      </c>
      <c r="F15" s="56" t="inlineStr">
        <is>
          <t>Nativa</t>
        </is>
      </c>
      <c r="G15" s="56" t="inlineStr"/>
      <c r="H15" s="56" t="n"/>
      <c r="I15" s="56" t="n"/>
    </row>
    <row r="16">
      <c r="A16" s="55" t="inlineStr">
        <is>
          <t>3</t>
        </is>
      </c>
      <c r="B16" s="55" t="inlineStr">
        <is>
          <t>Faique</t>
        </is>
      </c>
      <c r="C16" s="55" t="inlineStr">
        <is>
          <t>Vachellia macracantha</t>
        </is>
      </c>
      <c r="D16" s="55" t="inlineStr">
        <is>
          <t>Fabaceae</t>
        </is>
      </c>
      <c r="E16" s="55" t="inlineStr">
        <is>
          <t>Arbóreo bajo (4-8 m)</t>
        </is>
      </c>
      <c r="F16" s="55" t="inlineStr">
        <is>
          <t>Nativa</t>
        </is>
      </c>
      <c r="G16" s="55" t="inlineStr"/>
      <c r="H16" s="55" t="n"/>
      <c r="I16" s="55" t="n"/>
    </row>
    <row r="17">
      <c r="A17" s="56" t="inlineStr">
        <is>
          <t>4</t>
        </is>
      </c>
      <c r="B17" s="56" t="inlineStr">
        <is>
          <t>Hualtaco</t>
        </is>
      </c>
      <c r="C17" s="56" t="inlineStr">
        <is>
          <t>Loxopterygium huasango</t>
        </is>
      </c>
      <c r="D17" s="56" t="inlineStr">
        <is>
          <t>Anacardiaceae</t>
        </is>
      </c>
      <c r="E17" s="56" t="inlineStr">
        <is>
          <t>Arbóreo medio (8-15 m)</t>
        </is>
      </c>
      <c r="F17" s="56" t="inlineStr">
        <is>
          <t>Nativa</t>
        </is>
      </c>
      <c r="G17" s="56" t="inlineStr"/>
      <c r="H17" s="56" t="n"/>
      <c r="I17" s="56" t="n"/>
    </row>
    <row r="18">
      <c r="A18" s="55" t="inlineStr">
        <is>
          <t>5</t>
        </is>
      </c>
      <c r="B18" s="55" t="inlineStr">
        <is>
          <t>Palo Santo</t>
        </is>
      </c>
      <c r="C18" s="55" t="inlineStr">
        <is>
          <t>Bursera graveolens</t>
        </is>
      </c>
      <c r="D18" s="55" t="inlineStr">
        <is>
          <t>Burseraceae</t>
        </is>
      </c>
      <c r="E18" s="55" t="inlineStr">
        <is>
          <t>Arbóreo bajo (4-8 m)</t>
        </is>
      </c>
      <c r="F18" s="55" t="inlineStr">
        <is>
          <t>Nativa</t>
        </is>
      </c>
      <c r="G18" s="55" t="inlineStr"/>
      <c r="H18" s="55" t="n"/>
      <c r="I18" s="55" t="n"/>
    </row>
    <row r="19">
      <c r="A19" s="56" t="inlineStr">
        <is>
          <t>6</t>
        </is>
      </c>
      <c r="B19" s="56" t="inlineStr">
        <is>
          <t>Sapote</t>
        </is>
      </c>
      <c r="C19" s="56" t="inlineStr">
        <is>
          <t>Colicodendron scabridum</t>
        </is>
      </c>
      <c r="D19" s="56" t="inlineStr">
        <is>
          <t>Capparaceae</t>
        </is>
      </c>
      <c r="E19" s="56" t="inlineStr">
        <is>
          <t>Arbóreo bajo (4-8 m)</t>
        </is>
      </c>
      <c r="F19" s="56" t="inlineStr">
        <is>
          <t>Nativa</t>
        </is>
      </c>
      <c r="G19" s="56" t="inlineStr"/>
      <c r="H19" s="56" t="n"/>
      <c r="I19" s="56" t="n"/>
    </row>
    <row r="20">
      <c r="A20" s="55" t="inlineStr">
        <is>
          <t>7</t>
        </is>
      </c>
      <c r="B20" s="55" t="inlineStr">
        <is>
          <t>Overo</t>
        </is>
      </c>
      <c r="C20" s="55" t="inlineStr">
        <is>
          <t>Cordia lutea</t>
        </is>
      </c>
      <c r="D20" s="55" t="inlineStr">
        <is>
          <t>Cordiaceae</t>
        </is>
      </c>
      <c r="E20" s="55" t="inlineStr">
        <is>
          <t>Arbustivo alto (1.5-4 m)</t>
        </is>
      </c>
      <c r="F20" s="55" t="inlineStr">
        <is>
          <t>Nativa</t>
        </is>
      </c>
      <c r="G20" s="55" t="inlineStr"/>
      <c r="H20" s="55" t="n"/>
      <c r="I20" s="55" t="n"/>
    </row>
    <row r="21">
      <c r="A21" s="56" t="inlineStr">
        <is>
          <t>8</t>
        </is>
      </c>
      <c r="B21" s="56" t="inlineStr">
        <is>
          <t>Pacae</t>
        </is>
      </c>
      <c r="C21" s="56" t="inlineStr">
        <is>
          <t>Inga sp.</t>
        </is>
      </c>
      <c r="D21" s="56" t="inlineStr">
        <is>
          <t>Fabaceae</t>
        </is>
      </c>
      <c r="E21" s="56" t="inlineStr">
        <is>
          <t>Arbóreo medio (8-15 m)</t>
        </is>
      </c>
      <c r="F21" s="56" t="inlineStr">
        <is>
          <t>Nativa</t>
        </is>
      </c>
      <c r="G21" s="56" t="inlineStr"/>
      <c r="H21" s="56" t="n"/>
      <c r="I21" s="56" t="n"/>
    </row>
    <row r="22">
      <c r="A22" s="55" t="inlineStr">
        <is>
          <t>9</t>
        </is>
      </c>
      <c r="B22" s="55" t="inlineStr">
        <is>
          <t>Frejolillo</t>
        </is>
      </c>
      <c r="C22" s="55" t="inlineStr">
        <is>
          <t>Erythrina edulis</t>
        </is>
      </c>
      <c r="D22" s="55" t="inlineStr">
        <is>
          <t>Fabaceae</t>
        </is>
      </c>
      <c r="E22" s="55" t="inlineStr">
        <is>
          <t>Arbóreo bajo (4-8 m)</t>
        </is>
      </c>
      <c r="F22" s="55" t="inlineStr">
        <is>
          <t>Nativa</t>
        </is>
      </c>
      <c r="G22" s="55" t="inlineStr"/>
      <c r="H22" s="55" t="n"/>
      <c r="I22" s="55" t="n"/>
    </row>
    <row r="23">
      <c r="A23" s="56" t="inlineStr">
        <is>
          <t>10</t>
        </is>
      </c>
      <c r="B23" s="56" t="inlineStr">
        <is>
          <t>Barbasco</t>
        </is>
      </c>
      <c r="C23" s="56" t="inlineStr">
        <is>
          <t>Por determinar</t>
        </is>
      </c>
      <c r="D23" s="56" t="inlineStr"/>
      <c r="E23" s="56" t="inlineStr"/>
      <c r="F23" s="56" t="inlineStr">
        <is>
          <t>Nativa</t>
        </is>
      </c>
      <c r="G23" s="56" t="inlineStr"/>
      <c r="H23" s="56" t="n"/>
      <c r="I23" s="56" t="n"/>
    </row>
    <row r="24">
      <c r="A24" s="55" t="inlineStr">
        <is>
          <t>11</t>
        </is>
      </c>
      <c r="B24" s="55" t="inlineStr">
        <is>
          <t>Borrachera</t>
        </is>
      </c>
      <c r="C24" s="55" t="inlineStr">
        <is>
          <t>Ipomoea sp.</t>
        </is>
      </c>
      <c r="D24" s="55" t="inlineStr">
        <is>
          <t>Convolvulaceae</t>
        </is>
      </c>
      <c r="E24" s="55" t="inlineStr">
        <is>
          <t>Arbustivo bajo (0.5-1.5 m)</t>
        </is>
      </c>
      <c r="F24" s="55" t="inlineStr">
        <is>
          <t>Nativa</t>
        </is>
      </c>
      <c r="G24" s="55" t="inlineStr"/>
      <c r="H24" s="55" t="n"/>
      <c r="I24" s="55" t="n"/>
    </row>
    <row r="25">
      <c r="A25" s="56" t="inlineStr">
        <is>
          <t>12</t>
        </is>
      </c>
      <c r="B25" s="56" t="inlineStr">
        <is>
          <t>Bambú / Caña</t>
        </is>
      </c>
      <c r="C25" s="56" t="inlineStr">
        <is>
          <t>Guadua / Bambusa sp.</t>
        </is>
      </c>
      <c r="D25" s="56" t="inlineStr">
        <is>
          <t>Poaceae</t>
        </is>
      </c>
      <c r="E25" s="56" t="inlineStr">
        <is>
          <t>Arbóreo bajo (4-8 m)</t>
        </is>
      </c>
      <c r="F25" s="56" t="inlineStr"/>
      <c r="G25" s="56" t="inlineStr"/>
      <c r="H25" s="56" t="n"/>
      <c r="I25" s="56" t="n"/>
    </row>
    <row r="26">
      <c r="A26" s="55" t="inlineStr">
        <is>
          <t>13</t>
        </is>
      </c>
      <c r="B26" s="55" t="inlineStr">
        <is>
          <t>Mango</t>
        </is>
      </c>
      <c r="C26" s="55" t="inlineStr">
        <is>
          <t>Mangifera indica</t>
        </is>
      </c>
      <c r="D26" s="55" t="inlineStr">
        <is>
          <t>Anacardiaceae</t>
        </is>
      </c>
      <c r="E26" s="55" t="inlineStr">
        <is>
          <t>Arbóreo medio (8-15 m)</t>
        </is>
      </c>
      <c r="F26" s="55" t="inlineStr">
        <is>
          <t>Introducida</t>
        </is>
      </c>
      <c r="G26" s="55" t="inlineStr"/>
      <c r="H26" s="55" t="n"/>
      <c r="I26" s="55" t="n"/>
    </row>
    <row r="27">
      <c r="A27" s="56" t="inlineStr">
        <is>
          <t>14</t>
        </is>
      </c>
      <c r="B27" s="56" t="inlineStr">
        <is>
          <t>Malváceas</t>
        </is>
      </c>
      <c r="C27" s="56" t="inlineStr">
        <is>
          <t>Malvaceae (indet.)</t>
        </is>
      </c>
      <c r="D27" s="56" t="inlineStr">
        <is>
          <t>Malvaceae</t>
        </is>
      </c>
      <c r="E27" s="56" t="inlineStr"/>
      <c r="F27" s="56" t="inlineStr">
        <is>
          <t>Nativa</t>
        </is>
      </c>
      <c r="G27" s="56" t="inlineStr"/>
      <c r="H27" s="56" t="n"/>
      <c r="I27" s="56" t="n"/>
    </row>
    <row r="29">
      <c r="A29" s="53" t="inlineStr">
        <is>
          <t>F-DT-03 · ESPECIES CLAVE GEORREFERENCIADAS</t>
        </is>
      </c>
    </row>
    <row r="30">
      <c r="A30" s="54" t="inlineStr">
        <is>
          <t>N.o</t>
        </is>
      </c>
      <c r="B30" s="54" t="inlineStr">
        <is>
          <t>Especie</t>
        </is>
      </c>
      <c r="C30" s="54" t="inlineStr">
        <is>
          <t>Categoría</t>
        </is>
      </c>
      <c r="D30" s="54" t="inlineStr">
        <is>
          <t>Estado UICN</t>
        </is>
      </c>
      <c r="E30" s="54" t="inlineStr">
        <is>
          <t>UTM ESTE</t>
        </is>
      </c>
      <c r="F30" s="54" t="inlineStr">
        <is>
          <t>UTM NORTE</t>
        </is>
      </c>
      <c r="G30" s="54" t="inlineStr">
        <is>
          <t>N.° individuos</t>
        </is>
      </c>
      <c r="H30" s="54" t="inlineStr">
        <is>
          <t>Observación</t>
        </is>
      </c>
    </row>
    <row r="31">
      <c r="A31" s="55" t="inlineStr">
        <is>
          <t>1</t>
        </is>
      </c>
      <c r="B31" s="55" t="inlineStr">
        <is>
          <t>Algarrobo (Prosopis pallida)</t>
        </is>
      </c>
      <c r="C31" s="55" t="inlineStr">
        <is>
          <t>Amenazada (D.S. 043-2006-AG)</t>
        </is>
      </c>
      <c r="D31" s="55" t="inlineStr">
        <is>
          <t>VU — Vulnerable</t>
        </is>
      </c>
      <c r="E31" s="60" t="n">
        <v>641336</v>
      </c>
      <c r="F31" s="60" t="n">
        <v>9401113</v>
      </c>
      <c r="G31" s="55" t="n"/>
      <c r="H31" s="55" t="inlineStr">
        <is>
          <t>Individuo de gran porte en el borde del bloque</t>
        </is>
      </c>
    </row>
    <row r="32">
      <c r="A32" s="56" t="inlineStr">
        <is>
          <t>2</t>
        </is>
      </c>
      <c r="B32" s="56" t="inlineStr">
        <is>
          <t>Hualtaco (Loxopterygium huasango)</t>
        </is>
      </c>
      <c r="C32" s="56" t="inlineStr">
        <is>
          <t>Amenazada (D.S. 043-2006-AG)</t>
        </is>
      </c>
      <c r="D32" s="56" t="inlineStr">
        <is>
          <t>CR — En Peligro Crítico</t>
        </is>
      </c>
      <c r="E32" s="56" t="n"/>
      <c r="F32" s="56" t="n"/>
      <c r="G32" s="56" t="n"/>
      <c r="H32" s="56" t="inlineStr">
        <is>
          <t>Reportado en el bloque; ubicación puntual por verificar</t>
        </is>
      </c>
    </row>
    <row r="33">
      <c r="A33" s="55" t="inlineStr">
        <is>
          <t>3</t>
        </is>
      </c>
      <c r="B33" s="55" t="inlineStr">
        <is>
          <t>Palo Santo (Bursera graveolens)</t>
        </is>
      </c>
      <c r="C33" s="55" t="inlineStr">
        <is>
          <t>Amenazada (D.S. 043-2006-AG)</t>
        </is>
      </c>
      <c r="D33" s="55" t="inlineStr">
        <is>
          <t>CR — En Peligro Crítico</t>
        </is>
      </c>
      <c r="E33" s="55" t="n"/>
      <c r="F33" s="55" t="n"/>
      <c r="G33" s="55" t="n"/>
      <c r="H33" s="55" t="inlineStr">
        <is>
          <t>Reportado en el bloque; por verificar</t>
        </is>
      </c>
    </row>
    <row r="34">
      <c r="A34" s="56" t="inlineStr">
        <is>
          <t>4</t>
        </is>
      </c>
      <c r="B34" s="56" t="inlineStr">
        <is>
          <t>Sapote (Colicodendron scabridum)</t>
        </is>
      </c>
      <c r="C34" s="56" t="inlineStr">
        <is>
          <t>Amenazada (D.S. 043-2006-AG)</t>
        </is>
      </c>
      <c r="D34" s="56" t="inlineStr">
        <is>
          <t>CR — En Peligro Crítico</t>
        </is>
      </c>
      <c r="E34" s="56" t="n"/>
      <c r="F34" s="56" t="n"/>
      <c r="G34" s="56" t="n"/>
      <c r="H34" s="56" t="inlineStr">
        <is>
          <t>Reportado en el bloque; por verificar</t>
        </is>
      </c>
    </row>
    <row r="35">
      <c r="A35" s="55" t="inlineStr">
        <is>
          <t>5</t>
        </is>
      </c>
      <c r="B35" s="55" t="inlineStr">
        <is>
          <t>Faique (Vachellia macracantha)</t>
        </is>
      </c>
      <c r="C35" s="55" t="inlineStr">
        <is>
          <t>Amenazada (D.S. 043-2006-AG)</t>
        </is>
      </c>
      <c r="D35" s="55" t="inlineStr">
        <is>
          <t>NT — Casi Amenazado</t>
        </is>
      </c>
      <c r="E35" s="55" t="n"/>
      <c r="F35" s="55" t="n"/>
      <c r="G35" s="55" t="n"/>
      <c r="H35" s="55" t="inlineStr">
        <is>
          <t>Regeneración regular; por verificar</t>
        </is>
      </c>
    </row>
    <row r="37">
      <c r="A37" s="53" t="inlineStr">
        <is>
          <t>F-DT-04 · MATRIZ DE CAUSAS DE DEGRADACIÓN</t>
        </is>
      </c>
    </row>
    <row r="38">
      <c r="A38" s="54" t="inlineStr">
        <is>
          <t>N.o</t>
        </is>
      </c>
      <c r="B38" s="54" t="inlineStr">
        <is>
          <t>Causa</t>
        </is>
      </c>
      <c r="C38" s="54" t="inlineStr">
        <is>
          <t>Presencia</t>
        </is>
      </c>
      <c r="D38" s="54" t="inlineStr">
        <is>
          <t>Intensidad</t>
        </is>
      </c>
      <c r="E38" s="54" t="inlineStr">
        <is>
          <t>Extensión</t>
        </is>
      </c>
      <c r="F38" s="54" t="inlineStr">
        <is>
          <t>Antigüedad</t>
        </is>
      </c>
      <c r="G38" s="54" t="inlineStr">
        <is>
          <t>Evidencia</t>
        </is>
      </c>
    </row>
    <row r="39">
      <c r="A39" s="55" t="inlineStr">
        <is>
          <t>1</t>
        </is>
      </c>
      <c r="B39" s="55" t="inlineStr">
        <is>
          <t>Sobrepastoreo (caprino/vacuno)</t>
        </is>
      </c>
      <c r="C39" s="55" t="inlineStr">
        <is>
          <t>Sí</t>
        </is>
      </c>
      <c r="D39" s="55" t="inlineStr">
        <is>
          <t>Moderada</t>
        </is>
      </c>
      <c r="E39" s="55" t="inlineStr">
        <is>
          <t>≈35</t>
        </is>
      </c>
      <c r="F39" s="55" t="inlineStr"/>
      <c r="G39" s="55" t="inlineStr">
        <is>
          <t>Cercos, sendas y suelo pisoteado (F-14, F-17)</t>
        </is>
      </c>
    </row>
    <row r="40">
      <c r="A40" s="56" t="inlineStr">
        <is>
          <t>2</t>
        </is>
      </c>
      <c r="B40" s="56" t="inlineStr">
        <is>
          <t>Tala para leña</t>
        </is>
      </c>
      <c r="C40" s="56" t="inlineStr">
        <is>
          <t>Sí</t>
        </is>
      </c>
      <c r="D40" s="56" t="inlineStr">
        <is>
          <t>Moderada</t>
        </is>
      </c>
      <c r="E40" s="56" t="inlineStr">
        <is>
          <t>≈40</t>
        </is>
      </c>
      <c r="F40" s="56" t="inlineStr"/>
      <c r="G40" s="56" t="inlineStr">
        <is>
          <t>Acopios de leña al pie de ladera (F-08, F-12)</t>
        </is>
      </c>
    </row>
    <row r="41">
      <c r="A41" s="55" t="inlineStr">
        <is>
          <t>3</t>
        </is>
      </c>
      <c r="B41" s="55" t="inlineStr">
        <is>
          <t>Tala para carbón</t>
        </is>
      </c>
      <c r="C41" s="55" t="inlineStr">
        <is>
          <t>No</t>
        </is>
      </c>
      <c r="D41" s="55" t="inlineStr"/>
      <c r="E41" s="55" t="inlineStr"/>
      <c r="F41" s="55" t="inlineStr"/>
      <c r="G41" s="55" t="inlineStr"/>
    </row>
    <row r="42">
      <c r="A42" s="56" t="inlineStr">
        <is>
          <t>4</t>
        </is>
      </c>
      <c r="B42" s="56" t="inlineStr">
        <is>
          <t>Tala para madera</t>
        </is>
      </c>
      <c r="C42" s="56" t="inlineStr">
        <is>
          <t>Sí</t>
        </is>
      </c>
      <c r="D42" s="56" t="inlineStr">
        <is>
          <t>Ligera</t>
        </is>
      </c>
      <c r="E42" s="56" t="inlineStr"/>
      <c r="F42" s="56" t="inlineStr"/>
      <c r="G42" s="56" t="inlineStr">
        <is>
          <t>Extracción selectiva puntual (por verificar)</t>
        </is>
      </c>
    </row>
    <row r="43">
      <c r="A43" s="55" t="inlineStr">
        <is>
          <t>5</t>
        </is>
      </c>
      <c r="B43" s="55" t="inlineStr">
        <is>
          <t>Quema (renovación de pastos)</t>
        </is>
      </c>
      <c r="C43" s="55" t="inlineStr">
        <is>
          <t>No</t>
        </is>
      </c>
      <c r="D43" s="55" t="inlineStr"/>
      <c r="E43" s="55" t="inlineStr"/>
      <c r="F43" s="55" t="inlineStr"/>
      <c r="G43" s="55" t="inlineStr"/>
    </row>
    <row r="44">
      <c r="A44" s="56" t="inlineStr">
        <is>
          <t>6</t>
        </is>
      </c>
      <c r="B44" s="56" t="inlineStr">
        <is>
          <t>Quema accidental / Incendio</t>
        </is>
      </c>
      <c r="C44" s="56" t="inlineStr">
        <is>
          <t>No</t>
        </is>
      </c>
      <c r="D44" s="56" t="inlineStr"/>
      <c r="E44" s="56" t="inlineStr"/>
      <c r="F44" s="56" t="inlineStr"/>
      <c r="G44" s="56" t="inlineStr"/>
    </row>
    <row r="45">
      <c r="A45" s="55" t="inlineStr">
        <is>
          <t>7</t>
        </is>
      </c>
      <c r="B45" s="55" t="inlineStr">
        <is>
          <t>Cambio de uso a agricultura</t>
        </is>
      </c>
      <c r="C45" s="55" t="inlineStr">
        <is>
          <t>Sí</t>
        </is>
      </c>
      <c r="D45" s="55" t="inlineStr">
        <is>
          <t>Moderada</t>
        </is>
      </c>
      <c r="E45" s="55" t="inlineStr">
        <is>
          <t>≈20</t>
        </is>
      </c>
      <c r="F45" s="55" t="inlineStr"/>
      <c r="G45" s="55" t="inlineStr">
        <is>
          <t>Canal de riego y parcelas agrícolas colindantes (F-07)</t>
        </is>
      </c>
    </row>
    <row r="46">
      <c r="A46" s="56" t="inlineStr">
        <is>
          <t>8</t>
        </is>
      </c>
      <c r="B46" s="56" t="inlineStr">
        <is>
          <t>Cambio de uso a pastoreo</t>
        </is>
      </c>
      <c r="C46" s="56" t="inlineStr">
        <is>
          <t>Sí</t>
        </is>
      </c>
      <c r="D46" s="56" t="inlineStr">
        <is>
          <t>Ligera</t>
        </is>
      </c>
      <c r="E46" s="56" t="inlineStr">
        <is>
          <t>≈15</t>
        </is>
      </c>
      <c r="F46" s="56" t="inlineStr"/>
      <c r="G46" s="56" t="inlineStr">
        <is>
          <t>Cercos vivos y áreas de pastoreo</t>
        </is>
      </c>
    </row>
    <row r="47">
      <c r="A47" s="55" t="inlineStr">
        <is>
          <t>9</t>
        </is>
      </c>
      <c r="B47" s="55" t="inlineStr">
        <is>
          <t>Expansión urbana / vial</t>
        </is>
      </c>
      <c r="C47" s="55" t="inlineStr">
        <is>
          <t>Sí</t>
        </is>
      </c>
      <c r="D47" s="55" t="inlineStr">
        <is>
          <t>Ligera</t>
        </is>
      </c>
      <c r="E47" s="55" t="inlineStr">
        <is>
          <t>≈10</t>
        </is>
      </c>
      <c r="F47" s="55" t="inlineStr"/>
      <c r="G47" s="55" t="inlineStr">
        <is>
          <t>Talud de corte de la trocha carrozable (F-08)</t>
        </is>
      </c>
    </row>
    <row r="48">
      <c r="A48" s="56" t="inlineStr">
        <is>
          <t>10</t>
        </is>
      </c>
      <c r="B48" s="56" t="inlineStr">
        <is>
          <t>Minería informal</t>
        </is>
      </c>
      <c r="C48" s="56" t="inlineStr">
        <is>
          <t>No</t>
        </is>
      </c>
      <c r="D48" s="56" t="inlineStr"/>
      <c r="E48" s="56" t="inlineStr"/>
      <c r="F48" s="56" t="inlineStr"/>
      <c r="G48" s="56" t="inlineStr"/>
    </row>
    <row r="49">
      <c r="A49" s="55" t="inlineStr">
        <is>
          <t>11</t>
        </is>
      </c>
      <c r="B49" s="55" t="inlineStr">
        <is>
          <t>Extracción de áridos (cauces)</t>
        </is>
      </c>
      <c r="C49" s="55" t="inlineStr">
        <is>
          <t>No</t>
        </is>
      </c>
      <c r="D49" s="55" t="inlineStr"/>
      <c r="E49" s="55" t="inlineStr"/>
      <c r="F49" s="55" t="inlineStr"/>
      <c r="G49" s="55" t="inlineStr"/>
    </row>
    <row r="50">
      <c r="A50" s="56" t="inlineStr">
        <is>
          <t>12</t>
        </is>
      </c>
      <c r="B50" s="56" t="inlineStr">
        <is>
          <t>Especies invasoras</t>
        </is>
      </c>
      <c r="C50" s="56" t="inlineStr">
        <is>
          <t>No</t>
        </is>
      </c>
      <c r="D50" s="56" t="inlineStr"/>
      <c r="E50" s="56" t="inlineStr"/>
      <c r="F50" s="56" t="inlineStr"/>
      <c r="G50" s="56" t="inlineStr"/>
    </row>
    <row r="51">
      <c r="A51" s="55" t="inlineStr">
        <is>
          <t>13</t>
        </is>
      </c>
      <c r="B51" s="55" t="inlineStr">
        <is>
          <t>Erosión natural severa</t>
        </is>
      </c>
      <c r="C51" s="55" t="inlineStr">
        <is>
          <t>No</t>
        </is>
      </c>
      <c r="D51" s="55" t="inlineStr"/>
      <c r="E51" s="55" t="inlineStr"/>
      <c r="F51" s="55" t="inlineStr"/>
      <c r="G51" s="55" t="inlineStr"/>
    </row>
    <row r="52">
      <c r="A52" s="56" t="inlineStr">
        <is>
          <t>14</t>
        </is>
      </c>
      <c r="B52" s="56" t="inlineStr">
        <is>
          <t>Sequía prolongada / CC</t>
        </is>
      </c>
      <c r="C52" s="56" t="inlineStr"/>
      <c r="D52" s="56" t="inlineStr"/>
      <c r="E52" s="56" t="inlineStr"/>
      <c r="F52" s="56" t="inlineStr"/>
      <c r="G52" s="56" t="inlineStr"/>
    </row>
    <row r="53">
      <c r="A53" s="55" t="inlineStr">
        <is>
          <t>15</t>
        </is>
      </c>
      <c r="B53" s="55" t="inlineStr">
        <is>
          <t>Plagas o enfermedades forestales</t>
        </is>
      </c>
      <c r="C53" s="55" t="inlineStr">
        <is>
          <t>No</t>
        </is>
      </c>
      <c r="D53" s="55" t="inlineStr"/>
      <c r="E53" s="55" t="inlineStr"/>
      <c r="F53" s="55" t="inlineStr"/>
      <c r="G53" s="55" t="inlineStr"/>
    </row>
    <row r="54">
      <c r="A54" s="56" t="inlineStr">
        <is>
          <t>16</t>
        </is>
      </c>
      <c r="B54" s="56" t="inlineStr">
        <is>
          <t>Otro</t>
        </is>
      </c>
      <c r="C54" s="56" t="inlineStr"/>
      <c r="D54" s="56" t="inlineStr"/>
      <c r="E54" s="56" t="inlineStr"/>
      <c r="F54" s="56" t="inlineStr"/>
      <c r="G54" s="56" t="inlineStr"/>
    </row>
    <row r="56">
      <c r="A56" s="53" t="inlineStr">
        <is>
          <t>F-DT-04 · INDICADORES CUANTITATIVOS</t>
        </is>
      </c>
    </row>
    <row r="57">
      <c r="A57" s="54" t="inlineStr">
        <is>
          <t>N.o</t>
        </is>
      </c>
      <c r="B57" s="54" t="inlineStr">
        <is>
          <t>Indicador</t>
        </is>
      </c>
      <c r="C57" s="54" t="inlineStr">
        <is>
          <t>Unidad</t>
        </is>
      </c>
      <c r="D57" s="54" t="inlineStr">
        <is>
          <t>Valor</t>
        </is>
      </c>
      <c r="E57" s="54" t="inlineStr">
        <is>
          <t>Fuente</t>
        </is>
      </c>
      <c r="F57" s="54" t="inlineStr">
        <is>
          <t>Umbral</t>
        </is>
      </c>
      <c r="G57" s="54" t="inlineStr">
        <is>
          <t>Nivel</t>
        </is>
      </c>
    </row>
    <row r="58">
      <c r="A58" s="55" t="inlineStr">
        <is>
          <t>1</t>
        </is>
      </c>
      <c r="B58" s="55" t="inlineStr">
        <is>
          <t>Cobertura vegetal total</t>
        </is>
      </c>
      <c r="C58" s="55" t="inlineStr">
        <is>
          <t>%</t>
        </is>
      </c>
      <c r="D58" s="55" t="inlineStr">
        <is>
          <t>70</t>
        </is>
      </c>
      <c r="E58" s="55" t="inlineStr">
        <is>
          <t>MSAVI 2024 + estimación ocular</t>
        </is>
      </c>
      <c r="F58" s="55" t="inlineStr">
        <is>
          <t>&gt;60% bueno; 30-60% medio; &lt;30% malo</t>
        </is>
      </c>
      <c r="G58" s="55" t="inlineStr">
        <is>
          <t>Alto</t>
        </is>
      </c>
    </row>
    <row r="59">
      <c r="A59" s="56" t="inlineStr">
        <is>
          <t>2</t>
        </is>
      </c>
      <c r="B59" s="56" t="inlineStr">
        <is>
          <t>Porcentaje de suelo desnudo</t>
        </is>
      </c>
      <c r="C59" s="56" t="inlineStr">
        <is>
          <t>%</t>
        </is>
      </c>
      <c r="D59" s="56" t="inlineStr">
        <is>
          <t>15</t>
        </is>
      </c>
      <c r="E59" s="56" t="inlineStr">
        <is>
          <t>Estimación ocular de campo</t>
        </is>
      </c>
      <c r="F59" s="56" t="inlineStr">
        <is>
          <t>&lt;10% bueno; 10-30% medio; &gt;30% malo</t>
        </is>
      </c>
      <c r="G59" s="56" t="inlineStr">
        <is>
          <t>Medio</t>
        </is>
      </c>
    </row>
    <row r="60">
      <c r="A60" s="55" t="inlineStr">
        <is>
          <t>3</t>
        </is>
      </c>
      <c r="B60" s="55" t="inlineStr">
        <is>
          <t>Densidad de cárcavas</t>
        </is>
      </c>
      <c r="C60" s="55" t="inlineStr">
        <is>
          <t>N°/ha</t>
        </is>
      </c>
      <c r="D60" s="55" t="inlineStr">
        <is>
          <t>Por verificar</t>
        </is>
      </c>
      <c r="E60" s="55" t="inlineStr">
        <is>
          <t>No cuantificado en campo</t>
        </is>
      </c>
      <c r="F60" s="55" t="inlineStr">
        <is>
          <t>0 nulo; 1-3 medio; &gt;3 alto</t>
        </is>
      </c>
      <c r="G60" s="55" t="inlineStr"/>
    </row>
    <row r="61">
      <c r="A61" s="56" t="inlineStr">
        <is>
          <t>4</t>
        </is>
      </c>
      <c r="B61" s="56" t="inlineStr">
        <is>
          <t>Presencia de especies invasoras</t>
        </is>
      </c>
      <c r="C61" s="56" t="inlineStr">
        <is>
          <t>% área</t>
        </is>
      </c>
      <c r="D61" s="56" t="inlineStr">
        <is>
          <t>Por verificar</t>
        </is>
      </c>
      <c r="E61" s="56" t="inlineStr">
        <is>
          <t>No cuantificado en campo</t>
        </is>
      </c>
      <c r="F61" s="56" t="inlineStr">
        <is>
          <t>&lt;5% bueno; 5-20% medio; &gt;20% alto</t>
        </is>
      </c>
      <c r="G61" s="56" t="inlineStr"/>
    </row>
    <row r="62">
      <c r="A62" s="55" t="inlineStr">
        <is>
          <t>5</t>
        </is>
      </c>
      <c r="B62" s="55" t="inlineStr">
        <is>
          <t>Carga ganadera estimada</t>
        </is>
      </c>
      <c r="C62" s="55" t="inlineStr">
        <is>
          <t>UA/ha</t>
        </is>
      </c>
      <c r="D62" s="55" t="inlineStr">
        <is>
          <t>Por verificar</t>
        </is>
      </c>
      <c r="E62" s="55" t="inlineStr">
        <is>
          <t>No cuantificado en campo</t>
        </is>
      </c>
      <c r="F62" s="55" t="inlineStr">
        <is>
          <t>Según tipo de ecosistema</t>
        </is>
      </c>
      <c r="G62" s="55" t="inlineStr"/>
    </row>
    <row r="63">
      <c r="A63" s="56" t="inlineStr">
        <is>
          <t>6</t>
        </is>
      </c>
      <c r="B63" s="56" t="inlineStr">
        <is>
          <t>Frecuencia de quemas últimos 5 años</t>
        </is>
      </c>
      <c r="C63" s="56" t="inlineStr">
        <is>
          <t>N°</t>
        </is>
      </c>
      <c r="D63" s="56" t="inlineStr">
        <is>
          <t>Por verificar</t>
        </is>
      </c>
      <c r="E63" s="56" t="inlineStr">
        <is>
          <t>No cuantificado en campo</t>
        </is>
      </c>
      <c r="F63" s="56" t="inlineStr">
        <is>
          <t>0 nulo; 1-2 medio; &gt;2 alto</t>
        </is>
      </c>
      <c r="G63" s="56" t="inlineStr"/>
    </row>
    <row r="64">
      <c r="A64" s="55" t="inlineStr">
        <is>
          <t>7</t>
        </is>
      </c>
      <c r="B64" s="55" t="inlineStr">
        <is>
          <t>% área con pendiente &gt;50%</t>
        </is>
      </c>
      <c r="C64" s="55" t="inlineStr">
        <is>
          <t>%</t>
        </is>
      </c>
      <c r="D64" s="55" t="inlineStr">
        <is>
          <t>&lt;5</t>
        </is>
      </c>
      <c r="E64" s="55" t="inlineStr">
        <is>
          <t>Perfil de elevación Google Earth (máx. 40,3%)</t>
        </is>
      </c>
      <c r="F64" s="55" t="inlineStr">
        <is>
          <t>Factor de susceptibilidad</t>
        </is>
      </c>
      <c r="G64" s="55" t="inlineStr">
        <is>
          <t>Bajo</t>
        </is>
      </c>
    </row>
    <row r="65">
      <c r="A65" s="56" t="inlineStr">
        <is>
          <t>8</t>
        </is>
      </c>
      <c r="B65" s="56" t="inlineStr">
        <is>
          <t>Distancia a vía vecinal más cercana</t>
        </is>
      </c>
      <c r="C65" s="56" t="inlineStr">
        <is>
          <t>m</t>
        </is>
      </c>
      <c r="D65" s="56" t="inlineStr">
        <is>
          <t>0</t>
        </is>
      </c>
      <c r="E65" s="56" t="inlineStr">
        <is>
          <t>Trocha carrozable bordea el bloque</t>
        </is>
      </c>
      <c r="F65" s="56" t="inlineStr">
        <is>
          <t>A menor distancia → mayor presión</t>
        </is>
      </c>
      <c r="G65" s="56" t="inlineStr">
        <is>
          <t>Alto</t>
        </is>
      </c>
    </row>
    <row r="67">
      <c r="A67" s="53" t="inlineStr">
        <is>
          <t>F-DT-05 · FUENTES DE AGUA INVENTARIADAS</t>
        </is>
      </c>
    </row>
    <row r="68">
      <c r="A68" s="54" t="inlineStr">
        <is>
          <t>N.o</t>
        </is>
      </c>
      <c r="B68" s="54" t="inlineStr">
        <is>
          <t>Tipo de fuente</t>
        </is>
      </c>
      <c r="C68" s="54" t="inlineStr">
        <is>
          <t>UTM ESTE</t>
        </is>
      </c>
      <c r="D68" s="54" t="inlineStr">
        <is>
          <t>UTM NORTE</t>
        </is>
      </c>
      <c r="E68" s="54" t="inlineStr">
        <is>
          <t>Régimen</t>
        </is>
      </c>
      <c r="F68" s="54" t="inlineStr">
        <is>
          <t>Calidad</t>
        </is>
      </c>
      <c r="G68" s="54" t="inlineStr">
        <is>
          <t>Distancia (m)</t>
        </is>
      </c>
      <c r="H68" s="54" t="inlineStr">
        <is>
          <t>Uso / observación</t>
        </is>
      </c>
    </row>
    <row r="69">
      <c r="A69" s="55" t="inlineStr">
        <is>
          <t>1</t>
        </is>
      </c>
      <c r="B69" s="55" t="inlineStr">
        <is>
          <t>Quebrada permanente</t>
        </is>
      </c>
      <c r="C69" s="60" t="n">
        <v>641365</v>
      </c>
      <c r="D69" s="60" t="n">
        <v>9401097</v>
      </c>
      <c r="E69" s="55" t="inlineStr">
        <is>
          <t>Permanente</t>
        </is>
      </c>
      <c r="F69" s="55" t="inlineStr">
        <is>
          <t>Regular (ligeramente turbia o con sedimentos)</t>
        </is>
      </c>
      <c r="G69" s="62" t="n">
        <v>0</v>
      </c>
      <c r="H69" s="55" t="inlineStr">
        <is>
          <t>Discurre por el borde del bloque; agua presente en estiaje (jul); régimen anual por verificar (F-15, F-16).</t>
        </is>
      </c>
    </row>
    <row r="70">
      <c r="A70" s="56" t="inlineStr">
        <is>
          <t>2</t>
        </is>
      </c>
      <c r="B70" s="56" t="inlineStr">
        <is>
          <t>Canal de riego</t>
        </is>
      </c>
      <c r="C70" s="61" t="n">
        <v>641626</v>
      </c>
      <c r="D70" s="61" t="n">
        <v>9401035</v>
      </c>
      <c r="E70" s="56" t="inlineStr">
        <is>
          <t>Permanente</t>
        </is>
      </c>
      <c r="F70" s="56" t="inlineStr">
        <is>
          <t>Regular (ligeramente turbia o con sedimentos)</t>
        </is>
      </c>
      <c r="G70" s="63" t="n">
        <v>0</v>
      </c>
      <c r="H70" s="56" t="inlineStr">
        <is>
          <t>Canal revestido en operación; circunda el área; uso de riego (F-07).</t>
        </is>
      </c>
    </row>
    <row r="73">
      <c r="A73" s="53" t="inlineStr">
        <is>
          <t>OBSERVACIONES DEL EVALUADOR POR FICHA</t>
        </is>
      </c>
    </row>
    <row r="74">
      <c r="A74" s="54" t="inlineStr">
        <is>
          <t>Ficha</t>
        </is>
      </c>
      <c r="B74" s="54" t="inlineStr">
        <is>
          <t>Observación registrada en campo</t>
        </is>
      </c>
    </row>
    <row r="75">
      <c r="A75" s="55" t="inlineStr">
        <is>
          <t>F-DT-01</t>
        </is>
      </c>
      <c r="B75" s="55" t="inlineStr">
        <is>
          <t>Terreno de propiedad de la Comunidad Campesina de Andanjo. En el bloque opera el Vivero Forestal Hualtacal (Proyecto Pusmalca). Altitud de referencia (Google Earth) ≈ 267–344 msnm; altitud GPS de campo por verificar.</t>
        </is>
      </c>
    </row>
    <row r="76">
      <c r="A76" s="56" t="inlineStr">
        <is>
          <t>F-DT-02</t>
        </is>
      </c>
      <c r="B76" s="56" t="inlineStr">
        <is>
          <t>Dimensiones instrumentales de surcos/cárcavas (longitud, profundidad, ancho) no medidas en campo; pendientes de levantamiento detallado. Talud de corte de la trocha con afloramiento rocoso registrado en F-DT-01 (F-08).</t>
        </is>
      </c>
    </row>
    <row r="77">
      <c r="A77" s="55" t="inlineStr">
        <is>
          <t>F-DT-04</t>
        </is>
      </c>
      <c r="B77" s="55" t="inlineStr">
        <is>
          <t>Oportunidad de articulación: el bloque es propiedad de la C.C. de Andanjo y alberga el Vivero Forestal Hualtacal (Proyecto Pusmalca), que ejecuta reforestación para regulación hídrica con el Gobierno Regional de Piura (fase de culminación). Volumen de leña, carga ganadera y frecuencia de quemas no cuantificados en campo.</t>
        </is>
      </c>
    </row>
    <row r="78">
      <c r="A78" s="56" t="inlineStr">
        <is>
          <t>F-DT-05</t>
        </is>
      </c>
      <c r="B78" s="56" t="inlineStr">
        <is>
          <t>Acceso no restringido durante la visita; coordinación formal con la C.C. de Andanjo por confirmar. Señal/operador celular, tiempos de viaje y captación/JASS por verificar. Presencia del Vivero Forestal Hualtacal (F-09, F-10, F-11).</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81</t>
        </is>
      </c>
    </row>
    <row r="7">
      <c r="A7" s="53" t="inlineStr">
        <is>
          <t>Hechos declarados por fuente</t>
        </is>
      </c>
    </row>
    <row r="8">
      <c r="A8" s="54" t="inlineStr">
        <is>
          <t>Fuente</t>
        </is>
      </c>
      <c r="B8" s="54" t="inlineStr">
        <is>
          <t>Hechos</t>
        </is>
      </c>
    </row>
    <row r="9">
      <c r="A9" s="55" t="inlineStr">
        <is>
          <t>Dato de campo</t>
        </is>
      </c>
      <c r="B9" s="55" t="n">
        <v>52</v>
      </c>
    </row>
    <row r="10">
      <c r="A10" s="56" t="inlineStr">
        <is>
          <t>Gabinete (GIS / teledetección)</t>
        </is>
      </c>
      <c r="B10" s="56" t="n">
        <v>23</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87</v>
      </c>
    </row>
    <row r="31">
      <c r="A31" s="56" t="inlineStr">
        <is>
          <t>COMPLEMENTADO</t>
        </is>
      </c>
      <c r="B31" s="56" t="n">
        <v>2</v>
      </c>
    </row>
    <row r="32">
      <c r="A32" s="55" t="inlineStr">
        <is>
          <t>ACTUALIZADO</t>
        </is>
      </c>
      <c r="B32" s="55" t="n">
        <v>0</v>
      </c>
    </row>
    <row r="33">
      <c r="A33" s="56" t="inlineStr">
        <is>
          <t>DISCREPANTE</t>
        </is>
      </c>
      <c r="B33" s="56" t="n">
        <v>0</v>
      </c>
    </row>
    <row r="34">
      <c r="A34" s="55" t="inlineStr">
        <is>
          <t>PENDIENTE</t>
        </is>
      </c>
      <c r="B34" s="55" t="n">
        <v>25</v>
      </c>
    </row>
    <row r="51">
      <c r="A51" s="53" t="inlineStr">
        <is>
          <t>Cobertura por estrato — campo (%)</t>
        </is>
      </c>
    </row>
    <row r="52">
      <c r="A52" s="54" t="inlineStr">
        <is>
          <t>Estrato</t>
        </is>
      </c>
      <c r="B52" s="54" t="inlineStr">
        <is>
          <t>% del área</t>
        </is>
      </c>
    </row>
    <row r="53">
      <c r="A53" s="55" t="inlineStr">
        <is>
          <t>Suelo desnudo</t>
        </is>
      </c>
      <c r="B53" s="60" t="n">
        <v>15</v>
      </c>
    </row>
    <row r="70">
      <c r="A70" s="53" t="inlineStr">
        <is>
          <t>Causas activas de degradación (F-DT-04)</t>
        </is>
      </c>
    </row>
    <row r="71">
      <c r="A71" s="54" t="inlineStr">
        <is>
          <t>Causa</t>
        </is>
      </c>
      <c r="B71" s="54" t="inlineStr">
        <is>
          <t>Intensidad (1 ligera - 4 muy fuerte)</t>
        </is>
      </c>
    </row>
    <row r="72">
      <c r="A72" s="55" t="inlineStr">
        <is>
          <t>Cambio de uso a agricultura</t>
        </is>
      </c>
      <c r="B72" s="55" t="n">
        <v>2</v>
      </c>
    </row>
    <row r="73">
      <c r="A73" s="56" t="inlineStr">
        <is>
          <t>Sobrepastoreo (caprino/vacuno)</t>
        </is>
      </c>
      <c r="B73" s="56" t="n">
        <v>2</v>
      </c>
    </row>
    <row r="74">
      <c r="A74" s="55" t="inlineStr">
        <is>
          <t>Tala para leña</t>
        </is>
      </c>
      <c r="B74" s="55" t="n">
        <v>2</v>
      </c>
    </row>
    <row r="75">
      <c r="A75" s="56" t="inlineStr">
        <is>
          <t>Cambio de uso a pastoreo</t>
        </is>
      </c>
      <c r="B75" s="56" t="n">
        <v>1</v>
      </c>
    </row>
    <row r="76">
      <c r="A76" s="55" t="inlineStr">
        <is>
          <t>Expansión urbana / vial</t>
        </is>
      </c>
      <c r="B76" s="55" t="n">
        <v>1</v>
      </c>
    </row>
    <row r="77">
      <c r="A77" s="56" t="inlineStr">
        <is>
          <t>Tala para madera</t>
        </is>
      </c>
      <c r="B77" s="56" t="n">
        <v>1</v>
      </c>
    </row>
    <row r="94">
      <c r="A94" s="53" t="inlineStr">
        <is>
          <t>Control de consistencia por calificación</t>
        </is>
      </c>
    </row>
    <row r="95">
      <c r="A95" s="54" t="inlineStr">
        <is>
          <t>Calificación</t>
        </is>
      </c>
      <c r="B95" s="54" t="inlineStr">
        <is>
          <t>Verificaciones</t>
        </is>
      </c>
    </row>
    <row r="96">
      <c r="A96" s="55" t="inlineStr">
        <is>
          <t>SUSTANTIVA</t>
        </is>
      </c>
      <c r="B96" s="55" t="n">
        <v>2</v>
      </c>
    </row>
    <row r="97">
      <c r="A97" s="56" t="inlineStr">
        <is>
          <t>NO SUSTANTIVA</t>
        </is>
      </c>
      <c r="B97" s="56" t="n">
        <v>3</v>
      </c>
    </row>
    <row r="98">
      <c r="A98" s="55" t="inlineStr">
        <is>
          <t>CORREGIDO</t>
        </is>
      </c>
      <c r="B98" s="55" t="n">
        <v>0</v>
      </c>
    </row>
    <row r="99">
      <c r="A99" s="56" t="inlineStr">
        <is>
          <t>CONFORME</t>
        </is>
      </c>
      <c r="B99"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81 — IN Piura</dc:title>
  <dc:subject>Diagnóstico Territorial por bloque de intervención</dc:subject>
  <dcterms:created xsi:type="dcterms:W3CDTF">2026-09-08T03:39:54Z</dcterms:created>
  <dcterms:modified xsi:type="dcterms:W3CDTF">2026-09-11T20:22:33Z</dcterms:modified>
</cp:coreProperties>
</file>