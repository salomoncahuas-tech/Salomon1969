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integración'!$A$76:$A$84</f>
            </numRef>
          </cat>
          <val>
            <numRef>
              <f>'Gráficos de integración'!$B$76:$B$84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integración'!B102</f>
            </strRef>
          </tx>
          <spPr>
            <a:ln>
              <a:prstDash val="solid"/>
            </a:ln>
          </spPr>
          <cat>
            <numRef>
              <f>'Gráficos de integración'!$A$103:$A$106</f>
            </numRef>
          </cat>
          <val>
            <numRef>
              <f>'Gráficos de integración'!$B$103:$B$106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101</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19</t>
        </is>
      </c>
    </row>
    <row r="6" ht="24" customHeight="1">
      <c r="A6" s="4" t="inlineStr">
        <is>
          <t>Diagnóstico Territorial — Plantilla DT Campo Check Validada V5 | Sistema de referencia: UTM WGS 84 Zona 17S (EPSG:32717) · Integrado con la ficha de campo F-DT vigente (Plantilla_DT_Campo_Check_Validada_V5_Bloque19_IN_Piura.xlsx) — V7 - resumen V6 + campo F-DT integrado</t>
        </is>
      </c>
    </row>
    <row r="7"/>
    <row r="8" ht="18" customHeight="1">
      <c r="A8" s="5" t="inlineStr">
        <is>
          <t>1. IDENTIFICACIÓN Y LOCALIZACIÓN</t>
        </is>
      </c>
    </row>
    <row r="9">
      <c r="A9" s="6" t="inlineStr">
        <is>
          <t>Código del bloque</t>
        </is>
      </c>
      <c r="B9" s="7" t="inlineStr">
        <is>
          <t>19</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Nuevo Progreso</t>
        </is>
      </c>
      <c r="C13" s="6" t="inlineStr">
        <is>
          <t>Comunidad campesina</t>
        </is>
      </c>
      <c r="D13" s="7" t="inlineStr">
        <is>
          <t>Por verificar en la fase social</t>
        </is>
      </c>
      <c r="E13" s="8" t="n"/>
      <c r="F13" s="8" t="n"/>
    </row>
    <row r="14">
      <c r="A14" s="6" t="inlineStr">
        <is>
          <t>Superficie de catálogo (V5/V6), ha</t>
        </is>
      </c>
      <c r="B14" s="7" t="n">
        <v>82.09</v>
      </c>
      <c r="C14" s="6" t="inlineStr">
        <is>
          <t>Fuente de superficie</t>
        </is>
      </c>
      <c r="D14" s="7" t="inlineStr">
        <is>
          <t>Catálogo maestro Bloques V5/V6</t>
        </is>
      </c>
      <c r="E14" s="8" t="n"/>
      <c r="F14" s="8" t="n"/>
    </row>
    <row r="15">
      <c r="A15" s="6" t="inlineStr">
        <is>
          <t>Centroide UTM ESTE (m)</t>
        </is>
      </c>
      <c r="B15" s="7" t="n">
        <v>665942</v>
      </c>
      <c r="C15" s="6" t="inlineStr">
        <is>
          <t>Centroide UTM NORTE (m)</t>
        </is>
      </c>
      <c r="D15" s="7" t="n">
        <v>9391144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2064</v>
      </c>
      <c r="C19" s="6" t="inlineStr">
        <is>
          <t>Altitud máxima (msnm)</t>
        </is>
      </c>
      <c r="D19" s="7" t="n">
        <v>2503</v>
      </c>
      <c r="E19" s="8" t="n"/>
      <c r="F19" s="8" t="n"/>
    </row>
    <row r="20">
      <c r="A20" s="6" t="inlineStr">
        <is>
          <t>Amplitud altitudinal (m)</t>
        </is>
      </c>
      <c r="B20" s="7" t="n">
        <v>439</v>
      </c>
      <c r="C20" s="6" t="inlineStr">
        <is>
          <t>Piso altitudinal dominante</t>
        </is>
      </c>
      <c r="D20" s="7" t="inlineStr">
        <is>
          <t>2000-2500 m (Quechua alta)</t>
        </is>
      </c>
      <c r="E20" s="8" t="n"/>
      <c r="F20" s="8" t="n"/>
    </row>
    <row r="21">
      <c r="A21" s="6" t="inlineStr">
        <is>
          <t>Pendiente promedio (%)</t>
        </is>
      </c>
      <c r="B21" s="7" t="n">
        <v>31.01</v>
      </c>
      <c r="C21" s="6" t="inlineStr">
        <is>
          <t>Pendiente promedio (grados)</t>
        </is>
      </c>
      <c r="D21" s="7" t="n">
        <v>17.2</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0.5372</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(60.33 %)</t>
        </is>
      </c>
      <c r="E29" s="8" t="n"/>
      <c r="F29" s="8" t="n"/>
    </row>
    <row r="30">
      <c r="A30" s="6" t="inlineStr">
        <is>
          <t>Superficie clasificada NDVI 2025 (ha)</t>
        </is>
      </c>
      <c r="B30" s="7" t="n">
        <v>82.098</v>
      </c>
      <c r="C30" s="6" t="inlineStr">
        <is>
          <t>Desviación frente al catálogo (%)</t>
        </is>
      </c>
      <c r="D30" s="7" t="n">
        <v>0.01</v>
      </c>
      <c r="E30" s="8" t="n"/>
      <c r="F30" s="8" t="n"/>
    </row>
    <row r="31">
      <c r="A31" s="6" t="inlineStr">
        <is>
          <t>Superficie clasificada MSAVI 2024 (ha)</t>
        </is>
      </c>
      <c r="B31" s="38" t="n">
        <v>82.08799999999999</v>
      </c>
      <c r="C31" s="6" t="inlineStr">
        <is>
          <t>Desviación MSAVI frente al catálogo (%)</t>
        </is>
      </c>
      <c r="D31" s="39" t="n">
        <v>0</v>
      </c>
      <c r="E31" s="8" t="n"/>
      <c r="F31" s="8" t="n"/>
    </row>
    <row r="32">
      <c r="A32" s="6" t="inlineStr">
        <is>
          <t>Superficie bajo umbral MSAVI 0.4976 (ha)</t>
        </is>
      </c>
      <c r="B32" s="38" t="n">
        <v>34.997</v>
      </c>
      <c r="C32" s="6" t="inlineStr">
        <is>
          <t>% del bloque bajo umbral (brecha espectral)</t>
        </is>
      </c>
      <c r="D32" s="39" t="n">
        <v>42.63</v>
      </c>
      <c r="E32" s="8" t="n"/>
      <c r="F32" s="8" t="n"/>
    </row>
    <row r="33">
      <c r="A33" s="6" t="inlineStr">
        <is>
          <t>Clase DN dominante (MSAVI 2024)</t>
        </is>
      </c>
      <c r="B33" s="7" t="inlineStr">
        <is>
          <t>DN 3 · 0.3813 - 0.4976 (Vigor bajo)</t>
        </is>
      </c>
      <c r="C33" s="6" t="inlineStr">
        <is>
          <t>N.° de polígonos MSAVI del bloque</t>
        </is>
      </c>
      <c r="D33" s="40" t="n">
        <v>292</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82.09 ha</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15</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Cahuas Miller</t>
        </is>
      </c>
      <c r="C44" s="6" t="inlineStr">
        <is>
          <t>Fecha de evaluación</t>
        </is>
      </c>
      <c r="D44" s="7" t="inlineStr">
        <is>
          <t>2026-08-12</t>
        </is>
      </c>
      <c r="E44" s="8" t="n"/>
      <c r="F44" s="8" t="n"/>
    </row>
    <row r="45">
      <c r="A45" s="6" t="inlineStr">
        <is>
          <t>Hora de registro</t>
        </is>
      </c>
      <c r="B45" s="7" t="inlineStr">
        <is>
          <t>10:13 - 10:20 h</t>
        </is>
      </c>
      <c r="C45" s="6" t="inlineStr">
        <is>
          <t>Correlativo de ficha</t>
        </is>
      </c>
      <c r="D45" s="7" t="inlineStr">
        <is>
          <t>F-DT-19-2026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observación (no se instaló parcela permanente)</t>
        </is>
      </c>
      <c r="E47" s="8" t="n"/>
      <c r="F47" s="8" t="n"/>
    </row>
    <row r="48">
      <c r="A48" s="6" t="inlineStr">
        <is>
          <t>Estaciones fotográficas georreferenciadas</t>
        </is>
      </c>
      <c r="B48" s="7" t="n">
        <v>11</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familiar de subsistencia basada en agricultura de secano y ganadería en ladera, sin ordenamiento del uso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19</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22.0028</v>
      </c>
      <c r="C10" s="19">
        <f>ROUND(B10/$B$15*100,2)</f>
        <v/>
      </c>
      <c r="D10" s="11" t="inlineStr">
        <is>
          <t>Vigor alto</t>
        </is>
      </c>
      <c r="E10" s="11" t="inlineStr">
        <is>
          <t>Sobre umbral</t>
        </is>
      </c>
    </row>
    <row r="11">
      <c r="A11" s="12" t="inlineStr">
        <is>
          <t>0.4976 - 0.6139 · DN 4</t>
        </is>
      </c>
      <c r="B11" s="31" t="n">
        <v>25.0883</v>
      </c>
      <c r="C11" s="30">
        <f>ROUND(B11/$B$15*100,2)</f>
        <v/>
      </c>
      <c r="D11" s="13" t="inlineStr">
        <is>
          <t>Vigor moderado</t>
        </is>
      </c>
      <c r="E11" s="13" t="inlineStr">
        <is>
          <t>Sobre umbral</t>
        </is>
      </c>
    </row>
    <row r="12">
      <c r="A12" s="7" t="inlineStr">
        <is>
          <t>0.3813 - 0.4976 · DN 3</t>
        </is>
      </c>
      <c r="B12" s="18" t="n">
        <v>32.1089</v>
      </c>
      <c r="C12" s="19">
        <f>ROUND(B12/$B$15*100,2)</f>
        <v/>
      </c>
      <c r="D12" s="11" t="inlineStr">
        <is>
          <t>Vigor bajo</t>
        </is>
      </c>
      <c r="E12" s="11" t="inlineStr">
        <is>
          <t>BAJO umbral 0.4976</t>
        </is>
      </c>
    </row>
    <row r="13">
      <c r="A13" s="14" t="inlineStr">
        <is>
          <t>0.2650 - 0.3813 · DN 2</t>
        </is>
      </c>
      <c r="B13" s="20" t="n">
        <v>2.8818</v>
      </c>
      <c r="C13" s="21">
        <f>ROUND(B13/$B$15*100,2)</f>
        <v/>
      </c>
      <c r="D13" s="15" t="inlineStr">
        <is>
          <t>Vigor muy bajo</t>
        </is>
      </c>
      <c r="E13" s="15" t="inlineStr">
        <is>
          <t>BAJO umbral 0.4976</t>
        </is>
      </c>
    </row>
    <row r="14">
      <c r="A14" s="7" t="inlineStr">
        <is>
          <t>&lt;= 0.2650 · DN 1</t>
        </is>
      </c>
      <c r="B14" s="18" t="n">
        <v>0.0061</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292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82.09</v>
      </c>
      <c r="C18" s="49" t="inlineStr">
        <is>
          <t>—</t>
        </is>
      </c>
      <c r="D18" s="46" t="inlineStr">
        <is>
          <t>Desviación planimétrica frente al catálogo</t>
        </is>
      </c>
      <c r="E18" s="46" t="inlineStr">
        <is>
          <t>+0.00 %</t>
        </is>
      </c>
    </row>
    <row r="19">
      <c r="A19" s="16" t="inlineStr">
        <is>
          <t>MSAVI 2024 — MEDIA DEL BLOQUE</t>
        </is>
      </c>
      <c r="B19" s="17" t="n">
        <v>0.537184</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292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(0.5372)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49.5333</v>
      </c>
      <c r="C25" s="19" t="n">
        <v>60.33</v>
      </c>
      <c r="D25" s="11" t="inlineStr">
        <is>
          <t>Dosel continuo, matorral denso o mosaico agroforestal</t>
        </is>
      </c>
      <c r="E25" s="11" t="inlineStr"/>
    </row>
    <row r="26">
      <c r="A26" s="14" t="inlineStr">
        <is>
          <t>Vegetación mediana</t>
        </is>
      </c>
      <c r="B26" s="20" t="n">
        <v>31.8676</v>
      </c>
      <c r="C26" s="21" t="n">
        <v>38.82</v>
      </c>
      <c r="D26" s="15" t="inlineStr">
        <is>
          <t>Pastizal cultivado, matorral ralo, parcelas agrícolas</t>
        </is>
      </c>
      <c r="E26" s="15" t="inlineStr"/>
    </row>
    <row r="27">
      <c r="A27" s="7" t="inlineStr">
        <is>
          <t>Vegetación ligera</t>
        </is>
      </c>
      <c r="B27" s="18" t="n">
        <v>0.6967</v>
      </c>
      <c r="C27" s="19" t="n">
        <v>0.85</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82.09</v>
      </c>
      <c r="C29" s="25" t="inlineStr">
        <is>
          <t>—</t>
        </is>
      </c>
      <c r="D29" s="25" t="inlineStr">
        <is>
          <t>Desviación planimétrica frente al catálogo</t>
        </is>
      </c>
      <c r="E29" s="25" t="inlineStr">
        <is>
          <t>+0.01 %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60.33 % del polígono clasificado como «Vegetación alta» por el NDVI 2025; la observación de campo corresponde a una parcela o recorrido puntual y no es estadísticamente representativa de las 82.090 ha del bloque.</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19</t>
        </is>
      </c>
    </row>
    <row r="6" ht="24" customHeight="1">
      <c r="A6" s="4" t="inlineStr">
        <is>
          <t>Levantamiento del 2026-08-12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664973</v>
      </c>
      <c r="D10" s="26" t="n">
        <v>9390797</v>
      </c>
      <c r="E10" s="11" t="n">
        <v>1029.3</v>
      </c>
      <c r="F10" s="11" t="inlineStr"/>
      <c r="G10" s="11" t="inlineStr">
        <is>
          <t>Coordenada consignada en F-DT-01</t>
        </is>
      </c>
    </row>
    <row r="11">
      <c r="A11" s="14" t="inlineStr">
        <is>
          <t>C-01</t>
        </is>
      </c>
      <c r="B11" s="15" t="inlineStr">
        <is>
          <t>Rasgo erosivo — Cárcava incipiente (30-50 cm)</t>
        </is>
      </c>
      <c r="C11" s="27" t="n">
        <v>665040</v>
      </c>
      <c r="D11" s="27" t="n">
        <v>9390735</v>
      </c>
      <c r="E11" s="15" t="n">
        <v>990.4</v>
      </c>
      <c r="F11" s="15" t="inlineStr">
        <is>
          <t>Activa</t>
        </is>
      </c>
      <c r="G11" s="15" t="inlineStr">
        <is>
          <t>Concentración natural de escorrentía</t>
        </is>
      </c>
    </row>
    <row r="12">
      <c r="A12" s="7" t="inlineStr">
        <is>
          <t>C-02</t>
        </is>
      </c>
      <c r="B12" s="11" t="inlineStr">
        <is>
          <t>Rasgo erosivo — Surco (&lt;30 cm)</t>
        </is>
      </c>
      <c r="C12" s="26" t="n">
        <v>665030</v>
      </c>
      <c r="D12" s="26" t="n">
        <v>9390737</v>
      </c>
      <c r="E12" s="11" t="n">
        <v>998.7</v>
      </c>
      <c r="F12" s="11" t="inlineStr">
        <is>
          <t>Activa</t>
        </is>
      </c>
      <c r="G12" s="11" t="inlineStr">
        <is>
          <t>Caminos / huellas de ganado</t>
        </is>
      </c>
    </row>
    <row r="13">
      <c r="A13" s="14" t="inlineStr">
        <is>
          <t>C-03</t>
        </is>
      </c>
      <c r="B13" s="15" t="inlineStr">
        <is>
          <t>Rasgo erosivo — Surco (&lt;30 cm)</t>
        </is>
      </c>
      <c r="C13" s="27" t="n">
        <v>664983</v>
      </c>
      <c r="D13" s="27" t="n">
        <v>9390801</v>
      </c>
      <c r="E13" s="15" t="n">
        <v>1018.5</v>
      </c>
      <c r="F13" s="15" t="inlineStr">
        <is>
          <t>Semi-activa</t>
        </is>
      </c>
      <c r="G13" s="15" t="inlineStr">
        <is>
          <t>Surcos de labranza en pendiente</t>
        </is>
      </c>
    </row>
    <row r="14">
      <c r="A14" s="7" t="inlineStr">
        <is>
          <t>H-01</t>
        </is>
      </c>
      <c r="B14" s="11" t="inlineStr">
        <is>
          <t>Fuente de agua — Otro (caja de reunión / válvula)</t>
        </is>
      </c>
      <c r="C14" s="26" t="n">
        <v>664978</v>
      </c>
      <c r="D14" s="26" t="n">
        <v>9390787</v>
      </c>
      <c r="E14" s="11" t="n">
        <v>1028</v>
      </c>
      <c r="F14" s="11" t="inlineStr">
        <is>
          <t>Permanente</t>
        </is>
      </c>
      <c r="G14" s="11" t="inlineStr">
        <is>
          <t>Infraestructura del sistema de agua potable</t>
        </is>
      </c>
    </row>
    <row r="15">
      <c r="A15" s="14" t="inlineStr">
        <is>
          <t>B-01</t>
        </is>
      </c>
      <c r="B15" s="15" t="inlineStr">
        <is>
          <t>Especie clave — Cenchrus clandestinus (kikuyo)</t>
        </is>
      </c>
      <c r="C15" s="27" t="n">
        <v>664973</v>
      </c>
      <c r="D15" s="27" t="n">
        <v>9390797</v>
      </c>
      <c r="E15" s="15" t="n">
        <v>1029.3</v>
      </c>
      <c r="F15" s="15" t="inlineStr">
        <is>
          <t>Indicadora de perturbación</t>
        </is>
      </c>
      <c r="G15" s="15" t="inlineStr"/>
    </row>
    <row r="16">
      <c r="A16" s="7" t="inlineStr">
        <is>
          <t>B-02</t>
        </is>
      </c>
      <c r="B16" s="11" t="inlineStr">
        <is>
          <t>Especie clave — Baccharis latifolia (chilca)</t>
        </is>
      </c>
      <c r="C16" s="26" t="n">
        <v>664983</v>
      </c>
      <c r="D16" s="26" t="n">
        <v>9390801</v>
      </c>
      <c r="E16" s="11" t="n">
        <v>1018.5</v>
      </c>
      <c r="F16" s="11" t="inlineStr">
        <is>
          <t>Indicadora de perturbación</t>
        </is>
      </c>
      <c r="G16" s="11" t="inlineStr"/>
    </row>
    <row r="17">
      <c r="A17" s="14" t="inlineStr">
        <is>
          <t>B-03</t>
        </is>
      </c>
      <c r="B17" s="15" t="inlineStr">
        <is>
          <t>Especie clave — Eucalyptus globulus</t>
        </is>
      </c>
      <c r="C17" s="27" t="n">
        <v>665034</v>
      </c>
      <c r="D17" s="27" t="n">
        <v>9390736</v>
      </c>
      <c r="E17" s="15" t="n">
        <v>995.5</v>
      </c>
      <c r="F17" s="15" t="inlineStr">
        <is>
          <t>Indicadora de perturbación</t>
        </is>
      </c>
      <c r="G17" s="15" t="inlineStr"/>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665942</v>
      </c>
      <c r="C20" s="6" t="inlineStr">
        <is>
          <t>Centroide del bloque — UTM NORTE (m)</t>
        </is>
      </c>
      <c r="D20" s="7" t="n">
        <v>9391144</v>
      </c>
      <c r="E20" s="8" t="n"/>
      <c r="F20" s="8" t="n"/>
      <c r="G20" s="8" t="n"/>
      <c r="H20" s="8" t="n"/>
    </row>
    <row r="21">
      <c r="A21" s="6" t="inlineStr">
        <is>
          <t>N.° de estaciones fotográficas declaradas</t>
        </is>
      </c>
      <c r="B21" s="7" t="n">
        <v>11</v>
      </c>
      <c r="C21" s="6" t="inlineStr">
        <is>
          <t>Estaciones dentro del polígono</t>
        </is>
      </c>
      <c r="D21" s="7" t="inlineStr">
        <is>
          <t>Por determinar</t>
        </is>
      </c>
      <c r="E21" s="8" t="n"/>
      <c r="F21" s="8" t="n"/>
      <c r="G21" s="8" t="n"/>
      <c r="H21" s="8" t="n"/>
    </row>
    <row r="23" ht="12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recorrido cubrió la franja de pie de ladera, entre 2049 y 2057 msnm, accesible desde la trocha del CP Nuevo Progreso (11 estaciones fotográficas georreferenciadas). El sector medio y alto del polígono (hasta ~2500 msnm) no fue recorrido. Los escarpes activos y las remociones en masa corresponden a desprendimientos y derrumbes en taludes de corte de la trocha, con material suelto sobre la plataforma; afectan directamente la vía y las viviendas al pie del talud.</t>
        </is>
      </c>
      <c r="B23" s="41" t="n"/>
      <c r="C23" s="41" t="n"/>
      <c r="D23" s="41" t="n"/>
      <c r="E23" s="41" t="n"/>
      <c r="F23" s="41" t="n"/>
      <c r="G23" s="42"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19</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8" t="n">
        <v>103.62</v>
      </c>
      <c r="C10" s="19" t="n">
        <v>21.54</v>
      </c>
      <c r="D10" s="11" t="inlineStr">
        <is>
          <t>1218 – 1904</t>
        </is>
      </c>
      <c r="E10" s="11" t="n">
        <v>686</v>
      </c>
      <c r="F10" s="11" t="n">
        <v>28.7</v>
      </c>
      <c r="G10" s="18" t="n">
        <v>0.6402</v>
      </c>
      <c r="H10" s="19" t="n">
        <v>96.64</v>
      </c>
      <c r="I10" s="19" t="n">
        <v>3</v>
      </c>
    </row>
    <row r="11">
      <c r="A11" s="12" t="inlineStr">
        <is>
          <t>► 19</t>
        </is>
      </c>
      <c r="B11" s="29" t="n">
        <v>82.09</v>
      </c>
      <c r="C11" s="30" t="n">
        <v>17.06</v>
      </c>
      <c r="D11" s="13" t="inlineStr">
        <is>
          <t>2064 – 2503</t>
        </is>
      </c>
      <c r="E11" s="13" t="n">
        <v>439</v>
      </c>
      <c r="F11" s="13" t="n">
        <v>31.01</v>
      </c>
      <c r="G11" s="31" t="n">
        <v>0.5372</v>
      </c>
      <c r="H11" s="30" t="n">
        <v>60.33</v>
      </c>
      <c r="I11" s="30" t="n">
        <v>42.63</v>
      </c>
    </row>
    <row r="12">
      <c r="A12" s="7" t="inlineStr">
        <is>
          <t>41</t>
        </is>
      </c>
      <c r="B12" s="28" t="n">
        <v>64.92</v>
      </c>
      <c r="C12" s="19" t="n">
        <v>13.49</v>
      </c>
      <c r="D12" s="11" t="inlineStr">
        <is>
          <t>1536 – 1818</t>
        </is>
      </c>
      <c r="E12" s="11" t="n">
        <v>282</v>
      </c>
      <c r="F12" s="11" t="n">
        <v>25.53</v>
      </c>
      <c r="G12" s="18" t="n">
        <v>0.5927</v>
      </c>
      <c r="H12" s="19" t="n">
        <v>98.02</v>
      </c>
      <c r="I12" s="19" t="n">
        <v>12.26</v>
      </c>
    </row>
    <row r="13">
      <c r="A13" s="14" t="inlineStr">
        <is>
          <t>73</t>
        </is>
      </c>
      <c r="B13" s="32" t="n">
        <v>54.29</v>
      </c>
      <c r="C13" s="21" t="n">
        <v>11.28</v>
      </c>
      <c r="D13" s="15" t="inlineStr">
        <is>
          <t>1845 – 2305</t>
        </is>
      </c>
      <c r="E13" s="15" t="n">
        <v>460</v>
      </c>
      <c r="F13" s="15" t="n">
        <v>36.34</v>
      </c>
      <c r="G13" s="20" t="n">
        <v>0.555</v>
      </c>
      <c r="H13" s="21" t="n">
        <v>88.8</v>
      </c>
      <c r="I13" s="21" t="n">
        <v>18.94</v>
      </c>
    </row>
    <row r="14">
      <c r="A14" s="7" t="inlineStr">
        <is>
          <t>31</t>
        </is>
      </c>
      <c r="B14" s="28" t="n">
        <v>47.58</v>
      </c>
      <c r="C14" s="19" t="n">
        <v>9.890000000000001</v>
      </c>
      <c r="D14" s="11" t="inlineStr">
        <is>
          <t>1741 – 2234</t>
        </is>
      </c>
      <c r="E14" s="11" t="n">
        <v>493</v>
      </c>
      <c r="F14" s="11" t="n">
        <v>27.08</v>
      </c>
      <c r="G14" s="18" t="n">
        <v>0.4358</v>
      </c>
      <c r="H14" s="19" t="n">
        <v>18.56</v>
      </c>
      <c r="I14" s="19" t="n">
        <v>78.42</v>
      </c>
    </row>
    <row r="15">
      <c r="A15" s="14" t="inlineStr">
        <is>
          <t>29</t>
        </is>
      </c>
      <c r="B15" s="32" t="n">
        <v>40.1</v>
      </c>
      <c r="C15" s="21" t="n">
        <v>8.33</v>
      </c>
      <c r="D15" s="15" t="inlineStr">
        <is>
          <t>2142 – 2391</t>
        </is>
      </c>
      <c r="E15" s="15" t="n">
        <v>249</v>
      </c>
      <c r="F15" s="15" t="n">
        <v>31.54</v>
      </c>
      <c r="G15" s="20" t="n">
        <v>0.5482</v>
      </c>
      <c r="H15" s="21" t="inlineStr">
        <is>
          <t>Por determinar</t>
        </is>
      </c>
      <c r="I15" s="15" t="inlineStr">
        <is>
          <t>s/d</t>
        </is>
      </c>
    </row>
    <row r="16">
      <c r="A16" s="7" t="inlineStr">
        <is>
          <t>70</t>
        </is>
      </c>
      <c r="B16" s="28" t="n">
        <v>22.39</v>
      </c>
      <c r="C16" s="19" t="n">
        <v>4.65</v>
      </c>
      <c r="D16" s="11" t="inlineStr">
        <is>
          <t>2326 – 2536</t>
        </is>
      </c>
      <c r="E16" s="11" t="n">
        <v>210</v>
      </c>
      <c r="F16" s="11" t="n">
        <v>23.2</v>
      </c>
      <c r="G16" s="18" t="n">
        <v>0.6223</v>
      </c>
      <c r="H16" s="19" t="n">
        <v>98.39</v>
      </c>
      <c r="I16" s="19" t="n">
        <v>4.87</v>
      </c>
    </row>
    <row r="17">
      <c r="A17" s="14" t="inlineStr">
        <is>
          <t>68</t>
        </is>
      </c>
      <c r="B17" s="32" t="n">
        <v>21.29</v>
      </c>
      <c r="C17" s="21" t="n">
        <v>4.42</v>
      </c>
      <c r="D17" s="15" t="inlineStr">
        <is>
          <t>2086 – 2374</t>
        </is>
      </c>
      <c r="E17" s="15" t="n">
        <v>288</v>
      </c>
      <c r="F17" s="15" t="n">
        <v>36.81</v>
      </c>
      <c r="G17" s="20" t="n">
        <v>0.483</v>
      </c>
      <c r="H17" s="21" t="inlineStr">
        <is>
          <t>Por determinar</t>
        </is>
      </c>
      <c r="I17" s="15" t="inlineStr">
        <is>
          <t>s/d</t>
        </is>
      </c>
    </row>
    <row r="18">
      <c r="A18" s="7" t="inlineStr">
        <is>
          <t>69</t>
        </is>
      </c>
      <c r="B18" s="28" t="n">
        <v>19.43</v>
      </c>
      <c r="C18" s="19" t="n">
        <v>4.04</v>
      </c>
      <c r="D18" s="11" t="inlineStr">
        <is>
          <t>1931 – 2205</t>
        </is>
      </c>
      <c r="E18" s="11" t="n">
        <v>274</v>
      </c>
      <c r="F18" s="11" t="n">
        <v>27.95</v>
      </c>
      <c r="G18" s="18" t="n">
        <v>0.4489</v>
      </c>
      <c r="H18" s="19" t="n">
        <v>22.92</v>
      </c>
      <c r="I18" s="19" t="n">
        <v>81.28</v>
      </c>
    </row>
    <row r="19">
      <c r="A19" s="14" t="inlineStr">
        <is>
          <t>53</t>
        </is>
      </c>
      <c r="B19" s="32" t="n">
        <v>13.06</v>
      </c>
      <c r="C19" s="21" t="n">
        <v>2.71</v>
      </c>
      <c r="D19" s="15" t="inlineStr">
        <is>
          <t>2235 – 2540</t>
        </is>
      </c>
      <c r="E19" s="15" t="n">
        <v>305</v>
      </c>
      <c r="F19" s="15" t="n">
        <v>26.89</v>
      </c>
      <c r="G19" s="20" t="n">
        <v>0.5963000000000001</v>
      </c>
      <c r="H19" s="21" t="n">
        <v>86.15000000000001</v>
      </c>
      <c r="I19" s="21" t="n">
        <v>12.45</v>
      </c>
    </row>
    <row r="20">
      <c r="A20" s="7" t="inlineStr">
        <is>
          <t>72</t>
        </is>
      </c>
      <c r="B20" s="28" t="n">
        <v>12.4</v>
      </c>
      <c r="C20" s="19" t="n">
        <v>2.58</v>
      </c>
      <c r="D20" s="11" t="inlineStr">
        <is>
          <t>1538 – 1742</t>
        </is>
      </c>
      <c r="E20" s="11" t="n">
        <v>204</v>
      </c>
      <c r="F20" s="11" t="n">
        <v>28.25</v>
      </c>
      <c r="G20" s="18" t="n">
        <v>0.5185</v>
      </c>
      <c r="H20" s="19" t="n">
        <v>92.44</v>
      </c>
      <c r="I20" s="19" t="n">
        <v>41.35</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c r="I21" s="23">
        <f>ROUND(AVERAGE(I10:I20),2)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1" t="n"/>
      <c r="C22" s="41" t="n"/>
      <c r="D22" s="41" t="n"/>
      <c r="E22" s="41" t="n"/>
      <c r="F22" s="41" t="n"/>
      <c r="G22" s="41" t="n"/>
      <c r="H22" s="41" t="n"/>
      <c r="I22" s="42" t="n"/>
    </row>
    <row r="24" ht="84" customHeight="1">
      <c r="A24" s="9" t="inlineStr">
        <is>
          <t>LECTURA INTRAMICROCUENCA. El bloque 19 ocupa el puesto 2 de 11 por superficie dentro de la microcuenca C1076-Q9592 (17.06 % de las 481.17 ha preliminares de la microcuenca). Su pendiente promedio (31.01 %, clase «25-50% (Mod. escarpado)») es la 8.ª más baja de 11 y se sitúa por encima del promedio de la microcuenca (29.39 %). Su MSAVI 2024 (0.5372) es el 7.º de 11 y queda por debajo del promedio local (0.5435). Amplitud altitudinal del bloque: 439 m (2064–2503 msnm). El cuadro conserva todos los bloques catalogados en la microcuenca, incluidos los descartados en el tamizaje, para referencia del conjunto. Los bloques sin ficha DT figuran con sus parámetros de gabinete. BRECHA ESPECTRAL. El 42.63 % de la superficie del bloque (34.997 ha de 82.088 ha) se sitúa bajo el umbral MSAVI 0.4976, por encima del promedio local de la microcuenca (32.80 %) calculado sobre los bloques con dato MSAVI disponible.</t>
        </is>
      </c>
      <c r="B24" s="41" t="n"/>
      <c r="C24" s="41" t="n"/>
      <c r="D24" s="41" t="n"/>
      <c r="E24" s="41" t="n"/>
      <c r="F24" s="41" t="n"/>
      <c r="G24" s="41" t="n"/>
      <c r="H24" s="41" t="n"/>
      <c r="I24" s="42"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1" t="n"/>
      <c r="I26" s="42" t="n"/>
    </row>
  </sheetData>
  <mergeCells count="10">
    <mergeCell ref="A2:I2"/>
    <mergeCell ref="A5:I5"/>
    <mergeCell ref="A1:I1"/>
    <mergeCell ref="A8:I8"/>
    <mergeCell ref="A3:I3"/>
    <mergeCell ref="A6:I6"/>
    <mergeCell ref="A22:I22"/>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19</t>
        </is>
      </c>
    </row>
    <row r="6">
      <c r="A6" s="51" t="inlineStr">
        <is>
          <t>Cruce de la ficha de campo F-DT vigente con la ficha de resumen de gabinete y el catálogo maestro. Integración 2026-09-11 20:22:25.</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«C1076-Q9592».</t>
        </is>
      </c>
      <c r="D9" s="55" t="inlineStr">
        <is>
          <t>CONFORME</t>
        </is>
      </c>
      <c r="E9" s="55" t="inlineStr">
        <is>
          <t>Sin acción.</t>
        </is>
      </c>
    </row>
    <row r="10">
      <c r="A10" s="56" t="inlineStr">
        <is>
          <t>G-02</t>
        </is>
      </c>
      <c r="B10" s="56" t="inlineStr">
        <is>
          <t>UTM del punto de muestreo</t>
        </is>
      </c>
      <c r="C10" s="56" t="inlineStr">
        <is>
          <t>El punto de muestreo declarado dista 1019.9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(2054 msnm) cae dentro del rango altitudinal del bloque (2064 - 2503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(82.098 ha) se desvía 0.01 % de la superficie de catálogo (82.09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(82.088 ha) se desvía -0.00 % de la superficie de catálogo (82.09 ha).</t>
        </is>
      </c>
      <c r="D14" s="56" t="inlineStr">
        <is>
          <t>CONFORME</t>
        </is>
      </c>
      <c r="E14" s="56" t="inlineStr">
        <is>
          <t>Sin acción: la segmentación valida la geometría del bloque.</t>
        </is>
      </c>
    </row>
    <row r="15">
      <c r="A15" s="55" t="inlineStr">
        <is>
          <t>G-07</t>
        </is>
      </c>
      <c r="B15" s="55" t="inlineStr">
        <is>
          <t>Brecha espectral MSAVI</t>
        </is>
      </c>
      <c r="C15" s="55" t="inlineStr">
        <is>
          <t>El 42.63 % del bloque queda bajo el umbral 0.4976; superficie de brecha 35.00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82.09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(0.5372) cae en la clase «0.4976 - 0.6139 (Vigor moderado)» y la clase DN dominante por superficie es «DN 3 · 0.3813 - 0.4976 (Vigor bajo)».</t>
        </is>
      </c>
      <c r="D17" s="55" t="inlineStr">
        <is>
          <t>NO SUSTANTIVA</t>
        </is>
      </c>
      <c r="E17" s="55" t="inlineStr">
        <is>
          <t>Se declaran ambas lecturas: la media resume el bloque y la clase dominante su reparto areal.</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92.9 % de los campos esperados).</t>
        </is>
      </c>
      <c r="D19" s="55" t="inlineStr">
        <is>
          <t>CONFORME</t>
        </is>
      </c>
      <c r="E19" s="55" t="inlineStr">
        <is>
          <t>Sin acción.</t>
        </is>
      </c>
    </row>
    <row r="20">
      <c r="A20" s="56" t="inlineStr">
        <is>
          <t>F-02</t>
        </is>
      </c>
      <c r="B20" s="56" t="inlineStr">
        <is>
          <t>Cobertura de la integración</t>
        </is>
      </c>
      <c r="C20" s="56" t="inlineStr">
        <is>
          <t>Se declararon 107 de 114 hechos integrados (93.9 %); 7 quedan sin dato en ninguna fuente.</t>
        </is>
      </c>
      <c r="D20" s="56" t="inlineStr">
        <is>
          <t>CONFORME</t>
        </is>
      </c>
      <c r="E20" s="56" t="inlineStr">
        <is>
          <t>Sin acción.</t>
        </is>
      </c>
    </row>
    <row r="21">
      <c r="A21" s="55" t="inlineStr">
        <is>
          <t>H-01</t>
        </is>
      </c>
      <c r="B21" s="55" t="inlineStr">
        <is>
          <t>Elenco florístico</t>
        </is>
      </c>
      <c r="C21" s="55" t="inlineStr">
        <is>
          <t>La ficha registra 7 taxones, por debajo del mínimo de 15 que exige el formato V5</t>
        </is>
      </c>
      <c r="D21" s="55" t="inlineStr">
        <is>
          <t>SUSTANTIVA</t>
        </is>
      </c>
      <c r="E21" s="55" t="inlineStr">
        <is>
          <t>Registro florístico preliminar, sin colecta ni determinación botánica formal. Debe cerrarse con colecta botánica en la siguiente campaña. (Verificación heredada de la ficha de resumen V6.)</t>
        </is>
      </c>
    </row>
    <row r="22">
      <c r="A22" s="56" t="inlineStr">
        <is>
          <t>H-02</t>
        </is>
      </c>
      <c r="B22" s="56" t="inlineStr">
        <is>
          <t>Centro poblado asociado</t>
        </is>
      </c>
      <c r="C22" s="56" t="inlineStr">
        <is>
          <t>La ficha DT declara «Nuevo Progreso»; el cruce INEI-Bloques V5 identifica 2 centro(s) poblado(s) en el bloque: NUEVO PROGRESO, TABLURAN</t>
        </is>
      </c>
      <c r="D22" s="56" t="inlineStr">
        <is>
          <t>CONFORME</t>
        </is>
      </c>
      <c r="E22" s="56" t="inlineStr">
        <is>
          <t>Se conserva el registro de campo como referencia y se adopta el listado INEI para el diagnóstico social y el cálculo de población beneficiaria. (Verificación heredada de la ficha de resumen V6.)</t>
        </is>
      </c>
    </row>
    <row r="24">
      <c r="A24" s="57" t="inlineStr">
        <is>
          <t>RESUMEN</t>
        </is>
      </c>
      <c r="B24" s="58" t="inlineStr">
        <is>
          <t>14 verificaciones</t>
        </is>
      </c>
      <c r="C24" s="58" t="inlineStr">
        <is>
          <t>SUSTANTIVA: 2 · NO SUSTANTIVA: 1 · CONFORME: 11</t>
        </is>
      </c>
    </row>
    <row r="26">
      <c r="A26"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6:E26"/>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19</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664992</t>
        </is>
      </c>
      <c r="D13" s="55" t="inlineStr">
        <is>
          <t>m</t>
        </is>
      </c>
    </row>
    <row r="14">
      <c r="A14" s="56" t="inlineStr">
        <is>
          <t>1. Identificación y localización</t>
        </is>
      </c>
      <c r="B14" s="56" t="inlineStr">
        <is>
          <t>UTM NORTE del punto de muestreo (m)</t>
        </is>
      </c>
      <c r="C14" s="56" t="inlineStr">
        <is>
          <t>9390773</t>
        </is>
      </c>
      <c r="D14" s="56" t="inlineStr">
        <is>
          <t>m</t>
        </is>
      </c>
    </row>
    <row r="15">
      <c r="A15" s="55" t="inlineStr">
        <is>
          <t>2. Parámetros físicos del terreno</t>
        </is>
      </c>
      <c r="B15" s="55" t="inlineStr">
        <is>
          <t>Altitud GPS del punto de muestreo (msnm)</t>
        </is>
      </c>
      <c r="C15" s="55" t="inlineStr">
        <is>
          <t>2054</t>
        </is>
      </c>
      <c r="D15" s="55" t="inlineStr">
        <is>
          <t>msnm</t>
        </is>
      </c>
    </row>
    <row r="16">
      <c r="A16" s="56" t="inlineStr">
        <is>
          <t>2. Parámetros físicos del terreno</t>
        </is>
      </c>
      <c r="B16" s="56" t="inlineStr">
        <is>
          <t>Piso altitudinal del punto de muestreo</t>
        </is>
      </c>
      <c r="C16" s="56" t="inlineStr">
        <is>
          <t>2000-2500 m (Quechua alta)</t>
        </is>
      </c>
      <c r="D16" s="56" t="inlineStr"/>
    </row>
    <row r="17">
      <c r="A17" s="55" t="inlineStr">
        <is>
          <t>2. Parámetros físicos del terreno</t>
        </is>
      </c>
      <c r="B17" s="55" t="inlineStr">
        <is>
          <t>Paisaje dominante descrito en campo</t>
        </is>
      </c>
      <c r="C17" s="55" t="inlineStr">
        <is>
          <t>Ladera montañosa de exposición noroeste sobre la margen derecha del valle del río Huancabamba. Mosaico de parcelas de secano (trigo, papa) con andenería rústica de muros de piedra, pastizal de kikuyo, macizos y bordes de plantaciones forestales exóticas (eucalipto, pino, ciprés) y matorral de chilca en taludes y linderos. El centro poblado Nuevo Progreso y la trocha carrozable de acceso ocupan el pie de ladera, en el límite noroeste del bloque.</t>
        </is>
      </c>
      <c r="D17" s="55" t="inlineStr"/>
    </row>
    <row r="18">
      <c r="A18" s="56" t="inlineStr">
        <is>
          <t>2. Parámetros físicos del terreno</t>
        </is>
      </c>
      <c r="B18" s="56" t="inlineStr">
        <is>
          <t>Reptación de suelo</t>
        </is>
      </c>
      <c r="C18" s="56" t="inlineStr">
        <is>
          <t>No</t>
        </is>
      </c>
      <c r="D18" s="56" t="inlineStr"/>
    </row>
    <row r="19">
      <c r="A19" s="55" t="inlineStr">
        <is>
          <t>2. Parámetros físicos del terreno</t>
        </is>
      </c>
      <c r="B19" s="55" t="inlineStr">
        <is>
          <t>Deslizamientos antiguos</t>
        </is>
      </c>
      <c r="C19" s="55" t="inlineStr">
        <is>
          <t>No</t>
        </is>
      </c>
      <c r="D19" s="55" t="inlineStr"/>
    </row>
    <row r="20">
      <c r="A20" s="56" t="inlineStr">
        <is>
          <t>4. Suelos y erosión (F-DT-02)</t>
        </is>
      </c>
      <c r="B20" s="56" t="inlineStr">
        <is>
          <t>Nivel de erosión - síntesis de campo</t>
        </is>
      </c>
      <c r="C20" s="56" t="inlineStr">
        <is>
          <t>Moderada (surcos)</t>
        </is>
      </c>
      <c r="D20" s="56" t="inlineStr"/>
    </row>
    <row r="21">
      <c r="A21" s="55" t="inlineStr">
        <is>
          <t>4. Suelos y erosión (F-DT-02)</t>
        </is>
      </c>
      <c r="B21" s="55" t="inlineStr">
        <is>
          <t>Sellamiento / costra superficial</t>
        </is>
      </c>
      <c r="C21" s="55" t="inlineStr">
        <is>
          <t>No</t>
        </is>
      </c>
      <c r="D21" s="55" t="inlineStr"/>
    </row>
    <row r="22">
      <c r="A22" s="56" t="inlineStr">
        <is>
          <t>4. Suelos y erosión (F-DT-02)</t>
        </is>
      </c>
      <c r="B22" s="56" t="inlineStr">
        <is>
          <t>Compactación por pisoteo</t>
        </is>
      </c>
      <c r="C22" s="56" t="inlineStr">
        <is>
          <t>Sí</t>
        </is>
      </c>
      <c r="D22" s="56" t="inlineStr"/>
    </row>
    <row r="23">
      <c r="A23" s="55" t="inlineStr">
        <is>
          <t>4. Suelos y erosión (F-DT-02)</t>
        </is>
      </c>
      <c r="B23" s="55" t="inlineStr">
        <is>
          <t>Raíces expuestas</t>
        </is>
      </c>
      <c r="C23" s="55" t="inlineStr">
        <is>
          <t>Sí</t>
        </is>
      </c>
      <c r="D23" s="55" t="inlineStr"/>
    </row>
    <row r="24">
      <c r="A24" s="56" t="inlineStr">
        <is>
          <t>4. Suelos y erosión (F-DT-02)</t>
        </is>
      </c>
      <c r="B24" s="56" t="inlineStr">
        <is>
          <t>Longitud total de cárcavas (m)</t>
        </is>
      </c>
      <c r="C24" s="56" t="inlineStr">
        <is>
          <t>60</t>
        </is>
      </c>
      <c r="D24" s="56" t="inlineStr">
        <is>
          <t>m</t>
        </is>
      </c>
    </row>
    <row r="25">
      <c r="A25" s="55" t="inlineStr">
        <is>
          <t>4. Suelos y erosión (F-DT-02)</t>
        </is>
      </c>
      <c r="B25" s="55" t="inlineStr">
        <is>
          <t>% del bloque afectado por cárcavas</t>
        </is>
      </c>
      <c r="C25" s="55" t="inlineStr">
        <is>
          <t>&lt;1 %</t>
        </is>
      </c>
      <c r="D25" s="55" t="inlineStr">
        <is>
          <t>%</t>
        </is>
      </c>
    </row>
    <row r="26">
      <c r="A26" s="56" t="inlineStr">
        <is>
          <t>4. Suelos y erosión (F-DT-02)</t>
        </is>
      </c>
      <c r="B26" s="56" t="inlineStr">
        <is>
          <t>Erosión laminar (% del bloque)</t>
        </is>
      </c>
      <c r="C26" s="56" t="inlineStr">
        <is>
          <t>15 %</t>
        </is>
      </c>
      <c r="D26" s="56" t="inlineStr">
        <is>
          <t>%</t>
        </is>
      </c>
    </row>
    <row r="27">
      <c r="A27" s="55" t="inlineStr">
        <is>
          <t>4. Suelos y erosión (F-DT-02)</t>
        </is>
      </c>
      <c r="B27" s="55" t="inlineStr">
        <is>
          <t>Patrón de cárcavas</t>
        </is>
      </c>
      <c r="C27" s="55" t="inlineStr">
        <is>
          <t>Aislado</t>
        </is>
      </c>
      <c r="D27" s="55" t="inlineStr"/>
    </row>
    <row r="28">
      <c r="A28" s="56" t="inlineStr">
        <is>
          <t>4. Suelos y erosión (F-DT-02)</t>
        </is>
      </c>
      <c r="B28" s="56" t="inlineStr">
        <is>
          <t>Socavamiento de cauce</t>
        </is>
      </c>
      <c r="C28" s="56" t="inlineStr">
        <is>
          <t>No</t>
        </is>
      </c>
      <c r="D28" s="56" t="inlineStr"/>
    </row>
    <row r="29">
      <c r="A29" s="55" t="inlineStr">
        <is>
          <t>5. Ecosistema, cobertura y flora (F-DT-03)</t>
        </is>
      </c>
      <c r="B29" s="55" t="inlineStr">
        <is>
          <t>Cobertura del dosel (%)</t>
        </is>
      </c>
      <c r="C29" s="55" t="inlineStr">
        <is>
          <t>25</t>
        </is>
      </c>
      <c r="D29" s="55" t="inlineStr">
        <is>
          <t>%</t>
        </is>
      </c>
    </row>
    <row r="30">
      <c r="A30" s="56" t="inlineStr">
        <is>
          <t>5. Ecosistema, cobertura y flora (F-DT-03)</t>
        </is>
      </c>
      <c r="B30" s="56" t="inlineStr">
        <is>
          <t>Cobertura arbustiva (%)</t>
        </is>
      </c>
      <c r="C30" s="56" t="inlineStr">
        <is>
          <t>20</t>
        </is>
      </c>
      <c r="D30" s="56" t="inlineStr">
        <is>
          <t>%</t>
        </is>
      </c>
    </row>
    <row r="31">
      <c r="A31" s="55" t="inlineStr">
        <is>
          <t>5. Ecosistema, cobertura y flora (F-DT-03)</t>
        </is>
      </c>
      <c r="B31" s="55" t="inlineStr">
        <is>
          <t>Cobertura herbácea (%)</t>
        </is>
      </c>
      <c r="C31" s="55" t="inlineStr">
        <is>
          <t>40</t>
        </is>
      </c>
      <c r="D31" s="55" t="inlineStr">
        <is>
          <t>%</t>
        </is>
      </c>
    </row>
    <row r="32">
      <c r="A32" s="56" t="inlineStr">
        <is>
          <t>5. Ecosistema, cobertura y flora (F-DT-03)</t>
        </is>
      </c>
      <c r="B32" s="56" t="inlineStr">
        <is>
          <t>Cobertura de hojarasca (%)</t>
        </is>
      </c>
      <c r="C32" s="56" t="inlineStr">
        <is>
          <t>10</t>
        </is>
      </c>
      <c r="D32" s="56" t="inlineStr">
        <is>
          <t>%</t>
        </is>
      </c>
    </row>
    <row r="33">
      <c r="A33" s="55" t="inlineStr">
        <is>
          <t>5. Ecosistema, cobertura y flora (F-DT-03)</t>
        </is>
      </c>
      <c r="B33" s="55" t="inlineStr">
        <is>
          <t>Altura del estrato dominante (m)</t>
        </is>
      </c>
      <c r="C33" s="55" t="inlineStr">
        <is>
          <t>8</t>
        </is>
      </c>
      <c r="D33" s="55" t="inlineStr">
        <is>
          <t>m</t>
        </is>
      </c>
    </row>
    <row r="34">
      <c r="A34" s="56" t="inlineStr">
        <is>
          <t>5. Ecosistema, cobertura y flora (F-DT-03)</t>
        </is>
      </c>
      <c r="B34" s="56" t="inlineStr">
        <is>
          <t>Altura máxima registrada (m)</t>
        </is>
      </c>
      <c r="C34" s="56" t="inlineStr">
        <is>
          <t>18</t>
        </is>
      </c>
      <c r="D34" s="56" t="inlineStr">
        <is>
          <t>m</t>
        </is>
      </c>
    </row>
    <row r="35">
      <c r="A35" s="55" t="inlineStr">
        <is>
          <t>5. Ecosistema, cobertura y flora (F-DT-03)</t>
        </is>
      </c>
      <c r="B35" s="55" t="inlineStr">
        <is>
          <t>DAP promedio (cm)</t>
        </is>
      </c>
      <c r="C35" s="55" t="inlineStr">
        <is>
          <t>22</t>
        </is>
      </c>
      <c r="D35" s="55" t="inlineStr">
        <is>
          <t>cm</t>
        </is>
      </c>
    </row>
    <row r="36">
      <c r="A36" s="56" t="inlineStr">
        <is>
          <t>5. Ecosistema, cobertura y flora (F-DT-03)</t>
        </is>
      </c>
      <c r="B36" s="56" t="inlineStr">
        <is>
          <t>Presencia de epífitas</t>
        </is>
      </c>
      <c r="C36" s="56" t="inlineStr">
        <is>
          <t>No</t>
        </is>
      </c>
      <c r="D36" s="56" t="inlineStr"/>
    </row>
    <row r="37">
      <c r="A37" s="55" t="inlineStr">
        <is>
          <t>5. Ecosistema, cobertura y flora (F-DT-03)</t>
        </is>
      </c>
      <c r="B37" s="55" t="inlineStr">
        <is>
          <t>Fenología dominante</t>
        </is>
      </c>
      <c r="C37" s="55" t="inlineStr">
        <is>
          <t>Vegetativo</t>
        </is>
      </c>
      <c r="D37" s="55" t="inlineStr"/>
    </row>
    <row r="38">
      <c r="A38" s="56" t="inlineStr">
        <is>
          <t>5. Ecosistema, cobertura y flora (F-DT-03)</t>
        </is>
      </c>
      <c r="B38" s="56" t="inlineStr">
        <is>
          <t>Dimensiones de la parcela (m)</t>
        </is>
      </c>
      <c r="C38" s="56" t="inlineStr">
        <is>
          <t>No aplica</t>
        </is>
      </c>
      <c r="D38" s="56" t="inlineStr"/>
    </row>
    <row r="39">
      <c r="A39" s="55" t="inlineStr">
        <is>
          <t>5. Ecosistema, cobertura y flora (F-DT-03)</t>
        </is>
      </c>
      <c r="B39" s="55" t="inlineStr">
        <is>
          <t>Pendiente de la parcela (%)</t>
        </is>
      </c>
      <c r="C39" s="55" t="inlineStr">
        <is>
          <t>35</t>
        </is>
      </c>
      <c r="D39" s="55" t="inlineStr">
        <is>
          <t>%</t>
        </is>
      </c>
    </row>
    <row r="40">
      <c r="A40" s="56" t="inlineStr">
        <is>
          <t>5. Ecosistema, cobertura y flora (F-DT-03)</t>
        </is>
      </c>
      <c r="B40" s="56" t="inlineStr">
        <is>
          <t>Especies clave georreferenciadas</t>
        </is>
      </c>
      <c r="C40" s="56" t="inlineStr">
        <is>
          <t>3</t>
        </is>
      </c>
      <c r="D40" s="56" t="inlineStr"/>
    </row>
    <row r="41">
      <c r="A41" s="55" t="inlineStr">
        <is>
          <t>6. Degradación, causas y urgencia (F-DT-04)</t>
        </is>
      </c>
      <c r="B41" s="55" t="inlineStr">
        <is>
          <t>Causas directas de la degradación</t>
        </is>
      </c>
      <c r="C41" s="55" t="inlineStr">
        <is>
          <t>(1) Cambio de uso del suelo a agricultura de secano en ladera (trigo, papa) y a pastizal cultivado de kikuyo; (2) sustitución de la vegetación leñosa nativa por plantaciones forestales exóticas (eucalipto, pino, ciprés); (3) apertura de trocha carrozable con cortes de talud sin sostenimiento y expansión del centro poblado sobre el pie de ladera.</t>
        </is>
      </c>
      <c r="D41" s="55" t="inlineStr"/>
    </row>
    <row r="42">
      <c r="A42" s="56" t="inlineStr">
        <is>
          <t>6. Degradación, causas y urgencia (F-DT-04)</t>
        </is>
      </c>
      <c r="B42" s="56" t="inlineStr">
        <is>
          <t>N.° de causas activas en la matriz F-DT-04</t>
        </is>
      </c>
      <c r="C42" s="56" t="inlineStr">
        <is>
          <t>9</t>
        </is>
      </c>
      <c r="D42" s="56" t="inlineStr"/>
    </row>
    <row r="43">
      <c r="A43" s="55" t="inlineStr">
        <is>
          <t>7. Hidrología, acceso y logística (F-DT-05)</t>
        </is>
      </c>
      <c r="B43" s="55" t="inlineStr">
        <is>
          <t>Escorrentía concentrada</t>
        </is>
      </c>
      <c r="C43" s="55" t="inlineStr">
        <is>
          <t>Sí</t>
        </is>
      </c>
      <c r="D43" s="55" t="inlineStr"/>
    </row>
    <row r="44">
      <c r="A44" s="56" t="inlineStr">
        <is>
          <t>7. Hidrología, acceso y logística (F-DT-05)</t>
        </is>
      </c>
      <c r="B44" s="56" t="inlineStr">
        <is>
          <t>Fuentes de agua inventariadas</t>
        </is>
      </c>
      <c r="C44" s="56" t="inlineStr">
        <is>
          <t>1</t>
        </is>
      </c>
      <c r="D44" s="56" t="inlineStr"/>
    </row>
    <row r="45">
      <c r="A45" s="55" t="inlineStr">
        <is>
          <t>7. Hidrología, acceso y logística (F-DT-05)</t>
        </is>
      </c>
      <c r="B45" s="55" t="inlineStr">
        <is>
          <t>Distancia a captación (m)</t>
        </is>
      </c>
      <c r="C45" s="55" t="inlineStr">
        <is>
          <t>~50 m (infraestructura de almacenamiento del sistema de agua potable en el pie de ladera)</t>
        </is>
      </c>
      <c r="D45" s="55" t="inlineStr">
        <is>
          <t>m</t>
        </is>
      </c>
    </row>
    <row r="46">
      <c r="A46" s="56" t="inlineStr">
        <is>
          <t>7. Hidrología, acceso y logística (F-DT-05)</t>
        </is>
      </c>
      <c r="B46" s="56" t="inlineStr">
        <is>
          <t>Interferencia con riego</t>
        </is>
      </c>
      <c r="C46" s="56" t="inlineStr">
        <is>
          <t>No</t>
        </is>
      </c>
      <c r="D46" s="56" t="inlineStr"/>
    </row>
    <row r="47">
      <c r="A47" s="55" t="inlineStr">
        <is>
          <t>7. Hidrología, acceso y logística (F-DT-05)</t>
        </is>
      </c>
      <c r="B47" s="55" t="inlineStr">
        <is>
          <t>Vía principal de acceso</t>
        </is>
      </c>
      <c r="C47" s="55" t="inlineStr">
        <is>
          <t>PE-3N (Nacional afirmada) → desvío a trocha carrozable Nuevo Progreso</t>
        </is>
      </c>
      <c r="D47" s="55" t="inlineStr"/>
    </row>
    <row r="48">
      <c r="A48" s="56" t="inlineStr">
        <is>
          <t>7. Hidrología, acceso y logística (F-DT-05)</t>
        </is>
      </c>
      <c r="B48" s="56" t="inlineStr">
        <is>
          <t>Tipo de vía del tramo final</t>
        </is>
      </c>
      <c r="C48" s="56" t="inlineStr">
        <is>
          <t>Trocha carrozable</t>
        </is>
      </c>
      <c r="D48" s="56" t="inlineStr"/>
    </row>
    <row r="49">
      <c r="A49" s="55" t="inlineStr">
        <is>
          <t>7. Hidrología, acceso y logística (F-DT-05)</t>
        </is>
      </c>
      <c r="B49" s="55" t="inlineStr">
        <is>
          <t>Transitabilidad en época seca</t>
        </is>
      </c>
      <c r="C49" s="55" t="inlineStr">
        <is>
          <t>Medio</t>
        </is>
      </c>
      <c r="D49" s="55" t="inlineStr"/>
    </row>
    <row r="50">
      <c r="A50" s="56" t="inlineStr">
        <is>
          <t>7. Hidrología, acceso y logística (F-DT-05)</t>
        </is>
      </c>
      <c r="B50" s="56" t="inlineStr">
        <is>
          <t>Transitabilidad en época lluviosa</t>
        </is>
      </c>
      <c r="C50" s="56" t="inlineStr">
        <is>
          <t>Bajo</t>
        </is>
      </c>
      <c r="D50" s="56" t="inlineStr"/>
    </row>
    <row r="51">
      <c r="A51" s="55" t="inlineStr">
        <is>
          <t>7. Hidrología, acceso y logística (F-DT-05)</t>
        </is>
      </c>
      <c r="B51" s="55" t="inlineStr">
        <is>
          <t>Señal celular</t>
        </is>
      </c>
      <c r="C51" s="55" t="inlineStr">
        <is>
          <t>Parcial</t>
        </is>
      </c>
      <c r="D51" s="55" t="inlineStr"/>
    </row>
    <row r="52">
      <c r="A52" s="56" t="inlineStr">
        <is>
          <t>7. Hidrología, acceso y logística (F-DT-05)</t>
        </is>
      </c>
      <c r="B52" s="56" t="inlineStr">
        <is>
          <t>Alojamiento disponible en la zona</t>
        </is>
      </c>
      <c r="C52" s="56" t="inlineStr">
        <is>
          <t>Sí</t>
        </is>
      </c>
      <c r="D52" s="56" t="inlineStr"/>
    </row>
    <row r="53">
      <c r="A53" s="55" t="inlineStr">
        <is>
          <t>7. Hidrología, acceso y logística (F-DT-05)</t>
        </is>
      </c>
      <c r="B53" s="55" t="inlineStr">
        <is>
          <t>Requiere coordinación con ronda / comunidad</t>
        </is>
      </c>
      <c r="C53" s="55" t="inlineStr">
        <is>
          <t>Sí</t>
        </is>
      </c>
      <c r="D53" s="55" t="inlineStr"/>
    </row>
    <row r="55">
      <c r="A55" s="53" t="inlineStr">
        <is>
          <t>C. PROCEDENCIA DE LOS HECHOS DECLARADOS</t>
        </is>
      </c>
    </row>
    <row r="56">
      <c r="A56" s="54" t="inlineStr">
        <is>
          <t>Fuente</t>
        </is>
      </c>
      <c r="B56" s="54" t="inlineStr">
        <is>
          <t>Hechos</t>
        </is>
      </c>
      <c r="C56" s="54" t="inlineStr">
        <is>
          <t>Alcance de la fuente</t>
        </is>
      </c>
    </row>
    <row r="57">
      <c r="A57" s="55" t="inlineStr">
        <is>
          <t>Dato de campo</t>
        </is>
      </c>
      <c r="B57" s="55" t="n">
        <v>72</v>
      </c>
      <c r="C57" s="55" t="inlineStr">
        <is>
          <t>Verificación en campo. Fichas F-DT-01 a F-DT-05 de la Plantilla DT Campo Check Validada V5, suscritas por el evaluador.</t>
        </is>
      </c>
    </row>
    <row r="58">
      <c r="A58" s="56" t="inlineStr">
        <is>
          <t>Gabinete (GIS / teledetección)</t>
        </is>
      </c>
      <c r="B58" s="56" t="n">
        <v>21</v>
      </c>
      <c r="C58" s="56" t="inlineStr">
        <is>
          <t>Gabinete. Estadística zonal sobre el MDE y compuestos Sentinel-2 (NDVI mediana 2025, MSAVI 2024 por clase DN).</t>
        </is>
      </c>
    </row>
    <row r="59">
      <c r="A59" s="55" t="inlineStr">
        <is>
          <t>Fuente oficial</t>
        </is>
      </c>
      <c r="B59" s="55" t="n">
        <v>14</v>
      </c>
      <c r="C59" s="55" t="inlineStr">
        <is>
          <t>Fuente oficial. Catálogo maestro Bloques V5/V6, división política INEI y codificación de microcuencas de la ANA.</t>
        </is>
      </c>
    </row>
    <row r="61">
      <c r="A61" s="53" t="inlineStr">
        <is>
          <t>D. ESTADO DEL CRUCE ENTRE FUENTES</t>
        </is>
      </c>
    </row>
    <row r="62">
      <c r="A62" s="54" t="inlineStr">
        <is>
          <t>Estado</t>
        </is>
      </c>
      <c r="B62" s="54" t="inlineStr">
        <is>
          <t>Hechos</t>
        </is>
      </c>
      <c r="C62" s="54" t="inlineStr">
        <is>
          <t>Significado</t>
        </is>
      </c>
    </row>
    <row r="63">
      <c r="A63" s="55" t="inlineStr">
        <is>
          <t>CONFORME</t>
        </is>
      </c>
      <c r="B63" s="55" t="n">
        <v>107</v>
      </c>
      <c r="C63" s="55" t="inlineStr">
        <is>
          <t>Las dos fuentes declaran lo mismo, o solo la fuente que manda sobre el hecho lo declara.</t>
        </is>
      </c>
    </row>
    <row r="64">
      <c r="A64" s="56" t="inlineStr">
        <is>
          <t>COMPLEMENTADO</t>
        </is>
      </c>
      <c r="B64" s="56" t="n">
        <v>0</v>
      </c>
      <c r="C64" s="56" t="inlineStr">
        <is>
          <t>Solo una de las fuentes lo declara y se adopta ese valor.</t>
        </is>
      </c>
    </row>
    <row r="65">
      <c r="A65" s="55" t="inlineStr">
        <is>
          <t>ACTUALIZADO</t>
        </is>
      </c>
      <c r="B65" s="55" t="n">
        <v>0</v>
      </c>
      <c r="C65" s="55" t="inlineStr">
        <is>
          <t>La verificación de campo vigente corrige lo que traía el libro de resumen.</t>
        </is>
      </c>
    </row>
    <row r="66">
      <c r="A66" s="56" t="inlineStr">
        <is>
          <t>DISCREPANTE</t>
        </is>
      </c>
      <c r="B66" s="56" t="n">
        <v>0</v>
      </c>
      <c r="C66" s="56" t="inlineStr">
        <is>
          <t>Las fuentes se contradicen; prevalece la que manda sobre el hecho y la otra queda declarada.</t>
        </is>
      </c>
    </row>
    <row r="67">
      <c r="A67" s="55" t="inlineStr">
        <is>
          <t>PENDIENTE</t>
        </is>
      </c>
      <c r="B67" s="55" t="n">
        <v>7</v>
      </c>
      <c r="C67"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19</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C-01</t>
        </is>
      </c>
      <c r="B9" s="55" t="inlineStr">
        <is>
          <t>Cárcava incipiente (30-50 cm)</t>
        </is>
      </c>
      <c r="C9" s="60" t="n">
        <v>665040</v>
      </c>
      <c r="D9" s="60" t="n">
        <v>9390735</v>
      </c>
      <c r="E9" s="60" t="n">
        <v>25</v>
      </c>
      <c r="F9" s="61" t="n">
        <v>0.4</v>
      </c>
      <c r="G9" s="61" t="n">
        <v>0.8</v>
      </c>
      <c r="H9" s="55" t="inlineStr">
        <is>
          <t>Activa</t>
        </is>
      </c>
      <c r="I9" s="55" t="inlineStr">
        <is>
          <t>Concentración natural de escorrentía</t>
        </is>
      </c>
    </row>
    <row r="10">
      <c r="A10" s="56" t="inlineStr">
        <is>
          <t>C-02</t>
        </is>
      </c>
      <c r="B10" s="56" t="inlineStr">
        <is>
          <t>Surco (&lt;30 cm)</t>
        </is>
      </c>
      <c r="C10" s="62" t="n">
        <v>665030</v>
      </c>
      <c r="D10" s="62" t="n">
        <v>9390737</v>
      </c>
      <c r="E10" s="62" t="n">
        <v>15</v>
      </c>
      <c r="F10" s="63" t="n">
        <v>0.25</v>
      </c>
      <c r="G10" s="63" t="n">
        <v>0.5</v>
      </c>
      <c r="H10" s="56" t="inlineStr">
        <is>
          <t>Activa</t>
        </is>
      </c>
      <c r="I10" s="56" t="inlineStr">
        <is>
          <t>Caminos / huellas de ganado</t>
        </is>
      </c>
    </row>
    <row r="11">
      <c r="A11" s="55" t="inlineStr">
        <is>
          <t>C-03</t>
        </is>
      </c>
      <c r="B11" s="55" t="inlineStr">
        <is>
          <t>Surco (&lt;30 cm)</t>
        </is>
      </c>
      <c r="C11" s="60" t="n">
        <v>664983</v>
      </c>
      <c r="D11" s="60" t="n">
        <v>9390801</v>
      </c>
      <c r="E11" s="60" t="n">
        <v>20</v>
      </c>
      <c r="F11" s="61" t="n">
        <v>0.2</v>
      </c>
      <c r="G11" s="61" t="n">
        <v>0.4</v>
      </c>
      <c r="H11" s="55" t="inlineStr">
        <is>
          <t>Semi-activa</t>
        </is>
      </c>
      <c r="I11" s="55" t="inlineStr">
        <is>
          <t>Surcos de labranza en pendiente</t>
        </is>
      </c>
    </row>
    <row r="13">
      <c r="A13" s="53" t="inlineStr">
        <is>
          <t>F-DT-03 · ELENCO FLORÍSTICO</t>
        </is>
      </c>
    </row>
    <row r="14">
      <c r="A14" s="54" t="inlineStr">
        <is>
          <t>N.o</t>
        </is>
      </c>
      <c r="B14" s="54" t="inlineStr">
        <is>
          <t>Nombre común</t>
        </is>
      </c>
      <c r="C14" s="54" t="inlineStr">
        <is>
          <t>Nombre científico</t>
        </is>
      </c>
      <c r="D14" s="54" t="inlineStr">
        <is>
          <t>Familia</t>
        </is>
      </c>
      <c r="E14" s="54" t="inlineStr">
        <is>
          <t>Estrato</t>
        </is>
      </c>
      <c r="F14" s="54" t="inlineStr">
        <is>
          <t>Origen</t>
        </is>
      </c>
      <c r="G14" s="54" t="inlineStr">
        <is>
          <t>Abundancia</t>
        </is>
      </c>
      <c r="H14" s="54" t="inlineStr">
        <is>
          <t>DAP (cm)</t>
        </is>
      </c>
      <c r="I14" s="54" t="inlineStr">
        <is>
          <t>Altura (m)</t>
        </is>
      </c>
    </row>
    <row r="15">
      <c r="A15" s="55" t="inlineStr">
        <is>
          <t>1</t>
        </is>
      </c>
      <c r="B15" s="55" t="inlineStr">
        <is>
          <t>Eucalipto</t>
        </is>
      </c>
      <c r="C15" s="55" t="inlineStr">
        <is>
          <t>Eucalyptus globulus</t>
        </is>
      </c>
      <c r="D15" s="55" t="inlineStr">
        <is>
          <t>Myrtaceae</t>
        </is>
      </c>
      <c r="E15" s="55" t="inlineStr">
        <is>
          <t>Arbóreo superior (&gt;15 m)</t>
        </is>
      </c>
      <c r="F15" s="55" t="inlineStr">
        <is>
          <t>Introducida</t>
        </is>
      </c>
      <c r="G15" s="55" t="inlineStr">
        <is>
          <t>Abundante (20-40%)</t>
        </is>
      </c>
      <c r="H15" s="60" t="n">
        <v>30</v>
      </c>
      <c r="I15" s="60" t="n">
        <v>18</v>
      </c>
    </row>
    <row r="16">
      <c r="A16" s="56" t="inlineStr">
        <is>
          <t>2</t>
        </is>
      </c>
      <c r="B16" s="56" t="inlineStr">
        <is>
          <t>Pino</t>
        </is>
      </c>
      <c r="C16" s="56" t="inlineStr">
        <is>
          <t>Pinus sp. (cf. P. radiata)</t>
        </is>
      </c>
      <c r="D16" s="56" t="inlineStr">
        <is>
          <t>Pinaceae</t>
        </is>
      </c>
      <c r="E16" s="56" t="inlineStr">
        <is>
          <t>Arbóreo medio (8-15 m)</t>
        </is>
      </c>
      <c r="F16" s="56" t="inlineStr">
        <is>
          <t>Introducida</t>
        </is>
      </c>
      <c r="G16" s="56" t="inlineStr">
        <is>
          <t>Abundante (20-40%)</t>
        </is>
      </c>
      <c r="H16" s="62" t="n">
        <v>22</v>
      </c>
      <c r="I16" s="62" t="n">
        <v>12</v>
      </c>
    </row>
    <row r="17">
      <c r="A17" s="55" t="inlineStr">
        <is>
          <t>3</t>
        </is>
      </c>
      <c r="B17" s="55" t="inlineStr">
        <is>
          <t>Ciprés</t>
        </is>
      </c>
      <c r="C17" s="55" t="inlineStr">
        <is>
          <t>Cupressus sp. (cf. C. macrocarpa)</t>
        </is>
      </c>
      <c r="D17" s="55" t="inlineStr">
        <is>
          <t>Cupressaceae</t>
        </is>
      </c>
      <c r="E17" s="55" t="inlineStr">
        <is>
          <t>Arbóreo medio (8-15 m)</t>
        </is>
      </c>
      <c r="F17" s="55" t="inlineStr">
        <is>
          <t>Introducida</t>
        </is>
      </c>
      <c r="G17" s="55" t="inlineStr">
        <is>
          <t>Frecuente (5-20%)</t>
        </is>
      </c>
      <c r="H17" s="60" t="n">
        <v>25</v>
      </c>
      <c r="I17" s="60" t="n">
        <v>12</v>
      </c>
    </row>
    <row r="18">
      <c r="A18" s="56" t="inlineStr">
        <is>
          <t>4</t>
        </is>
      </c>
      <c r="B18" s="56" t="inlineStr">
        <is>
          <t>Chilca</t>
        </is>
      </c>
      <c r="C18" s="56" t="inlineStr">
        <is>
          <t>Baccharis latifolia (cf.)</t>
        </is>
      </c>
      <c r="D18" s="56" t="inlineStr">
        <is>
          <t>Asteraceae</t>
        </is>
      </c>
      <c r="E18" s="56" t="inlineStr">
        <is>
          <t>Arbustivo alto (1.5-4 m)</t>
        </is>
      </c>
      <c r="F18" s="56" t="inlineStr">
        <is>
          <t>Nativa</t>
        </is>
      </c>
      <c r="G18" s="56" t="inlineStr">
        <is>
          <t>Frecuente (5-20%)</t>
        </is>
      </c>
      <c r="H18" s="56" t="n"/>
      <c r="I18" s="63" t="n">
        <v>2.5</v>
      </c>
    </row>
    <row r="19">
      <c r="A19" s="55" t="inlineStr">
        <is>
          <t>5</t>
        </is>
      </c>
      <c r="B19" s="55" t="inlineStr">
        <is>
          <t>Kikuyo</t>
        </is>
      </c>
      <c r="C19" s="55" t="inlineStr">
        <is>
          <t>Cenchrus clandestinus (syn. Pennisetum clandestinum)</t>
        </is>
      </c>
      <c r="D19" s="55" t="inlineStr">
        <is>
          <t>Poaceae</t>
        </is>
      </c>
      <c r="E19" s="55" t="inlineStr">
        <is>
          <t>Herbáceo (&lt;0.5 m)</t>
        </is>
      </c>
      <c r="F19" s="55" t="inlineStr">
        <is>
          <t>Introducida</t>
        </is>
      </c>
      <c r="G19" s="55" t="inlineStr">
        <is>
          <t>Dominante (&gt;40%)</t>
        </is>
      </c>
      <c r="H19" s="55" t="n"/>
      <c r="I19" s="61" t="n">
        <v>0.3</v>
      </c>
    </row>
    <row r="20">
      <c r="A20" s="56" t="inlineStr">
        <is>
          <t>6</t>
        </is>
      </c>
      <c r="B20" s="56" t="inlineStr">
        <is>
          <t>Trigo (cultivo)</t>
        </is>
      </c>
      <c r="C20" s="56" t="inlineStr">
        <is>
          <t>Triticum aestivum</t>
        </is>
      </c>
      <c r="D20" s="56" t="inlineStr">
        <is>
          <t>Poaceae</t>
        </is>
      </c>
      <c r="E20" s="56" t="inlineStr">
        <is>
          <t>Herbáceo (&lt;0.5 m)</t>
        </is>
      </c>
      <c r="F20" s="56" t="inlineStr">
        <is>
          <t>Introducida</t>
        </is>
      </c>
      <c r="G20" s="56" t="inlineStr">
        <is>
          <t>Abundante (20-40%)</t>
        </is>
      </c>
      <c r="H20" s="56" t="n"/>
      <c r="I20" s="63" t="n">
        <v>0.9</v>
      </c>
    </row>
    <row r="21">
      <c r="A21" s="55" t="inlineStr">
        <is>
          <t>7</t>
        </is>
      </c>
      <c r="B21" s="55" t="inlineStr">
        <is>
          <t>Papa (cultivo)</t>
        </is>
      </c>
      <c r="C21" s="55" t="inlineStr">
        <is>
          <t>Solanum tuberosum</t>
        </is>
      </c>
      <c r="D21" s="55" t="inlineStr">
        <is>
          <t>Solanaceae</t>
        </is>
      </c>
      <c r="E21" s="55" t="inlineStr">
        <is>
          <t>Herbáceo (&lt;0.5 m)</t>
        </is>
      </c>
      <c r="F21" s="55" t="inlineStr">
        <is>
          <t>Introducida</t>
        </is>
      </c>
      <c r="G21" s="55" t="inlineStr">
        <is>
          <t>Frecuente (5-20%)</t>
        </is>
      </c>
      <c r="H21" s="55" t="n"/>
      <c r="I21" s="61" t="n">
        <v>0.6</v>
      </c>
    </row>
    <row r="23">
      <c r="A23" s="53" t="inlineStr">
        <is>
          <t>F-DT-03 · ESPECIES CLAVE GEORREFERENCIADAS</t>
        </is>
      </c>
    </row>
    <row r="24">
      <c r="A24" s="54" t="inlineStr">
        <is>
          <t>N.o</t>
        </is>
      </c>
      <c r="B24" s="54" t="inlineStr">
        <is>
          <t>Especie</t>
        </is>
      </c>
      <c r="C24" s="54" t="inlineStr">
        <is>
          <t>Categoría</t>
        </is>
      </c>
      <c r="D24" s="54" t="inlineStr">
        <is>
          <t>Estado UICN</t>
        </is>
      </c>
      <c r="E24" s="54" t="inlineStr">
        <is>
          <t>UTM ESTE</t>
        </is>
      </c>
      <c r="F24" s="54" t="inlineStr">
        <is>
          <t>UTM NORTE</t>
        </is>
      </c>
      <c r="G24" s="54" t="inlineStr">
        <is>
          <t>N.° individuos</t>
        </is>
      </c>
      <c r="H24" s="54" t="inlineStr">
        <is>
          <t>Observación</t>
        </is>
      </c>
    </row>
    <row r="25">
      <c r="A25" s="55" t="inlineStr">
        <is>
          <t>1</t>
        </is>
      </c>
      <c r="B25" s="55" t="inlineStr">
        <is>
          <t>Cenchrus clandestinus (kikuyo)</t>
        </is>
      </c>
      <c r="C25" s="55" t="inlineStr">
        <is>
          <t>Indicadora de perturbación</t>
        </is>
      </c>
      <c r="D25" s="55" t="inlineStr">
        <is>
          <t>No aplica</t>
        </is>
      </c>
      <c r="E25" s="60" t="n">
        <v>664973</v>
      </c>
      <c r="F25" s="60" t="n">
        <v>9390797</v>
      </c>
      <c r="G25" s="55" t="n"/>
      <c r="H25" s="55" t="inlineStr">
        <is>
          <t>Gramínea africana introducida, agresiva; forma césped denso que impide la regeneración de leñosas nativas.</t>
        </is>
      </c>
    </row>
    <row r="26">
      <c r="A26" s="56" t="inlineStr">
        <is>
          <t>2</t>
        </is>
      </c>
      <c r="B26" s="56" t="inlineStr">
        <is>
          <t>Baccharis latifolia (chilca)</t>
        </is>
      </c>
      <c r="C26" s="56" t="inlineStr">
        <is>
          <t>Indicadora de perturbación</t>
        </is>
      </c>
      <c r="D26" s="56" t="inlineStr">
        <is>
          <t>No aplica</t>
        </is>
      </c>
      <c r="E26" s="62" t="n">
        <v>664983</v>
      </c>
      <c r="F26" s="62" t="n">
        <v>9390801</v>
      </c>
      <c r="G26" s="56" t="n"/>
      <c r="H26" s="56" t="inlineStr">
        <is>
          <t>Arbustiva nativa colonizadora de taludes y suelos removidos; indicadora de perturbación reciente y con valor para estabilización biológica de taludes.</t>
        </is>
      </c>
    </row>
    <row r="27">
      <c r="A27" s="55" t="inlineStr">
        <is>
          <t>3</t>
        </is>
      </c>
      <c r="B27" s="55" t="inlineStr">
        <is>
          <t>Eucalyptus globulus (eucalipto)</t>
        </is>
      </c>
      <c r="C27" s="55" t="inlineStr">
        <is>
          <t>Indicadora de perturbación</t>
        </is>
      </c>
      <c r="D27" s="55" t="inlineStr">
        <is>
          <t>No aplica</t>
        </is>
      </c>
      <c r="E27" s="60" t="n">
        <v>665034</v>
      </c>
      <c r="F27" s="60" t="n">
        <v>9390736</v>
      </c>
      <c r="G27" s="55" t="n"/>
      <c r="H27" s="55" t="inlineStr">
        <is>
          <t>Plantación exótica de alta demanda hídrica y efecto alelopático; sustituye a la vegetación nativa y eleva la respuesta espectral (NDVI/MSAVI) sin equivaler a recuperación ecosistémica.</t>
        </is>
      </c>
    </row>
    <row r="29">
      <c r="A29" s="53" t="inlineStr">
        <is>
          <t>F-DT-04 · MATRIZ DE CAUSAS DE DEGRADACIÓN</t>
        </is>
      </c>
    </row>
    <row r="30">
      <c r="A30" s="54" t="inlineStr">
        <is>
          <t>N.o</t>
        </is>
      </c>
      <c r="B30" s="54" t="inlineStr">
        <is>
          <t>Causa</t>
        </is>
      </c>
      <c r="C30" s="54" t="inlineStr">
        <is>
          <t>Presencia</t>
        </is>
      </c>
      <c r="D30" s="54" t="inlineStr">
        <is>
          <t>Intensidad</t>
        </is>
      </c>
      <c r="E30" s="54" t="inlineStr">
        <is>
          <t>Extensión</t>
        </is>
      </c>
      <c r="F30" s="54" t="inlineStr">
        <is>
          <t>Antigüedad</t>
        </is>
      </c>
      <c r="G30" s="54" t="inlineStr">
        <is>
          <t>Evidencia</t>
        </is>
      </c>
    </row>
    <row r="31">
      <c r="A31" s="55" t="inlineStr">
        <is>
          <t>1</t>
        </is>
      </c>
      <c r="B31" s="55" t="inlineStr">
        <is>
          <t>Sobrepastoreo (caprino/vacuno)</t>
        </is>
      </c>
      <c r="C31" s="55" t="inlineStr">
        <is>
          <t>Sí</t>
        </is>
      </c>
      <c r="D31" s="55" t="inlineStr">
        <is>
          <t>Moderada</t>
        </is>
      </c>
      <c r="E31" s="55" t="inlineStr">
        <is>
          <t>25</t>
        </is>
      </c>
      <c r="F31" s="55" t="inlineStr">
        <is>
          <t>&gt;10</t>
        </is>
      </c>
      <c r="G31" s="55" t="inlineStr">
        <is>
          <t>Pastizal de kikuyo pastoreado en la franja de pie de ladera; compactación superficial, pisoteo y raíces expuestas.</t>
        </is>
      </c>
    </row>
    <row r="32">
      <c r="A32" s="56" t="inlineStr">
        <is>
          <t>2</t>
        </is>
      </c>
      <c r="B32" s="56" t="inlineStr">
        <is>
          <t>Tala para leña</t>
        </is>
      </c>
      <c r="C32" s="56" t="inlineStr">
        <is>
          <t>Sí</t>
        </is>
      </c>
      <c r="D32" s="56" t="inlineStr">
        <is>
          <t>Ligera</t>
        </is>
      </c>
      <c r="E32" s="56" t="inlineStr">
        <is>
          <t>5</t>
        </is>
      </c>
      <c r="F32" s="56" t="inlineStr">
        <is>
          <t>&gt;10</t>
        </is>
      </c>
      <c r="G32" s="56" t="inlineStr">
        <is>
          <t>Extracción puntual de leña de matorral y de ramas de plantaciones exóticas para uso doméstico del CP Nuevo Progreso.</t>
        </is>
      </c>
    </row>
    <row r="33">
      <c r="A33" s="55" t="inlineStr">
        <is>
          <t>3</t>
        </is>
      </c>
      <c r="B33" s="55" t="inlineStr">
        <is>
          <t>Tala para carbón</t>
        </is>
      </c>
      <c r="C33" s="55" t="inlineStr">
        <is>
          <t>No</t>
        </is>
      </c>
      <c r="D33" s="55" t="inlineStr">
        <is>
          <t>Nula</t>
        </is>
      </c>
      <c r="E33" s="55" t="inlineStr">
        <is>
          <t>—</t>
        </is>
      </c>
      <c r="F33" s="55" t="inlineStr">
        <is>
          <t>—</t>
        </is>
      </c>
      <c r="G33" s="55" t="inlineStr">
        <is>
          <t>No se observaron hornos, carboneras ni evidencias de carbonización.</t>
        </is>
      </c>
    </row>
    <row r="34">
      <c r="A34" s="56" t="inlineStr">
        <is>
          <t>4</t>
        </is>
      </c>
      <c r="B34" s="56" t="inlineStr">
        <is>
          <t>Tala para madera</t>
        </is>
      </c>
      <c r="C34" s="56" t="inlineStr">
        <is>
          <t>Sí</t>
        </is>
      </c>
      <c r="D34" s="56" t="inlineStr">
        <is>
          <t>Ligera</t>
        </is>
      </c>
      <c r="E34" s="56" t="inlineStr">
        <is>
          <t>10</t>
        </is>
      </c>
      <c r="F34" s="56" t="inlineStr">
        <is>
          <t>&gt;10</t>
        </is>
      </c>
      <c r="G34" s="56" t="inlineStr">
        <is>
          <t>Aprovechamiento selectivo de eucalipto y pino de las plantaciones para construcción local (postes, viguería).</t>
        </is>
      </c>
    </row>
    <row r="35">
      <c r="A35" s="55" t="inlineStr">
        <is>
          <t>5</t>
        </is>
      </c>
      <c r="B35" s="55" t="inlineStr">
        <is>
          <t>Quema (renovación de pastos)</t>
        </is>
      </c>
      <c r="C35" s="55" t="inlineStr">
        <is>
          <t>No</t>
        </is>
      </c>
      <c r="D35" s="55" t="inlineStr">
        <is>
          <t>Nula</t>
        </is>
      </c>
      <c r="E35" s="55" t="inlineStr">
        <is>
          <t>—</t>
        </is>
      </c>
      <c r="F35" s="55" t="inlineStr">
        <is>
          <t>—</t>
        </is>
      </c>
      <c r="G35" s="55" t="inlineStr">
        <is>
          <t>No se observaron superficies quemadas ni rebrote post-fuego en el sector recorrido; por verificar en el sector alto.</t>
        </is>
      </c>
    </row>
    <row r="36">
      <c r="A36" s="56" t="inlineStr">
        <is>
          <t>6</t>
        </is>
      </c>
      <c r="B36" s="56" t="inlineStr">
        <is>
          <t>Quema accidental / Incendio</t>
        </is>
      </c>
      <c r="C36" s="56" t="inlineStr">
        <is>
          <t>No</t>
        </is>
      </c>
      <c r="D36" s="56" t="inlineStr">
        <is>
          <t>Nula</t>
        </is>
      </c>
      <c r="E36" s="56" t="inlineStr">
        <is>
          <t>—</t>
        </is>
      </c>
      <c r="F36" s="56" t="inlineStr">
        <is>
          <t>—</t>
        </is>
      </c>
      <c r="G36" s="56" t="inlineStr">
        <is>
          <t>Sin evidencia de incendios en el sector recorrido.</t>
        </is>
      </c>
    </row>
    <row r="37">
      <c r="A37" s="55" t="inlineStr">
        <is>
          <t>7</t>
        </is>
      </c>
      <c r="B37" s="55" t="inlineStr">
        <is>
          <t>Cambio de uso a agricultura</t>
        </is>
      </c>
      <c r="C37" s="55" t="inlineStr">
        <is>
          <t>Sí</t>
        </is>
      </c>
      <c r="D37" s="55" t="inlineStr">
        <is>
          <t>Fuerte</t>
        </is>
      </c>
      <c r="E37" s="55" t="inlineStr">
        <is>
          <t>35</t>
        </is>
      </c>
      <c r="F37" s="55" t="inlineStr">
        <is>
          <t>&gt;20</t>
        </is>
      </c>
      <c r="G37" s="55" t="inlineStr">
        <is>
          <t>Parcelas de trigo y papa en ladera de 25–50 % de pendiente, con andenería rústica de muros de piedra (Fotos 3 a 5).</t>
        </is>
      </c>
    </row>
    <row r="38">
      <c r="A38" s="56" t="inlineStr">
        <is>
          <t>8</t>
        </is>
      </c>
      <c r="B38" s="56" t="inlineStr">
        <is>
          <t>Cambio de uso a pastoreo</t>
        </is>
      </c>
      <c r="C38" s="56" t="inlineStr">
        <is>
          <t>Sí</t>
        </is>
      </c>
      <c r="D38" s="56" t="inlineStr">
        <is>
          <t>Moderada</t>
        </is>
      </c>
      <c r="E38" s="56" t="inlineStr">
        <is>
          <t>25</t>
        </is>
      </c>
      <c r="F38" s="56" t="inlineStr">
        <is>
          <t>&gt;20</t>
        </is>
      </c>
      <c r="G38" s="56" t="inlineStr">
        <is>
          <t>Conversión de matorral a pastizal cultivado de kikuyo para ganadería familiar.</t>
        </is>
      </c>
    </row>
    <row r="39">
      <c r="A39" s="55" t="inlineStr">
        <is>
          <t>9</t>
        </is>
      </c>
      <c r="B39" s="55" t="inlineStr">
        <is>
          <t>Expansión urbana / vial</t>
        </is>
      </c>
      <c r="C39" s="55" t="inlineStr">
        <is>
          <t>Sí</t>
        </is>
      </c>
      <c r="D39" s="55" t="inlineStr">
        <is>
          <t>Moderada</t>
        </is>
      </c>
      <c r="E39" s="55" t="inlineStr">
        <is>
          <t>5</t>
        </is>
      </c>
      <c r="F39" s="55" t="inlineStr">
        <is>
          <t>~10</t>
        </is>
      </c>
      <c r="G39" s="55" t="inlineStr">
        <is>
          <t>Trocha carrozable con cortes de talud verticales sin sostenimiento y expansión de viviendas del CP Nuevo Progreso sobre el pie de ladera (Fotos 1, 2, 8 y 9).</t>
        </is>
      </c>
    </row>
    <row r="40">
      <c r="A40" s="56" t="inlineStr">
        <is>
          <t>10</t>
        </is>
      </c>
      <c r="B40" s="56" t="inlineStr">
        <is>
          <t>Minería informal</t>
        </is>
      </c>
      <c r="C40" s="56" t="inlineStr">
        <is>
          <t>No</t>
        </is>
      </c>
      <c r="D40" s="56" t="inlineStr">
        <is>
          <t>Nula</t>
        </is>
      </c>
      <c r="E40" s="56" t="inlineStr">
        <is>
          <t>—</t>
        </is>
      </c>
      <c r="F40" s="56" t="inlineStr">
        <is>
          <t>—</t>
        </is>
      </c>
      <c r="G40" s="56" t="inlineStr">
        <is>
          <t>Sin evidencia de labores mineras; verificar catastro INGEMMET en gabinete.</t>
        </is>
      </c>
    </row>
    <row r="41">
      <c r="A41" s="55" t="inlineStr">
        <is>
          <t>11</t>
        </is>
      </c>
      <c r="B41" s="55" t="inlineStr">
        <is>
          <t>Extracción de áridos (cauces)</t>
        </is>
      </c>
      <c r="C41" s="55" t="inlineStr">
        <is>
          <t>No</t>
        </is>
      </c>
      <c r="D41" s="55" t="inlineStr">
        <is>
          <t>Nula</t>
        </is>
      </c>
      <c r="E41" s="55" t="inlineStr">
        <is>
          <t>—</t>
        </is>
      </c>
      <c r="F41" s="55" t="inlineStr">
        <is>
          <t>—</t>
        </is>
      </c>
      <c r="G41" s="55" t="inlineStr">
        <is>
          <t>Sin extracción de áridos observada dentro del polígono.</t>
        </is>
      </c>
    </row>
    <row r="42">
      <c r="A42" s="56" t="inlineStr">
        <is>
          <t>12</t>
        </is>
      </c>
      <c r="B42" s="56" t="inlineStr">
        <is>
          <t>Especies invasoras</t>
        </is>
      </c>
      <c r="C42" s="56" t="inlineStr">
        <is>
          <t>Sí</t>
        </is>
      </c>
      <c r="D42" s="56" t="inlineStr">
        <is>
          <t>Fuerte</t>
        </is>
      </c>
      <c r="E42" s="56" t="inlineStr">
        <is>
          <t>40</t>
        </is>
      </c>
      <c r="F42" s="56" t="inlineStr">
        <is>
          <t>&gt;20</t>
        </is>
      </c>
      <c r="G42" s="56" t="inlineStr">
        <is>
          <t>Dominancia de kikuyo (Cenchrus clandestinus) y de plantaciones de eucalipto, pino y ciprés en sustitución de la vegetación nativa.</t>
        </is>
      </c>
    </row>
    <row r="43">
      <c r="A43" s="55" t="inlineStr">
        <is>
          <t>13</t>
        </is>
      </c>
      <c r="B43" s="55" t="inlineStr">
        <is>
          <t>Erosión natural severa</t>
        </is>
      </c>
      <c r="C43" s="55" t="inlineStr">
        <is>
          <t>Sí</t>
        </is>
      </c>
      <c r="D43" s="55" t="inlineStr">
        <is>
          <t>Moderada</t>
        </is>
      </c>
      <c r="E43" s="55" t="inlineStr">
        <is>
          <t>10</t>
        </is>
      </c>
      <c r="F43" s="55" t="inlineStr">
        <is>
          <t>—</t>
        </is>
      </c>
      <c r="G43" s="55" t="inlineStr">
        <is>
          <t>Desprendimientos y derrumbes activos en taludes de corte de la trocha; erosión laminar en parcelas labradas a favor de la pendiente.</t>
        </is>
      </c>
    </row>
    <row r="44">
      <c r="A44" s="56" t="inlineStr">
        <is>
          <t>14</t>
        </is>
      </c>
      <c r="B44" s="56" t="inlineStr">
        <is>
          <t>Sequía prolongada / CC</t>
        </is>
      </c>
      <c r="C44" s="56" t="inlineStr">
        <is>
          <t>Sí</t>
        </is>
      </c>
      <c r="D44" s="56" t="inlineStr">
        <is>
          <t>Moderada</t>
        </is>
      </c>
      <c r="E44" s="56" t="inlineStr">
        <is>
          <t>100</t>
        </is>
      </c>
      <c r="F44" s="56" t="inlineStr">
        <is>
          <t>—</t>
        </is>
      </c>
      <c r="G44" s="56" t="inlineStr">
        <is>
          <t>Déficit hídrico futuro proyectado para el ámbito (modelo MPI-ESM1-2HR, SSP 5-8.5, 2021-2040); estación seca marcada al momento de la visita.</t>
        </is>
      </c>
    </row>
    <row r="45">
      <c r="A45" s="55" t="inlineStr">
        <is>
          <t>15</t>
        </is>
      </c>
      <c r="B45" s="55" t="inlineStr">
        <is>
          <t>Plagas o enfermedades forestales</t>
        </is>
      </c>
      <c r="C45" s="55" t="inlineStr">
        <is>
          <t>No</t>
        </is>
      </c>
      <c r="D45" s="55" t="inlineStr">
        <is>
          <t>Nula</t>
        </is>
      </c>
      <c r="E45" s="55" t="inlineStr">
        <is>
          <t>—</t>
        </is>
      </c>
      <c r="F45" s="55" t="inlineStr">
        <is>
          <t>—</t>
        </is>
      </c>
      <c r="G45" s="55" t="inlineStr">
        <is>
          <t>Dosel de plantaciones exóticas sin sintomatología evidente de plagas o enfermedades.</t>
        </is>
      </c>
    </row>
    <row r="46">
      <c r="A46" s="56" t="inlineStr">
        <is>
          <t>16</t>
        </is>
      </c>
      <c r="B46" s="56" t="inlineStr">
        <is>
          <t>Otro</t>
        </is>
      </c>
      <c r="C46" s="56" t="inlineStr">
        <is>
          <t>No</t>
        </is>
      </c>
      <c r="D46" s="56" t="inlineStr">
        <is>
          <t>Nula</t>
        </is>
      </c>
      <c r="E46" s="56" t="inlineStr">
        <is>
          <t>—</t>
        </is>
      </c>
      <c r="F46" s="56" t="inlineStr">
        <is>
          <t>—</t>
        </is>
      </c>
      <c r="G46" s="56" t="inlineStr">
        <is>
          <t>—</t>
        </is>
      </c>
    </row>
    <row r="48">
      <c r="A48" s="53" t="inlineStr">
        <is>
          <t>F-DT-04 · INDICADORES CUANTITATIVOS</t>
        </is>
      </c>
    </row>
    <row r="49">
      <c r="A49" s="54" t="inlineStr">
        <is>
          <t>N.o</t>
        </is>
      </c>
      <c r="B49" s="54" t="inlineStr">
        <is>
          <t>Indicador</t>
        </is>
      </c>
      <c r="C49" s="54" t="inlineStr">
        <is>
          <t>Unidad</t>
        </is>
      </c>
      <c r="D49" s="54" t="inlineStr">
        <is>
          <t>Valor</t>
        </is>
      </c>
      <c r="E49" s="54" t="inlineStr">
        <is>
          <t>Fuente</t>
        </is>
      </c>
      <c r="F49" s="54" t="inlineStr">
        <is>
          <t>Umbral</t>
        </is>
      </c>
      <c r="G49" s="54" t="inlineStr">
        <is>
          <t>Nivel</t>
        </is>
      </c>
    </row>
    <row r="50">
      <c r="A50" s="55" t="inlineStr">
        <is>
          <t>1</t>
        </is>
      </c>
      <c r="B50" s="55" t="inlineStr">
        <is>
          <t>Cobertura vegetal total</t>
        </is>
      </c>
      <c r="C50" s="55" t="inlineStr">
        <is>
          <t>%</t>
        </is>
      </c>
      <c r="D50" s="55" t="inlineStr">
        <is>
          <t>85</t>
        </is>
      </c>
      <c r="E50" s="55" t="inlineStr">
        <is>
          <t>NDVI mediana 2025 (Sentinel-2) + estimación visual de campo</t>
        </is>
      </c>
      <c r="F50" s="55" t="inlineStr">
        <is>
          <t>&gt;60% bueno; 30-60% medio; &lt;30% malo</t>
        </is>
      </c>
      <c r="G50" s="55" t="inlineStr">
        <is>
          <t>Alto</t>
        </is>
      </c>
    </row>
    <row r="51">
      <c r="A51" s="56" t="inlineStr">
        <is>
          <t>2</t>
        </is>
      </c>
      <c r="B51" s="56" t="inlineStr">
        <is>
          <t>Porcentaje de suelo desnudo</t>
        </is>
      </c>
      <c r="C51" s="56" t="inlineStr">
        <is>
          <t>%</t>
        </is>
      </c>
      <c r="D51" s="56" t="inlineStr">
        <is>
          <t>15</t>
        </is>
      </c>
      <c r="E51" s="56" t="inlineStr">
        <is>
          <t>Estimación visual de campo (parcelas labradas y taludes)</t>
        </is>
      </c>
      <c r="F51" s="56" t="inlineStr">
        <is>
          <t>&lt;10% bueno; 10-30% medio; &gt;30% malo</t>
        </is>
      </c>
      <c r="G51" s="56" t="inlineStr">
        <is>
          <t>Medio</t>
        </is>
      </c>
    </row>
    <row r="52">
      <c r="A52" s="55" t="inlineStr">
        <is>
          <t>3</t>
        </is>
      </c>
      <c r="B52" s="55" t="inlineStr">
        <is>
          <t>Densidad de cárcavas</t>
        </is>
      </c>
      <c r="C52" s="55" t="inlineStr">
        <is>
          <t>N°/ha</t>
        </is>
      </c>
      <c r="D52" s="55" t="inlineStr">
        <is>
          <t>0.04</t>
        </is>
      </c>
      <c r="E52" s="55" t="inlineStr">
        <is>
          <t>Inventario de campo F-DT-02 (3 rasgos / 82.09 ha)</t>
        </is>
      </c>
      <c r="F52" s="55" t="inlineStr">
        <is>
          <t>0 nulo; 1-3 medio; &gt;3 alto</t>
        </is>
      </c>
      <c r="G52" s="55" t="inlineStr">
        <is>
          <t>Bajo</t>
        </is>
      </c>
    </row>
    <row r="53">
      <c r="A53" s="56" t="inlineStr">
        <is>
          <t>4</t>
        </is>
      </c>
      <c r="B53" s="56" t="inlineStr">
        <is>
          <t>Presencia de especies invasoras</t>
        </is>
      </c>
      <c r="C53" s="56" t="inlineStr">
        <is>
          <t>% área</t>
        </is>
      </c>
      <c r="D53" s="56" t="inlineStr">
        <is>
          <t>40</t>
        </is>
      </c>
      <c r="E53" s="56" t="inlineStr">
        <is>
          <t>Estimación areal de campo y fotointerpretación (kikuyo + plantaciones exóticas)</t>
        </is>
      </c>
      <c r="F53" s="56" t="inlineStr">
        <is>
          <t>&lt;5% bueno; 5-20% medio; &gt;20% alto</t>
        </is>
      </c>
      <c r="G53" s="56" t="inlineStr">
        <is>
          <t>Alto</t>
        </is>
      </c>
    </row>
    <row r="54">
      <c r="A54" s="55" t="inlineStr">
        <is>
          <t>5</t>
        </is>
      </c>
      <c r="B54" s="55" t="inlineStr">
        <is>
          <t>Carga ganadera estimada</t>
        </is>
      </c>
      <c r="C54" s="55" t="inlineStr">
        <is>
          <t>UA/ha</t>
        </is>
      </c>
      <c r="D54" s="55" t="inlineStr">
        <is>
          <t>0.8</t>
        </is>
      </c>
      <c r="E54" s="55" t="inlineStr">
        <is>
          <t>Estimación por pastoreo observado (vacuno/ovino familiar)</t>
        </is>
      </c>
      <c r="F54" s="55" t="inlineStr">
        <is>
          <t>Según tipo de ecosistema</t>
        </is>
      </c>
      <c r="G54" s="55" t="inlineStr">
        <is>
          <t>Medio</t>
        </is>
      </c>
    </row>
    <row r="55">
      <c r="A55" s="56" t="inlineStr">
        <is>
          <t>6</t>
        </is>
      </c>
      <c r="B55" s="56" t="inlineStr">
        <is>
          <t>Frecuencia de quemas últimos 5 años</t>
        </is>
      </c>
      <c r="C55" s="56" t="inlineStr">
        <is>
          <t>N°</t>
        </is>
      </c>
      <c r="D55" s="56" t="inlineStr">
        <is>
          <t>0</t>
        </is>
      </c>
      <c r="E55" s="56" t="inlineStr">
        <is>
          <t>Observación de campo; sin registro comunal disponible</t>
        </is>
      </c>
      <c r="F55" s="56" t="inlineStr">
        <is>
          <t>0 nulo; 1-2 medio; &gt;2 alto</t>
        </is>
      </c>
      <c r="G55" s="56" t="inlineStr">
        <is>
          <t>Bajo</t>
        </is>
      </c>
    </row>
    <row r="56">
      <c r="A56" s="55" t="inlineStr">
        <is>
          <t>7</t>
        </is>
      </c>
      <c r="B56" s="55" t="inlineStr">
        <is>
          <t>% área con pendiente &gt;50%</t>
        </is>
      </c>
      <c r="C56" s="55" t="inlineStr">
        <is>
          <t>%</t>
        </is>
      </c>
      <c r="D56" s="55" t="inlineStr">
        <is>
          <t>30</t>
        </is>
      </c>
      <c r="E56" s="55" t="inlineStr">
        <is>
          <t>Estimación a partir de curvas de nivel (equidistancia 50 m)</t>
        </is>
      </c>
      <c r="F56" s="55" t="inlineStr">
        <is>
          <t>Factor de susceptibilidad</t>
        </is>
      </c>
      <c r="G56" s="55" t="inlineStr">
        <is>
          <t>Medio</t>
        </is>
      </c>
    </row>
    <row r="57">
      <c r="A57" s="56" t="inlineStr">
        <is>
          <t>8</t>
        </is>
      </c>
      <c r="B57" s="56" t="inlineStr">
        <is>
          <t>Distancia a vía vecinal más cercana</t>
        </is>
      </c>
      <c r="C57" s="56" t="inlineStr">
        <is>
          <t>m</t>
        </is>
      </c>
      <c r="D57" s="56" t="inlineStr">
        <is>
          <t>0</t>
        </is>
      </c>
      <c r="E57" s="56" t="inlineStr">
        <is>
          <t>La trocha carrozable colinda con el límite NO del bloque</t>
        </is>
      </c>
      <c r="F57" s="56" t="inlineStr">
        <is>
          <t>A menor distancia → mayor presión</t>
        </is>
      </c>
      <c r="G57" s="56" t="inlineStr">
        <is>
          <t>Alto</t>
        </is>
      </c>
    </row>
    <row r="59">
      <c r="A59" s="53" t="inlineStr">
        <is>
          <t>F-DT-05 · FUENTES DE AGUA INVENTARIADAS</t>
        </is>
      </c>
    </row>
    <row r="60">
      <c r="A60" s="54" t="inlineStr">
        <is>
          <t>N.o</t>
        </is>
      </c>
      <c r="B60" s="54" t="inlineStr">
        <is>
          <t>Tipo de fuente</t>
        </is>
      </c>
      <c r="C60" s="54" t="inlineStr">
        <is>
          <t>UTM ESTE</t>
        </is>
      </c>
      <c r="D60" s="54" t="inlineStr">
        <is>
          <t>UTM NORTE</t>
        </is>
      </c>
      <c r="E60" s="54" t="inlineStr">
        <is>
          <t>Régimen</t>
        </is>
      </c>
      <c r="F60" s="54" t="inlineStr">
        <is>
          <t>Calidad</t>
        </is>
      </c>
      <c r="G60" s="54" t="inlineStr">
        <is>
          <t>Distancia (m)</t>
        </is>
      </c>
      <c r="H60" s="54" t="inlineStr">
        <is>
          <t>Uso / observación</t>
        </is>
      </c>
    </row>
    <row r="61">
      <c r="A61" s="55" t="inlineStr">
        <is>
          <t>1</t>
        </is>
      </c>
      <c r="B61" s="55" t="inlineStr">
        <is>
          <t>Otro</t>
        </is>
      </c>
      <c r="C61" s="60" t="n">
        <v>664978</v>
      </c>
      <c r="D61" s="60" t="n">
        <v>9390787</v>
      </c>
      <c r="E61" s="55" t="inlineStr">
        <is>
          <t>Permanente</t>
        </is>
      </c>
      <c r="F61" s="55" t="inlineStr">
        <is>
          <t>No evaluable</t>
        </is>
      </c>
      <c r="G61" s="61" t="n">
        <v>0</v>
      </c>
      <c r="H61" s="55" t="inlineStr">
        <is>
          <t>Caja de reunión / válvulas y estructura de almacenamiento del sistema de agua potable del CP Nuevo Progreso (Foto 7), colindante al límite NO del bloque. Operada por la organización comunal de saneamiento (JASS); ubicación de la captación matriz por confirmar en la fase social.</t>
        </is>
      </c>
    </row>
    <row r="64">
      <c r="A64" s="53" t="inlineStr">
        <is>
          <t>OBSERVACIONES DEL EVALUADOR POR FICHA</t>
        </is>
      </c>
    </row>
    <row r="65">
      <c r="A65" s="54" t="inlineStr">
        <is>
          <t>Ficha</t>
        </is>
      </c>
      <c r="B65" s="54" t="inlineStr">
        <is>
          <t>Observación registrada en campo</t>
        </is>
      </c>
    </row>
    <row r="66">
      <c r="A66" s="55" t="inlineStr">
        <is>
          <t>F-DT-01</t>
        </is>
      </c>
      <c r="B66" s="55" t="inlineStr">
        <is>
          <t>OBSERVACIONES: El recorrido de verificación cubrió la franja de pie de ladera del bloque, entre 2 049 y 2 057 msnm, accesible desde la trocha carrozable del CP Nuevo Progreso (11 estaciones fotográficas georreferenciadas entre E 664 973 – 665 040 y N 9 390 735 – 9 390 801). El sector medio y alto del polígono (hasta ~2 500 msnm) no fue recorrido; su caracterización se sustenta en observación panorámica, curvas de nivel y fotointerpretación (MSAVI 2024 / NDVI 2025). Los escarpes activos y las remociones en masa registradas corresponden a desprendimientos y derrumbes en taludes de corte de la trocha carrozable (Fotos 9, 10 y 11), con material suelto depositado sobre la plataforma; afectan directamente la vía y las viviendas ubicadas al pie del talud. No se observaron cicatrices de deslizamientos antiguos en el sector recorrido; su ausencia en el resto del bloque queda por verificar. Coordenadas en UTM WGS84 Zona 17S (EPSG:32717).</t>
        </is>
      </c>
    </row>
    <row r="67">
      <c r="A67" s="56" t="inlineStr">
        <is>
          <t>F-DT-02</t>
        </is>
      </c>
      <c r="B67" s="56" t="inlineStr">
        <is>
          <t>OBSERVACIONES: El proceso morfodinámico dominante en el sector verificado no es el carcavamiento sino la inestabilidad de taludes de corte de la trocha carrozable: se registraron desprendimientos de suelo y gravas con acumulación de material sobre la plataforma vial (Fotos 9 a 11), en cortes verticales de 3 a 6 m de altura sobre depósitos coluviales y roca meteorizada, sin vegetación de protección ni obras de sostenimiento. La erosión laminar (~15 %) se concentra en las parcelas de secano labradas a favor de la pendiente y en las franjas de pastizal de kikuyo con pisoteo de ganado; se observaron raíces expuestas y compactación superficial en dichas franjas. Los muros de piedra de la andenería rústica actúan como barreras parciales de retención de sedimentos. El inventario corresponde exclusivamente a la franja de pie de ladera recorrida; el sector medio y alto del bloque requiere inventario complementario.</t>
        </is>
      </c>
    </row>
    <row r="68">
      <c r="A68" s="55" t="inlineStr">
        <is>
          <t>F-DT-03</t>
        </is>
      </c>
      <c r="B68" s="55" t="inlineStr">
        <is>
          <t>OBSERVACIONES: La composición florística consignada corresponde al registro rápido efectuado durante la inspección del 12-08-2026 en la franja de pie de ladera; no constituye un inventario botánico exhaustivo y no alcanza el mínimo de 15 especies previsto en el formato, por lo que se declara explícitamente incompleta y pendiente de complementación con inventario de detalle en el sector medio y alto del bloque. Hallazgo diagnóstico principal: de las siete especies registradas, seis son introducidas y una es nativa (chilca). El estrato arbóreo está constituido íntegramente por plantaciones exóticas (eucalipto, pino, ciprés) y el estrato herbáceo por pastizal de kikuyo y cultivos anuales de secano. No se registraron especies leñosas nativas del matorral andino subhúmedo ni del bosque relicto montano de vertiente occidental, que corresponderían a la vegetación potencial del piso altitudinal 2 000–2 500 msnm en esta microcuenca. En consecuencia, el ecosistema dominante se clasifica como Agroecosistema / Mosaico, sobre una unidad productora cuya condición de referencia es el matorral andino subhúmedo con relictos de bosque montano. Nombres científicos preliminares (cf.), sujetos a validación taxonómica.</t>
        </is>
      </c>
    </row>
    <row r="69">
      <c r="A69" s="56" t="inlineStr">
        <is>
          <t>F-DT-04</t>
        </is>
      </c>
      <c r="B69" s="56" t="inlineStr">
        <is>
          <t>OBSERVACIONES: La degradación del Bloque 19 no se expresa como pérdida de cobertura vegetal —los índices espectrales muestran vigor medio a alto— sino como sustitución de composición y pérdida de funcionalidad ecosistémica: el ecosistema nativo ha sido reemplazado por un mosaico agrícola-pecuario con plantaciones exóticas. Esta condición es relevante para el indicador de brecha (R.M. N° 00213-2024-MINAM), pues un valor alto de NDVI no debe interpretarse como ausencia de degradación. La urgencia de intervención se califica como Alta por la concurrencia de tres factores: remociones en masa activas en taludes que afectan la vía y viviendas del CP Nuevo Progreso, avance de la frontera agrícola sobre laderas de 25–50 % de pendiente, y ausencia casi total de regeneración natural de especies nativas.</t>
        </is>
      </c>
    </row>
    <row r="70">
      <c r="A70" s="55" t="inlineStr">
        <is>
          <t>F-DT-05</t>
        </is>
      </c>
      <c r="B70" s="55" t="inlineStr">
        <is>
          <t>OBSERVACIONES: El bloque cumple función de zona de origen de escorrentía sobre la margen derecha del valle del río Huancabamba; no se identificaron manantiales, quebradas ni zonas de humedad persistente dentro de la franja recorrida, pero las curvas de nivel evidencian cauces de drenaje estacional en el sector medio y alto del polígono, pendientes de inventario. La escorrentía concentrada se observó sobre la plataforma de la trocha y en los taludes de corte. La proximidad inmediata de la infraestructura de agua potable del CP Nuevo Progreso al límite del bloque refuerza el argumento de servicio ecosistémico de regulación hídrica y debe considerarse en el diseño de las MRR-CCC y en los acuerdos de gobernanza (potencial MERESE). Existencia de bodegas y viviendas en el CP (Fotos 1 y 11); la disponibilidad efectiva de alojamiento y el operador celular dominante quedan por confirmar. La accesibilidad vehicular es favorable pero condicionada por la inestabilidad de los taludes de corte en época de lluvias.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19</t>
        </is>
      </c>
    </row>
    <row r="7">
      <c r="A7" s="53" t="inlineStr">
        <is>
          <t>Hechos declarados por fuente</t>
        </is>
      </c>
    </row>
    <row r="8">
      <c r="A8" s="54" t="inlineStr">
        <is>
          <t>Fuente</t>
        </is>
      </c>
      <c r="B8" s="54" t="inlineStr">
        <is>
          <t>Hechos</t>
        </is>
      </c>
    </row>
    <row r="9">
      <c r="A9" s="55" t="inlineStr">
        <is>
          <t>Dato de campo</t>
        </is>
      </c>
      <c r="B9" s="55" t="n">
        <v>72</v>
      </c>
    </row>
    <row r="10">
      <c r="A10" s="56" t="inlineStr">
        <is>
          <t>Gabinete (GIS / teledetección)</t>
        </is>
      </c>
      <c r="B10" s="56" t="n">
        <v>21</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107</v>
      </c>
    </row>
    <row r="31">
      <c r="A31" s="56" t="inlineStr">
        <is>
          <t>COMPLEMENTADO</t>
        </is>
      </c>
      <c r="B31" s="56" t="n">
        <v>0</v>
      </c>
    </row>
    <row r="32">
      <c r="A32" s="55" t="inlineStr">
        <is>
          <t>ACTUALIZADO</t>
        </is>
      </c>
      <c r="B32" s="55" t="n">
        <v>0</v>
      </c>
    </row>
    <row r="33">
      <c r="A33" s="56" t="inlineStr">
        <is>
          <t>DISCREPANTE</t>
        </is>
      </c>
      <c r="B33" s="56" t="n">
        <v>0</v>
      </c>
    </row>
    <row r="34">
      <c r="A34" s="55" t="inlineStr">
        <is>
          <t>PENDIENTE</t>
        </is>
      </c>
      <c r="B34" s="55" t="n">
        <v>7</v>
      </c>
    </row>
    <row r="51">
      <c r="A51" s="53" t="inlineStr">
        <is>
          <t>Cobertura por estrato — campo (%)</t>
        </is>
      </c>
    </row>
    <row r="52">
      <c r="A52" s="54" t="inlineStr">
        <is>
          <t>Estrato</t>
        </is>
      </c>
      <c r="B52" s="54" t="inlineStr">
        <is>
          <t>% del área</t>
        </is>
      </c>
    </row>
    <row r="53">
      <c r="A53" s="55" t="inlineStr">
        <is>
          <t>Dosel</t>
        </is>
      </c>
      <c r="B53" s="60" t="n">
        <v>25</v>
      </c>
    </row>
    <row r="54">
      <c r="A54" s="56" t="inlineStr">
        <is>
          <t>Arbustiva</t>
        </is>
      </c>
      <c r="B54" s="62" t="n">
        <v>20</v>
      </c>
    </row>
    <row r="55">
      <c r="A55" s="55" t="inlineStr">
        <is>
          <t>Herbácea</t>
        </is>
      </c>
      <c r="B55" s="60" t="n">
        <v>40</v>
      </c>
    </row>
    <row r="56">
      <c r="A56" s="56" t="inlineStr">
        <is>
          <t>Hojarasca</t>
        </is>
      </c>
      <c r="B56" s="62" t="n">
        <v>10</v>
      </c>
    </row>
    <row r="57">
      <c r="A57" s="55" t="inlineStr">
        <is>
          <t>Suelo desnudo</t>
        </is>
      </c>
      <c r="B57" s="60" t="n">
        <v>15</v>
      </c>
    </row>
    <row r="74">
      <c r="A74" s="53" t="inlineStr">
        <is>
          <t>Causas activas de degradación (F-DT-04)</t>
        </is>
      </c>
    </row>
    <row r="75">
      <c r="A75" s="54" t="inlineStr">
        <is>
          <t>Causa</t>
        </is>
      </c>
      <c r="B75" s="54" t="inlineStr">
        <is>
          <t>Intensidad (1 ligera - 4 muy fuerte)</t>
        </is>
      </c>
    </row>
    <row r="76">
      <c r="A76" s="55" t="inlineStr">
        <is>
          <t>Cambio de uso a agricultura</t>
        </is>
      </c>
      <c r="B76" s="55" t="n">
        <v>3</v>
      </c>
    </row>
    <row r="77">
      <c r="A77" s="56" t="inlineStr">
        <is>
          <t>Especies invasoras</t>
        </is>
      </c>
      <c r="B77" s="56" t="n">
        <v>3</v>
      </c>
    </row>
    <row r="78">
      <c r="A78" s="55" t="inlineStr">
        <is>
          <t>Cambio de uso a pastoreo</t>
        </is>
      </c>
      <c r="B78" s="55" t="n">
        <v>2</v>
      </c>
    </row>
    <row r="79">
      <c r="A79" s="56" t="inlineStr">
        <is>
          <t>Erosión natural severa</t>
        </is>
      </c>
      <c r="B79" s="56" t="n">
        <v>2</v>
      </c>
    </row>
    <row r="80">
      <c r="A80" s="55" t="inlineStr">
        <is>
          <t>Expansión urbana / vial</t>
        </is>
      </c>
      <c r="B80" s="55" t="n">
        <v>2</v>
      </c>
    </row>
    <row r="81">
      <c r="A81" s="56" t="inlineStr">
        <is>
          <t>Sequía prolongada / CC</t>
        </is>
      </c>
      <c r="B81" s="56" t="n">
        <v>2</v>
      </c>
    </row>
    <row r="82">
      <c r="A82" s="55" t="inlineStr">
        <is>
          <t>Sobrepastoreo (caprino/vacuno)</t>
        </is>
      </c>
      <c r="B82" s="55" t="n">
        <v>2</v>
      </c>
    </row>
    <row r="83">
      <c r="A83" s="56" t="inlineStr">
        <is>
          <t>Tala para leña</t>
        </is>
      </c>
      <c r="B83" s="56" t="n">
        <v>1</v>
      </c>
    </row>
    <row r="84">
      <c r="A84" s="55" t="inlineStr">
        <is>
          <t>Tala para madera</t>
        </is>
      </c>
      <c r="B84" s="55" t="n">
        <v>1</v>
      </c>
    </row>
    <row r="101">
      <c r="A101" s="53" t="inlineStr">
        <is>
          <t>Control de consistencia por calificación</t>
        </is>
      </c>
    </row>
    <row r="102">
      <c r="A102" s="54" t="inlineStr">
        <is>
          <t>Calificación</t>
        </is>
      </c>
      <c r="B102" s="54" t="inlineStr">
        <is>
          <t>Verificaciones</t>
        </is>
      </c>
    </row>
    <row r="103">
      <c r="A103" s="55" t="inlineStr">
        <is>
          <t>SUSTANTIVA</t>
        </is>
      </c>
      <c r="B103" s="55" t="n">
        <v>2</v>
      </c>
    </row>
    <row r="104">
      <c r="A104" s="56" t="inlineStr">
        <is>
          <t>NO SUSTANTIVA</t>
        </is>
      </c>
      <c r="B104" s="56" t="n">
        <v>1</v>
      </c>
    </row>
    <row r="105">
      <c r="A105" s="55" t="inlineStr">
        <is>
          <t>CORREGIDO</t>
        </is>
      </c>
      <c r="B105" s="55" t="n">
        <v>0</v>
      </c>
    </row>
    <row r="106">
      <c r="A106" s="56" t="inlineStr">
        <is>
          <t>CONFORME</t>
        </is>
      </c>
      <c r="B106" s="56"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19 — IN Piura</dc:title>
  <dc:subject>Diagnóstico Territorial por bloque de intervención</dc:subject>
  <dcterms:created xsi:type="dcterms:W3CDTF">2026-09-08T03:39:56Z</dcterms:created>
  <dcterms:modified xsi:type="dcterms:W3CDTF">2026-09-11T20:22:25Z</dcterms:modified>
</cp:coreProperties>
</file>