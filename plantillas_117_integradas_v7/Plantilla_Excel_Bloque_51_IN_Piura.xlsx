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166" fontId="6" fillId="0" borderId="7" pivotButton="0" quotePrefix="0" xfId="0"/>
    <xf numFmtId="166" fontId="6" fillId="5" borderId="7" pivotButton="0" quotePrefix="0" xfId="0"/>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integración'!$A$76:$A$80</f>
            </numRef>
          </cat>
          <val>
            <numRef>
              <f>'Gráficos de integración'!$B$76:$B$80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integración'!B98</f>
            </strRef>
          </tx>
          <spPr>
            <a:ln>
              <a:prstDash val="solid"/>
            </a:ln>
          </spPr>
          <cat>
            <numRef>
              <f>'Gráficos de integración'!$A$99:$A$102</f>
            </numRef>
          </cat>
          <val>
            <numRef>
              <f>'Gráficos de integración'!$B$99:$B$102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97</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51</t>
        </is>
      </c>
    </row>
    <row r="6" ht="24" customHeight="1">
      <c r="A6" s="4" t="inlineStr">
        <is>
          <t>Diagnóstico Territorial — Plantilla DT Campo Check Validada V5 | Sistema de referencia: UTM WGS 84 Zona 17S (EPSG:32717) · Integrado con la ficha de campo F-DT vigente (Plantilla_DT_Campo_Check_Validada_V5_Bloque51_IN_Piura.xlsx) — V7 - resumen V6 + campo F-DT integrado</t>
        </is>
      </c>
    </row>
    <row r="7"/>
    <row r="8" ht="18" customHeight="1">
      <c r="A8" s="5" t="inlineStr">
        <is>
          <t>1. IDENTIFICACIÓN Y LOCALIZACIÓN</t>
        </is>
      </c>
    </row>
    <row r="9">
      <c r="A9" s="6" t="inlineStr">
        <is>
          <t>Código del bloque</t>
        </is>
      </c>
      <c r="B9" s="7" t="inlineStr">
        <is>
          <t>51</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Talla / Shain (colindantes); Huarmaca (capital distrital)</t>
        </is>
      </c>
      <c r="C13" s="6" t="inlineStr">
        <is>
          <t>Comunidad campesina</t>
        </is>
      </c>
      <c r="D13" s="7" t="inlineStr">
        <is>
          <t>Por verificar</t>
        </is>
      </c>
      <c r="E13" s="8" t="n"/>
      <c r="F13" s="8" t="n"/>
    </row>
    <row r="14">
      <c r="A14" s="6" t="inlineStr">
        <is>
          <t>Superficie de catálogo (V5/V6), ha</t>
        </is>
      </c>
      <c r="B14" s="7" t="n">
        <v>22.93</v>
      </c>
      <c r="C14" s="6" t="inlineStr">
        <is>
          <t>Fuente de superficie</t>
        </is>
      </c>
      <c r="D14" s="7" t="inlineStr">
        <is>
          <t>Catálogo maestro Bloques V5/V6</t>
        </is>
      </c>
      <c r="E14" s="8" t="n"/>
      <c r="F14" s="8" t="n"/>
    </row>
    <row r="15">
      <c r="A15" s="6" t="inlineStr">
        <is>
          <t>Centroide UTM ESTE (m)</t>
        </is>
      </c>
      <c r="B15" s="7" t="n">
        <v>656291</v>
      </c>
      <c r="C15" s="6" t="inlineStr">
        <is>
          <t>Centroide UTM NORTE (m)</t>
        </is>
      </c>
      <c r="D15" s="7" t="n">
        <v>9379096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1734</v>
      </c>
      <c r="C19" s="6" t="inlineStr">
        <is>
          <t>Altitud máxima (msnm)</t>
        </is>
      </c>
      <c r="D19" s="7" t="n">
        <v>2018</v>
      </c>
      <c r="E19" s="8" t="n"/>
      <c r="F19" s="8" t="n"/>
    </row>
    <row r="20">
      <c r="A20" s="6" t="inlineStr">
        <is>
          <t>Amplitud altitudinal (m)</t>
        </is>
      </c>
      <c r="B20" s="7" t="n">
        <v>284</v>
      </c>
      <c r="C20" s="6" t="inlineStr">
        <is>
          <t>Piso altitudinal dominante</t>
        </is>
      </c>
      <c r="D20" s="7" t="inlineStr">
        <is>
          <t>1500-2000 m (Quechua media)</t>
        </is>
      </c>
      <c r="E20" s="8" t="n"/>
      <c r="F20" s="8" t="n"/>
    </row>
    <row r="21">
      <c r="A21" s="6" t="inlineStr">
        <is>
          <t>Pendiente promedio (%)</t>
        </is>
      </c>
      <c r="B21" s="7" t="n">
        <v>31.74</v>
      </c>
      <c r="C21" s="6" t="inlineStr">
        <is>
          <t>Pendiente promedio (grados)</t>
        </is>
      </c>
      <c r="D21" s="7" t="n">
        <v>17.6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alta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0.5238</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(69.46 %)</t>
        </is>
      </c>
      <c r="E29" s="8" t="n"/>
      <c r="F29" s="8" t="n"/>
    </row>
    <row r="30">
      <c r="A30" s="6" t="inlineStr">
        <is>
          <t>Superficie clasificada NDVI 2025 (ha)</t>
        </is>
      </c>
      <c r="B30" s="7" t="n">
        <v>22.931</v>
      </c>
      <c r="C30" s="6" t="inlineStr">
        <is>
          <t>Desviación frente al catálogo (%)</t>
        </is>
      </c>
      <c r="D30" s="7" t="n">
        <v>0.01</v>
      </c>
      <c r="E30" s="8" t="n"/>
      <c r="F30" s="8" t="n"/>
    </row>
    <row r="31">
      <c r="A31" s="6" t="inlineStr">
        <is>
          <t>Superficie clasificada MSAVI 2024 (ha)</t>
        </is>
      </c>
      <c r="B31" s="37" t="n">
        <v>22.927</v>
      </c>
      <c r="C31" s="6" t="inlineStr">
        <is>
          <t>Desviación MSAVI frente al catálogo (%)</t>
        </is>
      </c>
      <c r="D31" s="38" t="n">
        <v>-0.01</v>
      </c>
      <c r="E31" s="8" t="n"/>
      <c r="F31" s="8" t="n"/>
    </row>
    <row r="32">
      <c r="A32" s="6" t="inlineStr">
        <is>
          <t>Superficie bajo umbral MSAVI 0.4976 (ha)</t>
        </is>
      </c>
      <c r="B32" s="37" t="n">
        <v>7.94</v>
      </c>
      <c r="C32" s="6" t="inlineStr">
        <is>
          <t>% del bloque bajo umbral (brecha espectral)</t>
        </is>
      </c>
      <c r="D32" s="38" t="n">
        <v>34.63</v>
      </c>
      <c r="E32" s="8" t="n"/>
      <c r="F32" s="8" t="n"/>
    </row>
    <row r="33">
      <c r="A33" s="6" t="inlineStr">
        <is>
          <t>Clase DN dominante (MSAVI 2024)</t>
        </is>
      </c>
      <c r="B33" s="7" t="inlineStr">
        <is>
          <t>DN 4 · 0.4976 - 0.6139 (Vigor moderado)</t>
        </is>
      </c>
      <c r="C33" s="6" t="inlineStr">
        <is>
          <t>N.° de polígonos MSAVI del bloque</t>
        </is>
      </c>
      <c r="D33" s="39" t="n">
        <v>169</v>
      </c>
      <c r="E33" s="8" t="n"/>
      <c r="F33" s="8" t="n"/>
    </row>
    <row r="34"/>
    <row r="35" ht="18" customHeight="1">
      <c r="A35" s="5" t="inlineStr">
        <is>
          <t>4. ECOSISTEMA Y ESTADO DE CONSERVACIÓN</t>
        </is>
      </c>
    </row>
    <row r="36">
      <c r="A36" s="6" t="inlineStr">
        <is>
          <t>Tipo de ecosistema (UP)</t>
        </is>
      </c>
      <c r="B36" s="7" t="inlineStr">
        <is>
          <t>Bosque Estacionalmente Seco Colina/Montaña (Bes-cm)</t>
        </is>
      </c>
      <c r="C36" s="6" t="inlineStr">
        <is>
          <t>Superficie de ecosistema (ha)</t>
        </is>
      </c>
      <c r="D36" s="7" t="inlineStr">
        <is>
          <t>22.927 ha</t>
        </is>
      </c>
      <c r="E36" s="8" t="n"/>
      <c r="F36" s="8" t="n"/>
    </row>
    <row r="37">
      <c r="A37" s="6" t="inlineStr">
        <is>
          <t>Estado de conservación</t>
        </is>
      </c>
      <c r="B37" s="7" t="inlineStr">
        <is>
          <t>Medianamente alterado</t>
        </is>
      </c>
      <c r="C37" s="6" t="inlineStr">
        <is>
          <t>Uso actual dominante del suelo</t>
        </is>
      </c>
      <c r="D37" s="7" t="inlineStr">
        <is>
          <t>Agricultura secano</t>
        </is>
      </c>
      <c r="E37" s="8" t="n"/>
      <c r="F37" s="8" t="n"/>
    </row>
    <row r="38">
      <c r="A38" s="6" t="inlineStr">
        <is>
          <t>Tipo de cobertura dominante</t>
        </is>
      </c>
      <c r="B38" s="7" t="inlineStr">
        <is>
          <t>Mixto / Mosaico</t>
        </is>
      </c>
      <c r="C38" s="6" t="inlineStr">
        <is>
          <t>Cobertura vegetal total — campo (%)</t>
        </is>
      </c>
      <c r="D38" s="7" t="n">
        <v>65</v>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Pedro Talledo Hernández</t>
        </is>
      </c>
      <c r="C44" s="6" t="inlineStr">
        <is>
          <t>Fecha de evaluación</t>
        </is>
      </c>
      <c r="D44" s="7" t="inlineStr">
        <is>
          <t>2026-08-11</t>
        </is>
      </c>
      <c r="E44" s="8" t="n"/>
      <c r="F44" s="8" t="n"/>
    </row>
    <row r="45">
      <c r="A45" s="6" t="inlineStr">
        <is>
          <t>Hora de registro</t>
        </is>
      </c>
      <c r="B45" s="7" t="inlineStr">
        <is>
          <t>Por registrar</t>
        </is>
      </c>
      <c r="C45" s="6" t="inlineStr">
        <is>
          <t>Correlativo de ficha</t>
        </is>
      </c>
      <c r="D45" s="49" t="inlineStr">
        <is>
          <t>F-DT-51-01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P-51-A (20x20 m)</t>
        </is>
      </c>
      <c r="E47" s="8" t="n"/>
      <c r="F47" s="8" t="n"/>
    </row>
    <row r="48">
      <c r="A48" s="6" t="inlineStr">
        <is>
          <t>Estaciones fotográficas georreferenciadas</t>
        </is>
      </c>
      <c r="B48" s="7" t="inlineStr">
        <is>
          <t>Sin registro en la ficha DT</t>
        </is>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Falta de alternativas económicas y tenencia de tierra minifundista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51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3.5142</v>
      </c>
      <c r="C10" s="19">
        <f>ROUND(B10/$B$15*100,2)</f>
        <v/>
      </c>
      <c r="D10" s="11" t="inlineStr">
        <is>
          <t>Vigor alto</t>
        </is>
      </c>
      <c r="E10" s="11" t="inlineStr">
        <is>
          <t>Sobre umbral</t>
        </is>
      </c>
    </row>
    <row r="11">
      <c r="A11" s="12" t="inlineStr">
        <is>
          <t>0.4976 - 0.6139 · DN 4</t>
        </is>
      </c>
      <c r="B11" s="30" t="n">
        <v>11.4729</v>
      </c>
      <c r="C11" s="29">
        <f>ROUND(B11/$B$15*100,2)</f>
        <v/>
      </c>
      <c r="D11" s="13" t="inlineStr">
        <is>
          <t>Vigor moderado</t>
        </is>
      </c>
      <c r="E11" s="13" t="inlineStr">
        <is>
          <t>Sobre umbral</t>
        </is>
      </c>
    </row>
    <row r="12">
      <c r="A12" s="7" t="inlineStr">
        <is>
          <t>0.3813 - 0.4976 · DN 3</t>
        </is>
      </c>
      <c r="B12" s="18" t="n">
        <v>6.3738</v>
      </c>
      <c r="C12" s="19">
        <f>ROUND(B12/$B$15*100,2)</f>
        <v/>
      </c>
      <c r="D12" s="11" t="inlineStr">
        <is>
          <t>Vigor bajo</t>
        </is>
      </c>
      <c r="E12" s="11" t="inlineStr">
        <is>
          <t>BAJO umbral 0.4976</t>
        </is>
      </c>
    </row>
    <row r="13">
      <c r="A13" s="14" t="inlineStr">
        <is>
          <t>0.2650 - 0.3813 · DN 2</t>
        </is>
      </c>
      <c r="B13" s="20" t="n">
        <v>1.5661</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169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22.93</v>
      </c>
      <c r="C18" s="48" t="inlineStr">
        <is>
          <t>—</t>
        </is>
      </c>
      <c r="D18" s="45" t="inlineStr">
        <is>
          <t>Desviación planimétrica frente al catálogo</t>
        </is>
      </c>
      <c r="E18" s="45" t="inlineStr">
        <is>
          <t>-0.01 %</t>
        </is>
      </c>
    </row>
    <row r="19">
      <c r="A19" s="16" t="inlineStr">
        <is>
          <t>MSAVI 2024 — MEDIA DEL BLOQUE</t>
        </is>
      </c>
      <c r="B19" s="17" t="n">
        <v>0.523788</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169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(0.5238)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15.9281</v>
      </c>
      <c r="C25" s="19" t="n">
        <v>69.45999999999999</v>
      </c>
      <c r="D25" s="11" t="inlineStr">
        <is>
          <t>Dosel continuo, matorral denso o mosaico agroforestal</t>
        </is>
      </c>
      <c r="E25" s="11" t="inlineStr"/>
    </row>
    <row r="26">
      <c r="A26" s="14" t="inlineStr">
        <is>
          <t>Vegetación mediana</t>
        </is>
      </c>
      <c r="B26" s="20" t="n">
        <v>6.5477</v>
      </c>
      <c r="C26" s="21" t="n">
        <v>28.55</v>
      </c>
      <c r="D26" s="15" t="inlineStr">
        <is>
          <t>Pastizal cultivado, matorral ralo, parcelas agrícolas</t>
        </is>
      </c>
      <c r="E26" s="15" t="inlineStr"/>
    </row>
    <row r="27">
      <c r="A27" s="7" t="inlineStr">
        <is>
          <t>Vegetación ligera</t>
        </is>
      </c>
      <c r="B27" s="18" t="n">
        <v>0.4557</v>
      </c>
      <c r="C27" s="19" t="n">
        <v>1.99</v>
      </c>
      <c r="D27" s="11" t="inlineStr">
        <is>
          <t>Cobertura discontinua, suelo parcialmente expuesto</t>
        </is>
      </c>
      <c r="E27" s="11" t="inlineStr"/>
    </row>
    <row r="28">
      <c r="A28" s="16" t="inlineStr">
        <is>
          <t>TOTAL CLASIFICADO</t>
        </is>
      </c>
      <c r="B28" s="22">
        <f>SUM(B25:B27)</f>
        <v/>
      </c>
      <c r="C28" s="23">
        <f>SUM(C25:C27)</f>
        <v/>
      </c>
      <c r="D28" s="17" t="inlineStr"/>
      <c r="E28" s="17" t="inlineStr"/>
    </row>
    <row r="29">
      <c r="A29" s="24" t="inlineStr">
        <is>
          <t>Superficie de catálogo (V5/V6)</t>
        </is>
      </c>
      <c r="B29" s="25" t="n">
        <v>22.93</v>
      </c>
      <c r="C29" s="25" t="inlineStr">
        <is>
          <t>—</t>
        </is>
      </c>
      <c r="D29" s="25" t="inlineStr">
        <is>
          <t>Desviación planimétrica frente al catálogo</t>
        </is>
      </c>
      <c r="E29" s="25" t="inlineStr">
        <is>
          <t>+0.01 %</t>
        </is>
      </c>
    </row>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65 % frente a un 69.46 % del polígono clasificado como «Vegetación alta» por el NDVI 2025; la observación de campo corresponde a una parcela o recorrido puntual y no es estadísticamente representativa de las 22.930 ha del bloque.</t>
        </is>
      </c>
      <c r="B31" s="40" t="n"/>
      <c r="C31" s="40" t="n"/>
      <c r="D31" s="40" t="n"/>
      <c r="E31" s="41" t="n"/>
    </row>
  </sheetData>
  <mergeCells count="10">
    <mergeCell ref="A21:E21"/>
    <mergeCell ref="A4:E4"/>
    <mergeCell ref="A2:E2"/>
    <mergeCell ref="A5:E5"/>
    <mergeCell ref="A1:E1"/>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51</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656291</v>
      </c>
      <c r="C12" s="6" t="inlineStr">
        <is>
          <t>Centroide del bloque — UTM NORTE (m)</t>
        </is>
      </c>
      <c r="D12" s="7" t="n">
        <v>9379096</v>
      </c>
      <c r="E12" s="8" t="n"/>
      <c r="F12" s="8" t="n"/>
      <c r="G12" s="8" t="n"/>
      <c r="H12" s="8" t="n"/>
    </row>
    <row r="13">
      <c r="A13" s="6" t="inlineStr">
        <is>
          <t>N.° de estaciones fotográficas declaradas</t>
        </is>
      </c>
      <c r="B13" s="7" t="inlineStr">
        <is>
          <t>Sin registro en la ficha DT</t>
        </is>
      </c>
      <c r="C13" s="6" t="inlineStr">
        <is>
          <t>Estaciones dentro del polígono</t>
        </is>
      </c>
      <c r="D13" s="7" t="inlineStr">
        <is>
          <t>Por determinar</t>
        </is>
      </c>
      <c r="E13" s="8" t="n"/>
      <c r="F13" s="8" t="n"/>
      <c r="G13" s="8" t="n"/>
      <c r="H13" s="8" t="n"/>
    </row>
    <row r="15" ht="84"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Pendiente fuerte limita la mecanización agrícola, predominio de agricultura de subsistencia y matorral.</t>
        </is>
      </c>
      <c r="B15" s="40" t="n"/>
      <c r="C15" s="40" t="n"/>
      <c r="D15" s="40" t="n"/>
      <c r="E15" s="40" t="n"/>
      <c r="F15" s="40" t="n"/>
      <c r="G15" s="41" t="n"/>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51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10</t>
        </is>
      </c>
      <c r="B10" s="26" t="n">
        <v>150.21</v>
      </c>
      <c r="C10" s="19" t="n">
        <v>28.67</v>
      </c>
      <c r="D10" s="11" t="inlineStr">
        <is>
          <t>912 – 1510</t>
        </is>
      </c>
      <c r="E10" s="11" t="n">
        <v>598</v>
      </c>
      <c r="F10" s="11" t="n">
        <v>27.39</v>
      </c>
      <c r="G10" s="18" t="n">
        <v>0.5465</v>
      </c>
      <c r="H10" s="19" t="n">
        <v>85.18000000000001</v>
      </c>
      <c r="I10" s="19" t="n">
        <v>28.51</v>
      </c>
    </row>
    <row r="11">
      <c r="A11" s="14" t="inlineStr">
        <is>
          <t>8</t>
        </is>
      </c>
      <c r="B11" s="27" t="n">
        <v>126.95</v>
      </c>
      <c r="C11" s="21" t="n">
        <v>24.23</v>
      </c>
      <c r="D11" s="15" t="inlineStr">
        <is>
          <t>1504 – 1970</t>
        </is>
      </c>
      <c r="E11" s="15" t="n">
        <v>466</v>
      </c>
      <c r="F11" s="15" t="n">
        <v>29.85</v>
      </c>
      <c r="G11" s="20" t="n">
        <v>0.5548</v>
      </c>
      <c r="H11" s="21" t="n">
        <v>72.25</v>
      </c>
      <c r="I11" s="21" t="n">
        <v>28.4</v>
      </c>
    </row>
    <row r="12">
      <c r="A12" s="7" t="inlineStr">
        <is>
          <t>16</t>
        </is>
      </c>
      <c r="B12" s="26" t="n">
        <v>83.33</v>
      </c>
      <c r="C12" s="19" t="n">
        <v>15.91</v>
      </c>
      <c r="D12" s="11" t="inlineStr">
        <is>
          <t>1349 – 1746</t>
        </is>
      </c>
      <c r="E12" s="11" t="n">
        <v>397</v>
      </c>
      <c r="F12" s="11" t="n">
        <v>22.34</v>
      </c>
      <c r="G12" s="18" t="n">
        <v>0.6284</v>
      </c>
      <c r="H12" s="19" t="n">
        <v>94.13</v>
      </c>
      <c r="I12" s="19" t="n">
        <v>7.3</v>
      </c>
    </row>
    <row r="13">
      <c r="A13" s="14" t="inlineStr">
        <is>
          <t>20</t>
        </is>
      </c>
      <c r="B13" s="27" t="n">
        <v>81.33</v>
      </c>
      <c r="C13" s="21" t="n">
        <v>15.52</v>
      </c>
      <c r="D13" s="15" t="inlineStr">
        <is>
          <t>1217 – 1607</t>
        </is>
      </c>
      <c r="E13" s="15" t="n">
        <v>390</v>
      </c>
      <c r="F13" s="15" t="n">
        <v>24.54</v>
      </c>
      <c r="G13" s="20" t="n">
        <v>0.4851</v>
      </c>
      <c r="H13" s="21" t="n">
        <v>52.44</v>
      </c>
      <c r="I13" s="21" t="n">
        <v>59.23</v>
      </c>
    </row>
    <row r="14">
      <c r="A14" s="7" t="inlineStr">
        <is>
          <t>80</t>
        </is>
      </c>
      <c r="B14" s="26" t="n">
        <v>28.83</v>
      </c>
      <c r="C14" s="19" t="n">
        <v>5.5</v>
      </c>
      <c r="D14" s="11" t="inlineStr">
        <is>
          <t>2180 – 2491</t>
        </is>
      </c>
      <c r="E14" s="11" t="n">
        <v>311</v>
      </c>
      <c r="F14" s="11" t="n">
        <v>32.9</v>
      </c>
      <c r="G14" s="18" t="n">
        <v>0.5931</v>
      </c>
      <c r="H14" s="19" t="n">
        <v>78.73</v>
      </c>
      <c r="I14" s="19" t="n">
        <v>16.88</v>
      </c>
    </row>
    <row r="15">
      <c r="A15" s="12" t="inlineStr">
        <is>
          <t>► 51</t>
        </is>
      </c>
      <c r="B15" s="28" t="n">
        <v>22.93</v>
      </c>
      <c r="C15" s="29" t="n">
        <v>4.38</v>
      </c>
      <c r="D15" s="13" t="inlineStr">
        <is>
          <t>1734 – 2018</t>
        </is>
      </c>
      <c r="E15" s="13" t="n">
        <v>284</v>
      </c>
      <c r="F15" s="13" t="n">
        <v>31.74</v>
      </c>
      <c r="G15" s="30" t="n">
        <v>0.5238</v>
      </c>
      <c r="H15" s="29" t="n">
        <v>69.45999999999999</v>
      </c>
      <c r="I15" s="29" t="n">
        <v>34.63</v>
      </c>
    </row>
    <row r="16">
      <c r="A16" s="7" t="inlineStr">
        <is>
          <t>76</t>
        </is>
      </c>
      <c r="B16" s="26" t="n">
        <v>19.62</v>
      </c>
      <c r="C16" s="19" t="n">
        <v>3.75</v>
      </c>
      <c r="D16" s="11" t="inlineStr">
        <is>
          <t>1647 – 1838</t>
        </is>
      </c>
      <c r="E16" s="11" t="n">
        <v>191</v>
      </c>
      <c r="F16" s="11" t="n">
        <v>26.25</v>
      </c>
      <c r="G16" s="18" t="n">
        <v>0.4925</v>
      </c>
      <c r="H16" s="19" t="n">
        <v>46.27</v>
      </c>
      <c r="I16" s="19" t="n">
        <v>54.14</v>
      </c>
    </row>
    <row r="17">
      <c r="A17" s="14" t="inlineStr">
        <is>
          <t>71</t>
        </is>
      </c>
      <c r="B17" s="27" t="n">
        <v>10.67</v>
      </c>
      <c r="C17" s="21" t="n">
        <v>2.04</v>
      </c>
      <c r="D17" s="15" t="inlineStr">
        <is>
          <t>1478 – 1609</t>
        </is>
      </c>
      <c r="E17" s="15" t="n">
        <v>131</v>
      </c>
      <c r="F17" s="15" t="n">
        <v>29.45</v>
      </c>
      <c r="G17" s="20" t="n">
        <v>0.5571</v>
      </c>
      <c r="H17" s="21" t="n">
        <v>81.37</v>
      </c>
      <c r="I17" s="21" t="n">
        <v>25.94</v>
      </c>
    </row>
    <row r="18">
      <c r="A18" s="16" t="inlineStr">
        <is>
          <t>TOTAL / PROMEDIO</t>
        </is>
      </c>
      <c r="B18" s="31">
        <f>SUM(B10:B17)</f>
        <v/>
      </c>
      <c r="C18" s="23">
        <f>SUM(C10:C17)</f>
        <v/>
      </c>
      <c r="D18" s="17" t="inlineStr">
        <is>
          <t>912 – 2491</t>
        </is>
      </c>
      <c r="E18" s="17" t="inlineStr"/>
      <c r="F18" s="17">
        <f>ROUND(AVERAGE(F10:F17),2)</f>
        <v/>
      </c>
      <c r="G18" s="22">
        <f>ROUND(AVERAGE(G10:G17),4)</f>
        <v/>
      </c>
      <c r="H18" s="23">
        <f>ROUND(AVERAGE(H10:H17),2)</f>
        <v/>
      </c>
      <c r="I18" s="23">
        <f>ROUND(AVERAGE(I10:I17),2)</f>
        <v/>
      </c>
    </row>
    <row r="20" ht="84" customHeight="1">
      <c r="A20" s="9" t="inlineStr">
        <is>
          <t>LECTURA INTRAMICROCUENCA. El bloque 51 ocupa el puesto 6 de 8 por superficie dentro de la microcuenca C1076-Q9593 (4.38 % de las 523.87 ha preliminares de la microcuenca). Su pendiente promedio (31.74 %, clase «25-50% (Mod. escarpado)») es la 7.ª más baja de 8 y se sitúa por encima del promedio de la microcuenca (28.06 %). Su MSAVI 2024 (0.5238) es el 6.º de 8 y queda por debajo del promedio local (0.5477). Amplitud altitudinal del bloque: 284 m (1734–2018 msnm). El cuadro conserva todos los bloques catalogados en la microcuenca, incluidos los descartados en el tamizaje, para referencia del conjunto. Los bloques sin ficha DT figuran con sus parámetros de gabinete. BRECHA ESPECTRAL. El 34.63 % de la superficie del bloque (7.940 ha de 22.927 ha) se sitúa bajo el umbral MSAVI 0.4976, por encima del promedio local de la microcuenca (31.88 %) calculado sobre los bloques con dato MSAVI disponible.</t>
        </is>
      </c>
      <c r="B20" s="40" t="n"/>
      <c r="C20" s="40" t="n"/>
      <c r="D20" s="40" t="n"/>
      <c r="E20" s="40" t="n"/>
      <c r="F20" s="40" t="n"/>
      <c r="G20" s="40" t="n"/>
      <c r="H20" s="40" t="n"/>
      <c r="I20" s="41" t="n"/>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2" s="40" t="n"/>
      <c r="C22" s="40" t="n"/>
      <c r="D22" s="40" t="n"/>
      <c r="E22" s="40" t="n"/>
      <c r="F22" s="40" t="n"/>
      <c r="G22" s="40" t="n"/>
      <c r="H22" s="40" t="n"/>
      <c r="I22" s="41" t="n"/>
    </row>
  </sheetData>
  <mergeCells count="9">
    <mergeCell ref="A2:I2"/>
    <mergeCell ref="A5:I5"/>
    <mergeCell ref="A1:I1"/>
    <mergeCell ref="A8:I8"/>
    <mergeCell ref="A3:I3"/>
    <mergeCell ref="A6:I6"/>
    <mergeCell ref="A22:I22"/>
    <mergeCell ref="A4:I4"/>
    <mergeCell ref="A20:I2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51</t>
        </is>
      </c>
    </row>
    <row r="6">
      <c r="A6" s="51" t="inlineStr">
        <is>
          <t>Cruce de la ficha de campo F-DT vigente con la ficha de resumen de gabinete y el catálogo maestro. Integración 2026-09-11 20:22:29.</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«C1076-Q9593».</t>
        </is>
      </c>
      <c r="D9" s="55" t="inlineStr">
        <is>
          <t>CONFORME</t>
        </is>
      </c>
      <c r="E9" s="55" t="inlineStr">
        <is>
          <t>Sin acción.</t>
        </is>
      </c>
    </row>
    <row r="10">
      <c r="A10" s="56" t="inlineStr">
        <is>
          <t>G-02</t>
        </is>
      </c>
      <c r="B10" s="56" t="inlineStr">
        <is>
          <t>UTM del punto de muestreo</t>
        </is>
      </c>
      <c r="C10" s="56" t="inlineStr">
        <is>
          <t>No es posible contrastar el punto de muestreo con el centroide: falta una de las dos coordenadas.</t>
        </is>
      </c>
      <c r="D10" s="56" t="inlineStr">
        <is>
          <t>SUSTANTIVA</t>
        </is>
      </c>
      <c r="E10" s="56" t="inlineStr">
        <is>
          <t>Debe consignarse la coordenada del punto de muestreo en F-DT-01.</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(1876 msnm) cae dentro del rango altitudinal del bloque (1734 - 2018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(22.931 ha) se desvía 0.00 % de la superficie de catálogo (22.93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(22.927 ha) se desvía -0.01 % de la superficie de catálogo (22.93 ha).</t>
        </is>
      </c>
      <c r="D14" s="56" t="inlineStr">
        <is>
          <t>CONFORME</t>
        </is>
      </c>
      <c r="E14" s="56" t="inlineStr">
        <is>
          <t>Sin acción: la segmentación valida la geometría del bloque.</t>
        </is>
      </c>
    </row>
    <row r="15">
      <c r="A15" s="55" t="inlineStr">
        <is>
          <t>G-07</t>
        </is>
      </c>
      <c r="B15" s="55" t="inlineStr">
        <is>
          <t>Brecha espectral MSAVI</t>
        </is>
      </c>
      <c r="C15" s="55" t="inlineStr">
        <is>
          <t>El 34.63 % del bloque queda bajo el umbral 0.4976; superficie de brecha 7.9399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22.93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(0.5238) cae en la clase «0.4976 - 0.6139 (Vigor moderado)» y la clase DN dominante por superficie es «DN 4 · 0.4976 - 0.6139 (Vigor moderado)».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Correlativo de ficha</t>
        </is>
      </c>
      <c r="C19" s="55" t="inlineStr">
        <is>
          <t>El libro de resumen V6 consignaba «Por registrar»; la ficha de campo vigente declara «F-DT-51-01».</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100.0 % de los campos esperados).</t>
        </is>
      </c>
      <c r="D20" s="56" t="inlineStr">
        <is>
          <t>CONFORME</t>
        </is>
      </c>
      <c r="E20" s="56" t="inlineStr">
        <is>
          <t>Sin acción.</t>
        </is>
      </c>
    </row>
    <row r="21">
      <c r="A21" s="55" t="inlineStr">
        <is>
          <t>F-02</t>
        </is>
      </c>
      <c r="B21" s="55" t="inlineStr">
        <is>
          <t>Cobertura de la integración</t>
        </is>
      </c>
      <c r="C21" s="55" t="inlineStr">
        <is>
          <t>Se declararon 110 de 114 hechos integrados (96.5 %); 4 quedan sin dato en ninguna fuente.</t>
        </is>
      </c>
      <c r="D21" s="55" t="inlineStr">
        <is>
          <t>CONFORME</t>
        </is>
      </c>
      <c r="E21" s="55" t="inlineStr">
        <is>
          <t>Sin acción.</t>
        </is>
      </c>
    </row>
    <row r="22">
      <c r="A22" s="56" t="inlineStr">
        <is>
          <t>H-01</t>
        </is>
      </c>
      <c r="B22" s="56" t="inlineStr">
        <is>
          <t>Rango de pendiente dominante</t>
        </is>
      </c>
      <c r="C22" s="56" t="inlineStr">
        <is>
          <t>La ficha DT declara «50-75% (Escarpado)»; la estadística zonal sobre el MDE arroja una pendiente promedio de 31.74 %, que corresponde a la clase «25-50% (Mod. escarpado)»</t>
        </is>
      </c>
      <c r="D22" s="56" t="inlineStr">
        <is>
          <t>NO SUSTANTIVA</t>
        </is>
      </c>
      <c r="E22"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5" t="inlineStr">
        <is>
          <t>H-02</t>
        </is>
      </c>
      <c r="B23" s="55" t="inlineStr">
        <is>
          <t>Cobertura vegetal total</t>
        </is>
      </c>
      <c r="C23" s="55" t="inlineStr">
        <is>
          <t>La ficha DT estima 65 % de cobertura vegetal en campo; el NDVI mediana 2025 clasifica 100.00 % del polígono en clases de vegetación</t>
        </is>
      </c>
      <c r="D23" s="55" t="inlineStr">
        <is>
          <t>NO SUSTANTIVA</t>
        </is>
      </c>
      <c r="E23" s="55"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6" t="inlineStr">
        <is>
          <t>H-03</t>
        </is>
      </c>
      <c r="B24" s="56" t="inlineStr">
        <is>
          <t>Elenco florístico</t>
        </is>
      </c>
      <c r="C24" s="56" t="inlineStr">
        <is>
          <t>La ficha registra 11 taxones, por debajo del mínimo de 15 que exige el formato V5</t>
        </is>
      </c>
      <c r="D24" s="56" t="inlineStr">
        <is>
          <t>SUSTANTIVA</t>
        </is>
      </c>
      <c r="E24" s="56" t="inlineStr">
        <is>
          <t>Registro florístico preliminar, sin colecta ni determinación botánica formal. Debe cerrarse con colecta botánica en la siguiente campaña. (Verificación heredada de la ficha de resumen V6.)</t>
        </is>
      </c>
    </row>
    <row r="25">
      <c r="A25" s="55" t="inlineStr">
        <is>
          <t>H-04</t>
        </is>
      </c>
      <c r="B25" s="55" t="inlineStr">
        <is>
          <t>Centro poblado asociado</t>
        </is>
      </c>
      <c r="C25" s="55" t="inlineStr">
        <is>
          <t>La ficha DT declara «Talla / Shain (colindantes); Huarmaca (capital distrital)»; el cruce INEI-Bloques V5 identifica 2 centro(s) poblado(s) en el bloque: SHAIN, TALLA</t>
        </is>
      </c>
      <c r="D25" s="55" t="inlineStr">
        <is>
          <t>CONFORME</t>
        </is>
      </c>
      <c r="E25" s="55" t="inlineStr">
        <is>
          <t>Se conserva el registro de campo como referencia y se adopta el listado INEI para el diagnóstico social y el cálculo de población beneficiaria. (Verificación heredada de la ficha de resumen V6.)</t>
        </is>
      </c>
    </row>
    <row r="26">
      <c r="A26" s="56" t="inlineStr">
        <is>
          <t>H-05</t>
        </is>
      </c>
      <c r="B26" s="56" t="inlineStr">
        <is>
          <t>Registros retirados del elenco</t>
        </is>
      </c>
      <c r="C26" s="56" t="inlineStr">
        <is>
          <t>Se retiran Algarrobo-Prosopis pallida, Palo santo-Cordia lutea e Ichu-Calamagrostis vicunarum por incompatibilidad altitudinal o nomenclatural</t>
        </is>
      </c>
      <c r="D26" s="56" t="inlineStr">
        <is>
          <t>CORREGIDO</t>
        </is>
      </c>
      <c r="E26" s="56" t="inlineStr">
        <is>
          <t>Retiro documentado; el elenco debe validarse con colecta botánica (Verificación heredada de la ficha de resumen V6.)</t>
        </is>
      </c>
    </row>
    <row r="27">
      <c r="A27" s="55" t="inlineStr">
        <is>
          <t>H-06</t>
        </is>
      </c>
      <c r="B27" s="55" t="inlineStr">
        <is>
          <t>Centro poblado más cercano</t>
        </is>
      </c>
      <c r="C27" s="55" t="inlineStr">
        <is>
          <t>F-DT-01 declara Huarmaca (capital distrital); la vista satelital muestra Talla y Shain contiguos</t>
        </is>
      </c>
      <c r="D27" s="55" t="inlineStr">
        <is>
          <t>SUSTANTIVA</t>
        </is>
      </c>
      <c r="E27" s="55" t="inlineStr">
        <is>
          <t>Se adopta Talla / Shain; Huarmaca queda como referencia distrital (Verificación heredada de la ficha de resumen V6.)</t>
        </is>
      </c>
    </row>
    <row r="28">
      <c r="A28" s="56" t="inlineStr">
        <is>
          <t>H-07</t>
        </is>
      </c>
      <c r="B28" s="56" t="inlineStr">
        <is>
          <t>Distancia a vía vecinal</t>
        </is>
      </c>
      <c r="C28" s="56" t="inlineStr">
        <is>
          <t>F-DT-04 asigna 1200 m nivel Medio; el plano NDVI muestra la red vial tangente al límite oriental (~0 m)</t>
        </is>
      </c>
      <c r="D28" s="56" t="inlineStr">
        <is>
          <t>SUSTANTIVA</t>
        </is>
      </c>
      <c r="E28" s="56" t="inlineStr">
        <is>
          <t>Se corrige a colindancia vial directa y nivel de presión Alto (Verificación heredada de la ficha de resumen V6.)</t>
        </is>
      </c>
    </row>
    <row r="29">
      <c r="A29" s="55" t="inlineStr">
        <is>
          <t>H-08</t>
        </is>
      </c>
      <c r="B29" s="55" t="inlineStr">
        <is>
          <t>Escarpes activos</t>
        </is>
      </c>
      <c r="C29" s="55" t="inlineStr">
        <is>
          <t>F-DT-01 declara No; la vista satelital muestra cicatriz de suelo descubierto en el sector alto nororiental</t>
        </is>
      </c>
      <c r="D29" s="55" t="inlineStr">
        <is>
          <t>SUSTANTIVA</t>
        </is>
      </c>
      <c r="E29" s="55" t="inlineStr">
        <is>
          <t>Se declara rasgo por verificar en campo (Verificación heredada de la ficha de resumen V6.)</t>
        </is>
      </c>
    </row>
    <row r="31">
      <c r="A31" s="57" t="inlineStr">
        <is>
          <t>RESUMEN</t>
        </is>
      </c>
      <c r="B31" s="58" t="inlineStr">
        <is>
          <t>21 verificaciones</t>
        </is>
      </c>
      <c r="C31" s="58" t="inlineStr">
        <is>
          <t>SUSTANTIVA: 6 · NO SUSTANTIVA: 2 · CORREGIDO: 2 · CONFORME: 11</t>
        </is>
      </c>
    </row>
    <row r="33">
      <c r="A33"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51</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8. Responsable y modalidad de la evaluación</t>
        </is>
      </c>
      <c r="B9" s="55" t="inlineStr">
        <is>
          <t>Correlativo de ficha</t>
        </is>
      </c>
      <c r="C9" s="55" t="inlineStr">
        <is>
          <t>Por registrar</t>
        </is>
      </c>
      <c r="D9" s="55" t="inlineStr">
        <is>
          <t>F-DT-51-01</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Por registrar</t>
        </is>
      </c>
      <c r="D13" s="55" t="inlineStr">
        <is>
          <t>m</t>
        </is>
      </c>
    </row>
    <row r="14">
      <c r="A14" s="56" t="inlineStr">
        <is>
          <t>1. Identificación y localización</t>
        </is>
      </c>
      <c r="B14" s="56" t="inlineStr">
        <is>
          <t>UTM NORTE del punto de muestreo (m)</t>
        </is>
      </c>
      <c r="C14" s="56" t="inlineStr">
        <is>
          <t>Por registrar</t>
        </is>
      </c>
      <c r="D14" s="56" t="inlineStr">
        <is>
          <t>m</t>
        </is>
      </c>
    </row>
    <row r="15">
      <c r="A15" s="55" t="inlineStr">
        <is>
          <t>2. Parámetros físicos del terreno</t>
        </is>
      </c>
      <c r="B15" s="55" t="inlineStr">
        <is>
          <t>Altitud GPS del punto de muestreo (msnm)</t>
        </is>
      </c>
      <c r="C15" s="55" t="inlineStr">
        <is>
          <t>1876</t>
        </is>
      </c>
      <c r="D15" s="55" t="inlineStr">
        <is>
          <t>msnm</t>
        </is>
      </c>
    </row>
    <row r="16">
      <c r="A16" s="56" t="inlineStr">
        <is>
          <t>2. Parámetros físicos del terreno</t>
        </is>
      </c>
      <c r="B16" s="56" t="inlineStr">
        <is>
          <t>Piso altitudinal del punto de muestreo</t>
        </is>
      </c>
      <c r="C16" s="56" t="inlineStr">
        <is>
          <t>1500-2000 m (Quechua media)</t>
        </is>
      </c>
      <c r="D16" s="56" t="inlineStr"/>
    </row>
    <row r="17">
      <c r="A17" s="55" t="inlineStr">
        <is>
          <t>2. Parámetros físicos del terreno</t>
        </is>
      </c>
      <c r="B17" s="55" t="inlineStr">
        <is>
          <t>Paisaje dominante descrito en campo</t>
        </is>
      </c>
      <c r="C17" s="55" t="inlineStr">
        <is>
          <t>Vertiente montañosa empinada a escarpada con mosaico de zonas agrícolas y matorral andino, sobre rocas volcánicas andesíticas.</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Moderada (surcos)</t>
        </is>
      </c>
      <c r="D20" s="56" t="inlineStr"/>
    </row>
    <row r="21">
      <c r="A21" s="55" t="inlineStr">
        <is>
          <t>4. Suelos y erosión (F-DT-02)</t>
        </is>
      </c>
      <c r="B21" s="55" t="inlineStr">
        <is>
          <t>Sellamiento / costra superficial</t>
        </is>
      </c>
      <c r="C21" s="55" t="inlineStr">
        <is>
          <t>Sí</t>
        </is>
      </c>
      <c r="D21" s="55" t="inlineStr"/>
    </row>
    <row r="22">
      <c r="A22" s="56" t="inlineStr">
        <is>
          <t>4. Suelos y erosión (F-DT-02)</t>
        </is>
      </c>
      <c r="B22" s="56" t="inlineStr">
        <is>
          <t>Compactación por pisoteo</t>
        </is>
      </c>
      <c r="C22" s="56" t="inlineStr">
        <is>
          <t>Sí</t>
        </is>
      </c>
      <c r="D22" s="56" t="inlineStr"/>
    </row>
    <row r="23">
      <c r="A23" s="55" t="inlineStr">
        <is>
          <t>4. Suelos y erosión (F-DT-02)</t>
        </is>
      </c>
      <c r="B23" s="55" t="inlineStr">
        <is>
          <t>Raíces expuestas</t>
        </is>
      </c>
      <c r="C23" s="55" t="inlineStr">
        <is>
          <t>No</t>
        </is>
      </c>
      <c r="D23" s="55" t="inlineStr"/>
    </row>
    <row r="24">
      <c r="A24" s="56" t="inlineStr">
        <is>
          <t>4. Suelos y erosión (F-DT-02)</t>
        </is>
      </c>
      <c r="B24" s="56" t="inlineStr">
        <is>
          <t>Longitud total de cárcavas (m)</t>
        </is>
      </c>
      <c r="C24" s="56" t="inlineStr">
        <is>
          <t>0</t>
        </is>
      </c>
      <c r="D24" s="56" t="inlineStr">
        <is>
          <t>m</t>
        </is>
      </c>
    </row>
    <row r="25">
      <c r="A25" s="55" t="inlineStr">
        <is>
          <t>4. Suelos y erosión (F-DT-02)</t>
        </is>
      </c>
      <c r="B25" s="55" t="inlineStr">
        <is>
          <t>% del bloque afectado por cárcavas</t>
        </is>
      </c>
      <c r="C25" s="55" t="inlineStr">
        <is>
          <t>0</t>
        </is>
      </c>
      <c r="D25" s="55" t="inlineStr">
        <is>
          <t>%</t>
        </is>
      </c>
    </row>
    <row r="26">
      <c r="A26" s="56" t="inlineStr">
        <is>
          <t>4. Suelos y erosión (F-DT-02)</t>
        </is>
      </c>
      <c r="B26" s="56" t="inlineStr">
        <is>
          <t>Erosión laminar (% del bloque)</t>
        </is>
      </c>
      <c r="C26" s="56" t="inlineStr">
        <is>
          <t>15</t>
        </is>
      </c>
      <c r="D26" s="56" t="inlineStr">
        <is>
          <t>%</t>
        </is>
      </c>
    </row>
    <row r="27">
      <c r="A27" s="55" t="inlineStr">
        <is>
          <t>4. Suelos y erosión (F-DT-02)</t>
        </is>
      </c>
      <c r="B27" s="55" t="inlineStr">
        <is>
          <t>Patrón de cárcavas</t>
        </is>
      </c>
      <c r="C27" s="55" t="inlineStr">
        <is>
          <t>No aplica</t>
        </is>
      </c>
      <c r="D27" s="55" t="inlineStr"/>
    </row>
    <row r="28">
      <c r="A28" s="56" t="inlineStr">
        <is>
          <t>4. Suelos y erosión (F-DT-02)</t>
        </is>
      </c>
      <c r="B28" s="56" t="inlineStr">
        <is>
          <t>Socavamiento de cauce</t>
        </is>
      </c>
      <c r="C28" s="56" t="inlineStr">
        <is>
          <t>No</t>
        </is>
      </c>
      <c r="D28" s="56" t="inlineStr"/>
    </row>
    <row r="29">
      <c r="A29" s="55" t="inlineStr">
        <is>
          <t>5. Ecosistema, cobertura y flora (F-DT-03)</t>
        </is>
      </c>
      <c r="B29" s="55" t="inlineStr">
        <is>
          <t>Cobertura del dosel (%)</t>
        </is>
      </c>
      <c r="C29" s="55" t="inlineStr">
        <is>
          <t>10</t>
        </is>
      </c>
      <c r="D29" s="55" t="inlineStr">
        <is>
          <t>%</t>
        </is>
      </c>
    </row>
    <row r="30">
      <c r="A30" s="56" t="inlineStr">
        <is>
          <t>5. Ecosistema, cobertura y flora (F-DT-03)</t>
        </is>
      </c>
      <c r="B30" s="56" t="inlineStr">
        <is>
          <t>Cobertura arbustiva (%)</t>
        </is>
      </c>
      <c r="C30" s="56" t="inlineStr">
        <is>
          <t>25</t>
        </is>
      </c>
      <c r="D30" s="56" t="inlineStr">
        <is>
          <t>%</t>
        </is>
      </c>
    </row>
    <row r="31">
      <c r="A31" s="55" t="inlineStr">
        <is>
          <t>5. Ecosistema, cobertura y flora (F-DT-03)</t>
        </is>
      </c>
      <c r="B31" s="55" t="inlineStr">
        <is>
          <t>Cobertura herbácea (%)</t>
        </is>
      </c>
      <c r="C31" s="55" t="inlineStr">
        <is>
          <t>30</t>
        </is>
      </c>
      <c r="D31" s="55" t="inlineStr">
        <is>
          <t>%</t>
        </is>
      </c>
    </row>
    <row r="32">
      <c r="A32" s="56" t="inlineStr">
        <is>
          <t>5. Ecosistema, cobertura y flora (F-DT-03)</t>
        </is>
      </c>
      <c r="B32" s="56" t="inlineStr">
        <is>
          <t>Cobertura de hojarasca (%)</t>
        </is>
      </c>
      <c r="C32" s="56" t="inlineStr">
        <is>
          <t>15</t>
        </is>
      </c>
      <c r="D32" s="56" t="inlineStr">
        <is>
          <t>%</t>
        </is>
      </c>
    </row>
    <row r="33">
      <c r="A33" s="55" t="inlineStr">
        <is>
          <t>5. Ecosistema, cobertura y flora (F-DT-03)</t>
        </is>
      </c>
      <c r="B33" s="55" t="inlineStr">
        <is>
          <t>Altura del estrato dominante (m)</t>
        </is>
      </c>
      <c r="C33" s="55" t="inlineStr">
        <is>
          <t>2.5</t>
        </is>
      </c>
      <c r="D33" s="55" t="inlineStr">
        <is>
          <t>m</t>
        </is>
      </c>
    </row>
    <row r="34">
      <c r="A34" s="56" t="inlineStr">
        <is>
          <t>5. Ecosistema, cobertura y flora (F-DT-03)</t>
        </is>
      </c>
      <c r="B34" s="56" t="inlineStr">
        <is>
          <t>Altura máxima registrada (m)</t>
        </is>
      </c>
      <c r="C34" s="56" t="inlineStr">
        <is>
          <t>6</t>
        </is>
      </c>
      <c r="D34" s="56" t="inlineStr">
        <is>
          <t>m</t>
        </is>
      </c>
    </row>
    <row r="35">
      <c r="A35" s="55" t="inlineStr">
        <is>
          <t>5. Ecosistema, cobertura y flora (F-DT-03)</t>
        </is>
      </c>
      <c r="B35" s="55" t="inlineStr">
        <is>
          <t>DAP promedio (cm)</t>
        </is>
      </c>
      <c r="C35" s="55" t="inlineStr">
        <is>
          <t>15</t>
        </is>
      </c>
      <c r="D35" s="55" t="inlineStr">
        <is>
          <t>cm</t>
        </is>
      </c>
    </row>
    <row r="36">
      <c r="A36" s="56" t="inlineStr">
        <is>
          <t>5. Ecosistema, cobertura y flora (F-DT-03)</t>
        </is>
      </c>
      <c r="B36" s="56" t="inlineStr">
        <is>
          <t>Presencia de epífitas</t>
        </is>
      </c>
      <c r="C36" s="56" t="inlineStr">
        <is>
          <t>Escasa</t>
        </is>
      </c>
      <c r="D36" s="56" t="inlineStr"/>
    </row>
    <row r="37">
      <c r="A37" s="55" t="inlineStr">
        <is>
          <t>5. Ecosistema, cobertura y flora (F-DT-03)</t>
        </is>
      </c>
      <c r="B37" s="55" t="inlineStr">
        <is>
          <t>Fenología dominante</t>
        </is>
      </c>
      <c r="C37" s="55" t="inlineStr">
        <is>
          <t>Vegetativo</t>
        </is>
      </c>
      <c r="D37" s="55" t="inlineStr"/>
    </row>
    <row r="38">
      <c r="A38" s="56" t="inlineStr">
        <is>
          <t>5. Ecosistema, cobertura y flora (F-DT-03)</t>
        </is>
      </c>
      <c r="B38" s="56" t="inlineStr">
        <is>
          <t>Dimensiones de la parcela (m)</t>
        </is>
      </c>
      <c r="C38" s="56" t="inlineStr">
        <is>
          <t>20x20</t>
        </is>
      </c>
      <c r="D38" s="56" t="inlineStr"/>
    </row>
    <row r="39">
      <c r="A39" s="55" t="inlineStr">
        <is>
          <t>5. Ecosistema, cobertura y flora (F-DT-03)</t>
        </is>
      </c>
      <c r="B39" s="55" t="inlineStr">
        <is>
          <t>Pendiente de la parcela (%)</t>
        </is>
      </c>
      <c r="C39" s="55" t="inlineStr">
        <is>
          <t>62</t>
        </is>
      </c>
      <c r="D39" s="55" t="inlineStr">
        <is>
          <t>%</t>
        </is>
      </c>
    </row>
    <row r="40">
      <c r="A40" s="56" t="inlineStr">
        <is>
          <t>5. Ecosistema, cobertura y flora (F-DT-03)</t>
        </is>
      </c>
      <c r="B40" s="56" t="inlineStr">
        <is>
          <t>Especies clave georreferenciadas</t>
        </is>
      </c>
      <c r="C40" s="56" t="inlineStr">
        <is>
          <t>5</t>
        </is>
      </c>
      <c r="D40" s="56" t="inlineStr"/>
    </row>
    <row r="41">
      <c r="A41" s="55" t="inlineStr">
        <is>
          <t>6. Degradación, causas y urgencia (F-DT-04)</t>
        </is>
      </c>
      <c r="B41" s="55" t="inlineStr">
        <is>
          <t>Causas directas de la degradación</t>
        </is>
      </c>
      <c r="C41" s="55" t="inlineStr">
        <is>
          <t>Expansión agrícola en laderas empinadas sin obras de conservación de suelos, sumado al sobrepastoreo caprino.</t>
        </is>
      </c>
      <c r="D41" s="55" t="inlineStr"/>
    </row>
    <row r="42">
      <c r="A42" s="56" t="inlineStr">
        <is>
          <t>6. Degradación, causas y urgencia (F-DT-04)</t>
        </is>
      </c>
      <c r="B42" s="56" t="inlineStr">
        <is>
          <t>N.° de causas activas en la matriz F-DT-04</t>
        </is>
      </c>
      <c r="C42" s="56" t="inlineStr">
        <is>
          <t>5</t>
        </is>
      </c>
      <c r="D42" s="56" t="inlineStr"/>
    </row>
    <row r="43">
      <c r="A43" s="55" t="inlineStr">
        <is>
          <t>7. Hidrología, acceso y logística (F-DT-05)</t>
        </is>
      </c>
      <c r="B43" s="55" t="inlineStr">
        <is>
          <t>Escorrentía concentrada</t>
        </is>
      </c>
      <c r="C43" s="55" t="inlineStr">
        <is>
          <t>Sí</t>
        </is>
      </c>
      <c r="D43" s="55" t="inlineStr"/>
    </row>
    <row r="44">
      <c r="A44" s="56" t="inlineStr">
        <is>
          <t>7. Hidrología, acceso y logística (F-DT-05)</t>
        </is>
      </c>
      <c r="B44" s="56" t="inlineStr">
        <is>
          <t>Fuentes de agua inventariadas</t>
        </is>
      </c>
      <c r="C44" s="56" t="inlineStr">
        <is>
          <t>1</t>
        </is>
      </c>
      <c r="D44" s="56" t="inlineStr"/>
    </row>
    <row r="45">
      <c r="A45" s="55" t="inlineStr">
        <is>
          <t>7. Hidrología, acceso y logística (F-DT-05)</t>
        </is>
      </c>
      <c r="B45" s="55" t="inlineStr">
        <is>
          <t>Distancia a captación (m)</t>
        </is>
      </c>
      <c r="C45" s="55" t="inlineStr">
        <is>
          <t>2000</t>
        </is>
      </c>
      <c r="D45" s="55" t="inlineStr">
        <is>
          <t>m</t>
        </is>
      </c>
    </row>
    <row r="46">
      <c r="A46" s="56" t="inlineStr">
        <is>
          <t>7. Hidrología, acceso y logística (F-DT-05)</t>
        </is>
      </c>
      <c r="B46" s="56" t="inlineStr">
        <is>
          <t>Interferencia con riego</t>
        </is>
      </c>
      <c r="C46" s="56" t="inlineStr">
        <is>
          <t>No</t>
        </is>
      </c>
      <c r="D46" s="56" t="inlineStr"/>
    </row>
    <row r="47">
      <c r="A47" s="55" t="inlineStr">
        <is>
          <t>7. Hidrología, acceso y logística (F-DT-05)</t>
        </is>
      </c>
      <c r="B47" s="55" t="inlineStr">
        <is>
          <t>Vía principal de acceso</t>
        </is>
      </c>
      <c r="C47" s="55" t="inlineStr">
        <is>
          <t>Trocha carrozable</t>
        </is>
      </c>
      <c r="D47" s="55" t="inlineStr"/>
    </row>
    <row r="48">
      <c r="A48" s="56" t="inlineStr">
        <is>
          <t>7. Hidrología, acceso y logística (F-DT-05)</t>
        </is>
      </c>
      <c r="B48" s="56" t="inlineStr">
        <is>
          <t>Tipo de vía del tramo final</t>
        </is>
      </c>
      <c r="C48" s="56" t="inlineStr">
        <is>
          <t>Camino de herradura</t>
        </is>
      </c>
      <c r="D48" s="56" t="inlineStr"/>
    </row>
    <row r="49">
      <c r="A49" s="55" t="inlineStr">
        <is>
          <t>7. Hidrología, acceso y logística (F-DT-05)</t>
        </is>
      </c>
      <c r="B49" s="55" t="inlineStr">
        <is>
          <t>Transitabilidad en época seca</t>
        </is>
      </c>
      <c r="C49" s="55" t="inlineStr">
        <is>
          <t>Medio</t>
        </is>
      </c>
      <c r="D49" s="55" t="inlineStr"/>
    </row>
    <row r="50">
      <c r="A50" s="56" t="inlineStr">
        <is>
          <t>7. Hidrología, acceso y logística (F-DT-05)</t>
        </is>
      </c>
      <c r="B50" s="56" t="inlineStr">
        <is>
          <t>Transitabilidad en época lluviosa</t>
        </is>
      </c>
      <c r="C50" s="56" t="inlineStr">
        <is>
          <t>Bajo</t>
        </is>
      </c>
      <c r="D50" s="56" t="inlineStr"/>
    </row>
    <row r="51">
      <c r="A51" s="55" t="inlineStr">
        <is>
          <t>7. Hidrología, acceso y logística (F-DT-05)</t>
        </is>
      </c>
      <c r="B51" s="55" t="inlineStr">
        <is>
          <t>Tiempo a la capital distrital (min)</t>
        </is>
      </c>
      <c r="C51" s="55" t="inlineStr">
        <is>
          <t>45</t>
        </is>
      </c>
      <c r="D51" s="55" t="inlineStr">
        <is>
          <t>min</t>
        </is>
      </c>
    </row>
    <row r="52">
      <c r="A52" s="56" t="inlineStr">
        <is>
          <t>7. Hidrología, acceso y logística (F-DT-05)</t>
        </is>
      </c>
      <c r="B52" s="56" t="inlineStr">
        <is>
          <t>Señal celular</t>
        </is>
      </c>
      <c r="C52" s="56" t="inlineStr">
        <is>
          <t>Intermitente</t>
        </is>
      </c>
      <c r="D52" s="56" t="inlineStr"/>
    </row>
    <row r="53">
      <c r="A53" s="55" t="inlineStr">
        <is>
          <t>7. Hidrología, acceso y logística (F-DT-05)</t>
        </is>
      </c>
      <c r="B53" s="55" t="inlineStr">
        <is>
          <t>Operador con cobertura</t>
        </is>
      </c>
      <c r="C53" s="55" t="inlineStr">
        <is>
          <t>Claro</t>
        </is>
      </c>
      <c r="D53" s="55" t="inlineStr"/>
    </row>
    <row r="54">
      <c r="A54" s="56" t="inlineStr">
        <is>
          <t>7. Hidrología, acceso y logística (F-DT-05)</t>
        </is>
      </c>
      <c r="B54" s="56" t="inlineStr">
        <is>
          <t>Alojamiento disponible en la zona</t>
        </is>
      </c>
      <c r="C54" s="56" t="inlineStr">
        <is>
          <t>Sí</t>
        </is>
      </c>
      <c r="D54" s="56" t="inlineStr"/>
    </row>
    <row r="55">
      <c r="A55" s="55" t="inlineStr">
        <is>
          <t>7. Hidrología, acceso y logística (F-DT-05)</t>
        </is>
      </c>
      <c r="B55" s="55" t="inlineStr">
        <is>
          <t>Requiere coordinación con ronda / comunidad</t>
        </is>
      </c>
      <c r="C55" s="55" t="inlineStr">
        <is>
          <t>Sí</t>
        </is>
      </c>
      <c r="D55" s="55" t="inlineStr"/>
    </row>
    <row r="56">
      <c r="A56" s="56" t="inlineStr">
        <is>
          <t>7. Hidrología, acceso y logística (F-DT-05)</t>
        </is>
      </c>
      <c r="B56" s="56" t="inlineStr">
        <is>
          <t>Contacto local de coordinación</t>
        </is>
      </c>
      <c r="C56" s="56" t="inlineStr">
        <is>
          <t>Presidente de la CC.PP. Huarmaca (denominación literal del registro; por precisar si es centro poblado o comunidad campesina)</t>
        </is>
      </c>
      <c r="D56" s="56" t="inlineStr"/>
    </row>
    <row r="58">
      <c r="A58" s="53" t="inlineStr">
        <is>
          <t>C. PROCEDENCIA DE LOS HECHOS DECLARADOS</t>
        </is>
      </c>
    </row>
    <row r="59">
      <c r="A59" s="54" t="inlineStr">
        <is>
          <t>Fuente</t>
        </is>
      </c>
      <c r="B59" s="54" t="inlineStr">
        <is>
          <t>Hechos</t>
        </is>
      </c>
      <c r="C59" s="54" t="inlineStr">
        <is>
          <t>Alcance de la fuente</t>
        </is>
      </c>
    </row>
    <row r="60">
      <c r="A60" s="55" t="inlineStr">
        <is>
          <t>Dato de campo</t>
        </is>
      </c>
      <c r="B60" s="55" t="n">
        <v>74</v>
      </c>
      <c r="C60" s="55" t="inlineStr">
        <is>
          <t>Verificación en campo. Fichas F-DT-01 a F-DT-05 de la Plantilla DT Campo Check Validada V5, suscritas por el evaluador.</t>
        </is>
      </c>
    </row>
    <row r="61">
      <c r="A61" s="56" t="inlineStr">
        <is>
          <t>Gabinete (GIS / teledetección)</t>
        </is>
      </c>
      <c r="B61" s="56" t="n">
        <v>22</v>
      </c>
      <c r="C61" s="56" t="inlineStr">
        <is>
          <t>Gabinete. Estadística zonal sobre el MDE y compuestos Sentinel-2 (NDVI mediana 2025, MSAVI 2024 por clase DN).</t>
        </is>
      </c>
    </row>
    <row r="62">
      <c r="A62" s="55" t="inlineStr">
        <is>
          <t>Fuente oficial</t>
        </is>
      </c>
      <c r="B62" s="55" t="n">
        <v>14</v>
      </c>
      <c r="C62" s="55" t="inlineStr">
        <is>
          <t>Fuente oficial. Catálogo maestro Bloques V5/V6, división política INEI y codificación de microcuencas de la ANA.</t>
        </is>
      </c>
    </row>
    <row r="64">
      <c r="A64" s="53" t="inlineStr">
        <is>
          <t>D. ESTADO DEL CRUCE ENTRE FUENTES</t>
        </is>
      </c>
    </row>
    <row r="65">
      <c r="A65" s="54" t="inlineStr">
        <is>
          <t>Estado</t>
        </is>
      </c>
      <c r="B65" s="54" t="inlineStr">
        <is>
          <t>Hechos</t>
        </is>
      </c>
      <c r="C65" s="54" t="inlineStr">
        <is>
          <t>Significado</t>
        </is>
      </c>
    </row>
    <row r="66">
      <c r="A66" s="55" t="inlineStr">
        <is>
          <t>CONFORME</t>
        </is>
      </c>
      <c r="B66" s="55" t="n">
        <v>109</v>
      </c>
      <c r="C66" s="55" t="inlineStr">
        <is>
          <t>Las dos fuentes declaran lo mismo, o solo la fuente que manda sobre el hecho lo declara.</t>
        </is>
      </c>
    </row>
    <row r="67">
      <c r="A67" s="56" t="inlineStr">
        <is>
          <t>COMPLEMENTADO</t>
        </is>
      </c>
      <c r="B67" s="56" t="n">
        <v>0</v>
      </c>
      <c r="C67" s="56" t="inlineStr">
        <is>
          <t>Solo una de las fuentes lo declara y se adopta ese valor.</t>
        </is>
      </c>
    </row>
    <row r="68">
      <c r="A68" s="55" t="inlineStr">
        <is>
          <t>ACTUALIZADO</t>
        </is>
      </c>
      <c r="B68" s="55" t="n">
        <v>1</v>
      </c>
      <c r="C68" s="55" t="inlineStr">
        <is>
          <t>La verificación de campo vigente corrige lo que traía el libro de resumen.</t>
        </is>
      </c>
    </row>
    <row r="69">
      <c r="A69" s="56" t="inlineStr">
        <is>
          <t>DISCREPANTE</t>
        </is>
      </c>
      <c r="B69" s="56" t="n">
        <v>0</v>
      </c>
      <c r="C69" s="56" t="inlineStr">
        <is>
          <t>Las fuentes se contradicen; prevalece la que manda sobre el hecho y la otra queda declarada.</t>
        </is>
      </c>
    </row>
    <row r="70">
      <c r="A70" s="55" t="inlineStr">
        <is>
          <t>PENDIENTE</t>
        </is>
      </c>
      <c r="B70" s="55" t="n">
        <v>4</v>
      </c>
      <c r="C70"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51</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Faique / algarrobo espinoso</t>
        </is>
      </c>
      <c r="C13" s="55" t="inlineStr">
        <is>
          <t>Vachellia macracantha (= Acacia macracantha)</t>
        </is>
      </c>
      <c r="D13" s="55" t="inlineStr">
        <is>
          <t>Fabaceae</t>
        </is>
      </c>
      <c r="E13" s="55" t="inlineStr">
        <is>
          <t>Arbustivo alto (1.5-4 m)</t>
        </is>
      </c>
      <c r="F13" s="55" t="inlineStr">
        <is>
          <t>Nativa</t>
        </is>
      </c>
      <c r="G13" s="55" t="inlineStr">
        <is>
          <t>Frecuente (5-20%)</t>
        </is>
      </c>
      <c r="H13" s="60" t="n">
        <v>8</v>
      </c>
      <c r="I13" s="60" t="n">
        <v>3</v>
      </c>
    </row>
    <row r="14">
      <c r="A14" s="56" t="inlineStr">
        <is>
          <t>2</t>
        </is>
      </c>
      <c r="B14" s="56" t="inlineStr">
        <is>
          <t>Chilca</t>
        </is>
      </c>
      <c r="C14" s="56" t="inlineStr">
        <is>
          <t>Baccharis spp.</t>
        </is>
      </c>
      <c r="D14" s="56" t="inlineStr">
        <is>
          <t>Asteraceae</t>
        </is>
      </c>
      <c r="E14" s="56" t="inlineStr">
        <is>
          <t>Arbustivo alto (1.5-4 m)</t>
        </is>
      </c>
      <c r="F14" s="56" t="inlineStr">
        <is>
          <t>Nativa</t>
        </is>
      </c>
      <c r="G14" s="56" t="inlineStr">
        <is>
          <t>Frecuente (5-20%)</t>
        </is>
      </c>
      <c r="H14" s="56" t="n"/>
      <c r="I14" s="56" t="n"/>
    </row>
    <row r="15">
      <c r="A15" s="55" t="inlineStr">
        <is>
          <t>3</t>
        </is>
      </c>
      <c r="B15" s="55" t="inlineStr">
        <is>
          <t>Agave / penca</t>
        </is>
      </c>
      <c r="C15" s="55" t="inlineStr">
        <is>
          <t>Agave americana</t>
        </is>
      </c>
      <c r="D15" s="55" t="inlineStr">
        <is>
          <t>Asparagaceae</t>
        </is>
      </c>
      <c r="E15" s="55" t="inlineStr">
        <is>
          <t>Arbustivo alto (1.5-4 m)</t>
        </is>
      </c>
      <c r="F15" s="55" t="inlineStr">
        <is>
          <t>Introducida</t>
        </is>
      </c>
      <c r="G15" s="55" t="inlineStr">
        <is>
          <t>Ocasional (1-5%)</t>
        </is>
      </c>
      <c r="H15" s="55" t="n"/>
      <c r="I15" s="55" t="n"/>
    </row>
    <row r="16">
      <c r="A16" s="56" t="inlineStr">
        <is>
          <t>4</t>
        </is>
      </c>
      <c r="B16" s="56" t="inlineStr">
        <is>
          <t>Eucalipto</t>
        </is>
      </c>
      <c r="C16" s="56" t="inlineStr">
        <is>
          <t>Eucalyptus globulus</t>
        </is>
      </c>
      <c r="D16" s="56" t="inlineStr">
        <is>
          <t>Myrtaceae</t>
        </is>
      </c>
      <c r="E16" s="56" t="inlineStr">
        <is>
          <t>Arbóreo superior (&gt;15 m)</t>
        </is>
      </c>
      <c r="F16" s="56" t="inlineStr">
        <is>
          <t>Introducida</t>
        </is>
      </c>
      <c r="G16" s="56" t="inlineStr">
        <is>
          <t>Ocasional (1-5%)</t>
        </is>
      </c>
      <c r="H16" s="56" t="n"/>
      <c r="I16" s="56" t="n"/>
    </row>
    <row r="17">
      <c r="A17" s="55" t="inlineStr">
        <is>
          <t>5</t>
        </is>
      </c>
      <c r="B17" s="55" t="inlineStr">
        <is>
          <t>Ciprés (por determinar)</t>
        </is>
      </c>
      <c r="C17" s="55" t="inlineStr">
        <is>
          <t>Cupressus sp.</t>
        </is>
      </c>
      <c r="D17" s="55" t="inlineStr">
        <is>
          <t>Cupressaceae</t>
        </is>
      </c>
      <c r="E17" s="55" t="inlineStr">
        <is>
          <t>Arbóreo medio (8-15 m)</t>
        </is>
      </c>
      <c r="F17" s="55" t="inlineStr">
        <is>
          <t>Introducida</t>
        </is>
      </c>
      <c r="G17" s="55" t="inlineStr">
        <is>
          <t>Rara (&lt;1%)</t>
        </is>
      </c>
      <c r="H17" s="55" t="n"/>
      <c r="I17" s="55" t="n"/>
    </row>
    <row r="18">
      <c r="A18" s="56" t="inlineStr">
        <is>
          <t>6</t>
        </is>
      </c>
      <c r="B18" s="56" t="inlineStr">
        <is>
          <t>Gramíneas / pastos naturales</t>
        </is>
      </c>
      <c r="C18" s="56" t="inlineStr">
        <is>
          <t>Paspalum sp. y otras Poaceae por determinar</t>
        </is>
      </c>
      <c r="D18" s="56" t="inlineStr">
        <is>
          <t>Poaceae</t>
        </is>
      </c>
      <c r="E18" s="56" t="inlineStr">
        <is>
          <t>Herbáceo (&lt;0.5 m)</t>
        </is>
      </c>
      <c r="F18" s="56" t="inlineStr">
        <is>
          <t>Nativa</t>
        </is>
      </c>
      <c r="G18" s="56" t="inlineStr">
        <is>
          <t>Abundante (20-40%)</t>
        </is>
      </c>
      <c r="H18" s="56" t="n"/>
      <c r="I18" s="61" t="n">
        <v>0.3</v>
      </c>
    </row>
    <row r="19">
      <c r="A19" s="55" t="inlineStr">
        <is>
          <t>7</t>
        </is>
      </c>
      <c r="B19" s="55" t="inlineStr">
        <is>
          <t>Arbusto de flor blanca</t>
        </is>
      </c>
      <c r="C19" s="55" t="inlineStr">
        <is>
          <t>Asteraceae por determinar</t>
        </is>
      </c>
      <c r="D19" s="55" t="inlineStr">
        <is>
          <t>Asteraceae</t>
        </is>
      </c>
      <c r="E19" s="55" t="inlineStr">
        <is>
          <t>Arbustivo alto (1.5-4 m)</t>
        </is>
      </c>
      <c r="F19" s="55" t="inlineStr">
        <is>
          <t>Nativa</t>
        </is>
      </c>
      <c r="G19" s="55" t="inlineStr">
        <is>
          <t>Frecuente (5-20%)</t>
        </is>
      </c>
      <c r="H19" s="55" t="n"/>
      <c r="I19" s="55" t="n"/>
    </row>
    <row r="20">
      <c r="A20" s="56" t="inlineStr">
        <is>
          <t>8</t>
        </is>
      </c>
      <c r="B20" s="56" t="inlineStr">
        <is>
          <t>Arbusto perennifolio de hoja ancha</t>
        </is>
      </c>
      <c r="C20" s="56" t="inlineStr">
        <is>
          <t>Por determinar</t>
        </is>
      </c>
      <c r="D20" s="56" t="inlineStr">
        <is>
          <t>Por determinar</t>
        </is>
      </c>
      <c r="E20" s="56" t="inlineStr">
        <is>
          <t>Arbustivo alto (1.5-4 m)</t>
        </is>
      </c>
      <c r="F20" s="56" t="inlineStr">
        <is>
          <t>Nativa</t>
        </is>
      </c>
      <c r="G20" s="56" t="inlineStr">
        <is>
          <t>Frecuente (5-20%)</t>
        </is>
      </c>
      <c r="H20" s="56" t="n"/>
      <c r="I20" s="56" t="n"/>
    </row>
    <row r="21">
      <c r="A21" s="55" t="inlineStr">
        <is>
          <t>9</t>
        </is>
      </c>
      <c r="B21" s="55" t="inlineStr">
        <is>
          <t>Maíz (cultivo)</t>
        </is>
      </c>
      <c r="C21" s="55" t="inlineStr">
        <is>
          <t>Zea mays</t>
        </is>
      </c>
      <c r="D21" s="55" t="inlineStr">
        <is>
          <t>Poaceae</t>
        </is>
      </c>
      <c r="E21" s="55" t="inlineStr">
        <is>
          <t>Herbáceo (&lt;0.5 m)</t>
        </is>
      </c>
      <c r="F21" s="55" t="inlineStr">
        <is>
          <t>Introducida</t>
        </is>
      </c>
      <c r="G21" s="55" t="inlineStr">
        <is>
          <t>Frecuente (5-20%)</t>
        </is>
      </c>
      <c r="H21" s="55" t="n"/>
      <c r="I21" s="55" t="n"/>
    </row>
    <row r="22">
      <c r="A22" s="56" t="inlineStr">
        <is>
          <t>10</t>
        </is>
      </c>
      <c r="B22" s="56" t="inlineStr">
        <is>
          <t>Plátano (cultivo)</t>
        </is>
      </c>
      <c r="C22" s="56" t="inlineStr">
        <is>
          <t>Musa × paradisiaca</t>
        </is>
      </c>
      <c r="D22" s="56" t="inlineStr">
        <is>
          <t>Musaceae</t>
        </is>
      </c>
      <c r="E22" s="56" t="inlineStr">
        <is>
          <t>Arbóreo bajo (4-8 m)</t>
        </is>
      </c>
      <c r="F22" s="56" t="inlineStr">
        <is>
          <t>Introducida</t>
        </is>
      </c>
      <c r="G22" s="56" t="inlineStr">
        <is>
          <t>Ocasional (1-5%)</t>
        </is>
      </c>
      <c r="H22" s="56" t="n"/>
      <c r="I22" s="56" t="n"/>
    </row>
    <row r="23">
      <c r="A23" s="55" t="inlineStr">
        <is>
          <t>11</t>
        </is>
      </c>
      <c r="B23" s="55" t="inlineStr">
        <is>
          <t>Pastos cultivados</t>
        </is>
      </c>
      <c r="C23" s="55" t="inlineStr">
        <is>
          <t>Por determinar</t>
        </is>
      </c>
      <c r="D23" s="55" t="inlineStr">
        <is>
          <t>Poaceae</t>
        </is>
      </c>
      <c r="E23" s="55" t="inlineStr">
        <is>
          <t>Herbáceo (&lt;0.5 m)</t>
        </is>
      </c>
      <c r="F23" s="55" t="inlineStr">
        <is>
          <t>Introducida</t>
        </is>
      </c>
      <c r="G23" s="55" t="inlineStr">
        <is>
          <t>Ocasional (1-5%)</t>
        </is>
      </c>
      <c r="H23" s="55" t="n"/>
      <c r="I23" s="55" t="n"/>
    </row>
    <row r="25">
      <c r="A25" s="53" t="inlineStr">
        <is>
          <t>F-DT-03 · ESPECIES CLAVE GEORREFERENCIADAS</t>
        </is>
      </c>
    </row>
    <row r="26">
      <c r="A26" s="54" t="inlineStr">
        <is>
          <t>N.o</t>
        </is>
      </c>
      <c r="B26" s="54" t="inlineStr">
        <is>
          <t>Especie</t>
        </is>
      </c>
      <c r="C26" s="54" t="inlineStr">
        <is>
          <t>Categoría</t>
        </is>
      </c>
      <c r="D26" s="54" t="inlineStr">
        <is>
          <t>Estado UICN</t>
        </is>
      </c>
      <c r="E26" s="54" t="inlineStr">
        <is>
          <t>UTM ESTE</t>
        </is>
      </c>
      <c r="F26" s="54" t="inlineStr">
        <is>
          <t>UTM NORTE</t>
        </is>
      </c>
      <c r="G26" s="54" t="inlineStr">
        <is>
          <t>N.° individuos</t>
        </is>
      </c>
      <c r="H26" s="54" t="inlineStr">
        <is>
          <t>Observación</t>
        </is>
      </c>
    </row>
    <row r="27">
      <c r="A27" s="55" t="inlineStr">
        <is>
          <t>1</t>
        </is>
      </c>
      <c r="B27" s="55" t="inlineStr">
        <is>
          <t>Vachellia macracantha (faique)</t>
        </is>
      </c>
      <c r="C27" s="55" t="inlineStr">
        <is>
          <t>Indicadora de perturbación</t>
        </is>
      </c>
      <c r="D27" s="55" t="inlineStr">
        <is>
          <t>No aplica</t>
        </is>
      </c>
      <c r="E27" s="55" t="n"/>
      <c r="F27" s="55" t="n"/>
      <c r="G27" s="55" t="n"/>
      <c r="H27" s="55" t="inlineStr">
        <is>
          <t>Elemento arbóreo dominante en laderas de fuerte insolación. Confirma la adscripción al bosque estacionalmente seco y delimita el sector de mayor déficit hídrico edáfico. Registrada en campo en el Bloque 51</t>
        </is>
      </c>
    </row>
    <row r="28">
      <c r="A28" s="56" t="inlineStr">
        <is>
          <t>2</t>
        </is>
      </c>
      <c r="B28" s="56" t="inlineStr">
        <is>
          <t>Baccharis spp. (chilca)</t>
        </is>
      </c>
      <c r="C28" s="56" t="inlineStr">
        <is>
          <t>Indicadora de perturbación</t>
        </is>
      </c>
      <c r="D28" s="56" t="inlineStr">
        <is>
          <t>No aplica</t>
        </is>
      </c>
      <c r="E28" s="56" t="n"/>
      <c r="F28" s="56" t="n"/>
      <c r="G28" s="56" t="n"/>
      <c r="H28" s="56" t="inlineStr">
        <is>
          <t>Colonizadora espontánea de taludes y bordes alterados. Acredita capacidad de recolonización natural de las superficies removidas y es candidata directa para la estabilización biológica de taludes. Analogía B76</t>
        </is>
      </c>
    </row>
    <row r="29">
      <c r="A29" s="55" t="inlineStr">
        <is>
          <t>3</t>
        </is>
      </c>
      <c r="B29" s="55" t="inlineStr">
        <is>
          <t>Agave americana (agave / penca)</t>
        </is>
      </c>
      <c r="C29" s="55" t="inlineStr">
        <is>
          <t>Indicadora de perturbación</t>
        </is>
      </c>
      <c r="D29" s="55" t="inlineStr">
        <is>
          <t>No aplica</t>
        </is>
      </c>
      <c r="E29" s="55" t="n"/>
      <c r="F29" s="55" t="n"/>
      <c r="G29" s="55" t="n"/>
      <c r="H29" s="55" t="inlineStr">
        <is>
          <t>Asociada a linderos y suelos someros degradados; ya empleada localmente como cerco vivo, lo que facilita su adopción en las medidas de barreras vivas. Analogía B76</t>
        </is>
      </c>
    </row>
    <row r="30">
      <c r="A30" s="56" t="inlineStr">
        <is>
          <t>4</t>
        </is>
      </c>
      <c r="B30" s="56" t="inlineStr">
        <is>
          <t>Eucalyptus globulus / Cupressus sp.</t>
        </is>
      </c>
      <c r="C30" s="56" t="inlineStr">
        <is>
          <t>Indicadora de perturbación</t>
        </is>
      </c>
      <c r="D30" s="56" t="inlineStr">
        <is>
          <t>No aplica</t>
        </is>
      </c>
      <c r="E30" s="56" t="n"/>
      <c r="F30" s="56" t="n"/>
      <c r="G30" s="56" t="n"/>
      <c r="H30" s="56" t="inlineStr">
        <is>
          <t>Especies introducidas de alta demanda hídrica en un bloque sin aporte de neblina: su uso en la intervención debe descartarse. Analogía B76</t>
        </is>
      </c>
    </row>
    <row r="31">
      <c r="A31" s="55" t="inlineStr">
        <is>
          <t>5</t>
        </is>
      </c>
      <c r="B31" s="55" t="inlineStr">
        <is>
          <t>Poaceae (pastizal natural en estiaje)</t>
        </is>
      </c>
      <c r="C31" s="55" t="inlineStr">
        <is>
          <t>Indicadora de perturbación</t>
        </is>
      </c>
      <c r="D31" s="55" t="inlineStr">
        <is>
          <t>No aplica</t>
        </is>
      </c>
      <c r="E31" s="55" t="n"/>
      <c r="F31" s="55" t="n"/>
      <c r="G31" s="55" t="n"/>
      <c r="H31" s="55" t="inlineStr">
        <is>
          <t>Cobertura herbácea seca con terracillas de pisoteo caprino. Sustenta la calificación de sobrepastoreo y explica la baja regeneración natural registrada. Analogía B76</t>
        </is>
      </c>
    </row>
    <row r="33">
      <c r="A33" s="53" t="inlineStr">
        <is>
          <t>F-DT-04 · MATRIZ DE CAUSAS DE DEGRADACIÓN</t>
        </is>
      </c>
    </row>
    <row r="34">
      <c r="A34" s="54" t="inlineStr">
        <is>
          <t>N.o</t>
        </is>
      </c>
      <c r="B34" s="54" t="inlineStr">
        <is>
          <t>Causa</t>
        </is>
      </c>
      <c r="C34" s="54" t="inlineStr">
        <is>
          <t>Presencia</t>
        </is>
      </c>
      <c r="D34" s="54" t="inlineStr">
        <is>
          <t>Intensidad</t>
        </is>
      </c>
      <c r="E34" s="54" t="inlineStr">
        <is>
          <t>Extensión</t>
        </is>
      </c>
      <c r="F34" s="54" t="inlineStr">
        <is>
          <t>Antigüedad</t>
        </is>
      </c>
      <c r="G34" s="54" t="inlineStr">
        <is>
          <t>Evidencia</t>
        </is>
      </c>
    </row>
    <row r="35">
      <c r="A35" s="55" t="inlineStr">
        <is>
          <t>1</t>
        </is>
      </c>
      <c r="B35" s="55" t="inlineStr">
        <is>
          <t>Sobrepastoreo (caprino/vacuno)</t>
        </is>
      </c>
      <c r="C35" s="55" t="inlineStr">
        <is>
          <t>Sí</t>
        </is>
      </c>
      <c r="D35" s="55" t="inlineStr">
        <is>
          <t>Moderada</t>
        </is>
      </c>
      <c r="E35" s="55" t="inlineStr">
        <is>
          <t>30</t>
        </is>
      </c>
      <c r="F35" s="55" t="inlineStr">
        <is>
          <t>10</t>
        </is>
      </c>
      <c r="G35" s="55" t="inlineStr">
        <is>
          <t>Pisoteo y compactación en linderos de parcelas.</t>
        </is>
      </c>
    </row>
    <row r="36">
      <c r="A36" s="56" t="inlineStr">
        <is>
          <t>2</t>
        </is>
      </c>
      <c r="B36" s="56" t="inlineStr">
        <is>
          <t>Tala para leña</t>
        </is>
      </c>
      <c r="C36" s="56" t="inlineStr">
        <is>
          <t>Sí</t>
        </is>
      </c>
      <c r="D36" s="56" t="inlineStr">
        <is>
          <t>Ligera</t>
        </is>
      </c>
      <c r="E36" s="56" t="inlineStr">
        <is>
          <t>10</t>
        </is>
      </c>
      <c r="F36" s="56" t="inlineStr">
        <is>
          <t>5</t>
        </is>
      </c>
      <c r="G36" s="56" t="inlineStr">
        <is>
          <t>Ramas cortadas y tocones recientes en bordes.</t>
        </is>
      </c>
    </row>
    <row r="37">
      <c r="A37" s="55" t="inlineStr">
        <is>
          <t>3</t>
        </is>
      </c>
      <c r="B37" s="55" t="inlineStr">
        <is>
          <t>Tala para carbón</t>
        </is>
      </c>
      <c r="C37" s="55" t="inlineStr">
        <is>
          <t>No</t>
        </is>
      </c>
      <c r="D37" s="55" t="inlineStr">
        <is>
          <t>Nula</t>
        </is>
      </c>
      <c r="E37" s="55" t="inlineStr">
        <is>
          <t>0</t>
        </is>
      </c>
      <c r="F37" s="55" t="inlineStr"/>
      <c r="G37" s="55" t="inlineStr"/>
    </row>
    <row r="38">
      <c r="A38" s="56" t="inlineStr">
        <is>
          <t>4</t>
        </is>
      </c>
      <c r="B38" s="56" t="inlineStr">
        <is>
          <t>Tala para madera</t>
        </is>
      </c>
      <c r="C38" s="56" t="inlineStr">
        <is>
          <t>No</t>
        </is>
      </c>
      <c r="D38" s="56" t="inlineStr">
        <is>
          <t>Nula</t>
        </is>
      </c>
      <c r="E38" s="56" t="inlineStr">
        <is>
          <t>0</t>
        </is>
      </c>
      <c r="F38" s="56" t="inlineStr"/>
      <c r="G38" s="56" t="inlineStr"/>
    </row>
    <row r="39">
      <c r="A39" s="55" t="inlineStr">
        <is>
          <t>5</t>
        </is>
      </c>
      <c r="B39" s="55" t="inlineStr">
        <is>
          <t>Quema (renovación de pastos)</t>
        </is>
      </c>
      <c r="C39" s="55" t="inlineStr">
        <is>
          <t>Sí</t>
        </is>
      </c>
      <c r="D39" s="55" t="inlineStr">
        <is>
          <t>Ligera</t>
        </is>
      </c>
      <c r="E39" s="55" t="inlineStr">
        <is>
          <t>15</t>
        </is>
      </c>
      <c r="F39" s="55" t="inlineStr">
        <is>
          <t>5</t>
        </is>
      </c>
      <c r="G39" s="55" t="inlineStr">
        <is>
          <t>Restos de carbón y ceniza en bordes de matorral.</t>
        </is>
      </c>
    </row>
    <row r="40">
      <c r="A40" s="56" t="inlineStr">
        <is>
          <t>6</t>
        </is>
      </c>
      <c r="B40" s="56" t="inlineStr">
        <is>
          <t>Quema accidental / Incendio</t>
        </is>
      </c>
      <c r="C40" s="56" t="inlineStr">
        <is>
          <t>No</t>
        </is>
      </c>
      <c r="D40" s="56" t="inlineStr">
        <is>
          <t>Nula</t>
        </is>
      </c>
      <c r="E40" s="56" t="inlineStr">
        <is>
          <t>0</t>
        </is>
      </c>
      <c r="F40" s="56" t="inlineStr"/>
      <c r="G40" s="56" t="inlineStr"/>
    </row>
    <row r="41">
      <c r="A41" s="55" t="inlineStr">
        <is>
          <t>7</t>
        </is>
      </c>
      <c r="B41" s="55" t="inlineStr">
        <is>
          <t>Cambio de uso a agricultura</t>
        </is>
      </c>
      <c r="C41" s="55" t="inlineStr">
        <is>
          <t>Sí</t>
        </is>
      </c>
      <c r="D41" s="55" t="inlineStr">
        <is>
          <t>Fuerte</t>
        </is>
      </c>
      <c r="E41" s="55" t="inlineStr">
        <is>
          <t>40</t>
        </is>
      </c>
      <c r="F41" s="55" t="inlineStr">
        <is>
          <t>20</t>
        </is>
      </c>
      <c r="G41" s="55" t="inlineStr">
        <is>
          <t>Terrazas rudimentarias y surcos en pendiente.</t>
        </is>
      </c>
    </row>
    <row r="42">
      <c r="A42" s="56" t="inlineStr">
        <is>
          <t>8</t>
        </is>
      </c>
      <c r="B42" s="56" t="inlineStr">
        <is>
          <t>Cambio de uso a pastoreo</t>
        </is>
      </c>
      <c r="C42" s="56" t="inlineStr">
        <is>
          <t>No</t>
        </is>
      </c>
      <c r="D42" s="56" t="inlineStr">
        <is>
          <t>Nula</t>
        </is>
      </c>
      <c r="E42" s="56" t="inlineStr">
        <is>
          <t>0</t>
        </is>
      </c>
      <c r="F42" s="56" t="inlineStr"/>
      <c r="G42" s="56" t="inlineStr"/>
    </row>
    <row r="43">
      <c r="A43" s="55" t="inlineStr">
        <is>
          <t>9</t>
        </is>
      </c>
      <c r="B43" s="55" t="inlineStr">
        <is>
          <t>Expansión urbana / vial</t>
        </is>
      </c>
      <c r="C43" s="55" t="inlineStr">
        <is>
          <t>No</t>
        </is>
      </c>
      <c r="D43" s="55" t="inlineStr">
        <is>
          <t>Nula</t>
        </is>
      </c>
      <c r="E43" s="55" t="inlineStr">
        <is>
          <t>0</t>
        </is>
      </c>
      <c r="F43" s="55" t="inlineStr"/>
      <c r="G43" s="55" t="inlineStr"/>
    </row>
    <row r="44">
      <c r="A44" s="56" t="inlineStr">
        <is>
          <t>10</t>
        </is>
      </c>
      <c r="B44" s="56" t="inlineStr">
        <is>
          <t>Minería informal</t>
        </is>
      </c>
      <c r="C44" s="56" t="inlineStr">
        <is>
          <t>No</t>
        </is>
      </c>
      <c r="D44" s="56" t="inlineStr">
        <is>
          <t>Nula</t>
        </is>
      </c>
      <c r="E44" s="56" t="inlineStr">
        <is>
          <t>0</t>
        </is>
      </c>
      <c r="F44" s="56" t="inlineStr"/>
      <c r="G44" s="56" t="inlineStr"/>
    </row>
    <row r="45">
      <c r="A45" s="55" t="inlineStr">
        <is>
          <t>11</t>
        </is>
      </c>
      <c r="B45" s="55" t="inlineStr">
        <is>
          <t>Extracción de áridos (cauces)</t>
        </is>
      </c>
      <c r="C45" s="55" t="inlineStr">
        <is>
          <t>No</t>
        </is>
      </c>
      <c r="D45" s="55" t="inlineStr">
        <is>
          <t>Nula</t>
        </is>
      </c>
      <c r="E45" s="55" t="inlineStr">
        <is>
          <t>0</t>
        </is>
      </c>
      <c r="F45" s="55" t="inlineStr"/>
      <c r="G45" s="55" t="inlineStr"/>
    </row>
    <row r="46">
      <c r="A46" s="56" t="inlineStr">
        <is>
          <t>12</t>
        </is>
      </c>
      <c r="B46" s="56" t="inlineStr">
        <is>
          <t>Especies invasoras</t>
        </is>
      </c>
      <c r="C46" s="56" t="inlineStr">
        <is>
          <t>No</t>
        </is>
      </c>
      <c r="D46" s="56" t="inlineStr">
        <is>
          <t>Nula</t>
        </is>
      </c>
      <c r="E46" s="56" t="inlineStr">
        <is>
          <t>0</t>
        </is>
      </c>
      <c r="F46" s="56" t="inlineStr"/>
      <c r="G46" s="56" t="inlineStr"/>
    </row>
    <row r="47">
      <c r="A47" s="55" t="inlineStr">
        <is>
          <t>13</t>
        </is>
      </c>
      <c r="B47" s="55" t="inlineStr">
        <is>
          <t>Erosión natural severa</t>
        </is>
      </c>
      <c r="C47" s="55" t="inlineStr">
        <is>
          <t>No</t>
        </is>
      </c>
      <c r="D47" s="55" t="inlineStr">
        <is>
          <t>Nula</t>
        </is>
      </c>
      <c r="E47" s="55" t="inlineStr">
        <is>
          <t>0</t>
        </is>
      </c>
      <c r="F47" s="55" t="inlineStr"/>
      <c r="G47" s="55" t="inlineStr"/>
    </row>
    <row r="48">
      <c r="A48" s="56" t="inlineStr">
        <is>
          <t>14</t>
        </is>
      </c>
      <c r="B48" s="56" t="inlineStr">
        <is>
          <t>Sequía prolongada / CC</t>
        </is>
      </c>
      <c r="C48" s="56" t="inlineStr">
        <is>
          <t>Sí</t>
        </is>
      </c>
      <c r="D48" s="56" t="inlineStr">
        <is>
          <t>Moderada</t>
        </is>
      </c>
      <c r="E48" s="56" t="inlineStr">
        <is>
          <t>100</t>
        </is>
      </c>
      <c r="F48" s="56" t="inlineStr">
        <is>
          <t>3</t>
        </is>
      </c>
      <c r="G48" s="56" t="inlineStr">
        <is>
          <t>Estrés hídrico visible en vegetación arbustiva.</t>
        </is>
      </c>
    </row>
    <row r="49">
      <c r="A49" s="55" t="inlineStr">
        <is>
          <t>15</t>
        </is>
      </c>
      <c r="B49" s="55" t="inlineStr">
        <is>
          <t>Plagas o enfermedades forestales</t>
        </is>
      </c>
      <c r="C49" s="55" t="inlineStr">
        <is>
          <t>No</t>
        </is>
      </c>
      <c r="D49" s="55" t="inlineStr">
        <is>
          <t>Nula</t>
        </is>
      </c>
      <c r="E49" s="55" t="inlineStr">
        <is>
          <t>0</t>
        </is>
      </c>
      <c r="F49" s="55" t="inlineStr"/>
      <c r="G49" s="55" t="inlineStr"/>
    </row>
    <row r="50">
      <c r="A50" s="56" t="inlineStr">
        <is>
          <t>16</t>
        </is>
      </c>
      <c r="B50" s="56" t="inlineStr">
        <is>
          <t>Otro</t>
        </is>
      </c>
      <c r="C50" s="56" t="inlineStr">
        <is>
          <t>No</t>
        </is>
      </c>
      <c r="D50" s="56" t="inlineStr">
        <is>
          <t>Nula</t>
        </is>
      </c>
      <c r="E50" s="56" t="inlineStr">
        <is>
          <t>0</t>
        </is>
      </c>
      <c r="F50" s="56" t="inlineStr"/>
      <c r="G50" s="56" t="inlineStr"/>
    </row>
    <row r="52">
      <c r="A52" s="53" t="inlineStr">
        <is>
          <t>F-DT-04 · INDICADORES CUANTITATIVOS</t>
        </is>
      </c>
    </row>
    <row r="53">
      <c r="A53" s="54" t="inlineStr">
        <is>
          <t>N.o</t>
        </is>
      </c>
      <c r="B53" s="54" t="inlineStr">
        <is>
          <t>Indicador</t>
        </is>
      </c>
      <c r="C53" s="54" t="inlineStr">
        <is>
          <t>Unidad</t>
        </is>
      </c>
      <c r="D53" s="54" t="inlineStr">
        <is>
          <t>Valor</t>
        </is>
      </c>
      <c r="E53" s="54" t="inlineStr">
        <is>
          <t>Fuente</t>
        </is>
      </c>
      <c r="F53" s="54" t="inlineStr">
        <is>
          <t>Umbral</t>
        </is>
      </c>
      <c r="G53" s="54" t="inlineStr">
        <is>
          <t>Nivel</t>
        </is>
      </c>
    </row>
    <row r="54">
      <c r="A54" s="55" t="inlineStr">
        <is>
          <t>1</t>
        </is>
      </c>
      <c r="B54" s="55" t="inlineStr">
        <is>
          <t>Cobertura vegetal total</t>
        </is>
      </c>
      <c r="C54" s="55" t="inlineStr">
        <is>
          <t>%</t>
        </is>
      </c>
      <c r="D54" s="55" t="inlineStr">
        <is>
          <t>65</t>
        </is>
      </c>
      <c r="E54" s="55" t="inlineStr">
        <is>
          <t>Estimación visual</t>
        </is>
      </c>
      <c r="F54" s="55" t="inlineStr">
        <is>
          <t>&gt;60% bueno; 30-60% medio; &lt;30% malo</t>
        </is>
      </c>
      <c r="G54" s="55" t="inlineStr">
        <is>
          <t>Medio</t>
        </is>
      </c>
    </row>
    <row r="55">
      <c r="A55" s="56" t="inlineStr">
        <is>
          <t>2</t>
        </is>
      </c>
      <c r="B55" s="56" t="inlineStr">
        <is>
          <t>Porcentaje de suelo desnudo</t>
        </is>
      </c>
      <c r="C55" s="56" t="inlineStr">
        <is>
          <t>%</t>
        </is>
      </c>
      <c r="D55" s="56" t="inlineStr">
        <is>
          <t>20</t>
        </is>
      </c>
      <c r="E55" s="56" t="inlineStr">
        <is>
          <t>Estimación visual</t>
        </is>
      </c>
      <c r="F55" s="56" t="inlineStr">
        <is>
          <t>&lt;10% bueno; 10-30% medio; &gt;30% malo</t>
        </is>
      </c>
      <c r="G55" s="56" t="inlineStr">
        <is>
          <t>Medio</t>
        </is>
      </c>
    </row>
    <row r="56">
      <c r="A56" s="55" t="inlineStr">
        <is>
          <t>3</t>
        </is>
      </c>
      <c r="B56" s="55" t="inlineStr">
        <is>
          <t>Densidad de cárcavas</t>
        </is>
      </c>
      <c r="C56" s="55" t="inlineStr">
        <is>
          <t>N°/ha</t>
        </is>
      </c>
      <c r="D56" s="55" t="inlineStr">
        <is>
          <t>0</t>
        </is>
      </c>
      <c r="E56" s="55" t="inlineStr">
        <is>
          <t>Observación</t>
        </is>
      </c>
      <c r="F56" s="55" t="inlineStr">
        <is>
          <t>0 nulo; 1-3 medio; &gt;3 alto</t>
        </is>
      </c>
      <c r="G56" s="55" t="inlineStr">
        <is>
          <t>Bajo</t>
        </is>
      </c>
    </row>
    <row r="57">
      <c r="A57" s="56" t="inlineStr">
        <is>
          <t>4</t>
        </is>
      </c>
      <c r="B57" s="56" t="inlineStr">
        <is>
          <t>Presencia de especies invasoras</t>
        </is>
      </c>
      <c r="C57" s="56" t="inlineStr">
        <is>
          <t>% área</t>
        </is>
      </c>
      <c r="D57" s="56" t="inlineStr">
        <is>
          <t>0</t>
        </is>
      </c>
      <c r="E57" s="56" t="inlineStr">
        <is>
          <t>Observación</t>
        </is>
      </c>
      <c r="F57" s="56" t="inlineStr">
        <is>
          <t>&lt;5% bueno; 5-20% medio; &gt;20% alto</t>
        </is>
      </c>
      <c r="G57" s="56" t="inlineStr">
        <is>
          <t>Bajo</t>
        </is>
      </c>
    </row>
    <row r="58">
      <c r="A58" s="55" t="inlineStr">
        <is>
          <t>5</t>
        </is>
      </c>
      <c r="B58" s="55" t="inlineStr">
        <is>
          <t>Carga ganadera estimada</t>
        </is>
      </c>
      <c r="C58" s="55" t="inlineStr">
        <is>
          <t>UA/ha</t>
        </is>
      </c>
      <c r="D58" s="55" t="inlineStr">
        <is>
          <t>0.8</t>
        </is>
      </c>
      <c r="E58" s="55" t="inlineStr">
        <is>
          <t>Estimación</t>
        </is>
      </c>
      <c r="F58" s="55" t="inlineStr">
        <is>
          <t>Según tipo de ecosistema</t>
        </is>
      </c>
      <c r="G58" s="55" t="inlineStr">
        <is>
          <t>Medio</t>
        </is>
      </c>
    </row>
    <row r="59">
      <c r="A59" s="56" t="inlineStr">
        <is>
          <t>6</t>
        </is>
      </c>
      <c r="B59" s="56" t="inlineStr">
        <is>
          <t>Frecuencia de quemas últimos 5 años</t>
        </is>
      </c>
      <c r="C59" s="56" t="inlineStr">
        <is>
          <t>N°</t>
        </is>
      </c>
      <c r="D59" s="56" t="inlineStr">
        <is>
          <t>2</t>
        </is>
      </c>
      <c r="E59" s="56" t="inlineStr">
        <is>
          <t>Entrevista</t>
        </is>
      </c>
      <c r="F59" s="56" t="inlineStr">
        <is>
          <t>0 nulo; 1-2 medio; &gt;2 alto</t>
        </is>
      </c>
      <c r="G59" s="56" t="inlineStr">
        <is>
          <t>Medio</t>
        </is>
      </c>
    </row>
    <row r="60">
      <c r="A60" s="55" t="inlineStr">
        <is>
          <t>7</t>
        </is>
      </c>
      <c r="B60" s="55" t="inlineStr">
        <is>
          <t>% área con pendiente &gt;50%</t>
        </is>
      </c>
      <c r="C60" s="55" t="inlineStr">
        <is>
          <t>%</t>
        </is>
      </c>
      <c r="D60" s="55" t="inlineStr">
        <is>
          <t>85</t>
        </is>
      </c>
      <c r="E60" s="55" t="inlineStr">
        <is>
          <t>GIS</t>
        </is>
      </c>
      <c r="F60" s="55" t="inlineStr">
        <is>
          <t>Factor de susceptibilidad</t>
        </is>
      </c>
      <c r="G60" s="55" t="inlineStr">
        <is>
          <t>Alto</t>
        </is>
      </c>
    </row>
    <row r="61">
      <c r="A61" s="56" t="inlineStr">
        <is>
          <t>8</t>
        </is>
      </c>
      <c r="B61" s="56" t="inlineStr">
        <is>
          <t>Distancia a vía vecinal más cercana</t>
        </is>
      </c>
      <c r="C61" s="56" t="inlineStr">
        <is>
          <t>m</t>
        </is>
      </c>
      <c r="D61" s="56" t="inlineStr">
        <is>
          <t>0</t>
        </is>
      </c>
      <c r="E61" s="56" t="inlineStr">
        <is>
          <t>Plano NDVI 2025 - red vial tangente al límite oriental</t>
        </is>
      </c>
      <c r="F61" s="56" t="inlineStr">
        <is>
          <t>A menor distancia → mayor presión</t>
        </is>
      </c>
      <c r="G61" s="56" t="inlineStr">
        <is>
          <t>Alto</t>
        </is>
      </c>
    </row>
    <row r="63">
      <c r="A63" s="53" t="inlineStr">
        <is>
          <t>F-DT-05 · FUENTES DE AGUA INVENTARIADAS</t>
        </is>
      </c>
    </row>
    <row r="64">
      <c r="A64" s="54" t="inlineStr">
        <is>
          <t>N.o</t>
        </is>
      </c>
      <c r="B64" s="54" t="inlineStr">
        <is>
          <t>Tipo de fuente</t>
        </is>
      </c>
      <c r="C64" s="54" t="inlineStr">
        <is>
          <t>UTM ESTE</t>
        </is>
      </c>
      <c r="D64" s="54" t="inlineStr">
        <is>
          <t>UTM NORTE</t>
        </is>
      </c>
      <c r="E64" s="54" t="inlineStr">
        <is>
          <t>Régimen</t>
        </is>
      </c>
      <c r="F64" s="54" t="inlineStr">
        <is>
          <t>Calidad</t>
        </is>
      </c>
      <c r="G64" s="54" t="inlineStr">
        <is>
          <t>Distancia (m)</t>
        </is>
      </c>
      <c r="H64" s="54" t="inlineStr">
        <is>
          <t>Uso / observación</t>
        </is>
      </c>
    </row>
    <row r="65">
      <c r="A65" s="55" t="inlineStr">
        <is>
          <t>1</t>
        </is>
      </c>
      <c r="B65" s="55" t="inlineStr">
        <is>
          <t>Quebrada estacional</t>
        </is>
      </c>
      <c r="C65" s="55" t="n"/>
      <c r="D65" s="55" t="n"/>
      <c r="E65" s="55" t="inlineStr"/>
      <c r="F65" s="55" t="inlineStr"/>
      <c r="G65" s="62" t="n">
        <v>500</v>
      </c>
      <c r="H65" s="55" t="inlineStr"/>
    </row>
    <row r="68">
      <c r="A68" s="53" t="inlineStr">
        <is>
          <t>OBSERVACIONES DEL EVALUADOR POR FICHA</t>
        </is>
      </c>
    </row>
    <row r="69">
      <c r="A69" s="54" t="inlineStr">
        <is>
          <t>Ficha</t>
        </is>
      </c>
      <c r="B69" s="54" t="inlineStr">
        <is>
          <t>Observación registrada en campo</t>
        </is>
      </c>
    </row>
    <row r="70">
      <c r="A70" s="55" t="inlineStr">
        <is>
          <t>F-DT-01</t>
        </is>
      </c>
      <c r="B70" s="55" t="inlineStr">
        <is>
          <t>Pendiente fuerte limita la mecanización agrícola, predominio de agricultura de subsistencia y matorral.</t>
        </is>
      </c>
    </row>
    <row r="71">
      <c r="A71" s="56" t="inlineStr">
        <is>
          <t>F-DT-02</t>
        </is>
      </c>
      <c r="B71" s="56" t="inlineStr">
        <is>
          <t>Se observan surcos de erosión hidrica en las parcelas agricolas de mayor pendiente. Sellamiento superficial de intensidad LIGERA y compactacion por pisoteo de intensidad MODERADA (los campos 2.1 y 2.2 se normalizaron a "Sí" para respetar el dominio de validación del formato V5).</t>
        </is>
      </c>
    </row>
    <row r="72">
      <c r="A72" s="55" t="inlineStr">
        <is>
          <t>F-DT-03</t>
        </is>
      </c>
      <c r="B72" s="55" t="inlineStr">
        <is>
          <t>CORRECCIÓN 07-09-2026 — Tipo de ecosistema y elenco florístico rectificados por la Unidad Formuladora. Se adopta «Bosque Estacionalmente Seco de Colina y Montaña (Bes-cm) en mosaico agro-forestal» y el elenco del Bloque 76 (C1076-Q9593, a ~2.3 km, 1 647 – 1 838 msnm, verificado el 19 de agosto de 2026 mediante recorrido vehicular con registro fotográfico georreferenciado), por analogía de altitud, proximidad y ecosistema. La columna J indica, fila por fila, si el registro procede del levantamiento de campo del Bloque 51 o de la analogía. Se retiran del elenco: «Algarrobo — Prosopis pallida» (especie de cotas muy inferiores), «Palo santo — Cordia lutea» (nombre común y binomio incompatibles entre sí) e «Ichu — Calamagrostis vicunarum» (gramínea de pajonal altoandino, &gt; 3 500 msnm, incompatible con los 1 876 msnm del punto de muestreo). Se conservan «Espino/faique», reconciliado a Vachellia macracantha, y «Paspalum sp.», integrado en la entrada de gramíneas y pastos naturales, por ser ambos compatibles con el Bes-cm. Ninguna determinación está confirmada taxonómicamente: la lista es preliminar y debe cerrarse con colecta botánica.</t>
        </is>
      </c>
    </row>
    <row r="73">
      <c r="A73" s="56" t="inlineStr">
        <is>
          <t>F-DT-04</t>
        </is>
      </c>
      <c r="B73" s="56" t="inlineStr">
        <is>
          <t>La fuerte pendiente exige implementación de zanjas de infiltración y barreras vivas.</t>
        </is>
      </c>
    </row>
    <row r="74">
      <c r="A74" s="55" t="inlineStr">
        <is>
          <t>F-DT-05</t>
        </is>
      </c>
      <c r="B74" s="55" t="inlineStr">
        <is>
          <t>El acceso se complica significativamente durante la temporada de lluvias debido a la pendiente y la falta de drenaje en la trocha.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2"/>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51</t>
        </is>
      </c>
    </row>
    <row r="7">
      <c r="A7" s="53" t="inlineStr">
        <is>
          <t>Hechos declarados por fuente</t>
        </is>
      </c>
    </row>
    <row r="8">
      <c r="A8" s="54" t="inlineStr">
        <is>
          <t>Fuente</t>
        </is>
      </c>
      <c r="B8" s="54" t="inlineStr">
        <is>
          <t>Hechos</t>
        </is>
      </c>
    </row>
    <row r="9">
      <c r="A9" s="55" t="inlineStr">
        <is>
          <t>Dato de campo</t>
        </is>
      </c>
      <c r="B9" s="55" t="n">
        <v>74</v>
      </c>
    </row>
    <row r="10">
      <c r="A10" s="56" t="inlineStr">
        <is>
          <t>Gabinete (GIS / teledetección)</t>
        </is>
      </c>
      <c r="B10" s="56" t="n">
        <v>22</v>
      </c>
    </row>
    <row r="11">
      <c r="A11" s="55" t="inlineStr">
        <is>
          <t>Fuente oficial</t>
        </is>
      </c>
      <c r="B11" s="55" t="n">
        <v>14</v>
      </c>
    </row>
    <row r="28">
      <c r="A28" s="53" t="inlineStr">
        <is>
          <t>Estado del cruce entre fuentes</t>
        </is>
      </c>
    </row>
    <row r="29">
      <c r="A29" s="54" t="inlineStr">
        <is>
          <t>Estado</t>
        </is>
      </c>
      <c r="B29" s="54" t="inlineStr">
        <is>
          <t>Hechos</t>
        </is>
      </c>
    </row>
    <row r="30">
      <c r="A30" s="55" t="inlineStr">
        <is>
          <t>CONFORME</t>
        </is>
      </c>
      <c r="B30" s="55" t="n">
        <v>109</v>
      </c>
    </row>
    <row r="31">
      <c r="A31" s="56" t="inlineStr">
        <is>
          <t>COMPLEMENTADO</t>
        </is>
      </c>
      <c r="B31" s="56" t="n">
        <v>0</v>
      </c>
    </row>
    <row r="32">
      <c r="A32" s="55" t="inlineStr">
        <is>
          <t>ACTUALIZADO</t>
        </is>
      </c>
      <c r="B32" s="55" t="n">
        <v>1</v>
      </c>
    </row>
    <row r="33">
      <c r="A33" s="56" t="inlineStr">
        <is>
          <t>DISCREPANTE</t>
        </is>
      </c>
      <c r="B33" s="56" t="n">
        <v>0</v>
      </c>
    </row>
    <row r="34">
      <c r="A34" s="55" t="inlineStr">
        <is>
          <t>PENDIENTE</t>
        </is>
      </c>
      <c r="B34" s="55" t="n">
        <v>4</v>
      </c>
    </row>
    <row r="51">
      <c r="A51" s="53" t="inlineStr">
        <is>
          <t>Cobertura por estrato — campo (%)</t>
        </is>
      </c>
    </row>
    <row r="52">
      <c r="A52" s="54" t="inlineStr">
        <is>
          <t>Estrato</t>
        </is>
      </c>
      <c r="B52" s="54" t="inlineStr">
        <is>
          <t>% del área</t>
        </is>
      </c>
    </row>
    <row r="53">
      <c r="A53" s="55" t="inlineStr">
        <is>
          <t>Dosel</t>
        </is>
      </c>
      <c r="B53" s="62" t="n">
        <v>10</v>
      </c>
    </row>
    <row r="54">
      <c r="A54" s="56" t="inlineStr">
        <is>
          <t>Arbustiva</t>
        </is>
      </c>
      <c r="B54" s="63" t="n">
        <v>25</v>
      </c>
    </row>
    <row r="55">
      <c r="A55" s="55" t="inlineStr">
        <is>
          <t>Herbácea</t>
        </is>
      </c>
      <c r="B55" s="62" t="n">
        <v>30</v>
      </c>
    </row>
    <row r="56">
      <c r="A56" s="56" t="inlineStr">
        <is>
          <t>Hojarasca</t>
        </is>
      </c>
      <c r="B56" s="63" t="n">
        <v>15</v>
      </c>
    </row>
    <row r="57">
      <c r="A57" s="55" t="inlineStr">
        <is>
          <t>Suelo desnudo</t>
        </is>
      </c>
      <c r="B57" s="62" t="n">
        <v>20</v>
      </c>
    </row>
    <row r="74">
      <c r="A74" s="53" t="inlineStr">
        <is>
          <t>Causas activas de degradación (F-DT-04)</t>
        </is>
      </c>
    </row>
    <row r="75">
      <c r="A75" s="54" t="inlineStr">
        <is>
          <t>Causa</t>
        </is>
      </c>
      <c r="B75" s="54" t="inlineStr">
        <is>
          <t>Intensidad (1 ligera - 4 muy fuerte)</t>
        </is>
      </c>
    </row>
    <row r="76">
      <c r="A76" s="55" t="inlineStr">
        <is>
          <t>Cambio de uso a agricultura</t>
        </is>
      </c>
      <c r="B76" s="55" t="n">
        <v>3</v>
      </c>
    </row>
    <row r="77">
      <c r="A77" s="56" t="inlineStr">
        <is>
          <t>Sequía prolongada / CC</t>
        </is>
      </c>
      <c r="B77" s="56" t="n">
        <v>2</v>
      </c>
    </row>
    <row r="78">
      <c r="A78" s="55" t="inlineStr">
        <is>
          <t>Sobrepastoreo (caprino/vacuno)</t>
        </is>
      </c>
      <c r="B78" s="55" t="n">
        <v>2</v>
      </c>
    </row>
    <row r="79">
      <c r="A79" s="56" t="inlineStr">
        <is>
          <t>Quema (renovación de pastos)</t>
        </is>
      </c>
      <c r="B79" s="56" t="n">
        <v>1</v>
      </c>
    </row>
    <row r="80">
      <c r="A80" s="55" t="inlineStr">
        <is>
          <t>Tala para leña</t>
        </is>
      </c>
      <c r="B80" s="55" t="n">
        <v>1</v>
      </c>
    </row>
    <row r="97">
      <c r="A97" s="53" t="inlineStr">
        <is>
          <t>Control de consistencia por calificación</t>
        </is>
      </c>
    </row>
    <row r="98">
      <c r="A98" s="54" t="inlineStr">
        <is>
          <t>Calificación</t>
        </is>
      </c>
      <c r="B98" s="54" t="inlineStr">
        <is>
          <t>Verificaciones</t>
        </is>
      </c>
    </row>
    <row r="99">
      <c r="A99" s="55" t="inlineStr">
        <is>
          <t>SUSTANTIVA</t>
        </is>
      </c>
      <c r="B99" s="55" t="n">
        <v>6</v>
      </c>
    </row>
    <row r="100">
      <c r="A100" s="56" t="inlineStr">
        <is>
          <t>NO SUSTANTIVA</t>
        </is>
      </c>
      <c r="B100" s="56" t="n">
        <v>2</v>
      </c>
    </row>
    <row r="101">
      <c r="A101" s="55" t="inlineStr">
        <is>
          <t>CORREGIDO</t>
        </is>
      </c>
      <c r="B101" s="55" t="n">
        <v>2</v>
      </c>
    </row>
    <row r="102">
      <c r="A102" s="56" t="inlineStr">
        <is>
          <t>CONFORME</t>
        </is>
      </c>
      <c r="B102" s="56"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51 — IN Piura</dc:title>
  <dc:subject>Diagnóstico Territorial por bloque de intervención</dc:subject>
  <dcterms:created xsi:type="dcterms:W3CDTF">2026-09-08T03:39:54Z</dcterms:created>
  <dcterms:modified xsi:type="dcterms:W3CDTF">2026-09-11T20:22:29Z</dcterms:modified>
</cp:coreProperties>
</file>