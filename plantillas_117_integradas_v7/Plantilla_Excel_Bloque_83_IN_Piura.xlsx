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 name="Integración de campo" sheetId="6" state="visible" r:id="rId6"/>
    <sheet name="Registro de campo F-DT" sheetId="7" state="visible" r:id="rId7"/>
    <sheet name="Gráficos de integración" sheetId="8" state="visible" r:id="rId8"/>
  </sheets>
  <definedNames/>
  <calcPr calcId="124519" fullCalcOnLoad="1"/>
</workbook>
</file>

<file path=xl/styles.xml><?xml version="1.0" encoding="utf-8"?>
<styleSheet xmlns="http://schemas.openxmlformats.org/spreadsheetml/2006/main">
  <numFmts count="3">
    <numFmt numFmtId="164" formatCode="0.0000"/>
    <numFmt numFmtId="165" formatCode="0.000"/>
    <numFmt numFmtId="166" formatCode="#,##0.0000"/>
  </numFmts>
  <fonts count="14">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
      <name val="Arial"/>
      <b val="1"/>
      <color rgb="001B4D2E"/>
      <sz val="9"/>
    </font>
    <font>
      <name val="Arial"/>
      <i val="1"/>
      <sz val="8"/>
    </font>
    <font>
      <name val="Arial"/>
      <b val="1"/>
      <color rgb="00FFFFFF"/>
      <sz val="12"/>
    </font>
    <font>
      <name val="Arial"/>
      <b val="1"/>
      <color rgb="001B4F72"/>
      <sz val="10"/>
    </font>
    <font>
      <name val="Arial"/>
      <i val="1"/>
      <sz val="7.5"/>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8">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
      <left style="thin">
        <color rgb="00BFBFBF"/>
      </left>
      <right style="thin">
        <color rgb="00BFBFBF"/>
      </right>
      <top style="thin">
        <color rgb="00BFBFBF"/>
      </top>
      <bottom style="thin">
        <color rgb="00BFBFBF"/>
      </bottom>
    </border>
  </borders>
  <cellStyleXfs count="1">
    <xf numFmtId="0" fontId="0" fillId="0" borderId="0"/>
  </cellStyleXfs>
  <cellXfs count="6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xf numFmtId="0" fontId="6" fillId="0" borderId="1" applyAlignment="1" pivotButton="0" quotePrefix="0" xfId="0">
      <alignment vertical="top" wrapText="1"/>
    </xf>
    <xf numFmtId="0" fontId="9" fillId="0" borderId="0" pivotButton="0" quotePrefix="0" xfId="0"/>
    <xf numFmtId="0" fontId="10" fillId="0" borderId="0" pivotButton="0" quotePrefix="0" xfId="0"/>
    <xf numFmtId="0" fontId="11" fillId="2" borderId="0" applyAlignment="1" pivotButton="0" quotePrefix="0" xfId="0">
      <alignment horizontal="center" vertical="center"/>
    </xf>
    <xf numFmtId="0" fontId="12" fillId="0" borderId="0" pivotButton="0" quotePrefix="0" xfId="0"/>
    <xf numFmtId="0" fontId="8" fillId="2" borderId="7" applyAlignment="1" pivotButton="0" quotePrefix="0" xfId="0">
      <alignment horizontal="center" wrapText="1"/>
    </xf>
    <xf numFmtId="0" fontId="6" fillId="0" borderId="7" pivotButton="0" quotePrefix="0" xfId="0"/>
    <xf numFmtId="0" fontId="6" fillId="5" borderId="7" pivotButton="0" quotePrefix="0" xfId="0"/>
    <xf numFmtId="0" fontId="5" fillId="0" borderId="0" pivotButton="0" quotePrefix="0" xfId="0"/>
    <xf numFmtId="0" fontId="6" fillId="0" borderId="0" pivotButton="0" quotePrefix="0" xfId="0"/>
    <xf numFmtId="0" fontId="13" fillId="0" borderId="0" applyAlignment="1" pivotButton="0" quotePrefix="0" xfId="0">
      <alignment vertical="top" wrapText="1"/>
    </xf>
    <xf numFmtId="4" fontId="6" fillId="0" borderId="7" pivotButton="0" quotePrefix="0" xfId="0"/>
    <xf numFmtId="4" fontId="6" fillId="5" borderId="7" pivotButton="0" quotePrefix="0" xfId="0"/>
    <xf numFmtId="166" fontId="6" fillId="5" borderId="7" pivotButton="0" quotePrefix="0" xfId="0"/>
    <xf numFmtId="166" fontId="6" fillId="0" borderId="7"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a:p>
            <a:pPr>
              <a:defRPr/>
            </a:pPr>
            <a:r>
              <a:t>Procedencia de los hechos declarados</a:t>
            </a:r>
          </a:p>
        </rich>
      </tx>
    </title>
    <plotArea>
      <pieChart>
        <varyColors val="1"/>
        <ser>
          <idx val="0"/>
          <order val="0"/>
          <tx>
            <strRef>
              <f>'Gráficos de integración'!B8</f>
            </strRef>
          </tx>
          <spPr>
            <a:ln>
              <a:prstDash val="solid"/>
            </a:ln>
          </spPr>
          <cat>
            <numRef>
              <f>'Gráficos de integración'!$A$9:$A$11</f>
            </numRef>
          </cat>
          <val>
            <numRef>
              <f>'Gráficos de integración'!$B$9:$B$11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Estado del cruce entre fuentes</a:t>
            </a:r>
          </a:p>
        </rich>
      </tx>
    </title>
    <plotArea>
      <barChart>
        <barDir val="col"/>
        <grouping val="clustered"/>
        <ser>
          <idx val="0"/>
          <order val="0"/>
          <tx>
            <strRef>
              <f>'Gráficos de integración'!B27</f>
            </strRef>
          </tx>
          <spPr>
            <a:ln>
              <a:prstDash val="solid"/>
            </a:ln>
          </spPr>
          <cat>
            <numRef>
              <f>'Gráficos de integración'!$A$28:$A$32</f>
            </numRef>
          </cat>
          <val>
            <numRef>
              <f>'Gráficos de integración'!$B$28:$B$32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Hechos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0"/>
  <chart>
    <title>
      <tx>
        <rich>
          <a:bodyPr/>
          <a:p>
            <a:pPr>
              <a:defRPr/>
            </a:pPr>
            <a:r>
              <a:t>Cobertura por estrato (%)</a:t>
            </a:r>
          </a:p>
        </rich>
      </tx>
    </title>
    <plotArea>
      <barChart>
        <barDir val="col"/>
        <grouping val="clustered"/>
        <ser>
          <idx val="0"/>
          <order val="0"/>
          <tx>
            <strRef>
              <f>'Gráficos de integración'!B46</f>
            </strRef>
          </tx>
          <spPr>
            <a:ln>
              <a:prstDash val="solid"/>
            </a:ln>
          </spPr>
          <cat>
            <numRef>
              <f>'Gráficos de integración'!$A$47:$A$51</f>
            </numRef>
          </cat>
          <val>
            <numRef>
              <f>'Gráficos de integración'!$B$47:$B$51</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a:t>
                </a:r>
              </a:p>
            </rich>
          </tx>
        </title>
        <majorTickMark val="none"/>
        <minorTickMark val="none"/>
        <crossAx val="10"/>
      </valAx>
    </plotArea>
    <plotVisOnly val="1"/>
    <dispBlanksAs val="gap"/>
  </chart>
</chartSpace>
</file>

<file path=xl/charts/chart4.xml><?xml version="1.0" encoding="utf-8"?>
<chartSpace xmlns:a="http://schemas.openxmlformats.org/drawingml/2006/main" xmlns="http://schemas.openxmlformats.org/drawingml/2006/chart">
  <style val="10"/>
  <chart>
    <title>
      <tx>
        <rich>
          <a:bodyPr/>
          <a:p>
            <a:pPr>
              <a:defRPr/>
            </a:pPr>
            <a:r>
              <a:t>Causas activas por intensidad</a:t>
            </a:r>
          </a:p>
        </rich>
      </tx>
    </title>
    <plotArea>
      <barChart>
        <barDir val="col"/>
        <grouping val="clustered"/>
        <ser>
          <idx val="0"/>
          <order val="0"/>
          <tx>
            <strRef>
              <f>'Gráficos de integración'!B65</f>
            </strRef>
          </tx>
          <spPr>
            <a:ln>
              <a:prstDash val="solid"/>
            </a:ln>
          </spPr>
          <cat>
            <numRef>
              <f>'Gráficos de integración'!$A$66:$A$67</f>
            </numRef>
          </cat>
          <val>
            <numRef>
              <f>'Gráficos de integración'!$B$66:$B$67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Intensidad</a:t>
                </a:r>
              </a:p>
            </rich>
          </tx>
        </title>
        <majorTickMark val="none"/>
        <minorTickMark val="none"/>
        <crossAx val="10"/>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Control de consistencia</a:t>
            </a:r>
          </a:p>
        </rich>
      </tx>
    </title>
    <plotArea>
      <pieChart>
        <varyColors val="1"/>
        <ser>
          <idx val="0"/>
          <order val="0"/>
          <tx>
            <strRef>
              <f>'Gráficos de integración'!B84</f>
            </strRef>
          </tx>
          <spPr>
            <a:ln>
              <a:prstDash val="solid"/>
            </a:ln>
          </spPr>
          <cat>
            <numRef>
              <f>'Gráficos de integración'!$A$85:$A$88</f>
            </numRef>
          </cat>
          <val>
            <numRef>
              <f>'Gráficos de integración'!$B$85:$B$88</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7</row>
      <rowOff>0</rowOff>
    </from>
    <ext cx="4320000" cy="2880000"/>
    <graphicFrame>
      <nvGraphicFramePr>
        <cNvPr id="1" name="Chart 1"/>
        <cNvGraphicFramePr/>
      </nvGraphicFramePr>
      <xfrm/>
      <a:graphic>
        <a:graphicData uri="http://schemas.openxmlformats.org/drawingml/2006/chart">
          <c:chart r:id="rId1"/>
        </a:graphicData>
      </a:graphic>
    </graphicFrame>
    <clientData/>
  </oneCellAnchor>
  <oneCellAnchor>
    <from>
      <col>3</col>
      <colOff>0</colOff>
      <row>26</row>
      <rowOff>0</rowOff>
    </from>
    <ext cx="5760000" cy="2880000"/>
    <graphicFrame>
      <nvGraphicFramePr>
        <cNvPr id="2" name="Chart 2"/>
        <cNvGraphicFramePr/>
      </nvGraphicFramePr>
      <xfrm/>
      <a:graphic>
        <a:graphicData uri="http://schemas.openxmlformats.org/drawingml/2006/chart">
          <c:chart r:id="rId2"/>
        </a:graphicData>
      </a:graphic>
    </graphicFrame>
    <clientData/>
  </oneCellAnchor>
  <oneCellAnchor>
    <from>
      <col>3</col>
      <colOff>0</colOff>
      <row>45</row>
      <rowOff>0</rowOff>
    </from>
    <ext cx="5760000" cy="2880000"/>
    <graphicFrame>
      <nvGraphicFramePr>
        <cNvPr id="3" name="Chart 3"/>
        <cNvGraphicFramePr/>
      </nvGraphicFramePr>
      <xfrm/>
      <a:graphic>
        <a:graphicData uri="http://schemas.openxmlformats.org/drawingml/2006/chart">
          <c:chart r:id="rId3"/>
        </a:graphicData>
      </a:graphic>
    </graphicFrame>
    <clientData/>
  </oneCellAnchor>
  <oneCellAnchor>
    <from>
      <col>3</col>
      <colOff>0</colOff>
      <row>64</row>
      <rowOff>0</rowOff>
    </from>
    <ext cx="5760000" cy="2880000"/>
    <graphicFrame>
      <nvGraphicFramePr>
        <cNvPr id="4" name="Chart 4"/>
        <cNvGraphicFramePr/>
      </nvGraphicFramePr>
      <xfrm/>
      <a:graphic>
        <a:graphicData uri="http://schemas.openxmlformats.org/drawingml/2006/chart">
          <c:chart r:id="rId4"/>
        </a:graphicData>
      </a:graphic>
    </graphicFrame>
    <clientData/>
  </oneCellAnchor>
  <oneCellAnchor>
    <from>
      <col>3</col>
      <colOff>0</colOff>
      <row>83</row>
      <rowOff>0</rowOff>
    </from>
    <ext cx="4320000" cy="288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83</t>
        </is>
      </c>
    </row>
    <row r="6" ht="24" customHeight="1">
      <c r="A6" s="4" t="inlineStr">
        <is>
          <t>Diagnóstico Territorial — Plantilla DT Campo Check Validada V5 | Sistema de referencia: UTM WGS 84 Zona 17S (EPSG:32717) · Integrado con la ficha de campo F-DT vigente (FDT_V5_Bloque83_IN_Piura_rev_hscm.xlsx) — V7 - resumen V6 + campo F-DT integrado</t>
        </is>
      </c>
    </row>
    <row r="7"/>
    <row r="8" ht="18" customHeight="1">
      <c r="A8" s="5" t="inlineStr">
        <is>
          <t>1. IDENTIFICACIÓN Y LOCALIZACIÓN</t>
        </is>
      </c>
    </row>
    <row r="9">
      <c r="A9" s="6" t="inlineStr">
        <is>
          <t>Código del bloque</t>
        </is>
      </c>
      <c r="B9" s="7" t="inlineStr">
        <is>
          <t>83</t>
        </is>
      </c>
      <c r="C9" s="6" t="inlineStr">
        <is>
          <t>Microcuenca (catálogo)</t>
        </is>
      </c>
      <c r="D9" s="7" t="inlineStr">
        <is>
          <t>C1081-Q9583</t>
        </is>
      </c>
      <c r="E9" s="8" t="n"/>
      <c r="F9" s="8" t="n"/>
    </row>
    <row r="10">
      <c r="A10" s="6" t="inlineStr">
        <is>
          <t>Zona de planificación</t>
        </is>
      </c>
      <c r="B10" s="7" t="inlineStr">
        <is>
          <t>Z08</t>
        </is>
      </c>
      <c r="C10" s="6" t="inlineStr">
        <is>
          <t>Microcuenca declarada en ficha DT</t>
        </is>
      </c>
      <c r="D10" s="7" t="inlineStr">
        <is>
          <t>C1081-Q9583</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San Juan de Bigote</t>
        </is>
      </c>
      <c r="C12" s="6" t="inlineStr">
        <is>
          <t>Capital distrital</t>
        </is>
      </c>
      <c r="D12" s="7" t="inlineStr">
        <is>
          <t>San Juan de Bigote</t>
        </is>
      </c>
      <c r="E12" s="8" t="n"/>
      <c r="F12" s="8" t="n"/>
    </row>
    <row r="13">
      <c r="A13" s="6" t="inlineStr">
        <is>
          <t>Centro poblado asociado</t>
        </is>
      </c>
      <c r="B13" s="7" t="inlineStr">
        <is>
          <t>Miguel Pampa (Miguelpampa)</t>
        </is>
      </c>
      <c r="C13" s="6" t="inlineStr">
        <is>
          <t>Comunidad campesina</t>
        </is>
      </c>
      <c r="D13" s="7" t="inlineStr">
        <is>
          <t>POR VERIFICAR — no consignada</t>
        </is>
      </c>
      <c r="E13" s="8" t="n"/>
      <c r="F13" s="8" t="n"/>
    </row>
    <row r="14">
      <c r="A14" s="6" t="inlineStr">
        <is>
          <t>Superficie de catálogo (V5/V6), ha</t>
        </is>
      </c>
      <c r="B14" s="7" t="n">
        <v>24.344</v>
      </c>
      <c r="C14" s="6" t="inlineStr">
        <is>
          <t>Fuente de superficie</t>
        </is>
      </c>
      <c r="D14" s="7" t="inlineStr">
        <is>
          <t>Catálogo maestro Bloques V5/V6</t>
        </is>
      </c>
      <c r="E14" s="8" t="n"/>
      <c r="F14" s="8" t="n"/>
    </row>
    <row r="15">
      <c r="A15" s="6" t="inlineStr">
        <is>
          <t>Centroide UTM ESTE (m)</t>
        </is>
      </c>
      <c r="B15" s="7" t="n">
        <v>639720</v>
      </c>
      <c r="C15" s="6" t="inlineStr">
        <is>
          <t>Centroide UTM NORTE (m)</t>
        </is>
      </c>
      <c r="D15" s="7" t="n">
        <v>9410622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0</v>
      </c>
      <c r="C19" s="6" t="inlineStr">
        <is>
          <t>Altitud máxima (msnm)</t>
        </is>
      </c>
      <c r="D19" s="7" t="n">
        <v>0</v>
      </c>
      <c r="E19" s="8" t="n"/>
      <c r="F19" s="8" t="n"/>
    </row>
    <row r="20">
      <c r="A20" s="6" t="inlineStr">
        <is>
          <t>Amplitud altitudinal (m)</t>
        </is>
      </c>
      <c r="B20" s="7" t="n">
        <v>0</v>
      </c>
      <c r="C20" s="6" t="inlineStr">
        <is>
          <t>Piso altitudinal dominante</t>
        </is>
      </c>
      <c r="D20" s="7" t="inlineStr">
        <is>
          <t>&lt;1000 m (Yunga)</t>
        </is>
      </c>
      <c r="E20" s="8" t="n"/>
      <c r="F20" s="8" t="n"/>
    </row>
    <row r="21">
      <c r="A21" s="6" t="inlineStr">
        <is>
          <t>Pendiente promedio (%)</t>
        </is>
      </c>
      <c r="B21" s="7" t="n">
        <v>0</v>
      </c>
      <c r="C21" s="6" t="inlineStr">
        <is>
          <t>Pendiente promedio (grados)</t>
        </is>
      </c>
      <c r="D21" s="7" t="n">
        <v>0</v>
      </c>
      <c r="E21" s="8" t="n"/>
      <c r="F21" s="8" t="n"/>
    </row>
    <row r="22">
      <c r="A22" s="6" t="inlineStr">
        <is>
          <t>Clase de pendiente equivalente</t>
        </is>
      </c>
      <c r="B22" s="7" t="inlineStr">
        <is>
          <t>0-8% (Plano-lig.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0.3055</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(60.03 %)</t>
        </is>
      </c>
      <c r="E29" s="8" t="n"/>
      <c r="F29" s="8" t="n"/>
    </row>
    <row r="30">
      <c r="A30" s="6" t="inlineStr">
        <is>
          <t>Superficie clasificada NDVI 2025 (ha)</t>
        </is>
      </c>
      <c r="B30" s="7" t="n">
        <v>24.352</v>
      </c>
      <c r="C30" s="6" t="inlineStr">
        <is>
          <t>Desviación frente al catálogo (%)</t>
        </is>
      </c>
      <c r="D30" s="7" t="n">
        <v>0.03</v>
      </c>
      <c r="E30" s="8" t="n"/>
      <c r="F30" s="8" t="n"/>
    </row>
    <row r="31">
      <c r="A31" s="6" t="inlineStr">
        <is>
          <t>Superficie clasificada MSAVI 2024 (ha)</t>
        </is>
      </c>
      <c r="B31" s="38" t="n">
        <v>24.344</v>
      </c>
      <c r="C31" s="6" t="inlineStr">
        <is>
          <t>Desviación MSAVI frente al catálogo (%)</t>
        </is>
      </c>
      <c r="D31" s="39" t="n">
        <v>0</v>
      </c>
      <c r="E31" s="8" t="n"/>
      <c r="F31" s="8" t="n"/>
    </row>
    <row r="32">
      <c r="A32" s="6" t="inlineStr">
        <is>
          <t>Superficie bajo umbral MSAVI 0.4976 (ha)</t>
        </is>
      </c>
      <c r="B32" s="38" t="n">
        <v>24.196</v>
      </c>
      <c r="C32" s="6" t="inlineStr">
        <is>
          <t>% del bloque bajo umbral (brecha espectral)</t>
        </is>
      </c>
      <c r="D32" s="39" t="n">
        <v>99.39</v>
      </c>
      <c r="E32" s="8" t="n"/>
      <c r="F32" s="8" t="n"/>
    </row>
    <row r="33">
      <c r="A33" s="6" t="inlineStr">
        <is>
          <t>Clase DN dominante (MSAVI 2024)</t>
        </is>
      </c>
      <c r="B33" s="7" t="inlineStr">
        <is>
          <t>DN 2 · 0.2650 - 0.3813 (Vigor muy bajo)</t>
        </is>
      </c>
      <c r="C33" s="6" t="inlineStr">
        <is>
          <t>N.° de polígonos MSAVI del bloque</t>
        </is>
      </c>
      <c r="D33" s="40" t="n">
        <v>113</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 — asignación POR VERIFICAR</t>
        </is>
      </c>
      <c r="C36" s="6" t="inlineStr">
        <is>
          <t>Superficie de ecosistema (ha)</t>
        </is>
      </c>
      <c r="D36" s="7" t="inlineStr">
        <is>
          <t>24.352 ha (100% del bloque)</t>
        </is>
      </c>
      <c r="E36" s="8" t="n"/>
      <c r="F36" s="8" t="n"/>
    </row>
    <row r="37">
      <c r="A37" s="6" t="inlineStr">
        <is>
          <t>Estado de conservación</t>
        </is>
      </c>
      <c r="B37" s="7" t="inlineStr">
        <is>
          <t>Alterado (intervención marcada)</t>
        </is>
      </c>
      <c r="C37" s="6" t="inlineStr">
        <is>
          <t>Uso actual dominante del suelo</t>
        </is>
      </c>
      <c r="D37" s="7" t="inlineStr">
        <is>
          <t>Pastoreo extensivo</t>
        </is>
      </c>
      <c r="E37" s="8" t="n"/>
      <c r="F37" s="8" t="n"/>
    </row>
    <row r="38">
      <c r="A38" s="6" t="inlineStr">
        <is>
          <t>Tipo de cobertura dominante</t>
        </is>
      </c>
      <c r="B38" s="7" t="inlineStr">
        <is>
          <t>Mixto / Mosaico</t>
        </is>
      </c>
      <c r="C38" s="6" t="inlineStr">
        <is>
          <t>Cobertura vegetal total — campo (%)</t>
        </is>
      </c>
      <c r="D38" s="7" t="n">
        <v>30</v>
      </c>
      <c r="E38" s="8" t="n"/>
      <c r="F38" s="8" t="n"/>
    </row>
    <row r="39">
      <c r="A39" s="6" t="inlineStr">
        <is>
          <t>Suelo desnudo — campo (%)</t>
        </is>
      </c>
      <c r="B39" s="7" t="n">
        <v>55</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50" t="inlineStr">
        <is>
          <t>No inventariadas</t>
        </is>
      </c>
      <c r="E40" s="8" t="n"/>
      <c r="F40" s="8" t="n"/>
    </row>
    <row r="41">
      <c r="A41" s="6" t="inlineStr">
        <is>
          <t>Elenco florístico (n.° de taxones)</t>
        </is>
      </c>
      <c r="B41" s="7" t="n">
        <v>15</v>
      </c>
      <c r="C41" s="6" t="inlineStr">
        <is>
          <t>Estado sanitario</t>
        </is>
      </c>
      <c r="D41" s="50" t="inlineStr">
        <is>
          <t>Sin consignar (sin mediciones)</t>
        </is>
      </c>
      <c r="E41" s="8" t="n"/>
      <c r="F41" s="8" t="n"/>
    </row>
    <row r="42"/>
    <row r="43" ht="18" customHeight="1">
      <c r="A43" s="5" t="inlineStr">
        <is>
          <t>5. RESPONSABLE Y MODALIDAD DE LA EVALUACIÓN</t>
        </is>
      </c>
    </row>
    <row r="44">
      <c r="A44" s="6" t="inlineStr">
        <is>
          <t>Responsable de la evaluación</t>
        </is>
      </c>
      <c r="B44" s="50" t="inlineStr">
        <is>
          <t>Gabinete SESDI · Levantamiento RPA 14-08-2026 (operador POR CONFIRMAR)</t>
        </is>
      </c>
      <c r="C44" s="6" t="inlineStr">
        <is>
          <t>Fecha de evaluación</t>
        </is>
      </c>
      <c r="D44" s="7" t="inlineStr">
        <is>
          <t>2026-08-14</t>
        </is>
      </c>
      <c r="E44" s="8" t="n"/>
      <c r="F44" s="8" t="n"/>
    </row>
    <row r="45">
      <c r="A45" s="6" t="inlineStr">
        <is>
          <t>Hora de registro</t>
        </is>
      </c>
      <c r="B45" s="7" t="inlineStr">
        <is>
          <t>10:37 h</t>
        </is>
      </c>
      <c r="C45" s="6" t="inlineStr">
        <is>
          <t>Correlativo de ficha</t>
        </is>
      </c>
      <c r="D45" s="7" t="inlineStr">
        <is>
          <t>F-DT-B83-01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50" t="inlineStr">
        <is>
          <t>No instalada — fotointerpretación de ortofoto RPA</t>
        </is>
      </c>
      <c r="E47" s="8" t="n"/>
      <c r="F47" s="8" t="n"/>
    </row>
    <row r="48">
      <c r="A48" s="6" t="inlineStr">
        <is>
          <t>Estaciones fotográficas georreferenciadas</t>
        </is>
      </c>
      <c r="B48" s="7" t="n">
        <v>0</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Ausencia de un régimen de manejo del pastoreo y de reglas de uso del bosque seco de uso común en el entorno</t>
        </is>
      </c>
      <c r="C51" s="6" t="inlineStr">
        <is>
          <t>Velocidad de degradación</t>
        </is>
      </c>
      <c r="D51" s="50" t="inlineStr">
        <is>
          <t>SIN CONSIGNAR — no se dispone de la serie Theil-Sen (TAU) ni de MSAVI multianual para el bloque</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No</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43:F43"/>
    <mergeCell ref="A1:F1"/>
    <mergeCell ref="A5:F5"/>
    <mergeCell ref="A27:F27"/>
    <mergeCell ref="A8:F8"/>
    <mergeCell ref="A6:F6"/>
    <mergeCell ref="A50:F50"/>
    <mergeCell ref="A35:F35"/>
    <mergeCell ref="A18:F18"/>
    <mergeCell ref="A3:F3"/>
    <mergeCell ref="A4:F4"/>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83</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0.1485</v>
      </c>
      <c r="C11" s="21">
        <f>ROUND(B11/$B$15*100,2)</f>
        <v/>
      </c>
      <c r="D11" s="13" t="inlineStr">
        <is>
          <t>Vigor moderado</t>
        </is>
      </c>
      <c r="E11" s="13" t="inlineStr">
        <is>
          <t>Sobre umbral</t>
        </is>
      </c>
    </row>
    <row r="12">
      <c r="A12" s="7" t="inlineStr">
        <is>
          <t>0.3813 - 0.4976 · DN 3</t>
        </is>
      </c>
      <c r="B12" s="18" t="n">
        <v>3.3463</v>
      </c>
      <c r="C12" s="19">
        <f>ROUND(B12/$B$15*100,2)</f>
        <v/>
      </c>
      <c r="D12" s="11" t="inlineStr">
        <is>
          <t>Vigor bajo</t>
        </is>
      </c>
      <c r="E12" s="11" t="inlineStr">
        <is>
          <t>BAJO umbral 0.4976</t>
        </is>
      </c>
    </row>
    <row r="13">
      <c r="A13" s="14" t="inlineStr">
        <is>
          <t>0.2650 - 0.3813 · DN 2</t>
        </is>
      </c>
      <c r="B13" s="32" t="n">
        <v>13.6452</v>
      </c>
      <c r="C13" s="31">
        <f>ROUND(B13/$B$15*100,2)</f>
        <v/>
      </c>
      <c r="D13" s="15" t="inlineStr">
        <is>
          <t>Vigor muy bajo</t>
        </is>
      </c>
      <c r="E13" s="15" t="inlineStr">
        <is>
          <t>BAJO umbral 0.4976</t>
        </is>
      </c>
    </row>
    <row r="14">
      <c r="A14" s="7" t="inlineStr">
        <is>
          <t>&lt;= 0.2650 · DN 1</t>
        </is>
      </c>
      <c r="B14" s="18" t="n">
        <v>7.2044</v>
      </c>
      <c r="C14" s="19">
        <f>ROUND(B14/$B$15*100,2)</f>
        <v/>
      </c>
      <c r="D14" s="11" t="inlineStr">
        <is>
          <t>Suelo desnudo / no vegetal</t>
        </is>
      </c>
      <c r="E14" s="11" t="inlineStr">
        <is>
          <t>BAJO umbral 0.4976</t>
        </is>
      </c>
    </row>
    <row r="15" ht="30" customHeight="1">
      <c r="A15" s="43" t="inlineStr">
        <is>
          <t>TOTAL CLASIFICADO MSAVI 2024</t>
        </is>
      </c>
      <c r="B15" s="44">
        <f>SUM(B10:B14)</f>
        <v/>
      </c>
      <c r="C15" s="45">
        <f>SUM(C10:C14)</f>
        <v/>
      </c>
      <c r="D15" s="43" t="inlineStr">
        <is>
          <t>Suma de la distribución areal · 113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24.344</v>
      </c>
      <c r="C18" s="49" t="inlineStr">
        <is>
          <t>—</t>
        </is>
      </c>
      <c r="D18" s="46" t="inlineStr">
        <is>
          <t>Desviación planimétrica frente al catálogo</t>
        </is>
      </c>
      <c r="E18" s="46" t="inlineStr">
        <is>
          <t>+0.00 %</t>
        </is>
      </c>
    </row>
    <row r="19">
      <c r="A19" s="16" t="inlineStr">
        <is>
          <t>MSAVI 2024 — MEDIA DEL BLOQUE</t>
        </is>
      </c>
      <c r="B19" s="17" t="n">
        <v>0.305456</v>
      </c>
      <c r="C19" s="17" t="inlineStr">
        <is>
          <t>—</t>
        </is>
      </c>
      <c r="D19" s="17" t="inlineStr">
        <is>
          <t>Vigor muy bajo · clase 0.2650 - 0.3813</t>
        </is>
      </c>
      <c r="E19" s="17" t="inlineStr">
        <is>
          <t>BAJO umbral 0.4976</t>
        </is>
      </c>
    </row>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113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(0.3055) se conserva del catálogo maestro y es dato oficial; la fila resaltada indica la clase en la que cae dicha media. Los totales y porcentajes se calculan con fórmulas sobre las filas del cuadro.</t>
        </is>
      </c>
      <c r="B21" s="41" t="n"/>
      <c r="C21" s="41" t="n"/>
      <c r="D21" s="41" t="n"/>
      <c r="E21" s="42" t="n"/>
    </row>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0.7023</v>
      </c>
      <c r="C25" s="19" t="n">
        <v>2.88</v>
      </c>
      <c r="D25" s="11" t="inlineStr">
        <is>
          <t>Dosel continuo, matorral denso o mosaico agroforestal</t>
        </is>
      </c>
      <c r="E25" s="11" t="inlineStr"/>
    </row>
    <row r="26">
      <c r="A26" s="12" t="inlineStr">
        <is>
          <t>Vegetación mediana</t>
        </is>
      </c>
      <c r="B26" s="20" t="n">
        <v>6.7655</v>
      </c>
      <c r="C26" s="21" t="n">
        <v>27.78</v>
      </c>
      <c r="D26" s="13" t="inlineStr">
        <is>
          <t>Pastizal cultivado, matorral ralo, parcelas agrícolas</t>
        </is>
      </c>
      <c r="E26" s="13" t="inlineStr"/>
    </row>
    <row r="27">
      <c r="A27" s="7" t="inlineStr">
        <is>
          <t>Vegetación ligera</t>
        </is>
      </c>
      <c r="B27" s="18" t="n">
        <v>14.618</v>
      </c>
      <c r="C27" s="19" t="n">
        <v>60.03</v>
      </c>
      <c r="D27" s="11" t="inlineStr">
        <is>
          <t>Cobertura discontinua, suelo parcialmente expuesto</t>
        </is>
      </c>
      <c r="E27" s="11" t="inlineStr"/>
    </row>
    <row r="28">
      <c r="A28" s="12" t="inlineStr">
        <is>
          <t>Tierra desnuda</t>
        </is>
      </c>
      <c r="B28" s="20" t="n">
        <v>2.2662</v>
      </c>
      <c r="C28" s="21" t="n">
        <v>9.31</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24.344</v>
      </c>
      <c r="C30" s="25" t="inlineStr">
        <is>
          <t>—</t>
        </is>
      </c>
      <c r="D30" s="25" t="inlineStr">
        <is>
          <t>Desviación planimétrica frente al catálogo</t>
        </is>
      </c>
      <c r="E30" s="25" t="inlineStr">
        <is>
          <t>+0.03 %</t>
        </is>
      </c>
    </row>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30 % frente a un 2.88 % del polígono clasificado como «Vegetación alta» por el NDVI 2025; la observación de campo corresponde a una parcela o recorrido puntual y no es estadísticamente representativa de las 24.344 ha del bloque.</t>
        </is>
      </c>
      <c r="B32" s="41" t="n"/>
      <c r="C32" s="41" t="n"/>
      <c r="D32" s="41" t="n"/>
      <c r="E32" s="42"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83</t>
        </is>
      </c>
    </row>
    <row r="6" ht="24" customHeight="1">
      <c r="A6" s="4" t="inlineStr">
        <is>
          <t>Levantamiento del 2026-08-14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639906</v>
      </c>
      <c r="D10" s="26" t="n">
        <v>9410562</v>
      </c>
      <c r="E10" s="11" t="n">
        <v>195.4</v>
      </c>
      <c r="F10" s="11" t="inlineStr"/>
      <c r="G10" s="11" t="inlineStr">
        <is>
          <t>Coordenada consignada en F-DT-01</t>
        </is>
      </c>
    </row>
    <row r="11">
      <c r="A11" s="12" t="inlineStr">
        <is>
          <t>H-01</t>
        </is>
      </c>
      <c r="B11" s="13" t="inlineStr">
        <is>
          <t>Fuente de agua — Río</t>
        </is>
      </c>
      <c r="C11" s="27" t="n">
        <v>639951</v>
      </c>
      <c r="D11" s="27" t="n">
        <v>9410982</v>
      </c>
      <c r="E11" s="13" t="n">
        <v>427.7</v>
      </c>
      <c r="F11" s="13" t="inlineStr">
        <is>
          <t>Permanente</t>
        </is>
      </c>
      <c r="G11" s="13" t="inlineStr">
        <is>
          <t>Cauce principal del fondo de valle</t>
        </is>
      </c>
    </row>
    <row r="12">
      <c r="A12" s="7" t="inlineStr">
        <is>
          <t>H-02</t>
        </is>
      </c>
      <c r="B12" s="11" t="inlineStr">
        <is>
          <t>Fuente de agua — Quebrada estacional</t>
        </is>
      </c>
      <c r="C12" s="26" t="n">
        <v>640025</v>
      </c>
      <c r="D12" s="26" t="n">
        <v>9410582</v>
      </c>
      <c r="E12" s="11" t="n">
        <v>307.6</v>
      </c>
      <c r="F12" s="11" t="inlineStr">
        <is>
          <t>POR VERIFICAR</t>
        </is>
      </c>
      <c r="G12" s="11" t="inlineStr">
        <is>
          <t>Cauce pedregoso interior</t>
        </is>
      </c>
    </row>
    <row r="13">
      <c r="A13" s="12" t="inlineStr">
        <is>
          <t>H-03</t>
        </is>
      </c>
      <c r="B13" s="13" t="inlineStr">
        <is>
          <t>Fuente de agua — Quebrada estacional</t>
        </is>
      </c>
      <c r="C13" s="27" t="n">
        <v>639906</v>
      </c>
      <c r="D13" s="27" t="n">
        <v>9410562</v>
      </c>
      <c r="E13" s="13" t="n">
        <v>195.4</v>
      </c>
      <c r="F13" s="13" t="inlineStr">
        <is>
          <t>POR VERIFICAR</t>
        </is>
      </c>
      <c r="G13" s="13" t="inlineStr">
        <is>
          <t>Cauce interior con lecho de bolonería</t>
        </is>
      </c>
    </row>
    <row r="14">
      <c r="A14" s="7" t="inlineStr">
        <is>
          <t>H-04</t>
        </is>
      </c>
      <c r="B14" s="11" t="inlineStr">
        <is>
          <t>Fuente de agua — Canal de riego</t>
        </is>
      </c>
      <c r="C14" s="26" t="n">
        <v>639951</v>
      </c>
      <c r="D14" s="26" t="n">
        <v>9410982</v>
      </c>
      <c r="E14" s="11" t="n">
        <v>427.7</v>
      </c>
      <c r="F14" s="11" t="inlineStr">
        <is>
          <t>POR VERIFICAR</t>
        </is>
      </c>
      <c r="G14" s="11" t="inlineStr">
        <is>
          <t>Parcelas de plátano bajo riego</t>
        </is>
      </c>
    </row>
    <row r="15">
      <c r="A15" s="16" t="inlineStr">
        <is>
          <t>TOTAL: 5 puntos</t>
        </is>
      </c>
      <c r="B15" s="17" t="inlineStr"/>
      <c r="C15" s="17" t="inlineStr"/>
      <c r="D15" s="17" t="inlineStr"/>
      <c r="E15" s="17" t="inlineStr"/>
      <c r="F15" s="17" t="inlineStr"/>
      <c r="G15" s="17" t="inlineStr"/>
    </row>
    <row r="17">
      <c r="A17" s="6" t="inlineStr">
        <is>
          <t>Centroide del bloque — UTM ESTE (m)</t>
        </is>
      </c>
      <c r="B17" s="7" t="n">
        <v>639720</v>
      </c>
      <c r="C17" s="6" t="inlineStr">
        <is>
          <t>Centroide del bloque — UTM NORTE (m)</t>
        </is>
      </c>
      <c r="D17" s="7" t="n">
        <v>9410622</v>
      </c>
      <c r="E17" s="8" t="n"/>
      <c r="F17" s="8" t="n"/>
      <c r="G17" s="8" t="n"/>
      <c r="H17" s="8" t="n"/>
    </row>
    <row r="18">
      <c r="A18" s="6" t="inlineStr">
        <is>
          <t>N.° de estaciones fotográficas declaradas</t>
        </is>
      </c>
      <c r="B18" s="7" t="n">
        <v>0</v>
      </c>
      <c r="C18" s="6" t="inlineStr">
        <is>
          <t>Estaciones dentro del polígono</t>
        </is>
      </c>
      <c r="D18" s="7" t="n">
        <v>0</v>
      </c>
      <c r="E18" s="8" t="n"/>
      <c r="F18" s="8" t="n"/>
      <c r="G18" s="8" t="n"/>
      <c r="H18" s="8" t="n"/>
    </row>
    <row r="20" ht="144"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BLOQUE NO REGISTRADO EN LOS CATÁLOGOS «Bloques V4» NI «Bloques V5»; procede del REPORTE_BLOQUES_V6 y de la capa cartográfica «Bloques extras». Se añadió el registro a la hoja auxiliar exclusivamente para habilitar los VLOOKUP (D-02). CENTROIDE POR RESTITUCIÓN CARTOGRÁFICA (±30 m). ALTITUD GPS SIN CONSIGNAR: la cota EXIF de los fotogramas (346.97-425.77 msnm) corresponde a LA AERONAVE y no al terreno (≈235-355 msnm). Rango altitudinal y pendiente REFERENCIALES, derivados de un transecto de 261 m en Google Earth (mín. 233 · media 252 · máx. 275 msnm; pendiente media 15.7%, máxima 31.0%); NO equivalen a estadística zonal del DEM, no disponible para este bloque.</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C1081-Q9583 — BLOQUE 83</t>
        </is>
      </c>
    </row>
    <row r="6" ht="24" customHeight="1">
      <c r="A6" s="4" t="inlineStr">
        <is>
          <t>Distrito de San Juan de Bigote · Provincia de Morropon · Comparación de los bloques preliminares de intervención de la misma microcuenca</t>
        </is>
      </c>
    </row>
    <row r="8" ht="18" customHeight="1">
      <c r="A8" s="5" t="inlineStr">
        <is>
          <t>BLOQUES DE LA MICROCUENCA C1081-Q9583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M11B3</t>
        </is>
      </c>
      <c r="B10" s="28" t="n">
        <v>106.03</v>
      </c>
      <c r="C10" s="19" t="n">
        <v>26.64</v>
      </c>
      <c r="D10" s="11" t="inlineStr">
        <is>
          <t>278 – 477</t>
        </is>
      </c>
      <c r="E10" s="11" t="n">
        <v>199</v>
      </c>
      <c r="F10" s="11" t="n">
        <v>18.11</v>
      </c>
      <c r="G10" s="18" t="n">
        <v>0.3956</v>
      </c>
      <c r="H10" s="19" t="n">
        <v>21.16</v>
      </c>
      <c r="I10" s="19" t="n">
        <v>88.87</v>
      </c>
    </row>
    <row r="11">
      <c r="A11" s="12" t="inlineStr">
        <is>
          <t>24</t>
        </is>
      </c>
      <c r="B11" s="29" t="n">
        <v>90.16</v>
      </c>
      <c r="C11" s="21" t="n">
        <v>22.65</v>
      </c>
      <c r="D11" s="13" t="inlineStr">
        <is>
          <t>1319 – 1887</t>
        </is>
      </c>
      <c r="E11" s="13" t="n">
        <v>568</v>
      </c>
      <c r="F11" s="13" t="n">
        <v>32.98</v>
      </c>
      <c r="G11" s="20" t="n">
        <v>0.6748</v>
      </c>
      <c r="H11" s="21" t="n">
        <v>98.51000000000001</v>
      </c>
      <c r="I11" s="21" t="n">
        <v>2.29</v>
      </c>
    </row>
    <row r="12">
      <c r="A12" s="7" t="inlineStr">
        <is>
          <t>87</t>
        </is>
      </c>
      <c r="B12" s="28" t="n">
        <v>62.219</v>
      </c>
      <c r="C12" s="19" t="n">
        <v>15.63</v>
      </c>
      <c r="D12" s="11" t="inlineStr">
        <is>
          <t>Por determinar</t>
        </is>
      </c>
      <c r="E12" s="11" t="inlineStr">
        <is>
          <t>Por determinar</t>
        </is>
      </c>
      <c r="F12" s="11" t="inlineStr">
        <is>
          <t>Por determinar</t>
        </is>
      </c>
      <c r="G12" s="18" t="n">
        <v>0.2487</v>
      </c>
      <c r="H12" s="19" t="n">
        <v>0.34</v>
      </c>
      <c r="I12" s="19" t="n">
        <v>99.72</v>
      </c>
    </row>
    <row r="13">
      <c r="A13" s="12" t="inlineStr">
        <is>
          <t>63</t>
        </is>
      </c>
      <c r="B13" s="29" t="n">
        <v>50.46</v>
      </c>
      <c r="C13" s="21" t="n">
        <v>12.68</v>
      </c>
      <c r="D13" s="13" t="inlineStr">
        <is>
          <t>1508 – 2080</t>
        </is>
      </c>
      <c r="E13" s="13" t="n">
        <v>572</v>
      </c>
      <c r="F13" s="13" t="n">
        <v>35.5</v>
      </c>
      <c r="G13" s="20" t="n">
        <v>0.6036</v>
      </c>
      <c r="H13" s="21" t="n">
        <v>99.2</v>
      </c>
      <c r="I13" s="21" t="n">
        <v>2.95</v>
      </c>
    </row>
    <row r="14">
      <c r="A14" s="7" t="inlineStr">
        <is>
          <t>86</t>
        </is>
      </c>
      <c r="B14" s="28" t="n">
        <v>30.001</v>
      </c>
      <c r="C14" s="19" t="n">
        <v>7.54</v>
      </c>
      <c r="D14" s="11" t="inlineStr">
        <is>
          <t>Por determinar</t>
        </is>
      </c>
      <c r="E14" s="11" t="inlineStr">
        <is>
          <t>Por determinar</t>
        </is>
      </c>
      <c r="F14" s="11" t="inlineStr">
        <is>
          <t>Por determinar</t>
        </is>
      </c>
      <c r="G14" s="18" t="n">
        <v>0.2735</v>
      </c>
      <c r="H14" s="19" t="n">
        <v>1.05</v>
      </c>
      <c r="I14" s="19" t="n">
        <v>99.62</v>
      </c>
    </row>
    <row r="15">
      <c r="A15" s="14" t="inlineStr">
        <is>
          <t>► 83</t>
        </is>
      </c>
      <c r="B15" s="30" t="n">
        <v>24.344</v>
      </c>
      <c r="C15" s="31" t="n">
        <v>6.12</v>
      </c>
      <c r="D15" s="15" t="inlineStr">
        <is>
          <t>Por determinar</t>
        </is>
      </c>
      <c r="E15" s="15" t="inlineStr">
        <is>
          <t>Por determinar</t>
        </is>
      </c>
      <c r="F15" s="15" t="inlineStr">
        <is>
          <t>Por determinar</t>
        </is>
      </c>
      <c r="G15" s="32" t="n">
        <v>0.3055</v>
      </c>
      <c r="H15" s="31" t="n">
        <v>2.88</v>
      </c>
      <c r="I15" s="31" t="n">
        <v>99.39</v>
      </c>
    </row>
    <row r="16">
      <c r="A16" s="7" t="inlineStr">
        <is>
          <t>77</t>
        </is>
      </c>
      <c r="B16" s="28" t="n">
        <v>17.82</v>
      </c>
      <c r="C16" s="19" t="n">
        <v>4.48</v>
      </c>
      <c r="D16" s="11" t="inlineStr">
        <is>
          <t>242 – 346</t>
        </is>
      </c>
      <c r="E16" s="11" t="n">
        <v>104</v>
      </c>
      <c r="F16" s="11" t="n">
        <v>13.71</v>
      </c>
      <c r="G16" s="18" t="n">
        <v>0.2725</v>
      </c>
      <c r="H16" s="19" t="n">
        <v>0.11</v>
      </c>
      <c r="I16" s="19" t="n">
        <v>99.78</v>
      </c>
    </row>
    <row r="17">
      <c r="A17" s="12" t="inlineStr">
        <is>
          <t>85</t>
        </is>
      </c>
      <c r="B17" s="29" t="n">
        <v>11.906</v>
      </c>
      <c r="C17" s="21" t="n">
        <v>2.99</v>
      </c>
      <c r="D17" s="13" t="inlineStr">
        <is>
          <t>Por determinar</t>
        </is>
      </c>
      <c r="E17" s="13" t="inlineStr">
        <is>
          <t>Por determinar</t>
        </is>
      </c>
      <c r="F17" s="13" t="inlineStr">
        <is>
          <t>Por determinar</t>
        </is>
      </c>
      <c r="G17" s="20" t="n">
        <v>0.2289</v>
      </c>
      <c r="H17" s="21" t="n">
        <v>0</v>
      </c>
      <c r="I17" s="21" t="n">
        <v>100</v>
      </c>
    </row>
    <row r="18">
      <c r="A18" s="7" t="inlineStr">
        <is>
          <t>84</t>
        </is>
      </c>
      <c r="B18" s="28" t="n">
        <v>5.097</v>
      </c>
      <c r="C18" s="19" t="n">
        <v>1.28</v>
      </c>
      <c r="D18" s="11" t="inlineStr">
        <is>
          <t>Por determinar</t>
        </is>
      </c>
      <c r="E18" s="11" t="inlineStr">
        <is>
          <t>Por determinar</t>
        </is>
      </c>
      <c r="F18" s="11" t="inlineStr">
        <is>
          <t>Por determinar</t>
        </is>
      </c>
      <c r="G18" s="18" t="n">
        <v>0.2516</v>
      </c>
      <c r="H18" s="19" t="n">
        <v>0</v>
      </c>
      <c r="I18" s="19" t="n">
        <v>100</v>
      </c>
    </row>
    <row r="19">
      <c r="A19" s="16" t="inlineStr">
        <is>
          <t>TOTAL / PROMEDIO</t>
        </is>
      </c>
      <c r="B19" s="33">
        <f>SUM(B10:B18)</f>
        <v/>
      </c>
      <c r="C19" s="23">
        <f>SUM(C10:C18)</f>
        <v/>
      </c>
      <c r="D19" s="17" t="inlineStr">
        <is>
          <t>242 – 2080</t>
        </is>
      </c>
      <c r="E19" s="17" t="inlineStr"/>
      <c r="F19" s="17">
        <f>ROUND(AVERAGE(F10:F18),2)</f>
        <v/>
      </c>
      <c r="G19" s="22">
        <f>ROUND(AVERAGE(G10:G18),4)</f>
        <v/>
      </c>
      <c r="H19" s="23">
        <f>ROUND(AVERAGE(H10:H18),2)</f>
        <v/>
      </c>
      <c r="I19" s="23">
        <f>ROUND(AVERAGE(I10:I18),2)</f>
        <v/>
      </c>
    </row>
    <row r="20" ht="48" customHeight="1">
      <c r="A20" s="9" t="inlineStr">
        <is>
          <t>ALCANCE DE LOS PROMEDIOS. La fila TOTAL / PROMEDIO omite las celdas «Por determinar»: los promedios de PENDIENTE y MSAVI 2024 se calculan sobre 4 de los 9 bloques de la microcuenca; los 5 bloques restantes carecen de dato derivado del MDE. Los totales de ÁREA y % de microcuenca sí comprenden la totalidad de los 9 bloques. No se estima ningún valor ausente.</t>
        </is>
      </c>
      <c r="B20" s="41" t="n"/>
      <c r="C20" s="41" t="n"/>
      <c r="D20" s="41" t="n"/>
      <c r="E20" s="41" t="n"/>
      <c r="F20" s="41" t="n"/>
      <c r="G20" s="41" t="n"/>
      <c r="H20" s="41" t="n"/>
      <c r="I20" s="42" t="n"/>
    </row>
    <row r="22" ht="48" customHeight="1">
      <c r="A22" s="9" t="inlineStr">
        <is>
          <t>LECTURA INTRAMICROCUENCA. El bloque 83 ocupa el puesto 6 de 9 por superficie dentro de la microcuenca C1081-Q9583 (6.12 % de las 398.04 ha preliminares de la microcuenca). El cuadro conserva todos los bloques catalogados en la microcuenca, incluidos los descartados en el tamizaje, para referencia del conjunto. Los bloques sin ficha DT figuran con sus parámetros de gabinete. BRECHA ESPECTRAL. El 99.39 % de la superficie del bloque (24.196 ha de 24.344 ha) se sitúa bajo el umbral MSAVI 0.4976, por encima del promedio local de la microcuenca (76.96 %) calculado sobre los bloques con dato MSAVI disponible.</t>
        </is>
      </c>
      <c r="B22" s="41" t="n"/>
      <c r="C22" s="41" t="n"/>
      <c r="D22" s="41" t="n"/>
      <c r="E22" s="41" t="n"/>
      <c r="F22" s="41" t="n"/>
      <c r="G22" s="41" t="n"/>
      <c r="H22" s="41" t="n"/>
      <c r="I22" s="42" t="n"/>
    </row>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1" t="n"/>
      <c r="I24" s="42" t="n"/>
    </row>
  </sheetData>
  <mergeCells count="10">
    <mergeCell ref="A2:I2"/>
    <mergeCell ref="A5:I5"/>
    <mergeCell ref="A1:I1"/>
    <mergeCell ref="A8:I8"/>
    <mergeCell ref="A3:I3"/>
    <mergeCell ref="A6:I6"/>
    <mergeCell ref="A22:I22"/>
    <mergeCell ref="A4:I4"/>
    <mergeCell ref="A20:I20"/>
    <mergeCell ref="A24:I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3"/>
  <sheetViews>
    <sheetView workbookViewId="0">
      <pane ySplit="8" topLeftCell="A9" activePane="bottomLeft" state="frozen"/>
      <selection pane="bottomLeft" activeCell="A1" sqref="A1"/>
    </sheetView>
  </sheetViews>
  <sheetFormatPr baseColWidth="8" defaultRowHeight="15"/>
  <cols>
    <col width="8" customWidth="1" min="1" max="1"/>
    <col width="30" customWidth="1" min="2" max="2"/>
    <col width="62" customWidth="1" min="3" max="3"/>
    <col width="16" customWidth="1" min="4" max="4"/>
    <col width="62" customWidth="1" min="5" max="5"/>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CONTROL DE CONSISTENCIA — BLOQUE 83</t>
        </is>
      </c>
    </row>
    <row r="6">
      <c r="A6" s="52" t="inlineStr">
        <is>
          <t>Cruce de la ficha de campo F-DT vigente con la ficha de resumen de gabinete y el catálogo maestro. Integración 2026-09-11 21:26:31.</t>
        </is>
      </c>
    </row>
    <row r="7">
      <c r="A7" s="54" t="inlineStr">
        <is>
          <t>DISCREPANCIAS Y VERIFICACIONES</t>
        </is>
      </c>
    </row>
    <row r="8">
      <c r="A8" s="55" t="inlineStr">
        <is>
          <t>Cod.</t>
        </is>
      </c>
      <c r="B8" s="55" t="inlineStr">
        <is>
          <t>Campo afectado</t>
        </is>
      </c>
      <c r="C8" s="55" t="inlineStr">
        <is>
          <t>Discrepancia observada</t>
        </is>
      </c>
      <c r="D8" s="55" t="inlineStr">
        <is>
          <t>Calificación</t>
        </is>
      </c>
      <c r="E8" s="55" t="inlineStr">
        <is>
          <t>Tratamiento adoptado</t>
        </is>
      </c>
    </row>
    <row r="9">
      <c r="A9" s="56" t="inlineStr">
        <is>
          <t>G-01</t>
        </is>
      </c>
      <c r="B9" s="56" t="inlineStr">
        <is>
          <t>Código de microcuenca</t>
        </is>
      </c>
      <c r="C9" s="56" t="inlineStr">
        <is>
          <t>Ficha DT y catálogo maestro coinciden en «C1081-Q9583».</t>
        </is>
      </c>
      <c r="D9" s="56" t="inlineStr">
        <is>
          <t>CONFORME</t>
        </is>
      </c>
      <c r="E9" s="56" t="inlineStr">
        <is>
          <t>Sin acción.</t>
        </is>
      </c>
    </row>
    <row r="10">
      <c r="A10" s="57" t="inlineStr">
        <is>
          <t>G-02</t>
        </is>
      </c>
      <c r="B10" s="57" t="inlineStr">
        <is>
          <t>UTM del punto de muestreo</t>
        </is>
      </c>
      <c r="C10" s="57" t="inlineStr">
        <is>
          <t>El punto de muestreo declarado dista 195.4 m del centroide, dentro del radio de control.</t>
        </is>
      </c>
      <c r="D10" s="57" t="inlineStr">
        <is>
          <t>CONFORME</t>
        </is>
      </c>
      <c r="E10" s="57" t="inlineStr">
        <is>
          <t>Sin acción.</t>
        </is>
      </c>
    </row>
    <row r="11">
      <c r="A11" s="56" t="inlineStr">
        <is>
          <t>G-03</t>
        </is>
      </c>
      <c r="B11" s="56" t="inlineStr">
        <is>
          <t>Sistema de referencia UTM 17S</t>
        </is>
      </c>
      <c r="C11" s="56" t="inlineStr">
        <is>
          <t>Verificación de rango para EPSG:32717: Conforme.</t>
        </is>
      </c>
      <c r="D11" s="56" t="inlineStr">
        <is>
          <t>CONFORME</t>
        </is>
      </c>
      <c r="E11" s="56" t="inlineStr">
        <is>
          <t>Sin acción.</t>
        </is>
      </c>
    </row>
    <row r="12">
      <c r="A12" s="57" t="inlineStr">
        <is>
          <t>G-04</t>
        </is>
      </c>
      <c r="B12" s="57" t="inlineStr">
        <is>
          <t>Altitud del punto de muestreo</t>
        </is>
      </c>
      <c r="C12" s="57" t="inlineStr">
        <is>
          <t>No es posible contrastar la altitud GPS con el rango altitudinal del bloque: falta uno de los dos datos.</t>
        </is>
      </c>
      <c r="D12" s="57" t="inlineStr">
        <is>
          <t>NO SUSTANTIVA</t>
        </is>
      </c>
      <c r="E12" s="57" t="inlineStr">
        <is>
          <t>Se completa con la lectura GPS de F-DT-01 o con la estadística zonal del MDE.</t>
        </is>
      </c>
    </row>
    <row r="13">
      <c r="A13" s="56" t="inlineStr">
        <is>
          <t>G-05</t>
        </is>
      </c>
      <c r="B13" s="56" t="inlineStr">
        <is>
          <t>Superficie NDVI vs. catálogo</t>
        </is>
      </c>
      <c r="C13" s="56" t="inlineStr">
        <is>
          <t>La superficie clasificada por el NDVI mediana 2025 (24.352 ha) se desvía 0.03 % de la superficie de catálogo (24.34 ha).</t>
        </is>
      </c>
      <c r="D13" s="56" t="inlineStr">
        <is>
          <t>CONFORME</t>
        </is>
      </c>
      <c r="E13" s="56" t="inlineStr">
        <is>
          <t>Sin acción: la segmentación valida la geometría del bloque.</t>
        </is>
      </c>
    </row>
    <row r="14">
      <c r="A14" s="57" t="inlineStr">
        <is>
          <t>G-06</t>
        </is>
      </c>
      <c r="B14" s="57" t="inlineStr">
        <is>
          <t>Superficie MSAVI vs. catálogo</t>
        </is>
      </c>
      <c r="C14" s="57" t="inlineStr">
        <is>
          <t>La superficie clasificada por el MSAVI 2024 (24.344 ha) se desvía 0.00 % de la superficie de catálogo (24.34 ha).</t>
        </is>
      </c>
      <c r="D14" s="57" t="inlineStr">
        <is>
          <t>CONFORME</t>
        </is>
      </c>
      <c r="E14" s="57" t="inlineStr">
        <is>
          <t>Sin acción: la segmentación valida la geometría del bloque.</t>
        </is>
      </c>
    </row>
    <row r="15">
      <c r="A15" s="56" t="inlineStr">
        <is>
          <t>G-07</t>
        </is>
      </c>
      <c r="B15" s="56" t="inlineStr">
        <is>
          <t>Brecha espectral MSAVI</t>
        </is>
      </c>
      <c r="C15" s="56" t="inlineStr">
        <is>
          <t>El 99.39 % del bloque queda bajo el umbral 0.4976; superficie de brecha 24.20 ha.</t>
        </is>
      </c>
      <c r="D15" s="56" t="inlineStr">
        <is>
          <t>CONFORME</t>
        </is>
      </c>
      <c r="E15" s="56" t="inlineStr">
        <is>
          <t>Sin acción: alimenta el indicador de brecha del proyecto.</t>
        </is>
      </c>
    </row>
    <row r="16">
      <c r="A16" s="57" t="inlineStr">
        <is>
          <t>G-08</t>
        </is>
      </c>
      <c r="B16" s="57" t="inlineStr">
        <is>
          <t>Distribución areal MSAVI 2024</t>
        </is>
      </c>
      <c r="C16" s="57" t="inlineStr">
        <is>
          <t>La hoja de cobertura declara 5 clases DN con superficie, 24.34 ha clasificadas en total.</t>
        </is>
      </c>
      <c r="D16" s="57" t="inlineStr">
        <is>
          <t>CONFORME</t>
        </is>
      </c>
      <c r="E16" s="57" t="inlineStr">
        <is>
          <t>Sin acción: procede de la estadística zonal del raster MSAVI 2024 clasificado.</t>
        </is>
      </c>
    </row>
    <row r="17">
      <c r="A17" s="56" t="inlineStr">
        <is>
          <t>G-09</t>
        </is>
      </c>
      <c r="B17" s="56" t="inlineStr">
        <is>
          <t>Media MSAVI vs. clase DN dominante</t>
        </is>
      </c>
      <c r="C17" s="56" t="inlineStr">
        <is>
          <t>La media del bloque (0.3055) cae en la clase «0.2650 - 0.3813 (Vigor muy bajo)» y la clase DN dominante por superficie es «DN 2 · 0.2650 - 0.3813 (Vigor muy bajo)».</t>
        </is>
      </c>
      <c r="D17" s="56" t="inlineStr">
        <is>
          <t>CONFORME</t>
        </is>
      </c>
      <c r="E17" s="56" t="inlineStr">
        <is>
          <t>Sin acción: media y clase dominante son coherentes.</t>
        </is>
      </c>
    </row>
    <row r="18">
      <c r="A18" s="57" t="inlineStr">
        <is>
          <t>G-10</t>
        </is>
      </c>
      <c r="B18" s="57" t="inlineStr">
        <is>
          <t>Peligro integrado (MCA-AHP)</t>
        </is>
      </c>
      <c r="C18" s="57" t="inlineStr">
        <is>
          <t>El nivel de peligro integrado no está disponible en los insumos de este entregable.</t>
        </is>
      </c>
      <c r="D18" s="57" t="inlineStr">
        <is>
          <t>SUSTANTIVA</t>
        </is>
      </c>
      <c r="E18" s="57" t="inlineStr">
        <is>
          <t>Debe tomarse del modelamiento de mesolocalización (MCA-AHP de PMM, EPH y PGI) antes de cerrar el perfil.</t>
        </is>
      </c>
    </row>
    <row r="19">
      <c r="A19" s="56" t="inlineStr">
        <is>
          <t>I-01</t>
        </is>
      </c>
      <c r="B19" s="56" t="inlineStr">
        <is>
          <t>Responsable de la evaluación</t>
        </is>
      </c>
      <c r="C19" s="56" t="inlineStr">
        <is>
          <t>El libro de resumen V6 consignaba «Ing. Héctor Salomón Cahuas Miller — SESDI»; la ficha de campo vigente declara «Gabinete SESDI · Levantamiento RPA 14-08-2026 (operador POR CONFIRMAR)».</t>
        </is>
      </c>
      <c r="D19" s="56" t="inlineStr">
        <is>
          <t>CORREGIDO</t>
        </is>
      </c>
      <c r="E19" s="56" t="inlineStr">
        <is>
          <t>Se adopta el valor de campo por ser la fuente que manda sobre el dato y la más reciente. El valor anterior queda declarado para trazabilidad.</t>
        </is>
      </c>
    </row>
    <row r="20">
      <c r="A20" s="57" t="inlineStr">
        <is>
          <t>F-01</t>
        </is>
      </c>
      <c r="B20" s="57" t="inlineStr">
        <is>
          <t>Fichas F-DT levantadas</t>
        </is>
      </c>
      <c r="C20" s="57" t="inlineStr">
        <is>
          <t>La plantilla de campo trae las cinco fichas F-DT-01 a F-DT-05 (completitud 89.3 % de los campos esperados).</t>
        </is>
      </c>
      <c r="D20" s="57" t="inlineStr">
        <is>
          <t>CONFORME</t>
        </is>
      </c>
      <c r="E20" s="57" t="inlineStr">
        <is>
          <t>Sin acción.</t>
        </is>
      </c>
    </row>
    <row r="21">
      <c r="A21" s="56" t="inlineStr">
        <is>
          <t>F-02</t>
        </is>
      </c>
      <c r="B21" s="56" t="inlineStr">
        <is>
          <t>Cobertura de la integración</t>
        </is>
      </c>
      <c r="C21" s="56" t="inlineStr">
        <is>
          <t>Se declararon 91 de 114 hechos integrados (79.8 %); 23 quedan sin dato en ninguna fuente.</t>
        </is>
      </c>
      <c r="D21" s="56" t="inlineStr">
        <is>
          <t>CONFORME</t>
        </is>
      </c>
      <c r="E21" s="56" t="inlineStr">
        <is>
          <t>Sin acción.</t>
        </is>
      </c>
    </row>
    <row r="22">
      <c r="A22" s="57" t="inlineStr">
        <is>
          <t>H-01</t>
        </is>
      </c>
      <c r="B22" s="57" t="inlineStr">
        <is>
          <t>Rango de pendiente dominante</t>
        </is>
      </c>
      <c r="C22" s="57" t="inlineStr">
        <is>
          <t>La ficha DT declara «15-25% (Fuert. inclinado)»; la estadística zonal sobre el MDE arroja una pendiente promedio de 0.00 %, que corresponde a la clase «0-8% (Plano-lig. inclinado)»</t>
        </is>
      </c>
      <c r="D22" s="57" t="inlineStr">
        <is>
          <t>NO SUSTANTIVA</t>
        </is>
      </c>
      <c r="E22" s="57" t="inlineStr">
        <is>
          <t>Se conserva el registro de campo como observación de sector y se adopta el valor del MDE para el cálculo intramicrocuenca. La divergencia es esperable: el dato de campo es puntual y el del MDE es promedio del polígono. (Verificación heredada de la ficha de resumen V6.)</t>
        </is>
      </c>
    </row>
    <row r="23">
      <c r="A23" s="56" t="inlineStr">
        <is>
          <t>H-02</t>
        </is>
      </c>
      <c r="B23" s="56" t="inlineStr">
        <is>
          <t>Cobertura vegetal total</t>
        </is>
      </c>
      <c r="C23" s="56" t="inlineStr">
        <is>
          <t>La ficha DT estima 30 % de cobertura vegetal en campo; el NDVI mediana 2025 clasifica 90.69 % del polígono en clases de vegetación</t>
        </is>
      </c>
      <c r="D23" s="56" t="inlineStr">
        <is>
          <t>NO SUSTANTIVA</t>
        </is>
      </c>
      <c r="E23" s="56" t="inlineStr">
        <is>
          <t>Se declaran ambos valores. La observación de campo corresponde a una parcela o recorrido puntual y no es representativa de la totalidad del bloque; el índice espectral no discrimina composición ni integridad ecosistémica. (Verificación heredada de la ficha de resumen V6.)</t>
        </is>
      </c>
    </row>
    <row r="24">
      <c r="A24" s="57" t="inlineStr">
        <is>
          <t>H-03</t>
        </is>
      </c>
      <c r="B24" s="57" t="inlineStr">
        <is>
          <t>Representatividad del levantamiento</t>
        </is>
      </c>
      <c r="C24" s="57" t="inlineStr">
        <is>
          <t>Ninguna de las estaciones fotográficas georreferenciadas se localiza dentro del polígono del bloque</t>
        </is>
      </c>
      <c r="D24" s="57" t="inlineStr">
        <is>
          <t>SUSTANTIVA</t>
        </is>
      </c>
      <c r="E24" s="57" t="inlineStr">
        <is>
          <t>La verificación documenta el perímetro y la vista panorámica del bloque, no su interior. Los parámetros que exigen recorrido interno se consignan «Por determinar». (Verificación heredada de la ficha de resumen V6.)</t>
        </is>
      </c>
    </row>
    <row r="25">
      <c r="A25" s="56" t="inlineStr">
        <is>
          <t>H-04</t>
        </is>
      </c>
      <c r="B25" s="56" t="inlineStr">
        <is>
          <t>F-DT-01</t>
        </is>
      </c>
      <c r="C25" s="56" t="inlineStr">
        <is>
          <t>D-02: bloque NO registrado en «Bloques V4» ni «Bloques V5»; procede del REPORTE_BLOQUES_V6 y de «Bloques extras»</t>
        </is>
      </c>
      <c r="D25" s="56" t="inlineStr">
        <is>
          <t>SUSTANTIVA</t>
        </is>
      </c>
      <c r="E25" s="56" t="inlineStr">
        <is>
          <t>Registro añadido a la hoja auxiliar solo para habilitar VLOOKUP; regularizar en el catálogo maestro (Verificación heredada de la ficha de resumen V6.)</t>
        </is>
      </c>
    </row>
    <row r="26">
      <c r="A26" s="57" t="inlineStr">
        <is>
          <t>H-05</t>
        </is>
      </c>
      <c r="B26" s="57" t="inlineStr">
        <is>
          <t>F-DT-02</t>
        </is>
      </c>
      <c r="C26" s="57" t="inlineStr">
        <is>
          <t>Inventario georreferenciado de cárcavas no ejecutado</t>
        </is>
      </c>
      <c r="D26" s="57" t="inlineStr">
        <is>
          <t>SUSTANTIVA</t>
        </is>
      </c>
      <c r="E26" s="57" t="inlineStr">
        <is>
          <t>La ausencia de registro no equivale a ausencia del proceso (Verificación heredada de la ficha de resumen V6.)</t>
        </is>
      </c>
    </row>
    <row r="27">
      <c r="A27" s="56" t="inlineStr">
        <is>
          <t>H-06</t>
        </is>
      </c>
      <c r="B27" s="56" t="inlineStr">
        <is>
          <t>F-DT-03</t>
        </is>
      </c>
      <c r="C27" s="56" t="inlineStr">
        <is>
          <t>Las 15 especies se REPLICAN de los bloques 85, 86 y 87 por indicación de la Subdirección; no hay muestreo propio</t>
        </is>
      </c>
      <c r="D27" s="56" t="inlineStr">
        <is>
          <t>SUSTANTIVA</t>
        </is>
      </c>
      <c r="E27" s="56" t="inlineStr">
        <is>
          <t>No constituye inventario del bloque 83 (Verificación heredada de la ficha de resumen V6.)</t>
        </is>
      </c>
    </row>
    <row r="28">
      <c r="A28" s="57" t="inlineStr">
        <is>
          <t>H-07</t>
        </is>
      </c>
      <c r="B28" s="57" t="inlineStr">
        <is>
          <t>F-DT-04</t>
        </is>
      </c>
      <c r="C28" s="57" t="inlineStr">
        <is>
          <t>Velocidad de degradación sin consignar (falta serie TAU y MSAVI multianual)</t>
        </is>
      </c>
      <c r="D28" s="57" t="inlineStr">
        <is>
          <t>SUSTANTIVA</t>
        </is>
      </c>
      <c r="E28" s="57" t="inlineStr">
        <is>
          <t>Procesar serie temporal (Verificación heredada de la ficha de resumen V6.)</t>
        </is>
      </c>
    </row>
    <row r="29">
      <c r="A29" s="56" t="inlineStr">
        <is>
          <t>H-08</t>
        </is>
      </c>
      <c r="B29" s="56" t="inlineStr">
        <is>
          <t>F-DT-05</t>
        </is>
      </c>
      <c r="C29" s="56" t="inlineStr">
        <is>
          <t>La vía es ASFALTADA con badenes, no «afirmada» como consignan los informes del sector Dotor</t>
        </is>
      </c>
      <c r="D29" s="56" t="inlineStr">
        <is>
          <t>NO SUSTANTIVA</t>
        </is>
      </c>
      <c r="E29" s="56" t="inlineStr">
        <is>
          <t>Corregir en la memoria; código MTC por verificar (Verificación heredada de la ficha de resumen V6.)</t>
        </is>
      </c>
    </row>
    <row r="31">
      <c r="A31" s="58" t="inlineStr">
        <is>
          <t>RESUMEN</t>
        </is>
      </c>
      <c r="B31" s="59" t="inlineStr">
        <is>
          <t>21 verificaciones</t>
        </is>
      </c>
      <c r="C31" s="59" t="inlineStr">
        <is>
          <t>SUSTANTIVA: 6 · NO SUSTANTIVA: 4 · CORREGIDO: 1 · CONFORME: 10</t>
        </is>
      </c>
    </row>
    <row r="33">
      <c r="A33" s="60" t="inlineStr">
        <is>
          <t>NOTA METODOLÓGICA. Este control se genera del cruce automático entre la plantilla DT de campo vigente (fichas F-DT-01 a F-DT-05) y la ficha de resumen de gabinete. Cada hecho territorial se declara una sola vez, con la fuente que manda sobre el: campo para lo observado en terreno, gabinete para lo derivado del MDE y de los compuestos Sentinel-2, y fuente oficial para el catálogo maestro de bloques, la división política INEI y la codificación de microcuencas de la ANA. Ningún valor ausente se estima: lo que ninguna fuente declara se consigna como pendiente. Sistema de referencia UTM WGS 84 Zona 17S (EPSG:32717).</t>
        </is>
      </c>
    </row>
  </sheetData>
  <mergeCells count="7">
    <mergeCell ref="A4:E4"/>
    <mergeCell ref="A2:E2"/>
    <mergeCell ref="A33:E33"/>
    <mergeCell ref="A1:E1"/>
    <mergeCell ref="A5:E5"/>
    <mergeCell ref="A6:E6"/>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cols>
    <col width="34" customWidth="1" min="1" max="1"/>
    <col width="38" customWidth="1" min="2" max="2"/>
    <col width="44" customWidth="1" min="3" max="3"/>
    <col width="44" customWidth="1" min="4" max="4"/>
    <col width="24" customWidth="1" min="5" max="5"/>
    <col width="18" customWidth="1" min="6" max="6"/>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INTEGRACIÓN DE LA FICHA DE CAMPO — BLOQUE 83</t>
        </is>
      </c>
    </row>
    <row r="7">
      <c r="A7" s="54" t="inlineStr">
        <is>
          <t>A. HECHOS ACTUALIZADOS POR LA VERIFICACIÓN DE CAMPO</t>
        </is>
      </c>
    </row>
    <row r="8">
      <c r="A8" s="55" t="inlineStr">
        <is>
          <t>Sección</t>
        </is>
      </c>
      <c r="B8" s="55" t="inlineStr">
        <is>
          <t>Hecho</t>
        </is>
      </c>
      <c r="C8" s="55" t="inlineStr">
        <is>
          <t>Valor en la ficha V6</t>
        </is>
      </c>
      <c r="D8" s="55" t="inlineStr">
        <is>
          <t>Valor de campo vigente</t>
        </is>
      </c>
      <c r="E8" s="55" t="inlineStr">
        <is>
          <t>Fuente que manda</t>
        </is>
      </c>
    </row>
    <row r="9">
      <c r="A9" s="56" t="inlineStr">
        <is>
          <t>8. Responsable y modalidad de la evaluación</t>
        </is>
      </c>
      <c r="B9" s="56" t="inlineStr">
        <is>
          <t>Responsable de la evaluación</t>
        </is>
      </c>
      <c r="C9" s="56" t="inlineStr">
        <is>
          <t>Ing. Héctor Salomón Cahuas Miller — SESDI</t>
        </is>
      </c>
      <c r="D9" s="56" t="inlineStr">
        <is>
          <t>Gabinete SESDI · Levantamiento RPA 14-08-2026 (operador POR CONFIRMAR)</t>
        </is>
      </c>
      <c r="E9" s="56" t="inlineStr">
        <is>
          <t>Dato de campo</t>
        </is>
      </c>
    </row>
    <row r="11">
      <c r="A11" s="54" t="inlineStr">
        <is>
          <t>B. HECHOS APORTADOS ÚNICAMENTE POR LA FICHA DE CAMPO</t>
        </is>
      </c>
    </row>
    <row r="12">
      <c r="A12" s="55" t="inlineStr">
        <is>
          <t>Sección</t>
        </is>
      </c>
      <c r="B12" s="55" t="inlineStr">
        <is>
          <t>Hecho</t>
        </is>
      </c>
      <c r="C12" s="55" t="inlineStr">
        <is>
          <t>Valor</t>
        </is>
      </c>
      <c r="D12" s="55" t="inlineStr">
        <is>
          <t>Unidad</t>
        </is>
      </c>
    </row>
    <row r="13">
      <c r="A13" s="56" t="inlineStr">
        <is>
          <t>1. Identificación y localización</t>
        </is>
      </c>
      <c r="B13" s="56" t="inlineStr">
        <is>
          <t>UTM ESTE del punto de muestreo (m)</t>
        </is>
      </c>
      <c r="C13" s="56" t="inlineStr">
        <is>
          <t>639906</t>
        </is>
      </c>
      <c r="D13" s="56" t="inlineStr">
        <is>
          <t>m</t>
        </is>
      </c>
    </row>
    <row r="14">
      <c r="A14" s="57" t="inlineStr">
        <is>
          <t>1. Identificación y localización</t>
        </is>
      </c>
      <c r="B14" s="57" t="inlineStr">
        <is>
          <t>UTM NORTE del punto de muestreo (m)</t>
        </is>
      </c>
      <c r="C14" s="57" t="inlineStr">
        <is>
          <t>9410562</t>
        </is>
      </c>
      <c r="D14" s="57" t="inlineStr">
        <is>
          <t>m</t>
        </is>
      </c>
    </row>
    <row r="15">
      <c r="A15" s="56" t="inlineStr">
        <is>
          <t>2. Parámetros físicos del terreno</t>
        </is>
      </c>
      <c r="B15" s="56" t="inlineStr">
        <is>
          <t>Piso altitudinal del punto de muestreo</t>
        </is>
      </c>
      <c r="C15" s="56" t="inlineStr">
        <is>
          <t>&lt;1000 m (Yunga)</t>
        </is>
      </c>
      <c r="D15" s="56" t="inlineStr"/>
    </row>
    <row r="16">
      <c r="A16" s="57" t="inlineStr">
        <is>
          <t>2. Parámetros físicos del terreno</t>
        </is>
      </c>
      <c r="B16" s="57" t="inlineStr">
        <is>
          <t>Paisaje dominante descrito en campo</t>
        </is>
      </c>
      <c r="C16" s="57" t="inlineStr">
        <is>
          <t>Ladera de piedemonte de perfil convexo que asciende desde el corredor de la vía asfaltada y el cauce del valle hacia el macizo meridional; mosaico de matorral-bosque seco ralo con núcleos densos en el tercio sur y superficie decapitada en el tercio norte.</t>
        </is>
      </c>
      <c r="D16" s="57" t="inlineStr"/>
    </row>
    <row r="17">
      <c r="A17" s="56" t="inlineStr">
        <is>
          <t>2. Parámetros físicos del terreno</t>
        </is>
      </c>
      <c r="B17" s="56" t="inlineStr">
        <is>
          <t>Reptación de suelo</t>
        </is>
      </c>
      <c r="C17" s="56" t="inlineStr">
        <is>
          <t>Sí</t>
        </is>
      </c>
      <c r="D17" s="56" t="inlineStr"/>
    </row>
    <row r="18">
      <c r="A18" s="57" t="inlineStr">
        <is>
          <t>2. Parámetros físicos del terreno</t>
        </is>
      </c>
      <c r="B18" s="57" t="inlineStr">
        <is>
          <t>Deslizamientos antiguos</t>
        </is>
      </c>
      <c r="C18" s="57" t="inlineStr">
        <is>
          <t>No</t>
        </is>
      </c>
      <c r="D18" s="57" t="inlineStr"/>
    </row>
    <row r="19">
      <c r="A19" s="56" t="inlineStr">
        <is>
          <t>4. Suelos y erosión (F-DT-02)</t>
        </is>
      </c>
      <c r="B19" s="56" t="inlineStr">
        <is>
          <t>Nivel de erosión - síntesis de campo</t>
        </is>
      </c>
      <c r="C19" s="56" t="inlineStr">
        <is>
          <t>Moderada (surcos)</t>
        </is>
      </c>
      <c r="D19" s="56" t="inlineStr"/>
    </row>
    <row r="20">
      <c r="A20" s="57" t="inlineStr">
        <is>
          <t>4. Suelos y erosión (F-DT-02)</t>
        </is>
      </c>
      <c r="B20" s="57" t="inlineStr">
        <is>
          <t>Sellamiento / costra superficial</t>
        </is>
      </c>
      <c r="C20" s="57" t="inlineStr">
        <is>
          <t>Sí</t>
        </is>
      </c>
      <c r="D20" s="57" t="inlineStr"/>
    </row>
    <row r="21">
      <c r="A21" s="56" t="inlineStr">
        <is>
          <t>4. Suelos y erosión (F-DT-02)</t>
        </is>
      </c>
      <c r="B21" s="56" t="inlineStr">
        <is>
          <t>Compactación por pisoteo</t>
        </is>
      </c>
      <c r="C21" s="56" t="inlineStr">
        <is>
          <t>Sí</t>
        </is>
      </c>
      <c r="D21" s="56" t="inlineStr"/>
    </row>
    <row r="22">
      <c r="A22" s="57" t="inlineStr">
        <is>
          <t>4. Suelos y erosión (F-DT-02)</t>
        </is>
      </c>
      <c r="B22" s="57" t="inlineStr">
        <is>
          <t>Raíces expuestas</t>
        </is>
      </c>
      <c r="C22" s="57" t="inlineStr">
        <is>
          <t>Sí</t>
        </is>
      </c>
      <c r="D22" s="57" t="inlineStr"/>
    </row>
    <row r="23">
      <c r="A23" s="56" t="inlineStr">
        <is>
          <t>4. Suelos y erosión (F-DT-02)</t>
        </is>
      </c>
      <c r="B23" s="56" t="inlineStr">
        <is>
          <t>Erosión laminar (% del bloque)</t>
        </is>
      </c>
      <c r="C23" s="56" t="inlineStr">
        <is>
          <t>60</t>
        </is>
      </c>
      <c r="D23" s="56" t="inlineStr">
        <is>
          <t>%</t>
        </is>
      </c>
    </row>
    <row r="24">
      <c r="A24" s="57" t="inlineStr">
        <is>
          <t>5. Ecosistema, cobertura y flora (F-DT-03)</t>
        </is>
      </c>
      <c r="B24" s="57" t="inlineStr">
        <is>
          <t>Cobertura del dosel (%)</t>
        </is>
      </c>
      <c r="C24" s="57" t="inlineStr">
        <is>
          <t>18</t>
        </is>
      </c>
      <c r="D24" s="57" t="inlineStr">
        <is>
          <t>%</t>
        </is>
      </c>
    </row>
    <row r="25">
      <c r="A25" s="56" t="inlineStr">
        <is>
          <t>5. Ecosistema, cobertura y flora (F-DT-03)</t>
        </is>
      </c>
      <c r="B25" s="56" t="inlineStr">
        <is>
          <t>Cobertura arbustiva (%)</t>
        </is>
      </c>
      <c r="C25" s="56" t="inlineStr">
        <is>
          <t>9</t>
        </is>
      </c>
      <c r="D25" s="56" t="inlineStr">
        <is>
          <t>%</t>
        </is>
      </c>
    </row>
    <row r="26">
      <c r="A26" s="57" t="inlineStr">
        <is>
          <t>5. Ecosistema, cobertura y flora (F-DT-03)</t>
        </is>
      </c>
      <c r="B26" s="57" t="inlineStr">
        <is>
          <t>Cobertura herbácea (%)</t>
        </is>
      </c>
      <c r="C26" s="57" t="inlineStr">
        <is>
          <t>3</t>
        </is>
      </c>
      <c r="D26" s="57" t="inlineStr">
        <is>
          <t>%</t>
        </is>
      </c>
    </row>
    <row r="27">
      <c r="A27" s="56" t="inlineStr">
        <is>
          <t>5. Ecosistema, cobertura y flora (F-DT-03)</t>
        </is>
      </c>
      <c r="B27" s="56" t="inlineStr">
        <is>
          <t>Cobertura de hojarasca (%)</t>
        </is>
      </c>
      <c r="C27" s="56" t="inlineStr">
        <is>
          <t>15</t>
        </is>
      </c>
      <c r="D27" s="56" t="inlineStr">
        <is>
          <t>%</t>
        </is>
      </c>
    </row>
    <row r="28">
      <c r="A28" s="57" t="inlineStr">
        <is>
          <t>5. Ecosistema, cobertura y flora (F-DT-03)</t>
        </is>
      </c>
      <c r="B28" s="57" t="inlineStr">
        <is>
          <t>Presencia de epífitas</t>
        </is>
      </c>
      <c r="C28" s="57" t="inlineStr">
        <is>
          <t>No</t>
        </is>
      </c>
      <c r="D28" s="57" t="inlineStr"/>
    </row>
    <row r="29">
      <c r="A29" s="56" t="inlineStr">
        <is>
          <t>5. Ecosistema, cobertura y flora (F-DT-03)</t>
        </is>
      </c>
      <c r="B29" s="56" t="inlineStr">
        <is>
          <t>Especies clave georreferenciadas</t>
        </is>
      </c>
      <c r="C29" s="56" t="inlineStr">
        <is>
          <t>8</t>
        </is>
      </c>
      <c r="D29" s="56" t="inlineStr"/>
    </row>
    <row r="30">
      <c r="A30" s="57" t="inlineStr">
        <is>
          <t>6. Degradación, causas y urgencia (F-DT-04)</t>
        </is>
      </c>
      <c r="B30" s="57" t="inlineStr">
        <is>
          <t>Causas directas de la degradación</t>
        </is>
      </c>
      <c r="C30" s="57" t="inlineStr">
        <is>
          <t>Sobrepastoreo caprino-vacuno extensivo, sin control de carga ni períodos de descanso, concentrado en los tercios norte y central del bloque; la red reticulada de huellas de ganado compacta el suelo y concentra la escorrentía hacia la vía y el cauce del valle.</t>
        </is>
      </c>
      <c r="D30" s="57" t="inlineStr"/>
    </row>
    <row r="31">
      <c r="A31" s="56" t="inlineStr">
        <is>
          <t>6. Degradación, causas y urgencia (F-DT-04)</t>
        </is>
      </c>
      <c r="B31" s="56" t="inlineStr">
        <is>
          <t>N.° de causas activas en la matriz F-DT-04</t>
        </is>
      </c>
      <c r="C31" s="56" t="inlineStr">
        <is>
          <t>2</t>
        </is>
      </c>
      <c r="D31" s="56" t="inlineStr"/>
    </row>
    <row r="32">
      <c r="A32" s="57" t="inlineStr">
        <is>
          <t>7. Hidrología, acceso y logística (F-DT-05)</t>
        </is>
      </c>
      <c r="B32" s="57" t="inlineStr">
        <is>
          <t>Escorrentía concentrada</t>
        </is>
      </c>
      <c r="C32" s="57" t="inlineStr">
        <is>
          <t>Sí</t>
        </is>
      </c>
      <c r="D32" s="57" t="inlineStr"/>
    </row>
    <row r="33">
      <c r="A33" s="56" t="inlineStr">
        <is>
          <t>7. Hidrología, acceso y logística (F-DT-05)</t>
        </is>
      </c>
      <c r="B33" s="56" t="inlineStr">
        <is>
          <t>Fuentes de agua inventariadas</t>
        </is>
      </c>
      <c r="C33" s="56" t="inlineStr">
        <is>
          <t>4</t>
        </is>
      </c>
      <c r="D33" s="56" t="inlineStr"/>
    </row>
    <row r="34">
      <c r="A34" s="57" t="inlineStr">
        <is>
          <t>7. Hidrología, acceso y logística (F-DT-05)</t>
        </is>
      </c>
      <c r="B34" s="57" t="inlineStr">
        <is>
          <t>Interferencia con riego</t>
        </is>
      </c>
      <c r="C34" s="57" t="inlineStr">
        <is>
          <t>No</t>
        </is>
      </c>
      <c r="D34" s="57" t="inlineStr"/>
    </row>
    <row r="35">
      <c r="A35" s="56" t="inlineStr">
        <is>
          <t>7. Hidrología, acceso y logística (F-DT-05)</t>
        </is>
      </c>
      <c r="B35" s="56" t="inlineStr">
        <is>
          <t>Vía principal de acceso</t>
        </is>
      </c>
      <c r="C35" s="56" t="inlineStr">
        <is>
          <t>Vía asfaltada de acceso al sector Miguel Pampa (San Juan de Bigote) — código MTC POR VERIFICAR</t>
        </is>
      </c>
      <c r="D35" s="56" t="inlineStr"/>
    </row>
    <row r="36">
      <c r="A36" s="57" t="inlineStr">
        <is>
          <t>7. Hidrología, acceso y logística (F-DT-05)</t>
        </is>
      </c>
      <c r="B36" s="57" t="inlineStr">
        <is>
          <t>Tipo de vía del tramo final</t>
        </is>
      </c>
      <c r="C36" s="57" t="inlineStr">
        <is>
          <t>Trocha carrozable</t>
        </is>
      </c>
      <c r="D36" s="57" t="inlineStr"/>
    </row>
    <row r="37">
      <c r="A37" s="56" t="inlineStr">
        <is>
          <t>7. Hidrología, acceso y logística (F-DT-05)</t>
        </is>
      </c>
      <c r="B37" s="56" t="inlineStr">
        <is>
          <t>Transitabilidad en época seca</t>
        </is>
      </c>
      <c r="C37" s="56" t="inlineStr">
        <is>
          <t>Alto</t>
        </is>
      </c>
      <c r="D37" s="56" t="inlineStr"/>
    </row>
    <row r="39">
      <c r="A39" s="54" t="inlineStr">
        <is>
          <t>C. PROCEDENCIA DE LOS HECHOS DECLARADOS</t>
        </is>
      </c>
    </row>
    <row r="40">
      <c r="A40" s="55" t="inlineStr">
        <is>
          <t>Fuente</t>
        </is>
      </c>
      <c r="B40" s="55" t="inlineStr">
        <is>
          <t>Hechos</t>
        </is>
      </c>
      <c r="C40" s="55" t="inlineStr">
        <is>
          <t>Alcance de la fuente</t>
        </is>
      </c>
    </row>
    <row r="41">
      <c r="A41" s="56" t="inlineStr">
        <is>
          <t>Dato de campo</t>
        </is>
      </c>
      <c r="B41" s="56" t="n">
        <v>52</v>
      </c>
      <c r="C41" s="56" t="inlineStr">
        <is>
          <t>Verificación en campo. Fichas F-DT-01 a F-DT-05 de la Plantilla DT Campo Check Validada V5, suscritas por el evaluador.</t>
        </is>
      </c>
    </row>
    <row r="42">
      <c r="A42" s="57" t="inlineStr">
        <is>
          <t>Gabinete (GIS / teledetección)</t>
        </is>
      </c>
      <c r="B42" s="57" t="n">
        <v>25</v>
      </c>
      <c r="C42" s="57" t="inlineStr">
        <is>
          <t>Gabinete. Estadística zonal sobre el MDE y compuestos Sentinel-2 (NDVI mediana 2025, MSAVI 2024 por clase DN).</t>
        </is>
      </c>
    </row>
    <row r="43">
      <c r="A43" s="56" t="inlineStr">
        <is>
          <t>Fuente oficial</t>
        </is>
      </c>
      <c r="B43" s="56" t="n">
        <v>14</v>
      </c>
      <c r="C43" s="56" t="inlineStr">
        <is>
          <t>Fuente oficial. Catálogo maestro Bloques V5/V6, división política INEI y codificación de microcuencas de la ANA.</t>
        </is>
      </c>
    </row>
    <row r="45">
      <c r="A45" s="54" t="inlineStr">
        <is>
          <t>D. ESTADO DEL CRUCE ENTRE FUENTES</t>
        </is>
      </c>
    </row>
    <row r="46">
      <c r="A46" s="55" t="inlineStr">
        <is>
          <t>Estado</t>
        </is>
      </c>
      <c r="B46" s="55" t="inlineStr">
        <is>
          <t>Hechos</t>
        </is>
      </c>
      <c r="C46" s="55" t="inlineStr">
        <is>
          <t>Significado</t>
        </is>
      </c>
    </row>
    <row r="47">
      <c r="A47" s="56" t="inlineStr">
        <is>
          <t>CONFORME</t>
        </is>
      </c>
      <c r="B47" s="56" t="n">
        <v>86</v>
      </c>
      <c r="C47" s="56" t="inlineStr">
        <is>
          <t>Las dos fuentes declaran lo mismo, o solo la fuente que manda sobre el hecho lo declara.</t>
        </is>
      </c>
    </row>
    <row r="48">
      <c r="A48" s="57" t="inlineStr">
        <is>
          <t>COMPLEMENTADO</t>
        </is>
      </c>
      <c r="B48" s="57" t="n">
        <v>4</v>
      </c>
      <c r="C48" s="57" t="inlineStr">
        <is>
          <t>Solo una de las fuentes lo declara y se adopta ese valor.</t>
        </is>
      </c>
    </row>
    <row r="49">
      <c r="A49" s="56" t="inlineStr">
        <is>
          <t>ACTUALIZADO</t>
        </is>
      </c>
      <c r="B49" s="56" t="n">
        <v>1</v>
      </c>
      <c r="C49" s="56" t="inlineStr">
        <is>
          <t>La verificación de campo vigente corrige lo que traía el libro de resumen.</t>
        </is>
      </c>
    </row>
    <row r="50">
      <c r="A50" s="57" t="inlineStr">
        <is>
          <t>DISCREPANTE</t>
        </is>
      </c>
      <c r="B50" s="57" t="n">
        <v>0</v>
      </c>
      <c r="C50" s="57" t="inlineStr">
        <is>
          <t>Las fuentes se contradicen; prevalece la que manda sobre el hecho y la otra queda declarada.</t>
        </is>
      </c>
    </row>
    <row r="51">
      <c r="A51" s="56" t="inlineStr">
        <is>
          <t>PENDIENTE</t>
        </is>
      </c>
      <c r="B51" s="56" t="n">
        <v>23</v>
      </c>
      <c r="C51" s="56" t="inlineStr">
        <is>
          <t>Ninguna fuente lo declara; no se estima valor alguno.</t>
        </is>
      </c>
    </row>
  </sheetData>
  <mergeCells count="5">
    <mergeCell ref="A2:F2"/>
    <mergeCell ref="A1:F1"/>
    <mergeCell ref="A5:F5"/>
    <mergeCell ref="A4:F4"/>
    <mergeCell ref="A3:F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4"/>
  <sheetViews>
    <sheetView workbookViewId="0">
      <selection activeCell="A1" sqref="A1"/>
    </sheetView>
  </sheetViews>
  <sheetFormatPr baseColWidth="8" defaultRowHeight="15"/>
  <cols>
    <col width="8" customWidth="1" min="1" max="1"/>
    <col width="30" customWidth="1" min="2" max="2"/>
    <col width="30" customWidth="1" min="3" max="3"/>
    <col width="22" customWidth="1" min="4" max="4"/>
    <col width="20" customWidth="1" min="5" max="5"/>
    <col width="16" customWidth="1" min="6" max="6"/>
    <col width="16" customWidth="1" min="7" max="7"/>
    <col width="20" customWidth="1" min="8" max="8"/>
    <col width="34" customWidth="1" min="9" max="9"/>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REGISTRO DE CAMPO F-DT-01 A F-DT-05 — BLOQUE 83</t>
        </is>
      </c>
    </row>
    <row r="7">
      <c r="A7" s="54" t="inlineStr">
        <is>
          <t>F-DT-02 · INVENTARIO DE CÁRCAVAS</t>
        </is>
      </c>
    </row>
    <row r="8">
      <c r="A8" s="55" t="inlineStr">
        <is>
          <t>Código</t>
        </is>
      </c>
      <c r="B8" s="55" t="inlineStr">
        <is>
          <t>Tipo</t>
        </is>
      </c>
      <c r="C8" s="55" t="inlineStr">
        <is>
          <t>UTM E ini.</t>
        </is>
      </c>
      <c r="D8" s="55" t="inlineStr">
        <is>
          <t>UTM N ini.</t>
        </is>
      </c>
      <c r="E8" s="55" t="inlineStr">
        <is>
          <t>Longitud (m)</t>
        </is>
      </c>
      <c r="F8" s="55" t="inlineStr">
        <is>
          <t>Prof. (m)</t>
        </is>
      </c>
      <c r="G8" s="55" t="inlineStr">
        <is>
          <t>Ancho (m)</t>
        </is>
      </c>
      <c r="H8" s="55" t="inlineStr">
        <is>
          <t>Estado</t>
        </is>
      </c>
      <c r="I8" s="55" t="inlineStr">
        <is>
          <t>Causa</t>
        </is>
      </c>
    </row>
    <row r="9">
      <c r="A9" s="56" t="inlineStr">
        <is>
          <t>Sin cárcavas inventariadas en el tramo verificado</t>
        </is>
      </c>
      <c r="B9" s="56" t="inlineStr"/>
      <c r="C9" s="56" t="inlineStr"/>
      <c r="D9" s="56" t="inlineStr"/>
      <c r="E9" s="56" t="inlineStr"/>
      <c r="F9" s="56" t="inlineStr"/>
      <c r="G9" s="56" t="inlineStr"/>
      <c r="H9" s="56" t="inlineStr"/>
      <c r="I9" s="56" t="inlineStr"/>
    </row>
    <row r="11">
      <c r="A11" s="54" t="inlineStr">
        <is>
          <t>F-DT-03 · ELENCO FLORÍSTICO</t>
        </is>
      </c>
    </row>
    <row r="12">
      <c r="A12" s="55" t="inlineStr">
        <is>
          <t>N.o</t>
        </is>
      </c>
      <c r="B12" s="55" t="inlineStr">
        <is>
          <t>Nombre común</t>
        </is>
      </c>
      <c r="C12" s="55" t="inlineStr">
        <is>
          <t>Nombre científico</t>
        </is>
      </c>
      <c r="D12" s="55" t="inlineStr">
        <is>
          <t>Familia</t>
        </is>
      </c>
      <c r="E12" s="55" t="inlineStr">
        <is>
          <t>Estrato</t>
        </is>
      </c>
      <c r="F12" s="55" t="inlineStr">
        <is>
          <t>Origen</t>
        </is>
      </c>
      <c r="G12" s="55" t="inlineStr">
        <is>
          <t>Abundancia</t>
        </is>
      </c>
      <c r="H12" s="55" t="inlineStr">
        <is>
          <t>DAP (cm)</t>
        </is>
      </c>
      <c r="I12" s="55" t="inlineStr">
        <is>
          <t>Altura (m)</t>
        </is>
      </c>
    </row>
    <row r="13">
      <c r="A13" s="56" t="inlineStr">
        <is>
          <t>1</t>
        </is>
      </c>
      <c r="B13" s="56" t="inlineStr">
        <is>
          <t>Ceibo</t>
        </is>
      </c>
      <c r="C13" s="56" t="inlineStr">
        <is>
          <t>Ceiba trischistandra</t>
        </is>
      </c>
      <c r="D13" s="56" t="inlineStr">
        <is>
          <t>Malvaceae</t>
        </is>
      </c>
      <c r="E13" s="56" t="inlineStr">
        <is>
          <t>Arbóreo medio (8-15 m)</t>
        </is>
      </c>
      <c r="F13" s="56" t="inlineStr">
        <is>
          <t>Nativa</t>
        </is>
      </c>
      <c r="G13" s="56" t="inlineStr"/>
      <c r="H13" s="56" t="n"/>
      <c r="I13" s="56" t="n"/>
    </row>
    <row r="14">
      <c r="A14" s="57" t="inlineStr">
        <is>
          <t>2</t>
        </is>
      </c>
      <c r="B14" s="57" t="inlineStr">
        <is>
          <t>Charán</t>
        </is>
      </c>
      <c r="C14" s="57" t="inlineStr">
        <is>
          <t>Coulteria paipai</t>
        </is>
      </c>
      <c r="D14" s="57" t="inlineStr">
        <is>
          <t>Fabaceae</t>
        </is>
      </c>
      <c r="E14" s="57" t="inlineStr">
        <is>
          <t>Arbóreo bajo (4-8 m)</t>
        </is>
      </c>
      <c r="F14" s="57" t="inlineStr">
        <is>
          <t>Nativa</t>
        </is>
      </c>
      <c r="G14" s="57" t="inlineStr"/>
      <c r="H14" s="57" t="n"/>
      <c r="I14" s="57" t="n"/>
    </row>
    <row r="15">
      <c r="A15" s="56" t="inlineStr">
        <is>
          <t>3</t>
        </is>
      </c>
      <c r="B15" s="56" t="inlineStr">
        <is>
          <t>Faique</t>
        </is>
      </c>
      <c r="C15" s="56" t="inlineStr">
        <is>
          <t>Vachellia macracantha</t>
        </is>
      </c>
      <c r="D15" s="56" t="inlineStr">
        <is>
          <t>Fabaceae</t>
        </is>
      </c>
      <c r="E15" s="56" t="inlineStr">
        <is>
          <t>Arbóreo bajo (4-8 m)</t>
        </is>
      </c>
      <c r="F15" s="56" t="inlineStr">
        <is>
          <t>Nativa</t>
        </is>
      </c>
      <c r="G15" s="56" t="inlineStr"/>
      <c r="H15" s="56" t="n"/>
      <c r="I15" s="56" t="n"/>
    </row>
    <row r="16">
      <c r="A16" s="57" t="inlineStr">
        <is>
          <t>4</t>
        </is>
      </c>
      <c r="B16" s="57" t="inlineStr">
        <is>
          <t>Algarrobo</t>
        </is>
      </c>
      <c r="C16" s="57" t="inlineStr">
        <is>
          <t>Neltuma pallida</t>
        </is>
      </c>
      <c r="D16" s="57" t="inlineStr">
        <is>
          <t>Fabaceae</t>
        </is>
      </c>
      <c r="E16" s="57" t="inlineStr">
        <is>
          <t>Arbóreo medio (8-15 m)</t>
        </is>
      </c>
      <c r="F16" s="57" t="inlineStr">
        <is>
          <t>Nativa</t>
        </is>
      </c>
      <c r="G16" s="57" t="inlineStr"/>
      <c r="H16" s="57" t="n"/>
      <c r="I16" s="57" t="n"/>
    </row>
    <row r="17">
      <c r="A17" s="56" t="inlineStr">
        <is>
          <t>5</t>
        </is>
      </c>
      <c r="B17" s="56" t="inlineStr">
        <is>
          <t>Sapote</t>
        </is>
      </c>
      <c r="C17" s="56" t="inlineStr">
        <is>
          <t>Colicodendron scabridum</t>
        </is>
      </c>
      <c r="D17" s="56" t="inlineStr">
        <is>
          <t>Capparaceae</t>
        </is>
      </c>
      <c r="E17" s="56" t="inlineStr">
        <is>
          <t>Arbóreo bajo (4-8 m)</t>
        </is>
      </c>
      <c r="F17" s="56" t="inlineStr">
        <is>
          <t>Nativa</t>
        </is>
      </c>
      <c r="G17" s="56" t="inlineStr"/>
      <c r="H17" s="56" t="n"/>
      <c r="I17" s="56" t="n"/>
    </row>
    <row r="18">
      <c r="A18" s="57" t="inlineStr">
        <is>
          <t>6</t>
        </is>
      </c>
      <c r="B18" s="57" t="inlineStr">
        <is>
          <t>Hualtaco</t>
        </is>
      </c>
      <c r="C18" s="57" t="inlineStr">
        <is>
          <t>Loxopterygium huasango</t>
        </is>
      </c>
      <c r="D18" s="57" t="inlineStr">
        <is>
          <t>Anacardiaceae</t>
        </is>
      </c>
      <c r="E18" s="57" t="inlineStr">
        <is>
          <t>Arbóreo medio (8-15 m)</t>
        </is>
      </c>
      <c r="F18" s="57" t="inlineStr">
        <is>
          <t>Nativa</t>
        </is>
      </c>
      <c r="G18" s="57" t="inlineStr"/>
      <c r="H18" s="57" t="n"/>
      <c r="I18" s="57" t="n"/>
    </row>
    <row r="19">
      <c r="A19" s="56" t="inlineStr">
        <is>
          <t>7</t>
        </is>
      </c>
      <c r="B19" s="56" t="inlineStr">
        <is>
          <t>Overo</t>
        </is>
      </c>
      <c r="C19" s="56" t="inlineStr">
        <is>
          <t>Cordia lutea</t>
        </is>
      </c>
      <c r="D19" s="56" t="inlineStr">
        <is>
          <t>Cordiaceae</t>
        </is>
      </c>
      <c r="E19" s="56" t="inlineStr">
        <is>
          <t>Arbustivo alto (1.5-4 m)</t>
        </is>
      </c>
      <c r="F19" s="56" t="inlineStr">
        <is>
          <t>Nativa</t>
        </is>
      </c>
      <c r="G19" s="56" t="inlineStr"/>
      <c r="H19" s="56" t="n"/>
      <c r="I19" s="56" t="n"/>
    </row>
    <row r="20">
      <c r="A20" s="57" t="inlineStr">
        <is>
          <t>8</t>
        </is>
      </c>
      <c r="B20" s="57" t="inlineStr">
        <is>
          <t>Cactáceas</t>
        </is>
      </c>
      <c r="C20" s="57" t="inlineStr">
        <is>
          <t>Cactaceae — género por verificar</t>
        </is>
      </c>
      <c r="D20" s="57" t="inlineStr">
        <is>
          <t>Cactaceae</t>
        </is>
      </c>
      <c r="E20" s="57" t="inlineStr">
        <is>
          <t>Arbustivo alto (1.5-4 m)</t>
        </is>
      </c>
      <c r="F20" s="57" t="inlineStr">
        <is>
          <t>Nativa</t>
        </is>
      </c>
      <c r="G20" s="57" t="inlineStr"/>
      <c r="H20" s="57" t="n"/>
      <c r="I20" s="57" t="n"/>
    </row>
    <row r="21">
      <c r="A21" s="56" t="inlineStr">
        <is>
          <t>9</t>
        </is>
      </c>
      <c r="B21" s="56" t="inlineStr">
        <is>
          <t>Borrachera</t>
        </is>
      </c>
      <c r="C21" s="56" t="inlineStr">
        <is>
          <t>Ipomoea carnea</t>
        </is>
      </c>
      <c r="D21" s="56" t="inlineStr">
        <is>
          <t>Convolvulaceae</t>
        </is>
      </c>
      <c r="E21" s="56" t="inlineStr">
        <is>
          <t>Arbustivo alto (1.5-4 m)</t>
        </is>
      </c>
      <c r="F21" s="56" t="inlineStr">
        <is>
          <t>Nativa</t>
        </is>
      </c>
      <c r="G21" s="56" t="inlineStr"/>
      <c r="H21" s="56" t="n"/>
      <c r="I21" s="56" t="n"/>
    </row>
    <row r="22">
      <c r="A22" s="57" t="inlineStr">
        <is>
          <t>10</t>
        </is>
      </c>
      <c r="B22" s="57" t="inlineStr">
        <is>
          <t>Palo santo</t>
        </is>
      </c>
      <c r="C22" s="57" t="inlineStr">
        <is>
          <t>Bursera graveolens</t>
        </is>
      </c>
      <c r="D22" s="57" t="inlineStr">
        <is>
          <t>Burseraceae</t>
        </is>
      </c>
      <c r="E22" s="57" t="inlineStr">
        <is>
          <t>Arbóreo bajo (4-8 m)</t>
        </is>
      </c>
      <c r="F22" s="57" t="inlineStr">
        <is>
          <t>Nativa</t>
        </is>
      </c>
      <c r="G22" s="57" t="inlineStr"/>
      <c r="H22" s="57" t="n"/>
      <c r="I22" s="57" t="n"/>
    </row>
    <row r="23">
      <c r="A23" s="56" t="inlineStr">
        <is>
          <t>11</t>
        </is>
      </c>
      <c r="B23" s="56" t="inlineStr">
        <is>
          <t>Frijolillo</t>
        </is>
      </c>
      <c r="C23" s="56" t="inlineStr">
        <is>
          <t>Determinación por verificar</t>
        </is>
      </c>
      <c r="D23" s="56" t="inlineStr">
        <is>
          <t>Por verificar</t>
        </is>
      </c>
      <c r="E23" s="56" t="inlineStr">
        <is>
          <t>Arbustivo alto (1.5-4 m)</t>
        </is>
      </c>
      <c r="F23" s="56" t="inlineStr">
        <is>
          <t>Nativa</t>
        </is>
      </c>
      <c r="G23" s="56" t="inlineStr"/>
      <c r="H23" s="56" t="n"/>
      <c r="I23" s="56" t="n"/>
    </row>
    <row r="24">
      <c r="A24" s="57" t="inlineStr">
        <is>
          <t>12</t>
        </is>
      </c>
      <c r="B24" s="57" t="inlineStr">
        <is>
          <t>Pasallo</t>
        </is>
      </c>
      <c r="C24" s="57" t="inlineStr">
        <is>
          <t>Eriotheca ruizii</t>
        </is>
      </c>
      <c r="D24" s="57" t="inlineStr">
        <is>
          <t>Malvaceae</t>
        </is>
      </c>
      <c r="E24" s="57" t="inlineStr">
        <is>
          <t>Arbóreo medio (8-15 m)</t>
        </is>
      </c>
      <c r="F24" s="57" t="inlineStr">
        <is>
          <t>Nativa</t>
        </is>
      </c>
      <c r="G24" s="57" t="inlineStr"/>
      <c r="H24" s="57" t="n"/>
      <c r="I24" s="57" t="n"/>
    </row>
    <row r="25">
      <c r="A25" s="56" t="inlineStr">
        <is>
          <t>13</t>
        </is>
      </c>
      <c r="B25" s="56" t="inlineStr">
        <is>
          <t>Barbasco</t>
        </is>
      </c>
      <c r="C25" s="56" t="inlineStr">
        <is>
          <t>Lonchocarpus sp.</t>
        </is>
      </c>
      <c r="D25" s="56" t="inlineStr">
        <is>
          <t>Fabaceae</t>
        </is>
      </c>
      <c r="E25" s="56" t="inlineStr">
        <is>
          <t>Arbustivo alto (1.5-4 m)</t>
        </is>
      </c>
      <c r="F25" s="56" t="inlineStr">
        <is>
          <t>Nativa</t>
        </is>
      </c>
      <c r="G25" s="56" t="inlineStr"/>
      <c r="H25" s="56" t="n"/>
      <c r="I25" s="56" t="n"/>
    </row>
    <row r="26">
      <c r="A26" s="57" t="inlineStr">
        <is>
          <t>14</t>
        </is>
      </c>
      <c r="B26" s="57" t="inlineStr">
        <is>
          <t>Chamelico</t>
        </is>
      </c>
      <c r="C26" s="57" t="inlineStr">
        <is>
          <t>Sapindus saponaria</t>
        </is>
      </c>
      <c r="D26" s="57" t="inlineStr">
        <is>
          <t>Sapindaceae</t>
        </is>
      </c>
      <c r="E26" s="57" t="inlineStr">
        <is>
          <t>Arbóreo bajo (4-8 m)</t>
        </is>
      </c>
      <c r="F26" s="57" t="inlineStr">
        <is>
          <t>Nativa</t>
        </is>
      </c>
      <c r="G26" s="57" t="inlineStr"/>
      <c r="H26" s="57" t="n"/>
      <c r="I26" s="57" t="n"/>
    </row>
    <row r="27">
      <c r="A27" s="56" t="inlineStr">
        <is>
          <t>15</t>
        </is>
      </c>
      <c r="B27" s="56" t="inlineStr">
        <is>
          <t>Huasimo</t>
        </is>
      </c>
      <c r="C27" s="56" t="inlineStr">
        <is>
          <t>Guazuma ulmifolia</t>
        </is>
      </c>
      <c r="D27" s="56" t="inlineStr">
        <is>
          <t>Malvaceae</t>
        </is>
      </c>
      <c r="E27" s="56" t="inlineStr">
        <is>
          <t>Arbóreo medio (8-15 m)</t>
        </is>
      </c>
      <c r="F27" s="56" t="inlineStr">
        <is>
          <t>Nativa</t>
        </is>
      </c>
      <c r="G27" s="56" t="inlineStr"/>
      <c r="H27" s="56" t="n"/>
      <c r="I27" s="56" t="n"/>
    </row>
    <row r="29">
      <c r="A29" s="54" t="inlineStr">
        <is>
          <t>F-DT-03 · ESPECIES CLAVE GEORREFERENCIADAS</t>
        </is>
      </c>
    </row>
    <row r="30">
      <c r="A30" s="55" t="inlineStr">
        <is>
          <t>N.o</t>
        </is>
      </c>
      <c r="B30" s="55" t="inlineStr">
        <is>
          <t>Especie</t>
        </is>
      </c>
      <c r="C30" s="55" t="inlineStr">
        <is>
          <t>Categoría</t>
        </is>
      </c>
      <c r="D30" s="55" t="inlineStr">
        <is>
          <t>Estado UICN</t>
        </is>
      </c>
      <c r="E30" s="55" t="inlineStr">
        <is>
          <t>UTM ESTE</t>
        </is>
      </c>
      <c r="F30" s="55" t="inlineStr">
        <is>
          <t>UTM NORTE</t>
        </is>
      </c>
      <c r="G30" s="55" t="inlineStr">
        <is>
          <t>N.° individuos</t>
        </is>
      </c>
      <c r="H30" s="55" t="inlineStr">
        <is>
          <t>Observación</t>
        </is>
      </c>
    </row>
    <row r="31">
      <c r="A31" s="56" t="inlineStr">
        <is>
          <t>1</t>
        </is>
      </c>
      <c r="B31" s="56" t="inlineStr">
        <is>
          <t>Hualtaco (Loxopterygium huasango)</t>
        </is>
      </c>
      <c r="C31" s="56" t="inlineStr">
        <is>
          <t>Amenazada (D.S. 043-2006-AG)</t>
        </is>
      </c>
      <c r="D31" s="56" t="inlineStr">
        <is>
          <t>CR — En Peligro Crítico</t>
        </is>
      </c>
      <c r="E31" s="56" t="n"/>
      <c r="F31" s="56" t="n"/>
      <c r="G31" s="56" t="n"/>
      <c r="H31" s="56" t="inlineStr">
        <is>
          <t>Categoría de referencia del proyecto. Presencia POR VERIFICAR en campo.</t>
        </is>
      </c>
    </row>
    <row r="32">
      <c r="A32" s="57" t="inlineStr">
        <is>
          <t>2</t>
        </is>
      </c>
      <c r="B32" s="57" t="inlineStr">
        <is>
          <t>Sapote (Colicodendron scabridum)</t>
        </is>
      </c>
      <c r="C32" s="57" t="inlineStr">
        <is>
          <t>Amenazada (D.S. 043-2006-AG)</t>
        </is>
      </c>
      <c r="D32" s="57" t="inlineStr">
        <is>
          <t>CR — En Peligro Crítico</t>
        </is>
      </c>
      <c r="E32" s="57" t="n"/>
      <c r="F32" s="57" t="n"/>
      <c r="G32" s="57" t="n"/>
      <c r="H32" s="57" t="inlineStr">
        <is>
          <t>Categoría de referencia del proyecto. Presencia POR VERIFICAR en campo.</t>
        </is>
      </c>
    </row>
    <row r="33">
      <c r="A33" s="56" t="inlineStr">
        <is>
          <t>3</t>
        </is>
      </c>
      <c r="B33" s="56" t="inlineStr">
        <is>
          <t>Palo santo (Bursera graveolens)</t>
        </is>
      </c>
      <c r="C33" s="56" t="inlineStr">
        <is>
          <t>Amenazada (D.S. 043-2006-AG)</t>
        </is>
      </c>
      <c r="D33" s="56" t="inlineStr">
        <is>
          <t>CR — En Peligro Crítico</t>
        </is>
      </c>
      <c r="E33" s="56" t="n"/>
      <c r="F33" s="56" t="n"/>
      <c r="G33" s="56" t="n"/>
      <c r="H33" s="56" t="inlineStr">
        <is>
          <t>Categoría de referencia del proyecto. Presencia POR VERIFICAR en campo.</t>
        </is>
      </c>
    </row>
    <row r="34">
      <c r="A34" s="57" t="inlineStr">
        <is>
          <t>4</t>
        </is>
      </c>
      <c r="B34" s="57" t="inlineStr">
        <is>
          <t>Algarrobo (Neltuma pallida)</t>
        </is>
      </c>
      <c r="C34" s="57" t="inlineStr">
        <is>
          <t>Amenazada (D.S. 043-2006-AG)</t>
        </is>
      </c>
      <c r="D34" s="57" t="inlineStr">
        <is>
          <t>VU — Vulnerable</t>
        </is>
      </c>
      <c r="E34" s="57" t="n"/>
      <c r="F34" s="57" t="n"/>
      <c r="G34" s="57" t="n"/>
      <c r="H34" s="57" t="inlineStr">
        <is>
          <t>Categoría de referencia del proyecto. Presencia POR VERIFICAR en campo.</t>
        </is>
      </c>
    </row>
    <row r="35">
      <c r="A35" s="56" t="inlineStr">
        <is>
          <t>5</t>
        </is>
      </c>
      <c r="B35" s="56" t="inlineStr">
        <is>
          <t>Faique (Vachellia macracantha)</t>
        </is>
      </c>
      <c r="C35" s="56" t="inlineStr">
        <is>
          <t>Amenazada (D.S. 043-2006-AG)</t>
        </is>
      </c>
      <c r="D35" s="56" t="inlineStr">
        <is>
          <t>NT — Casi Amenazado</t>
        </is>
      </c>
      <c r="E35" s="56" t="n"/>
      <c r="F35" s="56" t="n"/>
      <c r="G35" s="56" t="n"/>
      <c r="H35" s="56" t="inlineStr">
        <is>
          <t>Categoría de referencia del proyecto. Presencia POR VERIFICAR en campo.</t>
        </is>
      </c>
    </row>
    <row r="36">
      <c r="A36" s="57" t="inlineStr">
        <is>
          <t>6</t>
        </is>
      </c>
      <c r="B36" s="57" t="inlineStr">
        <is>
          <t>Ceibo (Ceiba trischistandra)</t>
        </is>
      </c>
      <c r="C36" s="57" t="inlineStr">
        <is>
          <t>Indicadora de buen estado</t>
        </is>
      </c>
      <c r="D36" s="57" t="inlineStr">
        <is>
          <t>NE — No Evaluado</t>
        </is>
      </c>
      <c r="E36" s="57" t="n"/>
      <c r="F36" s="57" t="n"/>
      <c r="G36" s="57" t="n"/>
      <c r="H36" s="57" t="inlineStr">
        <is>
          <t>Condición bajo D.S. 043-2006-AG no verificada documentalmente.</t>
        </is>
      </c>
    </row>
    <row r="37">
      <c r="A37" s="56" t="inlineStr">
        <is>
          <t>7</t>
        </is>
      </c>
      <c r="B37" s="56" t="inlineStr">
        <is>
          <t>Pasallo (Eriotheca ruizii)</t>
        </is>
      </c>
      <c r="C37" s="56" t="inlineStr">
        <is>
          <t>Indicadora de buen estado</t>
        </is>
      </c>
      <c r="D37" s="56" t="inlineStr">
        <is>
          <t>NE — No Evaluado</t>
        </is>
      </c>
      <c r="E37" s="56" t="n"/>
      <c r="F37" s="56" t="n"/>
      <c r="G37" s="56" t="n"/>
      <c r="H37" s="56" t="inlineStr">
        <is>
          <t>Condición bajo D.S. 043-2006-AG no verificada documentalmente.</t>
        </is>
      </c>
    </row>
    <row r="38">
      <c r="A38" s="57" t="inlineStr">
        <is>
          <t>8</t>
        </is>
      </c>
      <c r="B38" s="57" t="inlineStr">
        <is>
          <t>Borrachera (Ipomoea carnea)</t>
        </is>
      </c>
      <c r="C38" s="57" t="inlineStr">
        <is>
          <t>Indicadora de perturbación</t>
        </is>
      </c>
      <c r="D38" s="57" t="inlineStr">
        <is>
          <t>No aplica</t>
        </is>
      </c>
      <c r="E38" s="57" t="n"/>
      <c r="F38" s="57" t="n"/>
      <c r="G38" s="57" t="n"/>
      <c r="H38" s="57" t="inlineStr">
        <is>
          <t>Colonizadora de suelos alterados y sobrepastoreados; no consumida por el ganado.</t>
        </is>
      </c>
    </row>
    <row r="40">
      <c r="A40" s="54" t="inlineStr">
        <is>
          <t>F-DT-04 · MATRIZ DE CAUSAS DE DEGRADACIÓN</t>
        </is>
      </c>
    </row>
    <row r="41">
      <c r="A41" s="55" t="inlineStr">
        <is>
          <t>N.o</t>
        </is>
      </c>
      <c r="B41" s="55" t="inlineStr">
        <is>
          <t>Causa</t>
        </is>
      </c>
      <c r="C41" s="55" t="inlineStr">
        <is>
          <t>Presencia</t>
        </is>
      </c>
      <c r="D41" s="55" t="inlineStr">
        <is>
          <t>Intensidad</t>
        </is>
      </c>
      <c r="E41" s="55" t="inlineStr">
        <is>
          <t>Extensión</t>
        </is>
      </c>
      <c r="F41" s="55" t="inlineStr">
        <is>
          <t>Antigüedad</t>
        </is>
      </c>
      <c r="G41" s="55" t="inlineStr">
        <is>
          <t>Evidencia</t>
        </is>
      </c>
    </row>
    <row r="42">
      <c r="A42" s="56" t="inlineStr">
        <is>
          <t>1</t>
        </is>
      </c>
      <c r="B42" s="56" t="inlineStr">
        <is>
          <t>Sobrepastoreo (caprino/vacuno)</t>
        </is>
      </c>
      <c r="C42" s="56" t="inlineStr">
        <is>
          <t>Sí</t>
        </is>
      </c>
      <c r="D42" s="56" t="inlineStr">
        <is>
          <t>Fuerte</t>
        </is>
      </c>
      <c r="E42" s="56" t="inlineStr">
        <is>
          <t>70</t>
        </is>
      </c>
      <c r="F42" s="56" t="inlineStr"/>
      <c r="G42" s="56" t="inlineStr">
        <is>
          <t>Red reticulada densa de huellas de ganado (terracetas) visible en la totalidad de las ortofotos RPA; estrato herbáceo vivo prácticamente ausente; pedestales y raíces expuestas.</t>
        </is>
      </c>
    </row>
    <row r="43">
      <c r="A43" s="57" t="inlineStr">
        <is>
          <t>2</t>
        </is>
      </c>
      <c r="B43" s="57" t="inlineStr">
        <is>
          <t>Tala para leña</t>
        </is>
      </c>
      <c r="C43" s="57" t="inlineStr"/>
      <c r="D43" s="57" t="inlineStr"/>
      <c r="E43" s="57" t="inlineStr"/>
      <c r="F43" s="57" t="inlineStr"/>
      <c r="G43" s="57" t="inlineStr"/>
    </row>
    <row r="44">
      <c r="A44" s="56" t="inlineStr">
        <is>
          <t>3</t>
        </is>
      </c>
      <c r="B44" s="56" t="inlineStr">
        <is>
          <t>Tala para carbón</t>
        </is>
      </c>
      <c r="C44" s="56" t="inlineStr"/>
      <c r="D44" s="56" t="inlineStr"/>
      <c r="E44" s="56" t="inlineStr"/>
      <c r="F44" s="56" t="inlineStr"/>
      <c r="G44" s="56" t="inlineStr"/>
    </row>
    <row r="45">
      <c r="A45" s="57" t="inlineStr">
        <is>
          <t>4</t>
        </is>
      </c>
      <c r="B45" s="57" t="inlineStr">
        <is>
          <t>Tala para madera</t>
        </is>
      </c>
      <c r="C45" s="57" t="inlineStr"/>
      <c r="D45" s="57" t="inlineStr"/>
      <c r="E45" s="57" t="inlineStr"/>
      <c r="F45" s="57" t="inlineStr"/>
      <c r="G45" s="57" t="inlineStr"/>
    </row>
    <row r="46">
      <c r="A46" s="56" t="inlineStr">
        <is>
          <t>5</t>
        </is>
      </c>
      <c r="B46" s="56" t="inlineStr">
        <is>
          <t>Quema (renovación de pastos)</t>
        </is>
      </c>
      <c r="C46" s="56" t="inlineStr"/>
      <c r="D46" s="56" t="inlineStr"/>
      <c r="E46" s="56" t="inlineStr"/>
      <c r="F46" s="56" t="inlineStr"/>
      <c r="G46" s="56" t="inlineStr"/>
    </row>
    <row r="47">
      <c r="A47" s="57" t="inlineStr">
        <is>
          <t>6</t>
        </is>
      </c>
      <c r="B47" s="57" t="inlineStr">
        <is>
          <t>Quema accidental / Incendio</t>
        </is>
      </c>
      <c r="C47" s="57" t="inlineStr"/>
      <c r="D47" s="57" t="inlineStr"/>
      <c r="E47" s="57" t="inlineStr"/>
      <c r="F47" s="57" t="inlineStr"/>
      <c r="G47" s="57" t="inlineStr"/>
    </row>
    <row r="48">
      <c r="A48" s="56" t="inlineStr">
        <is>
          <t>7</t>
        </is>
      </c>
      <c r="B48" s="56" t="inlineStr">
        <is>
          <t>Cambio de uso a agricultura</t>
        </is>
      </c>
      <c r="C48" s="56" t="inlineStr"/>
      <c r="D48" s="56" t="inlineStr"/>
      <c r="E48" s="56" t="inlineStr"/>
      <c r="F48" s="56" t="inlineStr"/>
      <c r="G48" s="56" t="inlineStr"/>
    </row>
    <row r="49">
      <c r="A49" s="57" t="inlineStr">
        <is>
          <t>8</t>
        </is>
      </c>
      <c r="B49" s="57" t="inlineStr">
        <is>
          <t>Cambio de uso a pastoreo</t>
        </is>
      </c>
      <c r="C49" s="57" t="inlineStr"/>
      <c r="D49" s="57" t="inlineStr"/>
      <c r="E49" s="57" t="inlineStr"/>
      <c r="F49" s="57" t="inlineStr"/>
      <c r="G49" s="57" t="inlineStr"/>
    </row>
    <row r="50">
      <c r="A50" s="56" t="inlineStr">
        <is>
          <t>9</t>
        </is>
      </c>
      <c r="B50" s="56" t="inlineStr">
        <is>
          <t>Expansión urbana / vial</t>
        </is>
      </c>
      <c r="C50" s="56" t="inlineStr">
        <is>
          <t>Sí</t>
        </is>
      </c>
      <c r="D50" s="56" t="inlineStr">
        <is>
          <t>Ligera</t>
        </is>
      </c>
      <c r="E50" s="56" t="inlineStr">
        <is>
          <t>5</t>
        </is>
      </c>
      <c r="F50" s="56" t="inlineStr"/>
      <c r="G50" s="56" t="inlineStr">
        <is>
          <t>Vía asfaltada con badenes de concreto, trochas de acceso, viviendas dispersas y corrales en el borde del polígono (fotogramas DJI_0347, DJI_0354, DJI_0370, DJI_0377).</t>
        </is>
      </c>
    </row>
    <row r="51">
      <c r="A51" s="57" t="inlineStr">
        <is>
          <t>10</t>
        </is>
      </c>
      <c r="B51" s="57" t="inlineStr">
        <is>
          <t>Minería informal</t>
        </is>
      </c>
      <c r="C51" s="57" t="inlineStr"/>
      <c r="D51" s="57" t="inlineStr"/>
      <c r="E51" s="57" t="inlineStr"/>
      <c r="F51" s="57" t="inlineStr"/>
      <c r="G51" s="57" t="inlineStr"/>
    </row>
    <row r="52">
      <c r="A52" s="56" t="inlineStr">
        <is>
          <t>11</t>
        </is>
      </c>
      <c r="B52" s="56" t="inlineStr">
        <is>
          <t>Extracción de áridos (cauces)</t>
        </is>
      </c>
      <c r="C52" s="56" t="inlineStr"/>
      <c r="D52" s="56" t="inlineStr"/>
      <c r="E52" s="56" t="inlineStr"/>
      <c r="F52" s="56" t="inlineStr"/>
      <c r="G52" s="56" t="inlineStr"/>
    </row>
    <row r="53">
      <c r="A53" s="57" t="inlineStr">
        <is>
          <t>12</t>
        </is>
      </c>
      <c r="B53" s="57" t="inlineStr">
        <is>
          <t>Especies invasoras</t>
        </is>
      </c>
      <c r="C53" s="57" t="inlineStr"/>
      <c r="D53" s="57" t="inlineStr"/>
      <c r="E53" s="57" t="inlineStr"/>
      <c r="F53" s="57" t="inlineStr"/>
      <c r="G53" s="57" t="inlineStr"/>
    </row>
    <row r="54">
      <c r="A54" s="56" t="inlineStr">
        <is>
          <t>13</t>
        </is>
      </c>
      <c r="B54" s="56" t="inlineStr">
        <is>
          <t>Erosión natural severa</t>
        </is>
      </c>
      <c r="C54" s="56" t="inlineStr"/>
      <c r="D54" s="56" t="inlineStr"/>
      <c r="E54" s="56" t="inlineStr"/>
      <c r="F54" s="56" t="inlineStr"/>
      <c r="G54" s="56" t="inlineStr"/>
    </row>
    <row r="55">
      <c r="A55" s="57" t="inlineStr">
        <is>
          <t>14</t>
        </is>
      </c>
      <c r="B55" s="57" t="inlineStr">
        <is>
          <t>Sequía prolongada / CC</t>
        </is>
      </c>
      <c r="C55" s="57" t="inlineStr"/>
      <c r="D55" s="57" t="inlineStr"/>
      <c r="E55" s="57" t="inlineStr"/>
      <c r="F55" s="57" t="inlineStr"/>
      <c r="G55" s="57" t="inlineStr"/>
    </row>
    <row r="56">
      <c r="A56" s="56" t="inlineStr">
        <is>
          <t>15</t>
        </is>
      </c>
      <c r="B56" s="56" t="inlineStr">
        <is>
          <t>Plagas o enfermedades forestales</t>
        </is>
      </c>
      <c r="C56" s="56" t="inlineStr"/>
      <c r="D56" s="56" t="inlineStr"/>
      <c r="E56" s="56" t="inlineStr"/>
      <c r="F56" s="56" t="inlineStr"/>
      <c r="G56" s="56" t="inlineStr"/>
    </row>
    <row r="57">
      <c r="A57" s="57" t="inlineStr">
        <is>
          <t>16</t>
        </is>
      </c>
      <c r="B57" s="57" t="inlineStr">
        <is>
          <t>Otro</t>
        </is>
      </c>
      <c r="C57" s="57" t="inlineStr"/>
      <c r="D57" s="57" t="inlineStr"/>
      <c r="E57" s="57" t="inlineStr"/>
      <c r="F57" s="57" t="inlineStr"/>
      <c r="G57" s="57" t="inlineStr"/>
    </row>
    <row r="59">
      <c r="A59" s="54" t="inlineStr">
        <is>
          <t>F-DT-04 · INDICADORES CUANTITATIVOS</t>
        </is>
      </c>
    </row>
    <row r="60">
      <c r="A60" s="55" t="inlineStr">
        <is>
          <t>N.o</t>
        </is>
      </c>
      <c r="B60" s="55" t="inlineStr">
        <is>
          <t>Indicador</t>
        </is>
      </c>
      <c r="C60" s="55" t="inlineStr">
        <is>
          <t>Unidad</t>
        </is>
      </c>
      <c r="D60" s="55" t="inlineStr">
        <is>
          <t>Valor</t>
        </is>
      </c>
      <c r="E60" s="55" t="inlineStr">
        <is>
          <t>Fuente</t>
        </is>
      </c>
      <c r="F60" s="55" t="inlineStr">
        <is>
          <t>Umbral</t>
        </is>
      </c>
      <c r="G60" s="55" t="inlineStr">
        <is>
          <t>Nivel</t>
        </is>
      </c>
    </row>
    <row r="61">
      <c r="A61" s="56" t="inlineStr">
        <is>
          <t>1</t>
        </is>
      </c>
      <c r="B61" s="56" t="inlineStr">
        <is>
          <t>Cobertura vegetal total</t>
        </is>
      </c>
      <c r="C61" s="56" t="inlineStr">
        <is>
          <t>%</t>
        </is>
      </c>
      <c r="D61" s="56" t="inlineStr">
        <is>
          <t>30</t>
        </is>
      </c>
      <c r="E61" s="56" t="inlineStr">
        <is>
          <t>Fotointerpretación ortofoto RPA 14-08-2026</t>
        </is>
      </c>
      <c r="F61" s="56" t="inlineStr">
        <is>
          <t>&gt;60% bueno; 30-60% medio; &lt;30% malo</t>
        </is>
      </c>
      <c r="G61" s="56" t="inlineStr">
        <is>
          <t>Medio</t>
        </is>
      </c>
    </row>
    <row r="62">
      <c r="A62" s="57" t="inlineStr">
        <is>
          <t>2</t>
        </is>
      </c>
      <c r="B62" s="57" t="inlineStr">
        <is>
          <t>Porcentaje de suelo desnudo</t>
        </is>
      </c>
      <c r="C62" s="57" t="inlineStr">
        <is>
          <t>%</t>
        </is>
      </c>
      <c r="D62" s="57" t="inlineStr">
        <is>
          <t>55</t>
        </is>
      </c>
      <c r="E62" s="57" t="inlineStr">
        <is>
          <t>Fotointerpretación ortofoto RPA 14-08-2026</t>
        </is>
      </c>
      <c r="F62" s="57" t="inlineStr">
        <is>
          <t>&lt;10% bueno; 10-30% medio; &gt;30% malo</t>
        </is>
      </c>
      <c r="G62" s="57" t="inlineStr">
        <is>
          <t>Alto</t>
        </is>
      </c>
    </row>
    <row r="63">
      <c r="A63" s="56" t="inlineStr">
        <is>
          <t>3</t>
        </is>
      </c>
      <c r="B63" s="56" t="inlineStr">
        <is>
          <t>Densidad de cárcavas</t>
        </is>
      </c>
      <c r="C63" s="56" t="inlineStr">
        <is>
          <t>N°/ha</t>
        </is>
      </c>
      <c r="D63" s="56" t="inlineStr"/>
      <c r="E63" s="56" t="inlineStr">
        <is>
          <t>POR VERIFICAR — no evaluado</t>
        </is>
      </c>
      <c r="F63" s="56" t="inlineStr">
        <is>
          <t>0 nulo; 1-3 medio; &gt;3 alto</t>
        </is>
      </c>
      <c r="G63" s="56" t="inlineStr"/>
    </row>
    <row r="64">
      <c r="A64" s="57" t="inlineStr">
        <is>
          <t>4</t>
        </is>
      </c>
      <c r="B64" s="57" t="inlineStr">
        <is>
          <t>Presencia de especies invasoras</t>
        </is>
      </c>
      <c r="C64" s="57" t="inlineStr">
        <is>
          <t>% área</t>
        </is>
      </c>
      <c r="D64" s="57" t="inlineStr"/>
      <c r="E64" s="57" t="inlineStr">
        <is>
          <t>POR VERIFICAR — no evaluado</t>
        </is>
      </c>
      <c r="F64" s="57" t="inlineStr">
        <is>
          <t>&lt;5% bueno; 5-20% medio; &gt;20% alto</t>
        </is>
      </c>
      <c r="G64" s="57" t="inlineStr"/>
    </row>
    <row r="65">
      <c r="A65" s="56" t="inlineStr">
        <is>
          <t>5</t>
        </is>
      </c>
      <c r="B65" s="56" t="inlineStr">
        <is>
          <t>Carga ganadera estimada</t>
        </is>
      </c>
      <c r="C65" s="56" t="inlineStr">
        <is>
          <t>UA/ha</t>
        </is>
      </c>
      <c r="D65" s="56" t="inlineStr"/>
      <c r="E65" s="56" t="inlineStr">
        <is>
          <t>POR VERIFICAR — no evaluado</t>
        </is>
      </c>
      <c r="F65" s="56" t="inlineStr">
        <is>
          <t>Según tipo de ecosistema</t>
        </is>
      </c>
      <c r="G65" s="56" t="inlineStr"/>
    </row>
    <row r="66">
      <c r="A66" s="57" t="inlineStr">
        <is>
          <t>6</t>
        </is>
      </c>
      <c r="B66" s="57" t="inlineStr">
        <is>
          <t>Frecuencia de quemas últimos 5 años</t>
        </is>
      </c>
      <c r="C66" s="57" t="inlineStr">
        <is>
          <t>N°</t>
        </is>
      </c>
      <c r="D66" s="57" t="inlineStr"/>
      <c r="E66" s="57" t="inlineStr">
        <is>
          <t>POR VERIFICAR — no evaluado</t>
        </is>
      </c>
      <c r="F66" s="57" t="inlineStr">
        <is>
          <t>0 nulo; 1-2 medio; &gt;2 alto</t>
        </is>
      </c>
      <c r="G66" s="57" t="inlineStr"/>
    </row>
    <row r="67">
      <c r="A67" s="56" t="inlineStr">
        <is>
          <t>7</t>
        </is>
      </c>
      <c r="B67" s="56" t="inlineStr">
        <is>
          <t>% área con pendiente &gt;50%</t>
        </is>
      </c>
      <c r="C67" s="56" t="inlineStr">
        <is>
          <t>%</t>
        </is>
      </c>
      <c r="D67" s="56" t="inlineStr"/>
      <c r="E67" s="56" t="inlineStr">
        <is>
          <t>POR VERIFICAR — no evaluado</t>
        </is>
      </c>
      <c r="F67" s="56" t="inlineStr">
        <is>
          <t>Factor de susceptibilidad</t>
        </is>
      </c>
      <c r="G67" s="56" t="inlineStr"/>
    </row>
    <row r="68">
      <c r="A68" s="57" t="inlineStr">
        <is>
          <t>8</t>
        </is>
      </c>
      <c r="B68" s="57" t="inlineStr">
        <is>
          <t>Distancia a vía vecinal más cercana</t>
        </is>
      </c>
      <c r="C68" s="57" t="inlineStr">
        <is>
          <t>m</t>
        </is>
      </c>
      <c r="D68" s="57" t="inlineStr">
        <is>
          <t>0</t>
        </is>
      </c>
      <c r="E68" s="57" t="inlineStr">
        <is>
          <t>Ortofoto RPA 14-08-2026 — la vía asfaltada bordea el polígono</t>
        </is>
      </c>
      <c r="F68" s="57" t="inlineStr">
        <is>
          <t>A menor distancia → mayor presión</t>
        </is>
      </c>
      <c r="G68" s="57" t="inlineStr">
        <is>
          <t>Alto</t>
        </is>
      </c>
    </row>
    <row r="70">
      <c r="A70" s="54" t="inlineStr">
        <is>
          <t>F-DT-05 · FUENTES DE AGUA INVENTARIADAS</t>
        </is>
      </c>
    </row>
    <row r="71">
      <c r="A71" s="55" t="inlineStr">
        <is>
          <t>N.o</t>
        </is>
      </c>
      <c r="B71" s="55" t="inlineStr">
        <is>
          <t>Tipo de fuente</t>
        </is>
      </c>
      <c r="C71" s="55" t="inlineStr">
        <is>
          <t>UTM ESTE</t>
        </is>
      </c>
      <c r="D71" s="55" t="inlineStr">
        <is>
          <t>UTM NORTE</t>
        </is>
      </c>
      <c r="E71" s="55" t="inlineStr">
        <is>
          <t>Régimen</t>
        </is>
      </c>
      <c r="F71" s="55" t="inlineStr">
        <is>
          <t>Calidad</t>
        </is>
      </c>
      <c r="G71" s="55" t="inlineStr">
        <is>
          <t>Distancia (m)</t>
        </is>
      </c>
      <c r="H71" s="55" t="inlineStr">
        <is>
          <t>Uso / observación</t>
        </is>
      </c>
    </row>
    <row r="72">
      <c r="A72" s="56" t="inlineStr">
        <is>
          <t>1</t>
        </is>
      </c>
      <c r="B72" s="56" t="inlineStr">
        <is>
          <t>Río</t>
        </is>
      </c>
      <c r="C72" s="61" t="n">
        <v>639951</v>
      </c>
      <c r="D72" s="61" t="n">
        <v>9410982</v>
      </c>
      <c r="E72" s="56" t="inlineStr">
        <is>
          <t>Permanente</t>
        </is>
      </c>
      <c r="F72" s="56" t="inlineStr">
        <is>
          <t>No evaluable</t>
        </is>
      </c>
      <c r="G72" s="56" t="n"/>
      <c r="H72" s="56" t="inlineStr">
        <is>
          <t>Cauce principal del fondo de valle, al norte del bloque. Fotograma DJI_0360 (10:36 h): agua superficial y lecho de gravas amplio en plena estación seca. Instalación de paneles solares asociada en la margen derecha (posible bombeo). Distancia y régimen POR VERIFICAR.</t>
        </is>
      </c>
    </row>
    <row r="73">
      <c r="A73" s="57" t="inlineStr">
        <is>
          <t>2</t>
        </is>
      </c>
      <c r="B73" s="57" t="inlineStr">
        <is>
          <t>Quebrada estacional</t>
        </is>
      </c>
      <c r="C73" s="62" t="n">
        <v>640025</v>
      </c>
      <c r="D73" s="62" t="n">
        <v>9410582</v>
      </c>
      <c r="E73" s="57" t="inlineStr"/>
      <c r="F73" s="57" t="inlineStr">
        <is>
          <t>No evaluable</t>
        </is>
      </c>
      <c r="G73" s="57" t="n"/>
      <c r="H73" s="57" t="inlineStr">
        <is>
          <t>Cauce pedregoso interior con incisión marcada y arrastre de clastos. Fotograma DJI_0400 (10:38 h). Régimen POR VERIFICAR.</t>
        </is>
      </c>
    </row>
    <row r="74">
      <c r="A74" s="56" t="inlineStr">
        <is>
          <t>3</t>
        </is>
      </c>
      <c r="B74" s="56" t="inlineStr">
        <is>
          <t>Quebrada estacional</t>
        </is>
      </c>
      <c r="C74" s="61" t="n">
        <v>639906</v>
      </c>
      <c r="D74" s="61" t="n">
        <v>9410562</v>
      </c>
      <c r="E74" s="56" t="inlineStr"/>
      <c r="F74" s="56" t="inlineStr">
        <is>
          <t>No evaluable</t>
        </is>
      </c>
      <c r="G74" s="56" t="n"/>
      <c r="H74" s="56" t="inlineStr">
        <is>
          <t>Cauce interior con lecho de bolonería, sin agua superficial en estiaje. Fotograma DJI_0415 (10:39 h). Régimen POR VERIFICAR.</t>
        </is>
      </c>
    </row>
    <row r="75">
      <c r="A75" s="57" t="inlineStr">
        <is>
          <t>4</t>
        </is>
      </c>
      <c r="B75" s="57" t="inlineStr">
        <is>
          <t>Canal de riego</t>
        </is>
      </c>
      <c r="C75" s="62" t="n">
        <v>639951</v>
      </c>
      <c r="D75" s="62" t="n">
        <v>9410982</v>
      </c>
      <c r="E75" s="57" t="inlineStr"/>
      <c r="F75" s="57" t="inlineStr">
        <is>
          <t>No evaluable</t>
        </is>
      </c>
      <c r="G75" s="57" t="n"/>
      <c r="H75" s="57" t="inlineStr">
        <is>
          <t>Parcelas de plátano bajo riego en el fondo de valle, al norte de la vía. La obra de conducción no fue identificada individualmente. Registro referencial POR VERIFICAR.</t>
        </is>
      </c>
    </row>
    <row r="78">
      <c r="A78" s="54" t="inlineStr">
        <is>
          <t>OBSERVACIONES DEL EVALUADOR POR FICHA</t>
        </is>
      </c>
    </row>
    <row r="79">
      <c r="A79" s="55" t="inlineStr">
        <is>
          <t>Ficha</t>
        </is>
      </c>
      <c r="B79" s="55" t="inlineStr">
        <is>
          <t>Observación registrada en campo</t>
        </is>
      </c>
    </row>
    <row r="80">
      <c r="A80" s="56" t="inlineStr">
        <is>
          <t>F-DT-01</t>
        </is>
      </c>
      <c r="B80" s="56" t="inlineStr">
        <is>
          <t>Bloque NO registrado en el catálogo «Bloques V4» de esta plantilla ni en «Bloques V5»; procede del REPORTE_BLOQUES_V6 y de la capa cartográfica «Bloques extras». Se añadió el registro a la hoja auxiliar exclusivamente para habilitar los VLOOKUP (ver D-02 del informe). Centroide por restitución cartográfica (± 30 m). Altitud GPS SIN CONSIGNAR: la cota EXIF de los fotogramas (346.97–425.77 msnm) corresponde a la aeronave y no al terreno (≈ 235–355 msnm). Rango altitudinal y pendiente REFERENCIALES, derivados de un transecto de 261 m en Google Earth (mín. 233 · media 252 · máx. 275 msnm; pendiente media 15.7 %, máxima 31.0 %); no equivalen a estadística zonal del DEM, no disponible para este bloque.</t>
        </is>
      </c>
    </row>
    <row r="81">
      <c r="A81" s="57" t="inlineStr">
        <is>
          <t>F-DT-02</t>
        </is>
      </c>
      <c r="B81" s="57" t="inlineStr">
        <is>
          <t>Calificación derivada de fotointerpretación de ortofotos RPA del 14-08-2026, no de medición directa. Se sustenta en: red reticulada densa de huellas de ganado (terracetas) en los tercios norte y central; cauces interiores con incisión y lecho de bolonería; pedestales y raíces expuestas en la base de individuos aislados; costra superficial generalizada. El inventario georreferenciado de cárcavas NO fue ejecutado: número total, longitud, porcentaje afectado, patrón dominante y socavamiento de cauce se dejan en blanco. La ausencia de registro no equivale a ausencia del proceso.</t>
        </is>
      </c>
    </row>
    <row r="82">
      <c r="A82" s="56" t="inlineStr">
        <is>
          <t>F-DT-03</t>
        </is>
      </c>
      <c r="B82" s="56" t="inlineStr">
        <is>
          <t>Las doce especies consignadas se replican de los bloques 85, 86 y 87 por indicación de la Subdirección; NO proceden de un muestreo por parcela ejecutado en el bloque 83. No se registran abundancia relativa, DAP ni altura. El estrato indicado corresponde al hábito típico de cada especie en bosque estacionalmente seco. Determinaciones PRELIMINARES sujetas a colecta y determinación botánica. Los porcentajes de estructura son estimaciones por fotointerpretación de ortofoto, no mediciones de campo. Altura del estrato dominante, altura máxima, DAP promedio y estado sanitario del dosel SIN CONSIGNAR por carecer de mediciones. Asignación Bes-cm POR VERIFICAR contra el Mapa Nacional de Ecosistemas (MINAM): el contacto con el bosque seco de llanura del valle del río Bigote es próximo.</t>
        </is>
      </c>
    </row>
    <row r="83">
      <c r="A83" s="57" t="inlineStr">
        <is>
          <t>F-DT-04</t>
        </is>
      </c>
      <c r="B83" s="57" t="inlineStr">
        <is>
          <t>Velocidad de degradación SIN CONSIGNAR: no se dispone de la serie Theil-Sen (TAU) ni de MSAVI multianual para el bloque. Las causas no consignadas (tala para leña, carbón y madera; quemas; minería informal; extracción de áridos; especies invasoras; plagas forestales) NO fueron objeto de verificación; su no consignación no equivale a ausencia. MSAVI 2024 del bloque = 0.3055, un 38 % por debajo de la media del universo de 129 bloques (0.4909). Segmentación de la lámina NDVI mediana 2025: tierra desnuda 10.5 %, vegetación ligera 60.5 %, vegetación mediana 26.2 %, vegetación alta 2.8 %.</t>
        </is>
      </c>
    </row>
    <row r="84">
      <c r="A84" s="56" t="inlineStr">
        <is>
          <t>F-DT-05</t>
        </is>
      </c>
      <c r="B84" s="56" t="inlineStr">
        <is>
          <t>Inventario NO levantado en campo. Las entradas proceden de la interpretación de las ortofotos RPA del 14-08-2026 y sus coordenadas corresponden al centro del fotograma, no al punto exacto de la fuente. Régimen, calidad, caudal y distancias POR VERIFICAR. La vía que bordea el límite norte del bloque es ASFALTADA, con badenes de concreto en los cruces de quebrada (fotogramas DJI_0360, DJI_0392): difiere de la «vía afirmada» consignada en los informes del sector Dotor. Código MTC POR VERIFICAR. Tiempos de viaje, señal celular, operador, alojamiento rural y contacto de Ronda Campesina SIN CONSIGNAR.</t>
        </is>
      </c>
    </row>
  </sheetData>
  <mergeCells count="5">
    <mergeCell ref="A2:I2"/>
    <mergeCell ref="A5:I5"/>
    <mergeCell ref="A1:I1"/>
    <mergeCell ref="A3:I3"/>
    <mergeCell ref="A4:I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8"/>
  <sheetViews>
    <sheetView workbookViewId="0">
      <selection activeCell="A1" sqref="A1"/>
    </sheetView>
  </sheetViews>
  <sheetFormatPr baseColWidth="8" defaultRowHeight="15"/>
  <cols>
    <col width="44" customWidth="1" min="1" max="1"/>
    <col width="18" customWidth="1" min="2" max="2"/>
  </cols>
  <sheetData>
    <row r="1">
      <c r="A1" s="51" t="inlineStr">
        <is>
          <t>AUTORIDAD NACIONAL DE INFRAESTRUCTURA - ANIN</t>
        </is>
      </c>
    </row>
    <row r="2">
      <c r="A2" s="51" t="inlineStr">
        <is>
          <t>DIRECCION DE INTERVENCIONES MULTISECTORIALES Y DE EMERGENCIA - DIME</t>
        </is>
      </c>
    </row>
    <row r="3">
      <c r="A3" s="51" t="inlineStr">
        <is>
          <t>SUBDIRECCION DE ESTUDIOS DE INVERSION - SESDI</t>
        </is>
      </c>
    </row>
    <row r="4">
      <c r="A4" s="52" t="inlineStr">
        <is>
          <t>PROYECTO IN PIURA | CUI 2669244 | Recuperacion del servicio de regulacion de riesgos naturales y de ecosistemas degradados - Cuenca Alta del Rio Piura</t>
        </is>
      </c>
    </row>
    <row r="5" ht="22" customHeight="1">
      <c r="A5" s="53" t="inlineStr">
        <is>
          <t>GRÁFICOS DE LA INTEGRACIÓN — BLOQUE 83</t>
        </is>
      </c>
    </row>
    <row r="7">
      <c r="A7" s="54" t="inlineStr">
        <is>
          <t>Hechos declarados por fuente</t>
        </is>
      </c>
    </row>
    <row r="8">
      <c r="A8" s="55" t="inlineStr">
        <is>
          <t>Fuente</t>
        </is>
      </c>
      <c r="B8" s="55" t="inlineStr">
        <is>
          <t>Hechos</t>
        </is>
      </c>
    </row>
    <row r="9">
      <c r="A9" s="56" t="inlineStr">
        <is>
          <t>Dato de campo</t>
        </is>
      </c>
      <c r="B9" s="56" t="n">
        <v>52</v>
      </c>
    </row>
    <row r="10">
      <c r="A10" s="57" t="inlineStr">
        <is>
          <t>Gabinete (GIS / teledetección)</t>
        </is>
      </c>
      <c r="B10" s="57" t="n">
        <v>25</v>
      </c>
    </row>
    <row r="11">
      <c r="A11" s="56" t="inlineStr">
        <is>
          <t>Fuente oficial</t>
        </is>
      </c>
      <c r="B11" s="56" t="n">
        <v>14</v>
      </c>
    </row>
    <row r="26">
      <c r="A26" s="54" t="inlineStr">
        <is>
          <t>Estado del cruce entre fuentes</t>
        </is>
      </c>
    </row>
    <row r="27">
      <c r="A27" s="55" t="inlineStr">
        <is>
          <t>Estado</t>
        </is>
      </c>
      <c r="B27" s="55" t="inlineStr">
        <is>
          <t>Hechos</t>
        </is>
      </c>
    </row>
    <row r="28">
      <c r="A28" s="56" t="inlineStr">
        <is>
          <t>CONFORME</t>
        </is>
      </c>
      <c r="B28" s="56" t="n">
        <v>86</v>
      </c>
    </row>
    <row r="29">
      <c r="A29" s="57" t="inlineStr">
        <is>
          <t>COMPLEMENTADO</t>
        </is>
      </c>
      <c r="B29" s="57" t="n">
        <v>4</v>
      </c>
    </row>
    <row r="30">
      <c r="A30" s="56" t="inlineStr">
        <is>
          <t>ACTUALIZADO</t>
        </is>
      </c>
      <c r="B30" s="56" t="n">
        <v>1</v>
      </c>
    </row>
    <row r="31">
      <c r="A31" s="57" t="inlineStr">
        <is>
          <t>DISCREPANTE</t>
        </is>
      </c>
      <c r="B31" s="57" t="n">
        <v>0</v>
      </c>
    </row>
    <row r="32">
      <c r="A32" s="56" t="inlineStr">
        <is>
          <t>PENDIENTE</t>
        </is>
      </c>
      <c r="B32" s="56" t="n">
        <v>23</v>
      </c>
    </row>
    <row r="45">
      <c r="A45" s="54" t="inlineStr">
        <is>
          <t>Cobertura por estrato — campo (%)</t>
        </is>
      </c>
    </row>
    <row r="46">
      <c r="A46" s="55" t="inlineStr">
        <is>
          <t>Estrato</t>
        </is>
      </c>
      <c r="B46" s="55" t="inlineStr">
        <is>
          <t>% del área</t>
        </is>
      </c>
    </row>
    <row r="47">
      <c r="A47" s="56" t="inlineStr">
        <is>
          <t>Dosel</t>
        </is>
      </c>
      <c r="B47" s="61" t="n">
        <v>18</v>
      </c>
    </row>
    <row r="48">
      <c r="A48" s="57" t="inlineStr">
        <is>
          <t>Arbustiva</t>
        </is>
      </c>
      <c r="B48" s="63" t="n">
        <v>9</v>
      </c>
    </row>
    <row r="49">
      <c r="A49" s="56" t="inlineStr">
        <is>
          <t>Herbácea</t>
        </is>
      </c>
      <c r="B49" s="64" t="n">
        <v>3</v>
      </c>
    </row>
    <row r="50">
      <c r="A50" s="57" t="inlineStr">
        <is>
          <t>Hojarasca</t>
        </is>
      </c>
      <c r="B50" s="62" t="n">
        <v>15</v>
      </c>
    </row>
    <row r="51">
      <c r="A51" s="56" t="inlineStr">
        <is>
          <t>Suelo desnudo</t>
        </is>
      </c>
      <c r="B51" s="61" t="n">
        <v>55</v>
      </c>
    </row>
    <row r="64">
      <c r="A64" s="54" t="inlineStr">
        <is>
          <t>Causas activas de degradación (F-DT-04)</t>
        </is>
      </c>
    </row>
    <row r="65">
      <c r="A65" s="55" t="inlineStr">
        <is>
          <t>Causa</t>
        </is>
      </c>
      <c r="B65" s="55" t="inlineStr">
        <is>
          <t>Intensidad (1 ligera - 4 muy fuerte)</t>
        </is>
      </c>
    </row>
    <row r="66">
      <c r="A66" s="56" t="inlineStr">
        <is>
          <t>Sobrepastoreo (caprino/vacuno)</t>
        </is>
      </c>
      <c r="B66" s="56" t="n">
        <v>3</v>
      </c>
    </row>
    <row r="67">
      <c r="A67" s="57" t="inlineStr">
        <is>
          <t>Expansión urbana / vial</t>
        </is>
      </c>
      <c r="B67" s="57" t="n">
        <v>1</v>
      </c>
    </row>
    <row r="83">
      <c r="A83" s="54" t="inlineStr">
        <is>
          <t>Control de consistencia por calificación</t>
        </is>
      </c>
    </row>
    <row r="84">
      <c r="A84" s="55" t="inlineStr">
        <is>
          <t>Calificación</t>
        </is>
      </c>
      <c r="B84" s="55" t="inlineStr">
        <is>
          <t>Verificaciones</t>
        </is>
      </c>
    </row>
    <row r="85">
      <c r="A85" s="56" t="inlineStr">
        <is>
          <t>SUSTANTIVA</t>
        </is>
      </c>
      <c r="B85" s="56" t="n">
        <v>6</v>
      </c>
    </row>
    <row r="86">
      <c r="A86" s="57" t="inlineStr">
        <is>
          <t>NO SUSTANTIVA</t>
        </is>
      </c>
      <c r="B86" s="57" t="n">
        <v>4</v>
      </c>
    </row>
    <row r="87">
      <c r="A87" s="56" t="inlineStr">
        <is>
          <t>CORREGIDO</t>
        </is>
      </c>
      <c r="B87" s="56" t="n">
        <v>1</v>
      </c>
    </row>
    <row r="88">
      <c r="A88" s="57" t="inlineStr">
        <is>
          <t>CONFORME</t>
        </is>
      </c>
      <c r="B88" s="57" t="n">
        <v>10</v>
      </c>
    </row>
  </sheetData>
  <mergeCells count="5">
    <mergeCell ref="A1:H1"/>
    <mergeCell ref="A4:H4"/>
    <mergeCell ref="A3:H3"/>
    <mergeCell ref="A2:H2"/>
    <mergeCell ref="A5:H5"/>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83 — IN Piura</dc:title>
  <dc:subject>Diagnóstico Territorial por bloque de intervención</dc:subject>
  <dcterms:created xsi:type="dcterms:W3CDTF">2026-09-08T03:39:59Z</dcterms:created>
  <dcterms:modified xsi:type="dcterms:W3CDTF">2026-09-11T21:26:31Z</dcterms:modified>
</cp:coreProperties>
</file>