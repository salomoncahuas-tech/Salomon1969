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integración'!$A$53:$A$61</f>
            </numRef>
          </cat>
          <val>
            <numRef>
              <f>'Gráficos de integración'!$B$53:$B$61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integración'!B79</f>
            </strRef>
          </tx>
          <spPr>
            <a:ln>
              <a:prstDash val="solid"/>
            </a:ln>
          </spPr>
          <cat>
            <numRef>
              <f>'Gráficos de integración'!$A$80:$A$83</f>
            </numRef>
          </cat>
          <val>
            <numRef>
              <f>'Gráficos de integración'!$B$80:$B$83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78</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M17B7</t>
        </is>
      </c>
    </row>
    <row r="6" ht="24" customHeight="1">
      <c r="A6" s="4" t="inlineStr">
        <is>
          <t>Diagnóstico Territorial — Plantilla DT Campo Check Validada V5 | Sistema de referencia: UTM WGS 84 Zona 17S (EPSG:32717) · Integrado con la ficha de campo F-DT vigente (Plantilla_DT_Campo_Check_Validada_V5_M17B7.xlsx) — V7 - resumen V6 + campo F-DT integrado</t>
        </is>
      </c>
    </row>
    <row r="7"/>
    <row r="8" ht="18" customHeight="1">
      <c r="A8" s="5" t="inlineStr">
        <is>
          <t>1. IDENTIFICACIÓN Y LOCALIZACIÓN</t>
        </is>
      </c>
    </row>
    <row r="9">
      <c r="A9" s="6" t="inlineStr">
        <is>
          <t>Código del bloque</t>
        </is>
      </c>
      <c r="B9" s="7" t="inlineStr">
        <is>
          <t>M17B7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Angurgo (referencia); C.P. por confirmar</t>
        </is>
      </c>
      <c r="C13" s="6" t="inlineStr">
        <is>
          <t>Comunidad campesina</t>
        </is>
      </c>
      <c r="D13" s="7" t="inlineStr">
        <is>
          <t>Por verificar</t>
        </is>
      </c>
      <c r="E13" s="8" t="n"/>
      <c r="F13" s="8" t="n"/>
    </row>
    <row r="14">
      <c r="A14" s="6" t="inlineStr">
        <is>
          <t>Superficie de catálogo (V5/V6), ha</t>
        </is>
      </c>
      <c r="B14" s="7" t="n">
        <v>258.84</v>
      </c>
      <c r="C14" s="6" t="inlineStr">
        <is>
          <t>Fuente de superficie</t>
        </is>
      </c>
      <c r="D14" s="7" t="inlineStr">
        <is>
          <t>Catálogo maestro Bloques V5/V6</t>
        </is>
      </c>
      <c r="E14" s="8" t="n"/>
      <c r="F14" s="8" t="n"/>
    </row>
    <row r="15">
      <c r="A15" s="6" t="inlineStr">
        <is>
          <t>Centroide UTM ESTE (m)</t>
        </is>
      </c>
      <c r="B15" s="7" t="n">
        <v>608472</v>
      </c>
      <c r="C15" s="6" t="inlineStr">
        <is>
          <t>Centroide UTM NORTE (m)</t>
        </is>
      </c>
      <c r="D15" s="7" t="n">
        <v>9448056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553</v>
      </c>
      <c r="C19" s="6" t="inlineStr">
        <is>
          <t>Altitud máxima (msnm)</t>
        </is>
      </c>
      <c r="D19" s="7" t="n">
        <v>1517</v>
      </c>
      <c r="E19" s="8" t="n"/>
      <c r="F19" s="8" t="n"/>
    </row>
    <row r="20">
      <c r="A20" s="6" t="inlineStr">
        <is>
          <t>Amplitud altitudinal (m)</t>
        </is>
      </c>
      <c r="B20" s="7" t="n">
        <v>964</v>
      </c>
      <c r="C20" s="6" t="inlineStr">
        <is>
          <t>Piso altitudinal dominante</t>
        </is>
      </c>
      <c r="D20" s="7" t="inlineStr">
        <is>
          <t>1000-1500 m (Quechua baja)</t>
        </is>
      </c>
      <c r="E20" s="8" t="n"/>
      <c r="F20" s="8" t="n"/>
    </row>
    <row r="21">
      <c r="A21" s="6" t="inlineStr">
        <is>
          <t>Pendiente promedio (%)</t>
        </is>
      </c>
      <c r="B21" s="7" t="n">
        <v>29.82</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0.5087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(58.63 %)</t>
        </is>
      </c>
      <c r="E29" s="8" t="n"/>
      <c r="F29" s="8" t="n"/>
    </row>
    <row r="30">
      <c r="A30" s="6" t="inlineStr">
        <is>
          <t>Superficie clasificada NDVI 2025 (ha)</t>
        </is>
      </c>
      <c r="B30" s="7" t="n">
        <v>258.969</v>
      </c>
      <c r="C30" s="6" t="inlineStr">
        <is>
          <t>Desviación frente al catálogo (%)</t>
        </is>
      </c>
      <c r="D30" s="7" t="n">
        <v>0.05</v>
      </c>
      <c r="E30" s="8" t="n"/>
      <c r="F30" s="8" t="n"/>
    </row>
    <row r="31">
      <c r="A31" s="6" t="inlineStr">
        <is>
          <t>Superficie clasificada MSAVI 2024 (ha)</t>
        </is>
      </c>
      <c r="B31" s="39" t="n">
        <v>258.837</v>
      </c>
      <c r="C31" s="6" t="inlineStr">
        <is>
          <t>Desviación MSAVI frente al catálogo (%)</t>
        </is>
      </c>
      <c r="D31" s="40" t="n">
        <v>0</v>
      </c>
      <c r="E31" s="8" t="n"/>
      <c r="F31" s="8" t="n"/>
    </row>
    <row r="32">
      <c r="A32" s="6" t="inlineStr">
        <is>
          <t>Superficie bajo umbral MSAVI 0.4976 (ha)</t>
        </is>
      </c>
      <c r="B32" s="39" t="n">
        <v>125.266</v>
      </c>
      <c r="C32" s="6" t="inlineStr">
        <is>
          <t>% del bloque bajo umbral (brecha espectral)</t>
        </is>
      </c>
      <c r="D32" s="40" t="n">
        <v>48.4</v>
      </c>
      <c r="E32" s="8" t="n"/>
      <c r="F32" s="8" t="n"/>
    </row>
    <row r="33">
      <c r="A33" s="6" t="inlineStr">
        <is>
          <t>Clase DN dominante (MSAVI 2024)</t>
        </is>
      </c>
      <c r="B33" s="7" t="inlineStr">
        <is>
          <t>DN 3 · 0.3813 - 0.4976 (Vigor bajo)</t>
        </is>
      </c>
      <c r="C33" s="6" t="inlineStr">
        <is>
          <t>N.° de polígonos MSAVI del bloque</t>
        </is>
      </c>
      <c r="D33" s="41" t="n">
        <v>984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258.84 ha totales — Bes-cm 114.16 ha (44.1%); ZONA AGRÍCOLA 144.68 ha (55.9%)</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≈80 (estimación ocular + gabinete)</t>
        </is>
      </c>
      <c r="E38" s="8" t="n"/>
      <c r="F38" s="8" t="n"/>
    </row>
    <row r="39">
      <c r="A39" s="6" t="inlineStr">
        <is>
          <t>Suelo desnudo — campo (%)</t>
        </is>
      </c>
      <c r="B39" s="7" t="inlineStr">
        <is>
          <t>Por determinar</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2026-06-23</t>
        </is>
      </c>
      <c r="E44" s="8" t="n"/>
      <c r="F44" s="8" t="n"/>
    </row>
    <row r="45">
      <c r="A45" s="6" t="inlineStr">
        <is>
          <t>Hora de registro</t>
        </is>
      </c>
      <c r="B45" s="7" t="inlineStr">
        <is>
          <t>13:19 - 13:42 h</t>
        </is>
      </c>
      <c r="C45" s="6" t="inlineStr">
        <is>
          <t>Correlativo de ficha</t>
        </is>
      </c>
      <c r="D45" s="7" t="inlineStr">
        <is>
          <t>M17B7-DT-01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bloque (sin parcela permanente)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de subsistencia y presión vial,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35.5796</v>
      </c>
      <c r="C10" s="19">
        <f>ROUND(B10/$B$15*100,2)</f>
        <v/>
      </c>
      <c r="D10" s="11" t="inlineStr">
        <is>
          <t>Vigor alto</t>
        </is>
      </c>
      <c r="E10" s="11" t="inlineStr">
        <is>
          <t>Sobre umbral</t>
        </is>
      </c>
    </row>
    <row r="11">
      <c r="A11" s="12" t="inlineStr">
        <is>
          <t>0.4976 - 0.6139 · DN 4</t>
        </is>
      </c>
      <c r="B11" s="30" t="n">
        <v>97.99169999999999</v>
      </c>
      <c r="C11" s="29">
        <f>ROUND(B11/$B$15*100,2)</f>
        <v/>
      </c>
      <c r="D11" s="13" t="inlineStr">
        <is>
          <t>Vigor moderado</t>
        </is>
      </c>
      <c r="E11" s="13" t="inlineStr">
        <is>
          <t>Sobre umbral</t>
        </is>
      </c>
    </row>
    <row r="12">
      <c r="A12" s="7" t="inlineStr">
        <is>
          <t>0.3813 - 0.4976 · DN 3</t>
        </is>
      </c>
      <c r="B12" s="18" t="n">
        <v>110.2042</v>
      </c>
      <c r="C12" s="19">
        <f>ROUND(B12/$B$15*100,2)</f>
        <v/>
      </c>
      <c r="D12" s="11" t="inlineStr">
        <is>
          <t>Vigor bajo</t>
        </is>
      </c>
      <c r="E12" s="11" t="inlineStr">
        <is>
          <t>BAJO umbral 0.4976</t>
        </is>
      </c>
    </row>
    <row r="13">
      <c r="A13" s="14" t="inlineStr">
        <is>
          <t>0.2650 - 0.3813 · DN 2</t>
        </is>
      </c>
      <c r="B13" s="20" t="n">
        <v>15.0575</v>
      </c>
      <c r="C13" s="21">
        <f>ROUND(B13/$B$15*100,2)</f>
        <v/>
      </c>
      <c r="D13" s="15" t="inlineStr">
        <is>
          <t>Vigor muy bajo</t>
        </is>
      </c>
      <c r="E13" s="15" t="inlineStr">
        <is>
          <t>BAJO umbral 0.4976</t>
        </is>
      </c>
    </row>
    <row r="14">
      <c r="A14" s="7" t="inlineStr">
        <is>
          <t>&lt;= 0.2650 · DN 1</t>
        </is>
      </c>
      <c r="B14" s="18" t="n">
        <v>0.0042</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984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258.84</v>
      </c>
      <c r="C18" s="50" t="inlineStr">
        <is>
          <t>—</t>
        </is>
      </c>
      <c r="D18" s="47" t="inlineStr">
        <is>
          <t>Desviación planimétrica frente al catálogo</t>
        </is>
      </c>
      <c r="E18" s="47" t="inlineStr">
        <is>
          <t>+0.00 %</t>
        </is>
      </c>
    </row>
    <row r="19">
      <c r="A19" s="16" t="inlineStr">
        <is>
          <t>MSAVI 2024 — MEDIA DEL BLOQUE</t>
        </is>
      </c>
      <c r="B19" s="17" t="n">
        <v>0.508715</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(0.5087)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151.8463</v>
      </c>
      <c r="C25" s="19" t="n">
        <v>58.63</v>
      </c>
      <c r="D25" s="11" t="inlineStr">
        <is>
          <t>Dosel continuo, matorral denso o mosaico agroforestal</t>
        </is>
      </c>
      <c r="E25" s="11" t="inlineStr"/>
    </row>
    <row r="26">
      <c r="A26" s="14" t="inlineStr">
        <is>
          <t>Vegetación mediana</t>
        </is>
      </c>
      <c r="B26" s="20" t="n">
        <v>106.1922</v>
      </c>
      <c r="C26" s="21" t="n">
        <v>41.01</v>
      </c>
      <c r="D26" s="15" t="inlineStr">
        <is>
          <t>Pastizal cultivado, matorral ralo, parcelas agrícolas</t>
        </is>
      </c>
      <c r="E26" s="15" t="inlineStr"/>
    </row>
    <row r="27">
      <c r="A27" s="7" t="inlineStr">
        <is>
          <t>Vegetación ligera</t>
        </is>
      </c>
      <c r="B27" s="18" t="n">
        <v>0.9302</v>
      </c>
      <c r="C27" s="19" t="n">
        <v>0.36</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258.84</v>
      </c>
      <c r="C29" s="25" t="inlineStr">
        <is>
          <t>—</t>
        </is>
      </c>
      <c r="D29" s="25" t="inlineStr">
        <is>
          <t>Desviación planimétrica frente al catálogo</t>
        </is>
      </c>
      <c r="E29" s="25" t="inlineStr">
        <is>
          <t>+0.05 %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M17B7</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608397</v>
      </c>
      <c r="D10" s="26" t="n">
        <v>9448588</v>
      </c>
      <c r="E10" s="11" t="n">
        <v>537.3</v>
      </c>
      <c r="F10" s="11" t="inlineStr"/>
      <c r="G10" s="11" t="inlineStr">
        <is>
          <t>Coordenada consignada en F-DT-01</t>
        </is>
      </c>
    </row>
    <row r="11">
      <c r="A11" s="14" t="inlineStr">
        <is>
          <t>C-01</t>
        </is>
      </c>
      <c r="B11" s="15" t="inlineStr">
        <is>
          <t>Rasgo erosivo — Por determinar</t>
        </is>
      </c>
      <c r="C11" s="27" t="n">
        <v>606809</v>
      </c>
      <c r="D11" s="27" t="n">
        <v>9446563</v>
      </c>
      <c r="E11" s="15" t="n">
        <v>2234.9</v>
      </c>
      <c r="F11" s="15" t="inlineStr">
        <is>
          <t>Activa</t>
        </is>
      </c>
      <c r="G11" s="15" t="inlineStr">
        <is>
          <t>Caminos / huellas de ganado</t>
        </is>
      </c>
    </row>
    <row r="12">
      <c r="A12" s="7" t="inlineStr">
        <is>
          <t>C-02</t>
        </is>
      </c>
      <c r="B12" s="11" t="inlineStr">
        <is>
          <t>Rasgo erosivo — Por determinar</t>
        </is>
      </c>
      <c r="C12" s="26" t="n">
        <v>606781</v>
      </c>
      <c r="D12" s="26" t="n">
        <v>9446904</v>
      </c>
      <c r="E12" s="11" t="n">
        <v>2046.1</v>
      </c>
      <c r="F12" s="11" t="inlineStr">
        <is>
          <t>Activa</t>
        </is>
      </c>
      <c r="G12" s="11" t="inlineStr">
        <is>
          <t>Tala / pérdida de cobertura</t>
        </is>
      </c>
    </row>
    <row r="13">
      <c r="A13" s="14" t="inlineStr">
        <is>
          <t>C-03</t>
        </is>
      </c>
      <c r="B13" s="15" t="inlineStr">
        <is>
          <t>Rasgo erosivo — Por determinar</t>
        </is>
      </c>
      <c r="C13" s="27" t="n">
        <v>606995</v>
      </c>
      <c r="D13" s="27" t="n">
        <v>9447237</v>
      </c>
      <c r="E13" s="15" t="n">
        <v>1688.9</v>
      </c>
      <c r="F13" s="15" t="inlineStr">
        <is>
          <t>Semi-activa</t>
        </is>
      </c>
      <c r="G13" s="15" t="inlineStr">
        <is>
          <t>Tala / pérdida de cobertura</t>
        </is>
      </c>
    </row>
    <row r="14">
      <c r="A14" s="7" t="inlineStr">
        <is>
          <t>H-01</t>
        </is>
      </c>
      <c r="B14" s="11" t="inlineStr">
        <is>
          <t>Fuente de agua — Quebrada estacional</t>
        </is>
      </c>
      <c r="C14" s="26" t="n">
        <v>608432</v>
      </c>
      <c r="D14" s="26" t="n">
        <v>9448567</v>
      </c>
      <c r="E14" s="11" t="n">
        <v>512.6</v>
      </c>
      <c r="F14" s="11" t="inlineStr">
        <is>
          <t>Estacional</t>
        </is>
      </c>
      <c r="G14" s="11" t="inlineStr">
        <is>
          <t>Curso de agua que cruza la trocha por badenes</t>
        </is>
      </c>
    </row>
    <row r="15">
      <c r="A15" s="14" t="inlineStr">
        <is>
          <t>H-02</t>
        </is>
      </c>
      <c r="B15" s="15" t="inlineStr">
        <is>
          <t>Fuente de agua — Río</t>
        </is>
      </c>
      <c r="C15" s="27" t="n">
        <v>608300</v>
      </c>
      <c r="D15" s="27" t="n">
        <v>9448700</v>
      </c>
      <c r="E15" s="15" t="n">
        <v>666.6</v>
      </c>
      <c r="F15" s="15" t="inlineStr">
        <is>
          <t>Permanente</t>
        </is>
      </c>
      <c r="G15" s="15" t="inlineStr">
        <is>
          <t>Río principal del sector, bordea el bloque por el oeste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608472</v>
      </c>
      <c r="C18" s="6" t="inlineStr">
        <is>
          <t>Centroide del bloque — UTM NORTE (m)</t>
        </is>
      </c>
      <c r="D18" s="7" t="n">
        <v>9448056</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del bloque ≈767-1 481 msnm (perfil Google Earth: mín./media/máx. 767/1 066/1 481 m); ABARCA LOS PISOS YUNGA (&lt;1 000 m) EN EL FONDO DE VALLE Y QUECHUA BAJA (1 000-1 500 m) EN LAS LADERAS. Punto de muestreo referido a la foto índice 136. ESCARPES Y AFLORAMIENTOS CONCENTRADOS EN TALUDES DE CORTE DE LA TROCHA AFIRMADA. ALTITUD GPS POR DETERMINAR (la aplicación no registró msnm).</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M17B7</t>
        </is>
      </c>
      <c r="B10" s="28" t="n">
        <v>258.84</v>
      </c>
      <c r="C10" s="29" t="n">
        <v>29.57</v>
      </c>
      <c r="D10" s="13" t="inlineStr">
        <is>
          <t>553 – 1517</t>
        </is>
      </c>
      <c r="E10" s="13" t="n">
        <v>964</v>
      </c>
      <c r="F10" s="13" t="n">
        <v>29.82</v>
      </c>
      <c r="G10" s="30" t="n">
        <v>0.5087</v>
      </c>
      <c r="H10" s="29" t="n">
        <v>58.63</v>
      </c>
      <c r="I10" s="29" t="n">
        <v>48.4</v>
      </c>
    </row>
    <row r="11">
      <c r="A11" s="14" t="inlineStr">
        <is>
          <t>M17B4</t>
        </is>
      </c>
      <c r="B11" s="31" t="n">
        <v>124.71</v>
      </c>
      <c r="C11" s="21" t="n">
        <v>14.25</v>
      </c>
      <c r="D11" s="15" t="inlineStr">
        <is>
          <t>294 – 629</t>
        </is>
      </c>
      <c r="E11" s="15" t="n">
        <v>335</v>
      </c>
      <c r="F11" s="15" t="n">
        <v>18.69</v>
      </c>
      <c r="G11" s="20" t="n">
        <v>0.4235</v>
      </c>
      <c r="H11" s="21" t="n">
        <v>3.97</v>
      </c>
      <c r="I11" s="21" t="n">
        <v>91.94</v>
      </c>
    </row>
    <row r="12">
      <c r="A12" s="7" t="inlineStr">
        <is>
          <t>M17B6</t>
        </is>
      </c>
      <c r="B12" s="32" t="n">
        <v>106.54</v>
      </c>
      <c r="C12" s="19" t="n">
        <v>12.17</v>
      </c>
      <c r="D12" s="11" t="inlineStr">
        <is>
          <t>403 – 1049</t>
        </is>
      </c>
      <c r="E12" s="11" t="n">
        <v>646</v>
      </c>
      <c r="F12" s="11" t="n">
        <v>23.42</v>
      </c>
      <c r="G12" s="18" t="n">
        <v>0.4464</v>
      </c>
      <c r="H12" s="19" t="n">
        <v>18.53</v>
      </c>
      <c r="I12" s="19" t="n">
        <v>81.81999999999999</v>
      </c>
    </row>
    <row r="13">
      <c r="A13" s="14" t="inlineStr">
        <is>
          <t>22</t>
        </is>
      </c>
      <c r="B13" s="31" t="n">
        <v>79.33</v>
      </c>
      <c r="C13" s="21" t="n">
        <v>9.06</v>
      </c>
      <c r="D13" s="15" t="inlineStr">
        <is>
          <t>235 – 596</t>
        </is>
      </c>
      <c r="E13" s="15" t="n">
        <v>361</v>
      </c>
      <c r="F13" s="15" t="n">
        <v>22.51</v>
      </c>
      <c r="G13" s="20" t="n">
        <v>0.4232</v>
      </c>
      <c r="H13" s="21" t="n">
        <v>0.32</v>
      </c>
      <c r="I13" s="21" t="n">
        <v>93.29000000000001</v>
      </c>
    </row>
    <row r="14">
      <c r="A14" s="7" t="inlineStr">
        <is>
          <t>27</t>
        </is>
      </c>
      <c r="B14" s="32" t="n">
        <v>78.15000000000001</v>
      </c>
      <c r="C14" s="19" t="n">
        <v>8.93</v>
      </c>
      <c r="D14" s="11" t="inlineStr">
        <is>
          <t>1518 – 1895</t>
        </is>
      </c>
      <c r="E14" s="11" t="n">
        <v>377</v>
      </c>
      <c r="F14" s="11" t="n">
        <v>30.25</v>
      </c>
      <c r="G14" s="18" t="n">
        <v>0.5323</v>
      </c>
      <c r="H14" s="19" t="n">
        <v>64.75</v>
      </c>
      <c r="I14" s="19" t="n">
        <v>37.5</v>
      </c>
    </row>
    <row r="15">
      <c r="A15" s="14" t="inlineStr">
        <is>
          <t>M17B10</t>
        </is>
      </c>
      <c r="B15" s="31" t="n">
        <v>75.36</v>
      </c>
      <c r="C15" s="21" t="n">
        <v>8.609999999999999</v>
      </c>
      <c r="D15" s="15" t="inlineStr">
        <is>
          <t>466 – 902</t>
        </is>
      </c>
      <c r="E15" s="15" t="n">
        <v>436</v>
      </c>
      <c r="F15" s="15" t="n">
        <v>25.94</v>
      </c>
      <c r="G15" s="20" t="n">
        <v>0.4725</v>
      </c>
      <c r="H15" s="21" t="n">
        <v>29.2</v>
      </c>
      <c r="I15" s="21" t="n">
        <v>73.33</v>
      </c>
    </row>
    <row r="16">
      <c r="A16" s="7" t="inlineStr">
        <is>
          <t>M17B5</t>
        </is>
      </c>
      <c r="B16" s="32" t="n">
        <v>74.03</v>
      </c>
      <c r="C16" s="19" t="n">
        <v>8.460000000000001</v>
      </c>
      <c r="D16" s="11" t="inlineStr">
        <is>
          <t>794 – 1317</t>
        </is>
      </c>
      <c r="E16" s="11" t="n">
        <v>523</v>
      </c>
      <c r="F16" s="11" t="n">
        <v>27.42</v>
      </c>
      <c r="G16" s="18" t="n">
        <v>0.5482</v>
      </c>
      <c r="H16" s="19" t="n">
        <v>61.34</v>
      </c>
      <c r="I16" s="19" t="n">
        <v>28.94</v>
      </c>
    </row>
    <row r="17">
      <c r="A17" s="14" t="inlineStr">
        <is>
          <t>M17B1</t>
        </is>
      </c>
      <c r="B17" s="31" t="n">
        <v>42.45</v>
      </c>
      <c r="C17" s="21" t="n">
        <v>4.85</v>
      </c>
      <c r="D17" s="15" t="inlineStr">
        <is>
          <t>177 – 313</t>
        </is>
      </c>
      <c r="E17" s="15" t="n">
        <v>136</v>
      </c>
      <c r="F17" s="15" t="n">
        <v>14.73</v>
      </c>
      <c r="G17" s="20" t="n">
        <v>0.3323</v>
      </c>
      <c r="H17" s="21" t="n">
        <v>0</v>
      </c>
      <c r="I17" s="21" t="n">
        <v>99.84</v>
      </c>
    </row>
    <row r="18">
      <c r="A18" s="7" t="inlineStr">
        <is>
          <t>32</t>
        </is>
      </c>
      <c r="B18" s="32"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2" t="n"/>
      <c r="C20" s="42" t="n"/>
      <c r="D20" s="42" t="n"/>
      <c r="E20" s="42" t="n"/>
      <c r="F20" s="42" t="n"/>
      <c r="G20" s="42" t="n"/>
      <c r="H20" s="42" t="n"/>
      <c r="I20" s="43" t="n"/>
    </row>
    <row r="22" ht="84" customHeight="1">
      <c r="A22" s="9" t="inlineStr">
        <is>
          <t>LECTURA INTRAMICROCUENCA. El bloque M17B7 ocupa el puesto 1 de 9 por superficie dentro de la microcuenca C1096-Q9556 (29.57 % de las 875.24 ha preliminares de la microcuenca). Su pendiente promedio (29.82 %, clase «25-50% (Mod. escarpado)») es la 8.ª más baja de 9 y se sitúa por encima del promedio de la microcuenca (22.85 %). Su MSAVI 2024 (0.5087) es el 3.º de 9 y queda por encima del promedio local (0.4510). Amplitud altitudinal del bloque: 964 m (553–1517 msnm). El cuadro conserva todos los bloques catalogados en la microcuenca, incluidos los descartados en el tamizaje, para referencia del conjunto. Los bloques sin ficha DT figuran con sus parámetros de gabinete. BRECHA ESPECTRAL. El 48.40 % de la superficie del bloque (125.266 ha de 258.837 ha) se sitúa bajo el umbral MSAVI 0.4976, por debajo del promedio local de la microcuenca (69.38 %) calculado sobre los bloques con dato MSAVI disponible.</t>
        </is>
      </c>
      <c r="B22" s="42" t="n"/>
      <c r="C22" s="42" t="n"/>
      <c r="D22" s="42" t="n"/>
      <c r="E22" s="42" t="n"/>
      <c r="F22" s="42" t="n"/>
      <c r="G22" s="42" t="n"/>
      <c r="H22" s="42" t="n"/>
      <c r="I22" s="43"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2" t="n"/>
      <c r="I24" s="43"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M17B7</t>
        </is>
      </c>
    </row>
    <row r="6">
      <c r="A6" s="52" t="inlineStr">
        <is>
          <t>Cruce de la ficha de campo F-DT vigente con la ficha de resumen de gabinete y el catálogo maestro. Integración 2026-09-11 20:22:35.</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El punto de muestreo declarado dista 537.3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(258.969 ha) se desvía 0.05 % de la superficie de catálogo (258.84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(258.837 ha) se desvía -0.00 % de la superficie de catálogo (258.84 ha).</t>
        </is>
      </c>
      <c r="D14" s="57" t="inlineStr">
        <is>
          <t>CONFORME</t>
        </is>
      </c>
      <c r="E14" s="57" t="inlineStr">
        <is>
          <t>Sin acción: la segmentación valida la geometría del bloque.</t>
        </is>
      </c>
    </row>
    <row r="15">
      <c r="A15" s="56" t="inlineStr">
        <is>
          <t>G-07</t>
        </is>
      </c>
      <c r="B15" s="56" t="inlineStr">
        <is>
          <t>Brecha espectral MSAVI</t>
        </is>
      </c>
      <c r="C15" s="56" t="inlineStr">
        <is>
          <t>El 48.40 % del bloque queda bajo el umbral 0.4976; superficie de brecha 125.27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258.84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(0.5087) cae en la clase «0.4976 - 0.6139 (Vigor moderado)» y la clase DN dominante por superficie es «DN 3 · 0.3813 - 0.4976 (Vigor bajo)».</t>
        </is>
      </c>
      <c r="D17" s="56" t="inlineStr">
        <is>
          <t>NO SUSTANTIVA</t>
        </is>
      </c>
      <c r="E17" s="56" t="inlineStr">
        <is>
          <t>Se declaran ambas lecturas: la media resume el bloque y la clase dominante su reparto areal.</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92.9 % de los campos esperados).</t>
        </is>
      </c>
      <c r="D19" s="56" t="inlineStr">
        <is>
          <t>CONFORME</t>
        </is>
      </c>
      <c r="E19" s="56" t="inlineStr">
        <is>
          <t>Sin acción.</t>
        </is>
      </c>
    </row>
    <row r="20">
      <c r="A20" s="57" t="inlineStr">
        <is>
          <t>F-02</t>
        </is>
      </c>
      <c r="B20" s="57" t="inlineStr">
        <is>
          <t>Cobertura de la integración</t>
        </is>
      </c>
      <c r="C20" s="57" t="inlineStr">
        <is>
          <t>Se declararon 96 de 114 hechos integrados (84.2 %); 18 quedan sin dato en ninguna fuente.</t>
        </is>
      </c>
      <c r="D20" s="57" t="inlineStr">
        <is>
          <t>CONFORME</t>
        </is>
      </c>
      <c r="E20" s="57" t="inlineStr">
        <is>
          <t>Sin acción.</t>
        </is>
      </c>
    </row>
    <row r="21">
      <c r="A21" s="56" t="inlineStr">
        <is>
          <t>H-01</t>
        </is>
      </c>
      <c r="B21" s="56" t="inlineStr">
        <is>
          <t>Rango altitudinal / piso ecológico</t>
        </is>
      </c>
      <c r="C21" s="56" t="inlineStr">
        <is>
          <t>La ficha DT declara «1000-1500 m (Quechua baja) — el bloque abarca también Yunga en el fondo de valle»; el MDE sitúa el bloque entre 553 y 1517 msnm, cuyo punto medio corresponde a «1000-1500 m (Quechua baja)»</t>
        </is>
      </c>
      <c r="D21" s="56" t="inlineStr">
        <is>
          <t>NO SUSTANTIVA</t>
        </is>
      </c>
      <c r="E21" s="56" t="inlineStr">
        <is>
          <t>Se declara la divergencia. El bloque abarca más de un piso altitudinal cuando la amplitud supera el ancho de la clase; el registro de campo corresponde al sector recorrido. (Verificación heredada de la ficha de resumen V6.)</t>
        </is>
      </c>
    </row>
    <row r="22">
      <c r="A22" s="57" t="inlineStr">
        <is>
          <t>H-02</t>
        </is>
      </c>
      <c r="B22" s="57" t="inlineStr">
        <is>
          <t>Dimensiones del inventario de cárcavas</t>
        </is>
      </c>
      <c r="C22" s="57" t="inlineStr">
        <is>
          <t>Se registran 3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Centro poblado asociado</t>
        </is>
      </c>
      <c r="C24" s="57" t="inlineStr">
        <is>
          <t>La ficha DT declara «Angurgo (referencia); C.P. por confirmar»; el cruce INEI-Bloques V5 identifica 1 centro(s) poblado(s) en el bloque: PAMPA DE RAMADA</t>
        </is>
      </c>
      <c r="D24" s="57" t="inlineStr">
        <is>
          <t>NO SUSTANTIVA</t>
        </is>
      </c>
      <c r="E24" s="57" t="inlineStr">
        <is>
          <t>Se conserva el registro de campo como referencia y se adopta el listado INEI para el diagnóstico social y el cálculo de población beneficiaria. (Verificación heredada de la ficha de resumen V6.)</t>
        </is>
      </c>
    </row>
    <row r="25">
      <c r="A25" s="56" t="inlineStr">
        <is>
          <t>H-05</t>
        </is>
      </c>
      <c r="B25" s="56" t="inlineStr">
        <is>
          <t>Plan de Ingreso</t>
        </is>
      </c>
      <c r="C25" s="56" t="inlineStr">
        <is>
          <t>Altitud = 0 msnm (captura por defecto del aplicativo)</t>
        </is>
      </c>
      <c r="D25" s="56" t="inlineStr">
        <is>
          <t>CORREGIDO</t>
        </is>
      </c>
      <c r="E25" s="56" t="inlineStr">
        <is>
          <t>Se reemplaza por el rango del perfil 767-1481 msnm (Verificación heredada de la ficha de resumen V6.)</t>
        </is>
      </c>
    </row>
    <row r="26">
      <c r="A26" s="57" t="inlineStr">
        <is>
          <t>H-06</t>
        </is>
      </c>
      <c r="B26" s="57" t="inlineStr">
        <is>
          <t>F-DT-01</t>
        </is>
      </c>
      <c r="C26" s="57" t="inlineStr">
        <is>
          <t>Altitud GPS no registrada por la aplicación</t>
        </is>
      </c>
      <c r="D26" s="57" t="inlineStr">
        <is>
          <t>NO SUSTANTIVA</t>
        </is>
      </c>
      <c r="E26" s="57" t="inlineStr">
        <is>
          <t>Por levantar (Verificación heredada de la ficha de resumen V6.)</t>
        </is>
      </c>
    </row>
    <row r="27">
      <c r="A27" s="56" t="inlineStr">
        <is>
          <t>H-07</t>
        </is>
      </c>
      <c r="B27" s="56" t="inlineStr">
        <is>
          <t>F-DT-02</t>
        </is>
      </c>
      <c r="C27" s="56" t="inlineStr">
        <is>
          <t>Las 3 cárcavas inventariadas se ubican a más de 1.5 km al SO del punto de muestreo y a ≈2 km del centroide</t>
        </is>
      </c>
      <c r="D27" s="56" t="inlineStr">
        <is>
          <t>SUSTANTIVA</t>
        </is>
      </c>
      <c r="E27" s="56" t="inlineStr">
        <is>
          <t>Verificar su pertenencia al polígono (Verificación heredada de la ficha de resumen V6.)</t>
        </is>
      </c>
    </row>
    <row r="28">
      <c r="A28" s="57" t="inlineStr">
        <is>
          <t>H-08</t>
        </is>
      </c>
      <c r="B28" s="57" t="inlineStr">
        <is>
          <t>F-DT-03</t>
        </is>
      </c>
      <c r="C28" s="57" t="inlineStr">
        <is>
          <t>EL 55.9% DEL BLOQUE (144.68 ha) ES ZONA AGRÍCOLA; solo 114.16 ha corresponden a Bes-cm</t>
        </is>
      </c>
      <c r="D28" s="57" t="inlineStr">
        <is>
          <t>SUSTANTIVA</t>
        </is>
      </c>
      <c r="E28" s="57" t="inlineStr">
        <is>
          <t>El indicador de brecha y el área efectiva deben calcularse sobre las 114.16 ha; tamizaje predial obligatorio (Verificación heredada de la ficha de resumen V6.)</t>
        </is>
      </c>
    </row>
    <row r="29">
      <c r="A29" s="56" t="inlineStr">
        <is>
          <t>H-09</t>
        </is>
      </c>
      <c r="B29" s="56" t="inlineStr">
        <is>
          <t>F-DT-04</t>
        </is>
      </c>
      <c r="C29" s="56" t="inlineStr">
        <is>
          <t>Densidad de cárcavas, carga ganadera, frecuencia de quemas y % pendiente &gt;50% por determinar</t>
        </is>
      </c>
      <c r="D29" s="56" t="inlineStr">
        <is>
          <t>NO SUSTANTIVA</t>
        </is>
      </c>
      <c r="E29" s="56" t="inlineStr">
        <is>
          <t>Cuantificación pendiente (Verificación heredada de la ficha de resumen V6.)</t>
        </is>
      </c>
    </row>
    <row r="31">
      <c r="A31" s="58" t="inlineStr">
        <is>
          <t>RESUMEN</t>
        </is>
      </c>
      <c r="B31" s="59" t="inlineStr">
        <is>
          <t>21 verificaciones</t>
        </is>
      </c>
      <c r="C31" s="59" t="inlineStr">
        <is>
          <t>SUSTANTIVA: 4 · NO SUSTANTIVA: 7 · CORREGIDO: 1 · CONFORME: 9</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M17B7</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608397</t>
        </is>
      </c>
      <c r="D13" s="56" t="inlineStr">
        <is>
          <t>m</t>
        </is>
      </c>
    </row>
    <row r="14">
      <c r="A14" s="57" t="inlineStr">
        <is>
          <t>1. Identificación y localización</t>
        </is>
      </c>
      <c r="B14" s="57" t="inlineStr">
        <is>
          <t>UTM NORTE del punto de muestreo (m)</t>
        </is>
      </c>
      <c r="C14" s="57" t="inlineStr">
        <is>
          <t>9448588</t>
        </is>
      </c>
      <c r="D14" s="57" t="inlineStr">
        <is>
          <t>m</t>
        </is>
      </c>
    </row>
    <row r="15">
      <c r="A15" s="56" t="inlineStr">
        <is>
          <t>2. Parámetros físicos del terreno</t>
        </is>
      </c>
      <c r="B15" s="56" t="inlineStr">
        <is>
          <t>Piso altitudinal del punto de muestreo</t>
        </is>
      </c>
      <c r="C15" s="56" t="inlineStr">
        <is>
          <t>1000-1500 m (Quechua baja)</t>
        </is>
      </c>
      <c r="D15" s="56" t="inlineStr"/>
    </row>
    <row r="16">
      <c r="A16" s="57" t="inlineStr">
        <is>
          <t>2. Parámetros físicos del terreno</t>
        </is>
      </c>
      <c r="B16" s="57" t="inlineStr">
        <is>
          <t>Paisaje dominante descrito en campo</t>
        </is>
      </c>
      <c r="C16" s="57" t="inlineStr">
        <is>
          <t>Cañón/valle del río encajonado con laderas de colina-montaña de fuerte pendiente; mosaico de Bosque Estacionalmente Seco de Colina y Montaña (Bes-cm) con dosel de epífitas (bromeliáceas y salvajina) y sectores agrícolas/pastoriles; abundantes afloramientos y bolones graníticos; trocha afirmada que atraviesa el bloque a lo largo del río.</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Erosión laminar (% del bloque)</t>
        </is>
      </c>
      <c r="C23" s="56" t="inlineStr">
        <is>
          <t>≈ 10 % (estimación ocular)</t>
        </is>
      </c>
      <c r="D23" s="56" t="inlineStr">
        <is>
          <t>%</t>
        </is>
      </c>
    </row>
    <row r="24">
      <c r="A24" s="57" t="inlineStr">
        <is>
          <t>4. Suelos y erosión (F-DT-02)</t>
        </is>
      </c>
      <c r="B24" s="57" t="inlineStr">
        <is>
          <t>Patrón de cárcavas</t>
        </is>
      </c>
      <c r="C24" s="57" t="inlineStr">
        <is>
          <t>Aislado</t>
        </is>
      </c>
      <c r="D24" s="57" t="inlineStr"/>
    </row>
    <row r="25">
      <c r="A25" s="56" t="inlineStr">
        <is>
          <t>4. Suelos y erosión (F-DT-02)</t>
        </is>
      </c>
      <c r="B25" s="56" t="inlineStr">
        <is>
          <t>Socavamiento de cauce</t>
        </is>
      </c>
      <c r="C25" s="56" t="inlineStr">
        <is>
          <t>No</t>
        </is>
      </c>
      <c r="D25" s="56" t="inlineStr"/>
    </row>
    <row r="26">
      <c r="A26" s="57" t="inlineStr">
        <is>
          <t>5. Ecosistema, cobertura y flora (F-DT-03)</t>
        </is>
      </c>
      <c r="B26" s="57" t="inlineStr">
        <is>
          <t>Presencia de epífitas</t>
        </is>
      </c>
      <c r="C26" s="57" t="inlineStr">
        <is>
          <t>Sí</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Dimensiones de la parcela (m)</t>
        </is>
      </c>
      <c r="C28" s="57" t="inlineStr">
        <is>
          <t>No aplica (reconocimiento)</t>
        </is>
      </c>
      <c r="D28" s="57" t="inlineStr"/>
    </row>
    <row r="29">
      <c r="A29" s="56" t="inlineStr">
        <is>
          <t>5. Ecosistema, cobertura y flora (F-DT-03)</t>
        </is>
      </c>
      <c r="B29" s="56" t="inlineStr">
        <is>
          <t>Especies clave georreferenciadas</t>
        </is>
      </c>
      <c r="C29" s="56" t="inlineStr">
        <is>
          <t>6</t>
        </is>
      </c>
      <c r="D29" s="56" t="inlineStr"/>
    </row>
    <row r="30">
      <c r="A30" s="57" t="inlineStr">
        <is>
          <t>6. Degradación, causas y urgencia (F-DT-04)</t>
        </is>
      </c>
      <c r="B30" s="57" t="inlineStr">
        <is>
          <t>Causas directas de la degradación</t>
        </is>
      </c>
      <c r="C30" s="57" t="inlineStr">
        <is>
          <t>Cambio de uso a agricultura/pastoreo en laderas de fuerte pendiente; tala selectiva (leña/madera) con tocones; presión vial por la trocha afirmada (taludes de corte inestables y erosionados); sobrepastoreo; presencia puntual de Agave (exótica).</t>
        </is>
      </c>
      <c r="D30" s="57" t="inlineStr"/>
    </row>
    <row r="31">
      <c r="A31" s="56" t="inlineStr">
        <is>
          <t>6. Degradación, causas y urgencia (F-DT-04)</t>
        </is>
      </c>
      <c r="B31" s="56" t="inlineStr">
        <is>
          <t>N.° de causas activas en la matriz F-DT-04</t>
        </is>
      </c>
      <c r="C31" s="56" t="inlineStr">
        <is>
          <t>9</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2</t>
        </is>
      </c>
      <c r="D33" s="56" t="inlineStr"/>
    </row>
    <row r="34">
      <c r="A34" s="57" t="inlineStr">
        <is>
          <t>7. Hidrología, acceso y logística (F-DT-05)</t>
        </is>
      </c>
      <c r="B34" s="57" t="inlineStr">
        <is>
          <t>Vía principal de acceso</t>
        </is>
      </c>
      <c r="C34" s="57" t="inlineStr">
        <is>
          <t>Vecinal afirmada (desde Frías/Angurgo)</t>
        </is>
      </c>
      <c r="D34" s="57" t="inlineStr"/>
    </row>
    <row r="35">
      <c r="A35" s="56" t="inlineStr">
        <is>
          <t>7. Hidrología, acceso y logística (F-DT-05)</t>
        </is>
      </c>
      <c r="B35" s="56" t="inlineStr">
        <is>
          <t>Tipo de vía del tramo final</t>
        </is>
      </c>
      <c r="C35" s="56" t="inlineStr">
        <is>
          <t>Vecinal afirmada</t>
        </is>
      </c>
      <c r="D35" s="56" t="inlineStr"/>
    </row>
    <row r="36">
      <c r="A36" s="57" t="inlineStr">
        <is>
          <t>7. Hidrología, acceso y logística (F-DT-05)</t>
        </is>
      </c>
      <c r="B36" s="57" t="inlineStr">
        <is>
          <t>Transitabilidad en época seca</t>
        </is>
      </c>
      <c r="C36" s="57" t="inlineStr">
        <is>
          <t>Alto</t>
        </is>
      </c>
      <c r="D36" s="57" t="inlineStr"/>
    </row>
    <row r="37">
      <c r="A37" s="56" t="inlineStr">
        <is>
          <t>7. Hidrología, acceso y logística (F-DT-05)</t>
        </is>
      </c>
      <c r="B37" s="56" t="inlineStr">
        <is>
          <t>Transitabilidad en época lluviosa</t>
        </is>
      </c>
      <c r="C37" s="56" t="inlineStr">
        <is>
          <t>Medio</t>
        </is>
      </c>
      <c r="D37" s="56" t="inlineStr"/>
    </row>
    <row r="38">
      <c r="A38" s="57" t="inlineStr">
        <is>
          <t>7. Hidrología, acceso y logística (F-DT-05)</t>
        </is>
      </c>
      <c r="B38" s="57" t="inlineStr">
        <is>
          <t>Tiempo a la capital distrital (min)</t>
        </is>
      </c>
      <c r="C38" s="57" t="inlineStr">
        <is>
          <t>40</t>
        </is>
      </c>
      <c r="D38" s="57" t="inlineStr">
        <is>
          <t>min</t>
        </is>
      </c>
    </row>
    <row r="39">
      <c r="A39" s="56" t="inlineStr">
        <is>
          <t>7. Hidrología, acceso y logística (F-DT-05)</t>
        </is>
      </c>
      <c r="B39" s="56" t="inlineStr">
        <is>
          <t>Señal celular</t>
        </is>
      </c>
      <c r="C39" s="56" t="inlineStr">
        <is>
          <t>Parcial</t>
        </is>
      </c>
      <c r="D39" s="56" t="inlineStr"/>
    </row>
    <row r="40">
      <c r="A40" s="57" t="inlineStr">
        <is>
          <t>7. Hidrología, acceso y logística (F-DT-05)</t>
        </is>
      </c>
      <c r="B40" s="57" t="inlineStr">
        <is>
          <t>Operador con cobertura</t>
        </is>
      </c>
      <c r="C40" s="57" t="inlineStr">
        <is>
          <t>Bitel</t>
        </is>
      </c>
      <c r="D40" s="57" t="inlineStr"/>
    </row>
    <row r="41">
      <c r="A41" s="56" t="inlineStr">
        <is>
          <t>7. Hidrología, acceso y logística (F-DT-05)</t>
        </is>
      </c>
      <c r="B41" s="56" t="inlineStr">
        <is>
          <t>Alojamiento disponible en la zona</t>
        </is>
      </c>
      <c r="C41" s="56" t="inlineStr">
        <is>
          <t>No</t>
        </is>
      </c>
      <c r="D41" s="56" t="inlineStr"/>
    </row>
    <row r="42">
      <c r="A42" s="57" t="inlineStr">
        <is>
          <t>7. Hidrología, acceso y logística (F-DT-05)</t>
        </is>
      </c>
      <c r="B42" s="57" t="inlineStr">
        <is>
          <t>Requiere coordinación con ronda / comunidad</t>
        </is>
      </c>
      <c r="C42" s="57" t="inlineStr">
        <is>
          <t>No</t>
        </is>
      </c>
      <c r="D42" s="57" t="inlineStr"/>
    </row>
    <row r="43">
      <c r="A43" s="56" t="inlineStr">
        <is>
          <t>7. Hidrología, acceso y logística (F-DT-05)</t>
        </is>
      </c>
      <c r="B43" s="56" t="inlineStr">
        <is>
          <t>Contacto local de coordinación</t>
        </is>
      </c>
      <c r="C43" s="56" t="inlineStr">
        <is>
          <t>Acceso por vía pública sin restricción observada; autorización formal de Ronda por confirmar (Angurgo/C.P.)</t>
        </is>
      </c>
      <c r="D43" s="56" t="inlineStr"/>
    </row>
    <row r="45">
      <c r="A45" s="54" t="inlineStr">
        <is>
          <t>C. PROCEDENCIA DE LOS HECHOS DECLARADOS</t>
        </is>
      </c>
    </row>
    <row r="46">
      <c r="A46" s="55" t="inlineStr">
        <is>
          <t>Fuente</t>
        </is>
      </c>
      <c r="B46" s="55" t="inlineStr">
        <is>
          <t>Hechos</t>
        </is>
      </c>
      <c r="C46" s="55" t="inlineStr">
        <is>
          <t>Alcance de la fuente</t>
        </is>
      </c>
    </row>
    <row r="47">
      <c r="A47" s="56" t="inlineStr">
        <is>
          <t>Dato de campo</t>
        </is>
      </c>
      <c r="B47" s="56" t="n">
        <v>60</v>
      </c>
      <c r="C47" s="56" t="inlineStr">
        <is>
          <t>Verificación en campo. Fichas F-DT-01 a F-DT-05 de la Plantilla DT Campo Check Validada V5, suscritas por el evaluador.</t>
        </is>
      </c>
    </row>
    <row r="48">
      <c r="A48" s="57" t="inlineStr">
        <is>
          <t>Gabinete (GIS / teledetección)</t>
        </is>
      </c>
      <c r="B48" s="57" t="n">
        <v>22</v>
      </c>
      <c r="C48" s="57" t="inlineStr">
        <is>
          <t>Gabinete. Estadística zonal sobre el MDE y compuestos Sentinel-2 (NDVI mediana 2025, MSAVI 2024 por clase DN).</t>
        </is>
      </c>
    </row>
    <row r="49">
      <c r="A49" s="56" t="inlineStr">
        <is>
          <t>Fuente oficial</t>
        </is>
      </c>
      <c r="B49" s="56" t="n">
        <v>14</v>
      </c>
      <c r="C49" s="56" t="inlineStr">
        <is>
          <t>Fuente oficial. Catálogo maestro Bloques V5/V6, división política INEI y codificación de microcuencas de la ANA.</t>
        </is>
      </c>
    </row>
    <row r="51">
      <c r="A51" s="54" t="inlineStr">
        <is>
          <t>D. ESTADO DEL CRUCE ENTRE FUENTES</t>
        </is>
      </c>
    </row>
    <row r="52">
      <c r="A52" s="55" t="inlineStr">
        <is>
          <t>Estado</t>
        </is>
      </c>
      <c r="B52" s="55" t="inlineStr">
        <is>
          <t>Hechos</t>
        </is>
      </c>
      <c r="C52" s="55" t="inlineStr">
        <is>
          <t>Significado</t>
        </is>
      </c>
    </row>
    <row r="53">
      <c r="A53" s="56" t="inlineStr">
        <is>
          <t>CONFORME</t>
        </is>
      </c>
      <c r="B53" s="56" t="n">
        <v>96</v>
      </c>
      <c r="C53" s="56" t="inlineStr">
        <is>
          <t>Las dos fuentes declaran lo mismo, o solo la fuente que manda sobre el hecho lo declara.</t>
        </is>
      </c>
    </row>
    <row r="54">
      <c r="A54" s="57" t="inlineStr">
        <is>
          <t>COMPLEMENTADO</t>
        </is>
      </c>
      <c r="B54" s="57" t="n">
        <v>0</v>
      </c>
      <c r="C54" s="57" t="inlineStr">
        <is>
          <t>Solo una de las fuentes lo declara y se adopta ese valor.</t>
        </is>
      </c>
    </row>
    <row r="55">
      <c r="A55" s="56" t="inlineStr">
        <is>
          <t>ACTUALIZADO</t>
        </is>
      </c>
      <c r="B55" s="56" t="n">
        <v>0</v>
      </c>
      <c r="C55" s="56" t="inlineStr">
        <is>
          <t>La verificación de campo vigente corrige lo que traía el libro de resumen.</t>
        </is>
      </c>
    </row>
    <row r="56">
      <c r="A56" s="57" t="inlineStr">
        <is>
          <t>DISCREPANTE</t>
        </is>
      </c>
      <c r="B56" s="57" t="n">
        <v>0</v>
      </c>
      <c r="C56" s="57" t="inlineStr">
        <is>
          <t>Las fuentes se contradicen; prevalece la que manda sobre el hecho y la otra queda declarada.</t>
        </is>
      </c>
    </row>
    <row r="57">
      <c r="A57" s="56" t="inlineStr">
        <is>
          <t>PENDIENTE</t>
        </is>
      </c>
      <c r="B57" s="56" t="n">
        <v>18</v>
      </c>
      <c r="C57"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M17B7</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somera (0.5-2 m)</t>
        </is>
      </c>
      <c r="C9" s="61" t="n">
        <v>606809</v>
      </c>
      <c r="D9" s="61" t="n">
        <v>9446563</v>
      </c>
      <c r="E9" s="56" t="n"/>
      <c r="F9" s="56" t="n"/>
      <c r="G9" s="56" t="n"/>
      <c r="H9" s="56" t="inlineStr">
        <is>
          <t>Activa</t>
        </is>
      </c>
      <c r="I9" s="56" t="inlineStr">
        <is>
          <t>Caminos / huellas de ganado</t>
        </is>
      </c>
    </row>
    <row r="10">
      <c r="A10" s="57" t="inlineStr">
        <is>
          <t>C-02</t>
        </is>
      </c>
      <c r="B10" s="57" t="inlineStr">
        <is>
          <t>Surco (&lt;30 cm)</t>
        </is>
      </c>
      <c r="C10" s="62" t="n">
        <v>606781</v>
      </c>
      <c r="D10" s="62" t="n">
        <v>9446904</v>
      </c>
      <c r="E10" s="57" t="n"/>
      <c r="F10" s="57" t="n"/>
      <c r="G10" s="57" t="n"/>
      <c r="H10" s="57" t="inlineStr">
        <is>
          <t>Activa</t>
        </is>
      </c>
      <c r="I10" s="57" t="inlineStr">
        <is>
          <t>Tala / pérdida de cobertura</t>
        </is>
      </c>
    </row>
    <row r="11">
      <c r="A11" s="56" t="inlineStr">
        <is>
          <t>C-03</t>
        </is>
      </c>
      <c r="B11" s="56" t="inlineStr">
        <is>
          <t>Surco (&lt;30 cm)</t>
        </is>
      </c>
      <c r="C11" s="61" t="n">
        <v>606995</v>
      </c>
      <c r="D11" s="61" t="n">
        <v>9447237</v>
      </c>
      <c r="E11" s="56" t="n"/>
      <c r="F11" s="56" t="n"/>
      <c r="G11" s="56" t="n"/>
      <c r="H11" s="56" t="inlineStr">
        <is>
          <t>Semi-activa</t>
        </is>
      </c>
      <c r="I11" s="56" t="inlineStr">
        <is>
          <t>Tala / pérdida de cobertura</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Ceibo</t>
        </is>
      </c>
      <c r="C15" s="56" t="inlineStr">
        <is>
          <t>Ceiba trichistandra</t>
        </is>
      </c>
      <c r="D15" s="56" t="inlineStr">
        <is>
          <t>Malvaceae</t>
        </is>
      </c>
      <c r="E15" s="56" t="inlineStr">
        <is>
          <t>Arbóreo superior (&gt;15 m)</t>
        </is>
      </c>
      <c r="F15" s="56" t="inlineStr">
        <is>
          <t>Nativa</t>
        </is>
      </c>
      <c r="G15" s="56" t="inlineStr">
        <is>
          <t>Frecuente (5-20%)</t>
        </is>
      </c>
      <c r="H15" s="56" t="n"/>
      <c r="I15" s="56" t="n"/>
    </row>
    <row r="16">
      <c r="A16" s="57" t="inlineStr">
        <is>
          <t>2</t>
        </is>
      </c>
      <c r="B16" s="57" t="inlineStr">
        <is>
          <t>Pasallo</t>
        </is>
      </c>
      <c r="C16" s="57" t="inlineStr">
        <is>
          <t>Eriotheca ruizii</t>
        </is>
      </c>
      <c r="D16" s="57" t="inlineStr">
        <is>
          <t>Malvaceae</t>
        </is>
      </c>
      <c r="E16" s="57" t="inlineStr">
        <is>
          <t>Arbóreo medio (8-15 m)</t>
        </is>
      </c>
      <c r="F16" s="57" t="inlineStr">
        <is>
          <t>Nativa</t>
        </is>
      </c>
      <c r="G16" s="57" t="inlineStr">
        <is>
          <t>Frecuente (5-20%)</t>
        </is>
      </c>
      <c r="H16" s="57" t="n"/>
      <c r="I16" s="57" t="n"/>
    </row>
    <row r="17">
      <c r="A17" s="56" t="inlineStr">
        <is>
          <t>3</t>
        </is>
      </c>
      <c r="B17" s="56" t="inlineStr">
        <is>
          <t>Hualtaco</t>
        </is>
      </c>
      <c r="C17" s="56" t="inlineStr">
        <is>
          <t>Loxopterygium huasango</t>
        </is>
      </c>
      <c r="D17" s="56" t="inlineStr">
        <is>
          <t>Anacardiaceae</t>
        </is>
      </c>
      <c r="E17" s="56" t="inlineStr">
        <is>
          <t>Arbóreo medio (8-15 m)</t>
        </is>
      </c>
      <c r="F17" s="56" t="inlineStr">
        <is>
          <t>Nativa</t>
        </is>
      </c>
      <c r="G17" s="56" t="inlineStr">
        <is>
          <t>Ocasional (1-5%)</t>
        </is>
      </c>
      <c r="H17" s="56" t="n"/>
      <c r="I17" s="56" t="n"/>
    </row>
    <row r="18">
      <c r="A18" s="57" t="inlineStr">
        <is>
          <t>4</t>
        </is>
      </c>
      <c r="B18" s="57" t="inlineStr">
        <is>
          <t>Palo santo</t>
        </is>
      </c>
      <c r="C18" s="57" t="inlineStr">
        <is>
          <t>Bursera graveolens</t>
        </is>
      </c>
      <c r="D18" s="57" t="inlineStr">
        <is>
          <t>Burseraceae</t>
        </is>
      </c>
      <c r="E18" s="57" t="inlineStr">
        <is>
          <t>Arbóreo bajo (4-8 m)</t>
        </is>
      </c>
      <c r="F18" s="57" t="inlineStr">
        <is>
          <t>Nativa</t>
        </is>
      </c>
      <c r="G18" s="57" t="inlineStr">
        <is>
          <t>Ocasional (1-5%)</t>
        </is>
      </c>
      <c r="H18" s="57" t="n"/>
      <c r="I18" s="57" t="n"/>
    </row>
    <row r="19">
      <c r="A19" s="56" t="inlineStr">
        <is>
          <t>5</t>
        </is>
      </c>
      <c r="B19" s="56" t="inlineStr">
        <is>
          <t>Faique</t>
        </is>
      </c>
      <c r="C19" s="56" t="inlineStr">
        <is>
          <t>Vachellia macracantha</t>
        </is>
      </c>
      <c r="D19" s="56" t="inlineStr">
        <is>
          <t>Fabaceae</t>
        </is>
      </c>
      <c r="E19" s="56" t="inlineStr">
        <is>
          <t>Arbóreo bajo (4-8 m)</t>
        </is>
      </c>
      <c r="F19" s="56" t="inlineStr">
        <is>
          <t>Nativa</t>
        </is>
      </c>
      <c r="G19" s="56" t="inlineStr">
        <is>
          <t>Frecuente (5-20%)</t>
        </is>
      </c>
      <c r="H19" s="56" t="n"/>
      <c r="I19" s="56" t="n"/>
    </row>
    <row r="20">
      <c r="A20" s="57" t="inlineStr">
        <is>
          <t>6</t>
        </is>
      </c>
      <c r="B20" s="57" t="inlineStr">
        <is>
          <t>Algarrobo</t>
        </is>
      </c>
      <c r="C20" s="57" t="inlineStr">
        <is>
          <t>Neltuma pallida (Prosopis pallida)</t>
        </is>
      </c>
      <c r="D20" s="57" t="inlineStr">
        <is>
          <t>Fabaceae</t>
        </is>
      </c>
      <c r="E20" s="57" t="inlineStr">
        <is>
          <t>Arbóreo medio (8-15 m)</t>
        </is>
      </c>
      <c r="F20" s="57" t="inlineStr">
        <is>
          <t>Nativa</t>
        </is>
      </c>
      <c r="G20" s="57" t="inlineStr">
        <is>
          <t>Ocasional (1-5%)</t>
        </is>
      </c>
      <c r="H20" s="57" t="n"/>
      <c r="I20" s="57" t="n"/>
    </row>
    <row r="21">
      <c r="A21" s="56" t="inlineStr">
        <is>
          <t>7</t>
        </is>
      </c>
      <c r="B21" s="56" t="inlineStr">
        <is>
          <t>Angolo</t>
        </is>
      </c>
      <c r="C21" s="56" t="inlineStr">
        <is>
          <t>Albizia multiflora (por confirmar)</t>
        </is>
      </c>
      <c r="D21" s="56" t="inlineStr">
        <is>
          <t>Fabaceae</t>
        </is>
      </c>
      <c r="E21" s="56" t="inlineStr">
        <is>
          <t>Arbóreo medio (8-15 m)</t>
        </is>
      </c>
      <c r="F21" s="56" t="inlineStr">
        <is>
          <t>Nativa</t>
        </is>
      </c>
      <c r="G21" s="56" t="inlineStr">
        <is>
          <t>Ocasional (1-5%)</t>
        </is>
      </c>
      <c r="H21" s="56" t="n"/>
      <c r="I21" s="56" t="n"/>
    </row>
    <row r="22">
      <c r="A22" s="57" t="inlineStr">
        <is>
          <t>8</t>
        </is>
      </c>
      <c r="B22" s="57" t="inlineStr">
        <is>
          <t>Sapote</t>
        </is>
      </c>
      <c r="C22" s="57" t="inlineStr">
        <is>
          <t>Colicodendron scabridum</t>
        </is>
      </c>
      <c r="D22" s="57" t="inlineStr">
        <is>
          <t>Capparaceae</t>
        </is>
      </c>
      <c r="E22" s="57" t="inlineStr">
        <is>
          <t>Arbóreo bajo (4-8 m)</t>
        </is>
      </c>
      <c r="F22" s="57" t="inlineStr">
        <is>
          <t>Nativa</t>
        </is>
      </c>
      <c r="G22" s="57" t="inlineStr">
        <is>
          <t>Ocasional (1-5%)</t>
        </is>
      </c>
      <c r="H22" s="57" t="n"/>
      <c r="I22" s="57" t="n"/>
    </row>
    <row r="23">
      <c r="A23" s="56" t="inlineStr">
        <is>
          <t>9</t>
        </is>
      </c>
      <c r="B23" s="56" t="inlineStr">
        <is>
          <t>Palo blanco</t>
        </is>
      </c>
      <c r="C23" s="56" t="inlineStr">
        <is>
          <t>Por confirmar</t>
        </is>
      </c>
      <c r="D23" s="56" t="inlineStr">
        <is>
          <t>Por confirmar</t>
        </is>
      </c>
      <c r="E23" s="56" t="inlineStr">
        <is>
          <t>Arbóreo bajo (4-8 m)</t>
        </is>
      </c>
      <c r="F23" s="56" t="inlineStr">
        <is>
          <t>Nativa</t>
        </is>
      </c>
      <c r="G23" s="56" t="inlineStr">
        <is>
          <t>Ocasional (1-5%)</t>
        </is>
      </c>
      <c r="H23" s="56" t="n"/>
      <c r="I23" s="56" t="n"/>
    </row>
    <row r="24">
      <c r="A24" s="57" t="inlineStr">
        <is>
          <t>10</t>
        </is>
      </c>
      <c r="B24" s="57" t="inlineStr">
        <is>
          <t>Overo</t>
        </is>
      </c>
      <c r="C24" s="57" t="inlineStr">
        <is>
          <t>Cordia lutea</t>
        </is>
      </c>
      <c r="D24" s="57" t="inlineStr">
        <is>
          <t>Cordiaceae</t>
        </is>
      </c>
      <c r="E24" s="57" t="inlineStr">
        <is>
          <t>Arbustivo alto (1.5-4 m)</t>
        </is>
      </c>
      <c r="F24" s="57" t="inlineStr">
        <is>
          <t>Nativa</t>
        </is>
      </c>
      <c r="G24" s="57" t="inlineStr">
        <is>
          <t>Frecuente (5-20%)</t>
        </is>
      </c>
      <c r="H24" s="57" t="n"/>
      <c r="I24" s="57" t="n"/>
    </row>
    <row r="25">
      <c r="A25" s="56" t="inlineStr">
        <is>
          <t>11</t>
        </is>
      </c>
      <c r="B25" s="56" t="inlineStr">
        <is>
          <t>Higuerón</t>
        </is>
      </c>
      <c r="C25" s="56" t="inlineStr">
        <is>
          <t>Ficus sp.</t>
        </is>
      </c>
      <c r="D25" s="56" t="inlineStr">
        <is>
          <t>Moraceae</t>
        </is>
      </c>
      <c r="E25" s="56" t="inlineStr">
        <is>
          <t>Arbóreo superior (&gt;15 m)</t>
        </is>
      </c>
      <c r="F25" s="56" t="inlineStr">
        <is>
          <t>Nativa</t>
        </is>
      </c>
      <c r="G25" s="56" t="inlineStr">
        <is>
          <t>Ocasional (1-5%)</t>
        </is>
      </c>
      <c r="H25" s="56" t="n"/>
      <c r="I25" s="56" t="n"/>
    </row>
    <row r="26">
      <c r="A26" s="57" t="inlineStr">
        <is>
          <t>12</t>
        </is>
      </c>
      <c r="B26" s="57" t="inlineStr">
        <is>
          <t>Chirimoyo silvestre</t>
        </is>
      </c>
      <c r="C26" s="57" t="inlineStr">
        <is>
          <t>Annona sp.</t>
        </is>
      </c>
      <c r="D26" s="57" t="inlineStr">
        <is>
          <t>Annonaceae</t>
        </is>
      </c>
      <c r="E26" s="57" t="inlineStr">
        <is>
          <t>Arbóreo bajo (4-8 m)</t>
        </is>
      </c>
      <c r="F26" s="57" t="inlineStr">
        <is>
          <t>Nativa</t>
        </is>
      </c>
      <c r="G26" s="57" t="inlineStr">
        <is>
          <t>Rara (&lt;1%)</t>
        </is>
      </c>
      <c r="H26" s="57" t="n"/>
      <c r="I26" s="57" t="n"/>
    </row>
    <row r="27">
      <c r="A27" s="56" t="inlineStr">
        <is>
          <t>13</t>
        </is>
      </c>
      <c r="B27" s="56" t="inlineStr">
        <is>
          <t>Bromelias epífitas</t>
        </is>
      </c>
      <c r="C27" s="56" t="inlineStr">
        <is>
          <t>Tillandsia sp. / Bromeliaceae</t>
        </is>
      </c>
      <c r="D27" s="56" t="inlineStr">
        <is>
          <t>Bromeliaceae</t>
        </is>
      </c>
      <c r="E27" s="56" t="inlineStr">
        <is>
          <t>Epífito</t>
        </is>
      </c>
      <c r="F27" s="56" t="inlineStr">
        <is>
          <t>Nativa</t>
        </is>
      </c>
      <c r="G27" s="56" t="inlineStr">
        <is>
          <t>Frecuente (5-20%)</t>
        </is>
      </c>
      <c r="H27" s="56" t="n"/>
      <c r="I27" s="56" t="n"/>
    </row>
    <row r="28">
      <c r="A28" s="57" t="inlineStr">
        <is>
          <t>14</t>
        </is>
      </c>
      <c r="B28" s="57" t="inlineStr">
        <is>
          <t>Salvajina</t>
        </is>
      </c>
      <c r="C28" s="57" t="inlineStr">
        <is>
          <t>Tillandsia usneoides</t>
        </is>
      </c>
      <c r="D28" s="57" t="inlineStr">
        <is>
          <t>Bromeliaceae</t>
        </is>
      </c>
      <c r="E28" s="57" t="inlineStr">
        <is>
          <t>Epífito</t>
        </is>
      </c>
      <c r="F28" s="57" t="inlineStr">
        <is>
          <t>Nativa</t>
        </is>
      </c>
      <c r="G28" s="57" t="inlineStr">
        <is>
          <t>Frecuente (5-20%)</t>
        </is>
      </c>
      <c r="H28" s="57" t="n"/>
      <c r="I28" s="57" t="n"/>
    </row>
    <row r="29">
      <c r="A29" s="56" t="inlineStr">
        <is>
          <t>15</t>
        </is>
      </c>
      <c r="B29" s="56" t="inlineStr">
        <is>
          <t>Suelda con suelda (hemiparásita)</t>
        </is>
      </c>
      <c r="C29" s="56" t="inlineStr">
        <is>
          <t>Psittacanthus sp. (por confirmar)</t>
        </is>
      </c>
      <c r="D29" s="56" t="inlineStr">
        <is>
          <t>Loranthaceae</t>
        </is>
      </c>
      <c r="E29" s="56" t="inlineStr">
        <is>
          <t>Epífito</t>
        </is>
      </c>
      <c r="F29" s="56" t="inlineStr">
        <is>
          <t>Nativa</t>
        </is>
      </c>
      <c r="G29" s="56" t="inlineStr">
        <is>
          <t>Ocasional (1-5%)</t>
        </is>
      </c>
      <c r="H29" s="56" t="n"/>
      <c r="I29" s="56" t="n"/>
    </row>
    <row r="31">
      <c r="A31" s="54" t="inlineStr">
        <is>
          <t>F-DT-03 · ESPECIES CLAVE GEORREFERENCIADAS</t>
        </is>
      </c>
    </row>
    <row r="32">
      <c r="A32" s="55" t="inlineStr">
        <is>
          <t>N.o</t>
        </is>
      </c>
      <c r="B32" s="55" t="inlineStr">
        <is>
          <t>Especie</t>
        </is>
      </c>
      <c r="C32" s="55" t="inlineStr">
        <is>
          <t>Categoría</t>
        </is>
      </c>
      <c r="D32" s="55" t="inlineStr">
        <is>
          <t>Estado UICN</t>
        </is>
      </c>
      <c r="E32" s="55" t="inlineStr">
        <is>
          <t>UTM ESTE</t>
        </is>
      </c>
      <c r="F32" s="55" t="inlineStr">
        <is>
          <t>UTM NORTE</t>
        </is>
      </c>
      <c r="G32" s="55" t="inlineStr">
        <is>
          <t>N.° individuos</t>
        </is>
      </c>
      <c r="H32" s="55" t="inlineStr">
        <is>
          <t>Observación</t>
        </is>
      </c>
    </row>
    <row r="33">
      <c r="A33" s="56" t="inlineStr">
        <is>
          <t>1</t>
        </is>
      </c>
      <c r="B33" s="56" t="inlineStr">
        <is>
          <t>Hualtaco (Loxopterygium huasango)</t>
        </is>
      </c>
      <c r="C33" s="56" t="inlineStr">
        <is>
          <t>Amenazada (D.S. 043-2006-AG)</t>
        </is>
      </c>
      <c r="D33" s="56" t="inlineStr">
        <is>
          <t>CR — En Peligro Crítico</t>
        </is>
      </c>
      <c r="E33" s="56" t="n"/>
      <c r="F33" s="56" t="n"/>
      <c r="G33" s="56" t="n"/>
      <c r="H33" s="56" t="inlineStr">
        <is>
          <t>Emblemática del Bes; madera sobreexplotada. CR en D.S. 043-2006-AG.</t>
        </is>
      </c>
    </row>
    <row r="34">
      <c r="A34" s="57" t="inlineStr">
        <is>
          <t>2</t>
        </is>
      </c>
      <c r="B34" s="57" t="inlineStr">
        <is>
          <t>Palo santo (Bursera graveolens)</t>
        </is>
      </c>
      <c r="C34" s="57" t="inlineStr">
        <is>
          <t>Amenazada (D.S. 043-2006-AG)</t>
        </is>
      </c>
      <c r="D34" s="57" t="inlineStr">
        <is>
          <t>CR — En Peligro Crítico</t>
        </is>
      </c>
      <c r="E34" s="57" t="n"/>
      <c r="F34" s="57" t="n"/>
      <c r="G34" s="57" t="n"/>
      <c r="H34" s="57" t="inlineStr">
        <is>
          <t>Aromático/cultural; CR en D.S. 043-2006-AG. Presencia por confirmar en parcela.</t>
        </is>
      </c>
    </row>
    <row r="35">
      <c r="A35" s="56" t="inlineStr">
        <is>
          <t>3</t>
        </is>
      </c>
      <c r="B35" s="56" t="inlineStr">
        <is>
          <t>Sapote (Colicodendron scabridum)</t>
        </is>
      </c>
      <c r="C35" s="56" t="inlineStr">
        <is>
          <t>Amenazada (D.S. 043-2006-AG)</t>
        </is>
      </c>
      <c r="D35" s="56" t="inlineStr">
        <is>
          <t>CR — En Peligro Crítico</t>
        </is>
      </c>
      <c r="E35" s="56" t="n"/>
      <c r="F35" s="56" t="n"/>
      <c r="G35" s="56" t="n"/>
      <c r="H35" s="56" t="inlineStr">
        <is>
          <t>CR en D.S. 043-2006-AG. Determinación por confirmar.</t>
        </is>
      </c>
    </row>
    <row r="36">
      <c r="A36" s="57" t="inlineStr">
        <is>
          <t>4</t>
        </is>
      </c>
      <c r="B36" s="57" t="inlineStr">
        <is>
          <t>Algarrobo (Neltuma/Prosopis pallida)</t>
        </is>
      </c>
      <c r="C36" s="57" t="inlineStr">
        <is>
          <t>Amenazada (D.S. 043-2006-AG)</t>
        </is>
      </c>
      <c r="D36" s="57" t="inlineStr">
        <is>
          <t>VU — Vulnerable</t>
        </is>
      </c>
      <c r="E36" s="57" t="n"/>
      <c r="F36" s="57" t="n"/>
      <c r="G36" s="57" t="n"/>
      <c r="H36" s="57" t="inlineStr">
        <is>
          <t>VU en D.S. 043-2006-AG; fijadora de N.</t>
        </is>
      </c>
    </row>
    <row r="37">
      <c r="A37" s="56" t="inlineStr">
        <is>
          <t>5</t>
        </is>
      </c>
      <c r="B37" s="56" t="inlineStr">
        <is>
          <t>Faique (Vachellia macracantha)</t>
        </is>
      </c>
      <c r="C37" s="56" t="inlineStr">
        <is>
          <t>Amenazada (D.S. 043-2006-AG)</t>
        </is>
      </c>
      <c r="D37" s="56" t="inlineStr">
        <is>
          <t>NT — Casi Amenazado</t>
        </is>
      </c>
      <c r="E37" s="56" t="n"/>
      <c r="F37" s="56" t="n"/>
      <c r="G37" s="56" t="n"/>
      <c r="H37" s="56" t="inlineStr">
        <is>
          <t>NT en D.S. 043-2006-AG; nativa del Bes.</t>
        </is>
      </c>
    </row>
    <row r="38">
      <c r="A38" s="57" t="inlineStr">
        <is>
          <t>6</t>
        </is>
      </c>
      <c r="B38" s="57" t="inlineStr">
        <is>
          <t>Ceibo (Ceiba trichistandra)</t>
        </is>
      </c>
      <c r="C38" s="57" t="inlineStr">
        <is>
          <t>Indicadora de buen estado</t>
        </is>
      </c>
      <c r="D38" s="57" t="inlineStr">
        <is>
          <t>NE — No Evaluado</t>
        </is>
      </c>
      <c r="E38" s="57" t="n"/>
      <c r="F38" s="57" t="n"/>
      <c r="G38" s="57" t="n"/>
      <c r="H38" s="57" t="inlineStr">
        <is>
          <t>Emblemática del Bes-cm; tronco verde fotosintético.</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Moderada</t>
        </is>
      </c>
      <c r="E42" s="56" t="inlineStr">
        <is>
          <t>≈35%</t>
        </is>
      </c>
      <c r="F42" s="56" t="inlineStr">
        <is>
          <t>Por determinar</t>
        </is>
      </c>
      <c r="G42" s="56" t="inlineStr">
        <is>
          <t>Uso pecuario del sector; cercos/corrales (índices 146,148,155); mosaico agropecuario</t>
        </is>
      </c>
    </row>
    <row r="43">
      <c r="A43" s="57" t="inlineStr">
        <is>
          <t>2</t>
        </is>
      </c>
      <c r="B43" s="57" t="inlineStr">
        <is>
          <t>Tala para leña</t>
        </is>
      </c>
      <c r="C43" s="57" t="inlineStr">
        <is>
          <t>Sí</t>
        </is>
      </c>
      <c r="D43" s="57" t="inlineStr">
        <is>
          <t>Ligera</t>
        </is>
      </c>
      <c r="E43" s="57" t="inlineStr">
        <is>
          <t>—</t>
        </is>
      </c>
      <c r="F43" s="57" t="inlineStr">
        <is>
          <t>Por determinar</t>
        </is>
      </c>
      <c r="G43" s="57" t="inlineStr">
        <is>
          <t>Tocones/tala de árboles en taludes (índices 170,173)</t>
        </is>
      </c>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is>
          <t>Por verificar</t>
        </is>
      </c>
      <c r="D45" s="57" t="inlineStr">
        <is>
          <t>—</t>
        </is>
      </c>
      <c r="E45" s="57" t="inlineStr">
        <is>
          <t>—</t>
        </is>
      </c>
      <c r="F45" s="57" t="inlineStr">
        <is>
          <t>—</t>
        </is>
      </c>
      <c r="G45" s="57" t="inlineStr">
        <is>
          <t>Tala selectiva posible; por verificar</t>
        </is>
      </c>
    </row>
    <row r="46">
      <c r="A46" s="56" t="inlineStr">
        <is>
          <t>5</t>
        </is>
      </c>
      <c r="B46" s="56" t="inlineStr">
        <is>
          <t>Quema (renovación de pastos)</t>
        </is>
      </c>
      <c r="C46" s="56" t="inlineStr">
        <is>
          <t>Por verificar</t>
        </is>
      </c>
      <c r="D46" s="56" t="inlineStr">
        <is>
          <t>—</t>
        </is>
      </c>
      <c r="E46" s="56" t="inlineStr">
        <is>
          <t>—</t>
        </is>
      </c>
      <c r="F46" s="56" t="inlineStr">
        <is>
          <t>—</t>
        </is>
      </c>
      <c r="G46" s="56" t="inlineStr">
        <is>
          <t>Sin evidencia directa de quema en el recorrido; por verificar</t>
        </is>
      </c>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is>
          <t>Sí</t>
        </is>
      </c>
      <c r="D48" s="56" t="inlineStr">
        <is>
          <t>Moderada</t>
        </is>
      </c>
      <c r="E48" s="56" t="inlineStr">
        <is>
          <t>≈30%</t>
        </is>
      </c>
      <c r="F48" s="56" t="inlineStr">
        <is>
          <t>Por determinar</t>
        </is>
      </c>
      <c r="G48" s="56" t="inlineStr">
        <is>
          <t>Zona agrícola 144.68 ha (55.9%) — mosaico de cultivo/pasto en ladera</t>
        </is>
      </c>
    </row>
    <row r="49">
      <c r="A49" s="57" t="inlineStr">
        <is>
          <t>8</t>
        </is>
      </c>
      <c r="B49" s="57" t="inlineStr">
        <is>
          <t>Cambio de uso a pastoreo</t>
        </is>
      </c>
      <c r="C49" s="57" t="inlineStr">
        <is>
          <t>Sí</t>
        </is>
      </c>
      <c r="D49" s="57" t="inlineStr">
        <is>
          <t>Moderada</t>
        </is>
      </c>
      <c r="E49" s="57" t="inlineStr">
        <is>
          <t>≈25%</t>
        </is>
      </c>
      <c r="F49" s="57" t="inlineStr">
        <is>
          <t>Por determinar</t>
        </is>
      </c>
      <c r="G49" s="57" t="inlineStr">
        <is>
          <t>Pastos cultivados y pastoreo en laderas</t>
        </is>
      </c>
    </row>
    <row r="50">
      <c r="A50" s="56" t="inlineStr">
        <is>
          <t>9</t>
        </is>
      </c>
      <c r="B50" s="56" t="inlineStr">
        <is>
          <t>Expansión urbana / vial</t>
        </is>
      </c>
      <c r="C50" s="56" t="inlineStr">
        <is>
          <t>Sí</t>
        </is>
      </c>
      <c r="D50" s="56" t="inlineStr">
        <is>
          <t>Moderada</t>
        </is>
      </c>
      <c r="E50" s="56" t="inlineStr">
        <is>
          <t>≈10%</t>
        </is>
      </c>
      <c r="F50" s="56" t="inlineStr">
        <is>
          <t>Por determinar</t>
        </is>
      </c>
      <c r="G50" s="56" t="inlineStr">
        <is>
          <t>Trocha afirmada atraviesa el bloque; taludes de corte extensos (índices 142,148,179)</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is>
          <t>Sí</t>
        </is>
      </c>
      <c r="D53" s="57" t="inlineStr">
        <is>
          <t>Ligera</t>
        </is>
      </c>
      <c r="E53" s="57" t="inlineStr">
        <is>
          <t>—</t>
        </is>
      </c>
      <c r="F53" s="57" t="inlineStr">
        <is>
          <t>Por determinar</t>
        </is>
      </c>
      <c r="G53" s="57" t="inlineStr">
        <is>
          <t>Agave americana en taludes/bordes (índices 163)</t>
        </is>
      </c>
    </row>
    <row r="54">
      <c r="A54" s="56" t="inlineStr">
        <is>
          <t>13</t>
        </is>
      </c>
      <c r="B54" s="56" t="inlineStr">
        <is>
          <t>Erosión natural severa</t>
        </is>
      </c>
      <c r="C54" s="56" t="inlineStr">
        <is>
          <t>Sí</t>
        </is>
      </c>
      <c r="D54" s="56" t="inlineStr">
        <is>
          <t>Ligera</t>
        </is>
      </c>
      <c r="E54" s="56" t="inlineStr">
        <is>
          <t>≈5%</t>
        </is>
      </c>
      <c r="F54" s="56" t="inlineStr">
        <is>
          <t>—</t>
        </is>
      </c>
      <c r="G54" s="56" t="inlineStr">
        <is>
          <t>Surcos/erosión en taludes de corte y afloramientos</t>
        </is>
      </c>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 80 %</t>
        </is>
      </c>
      <c r="E61" s="56" t="inlineStr">
        <is>
          <t>MSAVI (ref. sector) + estimación ocular</t>
        </is>
      </c>
      <c r="F61" s="56" t="inlineStr">
        <is>
          <t>&gt;60% bueno; 30-60% medio; &lt;30% malo</t>
        </is>
      </c>
      <c r="G61" s="56" t="inlineStr">
        <is>
          <t>Alto</t>
        </is>
      </c>
    </row>
    <row r="62">
      <c r="A62" s="57" t="inlineStr">
        <is>
          <t>2</t>
        </is>
      </c>
      <c r="B62" s="57" t="inlineStr">
        <is>
          <t>Porcentaje de suelo desnudo</t>
        </is>
      </c>
      <c r="C62" s="57" t="inlineStr">
        <is>
          <t>%</t>
        </is>
      </c>
      <c r="D62" s="57" t="inlineStr">
        <is>
          <t>≈ 10 %</t>
        </is>
      </c>
      <c r="E62" s="57" t="inlineStr">
        <is>
          <t>Estimación ocular de campo</t>
        </is>
      </c>
      <c r="F62" s="57" t="inlineStr">
        <is>
          <t>&lt;10% bueno; 10-30% medio; &gt;30% malo</t>
        </is>
      </c>
      <c r="G62" s="57" t="inlineStr">
        <is>
          <t>Bajo</t>
        </is>
      </c>
    </row>
    <row r="63">
      <c r="A63" s="56" t="inlineStr">
        <is>
          <t>3</t>
        </is>
      </c>
      <c r="B63" s="56" t="inlineStr">
        <is>
          <t>Densidad de cárcavas</t>
        </is>
      </c>
      <c r="C63" s="56" t="inlineStr">
        <is>
          <t>N°/ha</t>
        </is>
      </c>
      <c r="D63" s="56" t="inlineStr">
        <is>
          <t>Por determinar</t>
        </is>
      </c>
      <c r="E63" s="56" t="inlineStr">
        <is>
          <t>Pendiente de cuantificación</t>
        </is>
      </c>
      <c r="F63" s="56" t="inlineStr">
        <is>
          <t>0 nulo; 1-3 medio; &gt;3 alto</t>
        </is>
      </c>
      <c r="G63" s="56" t="inlineStr">
        <is>
          <t>Por determinar</t>
        </is>
      </c>
    </row>
    <row r="64">
      <c r="A64" s="57" t="inlineStr">
        <is>
          <t>4</t>
        </is>
      </c>
      <c r="B64" s="57" t="inlineStr">
        <is>
          <t>Presencia de especies invasoras</t>
        </is>
      </c>
      <c r="C64" s="57" t="inlineStr">
        <is>
          <t>% área</t>
        </is>
      </c>
      <c r="D64" s="57" t="inlineStr">
        <is>
          <t>≈ 5 %</t>
        </is>
      </c>
      <c r="E64" s="57" t="inlineStr">
        <is>
          <t>Estimación ocular (Agave)</t>
        </is>
      </c>
      <c r="F64" s="57" t="inlineStr">
        <is>
          <t>&lt;5% bueno; 5-20% medio; &gt;20% alto</t>
        </is>
      </c>
      <c r="G64" s="57" t="inlineStr">
        <is>
          <t>Bajo</t>
        </is>
      </c>
    </row>
    <row r="65">
      <c r="A65" s="56" t="inlineStr">
        <is>
          <t>5</t>
        </is>
      </c>
      <c r="B65" s="56" t="inlineStr">
        <is>
          <t>Carga ganadera estimada</t>
        </is>
      </c>
      <c r="C65" s="56" t="inlineStr">
        <is>
          <t>UA/ha</t>
        </is>
      </c>
      <c r="D65" s="56" t="inlineStr">
        <is>
          <t>Por determinar</t>
        </is>
      </c>
      <c r="E65" s="56" t="inlineStr">
        <is>
          <t>Pendiente de cuantificación</t>
        </is>
      </c>
      <c r="F65" s="56" t="inlineStr">
        <is>
          <t>Según tipo de ecosistema</t>
        </is>
      </c>
      <c r="G65" s="56" t="inlineStr">
        <is>
          <t>Por determinar</t>
        </is>
      </c>
    </row>
    <row r="66">
      <c r="A66" s="57" t="inlineStr">
        <is>
          <t>6</t>
        </is>
      </c>
      <c r="B66" s="57" t="inlineStr">
        <is>
          <t>Frecuencia de quemas últimos 5 años</t>
        </is>
      </c>
      <c r="C66" s="57" t="inlineStr">
        <is>
          <t>N°</t>
        </is>
      </c>
      <c r="D66" s="57" t="inlineStr">
        <is>
          <t>Por determinar</t>
        </is>
      </c>
      <c r="E66" s="57" t="inlineStr">
        <is>
          <t>Pendiente de cuantificación</t>
        </is>
      </c>
      <c r="F66" s="57" t="inlineStr">
        <is>
          <t>0 nulo; 1-2 medio; &gt;2 alto</t>
        </is>
      </c>
      <c r="G66" s="57" t="inlineStr">
        <is>
          <t>Por determinar</t>
        </is>
      </c>
    </row>
    <row r="67">
      <c r="A67" s="56" t="inlineStr">
        <is>
          <t>7</t>
        </is>
      </c>
      <c r="B67" s="56" t="inlineStr">
        <is>
          <t>% área con pendiente &gt;50%</t>
        </is>
      </c>
      <c r="C67" s="56" t="inlineStr">
        <is>
          <t>%</t>
        </is>
      </c>
      <c r="D67" s="56" t="inlineStr">
        <is>
          <t>≈ 35 % (ref. perfil: media 39.7%, máx 63.7%)</t>
        </is>
      </c>
      <c r="E67" s="56" t="inlineStr">
        <is>
          <t>Perfil de elevación Google Earth (sector)</t>
        </is>
      </c>
      <c r="F67" s="56" t="inlineStr">
        <is>
          <t>Factor de susceptibilidad</t>
        </is>
      </c>
      <c r="G67" s="56" t="inlineStr">
        <is>
          <t>Medio</t>
        </is>
      </c>
    </row>
    <row r="68">
      <c r="A68" s="57" t="inlineStr">
        <is>
          <t>8</t>
        </is>
      </c>
      <c r="B68" s="57" t="inlineStr">
        <is>
          <t>Distancia a vía vecinal más cercana</t>
        </is>
      </c>
      <c r="C68" s="57" t="inlineStr">
        <is>
          <t>m</t>
        </is>
      </c>
      <c r="D68" s="57" t="inlineStr">
        <is>
          <t>0 m</t>
        </is>
      </c>
      <c r="E68" s="57" t="inlineStr">
        <is>
          <t>Trocha afirmada atraviesa el bloque</t>
        </is>
      </c>
      <c r="F68" s="57" t="inlineStr">
        <is>
          <t>A menor distancia → mayor presión</t>
        </is>
      </c>
      <c r="G68" s="57" t="inlineStr">
        <is>
          <t>Alto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Quebrada estacional</t>
        </is>
      </c>
      <c r="C72" s="61" t="n">
        <v>608432</v>
      </c>
      <c r="D72" s="61" t="n">
        <v>9448567</v>
      </c>
      <c r="E72" s="56" t="inlineStr">
        <is>
          <t>Estacional (lluvias)</t>
        </is>
      </c>
      <c r="F72" s="56" t="inlineStr">
        <is>
          <t>No evaluable</t>
        </is>
      </c>
      <c r="G72" s="63" t="n">
        <v>0</v>
      </c>
      <c r="H72" s="56" t="inlineStr">
        <is>
          <t>Curso de agua que cruza la trocha (badén); agua presente 23/06/2026 (índices 151,152). Régimen por verificar</t>
        </is>
      </c>
    </row>
    <row r="73">
      <c r="A73" s="57" t="inlineStr">
        <is>
          <t>2</t>
        </is>
      </c>
      <c r="B73" s="57" t="inlineStr">
        <is>
          <t>Río</t>
        </is>
      </c>
      <c r="C73" s="62" t="n">
        <v>608300</v>
      </c>
      <c r="D73" s="62" t="n">
        <v>9448700</v>
      </c>
      <c r="E73" s="57" t="inlineStr">
        <is>
          <t>Permanente</t>
        </is>
      </c>
      <c r="F73" s="57" t="inlineStr">
        <is>
          <t>No evaluable</t>
        </is>
      </c>
      <c r="G73" s="57" t="n"/>
      <c r="H73" s="57" t="inlineStr">
        <is>
          <t>Río principal del sector que bordea el bloque por el O (visible en satelital; ubic. aprox., por verificar)</t>
        </is>
      </c>
    </row>
    <row r="76">
      <c r="A76" s="54" t="inlineStr">
        <is>
          <t>OBSERVACIONES DEL EVALUADOR POR FICHA</t>
        </is>
      </c>
    </row>
    <row r="77">
      <c r="A77" s="55" t="inlineStr">
        <is>
          <t>Ficha</t>
        </is>
      </c>
      <c r="B77" s="55" t="inlineStr">
        <is>
          <t>Observación registrada en campo</t>
        </is>
      </c>
    </row>
    <row r="78">
      <c r="A78" s="56" t="inlineStr">
        <is>
          <t>F-DT-01</t>
        </is>
      </c>
      <c r="B78" s="56" t="inlineStr">
        <is>
          <t>Rango altitudinal del bloque ≈ 767–1481 msnm (perfil de elevación Google Earth del sector; min/media/máx 767/1066/1481 m); abarca pisos Yunga (&lt;1000 m) en el fondo de valle y Quechua baja (1000–1500 m) en las laderas. Punto de muestreo referido a foto índice 136. Escarpes/afloramientos concentrados en taludes de corte de la trocha afirmada. Altitud GPS por determinar (la app no registró msnm).</t>
        </is>
      </c>
    </row>
    <row r="79">
      <c r="A79" s="57" t="inlineStr">
        <is>
          <t>F-DT-02</t>
        </is>
      </c>
      <c r="B79" s="57" t="inlineStr">
        <is>
          <t>Rasgos erosivos concentrados en taludes de corte de la trocha afirmada y en sectores con tala/pérdida de cobertura; laderas naturales con Bes-cm densamente cubiertas (baja erosión). Dimensiones instrumentales de cárcavas (longitud, profundidad, ancho), longitud total, % de bloque afectado y densidad por hectárea: por determinar (levantamiento por el especialista de Infraestructura Marrón).</t>
        </is>
      </c>
    </row>
    <row r="80">
      <c r="A80" s="56" t="inlineStr">
        <is>
          <t>F-DT-03</t>
        </is>
      </c>
      <c r="B80" s="56" t="inlineStr">
        <is>
          <t>Lista florística PRELIMINAR sujeta a colección y determinación botánica formal; nombres a nivel de especie y familias 'por confirmar' cuando corresponda. Se confirmó en campo dosel con abundantes epífitas (bromeliáceas y Tillandsia usneoides/salvajina), indicadoras de humedad. El bloque integra, según el Reporte de Ecosistemas por Bloques (MINAM): Bes-cm 114.16 ha (44.1 %) y Zona agrícola 144.68 ha (55.9 %); total 258.84 ha. Coordenadas UTM de especies clave: por determinar (georreferenciación específica pendiente).</t>
        </is>
      </c>
    </row>
    <row r="81">
      <c r="A81" s="57" t="inlineStr">
        <is>
          <t>F-DT-05</t>
        </is>
      </c>
      <c r="B81" s="57" t="inlineStr">
        <is>
          <t>Bloque en zona de origen y recarga de la microcuenca C1096-Q9556 (Bes-cm con dosel de epífitas → humedad). El río bordea el bloque por el O y una quebrada cruza la trocha por badenes. Distancia y datos de captación poblacional/JASS, tiempos de viaje, señal/operador celular y alojamiento: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3"/>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M17B7</t>
        </is>
      </c>
    </row>
    <row r="7">
      <c r="A7" s="54" t="inlineStr">
        <is>
          <t>Hechos declarados por fuente</t>
        </is>
      </c>
    </row>
    <row r="8">
      <c r="A8" s="55" t="inlineStr">
        <is>
          <t>Fuente</t>
        </is>
      </c>
      <c r="B8" s="55" t="inlineStr">
        <is>
          <t>Hechos</t>
        </is>
      </c>
    </row>
    <row r="9">
      <c r="A9" s="56" t="inlineStr">
        <is>
          <t>Dato de campo</t>
        </is>
      </c>
      <c r="B9" s="56" t="n">
        <v>60</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96</v>
      </c>
    </row>
    <row r="31">
      <c r="A31" s="57" t="inlineStr">
        <is>
          <t>COMPLEMENTADO</t>
        </is>
      </c>
      <c r="B31" s="57" t="n">
        <v>0</v>
      </c>
    </row>
    <row r="32">
      <c r="A32" s="56" t="inlineStr">
        <is>
          <t>ACTUALIZADO</t>
        </is>
      </c>
      <c r="B32" s="56" t="n">
        <v>0</v>
      </c>
    </row>
    <row r="33">
      <c r="A33" s="57" t="inlineStr">
        <is>
          <t>DISCREPANTE</t>
        </is>
      </c>
      <c r="B33" s="57" t="n">
        <v>0</v>
      </c>
    </row>
    <row r="34">
      <c r="A34" s="56" t="inlineStr">
        <is>
          <t>PENDIENTE</t>
        </is>
      </c>
      <c r="B34" s="56" t="n">
        <v>18</v>
      </c>
    </row>
    <row r="51">
      <c r="A51" s="54" t="inlineStr">
        <is>
          <t>Causas activas de degradación (F-DT-04)</t>
        </is>
      </c>
    </row>
    <row r="52">
      <c r="A52" s="55" t="inlineStr">
        <is>
          <t>Causa</t>
        </is>
      </c>
      <c r="B52" s="55" t="inlineStr">
        <is>
          <t>Intensidad (1 ligera - 4 muy fuerte)</t>
        </is>
      </c>
    </row>
    <row r="53">
      <c r="A53" s="56" t="inlineStr">
        <is>
          <t>Cambio de uso a agricultura</t>
        </is>
      </c>
      <c r="B53" s="56" t="n">
        <v>2</v>
      </c>
    </row>
    <row r="54">
      <c r="A54" s="57" t="inlineStr">
        <is>
          <t>Cambio de uso a pastoreo</t>
        </is>
      </c>
      <c r="B54" s="57" t="n">
        <v>2</v>
      </c>
    </row>
    <row r="55">
      <c r="A55" s="56" t="inlineStr">
        <is>
          <t>Expansión urbana / vial</t>
        </is>
      </c>
      <c r="B55" s="56" t="n">
        <v>2</v>
      </c>
    </row>
    <row r="56">
      <c r="A56" s="57" t="inlineStr">
        <is>
          <t>Sobrepastoreo (caprino/vacuno)</t>
        </is>
      </c>
      <c r="B56" s="57" t="n">
        <v>2</v>
      </c>
    </row>
    <row r="57">
      <c r="A57" s="56" t="inlineStr">
        <is>
          <t>Erosión natural severa</t>
        </is>
      </c>
      <c r="B57" s="56" t="n">
        <v>1</v>
      </c>
    </row>
    <row r="58">
      <c r="A58" s="57" t="inlineStr">
        <is>
          <t>Especies invasoras</t>
        </is>
      </c>
      <c r="B58" s="57" t="n">
        <v>1</v>
      </c>
    </row>
    <row r="59">
      <c r="A59" s="56" t="inlineStr">
        <is>
          <t>Quema (renovación de pastos)</t>
        </is>
      </c>
      <c r="B59" s="56" t="n">
        <v>1</v>
      </c>
    </row>
    <row r="60">
      <c r="A60" s="57" t="inlineStr">
        <is>
          <t>Tala para leña</t>
        </is>
      </c>
      <c r="B60" s="57" t="n">
        <v>1</v>
      </c>
    </row>
    <row r="61">
      <c r="A61" s="56" t="inlineStr">
        <is>
          <t>Tala para madera</t>
        </is>
      </c>
      <c r="B61" s="56" t="n">
        <v>1</v>
      </c>
    </row>
    <row r="78">
      <c r="A78" s="54" t="inlineStr">
        <is>
          <t>Control de consistencia por calificación</t>
        </is>
      </c>
    </row>
    <row r="79">
      <c r="A79" s="55" t="inlineStr">
        <is>
          <t>Calificación</t>
        </is>
      </c>
      <c r="B79" s="55" t="inlineStr">
        <is>
          <t>Verificaciones</t>
        </is>
      </c>
    </row>
    <row r="80">
      <c r="A80" s="56" t="inlineStr">
        <is>
          <t>SUSTANTIVA</t>
        </is>
      </c>
      <c r="B80" s="56" t="n">
        <v>4</v>
      </c>
    </row>
    <row r="81">
      <c r="A81" s="57" t="inlineStr">
        <is>
          <t>NO SUSTANTIVA</t>
        </is>
      </c>
      <c r="B81" s="57" t="n">
        <v>7</v>
      </c>
    </row>
    <row r="82">
      <c r="A82" s="56" t="inlineStr">
        <is>
          <t>CORREGIDO</t>
        </is>
      </c>
      <c r="B82" s="56" t="n">
        <v>1</v>
      </c>
    </row>
    <row r="83">
      <c r="A83" s="57" t="inlineStr">
        <is>
          <t>CONFORME</t>
        </is>
      </c>
      <c r="B83" s="57" t="n">
        <v>9</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M17B7 — IN Piura</dc:title>
  <dc:subject>Diagnóstico Territorial por bloque de intervención</dc:subject>
  <dcterms:created xsi:type="dcterms:W3CDTF">2026-09-08T03:39:57Z</dcterms:created>
  <dcterms:modified xsi:type="dcterms:W3CDTF">2026-09-11T20:22:35Z</dcterms:modified>
</cp:coreProperties>
</file>