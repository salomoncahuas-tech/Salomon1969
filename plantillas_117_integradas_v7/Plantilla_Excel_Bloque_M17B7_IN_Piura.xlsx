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4" fontId="6" fillId="5" borderId="7" pivotButton="0" quotePrefix="0" xfId="0"/>
    <xf numFmtId="166" fontId="6" fillId="0"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integración'!B27</f>
            </strRef>
          </tx>
          <spPr>
            <a:ln>
              <a:prstDash val="solid"/>
            </a:ln>
          </spPr>
          <cat>
            <numRef>
              <f>'Gráficos de integración'!$A$28:$A$32</f>
            </numRef>
          </cat>
          <val>
            <numRef>
              <f>'Gráficos de integración'!$B$28:$B$32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integración'!B46</f>
            </strRef>
          </tx>
          <spPr>
            <a:ln>
              <a:prstDash val="solid"/>
            </a:ln>
          </spPr>
          <cat>
            <numRef>
              <f>'Gráficos de integración'!$A$47:$A$55</f>
            </numRef>
          </cat>
          <val>
            <numRef>
              <f>'Gráficos de integración'!$B$47:$B$55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integración'!B65</f>
            </strRef>
          </tx>
          <spPr>
            <a:ln>
              <a:prstDash val="solid"/>
            </a:ln>
          </spPr>
          <cat>
            <numRef>
              <f>'Gráficos de integración'!$A$66:$A$69</f>
            </numRef>
          </cat>
          <val>
            <numRef>
              <f>'Gráficos de integración'!$B$66:$B$69</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26</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45</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64</row>
      <rowOff>0</rowOff>
    </from>
    <ext cx="4320000" cy="2880000"/>
    <graphicFrame>
      <nvGraphicFramePr>
        <cNvPr id="4" name="Chart 4"/>
        <cNvGraphicFramePr/>
      </nvGraphicFramePr>
      <xfrm/>
      <a:graphic>
        <a:graphicData uri="http://schemas.openxmlformats.org/drawingml/2006/chart">
          <c:chart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M17B7</t>
        </is>
      </c>
    </row>
    <row r="6" ht="24" customHeight="1">
      <c r="A6" s="4" t="inlineStr">
        <is>
          <t>Diagnóstico Territorial — Plantilla DT Campo Check Validada V5 | Sistema de referencia: UTM WGS 84 Zona 17S (EPSG:32717) · Integrado con la ficha de campo F-DT vigente (Plantilla_DT_Campo_Check_Validada_V5_M17B7.xlsx) — V7 - resumen V6 + campo F-DT integrado</t>
        </is>
      </c>
    </row>
    <row r="7"/>
    <row r="8" ht="18" customHeight="1">
      <c r="A8" s="5" t="inlineStr">
        <is>
          <t>1. IDENTIFICACIÓN Y LOCALIZACIÓN</t>
        </is>
      </c>
    </row>
    <row r="9">
      <c r="A9" s="6" t="inlineStr">
        <is>
          <t>Código del bloque</t>
        </is>
      </c>
      <c r="B9" s="7" t="inlineStr">
        <is>
          <t>M17B7</t>
        </is>
      </c>
      <c r="C9" s="6" t="inlineStr">
        <is>
          <t>Microcuenca (catálogo)</t>
        </is>
      </c>
      <c r="D9" s="7" t="inlineStr">
        <is>
          <t>C1096-Q9556</t>
        </is>
      </c>
      <c r="E9" s="8" t="n"/>
      <c r="F9" s="8" t="n"/>
    </row>
    <row r="10">
      <c r="A10" s="6" t="inlineStr">
        <is>
          <t>Zona de planificación</t>
        </is>
      </c>
      <c r="B10" s="7" t="inlineStr">
        <is>
          <t>Z02</t>
        </is>
      </c>
      <c r="C10" s="6" t="inlineStr">
        <is>
          <t>Microcuenca declarada en ficha DT</t>
        </is>
      </c>
      <c r="D10" s="7" t="inlineStr">
        <is>
          <t>C1096-Q9556</t>
        </is>
      </c>
      <c r="E10" s="8" t="n"/>
      <c r="F10" s="8" t="n"/>
    </row>
    <row r="11">
      <c r="A11" s="6" t="inlineStr">
        <is>
          <t>Departamento</t>
        </is>
      </c>
      <c r="B11" s="7" t="inlineStr">
        <is>
          <t>Piura</t>
        </is>
      </c>
      <c r="C11" s="6" t="inlineStr">
        <is>
          <t>Provincia</t>
        </is>
      </c>
      <c r="D11" s="7" t="inlineStr">
        <is>
          <t>Ayabaca</t>
        </is>
      </c>
      <c r="E11" s="8" t="n"/>
      <c r="F11" s="8" t="n"/>
    </row>
    <row r="12">
      <c r="A12" s="6" t="inlineStr">
        <is>
          <t>Distrito</t>
        </is>
      </c>
      <c r="B12" s="7" t="inlineStr">
        <is>
          <t>Frias</t>
        </is>
      </c>
      <c r="C12" s="6" t="inlineStr">
        <is>
          <t>Capital distrital</t>
        </is>
      </c>
      <c r="D12" s="7" t="inlineStr">
        <is>
          <t>Frias</t>
        </is>
      </c>
      <c r="E12" s="8" t="n"/>
      <c r="F12" s="8" t="n"/>
    </row>
    <row r="13">
      <c r="A13" s="6" t="inlineStr">
        <is>
          <t>Centro poblado asociado</t>
        </is>
      </c>
      <c r="B13" s="7" t="inlineStr">
        <is>
          <t>Angurgo (referencia); C.P. por confirmar</t>
        </is>
      </c>
      <c r="C13" s="6" t="inlineStr">
        <is>
          <t>Comunidad campesina</t>
        </is>
      </c>
      <c r="D13" s="7" t="inlineStr">
        <is>
          <t>Por verificar</t>
        </is>
      </c>
      <c r="E13" s="8" t="n"/>
      <c r="F13" s="8" t="n"/>
    </row>
    <row r="14">
      <c r="A14" s="6" t="inlineStr">
        <is>
          <t>Superficie de catálogo (V5/V6), ha</t>
        </is>
      </c>
      <c r="B14" s="7" t="n">
        <v>258.84</v>
      </c>
      <c r="C14" s="6" t="inlineStr">
        <is>
          <t>Fuente de superficie</t>
        </is>
      </c>
      <c r="D14" s="7" t="inlineStr">
        <is>
          <t>Catálogo maestro Bloques V5/V6</t>
        </is>
      </c>
      <c r="E14" s="8" t="n"/>
      <c r="F14" s="8" t="n"/>
    </row>
    <row r="15">
      <c r="A15" s="6" t="inlineStr">
        <is>
          <t>Centroide UTM ESTE (m)</t>
        </is>
      </c>
      <c r="B15" s="7" t="n">
        <v>608472</v>
      </c>
      <c r="C15" s="6" t="inlineStr">
        <is>
          <t>Centroide UTM NORTE (m)</t>
        </is>
      </c>
      <c r="D15" s="7" t="n">
        <v>9448056</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553</v>
      </c>
      <c r="C19" s="6" t="inlineStr">
        <is>
          <t>Altitud máxima (msnm)</t>
        </is>
      </c>
      <c r="D19" s="7" t="n">
        <v>1517</v>
      </c>
      <c r="E19" s="8" t="n"/>
      <c r="F19" s="8" t="n"/>
    </row>
    <row r="20">
      <c r="A20" s="6" t="inlineStr">
        <is>
          <t>Amplitud altitudinal (m)</t>
        </is>
      </c>
      <c r="B20" s="7" t="n">
        <v>964</v>
      </c>
      <c r="C20" s="6" t="inlineStr">
        <is>
          <t>Piso altitudinal dominante</t>
        </is>
      </c>
      <c r="D20" s="7" t="inlineStr">
        <is>
          <t>1000-1500 m (Quechua baja)</t>
        </is>
      </c>
      <c r="E20" s="8" t="n"/>
      <c r="F20" s="8" t="n"/>
    </row>
    <row r="21">
      <c r="A21" s="6" t="inlineStr">
        <is>
          <t>Pendiente promedio (%)</t>
        </is>
      </c>
      <c r="B21" s="7" t="n">
        <v>29.82</v>
      </c>
      <c r="C21" s="6" t="inlineStr">
        <is>
          <t>Pendiente promedio (grados)</t>
        </is>
      </c>
      <c r="D21" s="7" t="n">
        <v>16.6</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Oeste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0.5087</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(58.63 %)</t>
        </is>
      </c>
      <c r="E29" s="8" t="n"/>
      <c r="F29" s="8" t="n"/>
    </row>
    <row r="30">
      <c r="A30" s="6" t="inlineStr">
        <is>
          <t>Superficie clasificada NDVI 2025 (ha)</t>
        </is>
      </c>
      <c r="B30" s="7" t="n">
        <v>258.969</v>
      </c>
      <c r="C30" s="6" t="inlineStr">
        <is>
          <t>Desviación frente al catálogo (%)</t>
        </is>
      </c>
      <c r="D30" s="7" t="n">
        <v>0.05</v>
      </c>
      <c r="E30" s="8" t="n"/>
      <c r="F30" s="8" t="n"/>
    </row>
    <row r="31">
      <c r="A31" s="6" t="inlineStr">
        <is>
          <t>Superficie clasificada MSAVI 2024 (ha)</t>
        </is>
      </c>
      <c r="B31" s="39" t="n">
        <v>258.837</v>
      </c>
      <c r="C31" s="6" t="inlineStr">
        <is>
          <t>Desviación MSAVI frente al catálogo (%)</t>
        </is>
      </c>
      <c r="D31" s="40" t="n">
        <v>0</v>
      </c>
      <c r="E31" s="8" t="n"/>
      <c r="F31" s="8" t="n"/>
    </row>
    <row r="32">
      <c r="A32" s="6" t="inlineStr">
        <is>
          <t>Superficie bajo umbral MSAVI 0.4976 (ha)</t>
        </is>
      </c>
      <c r="B32" s="39" t="n">
        <v>125.266</v>
      </c>
      <c r="C32" s="6" t="inlineStr">
        <is>
          <t>% del bloque bajo umbral (brecha espectral)</t>
        </is>
      </c>
      <c r="D32" s="40" t="n">
        <v>48.4</v>
      </c>
      <c r="E32" s="8" t="n"/>
      <c r="F32" s="8" t="n"/>
    </row>
    <row r="33">
      <c r="A33" s="6" t="inlineStr">
        <is>
          <t>Clase DN dominante (MSAVI 2024)</t>
        </is>
      </c>
      <c r="B33" s="7" t="inlineStr">
        <is>
          <t>DN 3 · 0.3813 - 0.4976 (Vigor bajo)</t>
        </is>
      </c>
      <c r="C33" s="6" t="inlineStr">
        <is>
          <t>N.° de polígonos MSAVI del bloque</t>
        </is>
      </c>
      <c r="D33" s="41" t="n">
        <v>984</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258.84 ha totales — Bes-cm 114.16 ha (44.1%); ZONA AGRÍCOLA 144.68 ha (55.9%)</t>
        </is>
      </c>
      <c r="E36" s="8" t="n"/>
      <c r="F36" s="8" t="n"/>
    </row>
    <row r="37">
      <c r="A37" s="6" t="inlineStr">
        <is>
          <t>Estado de conservación</t>
        </is>
      </c>
      <c r="B37" s="7" t="inlineStr">
        <is>
          <t>Medianamente alterado</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inlineStr">
        <is>
          <t>≈80 (estimación ocular + gabinete)</t>
        </is>
      </c>
      <c r="E38" s="8" t="n"/>
      <c r="F38" s="8" t="n"/>
    </row>
    <row r="39">
      <c r="A39" s="6" t="inlineStr">
        <is>
          <t>Suelo desnudo — campo (%)</t>
        </is>
      </c>
      <c r="B39" s="7" t="inlineStr">
        <is>
          <t>Por determinar</t>
        </is>
      </c>
      <c r="C39" s="6" t="inlineStr">
        <is>
          <t>Regeneración natural</t>
        </is>
      </c>
      <c r="D39" s="7" t="inlineStr">
        <is>
          <t>Regular (10-50 pl./100m²)</t>
        </is>
      </c>
      <c r="E39" s="8" t="n"/>
      <c r="F39" s="8" t="n"/>
    </row>
    <row r="40">
      <c r="A40" s="6" t="inlineStr">
        <is>
          <t>Nivel general de erosión</t>
        </is>
      </c>
      <c r="B40" s="7" t="inlineStr">
        <is>
          <t>Moderada (surcos)</t>
        </is>
      </c>
      <c r="C40" s="6" t="inlineStr">
        <is>
          <t>N.° de cárcavas registradas</t>
        </is>
      </c>
      <c r="D40" s="7" t="n">
        <v>3</v>
      </c>
      <c r="E40" s="8" t="n"/>
      <c r="F40" s="8" t="n"/>
    </row>
    <row r="41">
      <c r="A41" s="6" t="inlineStr">
        <is>
          <t>Elenco florístico (n.° de taxones)</t>
        </is>
      </c>
      <c r="B41" s="7" t="n">
        <v>15</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S. Cahuas Miller (ANIN/DIME-SESDI)</t>
        </is>
      </c>
      <c r="C44" s="6" t="inlineStr">
        <is>
          <t>Fecha de evaluación</t>
        </is>
      </c>
      <c r="D44" s="7" t="inlineStr">
        <is>
          <t>2026-06-23</t>
        </is>
      </c>
      <c r="E44" s="8" t="n"/>
      <c r="F44" s="8" t="n"/>
    </row>
    <row r="45">
      <c r="A45" s="6" t="inlineStr">
        <is>
          <t>Hora de registro</t>
        </is>
      </c>
      <c r="B45" s="7" t="inlineStr">
        <is>
          <t>13:19 - 13:42 h</t>
        </is>
      </c>
      <c r="C45" s="6" t="inlineStr">
        <is>
          <t>Correlativo de ficha</t>
        </is>
      </c>
      <c r="D45" s="7" t="inlineStr">
        <is>
          <t>M17B7-DT-01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Recorrido de bloque (sin parcela permanente)</t>
        </is>
      </c>
      <c r="E47" s="8" t="n"/>
      <c r="F47" s="8" t="n"/>
    </row>
    <row r="48">
      <c r="A48" s="6" t="inlineStr">
        <is>
          <t>Estaciones fotográficas georreferenciadas</t>
        </is>
      </c>
      <c r="B48" s="7" t="n">
        <v>0</v>
      </c>
      <c r="C48" s="6" t="inlineStr">
        <is>
          <t>Modalidad de acceso</t>
        </is>
      </c>
      <c r="D48" s="7" t="inlineStr">
        <is>
          <t>Vehicular 4x4 hasta el bloque</t>
        </is>
      </c>
      <c r="E48" s="8" t="n"/>
      <c r="F48" s="8" t="n"/>
    </row>
    <row r="49"/>
    <row r="50" ht="18" customHeight="1">
      <c r="A50" s="5" t="inlineStr">
        <is>
          <t>6. SÍNTESIS PARA LA GESTIÓN DEL RIESGO EN CONTEXTO DE CAMBIO CLIMÁTICO</t>
        </is>
      </c>
    </row>
    <row r="51">
      <c r="A51" s="6" t="inlineStr">
        <is>
          <t>Causa subyacente principal</t>
        </is>
      </c>
      <c r="B51" s="7" t="inlineStr">
        <is>
          <t>Economía agropecuaria de subsistencia y presión vial, sin prácticas de conservación de suelos</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2" t="n"/>
      <c r="C57" s="42" t="n"/>
      <c r="D57" s="42" t="n"/>
      <c r="E57" s="42" t="n"/>
      <c r="F57" s="43"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M17B7</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35.5796</v>
      </c>
      <c r="C10" s="19">
        <f>ROUND(B10/$B$15*100,2)</f>
        <v/>
      </c>
      <c r="D10" s="11" t="inlineStr">
        <is>
          <t>Vigor alto</t>
        </is>
      </c>
      <c r="E10" s="11" t="inlineStr">
        <is>
          <t>Sobre umbral</t>
        </is>
      </c>
    </row>
    <row r="11">
      <c r="A11" s="12" t="inlineStr">
        <is>
          <t>0.4976 - 0.6139 · DN 4</t>
        </is>
      </c>
      <c r="B11" s="30" t="n">
        <v>97.99169999999999</v>
      </c>
      <c r="C11" s="29">
        <f>ROUND(B11/$B$15*100,2)</f>
        <v/>
      </c>
      <c r="D11" s="13" t="inlineStr">
        <is>
          <t>Vigor moderado</t>
        </is>
      </c>
      <c r="E11" s="13" t="inlineStr">
        <is>
          <t>Sobre umbral</t>
        </is>
      </c>
    </row>
    <row r="12">
      <c r="A12" s="7" t="inlineStr">
        <is>
          <t>0.3813 - 0.4976 · DN 3</t>
        </is>
      </c>
      <c r="B12" s="18" t="n">
        <v>110.2042</v>
      </c>
      <c r="C12" s="19">
        <f>ROUND(B12/$B$15*100,2)</f>
        <v/>
      </c>
      <c r="D12" s="11" t="inlineStr">
        <is>
          <t>Vigor bajo</t>
        </is>
      </c>
      <c r="E12" s="11" t="inlineStr">
        <is>
          <t>BAJO umbral 0.4976</t>
        </is>
      </c>
    </row>
    <row r="13">
      <c r="A13" s="14" t="inlineStr">
        <is>
          <t>0.2650 - 0.3813 · DN 2</t>
        </is>
      </c>
      <c r="B13" s="20" t="n">
        <v>15.0575</v>
      </c>
      <c r="C13" s="21">
        <f>ROUND(B13/$B$15*100,2)</f>
        <v/>
      </c>
      <c r="D13" s="15" t="inlineStr">
        <is>
          <t>Vigor muy bajo</t>
        </is>
      </c>
      <c r="E13" s="15" t="inlineStr">
        <is>
          <t>BAJO umbral 0.4976</t>
        </is>
      </c>
    </row>
    <row r="14">
      <c r="A14" s="7" t="inlineStr">
        <is>
          <t>&lt;= 0.2650 · DN 1</t>
        </is>
      </c>
      <c r="B14" s="18" t="n">
        <v>0.0042</v>
      </c>
      <c r="C14" s="19">
        <f>ROUND(B14/$B$15*100,2)</f>
        <v/>
      </c>
      <c r="D14" s="11" t="inlineStr">
        <is>
          <t>Suelo desnudo / no vegetal</t>
        </is>
      </c>
      <c r="E14" s="11" t="inlineStr">
        <is>
          <t>BAJO umbral 0.4976</t>
        </is>
      </c>
    </row>
    <row r="15" ht="30" customHeight="1">
      <c r="A15" s="44" t="inlineStr">
        <is>
          <t>TOTAL CLASIFICADO MSAVI 2024</t>
        </is>
      </c>
      <c r="B15" s="45">
        <f>SUM(B10:B14)</f>
        <v/>
      </c>
      <c r="C15" s="46">
        <f>SUM(C10:C14)</f>
        <v/>
      </c>
      <c r="D15" s="44" t="inlineStr">
        <is>
          <t>Suma de la distribución areal · 984 polígonos</t>
        </is>
      </c>
      <c r="E15" s="44" t="inlineStr">
        <is>
          <t>—</t>
        </is>
      </c>
    </row>
    <row r="16" ht="30" customHeight="1">
      <c r="A16" s="47" t="inlineStr">
        <is>
          <t>Superficie SOBRE umbral 0.4976 (ha)</t>
        </is>
      </c>
      <c r="B16" s="48">
        <f>SUM(B10:B11)</f>
        <v/>
      </c>
      <c r="C16" s="49">
        <f>ROUND(B16/B15*100,2)</f>
        <v/>
      </c>
      <c r="D16" s="47" t="inlineStr">
        <is>
          <t>Vigor alto y moderado (DN 4 y DN 5)</t>
        </is>
      </c>
      <c r="E16" s="47" t="inlineStr">
        <is>
          <t>Sobre umbral 0.4976</t>
        </is>
      </c>
    </row>
    <row r="17" ht="30" customHeight="1">
      <c r="A17" s="47" t="inlineStr">
        <is>
          <t>Superficie BAJO umbral 0.4976 (ha) — brecha</t>
        </is>
      </c>
      <c r="B17" s="48">
        <f>SUM(B12:B14)</f>
        <v/>
      </c>
      <c r="C17" s="49">
        <f>ROUND(B17/B15*100,2)</f>
        <v/>
      </c>
      <c r="D17" s="47" t="inlineStr">
        <is>
          <t>Vigor bajo, muy bajo y suelo desnudo (DN 1 a DN 3)</t>
        </is>
      </c>
      <c r="E17" s="47" t="inlineStr">
        <is>
          <t>Base para el indicador de brecha (R.M. N.° 00213-2024-MINAM)</t>
        </is>
      </c>
    </row>
    <row r="18" ht="30" customHeight="1">
      <c r="A18" s="47" t="inlineStr">
        <is>
          <t>Superficie de catálogo (V5/V6) — contraste MSAVI</t>
        </is>
      </c>
      <c r="B18" s="48" t="n">
        <v>258.84</v>
      </c>
      <c r="C18" s="50" t="inlineStr">
        <is>
          <t>—</t>
        </is>
      </c>
      <c r="D18" s="47" t="inlineStr">
        <is>
          <t>Desviación planimétrica frente al catálogo</t>
        </is>
      </c>
      <c r="E18" s="47" t="inlineStr">
        <is>
          <t>+0.00 %</t>
        </is>
      </c>
    </row>
    <row r="19">
      <c r="A19" s="16" t="inlineStr">
        <is>
          <t>MSAVI 2024 — MEDIA DEL BLOQUE</t>
        </is>
      </c>
      <c r="B19" s="17" t="n">
        <v>0.508715</v>
      </c>
      <c r="C19" s="17" t="inlineStr">
        <is>
          <t>—</t>
        </is>
      </c>
      <c r="D19" s="17" t="inlineStr">
        <is>
          <t>Vigor moderado · clase 0.4976 - 0.6139</t>
        </is>
      </c>
      <c r="E19" s="17" t="inlineStr">
        <is>
          <t>Sobre umbral</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984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(0.5087) se conserva del catálogo maestro y es dato oficial; la fila resaltada indica la clase en la que cae dicha media. Los totales y porcentajes se calculan con fórmulas sobre las filas del cuadro.</t>
        </is>
      </c>
      <c r="B21" s="42" t="n"/>
      <c r="C21" s="42" t="n"/>
      <c r="D21" s="42" t="n"/>
      <c r="E21" s="43"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151.8463</v>
      </c>
      <c r="C25" s="19" t="n">
        <v>58.63</v>
      </c>
      <c r="D25" s="11" t="inlineStr">
        <is>
          <t>Dosel continuo, matorral denso o mosaico agroforestal</t>
        </is>
      </c>
      <c r="E25" s="11" t="inlineStr"/>
    </row>
    <row r="26">
      <c r="A26" s="14" t="inlineStr">
        <is>
          <t>Vegetación mediana</t>
        </is>
      </c>
      <c r="B26" s="20" t="n">
        <v>106.1922</v>
      </c>
      <c r="C26" s="21" t="n">
        <v>41.01</v>
      </c>
      <c r="D26" s="15" t="inlineStr">
        <is>
          <t>Pastizal cultivado, matorral ralo, parcelas agrícolas</t>
        </is>
      </c>
      <c r="E26" s="15" t="inlineStr"/>
    </row>
    <row r="27">
      <c r="A27" s="7" t="inlineStr">
        <is>
          <t>Vegetación ligera</t>
        </is>
      </c>
      <c r="B27" s="18" t="n">
        <v>0.9302</v>
      </c>
      <c r="C27" s="19" t="n">
        <v>0.36</v>
      </c>
      <c r="D27" s="11" t="inlineStr">
        <is>
          <t>Cobertura discontinua, suelo parcialmente expuesto</t>
        </is>
      </c>
      <c r="E27" s="11" t="inlineStr"/>
    </row>
    <row r="28">
      <c r="A28" s="16" t="inlineStr">
        <is>
          <t>TOTAL CLASIFICADO</t>
        </is>
      </c>
      <c r="B28" s="22">
        <f>SUM(B25:B27)</f>
        <v/>
      </c>
      <c r="C28" s="23">
        <f>SUM(C25:C27)</f>
        <v/>
      </c>
      <c r="D28" s="17" t="inlineStr"/>
      <c r="E28" s="17" t="inlineStr"/>
    </row>
    <row r="29">
      <c r="A29" s="24" t="inlineStr">
        <is>
          <t>Superficie de catálogo (V5/V6)</t>
        </is>
      </c>
      <c r="B29" s="25" t="n">
        <v>258.84</v>
      </c>
      <c r="C29" s="25" t="inlineStr">
        <is>
          <t>—</t>
        </is>
      </c>
      <c r="D29" s="25" t="inlineStr">
        <is>
          <t>Desviación planimétrica frente al catálogo</t>
        </is>
      </c>
      <c r="E29" s="25" t="inlineStr">
        <is>
          <t>+0.05 %</t>
        </is>
      </c>
    </row>
    <row r="31" ht="72" customHeight="1">
      <c r="A31"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c r="B31" s="42" t="n"/>
      <c r="C31" s="42" t="n"/>
      <c r="D31" s="42" t="n"/>
      <c r="E31" s="43" t="n"/>
    </row>
  </sheetData>
  <mergeCells count="10">
    <mergeCell ref="A21:E21"/>
    <mergeCell ref="A4:E4"/>
    <mergeCell ref="A2:E2"/>
    <mergeCell ref="A5:E5"/>
    <mergeCell ref="A1:E1"/>
    <mergeCell ref="A23:E23"/>
    <mergeCell ref="A8:E8"/>
    <mergeCell ref="A6:E6"/>
    <mergeCell ref="A31:E31"/>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M17B7</t>
        </is>
      </c>
    </row>
    <row r="6" ht="24" customHeight="1">
      <c r="A6" s="4" t="inlineStr">
        <is>
          <t>Levantamiento del 2026-06-23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608397</v>
      </c>
      <c r="D10" s="26" t="n">
        <v>9448588</v>
      </c>
      <c r="E10" s="11" t="n">
        <v>537.3</v>
      </c>
      <c r="F10" s="11" t="inlineStr"/>
      <c r="G10" s="11" t="inlineStr">
        <is>
          <t>Coordenada consignada en F-DT-01</t>
        </is>
      </c>
    </row>
    <row r="11">
      <c r="A11" s="14" t="inlineStr">
        <is>
          <t>C-01</t>
        </is>
      </c>
      <c r="B11" s="15" t="inlineStr">
        <is>
          <t>Rasgo erosivo — Por determinar</t>
        </is>
      </c>
      <c r="C11" s="27" t="n">
        <v>606809</v>
      </c>
      <c r="D11" s="27" t="n">
        <v>9446563</v>
      </c>
      <c r="E11" s="15" t="n">
        <v>2234.9</v>
      </c>
      <c r="F11" s="15" t="inlineStr">
        <is>
          <t>Activa</t>
        </is>
      </c>
      <c r="G11" s="15" t="inlineStr">
        <is>
          <t>Caminos / huellas de ganado</t>
        </is>
      </c>
    </row>
    <row r="12">
      <c r="A12" s="7" t="inlineStr">
        <is>
          <t>C-02</t>
        </is>
      </c>
      <c r="B12" s="11" t="inlineStr">
        <is>
          <t>Rasgo erosivo — Por determinar</t>
        </is>
      </c>
      <c r="C12" s="26" t="n">
        <v>606781</v>
      </c>
      <c r="D12" s="26" t="n">
        <v>9446904</v>
      </c>
      <c r="E12" s="11" t="n">
        <v>2046.1</v>
      </c>
      <c r="F12" s="11" t="inlineStr">
        <is>
          <t>Activa</t>
        </is>
      </c>
      <c r="G12" s="11" t="inlineStr">
        <is>
          <t>Tala / pérdida de cobertura</t>
        </is>
      </c>
    </row>
    <row r="13">
      <c r="A13" s="14" t="inlineStr">
        <is>
          <t>C-03</t>
        </is>
      </c>
      <c r="B13" s="15" t="inlineStr">
        <is>
          <t>Rasgo erosivo — Por determinar</t>
        </is>
      </c>
      <c r="C13" s="27" t="n">
        <v>606995</v>
      </c>
      <c r="D13" s="27" t="n">
        <v>9447237</v>
      </c>
      <c r="E13" s="15" t="n">
        <v>1688.9</v>
      </c>
      <c r="F13" s="15" t="inlineStr">
        <is>
          <t>Semi-activa</t>
        </is>
      </c>
      <c r="G13" s="15" t="inlineStr">
        <is>
          <t>Tala / pérdida de cobertura</t>
        </is>
      </c>
    </row>
    <row r="14">
      <c r="A14" s="7" t="inlineStr">
        <is>
          <t>H-01</t>
        </is>
      </c>
      <c r="B14" s="11" t="inlineStr">
        <is>
          <t>Fuente de agua — Quebrada estacional</t>
        </is>
      </c>
      <c r="C14" s="26" t="n">
        <v>608432</v>
      </c>
      <c r="D14" s="26" t="n">
        <v>9448567</v>
      </c>
      <c r="E14" s="11" t="n">
        <v>512.6</v>
      </c>
      <c r="F14" s="11" t="inlineStr">
        <is>
          <t>Estacional</t>
        </is>
      </c>
      <c r="G14" s="11" t="inlineStr">
        <is>
          <t>Curso de agua que cruza la trocha por badenes</t>
        </is>
      </c>
    </row>
    <row r="15">
      <c r="A15" s="14" t="inlineStr">
        <is>
          <t>H-02</t>
        </is>
      </c>
      <c r="B15" s="15" t="inlineStr">
        <is>
          <t>Fuente de agua — Río</t>
        </is>
      </c>
      <c r="C15" s="27" t="n">
        <v>608300</v>
      </c>
      <c r="D15" s="27" t="n">
        <v>9448700</v>
      </c>
      <c r="E15" s="15" t="n">
        <v>666.6</v>
      </c>
      <c r="F15" s="15" t="inlineStr">
        <is>
          <t>Permanente</t>
        </is>
      </c>
      <c r="G15" s="15" t="inlineStr">
        <is>
          <t>Río principal del sector, bordea el bloque por el oeste</t>
        </is>
      </c>
    </row>
    <row r="16">
      <c r="A16" s="16" t="inlineStr">
        <is>
          <t>TOTAL: 6 puntos</t>
        </is>
      </c>
      <c r="B16" s="17" t="inlineStr"/>
      <c r="C16" s="17" t="inlineStr"/>
      <c r="D16" s="17" t="inlineStr"/>
      <c r="E16" s="17" t="inlineStr"/>
      <c r="F16" s="17" t="inlineStr"/>
      <c r="G16" s="17" t="inlineStr"/>
    </row>
    <row r="18">
      <c r="A18" s="6" t="inlineStr">
        <is>
          <t>Centroide del bloque — UTM ESTE (m)</t>
        </is>
      </c>
      <c r="B18" s="7" t="n">
        <v>608472</v>
      </c>
      <c r="C18" s="6" t="inlineStr">
        <is>
          <t>Centroide del bloque — UTM NORTE (m)</t>
        </is>
      </c>
      <c r="D18" s="7" t="n">
        <v>9448056</v>
      </c>
      <c r="E18" s="8" t="n"/>
      <c r="F18" s="8" t="n"/>
      <c r="G18" s="8" t="n"/>
      <c r="H18" s="8" t="n"/>
    </row>
    <row r="19">
      <c r="A19" s="6" t="inlineStr">
        <is>
          <t>N.° de estaciones fotográficas declaradas</t>
        </is>
      </c>
      <c r="B19" s="7" t="n">
        <v>0</v>
      </c>
      <c r="C19" s="6" t="inlineStr">
        <is>
          <t>Estaciones dentro del polígono</t>
        </is>
      </c>
      <c r="D19" s="7" t="n">
        <v>0</v>
      </c>
      <c r="E19" s="8" t="n"/>
      <c r="F19" s="8" t="n"/>
      <c r="G19" s="8" t="n"/>
      <c r="H19" s="8" t="n"/>
    </row>
    <row r="21" ht="108" customHeight="1">
      <c r="A21"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Rango altitudinal del bloque ≈767-1 481 msnm (perfil Google Earth: mín./media/máx. 767/1 066/1 481 m); ABARCA LOS PISOS YUNGA (&lt;1 000 m) EN EL FONDO DE VALLE Y QUECHUA BAJA (1 000-1 500 m) EN LAS LADERAS. Punto de muestreo referido a la foto índice 136. ESCARPES Y AFLORAMIENTOS CONCENTRADOS EN TALUDES DE CORTE DE LA TROCHA AFIRMADA. ALTITUD GPS POR DETERMINAR (la aplicación no registró msnm).</t>
        </is>
      </c>
      <c r="B21" s="42" t="n"/>
      <c r="C21" s="42" t="n"/>
      <c r="D21" s="42" t="n"/>
      <c r="E21" s="42" t="n"/>
      <c r="F21" s="42" t="n"/>
      <c r="G21" s="43" t="n"/>
    </row>
  </sheetData>
  <mergeCells count="8">
    <mergeCell ref="A1:G1"/>
    <mergeCell ref="A8:G8"/>
    <mergeCell ref="A3:G3"/>
    <mergeCell ref="A6:G6"/>
    <mergeCell ref="A21:G21"/>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C1096-Q9556 — BLOQUE M17B7</t>
        </is>
      </c>
    </row>
    <row r="6" ht="24" customHeight="1">
      <c r="A6" s="4" t="inlineStr">
        <is>
          <t>Distrito de Frias · Provincia de Ayabaca · Comparación de los bloques preliminares de intervención de la misma microcuenca</t>
        </is>
      </c>
    </row>
    <row r="8" ht="18" customHeight="1">
      <c r="A8" s="5" t="inlineStr">
        <is>
          <t>BLOQUES DE LA MICROCUENCA C1096-Q9556</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12" t="inlineStr">
        <is>
          <t>► M17B7</t>
        </is>
      </c>
      <c r="B10" s="28" t="n">
        <v>258.84</v>
      </c>
      <c r="C10" s="29" t="n">
        <v>29.57</v>
      </c>
      <c r="D10" s="13" t="inlineStr">
        <is>
          <t>553 – 1517</t>
        </is>
      </c>
      <c r="E10" s="13" t="n">
        <v>964</v>
      </c>
      <c r="F10" s="13" t="n">
        <v>29.82</v>
      </c>
      <c r="G10" s="30" t="n">
        <v>0.5087</v>
      </c>
      <c r="H10" s="29" t="n">
        <v>58.63</v>
      </c>
      <c r="I10" s="29" t="n">
        <v>48.4</v>
      </c>
    </row>
    <row r="11">
      <c r="A11" s="14" t="inlineStr">
        <is>
          <t>M17B4</t>
        </is>
      </c>
      <c r="B11" s="31" t="n">
        <v>124.71</v>
      </c>
      <c r="C11" s="21" t="n">
        <v>14.25</v>
      </c>
      <c r="D11" s="15" t="inlineStr">
        <is>
          <t>294 – 629</t>
        </is>
      </c>
      <c r="E11" s="15" t="n">
        <v>335</v>
      </c>
      <c r="F11" s="15" t="n">
        <v>18.69</v>
      </c>
      <c r="G11" s="20" t="n">
        <v>0.4235</v>
      </c>
      <c r="H11" s="21" t="n">
        <v>3.97</v>
      </c>
      <c r="I11" s="21" t="n">
        <v>91.94</v>
      </c>
    </row>
    <row r="12">
      <c r="A12" s="7" t="inlineStr">
        <is>
          <t>M17B6</t>
        </is>
      </c>
      <c r="B12" s="32" t="n">
        <v>106.54</v>
      </c>
      <c r="C12" s="19" t="n">
        <v>12.17</v>
      </c>
      <c r="D12" s="11" t="inlineStr">
        <is>
          <t>403 – 1049</t>
        </is>
      </c>
      <c r="E12" s="11" t="n">
        <v>646</v>
      </c>
      <c r="F12" s="11" t="n">
        <v>23.42</v>
      </c>
      <c r="G12" s="18" t="n">
        <v>0.4464</v>
      </c>
      <c r="H12" s="19" t="n">
        <v>18.53</v>
      </c>
      <c r="I12" s="19" t="n">
        <v>81.81999999999999</v>
      </c>
    </row>
    <row r="13">
      <c r="A13" s="14" t="inlineStr">
        <is>
          <t>22</t>
        </is>
      </c>
      <c r="B13" s="31" t="n">
        <v>79.33</v>
      </c>
      <c r="C13" s="21" t="n">
        <v>9.06</v>
      </c>
      <c r="D13" s="15" t="inlineStr">
        <is>
          <t>235 – 596</t>
        </is>
      </c>
      <c r="E13" s="15" t="n">
        <v>361</v>
      </c>
      <c r="F13" s="15" t="n">
        <v>22.51</v>
      </c>
      <c r="G13" s="20" t="n">
        <v>0.4232</v>
      </c>
      <c r="H13" s="21" t="n">
        <v>0.32</v>
      </c>
      <c r="I13" s="21" t="n">
        <v>93.29000000000001</v>
      </c>
    </row>
    <row r="14">
      <c r="A14" s="7" t="inlineStr">
        <is>
          <t>27</t>
        </is>
      </c>
      <c r="B14" s="32" t="n">
        <v>78.15000000000001</v>
      </c>
      <c r="C14" s="19" t="n">
        <v>8.93</v>
      </c>
      <c r="D14" s="11" t="inlineStr">
        <is>
          <t>1518 – 1895</t>
        </is>
      </c>
      <c r="E14" s="11" t="n">
        <v>377</v>
      </c>
      <c r="F14" s="11" t="n">
        <v>30.25</v>
      </c>
      <c r="G14" s="18" t="n">
        <v>0.5323</v>
      </c>
      <c r="H14" s="19" t="n">
        <v>64.75</v>
      </c>
      <c r="I14" s="19" t="n">
        <v>37.5</v>
      </c>
    </row>
    <row r="15">
      <c r="A15" s="14" t="inlineStr">
        <is>
          <t>M17B10</t>
        </is>
      </c>
      <c r="B15" s="31" t="n">
        <v>75.36</v>
      </c>
      <c r="C15" s="21" t="n">
        <v>8.609999999999999</v>
      </c>
      <c r="D15" s="15" t="inlineStr">
        <is>
          <t>466 – 902</t>
        </is>
      </c>
      <c r="E15" s="15" t="n">
        <v>436</v>
      </c>
      <c r="F15" s="15" t="n">
        <v>25.94</v>
      </c>
      <c r="G15" s="20" t="n">
        <v>0.4725</v>
      </c>
      <c r="H15" s="21" t="n">
        <v>29.2</v>
      </c>
      <c r="I15" s="21" t="n">
        <v>73.33</v>
      </c>
    </row>
    <row r="16">
      <c r="A16" s="7" t="inlineStr">
        <is>
          <t>M17B5</t>
        </is>
      </c>
      <c r="B16" s="32" t="n">
        <v>74.03</v>
      </c>
      <c r="C16" s="19" t="n">
        <v>8.460000000000001</v>
      </c>
      <c r="D16" s="11" t="inlineStr">
        <is>
          <t>794 – 1317</t>
        </is>
      </c>
      <c r="E16" s="11" t="n">
        <v>523</v>
      </c>
      <c r="F16" s="11" t="n">
        <v>27.42</v>
      </c>
      <c r="G16" s="18" t="n">
        <v>0.5482</v>
      </c>
      <c r="H16" s="19" t="n">
        <v>61.34</v>
      </c>
      <c r="I16" s="19" t="n">
        <v>28.94</v>
      </c>
    </row>
    <row r="17">
      <c r="A17" s="14" t="inlineStr">
        <is>
          <t>M17B1</t>
        </is>
      </c>
      <c r="B17" s="31" t="n">
        <v>42.45</v>
      </c>
      <c r="C17" s="21" t="n">
        <v>4.85</v>
      </c>
      <c r="D17" s="15" t="inlineStr">
        <is>
          <t>177 – 313</t>
        </is>
      </c>
      <c r="E17" s="15" t="n">
        <v>136</v>
      </c>
      <c r="F17" s="15" t="n">
        <v>14.73</v>
      </c>
      <c r="G17" s="20" t="n">
        <v>0.3323</v>
      </c>
      <c r="H17" s="21" t="n">
        <v>0</v>
      </c>
      <c r="I17" s="21" t="n">
        <v>99.84</v>
      </c>
    </row>
    <row r="18">
      <c r="A18" s="7" t="inlineStr">
        <is>
          <t>32</t>
        </is>
      </c>
      <c r="B18" s="32" t="n">
        <v>35.83</v>
      </c>
      <c r="C18" s="19" t="n">
        <v>4.09</v>
      </c>
      <c r="D18" s="11" t="inlineStr">
        <is>
          <t>197 – 269</t>
        </is>
      </c>
      <c r="E18" s="11" t="n">
        <v>72</v>
      </c>
      <c r="F18" s="11" t="n">
        <v>12.87</v>
      </c>
      <c r="G18" s="18" t="n">
        <v>0.3716</v>
      </c>
      <c r="H18" s="19" t="inlineStr">
        <is>
          <t>Por determinar</t>
        </is>
      </c>
      <c r="I18" s="11" t="inlineStr">
        <is>
          <t>s/d</t>
        </is>
      </c>
    </row>
    <row r="19">
      <c r="A19" s="16" t="inlineStr">
        <is>
          <t>TOTAL / PROMEDIO</t>
        </is>
      </c>
      <c r="B19" s="33">
        <f>SUM(B10:B18)</f>
        <v/>
      </c>
      <c r="C19" s="23">
        <f>SUM(C10:C18)</f>
        <v/>
      </c>
      <c r="D19" s="17" t="inlineStr">
        <is>
          <t>177 – 1895</t>
        </is>
      </c>
      <c r="E19" s="17" t="inlineStr"/>
      <c r="F19" s="17">
        <f>ROUND(AVERAGE(F10:F18),2)</f>
        <v/>
      </c>
      <c r="G19" s="22">
        <f>ROUND(AVERAGE(G10:G18),4)</f>
        <v/>
      </c>
      <c r="H19" s="23">
        <f>ROUND(AVERAGE(H10:H18),2)</f>
        <v/>
      </c>
      <c r="I19" s="23">
        <f>ROUND(AVERAGE(I10:I18),2)</f>
        <v/>
      </c>
    </row>
    <row r="20" ht="48" customHeight="1">
      <c r="A20" s="9" t="inlineStr">
        <is>
          <t>ALCANCE DE LOS PROMEDIOS. La fila TOTAL / PROMEDIO omite las celdas «Por determinar»: el promedio de VEGETACIÓN ALTA (NDVI 2025) se calcula sobre 8 de los 9 bloques; el bloque restante carece de estadística zonal de NDVI. Los totales de ÁREA y % de microcuenca sí comprenden la totalidad de los 9 bloques. No se estima ningún valor ausente.</t>
        </is>
      </c>
      <c r="B20" s="42" t="n"/>
      <c r="C20" s="42" t="n"/>
      <c r="D20" s="42" t="n"/>
      <c r="E20" s="42" t="n"/>
      <c r="F20" s="42" t="n"/>
      <c r="G20" s="42" t="n"/>
      <c r="H20" s="42" t="n"/>
      <c r="I20" s="43" t="n"/>
    </row>
    <row r="22" ht="84" customHeight="1">
      <c r="A22" s="9" t="inlineStr">
        <is>
          <t>LECTURA INTRAMICROCUENCA. El bloque M17B7 ocupa el puesto 1 de 9 por superficie dentro de la microcuenca C1096-Q9556 (29.57 % de las 875.24 ha preliminares de la microcuenca). Su pendiente promedio (29.82 %, clase «25-50% (Mod. escarpado)») es la 8.ª más baja de 9 y se sitúa por encima del promedio de la microcuenca (22.85 %). Su MSAVI 2024 (0.5087) es el 3.º de 9 y queda por encima del promedio local (0.4510). Amplitud altitudinal del bloque: 964 m (553–1517 msnm). El cuadro conserva todos los bloques catalogados en la microcuenca, incluidos los descartados en el tamizaje, para referencia del conjunto. Los bloques sin ficha DT figuran con sus parámetros de gabinete. BRECHA ESPECTRAL. El 48.40 % de la superficie del bloque (125.266 ha de 258.837 ha) se sitúa bajo el umbral MSAVI 0.4976, por debajo del promedio local de la microcuenca (69.38 %) calculado sobre los bloques con dato MSAVI disponible.</t>
        </is>
      </c>
      <c r="B22" s="42" t="n"/>
      <c r="C22" s="42" t="n"/>
      <c r="D22" s="42" t="n"/>
      <c r="E22" s="42" t="n"/>
      <c r="F22" s="42" t="n"/>
      <c r="G22" s="42" t="n"/>
      <c r="H22" s="42" t="n"/>
      <c r="I22" s="43" t="n"/>
    </row>
    <row r="24" ht="60" customHeight="1">
      <c r="A24"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4" s="42" t="n"/>
      <c r="C24" s="42" t="n"/>
      <c r="D24" s="42" t="n"/>
      <c r="E24" s="42" t="n"/>
      <c r="F24" s="42" t="n"/>
      <c r="G24" s="42" t="n"/>
      <c r="H24" s="42" t="n"/>
      <c r="I24" s="43" t="n"/>
    </row>
  </sheetData>
  <mergeCells count="10">
    <mergeCell ref="A2:I2"/>
    <mergeCell ref="A5:I5"/>
    <mergeCell ref="A1:I1"/>
    <mergeCell ref="A8:I8"/>
    <mergeCell ref="A3:I3"/>
    <mergeCell ref="A6:I6"/>
    <mergeCell ref="A22:I22"/>
    <mergeCell ref="A4:I4"/>
    <mergeCell ref="A20:I20"/>
    <mergeCell ref="A24:I2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3"/>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CONTROL DE CONSISTENCIA — BLOQUE M17B7</t>
        </is>
      </c>
    </row>
    <row r="6">
      <c r="A6" s="52" t="inlineStr">
        <is>
          <t>Cruce de la ficha de campo F-DT vigente con la ficha de resumen de gabinete y el catálogo maestro. Integración 2026-09-11 21:26:33.</t>
        </is>
      </c>
    </row>
    <row r="7">
      <c r="A7" s="54" t="inlineStr">
        <is>
          <t>DISCREPANCIAS Y VERIFICACIONES</t>
        </is>
      </c>
    </row>
    <row r="8">
      <c r="A8" s="55" t="inlineStr">
        <is>
          <t>Cod.</t>
        </is>
      </c>
      <c r="B8" s="55" t="inlineStr">
        <is>
          <t>Campo afectado</t>
        </is>
      </c>
      <c r="C8" s="55" t="inlineStr">
        <is>
          <t>Discrepancia observada</t>
        </is>
      </c>
      <c r="D8" s="55" t="inlineStr">
        <is>
          <t>Calificación</t>
        </is>
      </c>
      <c r="E8" s="55" t="inlineStr">
        <is>
          <t>Tratamiento adoptado</t>
        </is>
      </c>
    </row>
    <row r="9">
      <c r="A9" s="56" t="inlineStr">
        <is>
          <t>G-01</t>
        </is>
      </c>
      <c r="B9" s="56" t="inlineStr">
        <is>
          <t>Código de microcuenca</t>
        </is>
      </c>
      <c r="C9" s="56" t="inlineStr">
        <is>
          <t>Ficha DT y catálogo maestro coinciden en «C1096-Q9556».</t>
        </is>
      </c>
      <c r="D9" s="56" t="inlineStr">
        <is>
          <t>CONFORME</t>
        </is>
      </c>
      <c r="E9" s="56" t="inlineStr">
        <is>
          <t>Sin acción.</t>
        </is>
      </c>
    </row>
    <row r="10">
      <c r="A10" s="57" t="inlineStr">
        <is>
          <t>G-02</t>
        </is>
      </c>
      <c r="B10" s="57" t="inlineStr">
        <is>
          <t>UTM del punto de muestreo</t>
        </is>
      </c>
      <c r="C10" s="57" t="inlineStr">
        <is>
          <t>El punto de muestreo declarado dista 537.3 m del centroide, dentro del radio de control.</t>
        </is>
      </c>
      <c r="D10" s="57" t="inlineStr">
        <is>
          <t>CONFORME</t>
        </is>
      </c>
      <c r="E10" s="57" t="inlineStr">
        <is>
          <t>Sin acción.</t>
        </is>
      </c>
    </row>
    <row r="11">
      <c r="A11" s="56" t="inlineStr">
        <is>
          <t>G-03</t>
        </is>
      </c>
      <c r="B11" s="56" t="inlineStr">
        <is>
          <t>Sistema de referencia UTM 17S</t>
        </is>
      </c>
      <c r="C11" s="56" t="inlineStr">
        <is>
          <t>Verificación de rango para EPSG:32717: Conforme.</t>
        </is>
      </c>
      <c r="D11" s="56" t="inlineStr">
        <is>
          <t>CONFORME</t>
        </is>
      </c>
      <c r="E11" s="56" t="inlineStr">
        <is>
          <t>Sin acción.</t>
        </is>
      </c>
    </row>
    <row r="12">
      <c r="A12" s="57" t="inlineStr">
        <is>
          <t>G-04</t>
        </is>
      </c>
      <c r="B12" s="57" t="inlineStr">
        <is>
          <t>Altitud del punto de muestreo</t>
        </is>
      </c>
      <c r="C12" s="57" t="inlineStr">
        <is>
          <t>No es posible contrastar la altitud GPS con el rango altitudinal del bloque: falta uno de los dos datos.</t>
        </is>
      </c>
      <c r="D12" s="57" t="inlineStr">
        <is>
          <t>NO SUSTANTIVA</t>
        </is>
      </c>
      <c r="E12" s="57" t="inlineStr">
        <is>
          <t>Se completa con la lectura GPS de F-DT-01 o con la estadística zonal del MDE.</t>
        </is>
      </c>
    </row>
    <row r="13">
      <c r="A13" s="56" t="inlineStr">
        <is>
          <t>G-05</t>
        </is>
      </c>
      <c r="B13" s="56" t="inlineStr">
        <is>
          <t>Superficie NDVI vs. catálogo</t>
        </is>
      </c>
      <c r="C13" s="56" t="inlineStr">
        <is>
          <t>La superficie clasificada por el NDVI mediana 2025 (258.969 ha) se desvía 0.05 % de la superficie de catálogo (258.84 ha).</t>
        </is>
      </c>
      <c r="D13" s="56" t="inlineStr">
        <is>
          <t>CONFORME</t>
        </is>
      </c>
      <c r="E13" s="56" t="inlineStr">
        <is>
          <t>Sin acción: la segmentación valida la geometría del bloque.</t>
        </is>
      </c>
    </row>
    <row r="14">
      <c r="A14" s="57" t="inlineStr">
        <is>
          <t>G-06</t>
        </is>
      </c>
      <c r="B14" s="57" t="inlineStr">
        <is>
          <t>Superficie MSAVI vs. catálogo</t>
        </is>
      </c>
      <c r="C14" s="57" t="inlineStr">
        <is>
          <t>La superficie clasificada por el MSAVI 2024 (258.837 ha) se desvía -0.00 % de la superficie de catálogo (258.84 ha).</t>
        </is>
      </c>
      <c r="D14" s="57" t="inlineStr">
        <is>
          <t>CONFORME</t>
        </is>
      </c>
      <c r="E14" s="57" t="inlineStr">
        <is>
          <t>Sin acción: la segmentación valida la geometría del bloque.</t>
        </is>
      </c>
    </row>
    <row r="15">
      <c r="A15" s="56" t="inlineStr">
        <is>
          <t>G-07</t>
        </is>
      </c>
      <c r="B15" s="56" t="inlineStr">
        <is>
          <t>Brecha espectral MSAVI</t>
        </is>
      </c>
      <c r="C15" s="56" t="inlineStr">
        <is>
          <t>El 48.40 % del bloque queda bajo el umbral 0.4976; superficie de brecha 125.27 ha.</t>
        </is>
      </c>
      <c r="D15" s="56" t="inlineStr">
        <is>
          <t>CONFORME</t>
        </is>
      </c>
      <c r="E15" s="56" t="inlineStr">
        <is>
          <t>Sin acción: alimenta el indicador de brecha del proyecto.</t>
        </is>
      </c>
    </row>
    <row r="16">
      <c r="A16" s="57" t="inlineStr">
        <is>
          <t>G-08</t>
        </is>
      </c>
      <c r="B16" s="57" t="inlineStr">
        <is>
          <t>Distribución areal MSAVI 2024</t>
        </is>
      </c>
      <c r="C16" s="57" t="inlineStr">
        <is>
          <t>La hoja de cobertura declara 5 clases DN con superficie, 258.84 ha clasificadas en total.</t>
        </is>
      </c>
      <c r="D16" s="57" t="inlineStr">
        <is>
          <t>CONFORME</t>
        </is>
      </c>
      <c r="E16" s="57" t="inlineStr">
        <is>
          <t>Sin acción: procede de la estadística zonal del raster MSAVI 2024 clasificado.</t>
        </is>
      </c>
    </row>
    <row r="17">
      <c r="A17" s="56" t="inlineStr">
        <is>
          <t>G-09</t>
        </is>
      </c>
      <c r="B17" s="56" t="inlineStr">
        <is>
          <t>Media MSAVI vs. clase DN dominante</t>
        </is>
      </c>
      <c r="C17" s="56" t="inlineStr">
        <is>
          <t>La media del bloque (0.5087) cae en la clase «0.4976 - 0.6139 (Vigor moderado)» y la clase DN dominante por superficie es «DN 3 · 0.3813 - 0.4976 (Vigor bajo)».</t>
        </is>
      </c>
      <c r="D17" s="56" t="inlineStr">
        <is>
          <t>NO SUSTANTIVA</t>
        </is>
      </c>
      <c r="E17" s="56" t="inlineStr">
        <is>
          <t>Se declaran ambas lecturas: la media resume el bloque y la clase dominante su reparto areal.</t>
        </is>
      </c>
    </row>
    <row r="18">
      <c r="A18" s="57" t="inlineStr">
        <is>
          <t>G-10</t>
        </is>
      </c>
      <c r="B18" s="57" t="inlineStr">
        <is>
          <t>Peligro integrado (MCA-AHP)</t>
        </is>
      </c>
      <c r="C18" s="57" t="inlineStr">
        <is>
          <t>El nivel de peligro integrado no está disponible en los insumos de este entregable.</t>
        </is>
      </c>
      <c r="D18" s="57" t="inlineStr">
        <is>
          <t>SUSTANTIVA</t>
        </is>
      </c>
      <c r="E18" s="57" t="inlineStr">
        <is>
          <t>Debe tomarse del modelamiento de mesolocalización (MCA-AHP de PMM, EPH y PGI) antes de cerrar el perfil.</t>
        </is>
      </c>
    </row>
    <row r="19">
      <c r="A19" s="56" t="inlineStr">
        <is>
          <t>F-01</t>
        </is>
      </c>
      <c r="B19" s="56" t="inlineStr">
        <is>
          <t>Fichas F-DT levantadas</t>
        </is>
      </c>
      <c r="C19" s="56" t="inlineStr">
        <is>
          <t>La plantilla de campo trae las cinco fichas F-DT-01 a F-DT-05 (completitud 92.9 % de los campos esperados).</t>
        </is>
      </c>
      <c r="D19" s="56" t="inlineStr">
        <is>
          <t>CONFORME</t>
        </is>
      </c>
      <c r="E19" s="56" t="inlineStr">
        <is>
          <t>Sin acción.</t>
        </is>
      </c>
    </row>
    <row r="20">
      <c r="A20" s="57" t="inlineStr">
        <is>
          <t>F-02</t>
        </is>
      </c>
      <c r="B20" s="57" t="inlineStr">
        <is>
          <t>Cobertura de la integración</t>
        </is>
      </c>
      <c r="C20" s="57" t="inlineStr">
        <is>
          <t>Se declararon 96 de 114 hechos integrados (84.2 %); 18 quedan sin dato en ninguna fuente.</t>
        </is>
      </c>
      <c r="D20" s="57" t="inlineStr">
        <is>
          <t>CONFORME</t>
        </is>
      </c>
      <c r="E20" s="57" t="inlineStr">
        <is>
          <t>Sin acción.</t>
        </is>
      </c>
    </row>
    <row r="21">
      <c r="A21" s="56" t="inlineStr">
        <is>
          <t>H-01</t>
        </is>
      </c>
      <c r="B21" s="56" t="inlineStr">
        <is>
          <t>Rango altitudinal / piso ecológico</t>
        </is>
      </c>
      <c r="C21" s="56" t="inlineStr">
        <is>
          <t>La ficha DT declara «1000-1500 m (Quechua baja) — el bloque abarca también Yunga en el fondo de valle»; el MDE sitúa el bloque entre 553 y 1517 msnm, cuyo punto medio corresponde a «1000-1500 m (Quechua baja)»</t>
        </is>
      </c>
      <c r="D21" s="56" t="inlineStr">
        <is>
          <t>NO SUSTANTIVA</t>
        </is>
      </c>
      <c r="E21" s="56" t="inlineStr">
        <is>
          <t>Se declara la divergencia. El bloque abarca más de un piso altitudinal cuando la amplitud supera el ancho de la clase; el registro de campo corresponde al sector recorrido. (Verificación heredada de la ficha de resumen V6.)</t>
        </is>
      </c>
    </row>
    <row r="22">
      <c r="A22" s="57" t="inlineStr">
        <is>
          <t>H-02</t>
        </is>
      </c>
      <c r="B22" s="57" t="inlineStr">
        <is>
          <t>Dimensiones del inventario de cárcavas</t>
        </is>
      </c>
      <c r="C22" s="57" t="inlineStr">
        <is>
          <t>Se registran 3 rasgos erosivos, pero longitud, profundidad y ancho no fueron medidos instrumentalmente</t>
        </is>
      </c>
      <c r="D22" s="57" t="inlineStr">
        <is>
          <t>NO SUSTANTIVA</t>
        </is>
      </c>
      <c r="E22" s="57" t="inlineStr">
        <is>
          <t>El conteo registrado no debe usarse para calcular densidad de cárcavas por hectárea. Pendiente de levantamiento con GPS submétrico. (Verificación heredada de la ficha de resumen V6.)</t>
        </is>
      </c>
    </row>
    <row r="23">
      <c r="A23" s="56" t="inlineStr">
        <is>
          <t>H-03</t>
        </is>
      </c>
      <c r="B23" s="56" t="inlineStr">
        <is>
          <t>Representatividad del levantamiento</t>
        </is>
      </c>
      <c r="C23" s="56" t="inlineStr">
        <is>
          <t>Ninguna de las estaciones fotográficas georreferenciadas se localiza dentro del polígono del bloque</t>
        </is>
      </c>
      <c r="D23" s="56" t="inlineStr">
        <is>
          <t>SUSTANTIVA</t>
        </is>
      </c>
      <c r="E23" s="56" t="inlineStr">
        <is>
          <t>La verificación documenta el perímetro y la vista panorámica del bloque, no su interior. Los parámetros que exigen recorrido interno se consignan «Por determinar». (Verificación heredada de la ficha de resumen V6.)</t>
        </is>
      </c>
    </row>
    <row r="24">
      <c r="A24" s="57" t="inlineStr">
        <is>
          <t>H-04</t>
        </is>
      </c>
      <c r="B24" s="57" t="inlineStr">
        <is>
          <t>Centro poblado asociado</t>
        </is>
      </c>
      <c r="C24" s="57" t="inlineStr">
        <is>
          <t>La ficha DT declara «Angurgo (referencia); C.P. por confirmar»; el cruce INEI-Bloques V5 identifica 1 centro(s) poblado(s) en el bloque: PAMPA DE RAMADA</t>
        </is>
      </c>
      <c r="D24" s="57" t="inlineStr">
        <is>
          <t>NO SUSTANTIVA</t>
        </is>
      </c>
      <c r="E24" s="57" t="inlineStr">
        <is>
          <t>Se conserva el registro de campo como referencia y se adopta el listado INEI para el diagnóstico social y el cálculo de población beneficiaria. (Verificación heredada de la ficha de resumen V6.)</t>
        </is>
      </c>
    </row>
    <row r="25">
      <c r="A25" s="56" t="inlineStr">
        <is>
          <t>H-05</t>
        </is>
      </c>
      <c r="B25" s="56" t="inlineStr">
        <is>
          <t>Plan de Ingreso</t>
        </is>
      </c>
      <c r="C25" s="56" t="inlineStr">
        <is>
          <t>Altitud = 0 msnm (captura por defecto del aplicativo)</t>
        </is>
      </c>
      <c r="D25" s="56" t="inlineStr">
        <is>
          <t>CORREGIDO</t>
        </is>
      </c>
      <c r="E25" s="56" t="inlineStr">
        <is>
          <t>Se reemplaza por el rango del perfil 767-1481 msnm (Verificación heredada de la ficha de resumen V6.)</t>
        </is>
      </c>
    </row>
    <row r="26">
      <c r="A26" s="57" t="inlineStr">
        <is>
          <t>H-06</t>
        </is>
      </c>
      <c r="B26" s="57" t="inlineStr">
        <is>
          <t>F-DT-01</t>
        </is>
      </c>
      <c r="C26" s="57" t="inlineStr">
        <is>
          <t>Altitud GPS no registrada por la aplicación</t>
        </is>
      </c>
      <c r="D26" s="57" t="inlineStr">
        <is>
          <t>NO SUSTANTIVA</t>
        </is>
      </c>
      <c r="E26" s="57" t="inlineStr">
        <is>
          <t>Por levantar (Verificación heredada de la ficha de resumen V6.)</t>
        </is>
      </c>
    </row>
    <row r="27">
      <c r="A27" s="56" t="inlineStr">
        <is>
          <t>H-07</t>
        </is>
      </c>
      <c r="B27" s="56" t="inlineStr">
        <is>
          <t>F-DT-02</t>
        </is>
      </c>
      <c r="C27" s="56" t="inlineStr">
        <is>
          <t>Las 3 cárcavas inventariadas se ubican a más de 1.5 km al SO del punto de muestreo y a ≈2 km del centroide</t>
        </is>
      </c>
      <c r="D27" s="56" t="inlineStr">
        <is>
          <t>SUSTANTIVA</t>
        </is>
      </c>
      <c r="E27" s="56" t="inlineStr">
        <is>
          <t>Verificar su pertenencia al polígono (Verificación heredada de la ficha de resumen V6.)</t>
        </is>
      </c>
    </row>
    <row r="28">
      <c r="A28" s="57" t="inlineStr">
        <is>
          <t>H-08</t>
        </is>
      </c>
      <c r="B28" s="57" t="inlineStr">
        <is>
          <t>F-DT-03</t>
        </is>
      </c>
      <c r="C28" s="57" t="inlineStr">
        <is>
          <t>EL 55.9% DEL BLOQUE (144.68 ha) ES ZONA AGRÍCOLA; solo 114.16 ha corresponden a Bes-cm</t>
        </is>
      </c>
      <c r="D28" s="57" t="inlineStr">
        <is>
          <t>SUSTANTIVA</t>
        </is>
      </c>
      <c r="E28" s="57" t="inlineStr">
        <is>
          <t>El indicador de brecha y el área efectiva deben calcularse sobre las 114.16 ha; tamizaje predial obligatorio (Verificación heredada de la ficha de resumen V6.)</t>
        </is>
      </c>
    </row>
    <row r="29">
      <c r="A29" s="56" t="inlineStr">
        <is>
          <t>H-09</t>
        </is>
      </c>
      <c r="B29" s="56" t="inlineStr">
        <is>
          <t>F-DT-04</t>
        </is>
      </c>
      <c r="C29" s="56" t="inlineStr">
        <is>
          <t>Densidad de cárcavas, carga ganadera, frecuencia de quemas y % pendiente &gt;50% por determinar</t>
        </is>
      </c>
      <c r="D29" s="56" t="inlineStr">
        <is>
          <t>NO SUSTANTIVA</t>
        </is>
      </c>
      <c r="E29" s="56" t="inlineStr">
        <is>
          <t>Cuantificación pendiente (Verificación heredada de la ficha de resumen V6.)</t>
        </is>
      </c>
    </row>
    <row r="31">
      <c r="A31" s="58" t="inlineStr">
        <is>
          <t>RESUMEN</t>
        </is>
      </c>
      <c r="B31" s="59" t="inlineStr">
        <is>
          <t>21 verificaciones</t>
        </is>
      </c>
      <c r="C31" s="59" t="inlineStr">
        <is>
          <t>SUSTANTIVA: 4 · NO SUSTANTIVA: 7 · CORREGIDO: 1 · CONFORME: 9</t>
        </is>
      </c>
    </row>
    <row r="33">
      <c r="A33" s="60"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2:E2"/>
    <mergeCell ref="A33:E33"/>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7"/>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INTEGRACIÓN DE LA FICHA DE CAMPO — BLOQUE M17B7</t>
        </is>
      </c>
    </row>
    <row r="7">
      <c r="A7" s="54" t="inlineStr">
        <is>
          <t>A. HECHOS ACTUALIZADOS POR LA VERIFICACIÓN DE CAMPO</t>
        </is>
      </c>
    </row>
    <row r="8">
      <c r="A8" s="55" t="inlineStr">
        <is>
          <t>Sección</t>
        </is>
      </c>
      <c r="B8" s="55" t="inlineStr">
        <is>
          <t>Hecho</t>
        </is>
      </c>
      <c r="C8" s="55" t="inlineStr">
        <is>
          <t>Valor en la ficha V6</t>
        </is>
      </c>
      <c r="D8" s="55" t="inlineStr">
        <is>
          <t>Valor de campo vigente</t>
        </is>
      </c>
      <c r="E8" s="55" t="inlineStr">
        <is>
          <t>Fuente que manda</t>
        </is>
      </c>
    </row>
    <row r="9">
      <c r="A9" s="56" t="inlineStr">
        <is>
          <t>—</t>
        </is>
      </c>
      <c r="B9" s="56" t="inlineStr">
        <is>
          <t>Sin cambios: la ficha de campo confirma el libro V6</t>
        </is>
      </c>
      <c r="C9" s="56" t="inlineStr"/>
      <c r="D9" s="56" t="inlineStr"/>
      <c r="E9" s="56" t="inlineStr"/>
    </row>
    <row r="11">
      <c r="A11" s="54" t="inlineStr">
        <is>
          <t>B. HECHOS APORTADOS ÚNICAMENTE POR LA FICHA DE CAMPO</t>
        </is>
      </c>
    </row>
    <row r="12">
      <c r="A12" s="55" t="inlineStr">
        <is>
          <t>Sección</t>
        </is>
      </c>
      <c r="B12" s="55" t="inlineStr">
        <is>
          <t>Hecho</t>
        </is>
      </c>
      <c r="C12" s="55" t="inlineStr">
        <is>
          <t>Valor</t>
        </is>
      </c>
      <c r="D12" s="55" t="inlineStr">
        <is>
          <t>Unidad</t>
        </is>
      </c>
    </row>
    <row r="13">
      <c r="A13" s="56" t="inlineStr">
        <is>
          <t>1. Identificación y localización</t>
        </is>
      </c>
      <c r="B13" s="56" t="inlineStr">
        <is>
          <t>UTM ESTE del punto de muestreo (m)</t>
        </is>
      </c>
      <c r="C13" s="56" t="inlineStr">
        <is>
          <t>608397</t>
        </is>
      </c>
      <c r="D13" s="56" t="inlineStr">
        <is>
          <t>m</t>
        </is>
      </c>
    </row>
    <row r="14">
      <c r="A14" s="57" t="inlineStr">
        <is>
          <t>1. Identificación y localización</t>
        </is>
      </c>
      <c r="B14" s="57" t="inlineStr">
        <is>
          <t>UTM NORTE del punto de muestreo (m)</t>
        </is>
      </c>
      <c r="C14" s="57" t="inlineStr">
        <is>
          <t>9448588</t>
        </is>
      </c>
      <c r="D14" s="57" t="inlineStr">
        <is>
          <t>m</t>
        </is>
      </c>
    </row>
    <row r="15">
      <c r="A15" s="56" t="inlineStr">
        <is>
          <t>2. Parámetros físicos del terreno</t>
        </is>
      </c>
      <c r="B15" s="56" t="inlineStr">
        <is>
          <t>Piso altitudinal del punto de muestreo</t>
        </is>
      </c>
      <c r="C15" s="56" t="inlineStr">
        <is>
          <t>1000-1500 m (Quechua baja)</t>
        </is>
      </c>
      <c r="D15" s="56" t="inlineStr"/>
    </row>
    <row r="16">
      <c r="A16" s="57" t="inlineStr">
        <is>
          <t>2. Parámetros físicos del terreno</t>
        </is>
      </c>
      <c r="B16" s="57" t="inlineStr">
        <is>
          <t>Paisaje dominante descrito en campo</t>
        </is>
      </c>
      <c r="C16" s="57" t="inlineStr">
        <is>
          <t>Cañón/valle del río encajonado con laderas de colina-montaña de fuerte pendiente; mosaico de Bosque Estacionalmente Seco de Colina y Montaña (Bes-cm) con dosel de epífitas (bromeliáceas y salvajina) y sectores agrícolas/pastoriles; abundantes afloramientos y bolones graníticos; trocha afirmada que atraviesa el bloque a lo largo del río.</t>
        </is>
      </c>
      <c r="D16" s="57" t="inlineStr"/>
    </row>
    <row r="17">
      <c r="A17" s="56" t="inlineStr">
        <is>
          <t>2. Parámetros físicos del terreno</t>
        </is>
      </c>
      <c r="B17" s="56" t="inlineStr">
        <is>
          <t>Reptación de suelo</t>
        </is>
      </c>
      <c r="C17" s="56" t="inlineStr">
        <is>
          <t>No</t>
        </is>
      </c>
      <c r="D17" s="56" t="inlineStr"/>
    </row>
    <row r="18">
      <c r="A18" s="57" t="inlineStr">
        <is>
          <t>2. Parámetros físicos del terreno</t>
        </is>
      </c>
      <c r="B18" s="57" t="inlineStr">
        <is>
          <t>Deslizamientos antiguos</t>
        </is>
      </c>
      <c r="C18" s="57" t="inlineStr">
        <is>
          <t>No</t>
        </is>
      </c>
      <c r="D18" s="57" t="inlineStr"/>
    </row>
    <row r="19">
      <c r="A19" s="56" t="inlineStr">
        <is>
          <t>4. Suelos y erosión (F-DT-02)</t>
        </is>
      </c>
      <c r="B19" s="56" t="inlineStr">
        <is>
          <t>Nivel de erosión - síntesis de campo</t>
        </is>
      </c>
      <c r="C19" s="56" t="inlineStr">
        <is>
          <t>Moderada (surcos)</t>
        </is>
      </c>
      <c r="D19" s="56" t="inlineStr"/>
    </row>
    <row r="20">
      <c r="A20" s="57" t="inlineStr">
        <is>
          <t>4. Suelos y erosión (F-DT-02)</t>
        </is>
      </c>
      <c r="B20" s="57" t="inlineStr">
        <is>
          <t>Sellamiento / costra superficial</t>
        </is>
      </c>
      <c r="C20" s="57" t="inlineStr">
        <is>
          <t>No</t>
        </is>
      </c>
      <c r="D20" s="57" t="inlineStr"/>
    </row>
    <row r="21">
      <c r="A21" s="56" t="inlineStr">
        <is>
          <t>4. Suelos y erosión (F-DT-02)</t>
        </is>
      </c>
      <c r="B21" s="56" t="inlineStr">
        <is>
          <t>Compactación por pisoteo</t>
        </is>
      </c>
      <c r="C21" s="56" t="inlineStr">
        <is>
          <t>Sí</t>
        </is>
      </c>
      <c r="D21" s="56" t="inlineStr"/>
    </row>
    <row r="22">
      <c r="A22" s="57" t="inlineStr">
        <is>
          <t>4. Suelos y erosión (F-DT-02)</t>
        </is>
      </c>
      <c r="B22" s="57" t="inlineStr">
        <is>
          <t>Raíces expuestas</t>
        </is>
      </c>
      <c r="C22" s="57" t="inlineStr">
        <is>
          <t>Sí</t>
        </is>
      </c>
      <c r="D22" s="57" t="inlineStr"/>
    </row>
    <row r="23">
      <c r="A23" s="56" t="inlineStr">
        <is>
          <t>4. Suelos y erosión (F-DT-02)</t>
        </is>
      </c>
      <c r="B23" s="56" t="inlineStr">
        <is>
          <t>Erosión laminar (% del bloque)</t>
        </is>
      </c>
      <c r="C23" s="56" t="inlineStr">
        <is>
          <t>≈ 10 % (estimación ocular)</t>
        </is>
      </c>
      <c r="D23" s="56" t="inlineStr">
        <is>
          <t>%</t>
        </is>
      </c>
    </row>
    <row r="24">
      <c r="A24" s="57" t="inlineStr">
        <is>
          <t>4. Suelos y erosión (F-DT-02)</t>
        </is>
      </c>
      <c r="B24" s="57" t="inlineStr">
        <is>
          <t>Patrón de cárcavas</t>
        </is>
      </c>
      <c r="C24" s="57" t="inlineStr">
        <is>
          <t>Aislado</t>
        </is>
      </c>
      <c r="D24" s="57" t="inlineStr"/>
    </row>
    <row r="25">
      <c r="A25" s="56" t="inlineStr">
        <is>
          <t>4. Suelos y erosión (F-DT-02)</t>
        </is>
      </c>
      <c r="B25" s="56" t="inlineStr">
        <is>
          <t>Socavamiento de cauce</t>
        </is>
      </c>
      <c r="C25" s="56" t="inlineStr">
        <is>
          <t>No</t>
        </is>
      </c>
      <c r="D25" s="56" t="inlineStr"/>
    </row>
    <row r="26">
      <c r="A26" s="57" t="inlineStr">
        <is>
          <t>5. Ecosistema, cobertura y flora (F-DT-03)</t>
        </is>
      </c>
      <c r="B26" s="57" t="inlineStr">
        <is>
          <t>Presencia de epífitas</t>
        </is>
      </c>
      <c r="C26" s="57" t="inlineStr">
        <is>
          <t>Sí</t>
        </is>
      </c>
      <c r="D26" s="57" t="inlineStr"/>
    </row>
    <row r="27">
      <c r="A27" s="56" t="inlineStr">
        <is>
          <t>5. Ecosistema, cobertura y flora (F-DT-03)</t>
        </is>
      </c>
      <c r="B27" s="56" t="inlineStr">
        <is>
          <t>Fenología dominante</t>
        </is>
      </c>
      <c r="C27" s="56" t="inlineStr">
        <is>
          <t>Vegetativo</t>
        </is>
      </c>
      <c r="D27" s="56" t="inlineStr"/>
    </row>
    <row r="28">
      <c r="A28" s="57" t="inlineStr">
        <is>
          <t>5. Ecosistema, cobertura y flora (F-DT-03)</t>
        </is>
      </c>
      <c r="B28" s="57" t="inlineStr">
        <is>
          <t>Dimensiones de la parcela (m)</t>
        </is>
      </c>
      <c r="C28" s="57" t="inlineStr">
        <is>
          <t>No aplica (reconocimiento)</t>
        </is>
      </c>
      <c r="D28" s="57" t="inlineStr"/>
    </row>
    <row r="29">
      <c r="A29" s="56" t="inlineStr">
        <is>
          <t>5. Ecosistema, cobertura y flora (F-DT-03)</t>
        </is>
      </c>
      <c r="B29" s="56" t="inlineStr">
        <is>
          <t>Especies clave georreferenciadas</t>
        </is>
      </c>
      <c r="C29" s="56" t="inlineStr">
        <is>
          <t>6</t>
        </is>
      </c>
      <c r="D29" s="56" t="inlineStr"/>
    </row>
    <row r="30">
      <c r="A30" s="57" t="inlineStr">
        <is>
          <t>6. Degradación, causas y urgencia (F-DT-04)</t>
        </is>
      </c>
      <c r="B30" s="57" t="inlineStr">
        <is>
          <t>Causas directas de la degradación</t>
        </is>
      </c>
      <c r="C30" s="57" t="inlineStr">
        <is>
          <t>Cambio de uso a agricultura/pastoreo en laderas de fuerte pendiente; tala selectiva (leña/madera) con tocones; presión vial por la trocha afirmada (taludes de corte inestables y erosionados); sobrepastoreo; presencia puntual de Agave (exótica).</t>
        </is>
      </c>
      <c r="D30" s="57" t="inlineStr"/>
    </row>
    <row r="31">
      <c r="A31" s="56" t="inlineStr">
        <is>
          <t>6. Degradación, causas y urgencia (F-DT-04)</t>
        </is>
      </c>
      <c r="B31" s="56" t="inlineStr">
        <is>
          <t>N.° de causas activas en la matriz F-DT-04</t>
        </is>
      </c>
      <c r="C31" s="56" t="inlineStr">
        <is>
          <t>9</t>
        </is>
      </c>
      <c r="D31" s="56" t="inlineStr"/>
    </row>
    <row r="32">
      <c r="A32" s="57" t="inlineStr">
        <is>
          <t>7. Hidrología, acceso y logística (F-DT-05)</t>
        </is>
      </c>
      <c r="B32" s="57" t="inlineStr">
        <is>
          <t>Escorrentía concentrada</t>
        </is>
      </c>
      <c r="C32" s="57" t="inlineStr">
        <is>
          <t>Sí</t>
        </is>
      </c>
      <c r="D32" s="57" t="inlineStr"/>
    </row>
    <row r="33">
      <c r="A33" s="56" t="inlineStr">
        <is>
          <t>7. Hidrología, acceso y logística (F-DT-05)</t>
        </is>
      </c>
      <c r="B33" s="56" t="inlineStr">
        <is>
          <t>Fuentes de agua inventariadas</t>
        </is>
      </c>
      <c r="C33" s="56" t="inlineStr">
        <is>
          <t>2</t>
        </is>
      </c>
      <c r="D33" s="56" t="inlineStr"/>
    </row>
    <row r="34">
      <c r="A34" s="57" t="inlineStr">
        <is>
          <t>7. Hidrología, acceso y logística (F-DT-05)</t>
        </is>
      </c>
      <c r="B34" s="57" t="inlineStr">
        <is>
          <t>Vía principal de acceso</t>
        </is>
      </c>
      <c r="C34" s="57" t="inlineStr">
        <is>
          <t>Vecinal afirmada (desde Frías/Angurgo)</t>
        </is>
      </c>
      <c r="D34" s="57" t="inlineStr"/>
    </row>
    <row r="35">
      <c r="A35" s="56" t="inlineStr">
        <is>
          <t>7. Hidrología, acceso y logística (F-DT-05)</t>
        </is>
      </c>
      <c r="B35" s="56" t="inlineStr">
        <is>
          <t>Tipo de vía del tramo final</t>
        </is>
      </c>
      <c r="C35" s="56" t="inlineStr">
        <is>
          <t>Vecinal afirmada</t>
        </is>
      </c>
      <c r="D35" s="56" t="inlineStr"/>
    </row>
    <row r="36">
      <c r="A36" s="57" t="inlineStr">
        <is>
          <t>7. Hidrología, acceso y logística (F-DT-05)</t>
        </is>
      </c>
      <c r="B36" s="57" t="inlineStr">
        <is>
          <t>Transitabilidad en época seca</t>
        </is>
      </c>
      <c r="C36" s="57" t="inlineStr">
        <is>
          <t>Alto</t>
        </is>
      </c>
      <c r="D36" s="57" t="inlineStr"/>
    </row>
    <row r="37">
      <c r="A37" s="56" t="inlineStr">
        <is>
          <t>7. Hidrología, acceso y logística (F-DT-05)</t>
        </is>
      </c>
      <c r="B37" s="56" t="inlineStr">
        <is>
          <t>Transitabilidad en época lluviosa</t>
        </is>
      </c>
      <c r="C37" s="56" t="inlineStr">
        <is>
          <t>Medio</t>
        </is>
      </c>
      <c r="D37" s="56" t="inlineStr"/>
    </row>
    <row r="38">
      <c r="A38" s="57" t="inlineStr">
        <is>
          <t>7. Hidrología, acceso y logística (F-DT-05)</t>
        </is>
      </c>
      <c r="B38" s="57" t="inlineStr">
        <is>
          <t>Tiempo a la capital distrital (min)</t>
        </is>
      </c>
      <c r="C38" s="57" t="inlineStr">
        <is>
          <t>40</t>
        </is>
      </c>
      <c r="D38" s="57" t="inlineStr">
        <is>
          <t>min</t>
        </is>
      </c>
    </row>
    <row r="39">
      <c r="A39" s="56" t="inlineStr">
        <is>
          <t>7. Hidrología, acceso y logística (F-DT-05)</t>
        </is>
      </c>
      <c r="B39" s="56" t="inlineStr">
        <is>
          <t>Señal celular</t>
        </is>
      </c>
      <c r="C39" s="56" t="inlineStr">
        <is>
          <t>Parcial</t>
        </is>
      </c>
      <c r="D39" s="56" t="inlineStr"/>
    </row>
    <row r="40">
      <c r="A40" s="57" t="inlineStr">
        <is>
          <t>7. Hidrología, acceso y logística (F-DT-05)</t>
        </is>
      </c>
      <c r="B40" s="57" t="inlineStr">
        <is>
          <t>Operador con cobertura</t>
        </is>
      </c>
      <c r="C40" s="57" t="inlineStr">
        <is>
          <t>Bitel</t>
        </is>
      </c>
      <c r="D40" s="57" t="inlineStr"/>
    </row>
    <row r="41">
      <c r="A41" s="56" t="inlineStr">
        <is>
          <t>7. Hidrología, acceso y logística (F-DT-05)</t>
        </is>
      </c>
      <c r="B41" s="56" t="inlineStr">
        <is>
          <t>Alojamiento disponible en la zona</t>
        </is>
      </c>
      <c r="C41" s="56" t="inlineStr">
        <is>
          <t>No</t>
        </is>
      </c>
      <c r="D41" s="56" t="inlineStr"/>
    </row>
    <row r="42">
      <c r="A42" s="57" t="inlineStr">
        <is>
          <t>7. Hidrología, acceso y logística (F-DT-05)</t>
        </is>
      </c>
      <c r="B42" s="57" t="inlineStr">
        <is>
          <t>Requiere coordinación con ronda / comunidad</t>
        </is>
      </c>
      <c r="C42" s="57" t="inlineStr">
        <is>
          <t>No</t>
        </is>
      </c>
      <c r="D42" s="57" t="inlineStr"/>
    </row>
    <row r="43">
      <c r="A43" s="56" t="inlineStr">
        <is>
          <t>7. Hidrología, acceso y logística (F-DT-05)</t>
        </is>
      </c>
      <c r="B43" s="56" t="inlineStr">
        <is>
          <t>Contacto local de coordinación</t>
        </is>
      </c>
      <c r="C43" s="56" t="inlineStr">
        <is>
          <t>Acceso por vía pública sin restricción observada; autorización formal de Ronda por confirmar (Angurgo/C.P.)</t>
        </is>
      </c>
      <c r="D43" s="56" t="inlineStr"/>
    </row>
    <row r="45">
      <c r="A45" s="54" t="inlineStr">
        <is>
          <t>C. PROCEDENCIA DE LOS HECHOS DECLARADOS</t>
        </is>
      </c>
    </row>
    <row r="46">
      <c r="A46" s="55" t="inlineStr">
        <is>
          <t>Fuente</t>
        </is>
      </c>
      <c r="B46" s="55" t="inlineStr">
        <is>
          <t>Hechos</t>
        </is>
      </c>
      <c r="C46" s="55" t="inlineStr">
        <is>
          <t>Alcance de la fuente</t>
        </is>
      </c>
    </row>
    <row r="47">
      <c r="A47" s="56" t="inlineStr">
        <is>
          <t>Dato de campo</t>
        </is>
      </c>
      <c r="B47" s="56" t="n">
        <v>60</v>
      </c>
      <c r="C47" s="56" t="inlineStr">
        <is>
          <t>Verificación en campo. Fichas F-DT-01 a F-DT-05 de la Plantilla DT Campo Check Validada V5, suscritas por el evaluador.</t>
        </is>
      </c>
    </row>
    <row r="48">
      <c r="A48" s="57" t="inlineStr">
        <is>
          <t>Gabinete (GIS / teledetección)</t>
        </is>
      </c>
      <c r="B48" s="57" t="n">
        <v>22</v>
      </c>
      <c r="C48" s="57" t="inlineStr">
        <is>
          <t>Gabinete. Estadística zonal sobre el MDE y compuestos Sentinel-2 (NDVI mediana 2025, MSAVI 2024 por clase DN).</t>
        </is>
      </c>
    </row>
    <row r="49">
      <c r="A49" s="56" t="inlineStr">
        <is>
          <t>Fuente oficial</t>
        </is>
      </c>
      <c r="B49" s="56" t="n">
        <v>14</v>
      </c>
      <c r="C49" s="56" t="inlineStr">
        <is>
          <t>Fuente oficial. Catálogo maestro Bloques V5/V6, división política INEI y codificación de microcuencas de la ANA.</t>
        </is>
      </c>
    </row>
    <row r="51">
      <c r="A51" s="54" t="inlineStr">
        <is>
          <t>D. ESTADO DEL CRUCE ENTRE FUENTES</t>
        </is>
      </c>
    </row>
    <row r="52">
      <c r="A52" s="55" t="inlineStr">
        <is>
          <t>Estado</t>
        </is>
      </c>
      <c r="B52" s="55" t="inlineStr">
        <is>
          <t>Hechos</t>
        </is>
      </c>
      <c r="C52" s="55" t="inlineStr">
        <is>
          <t>Significado</t>
        </is>
      </c>
    </row>
    <row r="53">
      <c r="A53" s="56" t="inlineStr">
        <is>
          <t>CONFORME</t>
        </is>
      </c>
      <c r="B53" s="56" t="n">
        <v>96</v>
      </c>
      <c r="C53" s="56" t="inlineStr">
        <is>
          <t>Las dos fuentes declaran lo mismo, o solo la fuente que manda sobre el hecho lo declara.</t>
        </is>
      </c>
    </row>
    <row r="54">
      <c r="A54" s="57" t="inlineStr">
        <is>
          <t>COMPLEMENTADO</t>
        </is>
      </c>
      <c r="B54" s="57" t="n">
        <v>0</v>
      </c>
      <c r="C54" s="57" t="inlineStr">
        <is>
          <t>Solo una de las fuentes lo declara y se adopta ese valor.</t>
        </is>
      </c>
    </row>
    <row r="55">
      <c r="A55" s="56" t="inlineStr">
        <is>
          <t>ACTUALIZADO</t>
        </is>
      </c>
      <c r="B55" s="56" t="n">
        <v>0</v>
      </c>
      <c r="C55" s="56" t="inlineStr">
        <is>
          <t>La verificación de campo vigente corrige lo que traía el libro de resumen.</t>
        </is>
      </c>
    </row>
    <row r="56">
      <c r="A56" s="57" t="inlineStr">
        <is>
          <t>DISCREPANTE</t>
        </is>
      </c>
      <c r="B56" s="57" t="n">
        <v>0</v>
      </c>
      <c r="C56" s="57" t="inlineStr">
        <is>
          <t>Las fuentes se contradicen; prevalece la que manda sobre el hecho y la otra queda declarada.</t>
        </is>
      </c>
    </row>
    <row r="57">
      <c r="A57" s="56" t="inlineStr">
        <is>
          <t>PENDIENTE</t>
        </is>
      </c>
      <c r="B57" s="56" t="n">
        <v>18</v>
      </c>
      <c r="C57" s="56"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81"/>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REGISTRO DE CAMPO F-DT-01 A F-DT-05 — BLOQUE M17B7</t>
        </is>
      </c>
    </row>
    <row r="7">
      <c r="A7" s="54" t="inlineStr">
        <is>
          <t>F-DT-02 · INVENTARIO DE CÁRCAVAS</t>
        </is>
      </c>
    </row>
    <row r="8">
      <c r="A8" s="55" t="inlineStr">
        <is>
          <t>Código</t>
        </is>
      </c>
      <c r="B8" s="55" t="inlineStr">
        <is>
          <t>Tipo</t>
        </is>
      </c>
      <c r="C8" s="55" t="inlineStr">
        <is>
          <t>UTM E ini.</t>
        </is>
      </c>
      <c r="D8" s="55" t="inlineStr">
        <is>
          <t>UTM N ini.</t>
        </is>
      </c>
      <c r="E8" s="55" t="inlineStr">
        <is>
          <t>Longitud (m)</t>
        </is>
      </c>
      <c r="F8" s="55" t="inlineStr">
        <is>
          <t>Prof. (m)</t>
        </is>
      </c>
      <c r="G8" s="55" t="inlineStr">
        <is>
          <t>Ancho (m)</t>
        </is>
      </c>
      <c r="H8" s="55" t="inlineStr">
        <is>
          <t>Estado</t>
        </is>
      </c>
      <c r="I8" s="55" t="inlineStr">
        <is>
          <t>Causa</t>
        </is>
      </c>
    </row>
    <row r="9">
      <c r="A9" s="56" t="inlineStr">
        <is>
          <t>C-01</t>
        </is>
      </c>
      <c r="B9" s="56" t="inlineStr">
        <is>
          <t>Cárcava somera (0.5-2 m)</t>
        </is>
      </c>
      <c r="C9" s="61" t="n">
        <v>606809</v>
      </c>
      <c r="D9" s="61" t="n">
        <v>9446563</v>
      </c>
      <c r="E9" s="56" t="n"/>
      <c r="F9" s="56" t="n"/>
      <c r="G9" s="56" t="n"/>
      <c r="H9" s="56" t="inlineStr">
        <is>
          <t>Activa</t>
        </is>
      </c>
      <c r="I9" s="56" t="inlineStr">
        <is>
          <t>Caminos / huellas de ganado</t>
        </is>
      </c>
    </row>
    <row r="10">
      <c r="A10" s="57" t="inlineStr">
        <is>
          <t>C-02</t>
        </is>
      </c>
      <c r="B10" s="57" t="inlineStr">
        <is>
          <t>Surco (&lt;30 cm)</t>
        </is>
      </c>
      <c r="C10" s="62" t="n">
        <v>606781</v>
      </c>
      <c r="D10" s="62" t="n">
        <v>9446904</v>
      </c>
      <c r="E10" s="57" t="n"/>
      <c r="F10" s="57" t="n"/>
      <c r="G10" s="57" t="n"/>
      <c r="H10" s="57" t="inlineStr">
        <is>
          <t>Activa</t>
        </is>
      </c>
      <c r="I10" s="57" t="inlineStr">
        <is>
          <t>Tala / pérdida de cobertura</t>
        </is>
      </c>
    </row>
    <row r="11">
      <c r="A11" s="56" t="inlineStr">
        <is>
          <t>C-03</t>
        </is>
      </c>
      <c r="B11" s="56" t="inlineStr">
        <is>
          <t>Surco (&lt;30 cm)</t>
        </is>
      </c>
      <c r="C11" s="61" t="n">
        <v>606995</v>
      </c>
      <c r="D11" s="61" t="n">
        <v>9447237</v>
      </c>
      <c r="E11" s="56" t="n"/>
      <c r="F11" s="56" t="n"/>
      <c r="G11" s="56" t="n"/>
      <c r="H11" s="56" t="inlineStr">
        <is>
          <t>Semi-activa</t>
        </is>
      </c>
      <c r="I11" s="56" t="inlineStr">
        <is>
          <t>Tala / pérdida de cobertura</t>
        </is>
      </c>
    </row>
    <row r="13">
      <c r="A13" s="54" t="inlineStr">
        <is>
          <t>F-DT-03 · ELENCO FLORÍSTICO</t>
        </is>
      </c>
    </row>
    <row r="14">
      <c r="A14" s="55" t="inlineStr">
        <is>
          <t>N.o</t>
        </is>
      </c>
      <c r="B14" s="55" t="inlineStr">
        <is>
          <t>Nombre común</t>
        </is>
      </c>
      <c r="C14" s="55" t="inlineStr">
        <is>
          <t>Nombre científico</t>
        </is>
      </c>
      <c r="D14" s="55" t="inlineStr">
        <is>
          <t>Familia</t>
        </is>
      </c>
      <c r="E14" s="55" t="inlineStr">
        <is>
          <t>Estrato</t>
        </is>
      </c>
      <c r="F14" s="55" t="inlineStr">
        <is>
          <t>Origen</t>
        </is>
      </c>
      <c r="G14" s="55" t="inlineStr">
        <is>
          <t>Abundancia</t>
        </is>
      </c>
      <c r="H14" s="55" t="inlineStr">
        <is>
          <t>DAP (cm)</t>
        </is>
      </c>
      <c r="I14" s="55" t="inlineStr">
        <is>
          <t>Altura (m)</t>
        </is>
      </c>
    </row>
    <row r="15">
      <c r="A15" s="56" t="inlineStr">
        <is>
          <t>1</t>
        </is>
      </c>
      <c r="B15" s="56" t="inlineStr">
        <is>
          <t>Ceibo</t>
        </is>
      </c>
      <c r="C15" s="56" t="inlineStr">
        <is>
          <t>Ceiba trichistandra</t>
        </is>
      </c>
      <c r="D15" s="56" t="inlineStr">
        <is>
          <t>Malvaceae</t>
        </is>
      </c>
      <c r="E15" s="56" t="inlineStr">
        <is>
          <t>Arbóreo superior (&gt;15 m)</t>
        </is>
      </c>
      <c r="F15" s="56" t="inlineStr">
        <is>
          <t>Nativa</t>
        </is>
      </c>
      <c r="G15" s="56" t="inlineStr">
        <is>
          <t>Frecuente (5-20%)</t>
        </is>
      </c>
      <c r="H15" s="56" t="n"/>
      <c r="I15" s="56" t="n"/>
    </row>
    <row r="16">
      <c r="A16" s="57" t="inlineStr">
        <is>
          <t>2</t>
        </is>
      </c>
      <c r="B16" s="57" t="inlineStr">
        <is>
          <t>Pasallo</t>
        </is>
      </c>
      <c r="C16" s="57" t="inlineStr">
        <is>
          <t>Eriotheca ruizii</t>
        </is>
      </c>
      <c r="D16" s="57" t="inlineStr">
        <is>
          <t>Malvaceae</t>
        </is>
      </c>
      <c r="E16" s="57" t="inlineStr">
        <is>
          <t>Arbóreo medio (8-15 m)</t>
        </is>
      </c>
      <c r="F16" s="57" t="inlineStr">
        <is>
          <t>Nativa</t>
        </is>
      </c>
      <c r="G16" s="57" t="inlineStr">
        <is>
          <t>Frecuente (5-20%)</t>
        </is>
      </c>
      <c r="H16" s="57" t="n"/>
      <c r="I16" s="57" t="n"/>
    </row>
    <row r="17">
      <c r="A17" s="56" t="inlineStr">
        <is>
          <t>3</t>
        </is>
      </c>
      <c r="B17" s="56" t="inlineStr">
        <is>
          <t>Hualtaco</t>
        </is>
      </c>
      <c r="C17" s="56" t="inlineStr">
        <is>
          <t>Loxopterygium huasango</t>
        </is>
      </c>
      <c r="D17" s="56" t="inlineStr">
        <is>
          <t>Anacardiaceae</t>
        </is>
      </c>
      <c r="E17" s="56" t="inlineStr">
        <is>
          <t>Arbóreo medio (8-15 m)</t>
        </is>
      </c>
      <c r="F17" s="56" t="inlineStr">
        <is>
          <t>Nativa</t>
        </is>
      </c>
      <c r="G17" s="56" t="inlineStr">
        <is>
          <t>Ocasional (1-5%)</t>
        </is>
      </c>
      <c r="H17" s="56" t="n"/>
      <c r="I17" s="56" t="n"/>
    </row>
    <row r="18">
      <c r="A18" s="57" t="inlineStr">
        <is>
          <t>4</t>
        </is>
      </c>
      <c r="B18" s="57" t="inlineStr">
        <is>
          <t>Palo santo</t>
        </is>
      </c>
      <c r="C18" s="57" t="inlineStr">
        <is>
          <t>Bursera graveolens</t>
        </is>
      </c>
      <c r="D18" s="57" t="inlineStr">
        <is>
          <t>Burseraceae</t>
        </is>
      </c>
      <c r="E18" s="57" t="inlineStr">
        <is>
          <t>Arbóreo bajo (4-8 m)</t>
        </is>
      </c>
      <c r="F18" s="57" t="inlineStr">
        <is>
          <t>Nativa</t>
        </is>
      </c>
      <c r="G18" s="57" t="inlineStr">
        <is>
          <t>Ocasional (1-5%)</t>
        </is>
      </c>
      <c r="H18" s="57" t="n"/>
      <c r="I18" s="57" t="n"/>
    </row>
    <row r="19">
      <c r="A19" s="56" t="inlineStr">
        <is>
          <t>5</t>
        </is>
      </c>
      <c r="B19" s="56" t="inlineStr">
        <is>
          <t>Faique</t>
        </is>
      </c>
      <c r="C19" s="56" t="inlineStr">
        <is>
          <t>Vachellia macracantha</t>
        </is>
      </c>
      <c r="D19" s="56" t="inlineStr">
        <is>
          <t>Fabaceae</t>
        </is>
      </c>
      <c r="E19" s="56" t="inlineStr">
        <is>
          <t>Arbóreo bajo (4-8 m)</t>
        </is>
      </c>
      <c r="F19" s="56" t="inlineStr">
        <is>
          <t>Nativa</t>
        </is>
      </c>
      <c r="G19" s="56" t="inlineStr">
        <is>
          <t>Frecuente (5-20%)</t>
        </is>
      </c>
      <c r="H19" s="56" t="n"/>
      <c r="I19" s="56" t="n"/>
    </row>
    <row r="20">
      <c r="A20" s="57" t="inlineStr">
        <is>
          <t>6</t>
        </is>
      </c>
      <c r="B20" s="57" t="inlineStr">
        <is>
          <t>Algarrobo</t>
        </is>
      </c>
      <c r="C20" s="57" t="inlineStr">
        <is>
          <t>Neltuma pallida (Prosopis pallida)</t>
        </is>
      </c>
      <c r="D20" s="57" t="inlineStr">
        <is>
          <t>Fabaceae</t>
        </is>
      </c>
      <c r="E20" s="57" t="inlineStr">
        <is>
          <t>Arbóreo medio (8-15 m)</t>
        </is>
      </c>
      <c r="F20" s="57" t="inlineStr">
        <is>
          <t>Nativa</t>
        </is>
      </c>
      <c r="G20" s="57" t="inlineStr">
        <is>
          <t>Ocasional (1-5%)</t>
        </is>
      </c>
      <c r="H20" s="57" t="n"/>
      <c r="I20" s="57" t="n"/>
    </row>
    <row r="21">
      <c r="A21" s="56" t="inlineStr">
        <is>
          <t>7</t>
        </is>
      </c>
      <c r="B21" s="56" t="inlineStr">
        <is>
          <t>Angolo</t>
        </is>
      </c>
      <c r="C21" s="56" t="inlineStr">
        <is>
          <t>Albizia multiflora (por confirmar)</t>
        </is>
      </c>
      <c r="D21" s="56" t="inlineStr">
        <is>
          <t>Fabaceae</t>
        </is>
      </c>
      <c r="E21" s="56" t="inlineStr">
        <is>
          <t>Arbóreo medio (8-15 m)</t>
        </is>
      </c>
      <c r="F21" s="56" t="inlineStr">
        <is>
          <t>Nativa</t>
        </is>
      </c>
      <c r="G21" s="56" t="inlineStr">
        <is>
          <t>Ocasional (1-5%)</t>
        </is>
      </c>
      <c r="H21" s="56" t="n"/>
      <c r="I21" s="56" t="n"/>
    </row>
    <row r="22">
      <c r="A22" s="57" t="inlineStr">
        <is>
          <t>8</t>
        </is>
      </c>
      <c r="B22" s="57" t="inlineStr">
        <is>
          <t>Sapote</t>
        </is>
      </c>
      <c r="C22" s="57" t="inlineStr">
        <is>
          <t>Colicodendron scabridum</t>
        </is>
      </c>
      <c r="D22" s="57" t="inlineStr">
        <is>
          <t>Capparaceae</t>
        </is>
      </c>
      <c r="E22" s="57" t="inlineStr">
        <is>
          <t>Arbóreo bajo (4-8 m)</t>
        </is>
      </c>
      <c r="F22" s="57" t="inlineStr">
        <is>
          <t>Nativa</t>
        </is>
      </c>
      <c r="G22" s="57" t="inlineStr">
        <is>
          <t>Ocasional (1-5%)</t>
        </is>
      </c>
      <c r="H22" s="57" t="n"/>
      <c r="I22" s="57" t="n"/>
    </row>
    <row r="23">
      <c r="A23" s="56" t="inlineStr">
        <is>
          <t>9</t>
        </is>
      </c>
      <c r="B23" s="56" t="inlineStr">
        <is>
          <t>Palo blanco</t>
        </is>
      </c>
      <c r="C23" s="56" t="inlineStr">
        <is>
          <t>Por confirmar</t>
        </is>
      </c>
      <c r="D23" s="56" t="inlineStr">
        <is>
          <t>Por confirmar</t>
        </is>
      </c>
      <c r="E23" s="56" t="inlineStr">
        <is>
          <t>Arbóreo bajo (4-8 m)</t>
        </is>
      </c>
      <c r="F23" s="56" t="inlineStr">
        <is>
          <t>Nativa</t>
        </is>
      </c>
      <c r="G23" s="56" t="inlineStr">
        <is>
          <t>Ocasional (1-5%)</t>
        </is>
      </c>
      <c r="H23" s="56" t="n"/>
      <c r="I23" s="56" t="n"/>
    </row>
    <row r="24">
      <c r="A24" s="57" t="inlineStr">
        <is>
          <t>10</t>
        </is>
      </c>
      <c r="B24" s="57" t="inlineStr">
        <is>
          <t>Overo</t>
        </is>
      </c>
      <c r="C24" s="57" t="inlineStr">
        <is>
          <t>Cordia lutea</t>
        </is>
      </c>
      <c r="D24" s="57" t="inlineStr">
        <is>
          <t>Cordiaceae</t>
        </is>
      </c>
      <c r="E24" s="57" t="inlineStr">
        <is>
          <t>Arbustivo alto (1.5-4 m)</t>
        </is>
      </c>
      <c r="F24" s="57" t="inlineStr">
        <is>
          <t>Nativa</t>
        </is>
      </c>
      <c r="G24" s="57" t="inlineStr">
        <is>
          <t>Frecuente (5-20%)</t>
        </is>
      </c>
      <c r="H24" s="57" t="n"/>
      <c r="I24" s="57" t="n"/>
    </row>
    <row r="25">
      <c r="A25" s="56" t="inlineStr">
        <is>
          <t>11</t>
        </is>
      </c>
      <c r="B25" s="56" t="inlineStr">
        <is>
          <t>Higuerón</t>
        </is>
      </c>
      <c r="C25" s="56" t="inlineStr">
        <is>
          <t>Ficus sp.</t>
        </is>
      </c>
      <c r="D25" s="56" t="inlineStr">
        <is>
          <t>Moraceae</t>
        </is>
      </c>
      <c r="E25" s="56" t="inlineStr">
        <is>
          <t>Arbóreo superior (&gt;15 m)</t>
        </is>
      </c>
      <c r="F25" s="56" t="inlineStr">
        <is>
          <t>Nativa</t>
        </is>
      </c>
      <c r="G25" s="56" t="inlineStr">
        <is>
          <t>Ocasional (1-5%)</t>
        </is>
      </c>
      <c r="H25" s="56" t="n"/>
      <c r="I25" s="56" t="n"/>
    </row>
    <row r="26">
      <c r="A26" s="57" t="inlineStr">
        <is>
          <t>12</t>
        </is>
      </c>
      <c r="B26" s="57" t="inlineStr">
        <is>
          <t>Chirimoyo silvestre</t>
        </is>
      </c>
      <c r="C26" s="57" t="inlineStr">
        <is>
          <t>Annona sp.</t>
        </is>
      </c>
      <c r="D26" s="57" t="inlineStr">
        <is>
          <t>Annonaceae</t>
        </is>
      </c>
      <c r="E26" s="57" t="inlineStr">
        <is>
          <t>Arbóreo bajo (4-8 m)</t>
        </is>
      </c>
      <c r="F26" s="57" t="inlineStr">
        <is>
          <t>Nativa</t>
        </is>
      </c>
      <c r="G26" s="57" t="inlineStr">
        <is>
          <t>Rara (&lt;1%)</t>
        </is>
      </c>
      <c r="H26" s="57" t="n"/>
      <c r="I26" s="57" t="n"/>
    </row>
    <row r="27">
      <c r="A27" s="56" t="inlineStr">
        <is>
          <t>13</t>
        </is>
      </c>
      <c r="B27" s="56" t="inlineStr">
        <is>
          <t>Bromelias epífitas</t>
        </is>
      </c>
      <c r="C27" s="56" t="inlineStr">
        <is>
          <t>Tillandsia sp. / Bromeliaceae</t>
        </is>
      </c>
      <c r="D27" s="56" t="inlineStr">
        <is>
          <t>Bromeliaceae</t>
        </is>
      </c>
      <c r="E27" s="56" t="inlineStr">
        <is>
          <t>Epífito</t>
        </is>
      </c>
      <c r="F27" s="56" t="inlineStr">
        <is>
          <t>Nativa</t>
        </is>
      </c>
      <c r="G27" s="56" t="inlineStr">
        <is>
          <t>Frecuente (5-20%)</t>
        </is>
      </c>
      <c r="H27" s="56" t="n"/>
      <c r="I27" s="56" t="n"/>
    </row>
    <row r="28">
      <c r="A28" s="57" t="inlineStr">
        <is>
          <t>14</t>
        </is>
      </c>
      <c r="B28" s="57" t="inlineStr">
        <is>
          <t>Salvajina</t>
        </is>
      </c>
      <c r="C28" s="57" t="inlineStr">
        <is>
          <t>Tillandsia usneoides</t>
        </is>
      </c>
      <c r="D28" s="57" t="inlineStr">
        <is>
          <t>Bromeliaceae</t>
        </is>
      </c>
      <c r="E28" s="57" t="inlineStr">
        <is>
          <t>Epífito</t>
        </is>
      </c>
      <c r="F28" s="57" t="inlineStr">
        <is>
          <t>Nativa</t>
        </is>
      </c>
      <c r="G28" s="57" t="inlineStr">
        <is>
          <t>Frecuente (5-20%)</t>
        </is>
      </c>
      <c r="H28" s="57" t="n"/>
      <c r="I28" s="57" t="n"/>
    </row>
    <row r="29">
      <c r="A29" s="56" t="inlineStr">
        <is>
          <t>15</t>
        </is>
      </c>
      <c r="B29" s="56" t="inlineStr">
        <is>
          <t>Suelda con suelda (hemiparásita)</t>
        </is>
      </c>
      <c r="C29" s="56" t="inlineStr">
        <is>
          <t>Psittacanthus sp. (por confirmar)</t>
        </is>
      </c>
      <c r="D29" s="56" t="inlineStr">
        <is>
          <t>Loranthaceae</t>
        </is>
      </c>
      <c r="E29" s="56" t="inlineStr">
        <is>
          <t>Epífito</t>
        </is>
      </c>
      <c r="F29" s="56" t="inlineStr">
        <is>
          <t>Nativa</t>
        </is>
      </c>
      <c r="G29" s="56" t="inlineStr">
        <is>
          <t>Ocasional (1-5%)</t>
        </is>
      </c>
      <c r="H29" s="56" t="n"/>
      <c r="I29" s="56" t="n"/>
    </row>
    <row r="31">
      <c r="A31" s="54" t="inlineStr">
        <is>
          <t>F-DT-03 · ESPECIES CLAVE GEORREFERENCIADAS</t>
        </is>
      </c>
    </row>
    <row r="32">
      <c r="A32" s="55" t="inlineStr">
        <is>
          <t>N.o</t>
        </is>
      </c>
      <c r="B32" s="55" t="inlineStr">
        <is>
          <t>Especie</t>
        </is>
      </c>
      <c r="C32" s="55" t="inlineStr">
        <is>
          <t>Categoría</t>
        </is>
      </c>
      <c r="D32" s="55" t="inlineStr">
        <is>
          <t>Estado UICN</t>
        </is>
      </c>
      <c r="E32" s="55" t="inlineStr">
        <is>
          <t>UTM ESTE</t>
        </is>
      </c>
      <c r="F32" s="55" t="inlineStr">
        <is>
          <t>UTM NORTE</t>
        </is>
      </c>
      <c r="G32" s="55" t="inlineStr">
        <is>
          <t>N.° individuos</t>
        </is>
      </c>
      <c r="H32" s="55" t="inlineStr">
        <is>
          <t>Observación</t>
        </is>
      </c>
    </row>
    <row r="33">
      <c r="A33" s="56" t="inlineStr">
        <is>
          <t>1</t>
        </is>
      </c>
      <c r="B33" s="56" t="inlineStr">
        <is>
          <t>Hualtaco (Loxopterygium huasango)</t>
        </is>
      </c>
      <c r="C33" s="56" t="inlineStr">
        <is>
          <t>Amenazada (D.S. 043-2006-AG)</t>
        </is>
      </c>
      <c r="D33" s="56" t="inlineStr">
        <is>
          <t>CR — En Peligro Crítico</t>
        </is>
      </c>
      <c r="E33" s="56" t="n"/>
      <c r="F33" s="56" t="n"/>
      <c r="G33" s="56" t="n"/>
      <c r="H33" s="56" t="inlineStr">
        <is>
          <t>Emblemática del Bes; madera sobreexplotada. CR en D.S. 043-2006-AG.</t>
        </is>
      </c>
    </row>
    <row r="34">
      <c r="A34" s="57" t="inlineStr">
        <is>
          <t>2</t>
        </is>
      </c>
      <c r="B34" s="57" t="inlineStr">
        <is>
          <t>Palo santo (Bursera graveolens)</t>
        </is>
      </c>
      <c r="C34" s="57" t="inlineStr">
        <is>
          <t>Amenazada (D.S. 043-2006-AG)</t>
        </is>
      </c>
      <c r="D34" s="57" t="inlineStr">
        <is>
          <t>CR — En Peligro Crítico</t>
        </is>
      </c>
      <c r="E34" s="57" t="n"/>
      <c r="F34" s="57" t="n"/>
      <c r="G34" s="57" t="n"/>
      <c r="H34" s="57" t="inlineStr">
        <is>
          <t>Aromático/cultural; CR en D.S. 043-2006-AG. Presencia por confirmar en parcela.</t>
        </is>
      </c>
    </row>
    <row r="35">
      <c r="A35" s="56" t="inlineStr">
        <is>
          <t>3</t>
        </is>
      </c>
      <c r="B35" s="56" t="inlineStr">
        <is>
          <t>Sapote (Colicodendron scabridum)</t>
        </is>
      </c>
      <c r="C35" s="56" t="inlineStr">
        <is>
          <t>Amenazada (D.S. 043-2006-AG)</t>
        </is>
      </c>
      <c r="D35" s="56" t="inlineStr">
        <is>
          <t>CR — En Peligro Crítico</t>
        </is>
      </c>
      <c r="E35" s="56" t="n"/>
      <c r="F35" s="56" t="n"/>
      <c r="G35" s="56" t="n"/>
      <c r="H35" s="56" t="inlineStr">
        <is>
          <t>CR en D.S. 043-2006-AG. Determinación por confirmar.</t>
        </is>
      </c>
    </row>
    <row r="36">
      <c r="A36" s="57" t="inlineStr">
        <is>
          <t>4</t>
        </is>
      </c>
      <c r="B36" s="57" t="inlineStr">
        <is>
          <t>Algarrobo (Neltuma/Prosopis pallida)</t>
        </is>
      </c>
      <c r="C36" s="57" t="inlineStr">
        <is>
          <t>Amenazada (D.S. 043-2006-AG)</t>
        </is>
      </c>
      <c r="D36" s="57" t="inlineStr">
        <is>
          <t>VU — Vulnerable</t>
        </is>
      </c>
      <c r="E36" s="57" t="n"/>
      <c r="F36" s="57" t="n"/>
      <c r="G36" s="57" t="n"/>
      <c r="H36" s="57" t="inlineStr">
        <is>
          <t>VU en D.S. 043-2006-AG; fijadora de N.</t>
        </is>
      </c>
    </row>
    <row r="37">
      <c r="A37" s="56" t="inlineStr">
        <is>
          <t>5</t>
        </is>
      </c>
      <c r="B37" s="56" t="inlineStr">
        <is>
          <t>Faique (Vachellia macracantha)</t>
        </is>
      </c>
      <c r="C37" s="56" t="inlineStr">
        <is>
          <t>Amenazada (D.S. 043-2006-AG)</t>
        </is>
      </c>
      <c r="D37" s="56" t="inlineStr">
        <is>
          <t>NT — Casi Amenazado</t>
        </is>
      </c>
      <c r="E37" s="56" t="n"/>
      <c r="F37" s="56" t="n"/>
      <c r="G37" s="56" t="n"/>
      <c r="H37" s="56" t="inlineStr">
        <is>
          <t>NT en D.S. 043-2006-AG; nativa del Bes.</t>
        </is>
      </c>
    </row>
    <row r="38">
      <c r="A38" s="57" t="inlineStr">
        <is>
          <t>6</t>
        </is>
      </c>
      <c r="B38" s="57" t="inlineStr">
        <is>
          <t>Ceibo (Ceiba trichistandra)</t>
        </is>
      </c>
      <c r="C38" s="57" t="inlineStr">
        <is>
          <t>Indicadora de buen estado</t>
        </is>
      </c>
      <c r="D38" s="57" t="inlineStr">
        <is>
          <t>NE — No Evaluado</t>
        </is>
      </c>
      <c r="E38" s="57" t="n"/>
      <c r="F38" s="57" t="n"/>
      <c r="G38" s="57" t="n"/>
      <c r="H38" s="57" t="inlineStr">
        <is>
          <t>Emblemática del Bes-cm; tronco verde fotosintético.</t>
        </is>
      </c>
    </row>
    <row r="40">
      <c r="A40" s="54" t="inlineStr">
        <is>
          <t>F-DT-04 · MATRIZ DE CAUSAS DE DEGRADACIÓN</t>
        </is>
      </c>
    </row>
    <row r="41">
      <c r="A41" s="55" t="inlineStr">
        <is>
          <t>N.o</t>
        </is>
      </c>
      <c r="B41" s="55" t="inlineStr">
        <is>
          <t>Causa</t>
        </is>
      </c>
      <c r="C41" s="55" t="inlineStr">
        <is>
          <t>Presencia</t>
        </is>
      </c>
      <c r="D41" s="55" t="inlineStr">
        <is>
          <t>Intensidad</t>
        </is>
      </c>
      <c r="E41" s="55" t="inlineStr">
        <is>
          <t>Extensión</t>
        </is>
      </c>
      <c r="F41" s="55" t="inlineStr">
        <is>
          <t>Antigüedad</t>
        </is>
      </c>
      <c r="G41" s="55" t="inlineStr">
        <is>
          <t>Evidencia</t>
        </is>
      </c>
    </row>
    <row r="42">
      <c r="A42" s="56" t="inlineStr">
        <is>
          <t>1</t>
        </is>
      </c>
      <c r="B42" s="56" t="inlineStr">
        <is>
          <t>Sobrepastoreo (caprino/vacuno)</t>
        </is>
      </c>
      <c r="C42" s="56" t="inlineStr">
        <is>
          <t>Sí</t>
        </is>
      </c>
      <c r="D42" s="56" t="inlineStr">
        <is>
          <t>Moderada</t>
        </is>
      </c>
      <c r="E42" s="56" t="inlineStr">
        <is>
          <t>≈35%</t>
        </is>
      </c>
      <c r="F42" s="56" t="inlineStr">
        <is>
          <t>Por determinar</t>
        </is>
      </c>
      <c r="G42" s="56" t="inlineStr">
        <is>
          <t>Uso pecuario del sector; cercos/corrales (índices 146,148,155); mosaico agropecuario</t>
        </is>
      </c>
    </row>
    <row r="43">
      <c r="A43" s="57" t="inlineStr">
        <is>
          <t>2</t>
        </is>
      </c>
      <c r="B43" s="57" t="inlineStr">
        <is>
          <t>Tala para leña</t>
        </is>
      </c>
      <c r="C43" s="57" t="inlineStr">
        <is>
          <t>Sí</t>
        </is>
      </c>
      <c r="D43" s="57" t="inlineStr">
        <is>
          <t>Ligera</t>
        </is>
      </c>
      <c r="E43" s="57" t="inlineStr">
        <is>
          <t>—</t>
        </is>
      </c>
      <c r="F43" s="57" t="inlineStr">
        <is>
          <t>Por determinar</t>
        </is>
      </c>
      <c r="G43" s="57" t="inlineStr">
        <is>
          <t>Tocones/tala de árboles en taludes (índices 170,173)</t>
        </is>
      </c>
    </row>
    <row r="44">
      <c r="A44" s="56" t="inlineStr">
        <is>
          <t>3</t>
        </is>
      </c>
      <c r="B44" s="56" t="inlineStr">
        <is>
          <t>Tala para carbón</t>
        </is>
      </c>
      <c r="C44" s="56" t="inlineStr"/>
      <c r="D44" s="56" t="inlineStr"/>
      <c r="E44" s="56" t="inlineStr"/>
      <c r="F44" s="56" t="inlineStr"/>
      <c r="G44" s="56" t="inlineStr"/>
    </row>
    <row r="45">
      <c r="A45" s="57" t="inlineStr">
        <is>
          <t>4</t>
        </is>
      </c>
      <c r="B45" s="57" t="inlineStr">
        <is>
          <t>Tala para madera</t>
        </is>
      </c>
      <c r="C45" s="57" t="inlineStr">
        <is>
          <t>Por verificar</t>
        </is>
      </c>
      <c r="D45" s="57" t="inlineStr">
        <is>
          <t>—</t>
        </is>
      </c>
      <c r="E45" s="57" t="inlineStr">
        <is>
          <t>—</t>
        </is>
      </c>
      <c r="F45" s="57" t="inlineStr">
        <is>
          <t>—</t>
        </is>
      </c>
      <c r="G45" s="57" t="inlineStr">
        <is>
          <t>Tala selectiva posible; por verificar</t>
        </is>
      </c>
    </row>
    <row r="46">
      <c r="A46" s="56" t="inlineStr">
        <is>
          <t>5</t>
        </is>
      </c>
      <c r="B46" s="56" t="inlineStr">
        <is>
          <t>Quema (renovación de pastos)</t>
        </is>
      </c>
      <c r="C46" s="56" t="inlineStr">
        <is>
          <t>Por verificar</t>
        </is>
      </c>
      <c r="D46" s="56" t="inlineStr">
        <is>
          <t>—</t>
        </is>
      </c>
      <c r="E46" s="56" t="inlineStr">
        <is>
          <t>—</t>
        </is>
      </c>
      <c r="F46" s="56" t="inlineStr">
        <is>
          <t>—</t>
        </is>
      </c>
      <c r="G46" s="56" t="inlineStr">
        <is>
          <t>Sin evidencia directa de quema en el recorrido; por verificar</t>
        </is>
      </c>
    </row>
    <row r="47">
      <c r="A47" s="57" t="inlineStr">
        <is>
          <t>6</t>
        </is>
      </c>
      <c r="B47" s="57" t="inlineStr">
        <is>
          <t>Quema accidental / Incendio</t>
        </is>
      </c>
      <c r="C47" s="57" t="inlineStr"/>
      <c r="D47" s="57" t="inlineStr"/>
      <c r="E47" s="57" t="inlineStr"/>
      <c r="F47" s="57" t="inlineStr"/>
      <c r="G47" s="57" t="inlineStr"/>
    </row>
    <row r="48">
      <c r="A48" s="56" t="inlineStr">
        <is>
          <t>7</t>
        </is>
      </c>
      <c r="B48" s="56" t="inlineStr">
        <is>
          <t>Cambio de uso a agricultura</t>
        </is>
      </c>
      <c r="C48" s="56" t="inlineStr">
        <is>
          <t>Sí</t>
        </is>
      </c>
      <c r="D48" s="56" t="inlineStr">
        <is>
          <t>Moderada</t>
        </is>
      </c>
      <c r="E48" s="56" t="inlineStr">
        <is>
          <t>≈30%</t>
        </is>
      </c>
      <c r="F48" s="56" t="inlineStr">
        <is>
          <t>Por determinar</t>
        </is>
      </c>
      <c r="G48" s="56" t="inlineStr">
        <is>
          <t>Zona agrícola 144.68 ha (55.9%) — mosaico de cultivo/pasto en ladera</t>
        </is>
      </c>
    </row>
    <row r="49">
      <c r="A49" s="57" t="inlineStr">
        <is>
          <t>8</t>
        </is>
      </c>
      <c r="B49" s="57" t="inlineStr">
        <is>
          <t>Cambio de uso a pastoreo</t>
        </is>
      </c>
      <c r="C49" s="57" t="inlineStr">
        <is>
          <t>Sí</t>
        </is>
      </c>
      <c r="D49" s="57" t="inlineStr">
        <is>
          <t>Moderada</t>
        </is>
      </c>
      <c r="E49" s="57" t="inlineStr">
        <is>
          <t>≈25%</t>
        </is>
      </c>
      <c r="F49" s="57" t="inlineStr">
        <is>
          <t>Por determinar</t>
        </is>
      </c>
      <c r="G49" s="57" t="inlineStr">
        <is>
          <t>Pastos cultivados y pastoreo en laderas</t>
        </is>
      </c>
    </row>
    <row r="50">
      <c r="A50" s="56" t="inlineStr">
        <is>
          <t>9</t>
        </is>
      </c>
      <c r="B50" s="56" t="inlineStr">
        <is>
          <t>Expansión urbana / vial</t>
        </is>
      </c>
      <c r="C50" s="56" t="inlineStr">
        <is>
          <t>Sí</t>
        </is>
      </c>
      <c r="D50" s="56" t="inlineStr">
        <is>
          <t>Moderada</t>
        </is>
      </c>
      <c r="E50" s="56" t="inlineStr">
        <is>
          <t>≈10%</t>
        </is>
      </c>
      <c r="F50" s="56" t="inlineStr">
        <is>
          <t>Por determinar</t>
        </is>
      </c>
      <c r="G50" s="56" t="inlineStr">
        <is>
          <t>Trocha afirmada atraviesa el bloque; taludes de corte extensos (índices 142,148,179)</t>
        </is>
      </c>
    </row>
    <row r="51">
      <c r="A51" s="57" t="inlineStr">
        <is>
          <t>10</t>
        </is>
      </c>
      <c r="B51" s="57" t="inlineStr">
        <is>
          <t>Minería informal</t>
        </is>
      </c>
      <c r="C51" s="57" t="inlineStr"/>
      <c r="D51" s="57" t="inlineStr"/>
      <c r="E51" s="57" t="inlineStr"/>
      <c r="F51" s="57" t="inlineStr"/>
      <c r="G51" s="57" t="inlineStr"/>
    </row>
    <row r="52">
      <c r="A52" s="56" t="inlineStr">
        <is>
          <t>11</t>
        </is>
      </c>
      <c r="B52" s="56" t="inlineStr">
        <is>
          <t>Extracción de áridos (cauces)</t>
        </is>
      </c>
      <c r="C52" s="56" t="inlineStr"/>
      <c r="D52" s="56" t="inlineStr"/>
      <c r="E52" s="56" t="inlineStr"/>
      <c r="F52" s="56" t="inlineStr"/>
      <c r="G52" s="56" t="inlineStr"/>
    </row>
    <row r="53">
      <c r="A53" s="57" t="inlineStr">
        <is>
          <t>12</t>
        </is>
      </c>
      <c r="B53" s="57" t="inlineStr">
        <is>
          <t>Especies invasoras</t>
        </is>
      </c>
      <c r="C53" s="57" t="inlineStr">
        <is>
          <t>Sí</t>
        </is>
      </c>
      <c r="D53" s="57" t="inlineStr">
        <is>
          <t>Ligera</t>
        </is>
      </c>
      <c r="E53" s="57" t="inlineStr">
        <is>
          <t>—</t>
        </is>
      </c>
      <c r="F53" s="57" t="inlineStr">
        <is>
          <t>Por determinar</t>
        </is>
      </c>
      <c r="G53" s="57" t="inlineStr">
        <is>
          <t>Agave americana en taludes/bordes (índices 163)</t>
        </is>
      </c>
    </row>
    <row r="54">
      <c r="A54" s="56" t="inlineStr">
        <is>
          <t>13</t>
        </is>
      </c>
      <c r="B54" s="56" t="inlineStr">
        <is>
          <t>Erosión natural severa</t>
        </is>
      </c>
      <c r="C54" s="56" t="inlineStr">
        <is>
          <t>Sí</t>
        </is>
      </c>
      <c r="D54" s="56" t="inlineStr">
        <is>
          <t>Ligera</t>
        </is>
      </c>
      <c r="E54" s="56" t="inlineStr">
        <is>
          <t>≈5%</t>
        </is>
      </c>
      <c r="F54" s="56" t="inlineStr">
        <is>
          <t>—</t>
        </is>
      </c>
      <c r="G54" s="56" t="inlineStr">
        <is>
          <t>Surcos/erosión en taludes de corte y afloramientos</t>
        </is>
      </c>
    </row>
    <row r="55">
      <c r="A55" s="57" t="inlineStr">
        <is>
          <t>14</t>
        </is>
      </c>
      <c r="B55" s="57" t="inlineStr">
        <is>
          <t>Sequía prolongada / CC</t>
        </is>
      </c>
      <c r="C55" s="57" t="inlineStr"/>
      <c r="D55" s="57" t="inlineStr"/>
      <c r="E55" s="57" t="inlineStr"/>
      <c r="F55" s="57" t="inlineStr"/>
      <c r="G55" s="57" t="inlineStr"/>
    </row>
    <row r="56">
      <c r="A56" s="56" t="inlineStr">
        <is>
          <t>15</t>
        </is>
      </c>
      <c r="B56" s="56" t="inlineStr">
        <is>
          <t>Plagas o enfermedades forestales</t>
        </is>
      </c>
      <c r="C56" s="56" t="inlineStr"/>
      <c r="D56" s="56" t="inlineStr"/>
      <c r="E56" s="56" t="inlineStr"/>
      <c r="F56" s="56" t="inlineStr"/>
      <c r="G56" s="56" t="inlineStr"/>
    </row>
    <row r="57">
      <c r="A57" s="57" t="inlineStr">
        <is>
          <t>16</t>
        </is>
      </c>
      <c r="B57" s="57" t="inlineStr">
        <is>
          <t>Otro</t>
        </is>
      </c>
      <c r="C57" s="57" t="inlineStr"/>
      <c r="D57" s="57" t="inlineStr"/>
      <c r="E57" s="57" t="inlineStr"/>
      <c r="F57" s="57" t="inlineStr"/>
      <c r="G57" s="57" t="inlineStr"/>
    </row>
    <row r="59">
      <c r="A59" s="54" t="inlineStr">
        <is>
          <t>F-DT-04 · INDICADORES CUANTITATIVOS</t>
        </is>
      </c>
    </row>
    <row r="60">
      <c r="A60" s="55" t="inlineStr">
        <is>
          <t>N.o</t>
        </is>
      </c>
      <c r="B60" s="55" t="inlineStr">
        <is>
          <t>Indicador</t>
        </is>
      </c>
      <c r="C60" s="55" t="inlineStr">
        <is>
          <t>Unidad</t>
        </is>
      </c>
      <c r="D60" s="55" t="inlineStr">
        <is>
          <t>Valor</t>
        </is>
      </c>
      <c r="E60" s="55" t="inlineStr">
        <is>
          <t>Fuente</t>
        </is>
      </c>
      <c r="F60" s="55" t="inlineStr">
        <is>
          <t>Umbral</t>
        </is>
      </c>
      <c r="G60" s="55" t="inlineStr">
        <is>
          <t>Nivel</t>
        </is>
      </c>
    </row>
    <row r="61">
      <c r="A61" s="56" t="inlineStr">
        <is>
          <t>1</t>
        </is>
      </c>
      <c r="B61" s="56" t="inlineStr">
        <is>
          <t>Cobertura vegetal total</t>
        </is>
      </c>
      <c r="C61" s="56" t="inlineStr">
        <is>
          <t>%</t>
        </is>
      </c>
      <c r="D61" s="56" t="inlineStr">
        <is>
          <t>≈ 80 %</t>
        </is>
      </c>
      <c r="E61" s="56" t="inlineStr">
        <is>
          <t>MSAVI (ref. sector) + estimación ocular</t>
        </is>
      </c>
      <c r="F61" s="56" t="inlineStr">
        <is>
          <t>&gt;60% bueno; 30-60% medio; &lt;30% malo</t>
        </is>
      </c>
      <c r="G61" s="56" t="inlineStr">
        <is>
          <t>Alto</t>
        </is>
      </c>
    </row>
    <row r="62">
      <c r="A62" s="57" t="inlineStr">
        <is>
          <t>2</t>
        </is>
      </c>
      <c r="B62" s="57" t="inlineStr">
        <is>
          <t>Porcentaje de suelo desnudo</t>
        </is>
      </c>
      <c r="C62" s="57" t="inlineStr">
        <is>
          <t>%</t>
        </is>
      </c>
      <c r="D62" s="57" t="inlineStr">
        <is>
          <t>≈ 10 %</t>
        </is>
      </c>
      <c r="E62" s="57" t="inlineStr">
        <is>
          <t>Estimación ocular de campo</t>
        </is>
      </c>
      <c r="F62" s="57" t="inlineStr">
        <is>
          <t>&lt;10% bueno; 10-30% medio; &gt;30% malo</t>
        </is>
      </c>
      <c r="G62" s="57" t="inlineStr">
        <is>
          <t>Bajo</t>
        </is>
      </c>
    </row>
    <row r="63">
      <c r="A63" s="56" t="inlineStr">
        <is>
          <t>3</t>
        </is>
      </c>
      <c r="B63" s="56" t="inlineStr">
        <is>
          <t>Densidad de cárcavas</t>
        </is>
      </c>
      <c r="C63" s="56" t="inlineStr">
        <is>
          <t>N°/ha</t>
        </is>
      </c>
      <c r="D63" s="56" t="inlineStr">
        <is>
          <t>Por determinar</t>
        </is>
      </c>
      <c r="E63" s="56" t="inlineStr">
        <is>
          <t>Pendiente de cuantificación</t>
        </is>
      </c>
      <c r="F63" s="56" t="inlineStr">
        <is>
          <t>0 nulo; 1-3 medio; &gt;3 alto</t>
        </is>
      </c>
      <c r="G63" s="56" t="inlineStr">
        <is>
          <t>Por determinar</t>
        </is>
      </c>
    </row>
    <row r="64">
      <c r="A64" s="57" t="inlineStr">
        <is>
          <t>4</t>
        </is>
      </c>
      <c r="B64" s="57" t="inlineStr">
        <is>
          <t>Presencia de especies invasoras</t>
        </is>
      </c>
      <c r="C64" s="57" t="inlineStr">
        <is>
          <t>% área</t>
        </is>
      </c>
      <c r="D64" s="57" t="inlineStr">
        <is>
          <t>≈ 5 %</t>
        </is>
      </c>
      <c r="E64" s="57" t="inlineStr">
        <is>
          <t>Estimación ocular (Agave)</t>
        </is>
      </c>
      <c r="F64" s="57" t="inlineStr">
        <is>
          <t>&lt;5% bueno; 5-20% medio; &gt;20% alto</t>
        </is>
      </c>
      <c r="G64" s="57" t="inlineStr">
        <is>
          <t>Bajo</t>
        </is>
      </c>
    </row>
    <row r="65">
      <c r="A65" s="56" t="inlineStr">
        <is>
          <t>5</t>
        </is>
      </c>
      <c r="B65" s="56" t="inlineStr">
        <is>
          <t>Carga ganadera estimada</t>
        </is>
      </c>
      <c r="C65" s="56" t="inlineStr">
        <is>
          <t>UA/ha</t>
        </is>
      </c>
      <c r="D65" s="56" t="inlineStr">
        <is>
          <t>Por determinar</t>
        </is>
      </c>
      <c r="E65" s="56" t="inlineStr">
        <is>
          <t>Pendiente de cuantificación</t>
        </is>
      </c>
      <c r="F65" s="56" t="inlineStr">
        <is>
          <t>Según tipo de ecosistema</t>
        </is>
      </c>
      <c r="G65" s="56" t="inlineStr">
        <is>
          <t>Por determinar</t>
        </is>
      </c>
    </row>
    <row r="66">
      <c r="A66" s="57" t="inlineStr">
        <is>
          <t>6</t>
        </is>
      </c>
      <c r="B66" s="57" t="inlineStr">
        <is>
          <t>Frecuencia de quemas últimos 5 años</t>
        </is>
      </c>
      <c r="C66" s="57" t="inlineStr">
        <is>
          <t>N°</t>
        </is>
      </c>
      <c r="D66" s="57" t="inlineStr">
        <is>
          <t>Por determinar</t>
        </is>
      </c>
      <c r="E66" s="57" t="inlineStr">
        <is>
          <t>Pendiente de cuantificación</t>
        </is>
      </c>
      <c r="F66" s="57" t="inlineStr">
        <is>
          <t>0 nulo; 1-2 medio; &gt;2 alto</t>
        </is>
      </c>
      <c r="G66" s="57" t="inlineStr">
        <is>
          <t>Por determinar</t>
        </is>
      </c>
    </row>
    <row r="67">
      <c r="A67" s="56" t="inlineStr">
        <is>
          <t>7</t>
        </is>
      </c>
      <c r="B67" s="56" t="inlineStr">
        <is>
          <t>% área con pendiente &gt;50%</t>
        </is>
      </c>
      <c r="C67" s="56" t="inlineStr">
        <is>
          <t>%</t>
        </is>
      </c>
      <c r="D67" s="56" t="inlineStr">
        <is>
          <t>≈ 35 % (ref. perfil: media 39.7%, máx 63.7%)</t>
        </is>
      </c>
      <c r="E67" s="56" t="inlineStr">
        <is>
          <t>Perfil de elevación Google Earth (sector)</t>
        </is>
      </c>
      <c r="F67" s="56" t="inlineStr">
        <is>
          <t>Factor de susceptibilidad</t>
        </is>
      </c>
      <c r="G67" s="56" t="inlineStr">
        <is>
          <t>Medio</t>
        </is>
      </c>
    </row>
    <row r="68">
      <c r="A68" s="57" t="inlineStr">
        <is>
          <t>8</t>
        </is>
      </c>
      <c r="B68" s="57" t="inlineStr">
        <is>
          <t>Distancia a vía vecinal más cercana</t>
        </is>
      </c>
      <c r="C68" s="57" t="inlineStr">
        <is>
          <t>m</t>
        </is>
      </c>
      <c r="D68" s="57" t="inlineStr">
        <is>
          <t>0 m</t>
        </is>
      </c>
      <c r="E68" s="57" t="inlineStr">
        <is>
          <t>Trocha afirmada atraviesa el bloque</t>
        </is>
      </c>
      <c r="F68" s="57" t="inlineStr">
        <is>
          <t>A menor distancia → mayor presión</t>
        </is>
      </c>
      <c r="G68" s="57" t="inlineStr">
        <is>
          <t>Alto</t>
        </is>
      </c>
    </row>
    <row r="70">
      <c r="A70" s="54" t="inlineStr">
        <is>
          <t>F-DT-05 · FUENTES DE AGUA INVENTARIADAS</t>
        </is>
      </c>
    </row>
    <row r="71">
      <c r="A71" s="55" t="inlineStr">
        <is>
          <t>N.o</t>
        </is>
      </c>
      <c r="B71" s="55" t="inlineStr">
        <is>
          <t>Tipo de fuente</t>
        </is>
      </c>
      <c r="C71" s="55" t="inlineStr">
        <is>
          <t>UTM ESTE</t>
        </is>
      </c>
      <c r="D71" s="55" t="inlineStr">
        <is>
          <t>UTM NORTE</t>
        </is>
      </c>
      <c r="E71" s="55" t="inlineStr">
        <is>
          <t>Régimen</t>
        </is>
      </c>
      <c r="F71" s="55" t="inlineStr">
        <is>
          <t>Calidad</t>
        </is>
      </c>
      <c r="G71" s="55" t="inlineStr">
        <is>
          <t>Distancia (m)</t>
        </is>
      </c>
      <c r="H71" s="55" t="inlineStr">
        <is>
          <t>Uso / observación</t>
        </is>
      </c>
    </row>
    <row r="72">
      <c r="A72" s="56" t="inlineStr">
        <is>
          <t>1</t>
        </is>
      </c>
      <c r="B72" s="56" t="inlineStr">
        <is>
          <t>Quebrada estacional</t>
        </is>
      </c>
      <c r="C72" s="61" t="n">
        <v>608432</v>
      </c>
      <c r="D72" s="61" t="n">
        <v>9448567</v>
      </c>
      <c r="E72" s="56" t="inlineStr">
        <is>
          <t>Estacional (lluvias)</t>
        </is>
      </c>
      <c r="F72" s="56" t="inlineStr">
        <is>
          <t>No evaluable</t>
        </is>
      </c>
      <c r="G72" s="63" t="n">
        <v>0</v>
      </c>
      <c r="H72" s="56" t="inlineStr">
        <is>
          <t>Curso de agua que cruza la trocha (badén); agua presente 23/06/2026 (índices 151,152). Régimen por verificar</t>
        </is>
      </c>
    </row>
    <row r="73">
      <c r="A73" s="57" t="inlineStr">
        <is>
          <t>2</t>
        </is>
      </c>
      <c r="B73" s="57" t="inlineStr">
        <is>
          <t>Río</t>
        </is>
      </c>
      <c r="C73" s="62" t="n">
        <v>608300</v>
      </c>
      <c r="D73" s="62" t="n">
        <v>9448700</v>
      </c>
      <c r="E73" s="57" t="inlineStr">
        <is>
          <t>Permanente</t>
        </is>
      </c>
      <c r="F73" s="57" t="inlineStr">
        <is>
          <t>No evaluable</t>
        </is>
      </c>
      <c r="G73" s="57" t="n"/>
      <c r="H73" s="57" t="inlineStr">
        <is>
          <t>Río principal del sector que bordea el bloque por el O (visible en satelital; ubic. aprox., por verificar)</t>
        </is>
      </c>
    </row>
    <row r="76">
      <c r="A76" s="54" t="inlineStr">
        <is>
          <t>OBSERVACIONES DEL EVALUADOR POR FICHA</t>
        </is>
      </c>
    </row>
    <row r="77">
      <c r="A77" s="55" t="inlineStr">
        <is>
          <t>Ficha</t>
        </is>
      </c>
      <c r="B77" s="55" t="inlineStr">
        <is>
          <t>Observación registrada en campo</t>
        </is>
      </c>
    </row>
    <row r="78">
      <c r="A78" s="56" t="inlineStr">
        <is>
          <t>F-DT-01</t>
        </is>
      </c>
      <c r="B78" s="56" t="inlineStr">
        <is>
          <t>Rango altitudinal del bloque ≈ 767–1481 msnm (perfil de elevación Google Earth del sector; min/media/máx 767/1066/1481 m); abarca pisos Yunga (&lt;1000 m) en el fondo de valle y Quechua baja (1000–1500 m) en las laderas. Punto de muestreo referido a foto índice 136. Escarpes/afloramientos concentrados en taludes de corte de la trocha afirmada. Altitud GPS por determinar (la app no registró msnm).</t>
        </is>
      </c>
    </row>
    <row r="79">
      <c r="A79" s="57" t="inlineStr">
        <is>
          <t>F-DT-02</t>
        </is>
      </c>
      <c r="B79" s="57" t="inlineStr">
        <is>
          <t>Rasgos erosivos concentrados en taludes de corte de la trocha afirmada y en sectores con tala/pérdida de cobertura; laderas naturales con Bes-cm densamente cubiertas (baja erosión). Dimensiones instrumentales de cárcavas (longitud, profundidad, ancho), longitud total, % de bloque afectado y densidad por hectárea: por determinar (levantamiento por el especialista de Infraestructura Marrón).</t>
        </is>
      </c>
    </row>
    <row r="80">
      <c r="A80" s="56" t="inlineStr">
        <is>
          <t>F-DT-03</t>
        </is>
      </c>
      <c r="B80" s="56" t="inlineStr">
        <is>
          <t>Lista florística PRELIMINAR sujeta a colección y determinación botánica formal; nombres a nivel de especie y familias 'por confirmar' cuando corresponda. Se confirmó en campo dosel con abundantes epífitas (bromeliáceas y Tillandsia usneoides/salvajina), indicadoras de humedad. El bloque integra, según el Reporte de Ecosistemas por Bloques (MINAM): Bes-cm 114.16 ha (44.1 %) y Zona agrícola 144.68 ha (55.9 %); total 258.84 ha. Coordenadas UTM de especies clave: por determinar (georreferenciación específica pendiente).</t>
        </is>
      </c>
    </row>
    <row r="81">
      <c r="A81" s="57" t="inlineStr">
        <is>
          <t>F-DT-05</t>
        </is>
      </c>
      <c r="B81" s="57" t="inlineStr">
        <is>
          <t>Bloque en zona de origen y recarga de la microcuenca C1096-Q9556 (Bes-cm con dosel de epífitas → humedad). El río bordea el bloque por el O y una quebrada cruza la trocha por badenes. Distancia y datos de captación poblacional/JASS, tiempos de viaje, señal/operador celular y alojamiento: por verificar.</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69"/>
  <sheetViews>
    <sheetView workbookViewId="0">
      <selection activeCell="A1" sqref="A1"/>
    </sheetView>
  </sheetViews>
  <sheetFormatPr baseColWidth="8" defaultRowHeight="15"/>
  <cols>
    <col width="44" customWidth="1" min="1" max="1"/>
    <col width="18" customWidth="1" min="2" max="2"/>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GRÁFICOS DE LA INTEGRACIÓN — BLOQUE M17B7</t>
        </is>
      </c>
    </row>
    <row r="7">
      <c r="A7" s="54" t="inlineStr">
        <is>
          <t>Hechos declarados por fuente</t>
        </is>
      </c>
    </row>
    <row r="8">
      <c r="A8" s="55" t="inlineStr">
        <is>
          <t>Fuente</t>
        </is>
      </c>
      <c r="B8" s="55" t="inlineStr">
        <is>
          <t>Hechos</t>
        </is>
      </c>
    </row>
    <row r="9">
      <c r="A9" s="56" t="inlineStr">
        <is>
          <t>Dato de campo</t>
        </is>
      </c>
      <c r="B9" s="56" t="n">
        <v>60</v>
      </c>
    </row>
    <row r="10">
      <c r="A10" s="57" t="inlineStr">
        <is>
          <t>Gabinete (GIS / teledetección)</t>
        </is>
      </c>
      <c r="B10" s="57" t="n">
        <v>22</v>
      </c>
    </row>
    <row r="11">
      <c r="A11" s="56" t="inlineStr">
        <is>
          <t>Fuente oficial</t>
        </is>
      </c>
      <c r="B11" s="56" t="n">
        <v>14</v>
      </c>
    </row>
    <row r="26">
      <c r="A26" s="54" t="inlineStr">
        <is>
          <t>Estado del cruce entre fuentes</t>
        </is>
      </c>
    </row>
    <row r="27">
      <c r="A27" s="55" t="inlineStr">
        <is>
          <t>Estado</t>
        </is>
      </c>
      <c r="B27" s="55" t="inlineStr">
        <is>
          <t>Hechos</t>
        </is>
      </c>
    </row>
    <row r="28">
      <c r="A28" s="56" t="inlineStr">
        <is>
          <t>CONFORME</t>
        </is>
      </c>
      <c r="B28" s="56" t="n">
        <v>96</v>
      </c>
    </row>
    <row r="29">
      <c r="A29" s="57" t="inlineStr">
        <is>
          <t>COMPLEMENTADO</t>
        </is>
      </c>
      <c r="B29" s="57" t="n">
        <v>0</v>
      </c>
    </row>
    <row r="30">
      <c r="A30" s="56" t="inlineStr">
        <is>
          <t>ACTUALIZADO</t>
        </is>
      </c>
      <c r="B30" s="56" t="n">
        <v>0</v>
      </c>
    </row>
    <row r="31">
      <c r="A31" s="57" t="inlineStr">
        <is>
          <t>DISCREPANTE</t>
        </is>
      </c>
      <c r="B31" s="57" t="n">
        <v>0</v>
      </c>
    </row>
    <row r="32">
      <c r="A32" s="56" t="inlineStr">
        <is>
          <t>PENDIENTE</t>
        </is>
      </c>
      <c r="B32" s="56" t="n">
        <v>18</v>
      </c>
    </row>
    <row r="45">
      <c r="A45" s="54" t="inlineStr">
        <is>
          <t>Causas activas de degradación (F-DT-04)</t>
        </is>
      </c>
    </row>
    <row r="46">
      <c r="A46" s="55" t="inlineStr">
        <is>
          <t>Causa</t>
        </is>
      </c>
      <c r="B46" s="55" t="inlineStr">
        <is>
          <t>Intensidad (1 ligera - 4 muy fuerte)</t>
        </is>
      </c>
    </row>
    <row r="47">
      <c r="A47" s="56" t="inlineStr">
        <is>
          <t>Cambio de uso a agricultura</t>
        </is>
      </c>
      <c r="B47" s="56" t="n">
        <v>2</v>
      </c>
    </row>
    <row r="48">
      <c r="A48" s="57" t="inlineStr">
        <is>
          <t>Cambio de uso a pastoreo</t>
        </is>
      </c>
      <c r="B48" s="57" t="n">
        <v>2</v>
      </c>
    </row>
    <row r="49">
      <c r="A49" s="56" t="inlineStr">
        <is>
          <t>Expansión urbana / vial</t>
        </is>
      </c>
      <c r="B49" s="56" t="n">
        <v>2</v>
      </c>
    </row>
    <row r="50">
      <c r="A50" s="57" t="inlineStr">
        <is>
          <t>Sobrepastoreo (caprino/vacuno)</t>
        </is>
      </c>
      <c r="B50" s="57" t="n">
        <v>2</v>
      </c>
    </row>
    <row r="51">
      <c r="A51" s="56" t="inlineStr">
        <is>
          <t>Erosión natural severa</t>
        </is>
      </c>
      <c r="B51" s="56" t="n">
        <v>1</v>
      </c>
    </row>
    <row r="52">
      <c r="A52" s="57" t="inlineStr">
        <is>
          <t>Especies invasoras</t>
        </is>
      </c>
      <c r="B52" s="57" t="n">
        <v>1</v>
      </c>
    </row>
    <row r="53">
      <c r="A53" s="56" t="inlineStr">
        <is>
          <t>Quema (renovación de pastos)</t>
        </is>
      </c>
      <c r="B53" s="56" t="n">
        <v>1</v>
      </c>
    </row>
    <row r="54">
      <c r="A54" s="57" t="inlineStr">
        <is>
          <t>Tala para leña</t>
        </is>
      </c>
      <c r="B54" s="57" t="n">
        <v>1</v>
      </c>
    </row>
    <row r="55">
      <c r="A55" s="56" t="inlineStr">
        <is>
          <t>Tala para madera</t>
        </is>
      </c>
      <c r="B55" s="56" t="n">
        <v>1</v>
      </c>
    </row>
    <row r="64">
      <c r="A64" s="54" t="inlineStr">
        <is>
          <t>Control de consistencia por calificación</t>
        </is>
      </c>
    </row>
    <row r="65">
      <c r="A65" s="55" t="inlineStr">
        <is>
          <t>Calificación</t>
        </is>
      </c>
      <c r="B65" s="55" t="inlineStr">
        <is>
          <t>Verificaciones</t>
        </is>
      </c>
    </row>
    <row r="66">
      <c r="A66" s="56" t="inlineStr">
        <is>
          <t>SUSTANTIVA</t>
        </is>
      </c>
      <c r="B66" s="56" t="n">
        <v>4</v>
      </c>
    </row>
    <row r="67">
      <c r="A67" s="57" t="inlineStr">
        <is>
          <t>NO SUSTANTIVA</t>
        </is>
      </c>
      <c r="B67" s="57" t="n">
        <v>7</v>
      </c>
    </row>
    <row r="68">
      <c r="A68" s="56" t="inlineStr">
        <is>
          <t>CORREGIDO</t>
        </is>
      </c>
      <c r="B68" s="56" t="n">
        <v>1</v>
      </c>
    </row>
    <row r="69">
      <c r="A69" s="57" t="inlineStr">
        <is>
          <t>CONFORME</t>
        </is>
      </c>
      <c r="B69" s="57" t="n">
        <v>9</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M17B7 — IN Piura</dc:title>
  <dc:subject>Diagnóstico Territorial por bloque de intervención</dc:subject>
  <dcterms:created xsi:type="dcterms:W3CDTF">2026-09-08T03:39:57Z</dcterms:created>
  <dcterms:modified xsi:type="dcterms:W3CDTF">2026-09-11T21:26:33Z</dcterms:modified>
</cp:coreProperties>
</file>