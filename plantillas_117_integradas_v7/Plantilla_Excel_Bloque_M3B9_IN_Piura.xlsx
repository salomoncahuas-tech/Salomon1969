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integración'!$A$66:$A$73</f>
            </numRef>
          </cat>
          <val>
            <numRef>
              <f>'Gráficos de integración'!$B$66:$B$73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M3B9</t>
        </is>
      </c>
    </row>
    <row r="6" ht="24" customHeight="1">
      <c r="A6" s="4" t="inlineStr">
        <is>
          <t>Diagnóstico Territorial — Plantilla DT Campo Check Validada V5 | Sistema de referencia: UTM WGS 84 Zona 17S (EPSG:32717) · Integrado con la ficha de campo F-DT vigente (FDT_M3B9_Diagnostico_Territorial.xlsx) — V7 - resumen V6 + campo F-DT integrado</t>
        </is>
      </c>
    </row>
    <row r="7"/>
    <row r="8" ht="18" customHeight="1">
      <c r="A8" s="5" t="inlineStr">
        <is>
          <t>1. IDENTIFICACIÓN Y LOCALIZACIÓN</t>
        </is>
      </c>
    </row>
    <row r="9">
      <c r="A9" s="6" t="inlineStr">
        <is>
          <t>Código del bloque</t>
        </is>
      </c>
      <c r="B9" s="7" t="inlineStr">
        <is>
          <t>M3B9</t>
        </is>
      </c>
      <c r="C9" s="6" t="inlineStr">
        <is>
          <t>Microcuenca (catálogo)</t>
        </is>
      </c>
      <c r="D9" s="7" t="inlineStr">
        <is>
          <t>C1081-Q9582</t>
        </is>
      </c>
      <c r="E9" s="8" t="n"/>
      <c r="F9" s="8" t="n"/>
    </row>
    <row r="10">
      <c r="A10" s="6" t="inlineStr">
        <is>
          <t>Zona de planificación</t>
        </is>
      </c>
      <c r="B10" s="7" t="inlineStr">
        <is>
          <t>Z07</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CP Tórtola / CP San Pedro</t>
        </is>
      </c>
      <c r="C13" s="6" t="inlineStr">
        <is>
          <t>Comunidad campesina</t>
        </is>
      </c>
      <c r="D13" s="7" t="inlineStr">
        <is>
          <t>No aplica</t>
        </is>
      </c>
      <c r="E13" s="8" t="n"/>
      <c r="F13" s="8" t="n"/>
    </row>
    <row r="14">
      <c r="A14" s="6" t="inlineStr">
        <is>
          <t>Superficie de catálogo (V5/V6), ha</t>
        </is>
      </c>
      <c r="B14" s="7" t="n">
        <v>294.2</v>
      </c>
      <c r="C14" s="6" t="inlineStr">
        <is>
          <t>Fuente de superficie</t>
        </is>
      </c>
      <c r="D14" s="7" t="inlineStr">
        <is>
          <t>Catálogo maestro Bloques V5/V6</t>
        </is>
      </c>
      <c r="E14" s="8" t="n"/>
      <c r="F14" s="8" t="n"/>
    </row>
    <row r="15">
      <c r="A15" s="6" t="inlineStr">
        <is>
          <t>Centroide UTM ESTE (m)</t>
        </is>
      </c>
      <c r="B15" s="7" t="n">
        <v>629338</v>
      </c>
      <c r="C15" s="6" t="inlineStr">
        <is>
          <t>Centroide UTM NORTE (m)</t>
        </is>
      </c>
      <c r="D15" s="7" t="n">
        <v>9413305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189</v>
      </c>
      <c r="C19" s="6" t="inlineStr">
        <is>
          <t>Altitud máxima (msnm)</t>
        </is>
      </c>
      <c r="D19" s="7" t="n">
        <v>497</v>
      </c>
      <c r="E19" s="8" t="n"/>
      <c r="F19" s="8" t="n"/>
    </row>
    <row r="20">
      <c r="A20" s="6" t="inlineStr">
        <is>
          <t>Amplitud altitudinal (m)</t>
        </is>
      </c>
      <c r="B20" s="7" t="n">
        <v>308</v>
      </c>
      <c r="C20" s="6" t="inlineStr">
        <is>
          <t>Piso altitudinal dominante</t>
        </is>
      </c>
      <c r="D20" s="7" t="inlineStr">
        <is>
          <t>&lt;1000 m (Yunga)</t>
        </is>
      </c>
      <c r="E20" s="8" t="n"/>
      <c r="F20" s="8" t="n"/>
    </row>
    <row r="21">
      <c r="A21" s="6" t="inlineStr">
        <is>
          <t>Pendiente promedio (%)</t>
        </is>
      </c>
      <c r="B21" s="7" t="n">
        <v>17.69</v>
      </c>
      <c r="C21" s="6" t="inlineStr">
        <is>
          <t>Pendiente promedio (grados)</t>
        </is>
      </c>
      <c r="D21" s="7" t="n">
        <v>10</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0.3214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(46.51 %)</t>
        </is>
      </c>
      <c r="E29" s="8" t="n"/>
      <c r="F29" s="8" t="n"/>
    </row>
    <row r="30">
      <c r="A30" s="6" t="inlineStr">
        <is>
          <t>Superficie clasificada NDVI 2025 (ha)</t>
        </is>
      </c>
      <c r="B30" s="7" t="n">
        <v>294.318</v>
      </c>
      <c r="C30" s="6" t="inlineStr">
        <is>
          <t>Desviación frente al catálogo (%)</t>
        </is>
      </c>
      <c r="D30" s="7" t="n">
        <v>0.04</v>
      </c>
      <c r="E30" s="8" t="n"/>
      <c r="F30" s="8" t="n"/>
    </row>
    <row r="31">
      <c r="A31" s="6" t="inlineStr">
        <is>
          <t>Superficie clasificada MSAVI 2024 (ha)</t>
        </is>
      </c>
      <c r="B31" s="39" t="n">
        <v>294.204</v>
      </c>
      <c r="C31" s="6" t="inlineStr">
        <is>
          <t>Desviación MSAVI frente al catálogo (%)</t>
        </is>
      </c>
      <c r="D31" s="40" t="n">
        <v>0</v>
      </c>
      <c r="E31" s="8" t="n"/>
      <c r="F31" s="8" t="n"/>
    </row>
    <row r="32">
      <c r="A32" s="6" t="inlineStr">
        <is>
          <t>Superficie bajo umbral MSAVI 0.4976 (ha)</t>
        </is>
      </c>
      <c r="B32" s="39" t="n">
        <v>292.427</v>
      </c>
      <c r="C32" s="6" t="inlineStr">
        <is>
          <t>% del bloque bajo umbral (brecha espectral)</t>
        </is>
      </c>
      <c r="D32" s="40" t="n">
        <v>99.40000000000001</v>
      </c>
      <c r="E32" s="8" t="n"/>
      <c r="F32" s="8" t="n"/>
    </row>
    <row r="33">
      <c r="A33" s="6" t="inlineStr">
        <is>
          <t>Clase DN dominante (MSAVI 2024)</t>
        </is>
      </c>
      <c r="B33" s="7" t="inlineStr">
        <is>
          <t>DN 2 · 0.2650 - 0.3813 (Vigor muy bajo)</t>
        </is>
      </c>
      <c r="C33" s="6" t="inlineStr">
        <is>
          <t>N.° de polígonos MSAVI del bloque</t>
        </is>
      </c>
      <c r="D33" s="41" t="n">
        <v>1076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≈290 ha (99% del bloque)</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n">
        <v>45</v>
      </c>
      <c r="E38" s="8" t="n"/>
      <c r="F38" s="8" t="n"/>
    </row>
    <row r="39">
      <c r="A39" s="6" t="inlineStr">
        <is>
          <t>Suelo desnudo — campo (%)</t>
        </is>
      </c>
      <c r="B39" s="7" t="n">
        <v>42</v>
      </c>
      <c r="C39" s="6" t="inlineStr">
        <is>
          <t>Regeneración natural</t>
        </is>
      </c>
      <c r="D39" s="7" t="inlineStr">
        <is>
          <t>Escasa (&lt;10 pl./100m²)</t>
        </is>
      </c>
      <c r="E39" s="8" t="n"/>
      <c r="F39" s="8" t="n"/>
    </row>
    <row r="40">
      <c r="A40" s="6" t="inlineStr">
        <is>
          <t>Nivel general de erosión</t>
        </is>
      </c>
      <c r="B40" s="7" t="inlineStr">
        <is>
          <t>Fuerte (cárcavas incipientes) — estimado</t>
        </is>
      </c>
      <c r="C40" s="6" t="inlineStr">
        <is>
          <t>N.° de cárcavas registradas</t>
        </is>
      </c>
      <c r="D40" s="7" t="inlineStr">
        <is>
          <t>0 = no inventariadas</t>
        </is>
      </c>
      <c r="E40" s="8" t="n"/>
      <c r="F40" s="8" t="n"/>
    </row>
    <row r="41">
      <c r="A41" s="6" t="inlineStr">
        <is>
          <t>Elenco florístico (n.° de taxones)</t>
        </is>
      </c>
      <c r="B41" s="7" t="n">
        <v>10</v>
      </c>
      <c r="C41" s="6" t="inlineStr">
        <is>
          <t>Estado sanitario</t>
        </is>
      </c>
      <c r="D41" s="7" t="inlineStr">
        <is>
          <t>Daño mecánico</t>
        </is>
      </c>
      <c r="E41" s="8" t="n"/>
      <c r="F41" s="8" t="n"/>
    </row>
    <row r="42"/>
    <row r="43" ht="18" customHeight="1">
      <c r="A43" s="5" t="inlineStr">
        <is>
          <t>5. RESPONSABLE Y MODALIDAD DE LA EVALUACIÓN</t>
        </is>
      </c>
    </row>
    <row r="44">
      <c r="A44" s="6" t="inlineStr">
        <is>
          <t>Responsable de la evaluación</t>
        </is>
      </c>
      <c r="B44" s="51" t="inlineStr">
        <is>
          <t>Brigada 1B — Ing. Héctor S. Cahuas Miller</t>
        </is>
      </c>
      <c r="C44" s="6" t="inlineStr">
        <is>
          <t>Fecha de evaluación</t>
        </is>
      </c>
      <c r="D44" s="7" t="inlineStr">
        <is>
          <t>2026-05-19</t>
        </is>
      </c>
      <c r="E44" s="8" t="n"/>
      <c r="F44" s="8" t="n"/>
    </row>
    <row r="45">
      <c r="A45" s="6" t="inlineStr">
        <is>
          <t>Hora de registro</t>
        </is>
      </c>
      <c r="B45" s="7" t="inlineStr">
        <is>
          <t>10:30 h</t>
        </is>
      </c>
      <c r="C45" s="6" t="inlineStr">
        <is>
          <t>Correlativo de ficha</t>
        </is>
      </c>
      <c r="D45" s="7" t="inlineStr">
        <is>
          <t>DT-M3B9-001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No se estableció parcela (obs. a distancia)</t>
        </is>
      </c>
      <c r="E47" s="8" t="n"/>
      <c r="F47" s="8" t="n"/>
    </row>
    <row r="48">
      <c r="A48" s="6" t="inlineStr">
        <is>
          <t>Estaciones fotográficas georreferenciadas</t>
        </is>
      </c>
      <c r="B48" s="7" t="n">
        <v>0</v>
      </c>
      <c r="C48" s="6" t="inlineStr">
        <is>
          <t>Modalidad de acceso</t>
        </is>
      </c>
      <c r="D48" s="7" t="inlineStr">
        <is>
          <t>Vehicular + caminata &gt;90 min</t>
        </is>
      </c>
      <c r="E48" s="8" t="n"/>
      <c r="F48" s="8" t="n"/>
    </row>
    <row r="49"/>
    <row r="50" ht="18" customHeight="1">
      <c r="A50" s="5" t="inlineStr">
        <is>
          <t>6. SÍNTESIS PARA LA GESTIÓN DEL RIESGO EN CONTEXTO DE CAMBIO CLIMÁTICO</t>
        </is>
      </c>
    </row>
    <row r="51">
      <c r="A51" s="6" t="inlineStr">
        <is>
          <t>Causa subyacente principal</t>
        </is>
      </c>
      <c r="B51" s="51" t="inlineStr">
        <is>
          <t>Pobreza rural; ausencia de gobernanza forestal y MERESE</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M3B9</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0.0891</v>
      </c>
      <c r="C10" s="19">
        <f>ROUND(B10/$B$15*100,2)</f>
        <v/>
      </c>
      <c r="D10" s="11" t="inlineStr">
        <is>
          <t>Vigor alto</t>
        </is>
      </c>
      <c r="E10" s="11" t="inlineStr">
        <is>
          <t>Sobre umbral</t>
        </is>
      </c>
    </row>
    <row r="11">
      <c r="A11" s="12" t="inlineStr">
        <is>
          <t>0.4976 - 0.6139 · DN 4</t>
        </is>
      </c>
      <c r="B11" s="20" t="n">
        <v>1.6881</v>
      </c>
      <c r="C11" s="21">
        <f>ROUND(B11/$B$15*100,2)</f>
        <v/>
      </c>
      <c r="D11" s="13" t="inlineStr">
        <is>
          <t>Vigor moderado</t>
        </is>
      </c>
      <c r="E11" s="13" t="inlineStr">
        <is>
          <t>Sobre umbral</t>
        </is>
      </c>
    </row>
    <row r="12">
      <c r="A12" s="7" t="inlineStr">
        <is>
          <t>0.3813 - 0.4976 · DN 3</t>
        </is>
      </c>
      <c r="B12" s="18" t="n">
        <v>50.9822</v>
      </c>
      <c r="C12" s="19">
        <f>ROUND(B12/$B$15*100,2)</f>
        <v/>
      </c>
      <c r="D12" s="11" t="inlineStr">
        <is>
          <t>Vigor bajo</t>
        </is>
      </c>
      <c r="E12" s="11" t="inlineStr">
        <is>
          <t>BAJO umbral 0.4976</t>
        </is>
      </c>
    </row>
    <row r="13">
      <c r="A13" s="14" t="inlineStr">
        <is>
          <t>0.2650 - 0.3813 · DN 2</t>
        </is>
      </c>
      <c r="B13" s="31" t="n">
        <v>177.7869</v>
      </c>
      <c r="C13" s="30">
        <f>ROUND(B13/$B$15*100,2)</f>
        <v/>
      </c>
      <c r="D13" s="15" t="inlineStr">
        <is>
          <t>Vigor muy bajo</t>
        </is>
      </c>
      <c r="E13" s="15" t="inlineStr">
        <is>
          <t>BAJO umbral 0.4976</t>
        </is>
      </c>
    </row>
    <row r="14">
      <c r="A14" s="7" t="inlineStr">
        <is>
          <t>&lt;= 0.2650 · DN 1</t>
        </is>
      </c>
      <c r="B14" s="18" t="n">
        <v>63.658</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1 076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294.2</v>
      </c>
      <c r="C18" s="50" t="inlineStr">
        <is>
          <t>—</t>
        </is>
      </c>
      <c r="D18" s="47" t="inlineStr">
        <is>
          <t>Desviación planimétrica frente al catálogo</t>
        </is>
      </c>
      <c r="E18" s="47" t="inlineStr">
        <is>
          <t>+0.00 %</t>
        </is>
      </c>
    </row>
    <row r="19">
      <c r="A19" s="16" t="inlineStr">
        <is>
          <t>MSAVI 2024 — MEDIA DEL BLOQUE</t>
        </is>
      </c>
      <c r="B19" s="17" t="n">
        <v>0.321386</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1 076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(0.3214)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9.245799999999999</v>
      </c>
      <c r="C25" s="19" t="n">
        <v>3.14</v>
      </c>
      <c r="D25" s="11" t="inlineStr">
        <is>
          <t>Dosel continuo, matorral denso o mosaico agroforestal</t>
        </is>
      </c>
      <c r="E25" s="11" t="inlineStr"/>
    </row>
    <row r="26">
      <c r="A26" s="12" t="inlineStr">
        <is>
          <t>Vegetación mediana</t>
        </is>
      </c>
      <c r="B26" s="20" t="n">
        <v>124.2163</v>
      </c>
      <c r="C26" s="21" t="n">
        <v>42.2</v>
      </c>
      <c r="D26" s="13" t="inlineStr">
        <is>
          <t>Pastizal cultivado, matorral ralo, parcelas agrícolas</t>
        </is>
      </c>
      <c r="E26" s="13" t="inlineStr"/>
    </row>
    <row r="27">
      <c r="A27" s="7" t="inlineStr">
        <is>
          <t>Vegetación ligera</t>
        </is>
      </c>
      <c r="B27" s="18" t="n">
        <v>136.8966</v>
      </c>
      <c r="C27" s="19" t="n">
        <v>46.51</v>
      </c>
      <c r="D27" s="11" t="inlineStr">
        <is>
          <t>Cobertura discontinua, suelo parcialmente expuesto</t>
        </is>
      </c>
      <c r="E27" s="11" t="inlineStr"/>
    </row>
    <row r="28">
      <c r="A28" s="12" t="inlineStr">
        <is>
          <t>Tierra desnuda</t>
        </is>
      </c>
      <c r="B28" s="20" t="n">
        <v>23.9588</v>
      </c>
      <c r="C28" s="21" t="n">
        <v>8.140000000000001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294.2</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45 % frente a un 3.14 % del polígono clasificado como «Vegetación alta» por el NDVI 2025; la observación de campo corresponde a una parcela o recorrido puntual y no es estadísticamente representativa de las 294.200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M3B9</t>
        </is>
      </c>
    </row>
    <row r="6" ht="24" customHeight="1">
      <c r="A6" s="4" t="inlineStr">
        <is>
          <t>Levantamiento del 2026-05-19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628351</v>
      </c>
      <c r="D10" s="26" t="n">
        <v>9411709</v>
      </c>
      <c r="E10" s="11" t="n">
        <v>1876.5</v>
      </c>
      <c r="F10" s="11" t="inlineStr"/>
      <c r="G10" s="11" t="inlineStr">
        <is>
          <t>Coordenada consignada en F-DT-01</t>
        </is>
      </c>
    </row>
    <row r="11">
      <c r="A11" s="12" t="inlineStr">
        <is>
          <t>H-01</t>
        </is>
      </c>
      <c r="B11" s="13" t="inlineStr">
        <is>
          <t>Fuente de agua — Río</t>
        </is>
      </c>
      <c r="C11" s="27" t="n">
        <v>628418</v>
      </c>
      <c r="D11" s="27" t="n">
        <v>9411155</v>
      </c>
      <c r="E11" s="13" t="n">
        <v>2338.6</v>
      </c>
      <c r="F11" s="13" t="inlineStr">
        <is>
          <t>Permanente</t>
        </is>
      </c>
      <c r="G11" s="13" t="inlineStr">
        <is>
          <t>Río Seco — cauce estacional</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629338</v>
      </c>
      <c r="C14" s="6" t="inlineStr">
        <is>
          <t>Centroide del bloque — UTM NORTE (m)</t>
        </is>
      </c>
      <c r="D14" s="7" t="n">
        <v>9413305</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NO SE INGRESÓ AL BLOQUE. OBSERVACIONES DESDE EL CP TÓRTOLA (628 351 E · 9 411 709 N), a ≈1.9 km al SO del centroide catastral (629 338 E · 9 413 300 N). Acompañante: Sr. Fidel Rodríguez Jiménez. Pendientes 25-48% (Google Earth). Altitud 188-415 msnm. TODA LA CARACTERIZACIÓN ES DE OBSERVACIÓN A DISTANCIA Y GABINETE.</t>
        </is>
      </c>
      <c r="B17" s="42" t="n"/>
      <c r="C17" s="42" t="n"/>
      <c r="D17" s="42" t="n"/>
      <c r="E17" s="42" t="n"/>
      <c r="F17" s="42" t="n"/>
      <c r="G17" s="43"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M3B9</t>
        </is>
      </c>
    </row>
    <row r="6" ht="24" customHeight="1">
      <c r="A6" s="4" t="inlineStr">
        <is>
          <t>Distrito de Salitral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4" t="inlineStr">
        <is>
          <t>► M3B9</t>
        </is>
      </c>
      <c r="B11" s="29" t="n">
        <v>294.2</v>
      </c>
      <c r="C11" s="30" t="n">
        <v>23.32</v>
      </c>
      <c r="D11" s="15" t="inlineStr">
        <is>
          <t>189 – 497</t>
        </is>
      </c>
      <c r="E11" s="15" t="n">
        <v>308</v>
      </c>
      <c r="F11" s="15" t="n">
        <v>17.69</v>
      </c>
      <c r="G11" s="31" t="n">
        <v>0.3214</v>
      </c>
      <c r="H11" s="30" t="n">
        <v>3.14</v>
      </c>
      <c r="I11" s="30" t="n">
        <v>99.40000000000001</v>
      </c>
    </row>
    <row r="12">
      <c r="A12" s="7" t="inlineStr">
        <is>
          <t>M3B7</t>
        </is>
      </c>
      <c r="B12" s="28" t="n">
        <v>122.95</v>
      </c>
      <c r="C12" s="19" t="n">
        <v>9.75</v>
      </c>
      <c r="D12" s="11" t="inlineStr">
        <is>
          <t>238 – 447</t>
        </is>
      </c>
      <c r="E12" s="11" t="n">
        <v>209</v>
      </c>
      <c r="F12" s="11" t="n">
        <v>18.21</v>
      </c>
      <c r="G12" s="18" t="n">
        <v>0.3707</v>
      </c>
      <c r="H12" s="19" t="n">
        <v>8</v>
      </c>
      <c r="I12" s="19" t="n">
        <v>95.93000000000001</v>
      </c>
    </row>
    <row r="13">
      <c r="A13" s="12" t="inlineStr">
        <is>
          <t>M3B3</t>
        </is>
      </c>
      <c r="B13" s="32" t="n">
        <v>84.81999999999999</v>
      </c>
      <c r="C13" s="21" t="n">
        <v>6.72</v>
      </c>
      <c r="D13" s="13" t="inlineStr">
        <is>
          <t>194 – 375</t>
        </is>
      </c>
      <c r="E13" s="13" t="n">
        <v>181</v>
      </c>
      <c r="F13" s="13" t="n">
        <v>18.87</v>
      </c>
      <c r="G13" s="20" t="n">
        <v>0.2985</v>
      </c>
      <c r="H13" s="21" t="n">
        <v>0.59</v>
      </c>
      <c r="I13" s="21" t="n">
        <v>99.89</v>
      </c>
    </row>
    <row r="14">
      <c r="A14" s="7" t="inlineStr">
        <is>
          <t>M3B1</t>
        </is>
      </c>
      <c r="B14" s="28" t="n">
        <v>80.98</v>
      </c>
      <c r="C14" s="19" t="n">
        <v>6.42</v>
      </c>
      <c r="D14" s="11" t="inlineStr">
        <is>
          <t>184 – 395</t>
        </is>
      </c>
      <c r="E14" s="11" t="n">
        <v>211</v>
      </c>
      <c r="F14" s="11" t="n">
        <v>19.4</v>
      </c>
      <c r="G14" s="18" t="n">
        <v>0.3239</v>
      </c>
      <c r="H14" s="19" t="n">
        <v>1.37</v>
      </c>
      <c r="I14" s="19" t="n">
        <v>99.83</v>
      </c>
    </row>
    <row r="15">
      <c r="A15" s="12" t="inlineStr">
        <is>
          <t>M3B6</t>
        </is>
      </c>
      <c r="B15" s="32" t="n">
        <v>60.35</v>
      </c>
      <c r="C15" s="21" t="n">
        <v>4.78</v>
      </c>
      <c r="D15" s="13" t="inlineStr">
        <is>
          <t>235 – 499</t>
        </is>
      </c>
      <c r="E15" s="13" t="n">
        <v>264</v>
      </c>
      <c r="F15" s="13" t="n">
        <v>23.39</v>
      </c>
      <c r="G15" s="20" t="n">
        <v>0.3425</v>
      </c>
      <c r="H15" s="21" t="n">
        <v>1.08</v>
      </c>
      <c r="I15" s="21" t="n">
        <v>99.73999999999999</v>
      </c>
    </row>
    <row r="16">
      <c r="A16" s="7" t="inlineStr">
        <is>
          <t>M3B5</t>
        </is>
      </c>
      <c r="B16" s="28" t="n">
        <v>52.74</v>
      </c>
      <c r="C16" s="19" t="n">
        <v>4.18</v>
      </c>
      <c r="D16" s="11" t="inlineStr">
        <is>
          <t>221 – 401</t>
        </is>
      </c>
      <c r="E16" s="11" t="n">
        <v>180</v>
      </c>
      <c r="F16" s="11" t="n">
        <v>18.94</v>
      </c>
      <c r="G16" s="18" t="n">
        <v>0.283</v>
      </c>
      <c r="H16" s="19" t="n">
        <v>0.13</v>
      </c>
      <c r="I16" s="19"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9" ht="84" customHeight="1">
      <c r="A19" s="9" t="inlineStr">
        <is>
          <t>LECTURA INTRAMICROCUENCA. El bloque M3B9 ocupa el puesto 2 de 7 por superficie dentro de la microcuenca C1081-Q9582 (23.32 % de las 1261.62 ha preliminares de la microcuenca). Su pendiente promedio (17.69 %, clase «15-25% (Fuert. inclinado)») es la 2.ª más baja de 7 y se sitúa por debajo del promedio de la microcuenca (18.59 %). Su MSAVI 2024 (0.3214) es el 4.º de 7 y queda por encima del promedio local (0.3190). Amplitud altitudinal del bloque: 308 m (189–497 msnm). El cuadro conserva todos los bloques catalogados en la microcuenca, incluidos los descartados en el tamizaje, para referencia del conjunto. Los bloques sin ficha DT figuran con sus parámetros de gabinete. BRECHA ESPECTRAL. El 99.40 % de la superficie del bloque (292.427 ha de 294.204 ha) se sitúa bajo el umbral MSAVI 0.4976, por encima del promedio local de la microcuenca (99.15 %) calculado sobre los bloques con dato MSAVI disponible.</t>
        </is>
      </c>
      <c r="B19" s="42" t="n"/>
      <c r="C19" s="42" t="n"/>
      <c r="D19" s="42" t="n"/>
      <c r="E19" s="42" t="n"/>
      <c r="F19" s="42" t="n"/>
      <c r="G19" s="42" t="n"/>
      <c r="H19" s="42" t="n"/>
      <c r="I19" s="43"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2" t="n"/>
      <c r="I21" s="43"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M3B9</t>
        </is>
      </c>
    </row>
    <row r="6">
      <c r="A6" s="53" t="inlineStr">
        <is>
          <t>Cruce de la ficha de campo F-DT vigente con la ficha de resumen de gabinete y el catálogo maestro. Integración 2026-09-11 21:26:37.</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«C1081-Q9582».</t>
        </is>
      </c>
      <c r="D9" s="57" t="inlineStr">
        <is>
          <t>CONFORME</t>
        </is>
      </c>
      <c r="E9" s="57" t="inlineStr">
        <is>
          <t>Sin acción.</t>
        </is>
      </c>
    </row>
    <row r="10">
      <c r="A10" s="58" t="inlineStr">
        <is>
          <t>G-02</t>
        </is>
      </c>
      <c r="B10" s="58" t="inlineStr">
        <is>
          <t>UTM del punto de muestreo</t>
        </is>
      </c>
      <c r="C10" s="58" t="inlineStr">
        <is>
          <t>El punto de muestreo declarado dista 1876.5 m del centroide del bloque, por encima del radio de control de 1500 m.</t>
        </is>
      </c>
      <c r="D10" s="58" t="inlineStr">
        <is>
          <t>NO SUSTANTIVA</t>
        </is>
      </c>
      <c r="E10" s="58" t="inlineStr">
        <is>
          <t>Se verifica en gabinete si la estación cae dentro del polígono; el dato de campo se conserva como referencia de acceso.</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(190 msnm) cae dentro del rango altitudinal del bloque (189 - 497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(294.318 ha) se desvía 0.04 % de la superficie de catálogo (294.20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(294.204 ha) se desvía 0.00 % de la superficie de catálogo (294.20 ha).</t>
        </is>
      </c>
      <c r="D14" s="58" t="inlineStr">
        <is>
          <t>CONFORME</t>
        </is>
      </c>
      <c r="E14" s="58" t="inlineStr">
        <is>
          <t>Sin acción: la segmentación valida la geometría del bloque.</t>
        </is>
      </c>
    </row>
    <row r="15">
      <c r="A15" s="57" t="inlineStr">
        <is>
          <t>G-07</t>
        </is>
      </c>
      <c r="B15" s="57" t="inlineStr">
        <is>
          <t>Brecha espectral MSAVI</t>
        </is>
      </c>
      <c r="C15" s="57" t="inlineStr">
        <is>
          <t>El 99.40 % del bloque queda bajo el umbral 0.4976; superficie de brecha 292.43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294.20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(0.3214)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Parcela de muestreo</t>
        </is>
      </c>
      <c r="C19" s="57" t="inlineStr">
        <is>
          <t>El libro de resumen V6 consignaba «No se estableció parcela (observación a distancia)»; la ficha de campo vigente declara «No se estableció parcela (obs. a distancia)».</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Causa subyacente principal</t>
        </is>
      </c>
      <c r="C20" s="58" t="inlineStr">
        <is>
          <t>El libro de resumen V6 consignaba «Pobreza rural; ausencia de gobernanza forestal y de mecanismos MERESE»; la ficha de campo vigente declara «Pobreza rural; ausencia de gobernanza forestal y MERESE».</t>
        </is>
      </c>
      <c r="D20" s="58" t="inlineStr">
        <is>
          <t>CORREGIDO</t>
        </is>
      </c>
      <c r="E20" s="58" t="inlineStr">
        <is>
          <t>Se adopta el valor de campo por ser la fuente que manda sobre el dato y la más reciente. El valor anterior queda declarado para trazabilidad.</t>
        </is>
      </c>
    </row>
    <row r="21">
      <c r="A21" s="57" t="inlineStr">
        <is>
          <t>I-03</t>
        </is>
      </c>
      <c r="B21" s="57" t="inlineStr">
        <is>
          <t>Responsable de la evaluación</t>
        </is>
      </c>
      <c r="C21" s="57" t="inlineStr">
        <is>
          <t>El libro de resumen V6 consignaba «Ing. H. Cahuas Miller»; la ficha de campo vigente declara «Brigada 1B — Ing. Héctor S. Cahuas Miller».</t>
        </is>
      </c>
      <c r="D21" s="57" t="inlineStr">
        <is>
          <t>CORREGIDO</t>
        </is>
      </c>
      <c r="E21" s="57" t="inlineStr">
        <is>
          <t>Se adopta el valor de campo por ser la fuente que manda sobre el dato y la más reciente. El valor anterior queda declarado para trazabilidad.</t>
        </is>
      </c>
    </row>
    <row r="22">
      <c r="A22" s="58" t="inlineStr">
        <is>
          <t>F-01</t>
        </is>
      </c>
      <c r="B22" s="58" t="inlineStr">
        <is>
          <t>Fichas F-DT levantadas</t>
        </is>
      </c>
      <c r="C22" s="58" t="inlineStr">
        <is>
          <t>La plantilla de campo trae las cinco fichas F-DT-01 a F-DT-05 (completitud 100.0 % de los campos esperados).</t>
        </is>
      </c>
      <c r="D22" s="58" t="inlineStr">
        <is>
          <t>CONFORME</t>
        </is>
      </c>
      <c r="E22" s="58" t="inlineStr">
        <is>
          <t>Sin acción.</t>
        </is>
      </c>
    </row>
    <row r="23">
      <c r="A23" s="57" t="inlineStr">
        <is>
          <t>F-02</t>
        </is>
      </c>
      <c r="B23" s="57" t="inlineStr">
        <is>
          <t>Cobertura de la integración</t>
        </is>
      </c>
      <c r="C23" s="57" t="inlineStr">
        <is>
          <t>Se declararon 110 de 114 hechos integrados (96.5 %); 4 quedan sin dato en ninguna fuente.</t>
        </is>
      </c>
      <c r="D23" s="57" t="inlineStr">
        <is>
          <t>CONFORME</t>
        </is>
      </c>
      <c r="E23" s="57" t="inlineStr">
        <is>
          <t>Sin acción.</t>
        </is>
      </c>
    </row>
    <row r="24">
      <c r="A24" s="58" t="inlineStr">
        <is>
          <t>H-01</t>
        </is>
      </c>
      <c r="B24" s="58" t="inlineStr">
        <is>
          <t>Rango de pendiente dominante</t>
        </is>
      </c>
      <c r="C24" s="58" t="inlineStr">
        <is>
          <t>La ficha DT declara «25-50% (Mod. escarpado)»; la estadística zonal sobre el MDE arroja una pendiente promedio de 17.69 %, que corresponde a la clase «15-25% (Fuert. inclinado)»</t>
        </is>
      </c>
      <c r="D24" s="58" t="inlineStr">
        <is>
          <t>NO SUSTANTIVA</t>
        </is>
      </c>
      <c r="E24" s="58"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5">
      <c r="A25" s="57" t="inlineStr">
        <is>
          <t>H-02</t>
        </is>
      </c>
      <c r="B25" s="57" t="inlineStr">
        <is>
          <t>Cobertura vegetal total</t>
        </is>
      </c>
      <c r="C25" s="57" t="inlineStr">
        <is>
          <t>La ficha DT estima 45 % de cobertura vegetal en campo; el NDVI mediana 2025 clasifica 91.85 % del polígono en clases de vegetación</t>
        </is>
      </c>
      <c r="D25" s="57" t="inlineStr">
        <is>
          <t>NO SUSTANTIVA</t>
        </is>
      </c>
      <c r="E25"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6">
      <c r="A26" s="58" t="inlineStr">
        <is>
          <t>H-03</t>
        </is>
      </c>
      <c r="B26" s="58" t="inlineStr">
        <is>
          <t>Elenco florístico</t>
        </is>
      </c>
      <c r="C26" s="58" t="inlineStr">
        <is>
          <t>La ficha registra 10 taxones, por debajo del mínimo de 15 que exige el formato V5</t>
        </is>
      </c>
      <c r="D26" s="58" t="inlineStr">
        <is>
          <t>SUSTANTIVA</t>
        </is>
      </c>
      <c r="E26" s="58" t="inlineStr">
        <is>
          <t>Registro florístico preliminar, sin colecta ni determinación botánica formal. Debe cerrarse con colecta botánica en la siguiente campaña. (Verificación heredada de la ficha de resumen V6.)</t>
        </is>
      </c>
    </row>
    <row r="27">
      <c r="A27" s="57" t="inlineStr">
        <is>
          <t>H-04</t>
        </is>
      </c>
      <c r="B27" s="57" t="inlineStr">
        <is>
          <t>Representatividad del levantamiento</t>
        </is>
      </c>
      <c r="C27" s="57" t="inlineStr">
        <is>
          <t>Ninguna de las estaciones fotográficas georreferenciadas se localiza dentro del polígono del bloque</t>
        </is>
      </c>
      <c r="D27" s="57" t="inlineStr">
        <is>
          <t>SUSTANTIVA</t>
        </is>
      </c>
      <c r="E27" s="57" t="inlineStr">
        <is>
          <t>La verificación documenta el perímetro y la vista panorámica del bloque, no su interior. Los parámetros que exigen recorrido interno se consignan «Por determinar». (Verificación heredada de la ficha de resumen V6.)</t>
        </is>
      </c>
    </row>
    <row r="28">
      <c r="A28" s="58" t="inlineStr">
        <is>
          <t>H-05</t>
        </is>
      </c>
      <c r="B28" s="58" t="inlineStr">
        <is>
          <t>Centro poblado asociado</t>
        </is>
      </c>
      <c r="C28" s="58" t="inlineStr">
        <is>
          <t>La ficha DT declara «CP Tórtola / CP San Pedro»; el cruce INEI-Bloques V5 identifica 1 centro(s) poblado(s) en el bloque: TORTOLA</t>
        </is>
      </c>
      <c r="D28" s="58" t="inlineStr">
        <is>
          <t>NO SUSTANTIVA</t>
        </is>
      </c>
      <c r="E28" s="58" t="inlineStr">
        <is>
          <t>Se conserva el registro de campo como referencia y se adopta el listado INEI para el diagnóstico social y el cálculo de población beneficiaria. (Verificación heredada de la ficha de resumen V6.)</t>
        </is>
      </c>
    </row>
    <row r="29">
      <c r="A29" s="57" t="inlineStr">
        <is>
          <t>H-06</t>
        </is>
      </c>
      <c r="B29" s="57" t="inlineStr">
        <is>
          <t>Plan de Ingreso</t>
        </is>
      </c>
      <c r="C29" s="57" t="inlineStr">
        <is>
          <t>Altitud = 0 msnm (captura por defecto del aplicativo)</t>
        </is>
      </c>
      <c r="D29" s="57" t="inlineStr">
        <is>
          <t>CORREGIDO</t>
        </is>
      </c>
      <c r="E29" s="57" t="inlineStr">
        <is>
          <t>Se reemplaza por el rango observado 188-415 msnm (Verificación heredada de la ficha de resumen V6.)</t>
        </is>
      </c>
    </row>
    <row r="30">
      <c r="A30" s="58" t="inlineStr">
        <is>
          <t>H-07</t>
        </is>
      </c>
      <c r="B30" s="58" t="inlineStr">
        <is>
          <t>F-DT-01</t>
        </is>
      </c>
      <c r="C30" s="58" t="inlineStr">
        <is>
          <t>NO SE INGRESÓ AL BLOQUE: toda la caracterización procede de observación a distancia desde el CP Tórtola y de gabinete</t>
        </is>
      </c>
      <c r="D30" s="58" t="inlineStr">
        <is>
          <t>SUSTANTIVA</t>
        </is>
      </c>
      <c r="E30" s="58" t="inlineStr">
        <is>
          <t>Verificación directa pendiente en su totalidad (Verificación heredada de la ficha de resumen V6.)</t>
        </is>
      </c>
    </row>
    <row r="31">
      <c r="A31" s="57" t="inlineStr">
        <is>
          <t>H-08</t>
        </is>
      </c>
      <c r="B31" s="57" t="inlineStr">
        <is>
          <t>F-DT-02</t>
        </is>
      </c>
      <c r="C31" s="57" t="inlineStr">
        <is>
          <t>Inventario de cárcavas no ejecutado; % de bloque afectado estimado POR ANALOGÍA con M3B1</t>
        </is>
      </c>
      <c r="D31" s="57" t="inlineStr">
        <is>
          <t>SUSTANTIVA</t>
        </is>
      </c>
      <c r="E31" s="57" t="inlineStr">
        <is>
          <t>Estimación por analogía, no medición (Verificación heredada de la ficha de resumen V6.)</t>
        </is>
      </c>
    </row>
    <row r="32">
      <c r="A32" s="58" t="inlineStr">
        <is>
          <t>H-09</t>
        </is>
      </c>
      <c r="B32" s="58" t="inlineStr">
        <is>
          <t>F-DT-03</t>
        </is>
      </c>
      <c r="C32" s="58" t="inlineStr">
        <is>
          <t>Inventario florístico referencial por analogía con M3B1/M3B8 e información de poblador local (10 taxones)</t>
        </is>
      </c>
      <c r="D32" s="58" t="inlineStr">
        <is>
          <t>SUSTANTIVA</t>
        </is>
      </c>
      <c r="E32" s="58" t="inlineStr">
        <is>
          <t>Requiere validación con parcelas de muestreo in situ (Verificación heredada de la ficha de resumen V6.)</t>
        </is>
      </c>
    </row>
    <row r="33">
      <c r="A33" s="57" t="inlineStr">
        <is>
          <t>H-10</t>
        </is>
      </c>
      <c r="B33" s="57" t="inlineStr">
        <is>
          <t>F-DT-04</t>
        </is>
      </c>
      <c r="C33" s="57" t="inlineStr">
        <is>
          <t>Varios indicadores expresados como rangos y no como valores puntuales; carga ganadera sin valor numérico</t>
        </is>
      </c>
      <c r="D33" s="57" t="inlineStr">
        <is>
          <t>NO SUSTANTIVA</t>
        </is>
      </c>
      <c r="E33" s="57" t="inlineStr">
        <is>
          <t>Normalizar el registro (Verificación heredada de la ficha de resumen V6.)</t>
        </is>
      </c>
    </row>
    <row r="34">
      <c r="A34" s="58" t="inlineStr">
        <is>
          <t>H-11</t>
        </is>
      </c>
      <c r="B34" s="58" t="inlineStr">
        <is>
          <t>F-DT-05</t>
        </is>
      </c>
      <c r="C34" s="58" t="inlineStr">
        <is>
          <t>Acceso con caminata &gt;90 min o acémila; puente badén solo para vehículos menores</t>
        </is>
      </c>
      <c r="D34" s="58" t="inlineStr">
        <is>
          <t>SUSTANTIVA</t>
        </is>
      </c>
      <c r="E34" s="58" t="inlineStr">
        <is>
          <t>Factor logístico crítico para 294.20 ha: dimensionar en cronograma y presupuesto (Verificación heredada de la ficha de resumen V6.)</t>
        </is>
      </c>
    </row>
    <row r="36">
      <c r="A36" s="59" t="inlineStr">
        <is>
          <t>RESUMEN</t>
        </is>
      </c>
      <c r="B36" s="60" t="inlineStr">
        <is>
          <t>26 verificaciones</t>
        </is>
      </c>
      <c r="C36" s="60" t="inlineStr">
        <is>
          <t>SUSTANTIVA: 7 · NO SUSTANTIVA: 5 · CORREGIDO: 4 · CONFORME: 10</t>
        </is>
      </c>
    </row>
    <row r="38">
      <c r="A38"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38:E38"/>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M3B9</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5. Ecosistema, cobertura y flora (F-DT-03)</t>
        </is>
      </c>
      <c r="B9" s="57" t="inlineStr">
        <is>
          <t>Parcela de muestreo</t>
        </is>
      </c>
      <c r="C9" s="57" t="inlineStr">
        <is>
          <t>No se estableció parcela (observación a distancia)</t>
        </is>
      </c>
      <c r="D9" s="57" t="inlineStr">
        <is>
          <t>No se estableció parcela (obs. a distancia)</t>
        </is>
      </c>
      <c r="E9" s="57" t="inlineStr">
        <is>
          <t>Dato de campo</t>
        </is>
      </c>
    </row>
    <row r="10">
      <c r="A10" s="58" t="inlineStr">
        <is>
          <t>6. Degradación, causas y urgencia (F-DT-04)</t>
        </is>
      </c>
      <c r="B10" s="58" t="inlineStr">
        <is>
          <t>Causa subyacente principal</t>
        </is>
      </c>
      <c r="C10" s="58" t="inlineStr">
        <is>
          <t>Pobreza rural; ausencia de gobernanza forestal y de mecanismos MERESE</t>
        </is>
      </c>
      <c r="D10" s="58" t="inlineStr">
        <is>
          <t>Pobreza rural; ausencia de gobernanza forestal y MERESE</t>
        </is>
      </c>
      <c r="E10" s="58" t="inlineStr">
        <is>
          <t>Dato de campo</t>
        </is>
      </c>
    </row>
    <row r="11">
      <c r="A11" s="57" t="inlineStr">
        <is>
          <t>8. Responsable y modalidad de la evaluación</t>
        </is>
      </c>
      <c r="B11" s="57" t="inlineStr">
        <is>
          <t>Responsable de la evaluación</t>
        </is>
      </c>
      <c r="C11" s="57" t="inlineStr">
        <is>
          <t>Ing. H. Cahuas Miller</t>
        </is>
      </c>
      <c r="D11" s="57" t="inlineStr">
        <is>
          <t>Brigada 1B — Ing. Héctor S. Cahuas Miller</t>
        </is>
      </c>
      <c r="E11" s="57" t="inlineStr">
        <is>
          <t>Dato de campo</t>
        </is>
      </c>
    </row>
    <row r="13">
      <c r="A13" s="55" t="inlineStr">
        <is>
          <t>B. HECHOS APORTADOS ÚNICAMENTE POR LA FICHA DE CAMPO</t>
        </is>
      </c>
    </row>
    <row r="14">
      <c r="A14" s="56" t="inlineStr">
        <is>
          <t>Sección</t>
        </is>
      </c>
      <c r="B14" s="56" t="inlineStr">
        <is>
          <t>Hecho</t>
        </is>
      </c>
      <c r="C14" s="56" t="inlineStr">
        <is>
          <t>Valor</t>
        </is>
      </c>
      <c r="D14" s="56" t="inlineStr">
        <is>
          <t>Unidad</t>
        </is>
      </c>
    </row>
    <row r="15">
      <c r="A15" s="57" t="inlineStr">
        <is>
          <t>1. Identificación y localización</t>
        </is>
      </c>
      <c r="B15" s="57" t="inlineStr">
        <is>
          <t>UTM ESTE del punto de muestreo (m)</t>
        </is>
      </c>
      <c r="C15" s="57" t="inlineStr">
        <is>
          <t>628351</t>
        </is>
      </c>
      <c r="D15" s="57" t="inlineStr">
        <is>
          <t>m</t>
        </is>
      </c>
    </row>
    <row r="16">
      <c r="A16" s="58" t="inlineStr">
        <is>
          <t>1. Identificación y localización</t>
        </is>
      </c>
      <c r="B16" s="58" t="inlineStr">
        <is>
          <t>UTM NORTE del punto de muestreo (m)</t>
        </is>
      </c>
      <c r="C16" s="58" t="inlineStr">
        <is>
          <t>9411709</t>
        </is>
      </c>
      <c r="D16" s="58" t="inlineStr">
        <is>
          <t>m</t>
        </is>
      </c>
    </row>
    <row r="17">
      <c r="A17" s="57" t="inlineStr">
        <is>
          <t>2. Parámetros físicos del terreno</t>
        </is>
      </c>
      <c r="B17" s="57" t="inlineStr">
        <is>
          <t>Altitud GPS del punto de muestreo (msnm)</t>
        </is>
      </c>
      <c r="C17" s="57" t="inlineStr">
        <is>
          <t>190</t>
        </is>
      </c>
      <c r="D17" s="57" t="inlineStr">
        <is>
          <t>msnm</t>
        </is>
      </c>
    </row>
    <row r="18">
      <c r="A18" s="58" t="inlineStr">
        <is>
          <t>2. Parámetros físicos del terreno</t>
        </is>
      </c>
      <c r="B18" s="58" t="inlineStr">
        <is>
          <t>Piso altitudinal del punto de muestreo</t>
        </is>
      </c>
      <c r="C18" s="58" t="inlineStr">
        <is>
          <t>&lt;1000 m (Yunga)</t>
        </is>
      </c>
      <c r="D18" s="58" t="inlineStr"/>
    </row>
    <row r="19">
      <c r="A19" s="57" t="inlineStr">
        <is>
          <t>2. Parámetros físicos del terreno</t>
        </is>
      </c>
      <c r="B19" s="57" t="inlineStr">
        <is>
          <t>Paisaje dominante descrito en campo</t>
        </is>
      </c>
      <c r="C19" s="57" t="inlineStr">
        <is>
          <t>Laderas de Bes-cm degradado; suelo pardo-rojizo expuesto intercalado con parches arbustivos; relictos arbóreos en cotas altas (&gt;350 msnm).</t>
        </is>
      </c>
      <c r="D19" s="57" t="inlineStr"/>
    </row>
    <row r="20">
      <c r="A20" s="58" t="inlineStr">
        <is>
          <t>2. Parámetros físicos del terreno</t>
        </is>
      </c>
      <c r="B20" s="58" t="inlineStr">
        <is>
          <t>Reptación de suelo</t>
        </is>
      </c>
      <c r="C20" s="58" t="inlineStr">
        <is>
          <t>No</t>
        </is>
      </c>
      <c r="D20" s="58" t="inlineStr"/>
    </row>
    <row r="21">
      <c r="A21" s="57" t="inlineStr">
        <is>
          <t>2. Parámetros físicos del terreno</t>
        </is>
      </c>
      <c r="B21" s="57" t="inlineStr">
        <is>
          <t>Deslizamientos antiguos</t>
        </is>
      </c>
      <c r="C21" s="57" t="inlineStr">
        <is>
          <t>No</t>
        </is>
      </c>
      <c r="D21" s="57" t="inlineStr"/>
    </row>
    <row r="22">
      <c r="A22" s="58" t="inlineStr">
        <is>
          <t>4. Suelos y erosión (F-DT-02)</t>
        </is>
      </c>
      <c r="B22" s="58" t="inlineStr">
        <is>
          <t>Nivel de erosión - síntesis de campo</t>
        </is>
      </c>
      <c r="C22" s="58" t="inlineStr">
        <is>
          <t>Fuerte (cárcavas incipientes)</t>
        </is>
      </c>
      <c r="D22" s="58" t="inlineStr"/>
    </row>
    <row r="23">
      <c r="A23" s="57" t="inlineStr">
        <is>
          <t>4. Suelos y erosión (F-DT-02)</t>
        </is>
      </c>
      <c r="B23" s="57" t="inlineStr">
        <is>
          <t>Sellamiento / costra superficial</t>
        </is>
      </c>
      <c r="C23" s="57" t="inlineStr">
        <is>
          <t>Sí</t>
        </is>
      </c>
      <c r="D23" s="57" t="inlineStr"/>
    </row>
    <row r="24">
      <c r="A24" s="58" t="inlineStr">
        <is>
          <t>4. Suelos y erosión (F-DT-02)</t>
        </is>
      </c>
      <c r="B24" s="58" t="inlineStr">
        <is>
          <t>Compactación por pisoteo</t>
        </is>
      </c>
      <c r="C24" s="58" t="inlineStr">
        <is>
          <t>Sí</t>
        </is>
      </c>
      <c r="D24" s="58" t="inlineStr"/>
    </row>
    <row r="25">
      <c r="A25" s="57" t="inlineStr">
        <is>
          <t>4. Suelos y erosión (F-DT-02)</t>
        </is>
      </c>
      <c r="B25" s="57" t="inlineStr">
        <is>
          <t>Raíces expuestas</t>
        </is>
      </c>
      <c r="C25" s="57" t="inlineStr">
        <is>
          <t>No evaluable (observación a distancia)</t>
        </is>
      </c>
      <c r="D25" s="57" t="inlineStr"/>
    </row>
    <row r="26">
      <c r="A26" s="58" t="inlineStr">
        <is>
          <t>4. Suelos y erosión (F-DT-02)</t>
        </is>
      </c>
      <c r="B26" s="58" t="inlineStr">
        <is>
          <t>Longitud total de cárcavas (m)</t>
        </is>
      </c>
      <c r="C26" s="58" t="inlineStr">
        <is>
          <t>N/A</t>
        </is>
      </c>
      <c r="D26" s="58" t="inlineStr">
        <is>
          <t>m</t>
        </is>
      </c>
    </row>
    <row r="27">
      <c r="A27" s="57" t="inlineStr">
        <is>
          <t>4. Suelos y erosión (F-DT-02)</t>
        </is>
      </c>
      <c r="B27" s="57" t="inlineStr">
        <is>
          <t>% del bloque afectado por cárcavas</t>
        </is>
      </c>
      <c r="C27" s="57" t="inlineStr">
        <is>
          <t>3-8% (est. analogía M3B1)</t>
        </is>
      </c>
      <c r="D27" s="57" t="inlineStr">
        <is>
          <t>%</t>
        </is>
      </c>
    </row>
    <row r="28">
      <c r="A28" s="58" t="inlineStr">
        <is>
          <t>4. Suelos y erosión (F-DT-02)</t>
        </is>
      </c>
      <c r="B28" s="58" t="inlineStr">
        <is>
          <t>Erosión laminar (% del bloque)</t>
        </is>
      </c>
      <c r="C28" s="58" t="inlineStr">
        <is>
          <t>40-55%</t>
        </is>
      </c>
      <c r="D28" s="58" t="inlineStr">
        <is>
          <t>%</t>
        </is>
      </c>
    </row>
    <row r="29">
      <c r="A29" s="57" t="inlineStr">
        <is>
          <t>4. Suelos y erosión (F-DT-02)</t>
        </is>
      </c>
      <c r="B29" s="57" t="inlineStr">
        <is>
          <t>Patrón de cárcavas</t>
        </is>
      </c>
      <c r="C29" s="57" t="inlineStr">
        <is>
          <t>Paralelo</t>
        </is>
      </c>
      <c r="D29" s="57" t="inlineStr"/>
    </row>
    <row r="30">
      <c r="A30" s="58" t="inlineStr">
        <is>
          <t>4. Suelos y erosión (F-DT-02)</t>
        </is>
      </c>
      <c r="B30" s="58" t="inlineStr">
        <is>
          <t>Socavamiento de cauce</t>
        </is>
      </c>
      <c r="C30" s="58" t="inlineStr">
        <is>
          <t>Sí</t>
        </is>
      </c>
      <c r="D30" s="58" t="inlineStr"/>
    </row>
    <row r="31">
      <c r="A31" s="57" t="inlineStr">
        <is>
          <t>5. Ecosistema, cobertura y flora (F-DT-03)</t>
        </is>
      </c>
      <c r="B31" s="57" t="inlineStr">
        <is>
          <t>Cobertura del dosel (%)</t>
        </is>
      </c>
      <c r="C31" s="57" t="inlineStr">
        <is>
          <t>15</t>
        </is>
      </c>
      <c r="D31" s="57" t="inlineStr">
        <is>
          <t>%</t>
        </is>
      </c>
    </row>
    <row r="32">
      <c r="A32" s="58" t="inlineStr">
        <is>
          <t>5. Ecosistema, cobertura y flora (F-DT-03)</t>
        </is>
      </c>
      <c r="B32" s="58" t="inlineStr">
        <is>
          <t>Cobertura arbustiva (%)</t>
        </is>
      </c>
      <c r="C32" s="58" t="inlineStr">
        <is>
          <t>20</t>
        </is>
      </c>
      <c r="D32" s="58" t="inlineStr">
        <is>
          <t>%</t>
        </is>
      </c>
    </row>
    <row r="33">
      <c r="A33" s="57" t="inlineStr">
        <is>
          <t>5. Ecosistema, cobertura y flora (F-DT-03)</t>
        </is>
      </c>
      <c r="B33" s="57" t="inlineStr">
        <is>
          <t>Cobertura herbácea (%)</t>
        </is>
      </c>
      <c r="C33" s="57" t="inlineStr">
        <is>
          <t>15</t>
        </is>
      </c>
      <c r="D33" s="57" t="inlineStr">
        <is>
          <t>%</t>
        </is>
      </c>
    </row>
    <row r="34">
      <c r="A34" s="58" t="inlineStr">
        <is>
          <t>5. Ecosistema, cobertura y flora (F-DT-03)</t>
        </is>
      </c>
      <c r="B34" s="58" t="inlineStr">
        <is>
          <t>Cobertura de hojarasca (%)</t>
        </is>
      </c>
      <c r="C34" s="58" t="inlineStr">
        <is>
          <t>8</t>
        </is>
      </c>
      <c r="D34" s="58" t="inlineStr">
        <is>
          <t>%</t>
        </is>
      </c>
    </row>
    <row r="35">
      <c r="A35" s="57" t="inlineStr">
        <is>
          <t>5. Ecosistema, cobertura y flora (F-DT-03)</t>
        </is>
      </c>
      <c r="B35" s="57" t="inlineStr">
        <is>
          <t>Altura del estrato dominante (m)</t>
        </is>
      </c>
      <c r="C35" s="57" t="inlineStr">
        <is>
          <t>4-6</t>
        </is>
      </c>
      <c r="D35" s="57" t="inlineStr">
        <is>
          <t>m</t>
        </is>
      </c>
    </row>
    <row r="36">
      <c r="A36" s="58" t="inlineStr">
        <is>
          <t>5. Ecosistema, cobertura y flora (F-DT-03)</t>
        </is>
      </c>
      <c r="B36" s="58" t="inlineStr">
        <is>
          <t>Altura máxima registrada (m)</t>
        </is>
      </c>
      <c r="C36" s="58" t="inlineStr">
        <is>
          <t>8-12</t>
        </is>
      </c>
      <c r="D36" s="58" t="inlineStr">
        <is>
          <t>m</t>
        </is>
      </c>
    </row>
    <row r="37">
      <c r="A37" s="57" t="inlineStr">
        <is>
          <t>5. Ecosistema, cobertura y flora (F-DT-03)</t>
        </is>
      </c>
      <c r="B37" s="57" t="inlineStr">
        <is>
          <t>DAP promedio (cm)</t>
        </is>
      </c>
      <c r="C37" s="57" t="inlineStr">
        <is>
          <t>15-25 (estimado)</t>
        </is>
      </c>
      <c r="D37" s="57" t="inlineStr">
        <is>
          <t>cm</t>
        </is>
      </c>
    </row>
    <row r="38">
      <c r="A38" s="58" t="inlineStr">
        <is>
          <t>5. Ecosistema, cobertura y flora (F-DT-03)</t>
        </is>
      </c>
      <c r="B38" s="58" t="inlineStr">
        <is>
          <t>Presencia de epífitas</t>
        </is>
      </c>
      <c r="C38" s="58" t="inlineStr">
        <is>
          <t>No evaluable (distancia)</t>
        </is>
      </c>
      <c r="D38" s="58" t="inlineStr"/>
    </row>
    <row r="39">
      <c r="A39" s="57" t="inlineStr">
        <is>
          <t>5. Ecosistema, cobertura y flora (F-DT-03)</t>
        </is>
      </c>
      <c r="B39" s="57" t="inlineStr">
        <is>
          <t>Fenología dominante</t>
        </is>
      </c>
      <c r="C39" s="57" t="inlineStr">
        <is>
          <t>Floración</t>
        </is>
      </c>
      <c r="D39" s="57" t="inlineStr"/>
    </row>
    <row r="40">
      <c r="A40" s="58" t="inlineStr">
        <is>
          <t>5. Ecosistema, cobertura y flora (F-DT-03)</t>
        </is>
      </c>
      <c r="B40" s="58" t="inlineStr">
        <is>
          <t>Dimensiones de la parcela (m)</t>
        </is>
      </c>
      <c r="C40" s="58" t="inlineStr">
        <is>
          <t>N/A</t>
        </is>
      </c>
      <c r="D40" s="58" t="inlineStr"/>
    </row>
    <row r="41">
      <c r="A41" s="57" t="inlineStr">
        <is>
          <t>5. Ecosistema, cobertura y flora (F-DT-03)</t>
        </is>
      </c>
      <c r="B41" s="57" t="inlineStr">
        <is>
          <t>Pendiente de la parcela (%)</t>
        </is>
      </c>
      <c r="C41" s="57" t="inlineStr">
        <is>
          <t>25-50</t>
        </is>
      </c>
      <c r="D41" s="57" t="inlineStr">
        <is>
          <t>%</t>
        </is>
      </c>
    </row>
    <row r="42">
      <c r="A42" s="58" t="inlineStr">
        <is>
          <t>5. Ecosistema, cobertura y flora (F-DT-03)</t>
        </is>
      </c>
      <c r="B42" s="58" t="inlineStr">
        <is>
          <t>Especies clave georreferenciadas</t>
        </is>
      </c>
      <c r="C42" s="58" t="inlineStr">
        <is>
          <t>3</t>
        </is>
      </c>
      <c r="D42" s="58" t="inlineStr"/>
    </row>
    <row r="43">
      <c r="A43" s="57" t="inlineStr">
        <is>
          <t>6. Degradación, causas y urgencia (F-DT-04)</t>
        </is>
      </c>
      <c r="B43" s="57" t="inlineStr">
        <is>
          <t>Causas directas de la degradación</t>
        </is>
      </c>
      <c r="C43" s="57" t="inlineStr">
        <is>
          <t>Sobrepastoreo caprino crónico (&gt;30 años) y tala selectiva de Hualtaco, Palo Santo, Ceibo</t>
        </is>
      </c>
      <c r="D43" s="57" t="inlineStr"/>
    </row>
    <row r="44">
      <c r="A44" s="58" t="inlineStr">
        <is>
          <t>6. Degradación, causas y urgencia (F-DT-04)</t>
        </is>
      </c>
      <c r="B44" s="58" t="inlineStr">
        <is>
          <t>N.° de causas activas en la matriz F-DT-04</t>
        </is>
      </c>
      <c r="C44" s="58" t="inlineStr">
        <is>
          <t>8</t>
        </is>
      </c>
      <c r="D44" s="58" t="inlineStr"/>
    </row>
    <row r="45">
      <c r="A45" s="57" t="inlineStr">
        <is>
          <t>7. Hidrología, acceso y logística (F-DT-05)</t>
        </is>
      </c>
      <c r="B45" s="57" t="inlineStr">
        <is>
          <t>Escorrentía concentrada</t>
        </is>
      </c>
      <c r="C45" s="57" t="inlineStr">
        <is>
          <t>Sí</t>
        </is>
      </c>
      <c r="D45" s="57" t="inlineStr"/>
    </row>
    <row r="46">
      <c r="A46" s="58" t="inlineStr">
        <is>
          <t>7. Hidrología, acceso y logística (F-DT-05)</t>
        </is>
      </c>
      <c r="B46" s="58" t="inlineStr">
        <is>
          <t>Fuentes de agua inventariadas</t>
        </is>
      </c>
      <c r="C46" s="58" t="inlineStr">
        <is>
          <t>1</t>
        </is>
      </c>
      <c r="D46" s="58" t="inlineStr"/>
    </row>
    <row r="47">
      <c r="A47" s="57" t="inlineStr">
        <is>
          <t>7. Hidrología, acceso y logística (F-DT-05)</t>
        </is>
      </c>
      <c r="B47" s="57" t="inlineStr">
        <is>
          <t>Interferencia con riego</t>
        </is>
      </c>
      <c r="C47" s="57" t="inlineStr">
        <is>
          <t>No</t>
        </is>
      </c>
      <c r="D47" s="57" t="inlineStr"/>
    </row>
    <row r="48">
      <c r="A48" s="58" t="inlineStr">
        <is>
          <t>7. Hidrología, acceso y logística (F-DT-05)</t>
        </is>
      </c>
      <c r="B48" s="58" t="inlineStr">
        <is>
          <t>Vía principal de acceso</t>
        </is>
      </c>
      <c r="C48" s="58" t="inlineStr">
        <is>
          <t>PI-815 (vía vecinal Salitral – Tórtola)</t>
        </is>
      </c>
      <c r="D48" s="58" t="inlineStr"/>
    </row>
    <row r="49">
      <c r="A49" s="57" t="inlineStr">
        <is>
          <t>7. Hidrología, acceso y logística (F-DT-05)</t>
        </is>
      </c>
      <c r="B49" s="57" t="inlineStr">
        <is>
          <t>Tipo de vía del tramo final</t>
        </is>
      </c>
      <c r="C49" s="57" t="inlineStr">
        <is>
          <t>Trocha carrozable</t>
        </is>
      </c>
      <c r="D49" s="57" t="inlineStr"/>
    </row>
    <row r="50">
      <c r="A50" s="58" t="inlineStr">
        <is>
          <t>7. Hidrología, acceso y logística (F-DT-05)</t>
        </is>
      </c>
      <c r="B50" s="58" t="inlineStr">
        <is>
          <t>Transitabilidad en época seca</t>
        </is>
      </c>
      <c r="C50" s="58" t="inlineStr">
        <is>
          <t>Medio</t>
        </is>
      </c>
      <c r="D50" s="58" t="inlineStr"/>
    </row>
    <row r="51">
      <c r="A51" s="57" t="inlineStr">
        <is>
          <t>7. Hidrología, acceso y logística (F-DT-05)</t>
        </is>
      </c>
      <c r="B51" s="57" t="inlineStr">
        <is>
          <t>Transitabilidad en época lluviosa</t>
        </is>
      </c>
      <c r="C51" s="57" t="inlineStr">
        <is>
          <t>Bajo</t>
        </is>
      </c>
      <c r="D51" s="57" t="inlineStr"/>
    </row>
    <row r="52">
      <c r="A52" s="58" t="inlineStr">
        <is>
          <t>7. Hidrología, acceso y logística (F-DT-05)</t>
        </is>
      </c>
      <c r="B52" s="58" t="inlineStr">
        <is>
          <t>Tiempo a la capital distrital (min)</t>
        </is>
      </c>
      <c r="C52" s="58" t="inlineStr">
        <is>
          <t>45</t>
        </is>
      </c>
      <c r="D52" s="58" t="inlineStr">
        <is>
          <t>min</t>
        </is>
      </c>
    </row>
    <row r="53">
      <c r="A53" s="57" t="inlineStr">
        <is>
          <t>7. Hidrología, acceso y logística (F-DT-05)</t>
        </is>
      </c>
      <c r="B53" s="57" t="inlineStr">
        <is>
          <t>Señal celular</t>
        </is>
      </c>
      <c r="C53" s="57" t="inlineStr">
        <is>
          <t>Parcial</t>
        </is>
      </c>
      <c r="D53" s="57" t="inlineStr"/>
    </row>
    <row r="54">
      <c r="A54" s="58" t="inlineStr">
        <is>
          <t>7. Hidrología, acceso y logística (F-DT-05)</t>
        </is>
      </c>
      <c r="B54" s="58" t="inlineStr">
        <is>
          <t>Operador con cobertura</t>
        </is>
      </c>
      <c r="C54" s="58" t="inlineStr">
        <is>
          <t>Movistar</t>
        </is>
      </c>
      <c r="D54" s="58" t="inlineStr"/>
    </row>
    <row r="55">
      <c r="A55" s="57" t="inlineStr">
        <is>
          <t>7. Hidrología, acceso y logística (F-DT-05)</t>
        </is>
      </c>
      <c r="B55" s="57" t="inlineStr">
        <is>
          <t>Alojamiento disponible en la zona</t>
        </is>
      </c>
      <c r="C55" s="57" t="inlineStr">
        <is>
          <t>No</t>
        </is>
      </c>
      <c r="D55" s="57" t="inlineStr"/>
    </row>
    <row r="56">
      <c r="A56" s="58" t="inlineStr">
        <is>
          <t>7. Hidrología, acceso y logística (F-DT-05)</t>
        </is>
      </c>
      <c r="B56" s="58" t="inlineStr">
        <is>
          <t>Requiere coordinación con ronda / comunidad</t>
        </is>
      </c>
      <c r="C56" s="58" t="inlineStr">
        <is>
          <t>Sí</t>
        </is>
      </c>
      <c r="D56" s="58" t="inlineStr"/>
    </row>
    <row r="57">
      <c r="A57" s="57" t="inlineStr">
        <is>
          <t>7. Hidrología, acceso y logística (F-DT-05)</t>
        </is>
      </c>
      <c r="B57" s="57" t="inlineStr">
        <is>
          <t>Contacto local de coordinación</t>
        </is>
      </c>
      <c r="C57" s="57" t="inlineStr">
        <is>
          <t>Sr. Fidel Rodríguez Jiménez — líder comunitario CP Tórtola, experiencia ONG</t>
        </is>
      </c>
      <c r="D57" s="57" t="inlineStr"/>
    </row>
    <row r="59">
      <c r="A59" s="55" t="inlineStr">
        <is>
          <t>C. PROCEDENCIA DE LOS HECHOS DECLARADOS</t>
        </is>
      </c>
    </row>
    <row r="60">
      <c r="A60" s="56" t="inlineStr">
        <is>
          <t>Fuente</t>
        </is>
      </c>
      <c r="B60" s="56" t="inlineStr">
        <is>
          <t>Hechos</t>
        </is>
      </c>
      <c r="C60" s="56" t="inlineStr">
        <is>
          <t>Alcance de la fuente</t>
        </is>
      </c>
    </row>
    <row r="61">
      <c r="A61" s="57" t="inlineStr">
        <is>
          <t>Dato de campo</t>
        </is>
      </c>
      <c r="B61" s="57" t="n">
        <v>74</v>
      </c>
      <c r="C61" s="57" t="inlineStr">
        <is>
          <t>Verificación en campo. Fichas F-DT-01 a F-DT-05 de la Plantilla DT Campo Check Validada V5, suscritas por el evaluador.</t>
        </is>
      </c>
    </row>
    <row r="62">
      <c r="A62" s="58" t="inlineStr">
        <is>
          <t>Gabinete (GIS / teledetección)</t>
        </is>
      </c>
      <c r="B62" s="58" t="n">
        <v>22</v>
      </c>
      <c r="C62" s="58" t="inlineStr">
        <is>
          <t>Gabinete. Estadística zonal sobre el MDE y compuestos Sentinel-2 (NDVI mediana 2025, MSAVI 2024 por clase DN).</t>
        </is>
      </c>
    </row>
    <row r="63">
      <c r="A63" s="57" t="inlineStr">
        <is>
          <t>Fuente oficial</t>
        </is>
      </c>
      <c r="B63" s="57" t="n">
        <v>14</v>
      </c>
      <c r="C63" s="57" t="inlineStr">
        <is>
          <t>Fuente oficial. Catálogo maestro Bloques V5/V6, división política INEI y codificación de microcuencas de la ANA.</t>
        </is>
      </c>
    </row>
    <row r="65">
      <c r="A65" s="55" t="inlineStr">
        <is>
          <t>D. ESTADO DEL CRUCE ENTRE FUENTES</t>
        </is>
      </c>
    </row>
    <row r="66">
      <c r="A66" s="56" t="inlineStr">
        <is>
          <t>Estado</t>
        </is>
      </c>
      <c r="B66" s="56" t="inlineStr">
        <is>
          <t>Hechos</t>
        </is>
      </c>
      <c r="C66" s="56" t="inlineStr">
        <is>
          <t>Significado</t>
        </is>
      </c>
    </row>
    <row r="67">
      <c r="A67" s="57" t="inlineStr">
        <is>
          <t>CONFORME</t>
        </is>
      </c>
      <c r="B67" s="57" t="n">
        <v>107</v>
      </c>
      <c r="C67" s="57" t="inlineStr">
        <is>
          <t>Las dos fuentes declaran lo mismo, o solo la fuente que manda sobre el hecho lo declara.</t>
        </is>
      </c>
    </row>
    <row r="68">
      <c r="A68" s="58" t="inlineStr">
        <is>
          <t>COMPLEMENTADO</t>
        </is>
      </c>
      <c r="B68" s="58" t="n">
        <v>0</v>
      </c>
      <c r="C68" s="58" t="inlineStr">
        <is>
          <t>Solo una de las fuentes lo declara y se adopta ese valor.</t>
        </is>
      </c>
    </row>
    <row r="69">
      <c r="A69" s="57" t="inlineStr">
        <is>
          <t>ACTUALIZADO</t>
        </is>
      </c>
      <c r="B69" s="57" t="n">
        <v>3</v>
      </c>
      <c r="C69" s="57" t="inlineStr">
        <is>
          <t>La verificación de campo vigente corrige lo que traía el libro de resumen.</t>
        </is>
      </c>
    </row>
    <row r="70">
      <c r="A70" s="58" t="inlineStr">
        <is>
          <t>DISCREPANTE</t>
        </is>
      </c>
      <c r="B70" s="58" t="n">
        <v>0</v>
      </c>
      <c r="C70" s="58" t="inlineStr">
        <is>
          <t>Las fuentes se contradicen; prevalece la que manda sobre el hecho y la otra queda declarada.</t>
        </is>
      </c>
    </row>
    <row r="71">
      <c r="A71" s="57" t="inlineStr">
        <is>
          <t>PENDIENTE</t>
        </is>
      </c>
      <c r="B71" s="57" t="n">
        <v>4</v>
      </c>
      <c r="C71"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M3B9</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Sin cárcavas inventariadas en el tramo verificado</t>
        </is>
      </c>
      <c r="B9" s="57" t="inlineStr"/>
      <c r="C9" s="57" t="inlineStr"/>
      <c r="D9" s="57" t="inlineStr"/>
      <c r="E9" s="57" t="inlineStr"/>
      <c r="F9" s="57" t="inlineStr"/>
      <c r="G9" s="57" t="inlineStr"/>
      <c r="H9" s="57" t="inlineStr"/>
      <c r="I9" s="57" t="inlineStr"/>
    </row>
    <row r="11">
      <c r="A11" s="55" t="inlineStr">
        <is>
          <t>F-DT-03 · ELENCO FLORÍSTICO</t>
        </is>
      </c>
    </row>
    <row r="12">
      <c r="A12" s="56" t="inlineStr">
        <is>
          <t>N.o</t>
        </is>
      </c>
      <c r="B12" s="56" t="inlineStr">
        <is>
          <t>Nombre común</t>
        </is>
      </c>
      <c r="C12" s="56" t="inlineStr">
        <is>
          <t>Nombre científico</t>
        </is>
      </c>
      <c r="D12" s="56" t="inlineStr">
        <is>
          <t>Familia</t>
        </is>
      </c>
      <c r="E12" s="56" t="inlineStr">
        <is>
          <t>Estrato</t>
        </is>
      </c>
      <c r="F12" s="56" t="inlineStr">
        <is>
          <t>Origen</t>
        </is>
      </c>
      <c r="G12" s="56" t="inlineStr">
        <is>
          <t>Abundancia</t>
        </is>
      </c>
      <c r="H12" s="56" t="inlineStr">
        <is>
          <t>DAP (cm)</t>
        </is>
      </c>
      <c r="I12" s="56" t="inlineStr">
        <is>
          <t>Altura (m)</t>
        </is>
      </c>
    </row>
    <row r="13">
      <c r="A13" s="57" t="inlineStr">
        <is>
          <t>1</t>
        </is>
      </c>
      <c r="B13" s="57" t="inlineStr">
        <is>
          <t>Ceibo</t>
        </is>
      </c>
      <c r="C13" s="57" t="inlineStr">
        <is>
          <t>Ceiba insignis</t>
        </is>
      </c>
      <c r="D13" s="57" t="inlineStr">
        <is>
          <t>Malvaceae</t>
        </is>
      </c>
      <c r="E13" s="57" t="inlineStr">
        <is>
          <t>Arbóreo superior (&gt;15 m)</t>
        </is>
      </c>
      <c r="F13" s="57" t="inlineStr">
        <is>
          <t>Nativa</t>
        </is>
      </c>
      <c r="G13" s="57" t="inlineStr">
        <is>
          <t>Rara (&lt;1%)</t>
        </is>
      </c>
      <c r="H13" s="62" t="n">
        <v>40</v>
      </c>
      <c r="I13" s="62" t="n">
        <v>12</v>
      </c>
    </row>
    <row r="14">
      <c r="A14" s="58" t="inlineStr">
        <is>
          <t>2</t>
        </is>
      </c>
      <c r="B14" s="58" t="inlineStr">
        <is>
          <t>Charán</t>
        </is>
      </c>
      <c r="C14" s="58" t="inlineStr">
        <is>
          <t>Caesalpinia paipai</t>
        </is>
      </c>
      <c r="D14" s="58" t="inlineStr">
        <is>
          <t>Fabaceae</t>
        </is>
      </c>
      <c r="E14" s="58" t="inlineStr">
        <is>
          <t>Arbóreo medio (8-15 m)</t>
        </is>
      </c>
      <c r="F14" s="58" t="inlineStr">
        <is>
          <t>Nativa</t>
        </is>
      </c>
      <c r="G14" s="58" t="inlineStr">
        <is>
          <t>Frecuente (5-20%)</t>
        </is>
      </c>
      <c r="H14" s="63" t="n">
        <v>20</v>
      </c>
      <c r="I14" s="64" t="n">
        <v>7</v>
      </c>
    </row>
    <row r="15">
      <c r="A15" s="57" t="inlineStr">
        <is>
          <t>3</t>
        </is>
      </c>
      <c r="B15" s="57" t="inlineStr">
        <is>
          <t>Pasallo</t>
        </is>
      </c>
      <c r="C15" s="57" t="inlineStr">
        <is>
          <t>Eriotheca ruizii</t>
        </is>
      </c>
      <c r="D15" s="57" t="inlineStr">
        <is>
          <t>Malvaceae</t>
        </is>
      </c>
      <c r="E15" s="57" t="inlineStr">
        <is>
          <t>Arbóreo medio (8-15 m)</t>
        </is>
      </c>
      <c r="F15" s="57" t="inlineStr">
        <is>
          <t>Nativa</t>
        </is>
      </c>
      <c r="G15" s="57" t="inlineStr">
        <is>
          <t>Ocasional (1-5%)</t>
        </is>
      </c>
      <c r="H15" s="62" t="n">
        <v>25</v>
      </c>
      <c r="I15" s="65" t="n">
        <v>8</v>
      </c>
    </row>
    <row r="16">
      <c r="A16" s="58" t="inlineStr">
        <is>
          <t>4</t>
        </is>
      </c>
      <c r="B16" s="58" t="inlineStr">
        <is>
          <t>Overo</t>
        </is>
      </c>
      <c r="C16" s="58" t="inlineStr">
        <is>
          <t>Cordia lutea</t>
        </is>
      </c>
      <c r="D16" s="58" t="inlineStr">
        <is>
          <t>Boraginaceae</t>
        </is>
      </c>
      <c r="E16" s="58" t="inlineStr">
        <is>
          <t>Arbustivo alto (1.5-4 m)</t>
        </is>
      </c>
      <c r="F16" s="58" t="inlineStr">
        <is>
          <t>Nativa</t>
        </is>
      </c>
      <c r="G16" s="58" t="inlineStr">
        <is>
          <t>Abundante (20-40%)</t>
        </is>
      </c>
      <c r="H16" s="58" t="n"/>
      <c r="I16" s="64" t="n">
        <v>3</v>
      </c>
    </row>
    <row r="17">
      <c r="A17" s="57" t="inlineStr">
        <is>
          <t>5</t>
        </is>
      </c>
      <c r="B17" s="57" t="inlineStr">
        <is>
          <t>Palo Santo</t>
        </is>
      </c>
      <c r="C17" s="57" t="inlineStr">
        <is>
          <t>Bursera graveolens</t>
        </is>
      </c>
      <c r="D17" s="57" t="inlineStr">
        <is>
          <t>Burseraceae</t>
        </is>
      </c>
      <c r="E17" s="57" t="inlineStr">
        <is>
          <t>Arbóreo bajo (4-8 m)</t>
        </is>
      </c>
      <c r="F17" s="57" t="inlineStr">
        <is>
          <t>Nativa</t>
        </is>
      </c>
      <c r="G17" s="57" t="inlineStr">
        <is>
          <t>Ocasional (1-5%)</t>
        </is>
      </c>
      <c r="H17" s="62" t="n">
        <v>18</v>
      </c>
      <c r="I17" s="65" t="n">
        <v>6</v>
      </c>
    </row>
    <row r="18">
      <c r="A18" s="58" t="inlineStr">
        <is>
          <t>6</t>
        </is>
      </c>
      <c r="B18" s="58" t="inlineStr">
        <is>
          <t>Hualtaco</t>
        </is>
      </c>
      <c r="C18" s="58" t="inlineStr">
        <is>
          <t>Loxopterygium huasango</t>
        </is>
      </c>
      <c r="D18" s="58" t="inlineStr">
        <is>
          <t>Anacardiaceae</t>
        </is>
      </c>
      <c r="E18" s="58" t="inlineStr">
        <is>
          <t>Arbóreo superior (&gt;15 m)</t>
        </is>
      </c>
      <c r="F18" s="58" t="inlineStr">
        <is>
          <t>Nativa</t>
        </is>
      </c>
      <c r="G18" s="58" t="inlineStr">
        <is>
          <t>Rara (&lt;1%)</t>
        </is>
      </c>
      <c r="H18" s="63" t="n">
        <v>35</v>
      </c>
      <c r="I18" s="63" t="n">
        <v>10</v>
      </c>
    </row>
    <row r="19">
      <c r="A19" s="57" t="inlineStr">
        <is>
          <t>7</t>
        </is>
      </c>
      <c r="B19" s="57" t="inlineStr">
        <is>
          <t>Cactácea columnar</t>
        </is>
      </c>
      <c r="C19" s="57" t="inlineStr">
        <is>
          <t>Armatocereus spp.</t>
        </is>
      </c>
      <c r="D19" s="57" t="inlineStr">
        <is>
          <t>Cactaceae</t>
        </is>
      </c>
      <c r="E19" s="57" t="inlineStr">
        <is>
          <t>Arbustivo alto (1.5-4 m)</t>
        </is>
      </c>
      <c r="F19" s="57" t="inlineStr">
        <is>
          <t>Nativa</t>
        </is>
      </c>
      <c r="G19" s="57" t="inlineStr">
        <is>
          <t>Frecuente (5-20%)</t>
        </is>
      </c>
      <c r="H19" s="57" t="n"/>
      <c r="I19" s="65" t="n">
        <v>4</v>
      </c>
    </row>
    <row r="20">
      <c r="A20" s="58" t="inlineStr">
        <is>
          <t>8</t>
        </is>
      </c>
      <c r="B20" s="58" t="inlineStr">
        <is>
          <t>Sapote</t>
        </is>
      </c>
      <c r="C20" s="58" t="inlineStr">
        <is>
          <t>Capparis scabrida</t>
        </is>
      </c>
      <c r="D20" s="58" t="inlineStr">
        <is>
          <t>Capparaceae</t>
        </is>
      </c>
      <c r="E20" s="58" t="inlineStr">
        <is>
          <t>Arbóreo bajo (4-8 m)</t>
        </is>
      </c>
      <c r="F20" s="58" t="inlineStr">
        <is>
          <t>Nativa</t>
        </is>
      </c>
      <c r="G20" s="58" t="inlineStr">
        <is>
          <t>Ocasional (1-5%)</t>
        </is>
      </c>
      <c r="H20" s="63" t="n">
        <v>15</v>
      </c>
      <c r="I20" s="64" t="n">
        <v>5</v>
      </c>
    </row>
    <row r="21">
      <c r="A21" s="57" t="inlineStr">
        <is>
          <t>9</t>
        </is>
      </c>
      <c r="B21" s="57" t="inlineStr">
        <is>
          <t>Faique</t>
        </is>
      </c>
      <c r="C21" s="57" t="inlineStr">
        <is>
          <t>Acacia macracantha</t>
        </is>
      </c>
      <c r="D21" s="57" t="inlineStr">
        <is>
          <t>Fabaceae</t>
        </is>
      </c>
      <c r="E21" s="57" t="inlineStr">
        <is>
          <t>Arbóreo bajo (4-8 m)</t>
        </is>
      </c>
      <c r="F21" s="57" t="inlineStr">
        <is>
          <t>Nativa</t>
        </is>
      </c>
      <c r="G21" s="57" t="inlineStr">
        <is>
          <t>Frecuente (5-20%)</t>
        </is>
      </c>
      <c r="H21" s="62" t="n">
        <v>18</v>
      </c>
      <c r="I21" s="65" t="n">
        <v>6</v>
      </c>
    </row>
    <row r="22">
      <c r="A22" s="58" t="inlineStr">
        <is>
          <t>10</t>
        </is>
      </c>
      <c r="B22" s="58" t="inlineStr">
        <is>
          <t>Algarrobo</t>
        </is>
      </c>
      <c r="C22" s="58" t="inlineStr">
        <is>
          <t>Prosopis pallida</t>
        </is>
      </c>
      <c r="D22" s="58" t="inlineStr">
        <is>
          <t>Fabaceae</t>
        </is>
      </c>
      <c r="E22" s="58" t="inlineStr">
        <is>
          <t>Arbóreo medio (8-15 m)</t>
        </is>
      </c>
      <c r="F22" s="58" t="inlineStr">
        <is>
          <t>Nativa</t>
        </is>
      </c>
      <c r="G22" s="58" t="inlineStr">
        <is>
          <t>Ocasional (1-5%)</t>
        </is>
      </c>
      <c r="H22" s="63" t="n">
        <v>22</v>
      </c>
      <c r="I22" s="64" t="n">
        <v>7</v>
      </c>
    </row>
    <row r="24">
      <c r="A24" s="55" t="inlineStr">
        <is>
          <t>F-DT-03 · ESPECIES CLAVE GEORREFERENCIADAS</t>
        </is>
      </c>
    </row>
    <row r="25">
      <c r="A25" s="56" t="inlineStr">
        <is>
          <t>N.o</t>
        </is>
      </c>
      <c r="B25" s="56" t="inlineStr">
        <is>
          <t>Especie</t>
        </is>
      </c>
      <c r="C25" s="56" t="inlineStr">
        <is>
          <t>Categoría</t>
        </is>
      </c>
      <c r="D25" s="56" t="inlineStr">
        <is>
          <t>Estado UICN</t>
        </is>
      </c>
      <c r="E25" s="56" t="inlineStr">
        <is>
          <t>UTM ESTE</t>
        </is>
      </c>
      <c r="F25" s="56" t="inlineStr">
        <is>
          <t>UTM NORTE</t>
        </is>
      </c>
      <c r="G25" s="56" t="inlineStr">
        <is>
          <t>N.° individuos</t>
        </is>
      </c>
      <c r="H25" s="56" t="inlineStr">
        <is>
          <t>Observación</t>
        </is>
      </c>
    </row>
    <row r="26">
      <c r="A26" s="57" t="inlineStr">
        <is>
          <t>1</t>
        </is>
      </c>
      <c r="B26" s="57" t="inlineStr">
        <is>
          <t>Loxopterygium huasango</t>
        </is>
      </c>
      <c r="C26" s="57" t="inlineStr">
        <is>
          <t>Amenazada (D.S. 043-2006-AG)</t>
        </is>
      </c>
      <c r="D26" s="57" t="inlineStr">
        <is>
          <t>VU — Vulnerable</t>
        </is>
      </c>
      <c r="E26" s="57" t="n"/>
      <c r="F26" s="57" t="n"/>
      <c r="G26" s="57" t="n"/>
      <c r="H26" s="57" t="inlineStr">
        <is>
          <t>Relictos cotas altas inaccesibles</t>
        </is>
      </c>
    </row>
    <row r="27">
      <c r="A27" s="58" t="inlineStr">
        <is>
          <t>2</t>
        </is>
      </c>
      <c r="B27" s="58" t="inlineStr">
        <is>
          <t>Ceiba insignis</t>
        </is>
      </c>
      <c r="C27" s="58" t="inlineStr">
        <is>
          <t>Clave cultural</t>
        </is>
      </c>
      <c r="D27" s="58" t="inlineStr">
        <is>
          <t>LC — Preocupación Menor</t>
        </is>
      </c>
      <c r="E27" s="58" t="n"/>
      <c r="F27" s="58" t="n"/>
      <c r="G27" s="58" t="n"/>
      <c r="H27" s="58" t="inlineStr">
        <is>
          <t>Individuos aislados sector alto</t>
        </is>
      </c>
    </row>
    <row r="28">
      <c r="A28" s="57" t="inlineStr">
        <is>
          <t>3</t>
        </is>
      </c>
      <c r="B28" s="57" t="inlineStr">
        <is>
          <t>Bursera graveolens</t>
        </is>
      </c>
      <c r="C28" s="57" t="inlineStr">
        <is>
          <t>Indicadora de buen estado</t>
        </is>
      </c>
      <c r="D28" s="57" t="inlineStr">
        <is>
          <t>LC — Preocupación Menor</t>
        </is>
      </c>
      <c r="E28" s="57" t="n"/>
      <c r="F28" s="57" t="n"/>
      <c r="G28" s="57" t="n"/>
      <c r="H28" s="57" t="inlineStr">
        <is>
          <t>Palo Santo en parches protegidos</t>
        </is>
      </c>
    </row>
    <row r="30">
      <c r="A30" s="55" t="inlineStr">
        <is>
          <t>F-DT-04 · MATRIZ DE CAUSAS DE DEGRADACIÓN</t>
        </is>
      </c>
    </row>
    <row r="31">
      <c r="A31" s="56" t="inlineStr">
        <is>
          <t>N.o</t>
        </is>
      </c>
      <c r="B31" s="56" t="inlineStr">
        <is>
          <t>Causa</t>
        </is>
      </c>
      <c r="C31" s="56" t="inlineStr">
        <is>
          <t>Presencia</t>
        </is>
      </c>
      <c r="D31" s="56" t="inlineStr">
        <is>
          <t>Intensidad</t>
        </is>
      </c>
      <c r="E31" s="56" t="inlineStr">
        <is>
          <t>Extensión</t>
        </is>
      </c>
      <c r="F31" s="56" t="inlineStr">
        <is>
          <t>Antigüedad</t>
        </is>
      </c>
      <c r="G31" s="56" t="inlineStr">
        <is>
          <t>Evidencia</t>
        </is>
      </c>
    </row>
    <row r="32">
      <c r="A32" s="57" t="inlineStr">
        <is>
          <t>1</t>
        </is>
      </c>
      <c r="B32" s="57" t="inlineStr">
        <is>
          <t>Sobrepastoreo (caprino/vacuno)</t>
        </is>
      </c>
      <c r="C32" s="57" t="inlineStr">
        <is>
          <t>Sí</t>
        </is>
      </c>
      <c r="D32" s="57" t="inlineStr">
        <is>
          <t>Fuerte</t>
        </is>
      </c>
      <c r="E32" s="57" t="inlineStr">
        <is>
          <t>60</t>
        </is>
      </c>
      <c r="F32" s="57" t="inlineStr">
        <is>
          <t>&gt;30</t>
        </is>
      </c>
      <c r="G32" s="57" t="inlineStr">
        <is>
          <t>Referido por poblador; senderos ganado en imagen satelital</t>
        </is>
      </c>
    </row>
    <row r="33">
      <c r="A33" s="58" t="inlineStr">
        <is>
          <t>2</t>
        </is>
      </c>
      <c r="B33" s="58" t="inlineStr">
        <is>
          <t>Tala para leña</t>
        </is>
      </c>
      <c r="C33" s="58" t="inlineStr">
        <is>
          <t>Sí</t>
        </is>
      </c>
      <c r="D33" s="58" t="inlineStr">
        <is>
          <t>Moderada</t>
        </is>
      </c>
      <c r="E33" s="58" t="inlineStr">
        <is>
          <t>40</t>
        </is>
      </c>
      <c r="F33" s="58" t="inlineStr">
        <is>
          <t>&gt;20</t>
        </is>
      </c>
      <c r="G33" s="58" t="inlineStr">
        <is>
          <t>Referido por poblador</t>
        </is>
      </c>
    </row>
    <row r="34">
      <c r="A34" s="57" t="inlineStr">
        <is>
          <t>3</t>
        </is>
      </c>
      <c r="B34" s="57" t="inlineStr">
        <is>
          <t>Tala para carbón</t>
        </is>
      </c>
      <c r="C34" s="57" t="inlineStr">
        <is>
          <t>No</t>
        </is>
      </c>
      <c r="D34" s="57" t="inlineStr">
        <is>
          <t>Nula</t>
        </is>
      </c>
      <c r="E34" s="57" t="inlineStr"/>
      <c r="F34" s="57" t="inlineStr"/>
      <c r="G34" s="57" t="inlineStr"/>
    </row>
    <row r="35">
      <c r="A35" s="58" t="inlineStr">
        <is>
          <t>4</t>
        </is>
      </c>
      <c r="B35" s="58" t="inlineStr">
        <is>
          <t>Tala para madera</t>
        </is>
      </c>
      <c r="C35" s="58" t="inlineStr">
        <is>
          <t>Sí</t>
        </is>
      </c>
      <c r="D35" s="58" t="inlineStr">
        <is>
          <t>Moderada</t>
        </is>
      </c>
      <c r="E35" s="58" t="inlineStr">
        <is>
          <t>30</t>
        </is>
      </c>
      <c r="F35" s="58" t="inlineStr">
        <is>
          <t>&gt;20</t>
        </is>
      </c>
      <c r="G35" s="58" t="inlineStr">
        <is>
          <t>Extracción selectiva Hualtaco, Palo Santo, Ceibo</t>
        </is>
      </c>
    </row>
    <row r="36">
      <c r="A36" s="57" t="inlineStr">
        <is>
          <t>5</t>
        </is>
      </c>
      <c r="B36" s="57" t="inlineStr">
        <is>
          <t>Quema (renovación de pastos)</t>
        </is>
      </c>
      <c r="C36" s="57" t="inlineStr">
        <is>
          <t>Sí</t>
        </is>
      </c>
      <c r="D36" s="57" t="inlineStr">
        <is>
          <t>Ligera</t>
        </is>
      </c>
      <c r="E36" s="57" t="inlineStr">
        <is>
          <t>15</t>
        </is>
      </c>
      <c r="F36" s="57" t="inlineStr">
        <is>
          <t>Recurrente</t>
        </is>
      </c>
      <c r="G36" s="57" t="inlineStr">
        <is>
          <t>Patrón regional; por confirmar</t>
        </is>
      </c>
    </row>
    <row r="37">
      <c r="A37" s="58" t="inlineStr">
        <is>
          <t>6</t>
        </is>
      </c>
      <c r="B37" s="58" t="inlineStr">
        <is>
          <t>Quema accidental / Incendio</t>
        </is>
      </c>
      <c r="C37" s="58" t="inlineStr">
        <is>
          <t>No</t>
        </is>
      </c>
      <c r="D37" s="58" t="inlineStr">
        <is>
          <t>Nula</t>
        </is>
      </c>
      <c r="E37" s="58" t="inlineStr"/>
      <c r="F37" s="58" t="inlineStr"/>
      <c r="G37" s="58" t="inlineStr"/>
    </row>
    <row r="38">
      <c r="A38" s="57" t="inlineStr">
        <is>
          <t>7</t>
        </is>
      </c>
      <c r="B38" s="57" t="inlineStr">
        <is>
          <t>Cambio de uso a agricultura</t>
        </is>
      </c>
      <c r="C38" s="57" t="inlineStr">
        <is>
          <t>Sí</t>
        </is>
      </c>
      <c r="D38" s="57" t="inlineStr">
        <is>
          <t>Ligera</t>
        </is>
      </c>
      <c r="E38" s="57" t="inlineStr">
        <is>
          <t>5</t>
        </is>
      </c>
      <c r="F38" s="57" t="inlineStr">
        <is>
          <t>&gt;20</t>
        </is>
      </c>
      <c r="G38" s="57" t="inlineStr">
        <is>
          <t>Parcelas periféricas de secano</t>
        </is>
      </c>
    </row>
    <row r="39">
      <c r="A39" s="58" t="inlineStr">
        <is>
          <t>8</t>
        </is>
      </c>
      <c r="B39" s="58" t="inlineStr">
        <is>
          <t>Cambio de uso a pastoreo</t>
        </is>
      </c>
      <c r="C39" s="58" t="inlineStr">
        <is>
          <t>Sí</t>
        </is>
      </c>
      <c r="D39" s="58" t="inlineStr">
        <is>
          <t>Fuerte</t>
        </is>
      </c>
      <c r="E39" s="58" t="inlineStr">
        <is>
          <t>60</t>
        </is>
      </c>
      <c r="F39" s="58" t="inlineStr">
        <is>
          <t>&gt;30</t>
        </is>
      </c>
      <c r="G39" s="58" t="inlineStr">
        <is>
          <t>Actividad ganadera extensiva crónica</t>
        </is>
      </c>
    </row>
    <row r="40">
      <c r="A40" s="57" t="inlineStr">
        <is>
          <t>9</t>
        </is>
      </c>
      <c r="B40" s="57" t="inlineStr">
        <is>
          <t>Expansión urbana / vial</t>
        </is>
      </c>
      <c r="C40" s="57" t="inlineStr">
        <is>
          <t>No</t>
        </is>
      </c>
      <c r="D40" s="57" t="inlineStr">
        <is>
          <t>Nula</t>
        </is>
      </c>
      <c r="E40" s="57" t="inlineStr"/>
      <c r="F40" s="57" t="inlineStr"/>
      <c r="G40" s="57" t="inlineStr"/>
    </row>
    <row r="41">
      <c r="A41" s="58" t="inlineStr">
        <is>
          <t>10</t>
        </is>
      </c>
      <c r="B41" s="58" t="inlineStr">
        <is>
          <t>Minería informal</t>
        </is>
      </c>
      <c r="C41" s="58" t="inlineStr">
        <is>
          <t>No</t>
        </is>
      </c>
      <c r="D41" s="58" t="inlineStr">
        <is>
          <t>Nula</t>
        </is>
      </c>
      <c r="E41" s="58" t="inlineStr"/>
      <c r="F41" s="58" t="inlineStr"/>
      <c r="G41" s="58" t="inlineStr"/>
    </row>
    <row r="42">
      <c r="A42" s="57" t="inlineStr">
        <is>
          <t>11</t>
        </is>
      </c>
      <c r="B42" s="57" t="inlineStr">
        <is>
          <t>Extracción de áridos (cauces)</t>
        </is>
      </c>
      <c r="C42" s="57" t="inlineStr">
        <is>
          <t>No</t>
        </is>
      </c>
      <c r="D42" s="57" t="inlineStr">
        <is>
          <t>Nula</t>
        </is>
      </c>
      <c r="E42" s="57" t="inlineStr"/>
      <c r="F42" s="57" t="inlineStr"/>
      <c r="G42" s="57" t="inlineStr"/>
    </row>
    <row r="43">
      <c r="A43" s="58" t="inlineStr">
        <is>
          <t>12</t>
        </is>
      </c>
      <c r="B43" s="58" t="inlineStr">
        <is>
          <t>Especies invasoras</t>
        </is>
      </c>
      <c r="C43" s="58" t="inlineStr">
        <is>
          <t>No</t>
        </is>
      </c>
      <c r="D43" s="58" t="inlineStr">
        <is>
          <t>Nula</t>
        </is>
      </c>
      <c r="E43" s="58" t="inlineStr"/>
      <c r="F43" s="58" t="inlineStr"/>
      <c r="G43" s="58" t="inlineStr"/>
    </row>
    <row r="44">
      <c r="A44" s="57" t="inlineStr">
        <is>
          <t>13</t>
        </is>
      </c>
      <c r="B44" s="57" t="inlineStr">
        <is>
          <t>Erosión natural severa</t>
        </is>
      </c>
      <c r="C44" s="57" t="inlineStr">
        <is>
          <t>Sí</t>
        </is>
      </c>
      <c r="D44" s="57" t="inlineStr">
        <is>
          <t>Fuerte</t>
        </is>
      </c>
      <c r="E44" s="57" t="inlineStr">
        <is>
          <t>45</t>
        </is>
      </c>
      <c r="F44" s="57" t="inlineStr">
        <is>
          <t>Permanente</t>
        </is>
      </c>
      <c r="G44" s="57" t="inlineStr">
        <is>
          <t>Erosión laminar pendientes &gt;25%; MSAVI ≤0.265</t>
        </is>
      </c>
    </row>
    <row r="45">
      <c r="A45" s="58" t="inlineStr">
        <is>
          <t>14</t>
        </is>
      </c>
      <c r="B45" s="58" t="inlineStr">
        <is>
          <t>Sequía prolongada / CC</t>
        </is>
      </c>
      <c r="C45" s="58" t="inlineStr">
        <is>
          <t>Sí</t>
        </is>
      </c>
      <c r="D45" s="58" t="inlineStr">
        <is>
          <t>Moderada</t>
        </is>
      </c>
      <c r="E45" s="58" t="inlineStr">
        <is>
          <t>100</t>
        </is>
      </c>
      <c r="F45" s="58" t="inlineStr">
        <is>
          <t>Crónica</t>
        </is>
      </c>
      <c r="G45" s="58" t="inlineStr">
        <is>
          <t>Estrés hídrico estacional; tendencia NDVI/TAU</t>
        </is>
      </c>
    </row>
    <row r="46">
      <c r="A46" s="57" t="inlineStr">
        <is>
          <t>15</t>
        </is>
      </c>
      <c r="B46" s="57" t="inlineStr">
        <is>
          <t>Plagas o enfermedades forestales</t>
        </is>
      </c>
      <c r="C46" s="57" t="inlineStr">
        <is>
          <t>No</t>
        </is>
      </c>
      <c r="D46" s="57" t="inlineStr">
        <is>
          <t>Nula</t>
        </is>
      </c>
      <c r="E46" s="57" t="inlineStr"/>
      <c r="F46" s="57" t="inlineStr"/>
      <c r="G46" s="57" t="inlineStr"/>
    </row>
    <row r="47">
      <c r="A47" s="58" t="inlineStr">
        <is>
          <t>16</t>
        </is>
      </c>
      <c r="B47" s="58" t="inlineStr">
        <is>
          <t>Otro</t>
        </is>
      </c>
      <c r="C47" s="58" t="inlineStr"/>
      <c r="D47" s="58" t="inlineStr"/>
      <c r="E47" s="58" t="inlineStr"/>
      <c r="F47" s="58" t="inlineStr"/>
      <c r="G47" s="58" t="inlineStr"/>
    </row>
    <row r="49">
      <c r="A49" s="55" t="inlineStr">
        <is>
          <t>F-DT-04 · INDICADORES CUANTITATIVOS</t>
        </is>
      </c>
    </row>
    <row r="50">
      <c r="A50" s="56" t="inlineStr">
        <is>
          <t>N.o</t>
        </is>
      </c>
      <c r="B50" s="56" t="inlineStr">
        <is>
          <t>Indicador</t>
        </is>
      </c>
      <c r="C50" s="56" t="inlineStr">
        <is>
          <t>Unidad</t>
        </is>
      </c>
      <c r="D50" s="56" t="inlineStr">
        <is>
          <t>Valor</t>
        </is>
      </c>
      <c r="E50" s="56" t="inlineStr">
        <is>
          <t>Fuente</t>
        </is>
      </c>
      <c r="F50" s="56" t="inlineStr">
        <is>
          <t>Umbral</t>
        </is>
      </c>
      <c r="G50" s="56" t="inlineStr">
        <is>
          <t>Nivel</t>
        </is>
      </c>
    </row>
    <row r="51">
      <c r="A51" s="57" t="inlineStr">
        <is>
          <t>1</t>
        </is>
      </c>
      <c r="B51" s="57" t="inlineStr">
        <is>
          <t>Cobertura vegetal total</t>
        </is>
      </c>
      <c r="C51" s="57" t="inlineStr">
        <is>
          <t>%</t>
        </is>
      </c>
      <c r="D51" s="57" t="inlineStr">
        <is>
          <t>40-55</t>
        </is>
      </c>
      <c r="E51" s="57" t="inlineStr">
        <is>
          <t>Obs. satelital + MSAVI</t>
        </is>
      </c>
      <c r="F51" s="57" t="inlineStr">
        <is>
          <t>&gt;60% bueno; 30-60% medio; &lt;30% malo</t>
        </is>
      </c>
      <c r="G51" s="57" t="inlineStr">
        <is>
          <t>Medio</t>
        </is>
      </c>
    </row>
    <row r="52">
      <c r="A52" s="58" t="inlineStr">
        <is>
          <t>2</t>
        </is>
      </c>
      <c r="B52" s="58" t="inlineStr">
        <is>
          <t>Porcentaje de suelo desnudo</t>
        </is>
      </c>
      <c r="C52" s="58" t="inlineStr">
        <is>
          <t>%</t>
        </is>
      </c>
      <c r="D52" s="58" t="inlineStr">
        <is>
          <t>35-50</t>
        </is>
      </c>
      <c r="E52" s="58" t="inlineStr">
        <is>
          <t>MSAVI 2024</t>
        </is>
      </c>
      <c r="F52" s="58" t="inlineStr">
        <is>
          <t>&lt;10% bueno; 10-30% medio; &gt;30% malo</t>
        </is>
      </c>
      <c r="G52" s="58" t="inlineStr">
        <is>
          <t>Alto</t>
        </is>
      </c>
    </row>
    <row r="53">
      <c r="A53" s="57" t="inlineStr">
        <is>
          <t>3</t>
        </is>
      </c>
      <c r="B53" s="57" t="inlineStr">
        <is>
          <t>Densidad de cárcavas</t>
        </is>
      </c>
      <c r="C53" s="57" t="inlineStr">
        <is>
          <t>N°/ha</t>
        </is>
      </c>
      <c r="D53" s="57" t="inlineStr">
        <is>
          <t>N/E</t>
        </is>
      </c>
      <c r="E53" s="57" t="inlineStr">
        <is>
          <t>Sin ingreso al bloque</t>
        </is>
      </c>
      <c r="F53" s="57" t="inlineStr">
        <is>
          <t>0 nulo; 1-3 medio; &gt;3 alto</t>
        </is>
      </c>
      <c r="G53" s="57" t="inlineStr">
        <is>
          <t>N/E</t>
        </is>
      </c>
    </row>
    <row r="54">
      <c r="A54" s="58" t="inlineStr">
        <is>
          <t>4</t>
        </is>
      </c>
      <c r="B54" s="58" t="inlineStr">
        <is>
          <t>Presencia de especies invasoras</t>
        </is>
      </c>
      <c r="C54" s="58" t="inlineStr">
        <is>
          <t>% área</t>
        </is>
      </c>
      <c r="D54" s="58" t="inlineStr">
        <is>
          <t>&lt;5</t>
        </is>
      </c>
      <c r="E54" s="58" t="inlineStr">
        <is>
          <t>Obs. satelital</t>
        </is>
      </c>
      <c r="F54" s="58" t="inlineStr">
        <is>
          <t>&lt;5% bueno; 5-20% medio; &gt;20% alto</t>
        </is>
      </c>
      <c r="G54" s="58" t="inlineStr">
        <is>
          <t>Bajo</t>
        </is>
      </c>
    </row>
    <row r="55">
      <c r="A55" s="57" t="inlineStr">
        <is>
          <t>5</t>
        </is>
      </c>
      <c r="B55" s="57" t="inlineStr">
        <is>
          <t>Carga ganadera estimada</t>
        </is>
      </c>
      <c r="C55" s="57" t="inlineStr">
        <is>
          <t>UA/ha</t>
        </is>
      </c>
      <c r="D55" s="57" t="inlineStr">
        <is>
          <t>Alta</t>
        </is>
      </c>
      <c r="E55" s="57" t="inlineStr">
        <is>
          <t>Ref. poblador local</t>
        </is>
      </c>
      <c r="F55" s="57" t="inlineStr">
        <is>
          <t>Según tipo de ecosistema</t>
        </is>
      </c>
      <c r="G55" s="57" t="inlineStr">
        <is>
          <t>Alto</t>
        </is>
      </c>
    </row>
    <row r="56">
      <c r="A56" s="58" t="inlineStr">
        <is>
          <t>6</t>
        </is>
      </c>
      <c r="B56" s="58" t="inlineStr">
        <is>
          <t>Frecuencia de quemas últimos 5 años</t>
        </is>
      </c>
      <c r="C56" s="58" t="inlineStr">
        <is>
          <t>N°</t>
        </is>
      </c>
      <c r="D56" s="58" t="inlineStr">
        <is>
          <t>1-2</t>
        </is>
      </c>
      <c r="E56" s="58" t="inlineStr">
        <is>
          <t>Ref. poblador local</t>
        </is>
      </c>
      <c r="F56" s="58" t="inlineStr">
        <is>
          <t>0 nulo; 1-2 medio; &gt;2 alto</t>
        </is>
      </c>
      <c r="G56" s="58" t="inlineStr">
        <is>
          <t>Medio</t>
        </is>
      </c>
    </row>
    <row r="57">
      <c r="A57" s="57" t="inlineStr">
        <is>
          <t>7</t>
        </is>
      </c>
      <c r="B57" s="57" t="inlineStr">
        <is>
          <t>% área con pendiente &gt;50%</t>
        </is>
      </c>
      <c r="C57" s="57" t="inlineStr">
        <is>
          <t>%</t>
        </is>
      </c>
      <c r="D57" s="57" t="inlineStr">
        <is>
          <t>20-30</t>
        </is>
      </c>
      <c r="E57" s="57" t="inlineStr">
        <is>
          <t>Perfiles Google Earth</t>
        </is>
      </c>
      <c r="F57" s="57" t="inlineStr">
        <is>
          <t>Factor de susceptibilidad</t>
        </is>
      </c>
      <c r="G57" s="57" t="inlineStr">
        <is>
          <t>Medio</t>
        </is>
      </c>
    </row>
    <row r="58">
      <c r="A58" s="58" t="inlineStr">
        <is>
          <t>8</t>
        </is>
      </c>
      <c r="B58" s="58" t="inlineStr">
        <is>
          <t>Distancia a vía vecinal más cercana</t>
        </is>
      </c>
      <c r="C58" s="58" t="inlineStr">
        <is>
          <t>m</t>
        </is>
      </c>
      <c r="D58" s="58" t="inlineStr">
        <is>
          <t>~500</t>
        </is>
      </c>
      <c r="E58" s="58" t="inlineStr">
        <is>
          <t>Google Earth a PI-815</t>
        </is>
      </c>
      <c r="F58" s="58" t="inlineStr">
        <is>
          <t>A menor distancia → mayor presión</t>
        </is>
      </c>
      <c r="G58" s="58" t="inlineStr">
        <is>
          <t>Medio</t>
        </is>
      </c>
    </row>
    <row r="60">
      <c r="A60" s="55" t="inlineStr">
        <is>
          <t>F-DT-05 · FUENTES DE AGUA INVENTARIADAS</t>
        </is>
      </c>
    </row>
    <row r="61">
      <c r="A61" s="56" t="inlineStr">
        <is>
          <t>N.o</t>
        </is>
      </c>
      <c r="B61" s="56" t="inlineStr">
        <is>
          <t>Tipo de fuente</t>
        </is>
      </c>
      <c r="C61" s="56" t="inlineStr">
        <is>
          <t>UTM ESTE</t>
        </is>
      </c>
      <c r="D61" s="56" t="inlineStr">
        <is>
          <t>UTM NORTE</t>
        </is>
      </c>
      <c r="E61" s="56" t="inlineStr">
        <is>
          <t>Régimen</t>
        </is>
      </c>
      <c r="F61" s="56" t="inlineStr">
        <is>
          <t>Calidad</t>
        </is>
      </c>
      <c r="G61" s="56" t="inlineStr">
        <is>
          <t>Distancia (m)</t>
        </is>
      </c>
      <c r="H61" s="56" t="inlineStr">
        <is>
          <t>Uso / observación</t>
        </is>
      </c>
    </row>
    <row r="62">
      <c r="A62" s="57" t="inlineStr">
        <is>
          <t>1</t>
        </is>
      </c>
      <c r="B62" s="57" t="inlineStr">
        <is>
          <t>Río</t>
        </is>
      </c>
      <c r="C62" s="62" t="n">
        <v>628418</v>
      </c>
      <c r="D62" s="62" t="n">
        <v>9411155</v>
      </c>
      <c r="E62" s="57" t="inlineStr">
        <is>
          <t>Permanente</t>
        </is>
      </c>
      <c r="F62" s="57" t="inlineStr">
        <is>
          <t>Regular (ligeramente turbia o con sedimentos)</t>
        </is>
      </c>
      <c r="G62" s="62" t="n">
        <v>500</v>
      </c>
      <c r="H62" s="57" t="inlineStr">
        <is>
          <t>Río Seco — cauce estacional; puente badén para cruce</t>
        </is>
      </c>
    </row>
    <row r="65">
      <c r="A65" s="55" t="inlineStr">
        <is>
          <t>OBSERVACIONES DEL EVALUADOR POR FICHA</t>
        </is>
      </c>
    </row>
    <row r="66">
      <c r="A66" s="56" t="inlineStr">
        <is>
          <t>Ficha</t>
        </is>
      </c>
      <c r="B66" s="56" t="inlineStr">
        <is>
          <t>Observación registrada en campo</t>
        </is>
      </c>
    </row>
    <row r="67">
      <c r="A67" s="57" t="inlineStr">
        <is>
          <t>F-DT-01</t>
        </is>
      </c>
      <c r="B67" s="57" t="inlineStr">
        <is>
          <t>NOTA: No se ingresó al bloque. Observaciones desde CP Tórtola (17M 628351/9411709). Acompañante: Sr. Fidel Rodríguez Jiménez. Pendientes 25-48% (Google Earth). Alt. 188-415 msnm.</t>
        </is>
      </c>
    </row>
    <row r="68">
      <c r="A68" s="58" t="inlineStr">
        <is>
          <t>F-DT-02</t>
        </is>
      </c>
      <c r="B68" s="58" t="inlineStr">
        <is>
          <t>No se inventariaron cárcavas. Estimaciones por MSAVI, imagen satelital y analogía con M3B1 (C1081-Q9582).</t>
        </is>
      </c>
    </row>
    <row r="69">
      <c r="A69" s="57" t="inlineStr">
        <is>
          <t>F-DT-03</t>
        </is>
      </c>
      <c r="B69" s="57" t="inlineStr">
        <is>
          <t>Inventario referencial (información poblador local y analogía M3B1/M3B8). Requiere validación con parcelas de muestreo in situ.</t>
        </is>
      </c>
    </row>
    <row r="70">
      <c r="A70" s="58" t="inlineStr">
        <is>
          <t>F-DT-04</t>
        </is>
      </c>
      <c r="B70" s="58" t="inlineStr">
        <is>
          <t>Valores estimados (gabinete + observación a distancia). Sin ingreso al bloque 19/05/2026. Requiere verificación directa.</t>
        </is>
      </c>
    </row>
    <row r="71">
      <c r="A71" s="57" t="inlineStr">
        <is>
          <t>F-DT-05</t>
        </is>
      </c>
      <c r="B71" s="57" t="inlineStr">
        <is>
          <t>Puente badén sobre Río Seco solo vehículos menores. Caminata &gt;90 min o acémila para ingresar. Sr. Fidel Rodríguez disponible como guía local.</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M3B9</t>
        </is>
      </c>
    </row>
    <row r="7">
      <c r="A7" s="55" t="inlineStr">
        <is>
          <t>Hechos declarados por fuente</t>
        </is>
      </c>
    </row>
    <row r="8">
      <c r="A8" s="56" t="inlineStr">
        <is>
          <t>Fuente</t>
        </is>
      </c>
      <c r="B8" s="56" t="inlineStr">
        <is>
          <t>Hechos</t>
        </is>
      </c>
    </row>
    <row r="9">
      <c r="A9" s="57" t="inlineStr">
        <is>
          <t>Dato de campo</t>
        </is>
      </c>
      <c r="B9" s="57" t="n">
        <v>74</v>
      </c>
    </row>
    <row r="10">
      <c r="A10" s="58" t="inlineStr">
        <is>
          <t>Gabinete (GIS / teledetección)</t>
        </is>
      </c>
      <c r="B10" s="58" t="n">
        <v>22</v>
      </c>
    </row>
    <row r="11">
      <c r="A11" s="57" t="inlineStr">
        <is>
          <t>Fuente oficial</t>
        </is>
      </c>
      <c r="B11" s="57" t="n">
        <v>14</v>
      </c>
    </row>
    <row r="26">
      <c r="A26" s="55" t="inlineStr">
        <is>
          <t>Estado del cruce entre fuentes</t>
        </is>
      </c>
    </row>
    <row r="27">
      <c r="A27" s="56" t="inlineStr">
        <is>
          <t>Estado</t>
        </is>
      </c>
      <c r="B27" s="56" t="inlineStr">
        <is>
          <t>Hechos</t>
        </is>
      </c>
    </row>
    <row r="28">
      <c r="A28" s="57" t="inlineStr">
        <is>
          <t>CONFORME</t>
        </is>
      </c>
      <c r="B28" s="57" t="n">
        <v>107</v>
      </c>
    </row>
    <row r="29">
      <c r="A29" s="58" t="inlineStr">
        <is>
          <t>COMPLEMENTADO</t>
        </is>
      </c>
      <c r="B29" s="58" t="n">
        <v>0</v>
      </c>
    </row>
    <row r="30">
      <c r="A30" s="57" t="inlineStr">
        <is>
          <t>ACTUALIZADO</t>
        </is>
      </c>
      <c r="B30" s="57" t="n">
        <v>3</v>
      </c>
    </row>
    <row r="31">
      <c r="A31" s="58" t="inlineStr">
        <is>
          <t>DISCREPANTE</t>
        </is>
      </c>
      <c r="B31" s="58" t="n">
        <v>0</v>
      </c>
    </row>
    <row r="32">
      <c r="A32" s="57" t="inlineStr">
        <is>
          <t>PENDIENTE</t>
        </is>
      </c>
      <c r="B32" s="57" t="n">
        <v>4</v>
      </c>
    </row>
    <row r="45">
      <c r="A45" s="55" t="inlineStr">
        <is>
          <t>Cobertura por estrato — campo (%)</t>
        </is>
      </c>
    </row>
    <row r="46">
      <c r="A46" s="56" t="inlineStr">
        <is>
          <t>Estrato</t>
        </is>
      </c>
      <c r="B46" s="56" t="inlineStr">
        <is>
          <t>% del área</t>
        </is>
      </c>
    </row>
    <row r="47">
      <c r="A47" s="57" t="inlineStr">
        <is>
          <t>Dosel</t>
        </is>
      </c>
      <c r="B47" s="62" t="n">
        <v>15</v>
      </c>
    </row>
    <row r="48">
      <c r="A48" s="58" t="inlineStr">
        <is>
          <t>Arbustiva</t>
        </is>
      </c>
      <c r="B48" s="63" t="n">
        <v>20</v>
      </c>
    </row>
    <row r="49">
      <c r="A49" s="57" t="inlineStr">
        <is>
          <t>Herbácea</t>
        </is>
      </c>
      <c r="B49" s="62" t="n">
        <v>15</v>
      </c>
    </row>
    <row r="50">
      <c r="A50" s="58" t="inlineStr">
        <is>
          <t>Hojarasca</t>
        </is>
      </c>
      <c r="B50" s="64" t="n">
        <v>8</v>
      </c>
    </row>
    <row r="51">
      <c r="A51" s="57" t="inlineStr">
        <is>
          <t>Suelo desnudo</t>
        </is>
      </c>
      <c r="B51" s="62" t="n">
        <v>42</v>
      </c>
    </row>
    <row r="64">
      <c r="A64" s="55" t="inlineStr">
        <is>
          <t>Causas activas de degradación (F-DT-04)</t>
        </is>
      </c>
    </row>
    <row r="65">
      <c r="A65" s="56" t="inlineStr">
        <is>
          <t>Causa</t>
        </is>
      </c>
      <c r="B65" s="56" t="inlineStr">
        <is>
          <t>Intensidad (1 ligera - 4 muy fuerte)</t>
        </is>
      </c>
    </row>
    <row r="66">
      <c r="A66" s="57" t="inlineStr">
        <is>
          <t>Cambio de uso a pastoreo</t>
        </is>
      </c>
      <c r="B66" s="57" t="n">
        <v>3</v>
      </c>
    </row>
    <row r="67">
      <c r="A67" s="58" t="inlineStr">
        <is>
          <t>Erosión natural severa</t>
        </is>
      </c>
      <c r="B67" s="58" t="n">
        <v>3</v>
      </c>
    </row>
    <row r="68">
      <c r="A68" s="57" t="inlineStr">
        <is>
          <t>Sobrepastoreo (caprino/vacuno)</t>
        </is>
      </c>
      <c r="B68" s="57" t="n">
        <v>3</v>
      </c>
    </row>
    <row r="69">
      <c r="A69" s="58" t="inlineStr">
        <is>
          <t>Sequía prolongada / CC</t>
        </is>
      </c>
      <c r="B69" s="58" t="n">
        <v>2</v>
      </c>
    </row>
    <row r="70">
      <c r="A70" s="57" t="inlineStr">
        <is>
          <t>Tala para leña</t>
        </is>
      </c>
      <c r="B70" s="57" t="n">
        <v>2</v>
      </c>
    </row>
    <row r="71">
      <c r="A71" s="58" t="inlineStr">
        <is>
          <t>Tala para madera</t>
        </is>
      </c>
      <c r="B71" s="58" t="n">
        <v>2</v>
      </c>
    </row>
    <row r="72">
      <c r="A72" s="57" t="inlineStr">
        <is>
          <t>Cambio de uso a agricultura</t>
        </is>
      </c>
      <c r="B72" s="57" t="n">
        <v>1</v>
      </c>
    </row>
    <row r="73">
      <c r="A73" s="58" t="inlineStr">
        <is>
          <t>Quema (renovación de pastos)</t>
        </is>
      </c>
      <c r="B73" s="58" t="n">
        <v>1</v>
      </c>
    </row>
    <row r="83">
      <c r="A83" s="55" t="inlineStr">
        <is>
          <t>Control de consistencia por calificación</t>
        </is>
      </c>
    </row>
    <row r="84">
      <c r="A84" s="56" t="inlineStr">
        <is>
          <t>Calificación</t>
        </is>
      </c>
      <c r="B84" s="56" t="inlineStr">
        <is>
          <t>Verificaciones</t>
        </is>
      </c>
    </row>
    <row r="85">
      <c r="A85" s="57" t="inlineStr">
        <is>
          <t>SUSTANTIVA</t>
        </is>
      </c>
      <c r="B85" s="57" t="n">
        <v>7</v>
      </c>
    </row>
    <row r="86">
      <c r="A86" s="58" t="inlineStr">
        <is>
          <t>NO SUSTANTIVA</t>
        </is>
      </c>
      <c r="B86" s="58" t="n">
        <v>5</v>
      </c>
    </row>
    <row r="87">
      <c r="A87" s="57" t="inlineStr">
        <is>
          <t>CORREGIDO</t>
        </is>
      </c>
      <c r="B87" s="57" t="n">
        <v>4</v>
      </c>
    </row>
    <row r="88">
      <c r="A88" s="58" t="inlineStr">
        <is>
          <t>CONFORME</t>
        </is>
      </c>
      <c r="B88" s="58"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M3B9 — IN Piura</dc:title>
  <dc:subject>Diagnóstico Territorial por bloque de intervención</dc:subject>
  <dcterms:created xsi:type="dcterms:W3CDTF">2026-09-08T03:39:58Z</dcterms:created>
  <dcterms:modified xsi:type="dcterms:W3CDTF">2026-09-11T21:26:37Z</dcterms:modified>
</cp:coreProperties>
</file>