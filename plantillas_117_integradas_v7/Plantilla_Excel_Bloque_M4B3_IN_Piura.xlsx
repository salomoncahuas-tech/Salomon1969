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integración'!$A$47:$A$51</f>
            </numRef>
          </cat>
          <val>
            <numRef>
              <f>'Gráficos de integración'!$B$47:$B$51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integración'!$A$66:$A$68</f>
            </numRef>
          </cat>
          <val>
            <numRef>
              <f>'Gráficos de integración'!$B$66:$B$68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M4B3</t>
        </is>
      </c>
    </row>
    <row r="6" ht="24" customHeight="1">
      <c r="A6" s="4" t="inlineStr">
        <is>
          <t>Diagnóstico Territorial — Plantilla DT Campo Check Validada V5 | Sistema de referencia: UTM WGS 84 Zona 17S (EPSG:32717) · Integrado con la ficha de campo F-DT vigente (Plantilla_DT_Campo_V5_Bloque_M4B3_IN_Piura.xlsx) — V7 - resumen V6 + campo F-DT integrado</t>
        </is>
      </c>
    </row>
    <row r="7"/>
    <row r="8" ht="18" customHeight="1">
      <c r="A8" s="5" t="inlineStr">
        <is>
          <t>1. IDENTIFICACIÓN Y LOCALIZACIÓN</t>
        </is>
      </c>
    </row>
    <row r="9">
      <c r="A9" s="6" t="inlineStr">
        <is>
          <t>Código del bloque</t>
        </is>
      </c>
      <c r="B9" s="7" t="inlineStr">
        <is>
          <t>M4B3</t>
        </is>
      </c>
      <c r="C9" s="6" t="inlineStr">
        <is>
          <t>Microcuenca (catálogo)</t>
        </is>
      </c>
      <c r="D9" s="7" t="inlineStr">
        <is>
          <t>C1076-Q9589</t>
        </is>
      </c>
      <c r="E9" s="8" t="n"/>
      <c r="F9" s="8" t="n"/>
    </row>
    <row r="10">
      <c r="A10" s="6" t="inlineStr">
        <is>
          <t>Zona de planificación</t>
        </is>
      </c>
      <c r="B10" s="7" t="inlineStr">
        <is>
          <t>Z14</t>
        </is>
      </c>
      <c r="C10" s="6" t="inlineStr">
        <is>
          <t>Microcuenca declarada en ficha DT</t>
        </is>
      </c>
      <c r="D10" s="7" t="inlineStr">
        <is>
          <t>C1076-Q9584 (según ficha — valor por defecto de plantilla; catálogo: C1076-Q9589)</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Chignia Baja (narrativa) / Hualcas I y II (ficha F-DT-01) — DISCREPANCIA D-01</t>
        </is>
      </c>
      <c r="C13" s="6" t="inlineStr">
        <is>
          <t>Comunidad campesina</t>
        </is>
      </c>
      <c r="D13" s="48" t="inlineStr">
        <is>
          <t>No consignada</t>
        </is>
      </c>
      <c r="E13" s="8" t="n"/>
      <c r="F13" s="8" t="n"/>
    </row>
    <row r="14">
      <c r="A14" s="6" t="inlineStr">
        <is>
          <t>Superficie de catálogo (V5/V6), ha</t>
        </is>
      </c>
      <c r="B14" s="7" t="n">
        <v>234.07</v>
      </c>
      <c r="C14" s="6" t="inlineStr">
        <is>
          <t>Fuente de superficie</t>
        </is>
      </c>
      <c r="D14" s="7" t="inlineStr">
        <is>
          <t>Catálogo maestro Bloques V5/V6</t>
        </is>
      </c>
      <c r="E14" s="8" t="n"/>
      <c r="F14" s="8" t="n"/>
    </row>
    <row r="15">
      <c r="A15" s="6" t="inlineStr">
        <is>
          <t>Centroide UTM ESTE (m)</t>
        </is>
      </c>
      <c r="B15" s="7" t="n">
        <v>643474</v>
      </c>
      <c r="C15" s="6" t="inlineStr">
        <is>
          <t>Centroide UTM NORTE (m)</t>
        </is>
      </c>
      <c r="D15" s="7" t="n">
        <v>9385620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367</v>
      </c>
      <c r="C19" s="6" t="inlineStr">
        <is>
          <t>Altitud máxima (msnm)</t>
        </is>
      </c>
      <c r="D19" s="7" t="n">
        <v>682</v>
      </c>
      <c r="E19" s="8" t="n"/>
      <c r="F19" s="8" t="n"/>
    </row>
    <row r="20">
      <c r="A20" s="6" t="inlineStr">
        <is>
          <t>Amplitud altitudinal (m)</t>
        </is>
      </c>
      <c r="B20" s="7" t="n">
        <v>315</v>
      </c>
      <c r="C20" s="6" t="inlineStr">
        <is>
          <t>Piso altitudinal dominante</t>
        </is>
      </c>
      <c r="D20" s="7" t="inlineStr">
        <is>
          <t>&lt;1000 m (Yunga)</t>
        </is>
      </c>
      <c r="E20" s="8" t="n"/>
      <c r="F20" s="8" t="n"/>
    </row>
    <row r="21">
      <c r="A21" s="6" t="inlineStr">
        <is>
          <t>Pendiente promedio (%)</t>
        </is>
      </c>
      <c r="B21" s="7" t="n">
        <v>17.22</v>
      </c>
      <c r="C21" s="6" t="inlineStr">
        <is>
          <t>Pendiente promedio (grados)</t>
        </is>
      </c>
      <c r="D21" s="7" t="n">
        <v>9.800000000000001</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Norte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0.3222</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(52.34 %)</t>
        </is>
      </c>
      <c r="E29" s="8" t="n"/>
      <c r="F29" s="8" t="n"/>
    </row>
    <row r="30">
      <c r="A30" s="6" t="inlineStr">
        <is>
          <t>Superficie clasificada NDVI 2025 (ha)</t>
        </is>
      </c>
      <c r="B30" s="7" t="n">
        <v>234.137</v>
      </c>
      <c r="C30" s="6" t="inlineStr">
        <is>
          <t>Desviación frente al catálogo (%)</t>
        </is>
      </c>
      <c r="D30" s="7" t="n">
        <v>0.03</v>
      </c>
      <c r="E30" s="8" t="n"/>
      <c r="F30" s="8" t="n"/>
    </row>
    <row r="31">
      <c r="A31" s="6" t="inlineStr">
        <is>
          <t>Superficie clasificada MSAVI 2024 (ha)</t>
        </is>
      </c>
      <c r="B31" s="36" t="n">
        <v>234.069</v>
      </c>
      <c r="C31" s="6" t="inlineStr">
        <is>
          <t>Desviación MSAVI frente al catálogo (%)</t>
        </is>
      </c>
      <c r="D31" s="37" t="n">
        <v>0</v>
      </c>
      <c r="E31" s="8" t="n"/>
      <c r="F31" s="8" t="n"/>
    </row>
    <row r="32">
      <c r="A32" s="6" t="inlineStr">
        <is>
          <t>Superficie bajo umbral MSAVI 0.4976 (ha)</t>
        </is>
      </c>
      <c r="B32" s="36" t="n">
        <v>230.774</v>
      </c>
      <c r="C32" s="6" t="inlineStr">
        <is>
          <t>% del bloque bajo umbral (brecha espectral)</t>
        </is>
      </c>
      <c r="D32" s="37" t="n">
        <v>98.59</v>
      </c>
      <c r="E32" s="8" t="n"/>
      <c r="F32" s="8" t="n"/>
    </row>
    <row r="33">
      <c r="A33" s="6" t="inlineStr">
        <is>
          <t>Clase DN dominante (MSAVI 2024)</t>
        </is>
      </c>
      <c r="B33" s="7" t="inlineStr">
        <is>
          <t>DN 2 · 0.2650 - 0.3813 (Vigor muy bajo)</t>
        </is>
      </c>
      <c r="C33" s="6" t="inlineStr">
        <is>
          <t>N.° de polígonos MSAVI del bloque</t>
        </is>
      </c>
      <c r="D33" s="38" t="n">
        <v>622</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130 ha (de 234.07 ha del bloque)</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Bosque ralo (30-70%)</t>
        </is>
      </c>
      <c r="C38" s="6" t="inlineStr">
        <is>
          <t>Cobertura vegetal total — campo (%)</t>
        </is>
      </c>
      <c r="D38" s="7" t="n">
        <v>65</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Moderada (surcos) — NO REPRESENTATIVO (ver D-01)</t>
        </is>
      </c>
      <c r="C40" s="6" t="inlineStr">
        <is>
          <t>N.° de cárcavas registradas</t>
        </is>
      </c>
      <c r="D40" s="7" t="n">
        <v>0</v>
      </c>
      <c r="E40" s="8" t="n"/>
      <c r="F40" s="8" t="n"/>
    </row>
    <row r="41">
      <c r="A41" s="6" t="inlineStr">
        <is>
          <t>Elenco florístico (n.° de taxones)</t>
        </is>
      </c>
      <c r="B41" s="7" t="n">
        <v>7</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Domínguez</t>
        </is>
      </c>
      <c r="C44" s="6" t="inlineStr">
        <is>
          <t>Fecha de evaluación</t>
        </is>
      </c>
      <c r="D44" s="7" t="inlineStr">
        <is>
          <t>2026-08-10</t>
        </is>
      </c>
      <c r="E44" s="8" t="n"/>
      <c r="F44" s="8" t="n"/>
    </row>
    <row r="45">
      <c r="A45" s="6" t="inlineStr">
        <is>
          <t>Hora de registro</t>
        </is>
      </c>
      <c r="B45" s="7" t="inlineStr">
        <is>
          <t>11:46 h</t>
        </is>
      </c>
      <c r="C45" s="6" t="inlineStr">
        <is>
          <t>Correlativo de ficha</t>
        </is>
      </c>
      <c r="D45" s="7" t="inlineStr">
        <is>
          <t>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48"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48" t="inlineStr">
        <is>
          <t>No consignada en la ficha</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Baja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39" t="n"/>
      <c r="C57" s="39" t="n"/>
      <c r="D57" s="39" t="n"/>
      <c r="E57" s="39" t="n"/>
      <c r="F57" s="40"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M4B3</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0.0297</v>
      </c>
      <c r="C10" s="19">
        <f>ROUND(B10/$B$15*100,2)</f>
        <v/>
      </c>
      <c r="D10" s="11" t="inlineStr">
        <is>
          <t>Vigor alto</t>
        </is>
      </c>
      <c r="E10" s="11" t="inlineStr">
        <is>
          <t>Sobre umbral</t>
        </is>
      </c>
    </row>
    <row r="11">
      <c r="A11" s="12" t="inlineStr">
        <is>
          <t>0.4976 - 0.6139 · DN 4</t>
        </is>
      </c>
      <c r="B11" s="20" t="n">
        <v>3.2654</v>
      </c>
      <c r="C11" s="21">
        <f>ROUND(B11/$B$15*100,2)</f>
        <v/>
      </c>
      <c r="D11" s="13" t="inlineStr">
        <is>
          <t>Vigor moderado</t>
        </is>
      </c>
      <c r="E11" s="13" t="inlineStr">
        <is>
          <t>Sobre umbral</t>
        </is>
      </c>
    </row>
    <row r="12">
      <c r="A12" s="7" t="inlineStr">
        <is>
          <t>0.3813 - 0.4976 · DN 3</t>
        </is>
      </c>
      <c r="B12" s="18" t="n">
        <v>40.4482</v>
      </c>
      <c r="C12" s="19">
        <f>ROUND(B12/$B$15*100,2)</f>
        <v/>
      </c>
      <c r="D12" s="11" t="inlineStr">
        <is>
          <t>Vigor bajo</t>
        </is>
      </c>
      <c r="E12" s="11" t="inlineStr">
        <is>
          <t>BAJO umbral 0.4976</t>
        </is>
      </c>
    </row>
    <row r="13">
      <c r="A13" s="14" t="inlineStr">
        <is>
          <t>0.2650 - 0.3813 · DN 2</t>
        </is>
      </c>
      <c r="B13" s="30" t="n">
        <v>138.4584</v>
      </c>
      <c r="C13" s="29">
        <f>ROUND(B13/$B$15*100,2)</f>
        <v/>
      </c>
      <c r="D13" s="15" t="inlineStr">
        <is>
          <t>Vigor muy bajo</t>
        </is>
      </c>
      <c r="E13" s="15" t="inlineStr">
        <is>
          <t>BAJO umbral 0.4976</t>
        </is>
      </c>
    </row>
    <row r="14">
      <c r="A14" s="7" t="inlineStr">
        <is>
          <t>&lt;= 0.2650 · DN 1</t>
        </is>
      </c>
      <c r="B14" s="18" t="n">
        <v>51.8677</v>
      </c>
      <c r="C14" s="19">
        <f>ROUND(B14/$B$15*100,2)</f>
        <v/>
      </c>
      <c r="D14" s="11" t="inlineStr">
        <is>
          <t>Suelo desnudo / no vegetal</t>
        </is>
      </c>
      <c r="E14" s="11" t="inlineStr">
        <is>
          <t>BAJO umbral 0.4976</t>
        </is>
      </c>
    </row>
    <row r="15" ht="30" customHeight="1">
      <c r="A15" s="41" t="inlineStr">
        <is>
          <t>TOTAL CLASIFICADO MSAVI 2024</t>
        </is>
      </c>
      <c r="B15" s="42">
        <f>SUM(B10:B14)</f>
        <v/>
      </c>
      <c r="C15" s="43">
        <f>SUM(C10:C14)</f>
        <v/>
      </c>
      <c r="D15" s="41" t="inlineStr">
        <is>
          <t>Suma de la distribución areal · 622 polígonos</t>
        </is>
      </c>
      <c r="E15" s="41" t="inlineStr">
        <is>
          <t>—</t>
        </is>
      </c>
    </row>
    <row r="16" ht="30" customHeight="1">
      <c r="A16" s="44" t="inlineStr">
        <is>
          <t>Superficie SOBRE umbral 0.4976 (ha)</t>
        </is>
      </c>
      <c r="B16" s="45">
        <f>SUM(B10:B11)</f>
        <v/>
      </c>
      <c r="C16" s="46">
        <f>ROUND(B16/B15*100,2)</f>
        <v/>
      </c>
      <c r="D16" s="44" t="inlineStr">
        <is>
          <t>Vigor alto y moderado (DN 4 y DN 5)</t>
        </is>
      </c>
      <c r="E16" s="44" t="inlineStr">
        <is>
          <t>Sobre umbral 0.4976</t>
        </is>
      </c>
    </row>
    <row r="17" ht="30" customHeight="1">
      <c r="A17" s="44" t="inlineStr">
        <is>
          <t>Superficie BAJO umbral 0.4976 (ha) — brecha</t>
        </is>
      </c>
      <c r="B17" s="45">
        <f>SUM(B12:B14)</f>
        <v/>
      </c>
      <c r="C17" s="46">
        <f>ROUND(B17/B15*100,2)</f>
        <v/>
      </c>
      <c r="D17" s="44" t="inlineStr">
        <is>
          <t>Vigor bajo, muy bajo y suelo desnudo (DN 1 a DN 3)</t>
        </is>
      </c>
      <c r="E17" s="44" t="inlineStr">
        <is>
          <t>Base para el indicador de brecha (R.M. N.° 00213-2024-MINAM)</t>
        </is>
      </c>
    </row>
    <row r="18" ht="30" customHeight="1">
      <c r="A18" s="44" t="inlineStr">
        <is>
          <t>Superficie de catálogo (V5/V6) — contraste MSAVI</t>
        </is>
      </c>
      <c r="B18" s="45" t="n">
        <v>234.07</v>
      </c>
      <c r="C18" s="47" t="inlineStr">
        <is>
          <t>—</t>
        </is>
      </c>
      <c r="D18" s="44" t="inlineStr">
        <is>
          <t>Desviación planimétrica frente al catálogo</t>
        </is>
      </c>
      <c r="E18" s="44" t="inlineStr">
        <is>
          <t>+0.00 %</t>
        </is>
      </c>
    </row>
    <row r="19">
      <c r="A19" s="16" t="inlineStr">
        <is>
          <t>MSAVI 2024 — MEDIA DEL BLOQUE</t>
        </is>
      </c>
      <c r="B19" s="17" t="n">
        <v>0.322153</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622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(0.3222) se conserva del catálogo maestro y es dato oficial; la fila resaltada indica la clase en la que cae dicha media. Los totales y porcentajes se calculan con fórmulas sobre las filas del cuadro.</t>
        </is>
      </c>
      <c r="B21" s="39" t="n"/>
      <c r="C21" s="39" t="n"/>
      <c r="D21" s="39" t="n"/>
      <c r="E21" s="40"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4.6155</v>
      </c>
      <c r="C25" s="19" t="n">
        <v>1.97</v>
      </c>
      <c r="D25" s="11" t="inlineStr">
        <is>
          <t>Dosel continuo, matorral denso o mosaico agroforestal</t>
        </is>
      </c>
      <c r="E25" s="11" t="inlineStr"/>
    </row>
    <row r="26">
      <c r="A26" s="12" t="inlineStr">
        <is>
          <t>Vegetación mediana</t>
        </is>
      </c>
      <c r="B26" s="20" t="n">
        <v>81.72</v>
      </c>
      <c r="C26" s="21" t="n">
        <v>34.9</v>
      </c>
      <c r="D26" s="13" t="inlineStr">
        <is>
          <t>Pastizal cultivado, matorral ralo, parcelas agrícolas</t>
        </is>
      </c>
      <c r="E26" s="13" t="inlineStr"/>
    </row>
    <row r="27">
      <c r="A27" s="7" t="inlineStr">
        <is>
          <t>Vegetación ligera</t>
        </is>
      </c>
      <c r="B27" s="18" t="n">
        <v>122.5361</v>
      </c>
      <c r="C27" s="19" t="n">
        <v>52.34</v>
      </c>
      <c r="D27" s="11" t="inlineStr">
        <is>
          <t>Cobertura discontinua, suelo parcialmente expuesto</t>
        </is>
      </c>
      <c r="E27" s="11" t="inlineStr"/>
    </row>
    <row r="28">
      <c r="A28" s="12" t="inlineStr">
        <is>
          <t>Tierra desnuda</t>
        </is>
      </c>
      <c r="B28" s="20" t="n">
        <v>25.2656</v>
      </c>
      <c r="C28" s="21" t="n">
        <v>10.79</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234.07</v>
      </c>
      <c r="C30" s="25" t="inlineStr">
        <is>
          <t>—</t>
        </is>
      </c>
      <c r="D30" s="25" t="inlineStr">
        <is>
          <t>Desviación planimétrica frente al catálogo</t>
        </is>
      </c>
      <c r="E30" s="25" t="inlineStr">
        <is>
          <t>+0.03 %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65 % frente a un 1.97 % del polígono clasificado como «Vegetación alta» por el NDVI 2025; la observación de campo corresponde a una parcela o recorrido puntual y no es estadísticamente representativa de las 234.070 ha del bloque.</t>
        </is>
      </c>
      <c r="B32" s="39" t="n"/>
      <c r="C32" s="39" t="n"/>
      <c r="D32" s="39" t="n"/>
      <c r="E32" s="40"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M4B3</t>
        </is>
      </c>
    </row>
    <row r="6" ht="24" customHeight="1">
      <c r="A6" s="4" t="inlineStr">
        <is>
          <t>Levantamiento del 2026-08-10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643261</v>
      </c>
      <c r="D10" s="26" t="n">
        <v>9389812</v>
      </c>
      <c r="E10" s="11" t="n">
        <v>4197.4</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643474</v>
      </c>
      <c r="C13" s="6" t="inlineStr">
        <is>
          <t>Centroide del bloque — UTM NORTE (m)</t>
        </is>
      </c>
      <c r="D13" s="7" t="n">
        <v>9385620</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56"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se ubica en una ladera de colina alta, con pendiente menor a 60%; el terreno se inclina más conforme se asciende. Altitud ≈300 msnm. Presenta AFLORAMIENTO ROCOSO, abundantes rocas semienterradas y piedras medianas a grandes dispersas (pese a que el campo de lista consigna «No»). Zonas con cobertura vegetal remanente. LA LADERA ES EMPLEADA PARA PASTOREO EXTENSIVO DE GANADO CAPRINO del centro poblado próximo. LEÑA APILADA en viviendas próximas. El suelo presenta erosión eólica; estrías y surcos por tránsito de ganado; caminos de herradura dentro del bloque y áreas de suelo desprovistas de vegetación. ADVERTENCIA CRÍTICA (D-01): EL PUNTO DE MUESTREO (643 261 E · 9 389 812 N) ES IDÉNTICO AL DE LA FICHA DEL BLOQUE M4B4 Y DISTA ≈4.2 km AL NORTE DEL CENTROIDE CATASTRAL DE M4B3 (643 474 E · 9 385 620 N). TODO INDICA QUE LA FICHA SE LEVANTÓ EN EL ENTORNO DE M4B4/M12B1 Y NO DENTRO DE M4B3.</t>
        </is>
      </c>
      <c r="B16" s="39" t="n"/>
      <c r="C16" s="39" t="n"/>
      <c r="D16" s="39" t="n"/>
      <c r="E16" s="39" t="n"/>
      <c r="F16" s="39" t="n"/>
      <c r="G16" s="40"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C1076-Q9589 — BLOQUE M4B3</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C1076-Q9589</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M4B4</t>
        </is>
      </c>
      <c r="B10" s="27" t="n">
        <v>289.91</v>
      </c>
      <c r="C10" s="19" t="n">
        <v>55.33</v>
      </c>
      <c r="D10" s="11" t="inlineStr">
        <is>
          <t>314 – 686</t>
        </is>
      </c>
      <c r="E10" s="11" t="n">
        <v>372</v>
      </c>
      <c r="F10" s="11" t="n">
        <v>16.23</v>
      </c>
      <c r="G10" s="18" t="n">
        <v>0.3198</v>
      </c>
      <c r="H10" s="19" t="n">
        <v>1.03</v>
      </c>
      <c r="I10" s="19" t="n">
        <v>99.23</v>
      </c>
    </row>
    <row r="11">
      <c r="A11" s="14" t="inlineStr">
        <is>
          <t>► M4B3</t>
        </is>
      </c>
      <c r="B11" s="28" t="n">
        <v>234.07</v>
      </c>
      <c r="C11" s="29" t="n">
        <v>44.67</v>
      </c>
      <c r="D11" s="15" t="inlineStr">
        <is>
          <t>367 – 682</t>
        </is>
      </c>
      <c r="E11" s="15" t="n">
        <v>315</v>
      </c>
      <c r="F11" s="15" t="n">
        <v>17.22</v>
      </c>
      <c r="G11" s="30" t="n">
        <v>0.3222</v>
      </c>
      <c r="H11" s="29" t="n">
        <v>1.97</v>
      </c>
      <c r="I11" s="29" t="n">
        <v>98.59</v>
      </c>
    </row>
    <row r="12">
      <c r="A12" s="16" t="inlineStr">
        <is>
          <t>TOTAL / PROMEDIO</t>
        </is>
      </c>
      <c r="B12" s="31">
        <f>SUM(B10:B11)</f>
        <v/>
      </c>
      <c r="C12" s="23">
        <f>SUM(C10:C11)</f>
        <v/>
      </c>
      <c r="D12" s="17" t="inlineStr">
        <is>
          <t>314 – 686</t>
        </is>
      </c>
      <c r="E12" s="17" t="inlineStr"/>
      <c r="F12" s="17">
        <f>ROUND(AVERAGE(F10:F11),2)</f>
        <v/>
      </c>
      <c r="G12" s="22">
        <f>ROUND(AVERAGE(G10:G11),4)</f>
        <v/>
      </c>
      <c r="H12" s="23">
        <f>ROUND(AVERAGE(H10:H11),2)</f>
        <v/>
      </c>
      <c r="I12" s="23">
        <f>ROUND(AVERAGE(I10:I11),2)</f>
        <v/>
      </c>
    </row>
    <row r="14" ht="84" customHeight="1">
      <c r="A14" s="9" t="inlineStr">
        <is>
          <t>LECTURA INTRAMICROCUENCA. El bloque M4B3 ocupa el puesto 2 de 2 por superficie dentro de la microcuenca C1076-Q9589 (44.67 % de las 523.98 ha preliminares de la microcuenca). Su pendiente promedio (17.22 %, clase «15-25% (Fuert. inclinado)») es la 2.ª más baja de 2 y se sitúa por encima del promedio de la microcuenca (16.73 %). Su MSAVI 2024 (0.3222) es el 1.º de 2 y queda por encima del promedio local (0.3210). Amplitud altitudinal del bloque: 315 m (367–682 msnm). El cuadro conserva todos los bloques catalogados en la microcuenca, incluidos los descartados en el tamizaje, para referencia del conjunto. Los bloques sin ficha DT figuran con sus parámetros de gabinete. BRECHA ESPECTRAL. El 98.59 % de la superficie del bloque (230.774 ha de 234.069 ha) se sitúa bajo el umbral MSAVI 0.4976, por debajo del promedio local de la microcuenca (98.91 %) calculado sobre los bloques con dato MSAVI disponible.</t>
        </is>
      </c>
      <c r="B14" s="39" t="n"/>
      <c r="C14" s="39" t="n"/>
      <c r="D14" s="39" t="n"/>
      <c r="E14" s="39" t="n"/>
      <c r="F14" s="39" t="n"/>
      <c r="G14" s="39" t="n"/>
      <c r="H14" s="39" t="n"/>
      <c r="I14" s="40" t="n"/>
    </row>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6" s="39" t="n"/>
      <c r="C16" s="39" t="n"/>
      <c r="D16" s="39" t="n"/>
      <c r="E16" s="39" t="n"/>
      <c r="F16" s="39" t="n"/>
      <c r="G16" s="39" t="n"/>
      <c r="H16" s="39" t="n"/>
      <c r="I16" s="40" t="n"/>
    </row>
  </sheetData>
  <mergeCells count="9">
    <mergeCell ref="A2:I2"/>
    <mergeCell ref="A5:I5"/>
    <mergeCell ref="A14:I14"/>
    <mergeCell ref="A1:I1"/>
    <mergeCell ref="A8:I8"/>
    <mergeCell ref="A3:I3"/>
    <mergeCell ref="A6:I6"/>
    <mergeCell ref="A4:I4"/>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49" t="inlineStr">
        <is>
          <t>AUTORIDAD NACIONAL DE INFRAESTRUCTURA - ANIN</t>
        </is>
      </c>
    </row>
    <row r="2">
      <c r="A2" s="49" t="inlineStr">
        <is>
          <t>DIRECCION DE INTERVENCIONES MULTISECTORIALES Y DE EMERGENCIA - DIME</t>
        </is>
      </c>
    </row>
    <row r="3">
      <c r="A3" s="49" t="inlineStr">
        <is>
          <t>SUBDIRECCION DE ESTUDIOS DE INVERSION - SESDI</t>
        </is>
      </c>
    </row>
    <row r="4">
      <c r="A4" s="50" t="inlineStr">
        <is>
          <t>PROYECTO IN PIURA | CUI 2669244 | Recuperacion del servicio de regulacion de riesgos naturales y de ecosistemas degradados - Cuenca Alta del Rio Piura</t>
        </is>
      </c>
    </row>
    <row r="5" ht="22" customHeight="1">
      <c r="A5" s="51" t="inlineStr">
        <is>
          <t>CONTROL DE CONSISTENCIA — BLOQUE M4B3</t>
        </is>
      </c>
    </row>
    <row r="6">
      <c r="A6" s="50" t="inlineStr">
        <is>
          <t>Cruce de la ficha de campo F-DT vigente con la ficha de resumen de gabinete y el catálogo maestro. Integración 2026-09-11 21:26:37.</t>
        </is>
      </c>
    </row>
    <row r="7">
      <c r="A7" s="52" t="inlineStr">
        <is>
          <t>DISCREPANCIAS Y VERIFICACIONES</t>
        </is>
      </c>
    </row>
    <row r="8">
      <c r="A8" s="53" t="inlineStr">
        <is>
          <t>Cod.</t>
        </is>
      </c>
      <c r="B8" s="53" t="inlineStr">
        <is>
          <t>Campo afectado</t>
        </is>
      </c>
      <c r="C8" s="53" t="inlineStr">
        <is>
          <t>Discrepancia observada</t>
        </is>
      </c>
      <c r="D8" s="53" t="inlineStr">
        <is>
          <t>Calificación</t>
        </is>
      </c>
      <c r="E8" s="53" t="inlineStr">
        <is>
          <t>Tratamiento adoptado</t>
        </is>
      </c>
    </row>
    <row r="9">
      <c r="A9" s="54" t="inlineStr">
        <is>
          <t>G-01</t>
        </is>
      </c>
      <c r="B9" s="54" t="inlineStr">
        <is>
          <t>Código de microcuenca</t>
        </is>
      </c>
      <c r="C9" s="54" t="inlineStr">
        <is>
          <t>Ficha DT y catálogo maestro coinciden en «C1076-Q9589».</t>
        </is>
      </c>
      <c r="D9" s="54" t="inlineStr">
        <is>
          <t>CONFORME</t>
        </is>
      </c>
      <c r="E9" s="54" t="inlineStr">
        <is>
          <t>Sin acción.</t>
        </is>
      </c>
    </row>
    <row r="10">
      <c r="A10" s="55" t="inlineStr">
        <is>
          <t>G-02</t>
        </is>
      </c>
      <c r="B10" s="55" t="inlineStr">
        <is>
          <t>UTM del punto de muestreo</t>
        </is>
      </c>
      <c r="C10" s="55" t="inlineStr">
        <is>
          <t>El punto de muestreo declarado dista 4197.4 m del centroide del bloque, por encima del radio de control de 1500 m.</t>
        </is>
      </c>
      <c r="D10" s="55" t="inlineStr">
        <is>
          <t>NO SUSTANTIVA</t>
        </is>
      </c>
      <c r="E10" s="55" t="inlineStr">
        <is>
          <t>Se verifica en gabinete si la estación cae dentro del polígono; el dato de campo se conserva como referencia de acceso.</t>
        </is>
      </c>
    </row>
    <row r="11">
      <c r="A11" s="54" t="inlineStr">
        <is>
          <t>G-03</t>
        </is>
      </c>
      <c r="B11" s="54" t="inlineStr">
        <is>
          <t>Sistema de referencia UTM 17S</t>
        </is>
      </c>
      <c r="C11" s="54" t="inlineStr">
        <is>
          <t>Verificación de rango para EPSG:32717: Conforme.</t>
        </is>
      </c>
      <c r="D11" s="54" t="inlineStr">
        <is>
          <t>CONFORME</t>
        </is>
      </c>
      <c r="E11" s="54" t="inlineStr">
        <is>
          <t>Sin acción.</t>
        </is>
      </c>
    </row>
    <row r="12">
      <c r="A12" s="55" t="inlineStr">
        <is>
          <t>G-04</t>
        </is>
      </c>
      <c r="B12" s="55" t="inlineStr">
        <is>
          <t>Altitud del punto de muestreo</t>
        </is>
      </c>
      <c r="C12" s="55" t="inlineStr">
        <is>
          <t>La altitud GPS (340 msnm) cae dentro del rango altitudinal del bloque (367 - 682 msnm).</t>
        </is>
      </c>
      <c r="D12" s="55" t="inlineStr">
        <is>
          <t>CONFORME</t>
        </is>
      </c>
      <c r="E12" s="55" t="inlineStr">
        <is>
          <t>Sin acción.</t>
        </is>
      </c>
    </row>
    <row r="13">
      <c r="A13" s="54" t="inlineStr">
        <is>
          <t>G-05</t>
        </is>
      </c>
      <c r="B13" s="54" t="inlineStr">
        <is>
          <t>Superficie NDVI vs. catálogo</t>
        </is>
      </c>
      <c r="C13" s="54" t="inlineStr">
        <is>
          <t>La superficie clasificada por el NDVI mediana 2025 (234.137 ha) se desvía 0.03 % de la superficie de catálogo (234.07 ha).</t>
        </is>
      </c>
      <c r="D13" s="54" t="inlineStr">
        <is>
          <t>CONFORME</t>
        </is>
      </c>
      <c r="E13" s="54" t="inlineStr">
        <is>
          <t>Sin acción: la segmentación valida la geometría del bloque.</t>
        </is>
      </c>
    </row>
    <row r="14">
      <c r="A14" s="55" t="inlineStr">
        <is>
          <t>G-06</t>
        </is>
      </c>
      <c r="B14" s="55" t="inlineStr">
        <is>
          <t>Superficie MSAVI vs. catálogo</t>
        </is>
      </c>
      <c r="C14" s="55" t="inlineStr">
        <is>
          <t>La superficie clasificada por el MSAVI 2024 (234.069 ha) se desvía -0.00 % de la superficie de catálogo (234.07 ha).</t>
        </is>
      </c>
      <c r="D14" s="55" t="inlineStr">
        <is>
          <t>CONFORME</t>
        </is>
      </c>
      <c r="E14" s="55" t="inlineStr">
        <is>
          <t>Sin acción: la segmentación valida la geometría del bloque.</t>
        </is>
      </c>
    </row>
    <row r="15">
      <c r="A15" s="54" t="inlineStr">
        <is>
          <t>G-07</t>
        </is>
      </c>
      <c r="B15" s="54" t="inlineStr">
        <is>
          <t>Brecha espectral MSAVI</t>
        </is>
      </c>
      <c r="C15" s="54" t="inlineStr">
        <is>
          <t>El 98.59 % del bloque queda bajo el umbral 0.4976; superficie de brecha 230.77 ha.</t>
        </is>
      </c>
      <c r="D15" s="54" t="inlineStr">
        <is>
          <t>CONFORME</t>
        </is>
      </c>
      <c r="E15" s="54" t="inlineStr">
        <is>
          <t>Sin acción: alimenta el indicador de brecha del proyecto.</t>
        </is>
      </c>
    </row>
    <row r="16">
      <c r="A16" s="55" t="inlineStr">
        <is>
          <t>G-08</t>
        </is>
      </c>
      <c r="B16" s="55" t="inlineStr">
        <is>
          <t>Distribución areal MSAVI 2024</t>
        </is>
      </c>
      <c r="C16" s="55" t="inlineStr">
        <is>
          <t>La hoja de cobertura declara 5 clases DN con superficie, 234.07 ha clasificadas en total.</t>
        </is>
      </c>
      <c r="D16" s="55" t="inlineStr">
        <is>
          <t>CONFORME</t>
        </is>
      </c>
      <c r="E16" s="55" t="inlineStr">
        <is>
          <t>Sin acción: procede de la estadística zonal del raster MSAVI 2024 clasificado.</t>
        </is>
      </c>
    </row>
    <row r="17">
      <c r="A17" s="54" t="inlineStr">
        <is>
          <t>G-09</t>
        </is>
      </c>
      <c r="B17" s="54" t="inlineStr">
        <is>
          <t>Media MSAVI vs. clase DN dominante</t>
        </is>
      </c>
      <c r="C17" s="54" t="inlineStr">
        <is>
          <t>La media del bloque (0.3222) cae en la clase «0.2650 - 0.3813 (Vigor muy bajo)» y la clase DN dominante por superficie es «DN 2 · 0.2650 - 0.3813 (Vigor muy bajo)».</t>
        </is>
      </c>
      <c r="D17" s="54" t="inlineStr">
        <is>
          <t>CONFORME</t>
        </is>
      </c>
      <c r="E17" s="54" t="inlineStr">
        <is>
          <t>Sin acción: media y clase dominante son coherentes.</t>
        </is>
      </c>
    </row>
    <row r="18">
      <c r="A18" s="55" t="inlineStr">
        <is>
          <t>G-10</t>
        </is>
      </c>
      <c r="B18" s="55" t="inlineStr">
        <is>
          <t>Peligro integrado (MCA-AHP)</t>
        </is>
      </c>
      <c r="C18" s="55" t="inlineStr">
        <is>
          <t>El nivel de peligro integrado no está disponible en los insumos de este entregable.</t>
        </is>
      </c>
      <c r="D18" s="55" t="inlineStr">
        <is>
          <t>SUSTANTIVA</t>
        </is>
      </c>
      <c r="E18" s="55" t="inlineStr">
        <is>
          <t>Debe tomarse del modelamiento de mesolocalización (MCA-AHP de PMM, EPH y PGI) antes de cerrar el perfil.</t>
        </is>
      </c>
    </row>
    <row r="19">
      <c r="A19" s="54" t="inlineStr">
        <is>
          <t>F-01</t>
        </is>
      </c>
      <c r="B19" s="54" t="inlineStr">
        <is>
          <t>Fichas F-DT levantadas</t>
        </is>
      </c>
      <c r="C19" s="54" t="inlineStr">
        <is>
          <t>La plantilla de campo trae las cinco fichas F-DT-01 a F-DT-05 (completitud 85.7 % de los campos esperados).</t>
        </is>
      </c>
      <c r="D19" s="54" t="inlineStr">
        <is>
          <t>CONFORME</t>
        </is>
      </c>
      <c r="E19" s="54" t="inlineStr">
        <is>
          <t>Sin acción.</t>
        </is>
      </c>
    </row>
    <row r="20">
      <c r="A20" s="55" t="inlineStr">
        <is>
          <t>F-02</t>
        </is>
      </c>
      <c r="B20" s="55" t="inlineStr">
        <is>
          <t>Cobertura de la integración</t>
        </is>
      </c>
      <c r="C20" s="55" t="inlineStr">
        <is>
          <t>Se declararon 94 de 114 hechos integrados (82.5 %); 20 quedan sin dato en ninguna fuente.</t>
        </is>
      </c>
      <c r="D20" s="55" t="inlineStr">
        <is>
          <t>CONFORME</t>
        </is>
      </c>
      <c r="E20" s="55" t="inlineStr">
        <is>
          <t>Sin acción.</t>
        </is>
      </c>
    </row>
    <row r="21">
      <c r="A21" s="54" t="inlineStr">
        <is>
          <t>H-01</t>
        </is>
      </c>
      <c r="B21" s="54" t="inlineStr">
        <is>
          <t>Rango de pendiente dominante</t>
        </is>
      </c>
      <c r="C21" s="54" t="inlineStr">
        <is>
          <t>La ficha DT declara «25-50% (Mod. escarpado)»; la estadística zonal sobre el MDE arroja una pendiente promedio de 17.22 %, que corresponde a la clase «15-25% (Fuert. inclinado)»</t>
        </is>
      </c>
      <c r="D21" s="54" t="inlineStr">
        <is>
          <t>NO SUSTANTIVA</t>
        </is>
      </c>
      <c r="E21" s="54"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2">
      <c r="A22" s="55" t="inlineStr">
        <is>
          <t>H-02</t>
        </is>
      </c>
      <c r="B22" s="55" t="inlineStr">
        <is>
          <t>Cobertura vegetal total</t>
        </is>
      </c>
      <c r="C22" s="55" t="inlineStr">
        <is>
          <t>La ficha DT estima 65 % de cobertura vegetal en campo; el NDVI mediana 2025 clasifica 89.21 % del polígono en clases de vegetación</t>
        </is>
      </c>
      <c r="D22" s="55" t="inlineStr">
        <is>
          <t>NO SUSTANTIVA</t>
        </is>
      </c>
      <c r="E22" s="55"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3">
      <c r="A23" s="54" t="inlineStr">
        <is>
          <t>H-03</t>
        </is>
      </c>
      <c r="B23" s="54" t="inlineStr">
        <is>
          <t>Elenco florístico</t>
        </is>
      </c>
      <c r="C23" s="54" t="inlineStr">
        <is>
          <t>La ficha registra 7 taxones, por debajo del mínimo de 15 que exige el formato V5</t>
        </is>
      </c>
      <c r="D23" s="54" t="inlineStr">
        <is>
          <t>SUSTANTIVA</t>
        </is>
      </c>
      <c r="E23" s="54" t="inlineStr">
        <is>
          <t>Registro florístico preliminar, sin colecta ni determinación botánica formal. Debe cerrarse con colecta botánica en la siguiente campaña. (Verificación heredada de la ficha de resumen V6.)</t>
        </is>
      </c>
    </row>
    <row r="24">
      <c r="A24" s="55" t="inlineStr">
        <is>
          <t>H-04</t>
        </is>
      </c>
      <c r="B24" s="55" t="inlineStr">
        <is>
          <t>Representatividad del levantamiento</t>
        </is>
      </c>
      <c r="C24" s="55" t="inlineStr">
        <is>
          <t>Ninguna de las estaciones fotográficas georreferenciadas se localiza dentro del polígono del bloque</t>
        </is>
      </c>
      <c r="D24" s="55" t="inlineStr">
        <is>
          <t>SUSTANTIVA</t>
        </is>
      </c>
      <c r="E24" s="55" t="inlineStr">
        <is>
          <t>La verificación documenta el perímetro y la vista panorámica del bloque, no su interior. Los parámetros que exigen recorrido interno se consignan «Por determinar». (Verificación heredada de la ficha de resumen V6.)</t>
        </is>
      </c>
    </row>
    <row r="25">
      <c r="A25" s="54" t="inlineStr">
        <is>
          <t>H-05</t>
        </is>
      </c>
      <c r="B25" s="54" t="inlineStr">
        <is>
          <t>Centro poblado asociado</t>
        </is>
      </c>
      <c r="C25" s="54" t="inlineStr">
        <is>
          <t>La ficha DT declara «Chignia Baja (narrativa) / Hualcas I y II (ficha F-DT-01) — DISCREPANCIA D-01»; el cruce INEI-Bloques V5 identifica 1 centro(s) poblado(s) en el bloque: CHIGNIA BAJA</t>
        </is>
      </c>
      <c r="D25" s="54" t="inlineStr">
        <is>
          <t>CONFORME</t>
        </is>
      </c>
      <c r="E25" s="54" t="inlineStr">
        <is>
          <t>Se conserva el registro de campo como referencia y se adopta el listado INEI para el diagnóstico social y el cálculo de población beneficiaria. (Verificación heredada de la ficha de resumen V6.)</t>
        </is>
      </c>
    </row>
    <row r="26">
      <c r="A26" s="55" t="inlineStr">
        <is>
          <t>H-06</t>
        </is>
      </c>
      <c r="B26" s="55" t="inlineStr">
        <is>
          <t>Ficha DT</t>
        </is>
      </c>
      <c r="C26" s="55" t="inlineStr">
        <is>
          <t>La ficha consigna microcuenca C1076-Q9584; el catálogo maestro asigna a M4B3 la microcuenca C1076-Q9589</t>
        </is>
      </c>
      <c r="D26" s="55" t="inlineStr">
        <is>
          <t>SUSTANTIVA</t>
        </is>
      </c>
      <c r="E26" s="55" t="inlineStr">
        <is>
          <t>Valor por defecto de la plantilla; se conserva el del catálogo (Verificación heredada de la ficha de resumen V6.)</t>
        </is>
      </c>
    </row>
    <row r="27">
      <c r="A27" s="54" t="inlineStr">
        <is>
          <t>H-07</t>
        </is>
      </c>
      <c r="B27" s="54" t="inlineStr">
        <is>
          <t>F-DT-01</t>
        </is>
      </c>
      <c r="C27" s="54" t="inlineStr">
        <is>
          <t>D-01: el punto de muestreo (643 261 · 9 389 812) es IDÉNTICO al de M4B4 y dista ≈4.2 km al norte del centroide de M4B3</t>
        </is>
      </c>
      <c r="D27" s="54" t="inlineStr">
        <is>
          <t>SUSTANTIVA</t>
        </is>
      </c>
      <c r="E27" s="54" t="inlineStr">
        <is>
          <t>La ficha se levantó en el entorno de M4B4/M12B1, no dentro de M4B3: toda la caracterización de campo es NO REPRESENTATIVA (Verificación heredada de la ficha de resumen V6.)</t>
        </is>
      </c>
    </row>
    <row r="28">
      <c r="A28" s="55" t="inlineStr">
        <is>
          <t>H-08</t>
        </is>
      </c>
      <c r="B28" s="55" t="inlineStr">
        <is>
          <t>F-DT-03</t>
        </is>
      </c>
      <c r="C28" s="55" t="inlineStr">
        <is>
          <t>D-02: los 16 campos estructurales son casi idénticos a los de M4B4 y M12B1, a la misma hora y altitud GPS</t>
        </is>
      </c>
      <c r="D28" s="55" t="inlineStr">
        <is>
          <t>SUSTANTIVA</t>
        </is>
      </c>
      <c r="E28" s="55" t="inlineStr">
        <is>
          <t>Estimación visual global no diferenciada por bloque (Verificación heredada de la ficha de resumen V6.)</t>
        </is>
      </c>
    </row>
    <row r="29">
      <c r="A29" s="54" t="inlineStr">
        <is>
          <t>H-09</t>
        </is>
      </c>
      <c r="B29" s="54" t="inlineStr">
        <is>
          <t>F-DT-04</t>
        </is>
      </c>
      <c r="C29" s="54" t="inlineStr">
        <is>
          <t>Urgencia «Baja» y reversibilidad «Totalmente reversible» incompatibles con MSAVI 2024 = 0.3222 (2.º más bajo del conjunto) y con la tierra desnuda del NDVI 2025</t>
        </is>
      </c>
      <c r="D29" s="54" t="inlineStr">
        <is>
          <t>SUSTANTIVA</t>
        </is>
      </c>
      <c r="E29" s="54" t="inlineStr">
        <is>
          <t>La Subdirección recomienda reevaluación (Verificación heredada de la ficha de resumen V6.)</t>
        </is>
      </c>
    </row>
    <row r="30">
      <c r="A30" s="55" t="inlineStr">
        <is>
          <t>H-10</t>
        </is>
      </c>
      <c r="B30" s="55" t="inlineStr">
        <is>
          <t>F-DT-05</t>
        </is>
      </c>
      <c r="C30" s="55" t="inlineStr">
        <is>
          <t>Sin ficha F-DT-05 en el ANEXO 01</t>
        </is>
      </c>
      <c r="D30" s="55" t="inlineStr">
        <is>
          <t>SUSTANTIVA</t>
        </is>
      </c>
      <c r="E30" s="55" t="inlineStr">
        <is>
          <t>Inventario hídrico y accesibilidad por completar (Verificación heredada de la ficha de resumen V6.)</t>
        </is>
      </c>
    </row>
    <row r="32">
      <c r="A32" s="56" t="inlineStr">
        <is>
          <t>RESUMEN</t>
        </is>
      </c>
      <c r="B32" s="57" t="inlineStr">
        <is>
          <t>22 verificaciones</t>
        </is>
      </c>
      <c r="C32" s="57" t="inlineStr">
        <is>
          <t>SUSTANTIVA: 8 · NO SUSTANTIVA: 3 · CONFORME: 11</t>
        </is>
      </c>
    </row>
    <row r="34">
      <c r="A34" s="58"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4:E34"/>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49" t="inlineStr">
        <is>
          <t>AUTORIDAD NACIONAL DE INFRAESTRUCTURA - ANIN</t>
        </is>
      </c>
    </row>
    <row r="2">
      <c r="A2" s="49" t="inlineStr">
        <is>
          <t>DIRECCION DE INTERVENCIONES MULTISECTORIALES Y DE EMERGENCIA - DIME</t>
        </is>
      </c>
    </row>
    <row r="3">
      <c r="A3" s="49" t="inlineStr">
        <is>
          <t>SUBDIRECCION DE ESTUDIOS DE INVERSION - SESDI</t>
        </is>
      </c>
    </row>
    <row r="4">
      <c r="A4" s="50" t="inlineStr">
        <is>
          <t>PROYECTO IN PIURA | CUI 2669244 | Recuperacion del servicio de regulacion de riesgos naturales y de ecosistemas degradados - Cuenca Alta del Rio Piura</t>
        </is>
      </c>
    </row>
    <row r="5" ht="22" customHeight="1">
      <c r="A5" s="51" t="inlineStr">
        <is>
          <t>INTEGRACIÓN DE LA FICHA DE CAMPO — BLOQUE M4B3</t>
        </is>
      </c>
    </row>
    <row r="7">
      <c r="A7" s="52" t="inlineStr">
        <is>
          <t>A. HECHOS ACTUALIZADOS POR LA VERIFICACIÓN DE CAMPO</t>
        </is>
      </c>
    </row>
    <row r="8">
      <c r="A8" s="53" t="inlineStr">
        <is>
          <t>Sección</t>
        </is>
      </c>
      <c r="B8" s="53" t="inlineStr">
        <is>
          <t>Hecho</t>
        </is>
      </c>
      <c r="C8" s="53" t="inlineStr">
        <is>
          <t>Valor en la ficha V6</t>
        </is>
      </c>
      <c r="D8" s="53" t="inlineStr">
        <is>
          <t>Valor de campo vigente</t>
        </is>
      </c>
      <c r="E8" s="53" t="inlineStr">
        <is>
          <t>Fuente que manda</t>
        </is>
      </c>
    </row>
    <row r="9">
      <c r="A9" s="54" t="inlineStr">
        <is>
          <t>—</t>
        </is>
      </c>
      <c r="B9" s="54" t="inlineStr">
        <is>
          <t>Sin cambios: la ficha de campo confirma el libro V6</t>
        </is>
      </c>
      <c r="C9" s="54" t="inlineStr"/>
      <c r="D9" s="54" t="inlineStr"/>
      <c r="E9" s="54" t="inlineStr"/>
    </row>
    <row r="11">
      <c r="A11" s="52" t="inlineStr">
        <is>
          <t>B. HECHOS APORTADOS ÚNICAMENTE POR LA FICHA DE CAMPO</t>
        </is>
      </c>
    </row>
    <row r="12">
      <c r="A12" s="53" t="inlineStr">
        <is>
          <t>Sección</t>
        </is>
      </c>
      <c r="B12" s="53" t="inlineStr">
        <is>
          <t>Hecho</t>
        </is>
      </c>
      <c r="C12" s="53" t="inlineStr">
        <is>
          <t>Valor</t>
        </is>
      </c>
      <c r="D12" s="53" t="inlineStr">
        <is>
          <t>Unidad</t>
        </is>
      </c>
    </row>
    <row r="13">
      <c r="A13" s="54" t="inlineStr">
        <is>
          <t>1. Identificación y localización</t>
        </is>
      </c>
      <c r="B13" s="54" t="inlineStr">
        <is>
          <t>UTM ESTE del punto de muestreo (m)</t>
        </is>
      </c>
      <c r="C13" s="54" t="inlineStr">
        <is>
          <t>643261</t>
        </is>
      </c>
      <c r="D13" s="54" t="inlineStr">
        <is>
          <t>m</t>
        </is>
      </c>
    </row>
    <row r="14">
      <c r="A14" s="55" t="inlineStr">
        <is>
          <t>1. Identificación y localización</t>
        </is>
      </c>
      <c r="B14" s="55" t="inlineStr">
        <is>
          <t>UTM NORTE del punto de muestreo (m)</t>
        </is>
      </c>
      <c r="C14" s="55" t="inlineStr">
        <is>
          <t>9389812</t>
        </is>
      </c>
      <c r="D14" s="55" t="inlineStr">
        <is>
          <t>m</t>
        </is>
      </c>
    </row>
    <row r="15">
      <c r="A15" s="54" t="inlineStr">
        <is>
          <t>2. Parámetros físicos del terreno</t>
        </is>
      </c>
      <c r="B15" s="54" t="inlineStr">
        <is>
          <t>Altitud GPS del punto de muestreo (msnm)</t>
        </is>
      </c>
      <c r="C15" s="54" t="inlineStr">
        <is>
          <t>340</t>
        </is>
      </c>
      <c r="D15" s="54" t="inlineStr">
        <is>
          <t>msnm</t>
        </is>
      </c>
    </row>
    <row r="16">
      <c r="A16" s="55" t="inlineStr">
        <is>
          <t>2. Parámetros físicos del terreno</t>
        </is>
      </c>
      <c r="B16" s="55" t="inlineStr">
        <is>
          <t>Piso altitudinal del punto de muestreo</t>
        </is>
      </c>
      <c r="C16" s="55" t="inlineStr">
        <is>
          <t>&lt;1000 m (Yunga)</t>
        </is>
      </c>
      <c r="D16" s="55" t="inlineStr"/>
    </row>
    <row r="17">
      <c r="A17" s="54" t="inlineStr">
        <is>
          <t>2. Parámetros físicos del terreno</t>
        </is>
      </c>
      <c r="B17" s="54" t="inlineStr">
        <is>
          <t>Paisaje dominante descrito en campo</t>
        </is>
      </c>
      <c r="C17" s="54" t="inlineStr">
        <is>
          <t>Sistema de laderas convexo-cóncavas tributarias de la quebrada Q9588 (microcuenca C1076), con altitudes de 310 a 650 msnm y desniveles internos. Paisaje de colina media, dominado por bosque estacionalmente seco de colina y montaña y zona agrícola. [Registrado literalmente de la ficha. La microcuenca oficial del bloque es C1076-Q9589, no Q9588 — ver discrepancia D-03.]</t>
        </is>
      </c>
      <c r="D17" s="54" t="inlineStr"/>
    </row>
    <row r="18">
      <c r="A18" s="55" t="inlineStr">
        <is>
          <t>2. Parámetros físicos del terreno</t>
        </is>
      </c>
      <c r="B18" s="55" t="inlineStr">
        <is>
          <t>Reptación de suelo</t>
        </is>
      </c>
      <c r="C18" s="55" t="inlineStr">
        <is>
          <t>No</t>
        </is>
      </c>
      <c r="D18" s="55" t="inlineStr"/>
    </row>
    <row r="19">
      <c r="A19" s="54" t="inlineStr">
        <is>
          <t>2. Parámetros físicos del terreno</t>
        </is>
      </c>
      <c r="B19" s="54" t="inlineStr">
        <is>
          <t>Deslizamientos antiguos</t>
        </is>
      </c>
      <c r="C19" s="54" t="inlineStr">
        <is>
          <t>No</t>
        </is>
      </c>
      <c r="D19" s="54" t="inlineStr"/>
    </row>
    <row r="20">
      <c r="A20" s="55" t="inlineStr">
        <is>
          <t>4. Suelos y erosión (F-DT-02)</t>
        </is>
      </c>
      <c r="B20" s="55" t="inlineStr">
        <is>
          <t>Nivel de erosión - síntesis de campo</t>
        </is>
      </c>
      <c r="C20" s="55" t="inlineStr">
        <is>
          <t>Moderada (surcos)</t>
        </is>
      </c>
      <c r="D20" s="55" t="inlineStr"/>
    </row>
    <row r="21">
      <c r="A21" s="54" t="inlineStr">
        <is>
          <t>4. Suelos y erosión (F-DT-02)</t>
        </is>
      </c>
      <c r="B21" s="54" t="inlineStr">
        <is>
          <t>Compactación por pisoteo</t>
        </is>
      </c>
      <c r="C21" s="54" t="inlineStr">
        <is>
          <t>Sí</t>
        </is>
      </c>
      <c r="D21" s="54" t="inlineStr"/>
    </row>
    <row r="22">
      <c r="A22" s="55" t="inlineStr">
        <is>
          <t>4. Suelos y erosión (F-DT-02)</t>
        </is>
      </c>
      <c r="B22" s="55" t="inlineStr">
        <is>
          <t>Longitud total de cárcavas (m)</t>
        </is>
      </c>
      <c r="C22" s="55" t="inlineStr">
        <is>
          <t>0</t>
        </is>
      </c>
      <c r="D22" s="55" t="inlineStr">
        <is>
          <t>m</t>
        </is>
      </c>
    </row>
    <row r="23">
      <c r="A23" s="54" t="inlineStr">
        <is>
          <t>4. Suelos y erosión (F-DT-02)</t>
        </is>
      </c>
      <c r="B23" s="54" t="inlineStr">
        <is>
          <t>% del bloque afectado por cárcavas</t>
        </is>
      </c>
      <c r="C23" s="54" t="inlineStr">
        <is>
          <t>0</t>
        </is>
      </c>
      <c r="D23" s="54" t="inlineStr">
        <is>
          <t>%</t>
        </is>
      </c>
    </row>
    <row r="24">
      <c r="A24" s="55" t="inlineStr">
        <is>
          <t>4. Suelos y erosión (F-DT-02)</t>
        </is>
      </c>
      <c r="B24" s="55" t="inlineStr">
        <is>
          <t>Socavamiento de cauce</t>
        </is>
      </c>
      <c r="C24" s="55" t="inlineStr">
        <is>
          <t>No</t>
        </is>
      </c>
      <c r="D24" s="55" t="inlineStr"/>
    </row>
    <row r="25">
      <c r="A25" s="54" t="inlineStr">
        <is>
          <t>5. Ecosistema, cobertura y flora (F-DT-03)</t>
        </is>
      </c>
      <c r="B25" s="54" t="inlineStr">
        <is>
          <t>Cobertura del dosel (%)</t>
        </is>
      </c>
      <c r="C25" s="54" t="inlineStr">
        <is>
          <t>65</t>
        </is>
      </c>
      <c r="D25" s="54" t="inlineStr">
        <is>
          <t>%</t>
        </is>
      </c>
    </row>
    <row r="26">
      <c r="A26" s="55" t="inlineStr">
        <is>
          <t>5. Ecosistema, cobertura y flora (F-DT-03)</t>
        </is>
      </c>
      <c r="B26" s="55" t="inlineStr">
        <is>
          <t>Cobertura arbustiva (%)</t>
        </is>
      </c>
      <c r="C26" s="55" t="inlineStr">
        <is>
          <t>15</t>
        </is>
      </c>
      <c r="D26" s="55" t="inlineStr">
        <is>
          <t>%</t>
        </is>
      </c>
    </row>
    <row r="27">
      <c r="A27" s="54" t="inlineStr">
        <is>
          <t>5. Ecosistema, cobertura y flora (F-DT-03)</t>
        </is>
      </c>
      <c r="B27" s="54" t="inlineStr">
        <is>
          <t>Cobertura herbácea (%)</t>
        </is>
      </c>
      <c r="C27" s="54" t="inlineStr">
        <is>
          <t>10</t>
        </is>
      </c>
      <c r="D27" s="54" t="inlineStr">
        <is>
          <t>%</t>
        </is>
      </c>
    </row>
    <row r="28">
      <c r="A28" s="55" t="inlineStr">
        <is>
          <t>5. Ecosistema, cobertura y flora (F-DT-03)</t>
        </is>
      </c>
      <c r="B28" s="55" t="inlineStr">
        <is>
          <t>Cobertura de hojarasca (%)</t>
        </is>
      </c>
      <c r="C28" s="55" t="inlineStr">
        <is>
          <t>5</t>
        </is>
      </c>
      <c r="D28" s="55" t="inlineStr">
        <is>
          <t>%</t>
        </is>
      </c>
    </row>
    <row r="29">
      <c r="A29" s="54" t="inlineStr">
        <is>
          <t>5. Ecosistema, cobertura y flora (F-DT-03)</t>
        </is>
      </c>
      <c r="B29" s="54" t="inlineStr">
        <is>
          <t>Altura del estrato dominante (m)</t>
        </is>
      </c>
      <c r="C29" s="54" t="inlineStr">
        <is>
          <t>9</t>
        </is>
      </c>
      <c r="D29" s="54" t="inlineStr">
        <is>
          <t>m</t>
        </is>
      </c>
    </row>
    <row r="30">
      <c r="A30" s="55" t="inlineStr">
        <is>
          <t>5. Ecosistema, cobertura y flora (F-DT-03)</t>
        </is>
      </c>
      <c r="B30" s="55" t="inlineStr">
        <is>
          <t>Altura máxima registrada (m)</t>
        </is>
      </c>
      <c r="C30" s="55" t="inlineStr">
        <is>
          <t>12</t>
        </is>
      </c>
      <c r="D30" s="55" t="inlineStr">
        <is>
          <t>m</t>
        </is>
      </c>
    </row>
    <row r="31">
      <c r="A31" s="54" t="inlineStr">
        <is>
          <t>5. Ecosistema, cobertura y flora (F-DT-03)</t>
        </is>
      </c>
      <c r="B31" s="54" t="inlineStr">
        <is>
          <t>DAP promedio (cm)</t>
        </is>
      </c>
      <c r="C31" s="54" t="inlineStr">
        <is>
          <t>30</t>
        </is>
      </c>
      <c r="D31" s="54" t="inlineStr">
        <is>
          <t>cm</t>
        </is>
      </c>
    </row>
    <row r="32">
      <c r="A32" s="55" t="inlineStr">
        <is>
          <t>5. Ecosistema, cobertura y flora (F-DT-03)</t>
        </is>
      </c>
      <c r="B32" s="55" t="inlineStr">
        <is>
          <t>Presencia de epífitas</t>
        </is>
      </c>
      <c r="C32" s="55" t="inlineStr">
        <is>
          <t>No</t>
        </is>
      </c>
      <c r="D32" s="55" t="inlineStr"/>
    </row>
    <row r="33">
      <c r="A33" s="54" t="inlineStr">
        <is>
          <t>5. Ecosistema, cobertura y flora (F-DT-03)</t>
        </is>
      </c>
      <c r="B33" s="54" t="inlineStr">
        <is>
          <t>Fenología dominante</t>
        </is>
      </c>
      <c r="C33" s="54" t="inlineStr">
        <is>
          <t>Vegetativo</t>
        </is>
      </c>
      <c r="D33" s="54" t="inlineStr"/>
    </row>
    <row r="34">
      <c r="A34" s="55" t="inlineStr">
        <is>
          <t>5. Ecosistema, cobertura y flora (F-DT-03)</t>
        </is>
      </c>
      <c r="B34" s="55" t="inlineStr">
        <is>
          <t>Especies clave georreferenciadas</t>
        </is>
      </c>
      <c r="C34" s="55" t="inlineStr">
        <is>
          <t>3</t>
        </is>
      </c>
      <c r="D34" s="55" t="inlineStr"/>
    </row>
    <row r="35">
      <c r="A35" s="54" t="inlineStr">
        <is>
          <t>6. Degradación, causas y urgencia (F-DT-04)</t>
        </is>
      </c>
      <c r="B35" s="54" t="inlineStr">
        <is>
          <t>Causas directas de la degradación</t>
        </is>
      </c>
      <c r="C35" s="54" t="inlineStr">
        <is>
          <t>La degradación leve del ecosistema se debe principalmente a las actividades de pastoreo de ganado caprino y a la extracción de leña para uso doméstico. [Valoración de campo NO representativa del polígono — ver D-01. La teledetección indica una degradación sensiblemente mayor.]</t>
        </is>
      </c>
      <c r="D35" s="54" t="inlineStr"/>
    </row>
    <row r="36">
      <c r="A36" s="55" t="inlineStr">
        <is>
          <t>6. Degradación, causas y urgencia (F-DT-04)</t>
        </is>
      </c>
      <c r="B36" s="55" t="inlineStr">
        <is>
          <t>N.° de causas activas en la matriz F-DT-04</t>
        </is>
      </c>
      <c r="C36" s="55" t="inlineStr">
        <is>
          <t>3</t>
        </is>
      </c>
      <c r="D36" s="55" t="inlineStr"/>
    </row>
    <row r="37">
      <c r="A37" s="54" t="inlineStr">
        <is>
          <t>7. Hidrología, acceso y logística (F-DT-05)</t>
        </is>
      </c>
      <c r="B37" s="54" t="inlineStr">
        <is>
          <t>Escorrentía concentrada</t>
        </is>
      </c>
      <c r="C37" s="54" t="inlineStr">
        <is>
          <t>Sí</t>
        </is>
      </c>
      <c r="D37" s="54" t="inlineStr"/>
    </row>
    <row r="38">
      <c r="A38" s="55" t="inlineStr">
        <is>
          <t>7. Hidrología, acceso y logística (F-DT-05)</t>
        </is>
      </c>
      <c r="B38" s="55" t="inlineStr">
        <is>
          <t>Vía principal de acceso</t>
        </is>
      </c>
      <c r="C38" s="55" t="inlineStr">
        <is>
          <t>Vía asfaltada Serrán — Chignia, margen derecha del río Huarmaca</t>
        </is>
      </c>
      <c r="D38" s="55" t="inlineStr"/>
    </row>
    <row r="39">
      <c r="A39" s="54" t="inlineStr">
        <is>
          <t>7. Hidrología, acceso y logística (F-DT-05)</t>
        </is>
      </c>
      <c r="B39" s="54" t="inlineStr">
        <is>
          <t>Tipo de vía del tramo final</t>
        </is>
      </c>
      <c r="C39" s="54" t="inlineStr">
        <is>
          <t>Camino de herradura</t>
        </is>
      </c>
      <c r="D39" s="54" t="inlineStr"/>
    </row>
    <row r="41">
      <c r="A41" s="52" t="inlineStr">
        <is>
          <t>C. PROCEDENCIA DE LOS HECHOS DECLARADOS</t>
        </is>
      </c>
    </row>
    <row r="42">
      <c r="A42" s="53" t="inlineStr">
        <is>
          <t>Fuente</t>
        </is>
      </c>
      <c r="B42" s="53" t="inlineStr">
        <is>
          <t>Hechos</t>
        </is>
      </c>
      <c r="C42" s="53" t="inlineStr">
        <is>
          <t>Alcance de la fuente</t>
        </is>
      </c>
    </row>
    <row r="43">
      <c r="A43" s="54" t="inlineStr">
        <is>
          <t>Dato de campo</t>
        </is>
      </c>
      <c r="B43" s="54" t="n">
        <v>53</v>
      </c>
      <c r="C43" s="54" t="inlineStr">
        <is>
          <t>Verificación en campo. Fichas F-DT-01 a F-DT-05 de la Plantilla DT Campo Check Validada V5, suscritas por el evaluador.</t>
        </is>
      </c>
    </row>
    <row r="44">
      <c r="A44" s="55" t="inlineStr">
        <is>
          <t>Gabinete (GIS / teledetección)</t>
        </is>
      </c>
      <c r="B44" s="55" t="n">
        <v>27</v>
      </c>
      <c r="C44" s="55" t="inlineStr">
        <is>
          <t>Gabinete. Estadística zonal sobre el MDE y compuestos Sentinel-2 (NDVI mediana 2025, MSAVI 2024 por clase DN).</t>
        </is>
      </c>
    </row>
    <row r="45">
      <c r="A45" s="54" t="inlineStr">
        <is>
          <t>Fuente oficial</t>
        </is>
      </c>
      <c r="B45" s="54" t="n">
        <v>14</v>
      </c>
      <c r="C45" s="54" t="inlineStr">
        <is>
          <t>Fuente oficial. Catálogo maestro Bloques V5/V6, división política INEI y codificación de microcuencas de la ANA.</t>
        </is>
      </c>
    </row>
    <row r="47">
      <c r="A47" s="52" t="inlineStr">
        <is>
          <t>D. ESTADO DEL CRUCE ENTRE FUENTES</t>
        </is>
      </c>
    </row>
    <row r="48">
      <c r="A48" s="53" t="inlineStr">
        <is>
          <t>Estado</t>
        </is>
      </c>
      <c r="B48" s="53" t="inlineStr">
        <is>
          <t>Hechos</t>
        </is>
      </c>
      <c r="C48" s="53" t="inlineStr">
        <is>
          <t>Significado</t>
        </is>
      </c>
    </row>
    <row r="49">
      <c r="A49" s="54" t="inlineStr">
        <is>
          <t>CONFORME</t>
        </is>
      </c>
      <c r="B49" s="54" t="n">
        <v>91</v>
      </c>
      <c r="C49" s="54" t="inlineStr">
        <is>
          <t>Las dos fuentes declaran lo mismo, o solo la fuente que manda sobre el hecho lo declara.</t>
        </is>
      </c>
    </row>
    <row r="50">
      <c r="A50" s="55" t="inlineStr">
        <is>
          <t>COMPLEMENTADO</t>
        </is>
      </c>
      <c r="B50" s="55" t="n">
        <v>3</v>
      </c>
      <c r="C50" s="55" t="inlineStr">
        <is>
          <t>Solo una de las fuentes lo declara y se adopta ese valor.</t>
        </is>
      </c>
    </row>
    <row r="51">
      <c r="A51" s="54" t="inlineStr">
        <is>
          <t>ACTUALIZADO</t>
        </is>
      </c>
      <c r="B51" s="54" t="n">
        <v>0</v>
      </c>
      <c r="C51" s="54" t="inlineStr">
        <is>
          <t>La verificación de campo vigente corrige lo que traía el libro de resumen.</t>
        </is>
      </c>
    </row>
    <row r="52">
      <c r="A52" s="55" t="inlineStr">
        <is>
          <t>DISCREPANTE</t>
        </is>
      </c>
      <c r="B52" s="55" t="n">
        <v>0</v>
      </c>
      <c r="C52" s="55" t="inlineStr">
        <is>
          <t>Las fuentes se contradicen; prevalece la que manda sobre el hecho y la otra queda declarada.</t>
        </is>
      </c>
    </row>
    <row r="53">
      <c r="A53" s="54" t="inlineStr">
        <is>
          <t>PENDIENTE</t>
        </is>
      </c>
      <c r="B53" s="54" t="n">
        <v>20</v>
      </c>
      <c r="C53" s="54"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49" t="inlineStr">
        <is>
          <t>AUTORIDAD NACIONAL DE INFRAESTRUCTURA - ANIN</t>
        </is>
      </c>
    </row>
    <row r="2">
      <c r="A2" s="49" t="inlineStr">
        <is>
          <t>DIRECCION DE INTERVENCIONES MULTISECTORIALES Y DE EMERGENCIA - DIME</t>
        </is>
      </c>
    </row>
    <row r="3">
      <c r="A3" s="49" t="inlineStr">
        <is>
          <t>SUBDIRECCION DE ESTUDIOS DE INVERSION - SESDI</t>
        </is>
      </c>
    </row>
    <row r="4">
      <c r="A4" s="50" t="inlineStr">
        <is>
          <t>PROYECTO IN PIURA | CUI 2669244 | Recuperacion del servicio de regulacion de riesgos naturales y de ecosistemas degradados - Cuenca Alta del Rio Piura</t>
        </is>
      </c>
    </row>
    <row r="5" ht="22" customHeight="1">
      <c r="A5" s="51" t="inlineStr">
        <is>
          <t>REGISTRO DE CAMPO F-DT-01 A F-DT-05 — BLOQUE M4B3</t>
        </is>
      </c>
    </row>
    <row r="7">
      <c r="A7" s="52" t="inlineStr">
        <is>
          <t>F-DT-02 · INVENTARIO DE CÁRCAVAS</t>
        </is>
      </c>
    </row>
    <row r="8">
      <c r="A8" s="53" t="inlineStr">
        <is>
          <t>Código</t>
        </is>
      </c>
      <c r="B8" s="53" t="inlineStr">
        <is>
          <t>Tipo</t>
        </is>
      </c>
      <c r="C8" s="53" t="inlineStr">
        <is>
          <t>UTM E ini.</t>
        </is>
      </c>
      <c r="D8" s="53" t="inlineStr">
        <is>
          <t>UTM N ini.</t>
        </is>
      </c>
      <c r="E8" s="53" t="inlineStr">
        <is>
          <t>Longitud (m)</t>
        </is>
      </c>
      <c r="F8" s="53" t="inlineStr">
        <is>
          <t>Prof. (m)</t>
        </is>
      </c>
      <c r="G8" s="53" t="inlineStr">
        <is>
          <t>Ancho (m)</t>
        </is>
      </c>
      <c r="H8" s="53" t="inlineStr">
        <is>
          <t>Estado</t>
        </is>
      </c>
      <c r="I8" s="53" t="inlineStr">
        <is>
          <t>Causa</t>
        </is>
      </c>
    </row>
    <row r="9">
      <c r="A9" s="54" t="inlineStr">
        <is>
          <t>Sin cárcavas inventariadas en el tramo verificado</t>
        </is>
      </c>
      <c r="B9" s="54" t="inlineStr"/>
      <c r="C9" s="54" t="inlineStr"/>
      <c r="D9" s="54" t="inlineStr"/>
      <c r="E9" s="54" t="inlineStr"/>
      <c r="F9" s="54" t="inlineStr"/>
      <c r="G9" s="54" t="inlineStr"/>
      <c r="H9" s="54" t="inlineStr"/>
      <c r="I9" s="54" t="inlineStr"/>
    </row>
    <row r="11">
      <c r="A11" s="52" t="inlineStr">
        <is>
          <t>F-DT-03 · ELENCO FLORÍSTICO</t>
        </is>
      </c>
    </row>
    <row r="12">
      <c r="A12" s="53" t="inlineStr">
        <is>
          <t>N.o</t>
        </is>
      </c>
      <c r="B12" s="53" t="inlineStr">
        <is>
          <t>Nombre común</t>
        </is>
      </c>
      <c r="C12" s="53" t="inlineStr">
        <is>
          <t>Nombre científico</t>
        </is>
      </c>
      <c r="D12" s="53" t="inlineStr">
        <is>
          <t>Familia</t>
        </is>
      </c>
      <c r="E12" s="53" t="inlineStr">
        <is>
          <t>Estrato</t>
        </is>
      </c>
      <c r="F12" s="53" t="inlineStr">
        <is>
          <t>Origen</t>
        </is>
      </c>
      <c r="G12" s="53" t="inlineStr">
        <is>
          <t>Abundancia</t>
        </is>
      </c>
      <c r="H12" s="53" t="inlineStr">
        <is>
          <t>DAP (cm)</t>
        </is>
      </c>
      <c r="I12" s="53" t="inlineStr">
        <is>
          <t>Altura (m)</t>
        </is>
      </c>
    </row>
    <row r="13">
      <c r="A13" s="54" t="inlineStr">
        <is>
          <t>1</t>
        </is>
      </c>
      <c r="B13" s="54" t="inlineStr">
        <is>
          <t>Faique</t>
        </is>
      </c>
      <c r="C13" s="54" t="inlineStr">
        <is>
          <t>Vachellia macracantha</t>
        </is>
      </c>
      <c r="D13" s="54" t="inlineStr">
        <is>
          <t>Fabaceae</t>
        </is>
      </c>
      <c r="E13" s="54" t="inlineStr">
        <is>
          <t>Arbóreo bajo (4-8 m)</t>
        </is>
      </c>
      <c r="F13" s="54" t="inlineStr">
        <is>
          <t>Nativa</t>
        </is>
      </c>
      <c r="G13" s="54" t="inlineStr">
        <is>
          <t>Ocasional (1-5%)</t>
        </is>
      </c>
      <c r="H13" s="59" t="n">
        <v>20</v>
      </c>
      <c r="I13" s="60" t="n">
        <v>5</v>
      </c>
    </row>
    <row r="14">
      <c r="A14" s="55" t="inlineStr">
        <is>
          <t>2</t>
        </is>
      </c>
      <c r="B14" s="55" t="inlineStr">
        <is>
          <t>Palo santo</t>
        </is>
      </c>
      <c r="C14" s="55" t="inlineStr">
        <is>
          <t>Bursera graveolens</t>
        </is>
      </c>
      <c r="D14" s="55" t="inlineStr">
        <is>
          <t>Burseraceae</t>
        </is>
      </c>
      <c r="E14" s="55" t="inlineStr">
        <is>
          <t>Arbóreo bajo (4-8 m)</t>
        </is>
      </c>
      <c r="F14" s="55" t="inlineStr">
        <is>
          <t>Nativa</t>
        </is>
      </c>
      <c r="G14" s="55" t="inlineStr">
        <is>
          <t>Ocasional (1-5%)</t>
        </is>
      </c>
      <c r="H14" s="61" t="n">
        <v>25</v>
      </c>
      <c r="I14" s="62" t="n">
        <v>7</v>
      </c>
    </row>
    <row r="15">
      <c r="A15" s="54" t="inlineStr">
        <is>
          <t>3</t>
        </is>
      </c>
      <c r="B15" s="54" t="inlineStr">
        <is>
          <t>Pasallo</t>
        </is>
      </c>
      <c r="C15" s="54" t="inlineStr">
        <is>
          <t>Eriotheca ruizii</t>
        </is>
      </c>
      <c r="D15" s="54" t="inlineStr">
        <is>
          <t>Malvaceae</t>
        </is>
      </c>
      <c r="E15" s="54" t="inlineStr">
        <is>
          <t>Arbóreo bajo (4-8 m)</t>
        </is>
      </c>
      <c r="F15" s="54" t="inlineStr">
        <is>
          <t>Nativa</t>
        </is>
      </c>
      <c r="G15" s="54" t="inlineStr">
        <is>
          <t>Ocasional (1-5%)</t>
        </is>
      </c>
      <c r="H15" s="59" t="n">
        <v>30</v>
      </c>
      <c r="I15" s="60" t="n">
        <v>6</v>
      </c>
    </row>
    <row r="16">
      <c r="A16" s="55" t="inlineStr">
        <is>
          <t>4</t>
        </is>
      </c>
      <c r="B16" s="55" t="inlineStr">
        <is>
          <t>Hualtaco</t>
        </is>
      </c>
      <c r="C16" s="55" t="inlineStr">
        <is>
          <t>Loxopterygium huasango</t>
        </is>
      </c>
      <c r="D16" s="55" t="inlineStr">
        <is>
          <t>Anacardiaceae</t>
        </is>
      </c>
      <c r="E16" s="55" t="inlineStr">
        <is>
          <t>Arbóreo bajo (4-8 m)</t>
        </is>
      </c>
      <c r="F16" s="55" t="inlineStr">
        <is>
          <t>Nativa</t>
        </is>
      </c>
      <c r="G16" s="55" t="inlineStr">
        <is>
          <t>Ocasional (1-5%)</t>
        </is>
      </c>
      <c r="H16" s="61" t="n">
        <v>30</v>
      </c>
      <c r="I16" s="62" t="n">
        <v>8</v>
      </c>
    </row>
    <row r="17">
      <c r="A17" s="54" t="inlineStr">
        <is>
          <t>5</t>
        </is>
      </c>
      <c r="B17" s="54" t="inlineStr">
        <is>
          <t>Charán</t>
        </is>
      </c>
      <c r="C17" s="54" t="inlineStr">
        <is>
          <t>Caesalpinia paipai</t>
        </is>
      </c>
      <c r="D17" s="54" t="inlineStr">
        <is>
          <t>Fabaceae</t>
        </is>
      </c>
      <c r="E17" s="54" t="inlineStr">
        <is>
          <t>Arbóreo bajo (4-8 m)</t>
        </is>
      </c>
      <c r="F17" s="54" t="inlineStr">
        <is>
          <t>Nativa</t>
        </is>
      </c>
      <c r="G17" s="54" t="inlineStr">
        <is>
          <t>Ocasional (1-5%)</t>
        </is>
      </c>
      <c r="H17" s="59" t="n">
        <v>20</v>
      </c>
      <c r="I17" s="60" t="n">
        <v>5</v>
      </c>
    </row>
    <row r="18">
      <c r="A18" s="55" t="inlineStr">
        <is>
          <t>6</t>
        </is>
      </c>
      <c r="B18" s="55" t="inlineStr">
        <is>
          <t>Overo</t>
        </is>
      </c>
      <c r="C18" s="55" t="inlineStr">
        <is>
          <t>Cordia lutea</t>
        </is>
      </c>
      <c r="D18" s="55" t="inlineStr">
        <is>
          <t>Boraginaceae</t>
        </is>
      </c>
      <c r="E18" s="55" t="inlineStr">
        <is>
          <t>Arbustivo alto (1.5-4 m)</t>
        </is>
      </c>
      <c r="F18" s="55" t="inlineStr">
        <is>
          <t>Nativa</t>
        </is>
      </c>
      <c r="G18" s="55" t="inlineStr">
        <is>
          <t>Frecuente (5-20%)</t>
        </is>
      </c>
      <c r="H18" s="61" t="n">
        <v>15</v>
      </c>
      <c r="I18" s="62" t="n">
        <v>4</v>
      </c>
    </row>
    <row r="19">
      <c r="A19" s="54" t="inlineStr">
        <is>
          <t>7</t>
        </is>
      </c>
      <c r="B19" s="54" t="inlineStr">
        <is>
          <t>Ceibo</t>
        </is>
      </c>
      <c r="C19" s="54" t="inlineStr">
        <is>
          <t>Ceiba trichistandra</t>
        </is>
      </c>
      <c r="D19" s="54" t="inlineStr">
        <is>
          <t>Malvaceae</t>
        </is>
      </c>
      <c r="E19" s="54" t="inlineStr">
        <is>
          <t>Arbóreo medio (8-15 m)</t>
        </is>
      </c>
      <c r="F19" s="54" t="inlineStr">
        <is>
          <t>Nativa</t>
        </is>
      </c>
      <c r="G19" s="54" t="inlineStr">
        <is>
          <t>Dominante (&gt;40%)</t>
        </is>
      </c>
      <c r="H19" s="59" t="n">
        <v>40</v>
      </c>
      <c r="I19" s="59" t="n">
        <v>10</v>
      </c>
    </row>
    <row r="21">
      <c r="A21" s="52" t="inlineStr">
        <is>
          <t>F-DT-03 · ESPECIES CLAVE GEORREFERENCIADAS</t>
        </is>
      </c>
    </row>
    <row r="22">
      <c r="A22" s="53" t="inlineStr">
        <is>
          <t>N.o</t>
        </is>
      </c>
      <c r="B22" s="53" t="inlineStr">
        <is>
          <t>Especie</t>
        </is>
      </c>
      <c r="C22" s="53" t="inlineStr">
        <is>
          <t>Categoría</t>
        </is>
      </c>
      <c r="D22" s="53" t="inlineStr">
        <is>
          <t>Estado UICN</t>
        </is>
      </c>
      <c r="E22" s="53" t="inlineStr">
        <is>
          <t>UTM ESTE</t>
        </is>
      </c>
      <c r="F22" s="53" t="inlineStr">
        <is>
          <t>UTM NORTE</t>
        </is>
      </c>
      <c r="G22" s="53" t="inlineStr">
        <is>
          <t>N.° individuos</t>
        </is>
      </c>
      <c r="H22" s="53" t="inlineStr">
        <is>
          <t>Observación</t>
        </is>
      </c>
    </row>
    <row r="23">
      <c r="A23" s="54" t="inlineStr">
        <is>
          <t>1</t>
        </is>
      </c>
      <c r="B23" s="54" t="inlineStr">
        <is>
          <t>Hualtaco (Loxopterygium huasango)</t>
        </is>
      </c>
      <c r="C23" s="54" t="inlineStr">
        <is>
          <t>Amenazada (D.S. 043-2006-AG)</t>
        </is>
      </c>
      <c r="D23" s="54" t="inlineStr">
        <is>
          <t>CR — En Peligro Crítico</t>
        </is>
      </c>
      <c r="E23" s="54" t="n"/>
      <c r="F23" s="54" t="n"/>
      <c r="G23" s="54" t="n"/>
      <c r="H23" s="54" t="inlineStr">
        <is>
          <t>Registrada en la ficha F-DT-03 como estrato arbóreo. Sin conteo ni georreferenciación individual: POR VERIFICAR.</t>
        </is>
      </c>
    </row>
    <row r="24">
      <c r="A24" s="55" t="inlineStr">
        <is>
          <t>2</t>
        </is>
      </c>
      <c r="B24" s="55" t="inlineStr">
        <is>
          <t>Palo santo (Bursera graveolens)</t>
        </is>
      </c>
      <c r="C24" s="55" t="inlineStr">
        <is>
          <t>Amenazada (D.S. 043-2006-AG)</t>
        </is>
      </c>
      <c r="D24" s="55" t="inlineStr">
        <is>
          <t>No aplica</t>
        </is>
      </c>
      <c r="E24" s="55" t="n"/>
      <c r="F24" s="55" t="n"/>
      <c r="G24" s="55" t="n"/>
      <c r="H24" s="55" t="inlineStr">
        <is>
          <t>Registrada en la ficha F-DT-03. Categoría nacional por confirmar con el estudio de ecosistema.</t>
        </is>
      </c>
    </row>
    <row r="25">
      <c r="A25" s="54" t="inlineStr">
        <is>
          <t>3</t>
        </is>
      </c>
      <c r="B25" s="54" t="inlineStr">
        <is>
          <t>Sapote (Colicodendron scabridum)</t>
        </is>
      </c>
      <c r="C25" s="54" t="inlineStr">
        <is>
          <t>Indicadora de buen estado</t>
        </is>
      </c>
      <c r="D25" s="54" t="inlineStr">
        <is>
          <t>No aplica</t>
        </is>
      </c>
      <c r="E25" s="54" t="n"/>
      <c r="F25" s="54" t="n"/>
      <c r="G25" s="54" t="n"/>
      <c r="H25" s="54" t="inlineStr">
        <is>
          <t>Citada en las observaciones de la ficha y en el 2do Entregable; no incluida en la tabla florística.</t>
        </is>
      </c>
    </row>
    <row r="27">
      <c r="A27" s="52" t="inlineStr">
        <is>
          <t>F-DT-04 · MATRIZ DE CAUSAS DE DEGRADACIÓN</t>
        </is>
      </c>
    </row>
    <row r="28">
      <c r="A28" s="53" t="inlineStr">
        <is>
          <t>N.o</t>
        </is>
      </c>
      <c r="B28" s="53" t="inlineStr">
        <is>
          <t>Causa</t>
        </is>
      </c>
      <c r="C28" s="53" t="inlineStr">
        <is>
          <t>Presencia</t>
        </is>
      </c>
      <c r="D28" s="53" t="inlineStr">
        <is>
          <t>Intensidad</t>
        </is>
      </c>
      <c r="E28" s="53" t="inlineStr">
        <is>
          <t>Extensión</t>
        </is>
      </c>
      <c r="F28" s="53" t="inlineStr">
        <is>
          <t>Antigüedad</t>
        </is>
      </c>
      <c r="G28" s="53" t="inlineStr">
        <is>
          <t>Evidencia</t>
        </is>
      </c>
    </row>
    <row r="29">
      <c r="A29" s="54" t="inlineStr">
        <is>
          <t>1</t>
        </is>
      </c>
      <c r="B29" s="54" t="inlineStr">
        <is>
          <t>Sobrepastoreo (caprino/vacuno)</t>
        </is>
      </c>
      <c r="C29" s="54" t="inlineStr">
        <is>
          <t>Sí</t>
        </is>
      </c>
      <c r="D29" s="54" t="inlineStr">
        <is>
          <t>Moderada</t>
        </is>
      </c>
      <c r="E29" s="54" t="inlineStr">
        <is>
          <t>70</t>
        </is>
      </c>
      <c r="F29" s="54" t="inlineStr">
        <is>
          <t>30</t>
        </is>
      </c>
      <c r="G29" s="54" t="inlineStr">
        <is>
          <t>Se observó presencia de ganado caprino.</t>
        </is>
      </c>
    </row>
    <row r="30">
      <c r="A30" s="55" t="inlineStr">
        <is>
          <t>2</t>
        </is>
      </c>
      <c r="B30" s="55" t="inlineStr">
        <is>
          <t>Tala para leña</t>
        </is>
      </c>
      <c r="C30" s="55" t="inlineStr">
        <is>
          <t>Sí</t>
        </is>
      </c>
      <c r="D30" s="55" t="inlineStr">
        <is>
          <t>Moderada</t>
        </is>
      </c>
      <c r="E30" s="55" t="inlineStr">
        <is>
          <t>30</t>
        </is>
      </c>
      <c r="F30" s="55" t="inlineStr">
        <is>
          <t>30</t>
        </is>
      </c>
      <c r="G30" s="55" t="inlineStr">
        <is>
          <t>Se observó leña apilada en los patios de las viviendas.</t>
        </is>
      </c>
    </row>
    <row r="31">
      <c r="A31" s="54" t="inlineStr">
        <is>
          <t>3</t>
        </is>
      </c>
      <c r="B31" s="54" t="inlineStr">
        <is>
          <t>Tala para carbón</t>
        </is>
      </c>
      <c r="C31" s="54" t="inlineStr"/>
      <c r="D31" s="54" t="inlineStr"/>
      <c r="E31" s="54" t="inlineStr"/>
      <c r="F31" s="54" t="inlineStr"/>
      <c r="G31" s="54" t="inlineStr"/>
    </row>
    <row r="32">
      <c r="A32" s="55" t="inlineStr">
        <is>
          <t>4</t>
        </is>
      </c>
      <c r="B32" s="55" t="inlineStr">
        <is>
          <t>Tala para madera</t>
        </is>
      </c>
      <c r="C32" s="55" t="inlineStr"/>
      <c r="D32" s="55" t="inlineStr"/>
      <c r="E32" s="55" t="inlineStr"/>
      <c r="F32" s="55" t="inlineStr"/>
      <c r="G32" s="55" t="inlineStr"/>
    </row>
    <row r="33">
      <c r="A33" s="54" t="inlineStr">
        <is>
          <t>5</t>
        </is>
      </c>
      <c r="B33" s="54" t="inlineStr">
        <is>
          <t>Quema (renovación de pastos)</t>
        </is>
      </c>
      <c r="C33" s="54" t="inlineStr"/>
      <c r="D33" s="54" t="inlineStr"/>
      <c r="E33" s="54" t="inlineStr"/>
      <c r="F33" s="54" t="inlineStr"/>
      <c r="G33" s="54" t="inlineStr"/>
    </row>
    <row r="34">
      <c r="A34" s="55" t="inlineStr">
        <is>
          <t>6</t>
        </is>
      </c>
      <c r="B34" s="55" t="inlineStr">
        <is>
          <t>Quema accidental / Incendio</t>
        </is>
      </c>
      <c r="C34" s="55" t="inlineStr"/>
      <c r="D34" s="55" t="inlineStr"/>
      <c r="E34" s="55" t="inlineStr"/>
      <c r="F34" s="55" t="inlineStr"/>
      <c r="G34" s="55" t="inlineStr"/>
    </row>
    <row r="35">
      <c r="A35" s="54" t="inlineStr">
        <is>
          <t>7</t>
        </is>
      </c>
      <c r="B35" s="54" t="inlineStr">
        <is>
          <t>Cambio de uso a agricultura</t>
        </is>
      </c>
      <c r="C35" s="54" t="inlineStr"/>
      <c r="D35" s="54" t="inlineStr"/>
      <c r="E35" s="54" t="inlineStr"/>
      <c r="F35" s="54" t="inlineStr"/>
      <c r="G35" s="54" t="inlineStr"/>
    </row>
    <row r="36">
      <c r="A36" s="55" t="inlineStr">
        <is>
          <t>8</t>
        </is>
      </c>
      <c r="B36" s="55" t="inlineStr">
        <is>
          <t>Cambio de uso a pastoreo</t>
        </is>
      </c>
      <c r="C36" s="55" t="inlineStr">
        <is>
          <t>Sí</t>
        </is>
      </c>
      <c r="D36" s="55" t="inlineStr">
        <is>
          <t>Moderada</t>
        </is>
      </c>
      <c r="E36" s="55" t="inlineStr">
        <is>
          <t>70</t>
        </is>
      </c>
      <c r="F36" s="55" t="inlineStr">
        <is>
          <t>30</t>
        </is>
      </c>
      <c r="G36" s="55" t="inlineStr">
        <is>
          <t>Se observó presencia de ganado caprino.</t>
        </is>
      </c>
    </row>
    <row r="37">
      <c r="A37" s="54" t="inlineStr">
        <is>
          <t>9</t>
        </is>
      </c>
      <c r="B37" s="54" t="inlineStr">
        <is>
          <t>Expansión urbana / vial</t>
        </is>
      </c>
      <c r="C37" s="54" t="inlineStr"/>
      <c r="D37" s="54" t="inlineStr"/>
      <c r="E37" s="54" t="inlineStr"/>
      <c r="F37" s="54" t="inlineStr"/>
      <c r="G37" s="54" t="inlineStr"/>
    </row>
    <row r="38">
      <c r="A38" s="55" t="inlineStr">
        <is>
          <t>10</t>
        </is>
      </c>
      <c r="B38" s="55" t="inlineStr">
        <is>
          <t>Minería informal</t>
        </is>
      </c>
      <c r="C38" s="55" t="inlineStr"/>
      <c r="D38" s="55" t="inlineStr"/>
      <c r="E38" s="55" t="inlineStr"/>
      <c r="F38" s="55" t="inlineStr"/>
      <c r="G38" s="55" t="inlineStr"/>
    </row>
    <row r="39">
      <c r="A39" s="54" t="inlineStr">
        <is>
          <t>11</t>
        </is>
      </c>
      <c r="B39" s="54" t="inlineStr">
        <is>
          <t>Extracción de áridos (cauces)</t>
        </is>
      </c>
      <c r="C39" s="54" t="inlineStr"/>
      <c r="D39" s="54" t="inlineStr"/>
      <c r="E39" s="54" t="inlineStr"/>
      <c r="F39" s="54" t="inlineStr"/>
      <c r="G39" s="54" t="inlineStr"/>
    </row>
    <row r="40">
      <c r="A40" s="55" t="inlineStr">
        <is>
          <t>12</t>
        </is>
      </c>
      <c r="B40" s="55" t="inlineStr">
        <is>
          <t>Especies invasoras</t>
        </is>
      </c>
      <c r="C40" s="55" t="inlineStr"/>
      <c r="D40" s="55" t="inlineStr"/>
      <c r="E40" s="55" t="inlineStr"/>
      <c r="F40" s="55" t="inlineStr"/>
      <c r="G40" s="55" t="inlineStr"/>
    </row>
    <row r="41">
      <c r="A41" s="54" t="inlineStr">
        <is>
          <t>13</t>
        </is>
      </c>
      <c r="B41" s="54" t="inlineStr">
        <is>
          <t>Erosión natural severa</t>
        </is>
      </c>
      <c r="C41" s="54" t="inlineStr"/>
      <c r="D41" s="54" t="inlineStr"/>
      <c r="E41" s="54" t="inlineStr"/>
      <c r="F41" s="54" t="inlineStr"/>
      <c r="G41" s="54" t="inlineStr"/>
    </row>
    <row r="42">
      <c r="A42" s="55" t="inlineStr">
        <is>
          <t>14</t>
        </is>
      </c>
      <c r="B42" s="55" t="inlineStr">
        <is>
          <t>Sequía prolongada / CC</t>
        </is>
      </c>
      <c r="C42" s="55" t="inlineStr"/>
      <c r="D42" s="55" t="inlineStr"/>
      <c r="E42" s="55" t="inlineStr"/>
      <c r="F42" s="55" t="inlineStr"/>
      <c r="G42" s="55" t="inlineStr"/>
    </row>
    <row r="43">
      <c r="A43" s="54" t="inlineStr">
        <is>
          <t>15</t>
        </is>
      </c>
      <c r="B43" s="54" t="inlineStr">
        <is>
          <t>Plagas o enfermedades forestales</t>
        </is>
      </c>
      <c r="C43" s="54" t="inlineStr"/>
      <c r="D43" s="54" t="inlineStr"/>
      <c r="E43" s="54" t="inlineStr"/>
      <c r="F43" s="54" t="inlineStr"/>
      <c r="G43" s="54" t="inlineStr"/>
    </row>
    <row r="44">
      <c r="A44" s="55" t="inlineStr">
        <is>
          <t>16</t>
        </is>
      </c>
      <c r="B44" s="55" t="inlineStr">
        <is>
          <t>Otro</t>
        </is>
      </c>
      <c r="C44" s="55" t="inlineStr"/>
      <c r="D44" s="55" t="inlineStr"/>
      <c r="E44" s="55" t="inlineStr"/>
      <c r="F44" s="55" t="inlineStr"/>
      <c r="G44" s="55" t="inlineStr"/>
    </row>
    <row r="46">
      <c r="A46" s="52" t="inlineStr">
        <is>
          <t>F-DT-04 · INDICADORES CUANTITATIVOS</t>
        </is>
      </c>
    </row>
    <row r="47">
      <c r="A47" s="53" t="inlineStr">
        <is>
          <t>N.o</t>
        </is>
      </c>
      <c r="B47" s="53" t="inlineStr">
        <is>
          <t>Indicador</t>
        </is>
      </c>
      <c r="C47" s="53" t="inlineStr">
        <is>
          <t>Unidad</t>
        </is>
      </c>
      <c r="D47" s="53" t="inlineStr">
        <is>
          <t>Valor</t>
        </is>
      </c>
      <c r="E47" s="53" t="inlineStr">
        <is>
          <t>Fuente</t>
        </is>
      </c>
      <c r="F47" s="53" t="inlineStr">
        <is>
          <t>Umbral</t>
        </is>
      </c>
      <c r="G47" s="53" t="inlineStr">
        <is>
          <t>Nivel</t>
        </is>
      </c>
    </row>
    <row r="48">
      <c r="A48" s="54" t="inlineStr">
        <is>
          <t>1</t>
        </is>
      </c>
      <c r="B48" s="54" t="inlineStr">
        <is>
          <t>Cobertura vegetal total</t>
        </is>
      </c>
      <c r="C48" s="54" t="inlineStr">
        <is>
          <t>%</t>
        </is>
      </c>
      <c r="D48" s="54" t="inlineStr">
        <is>
          <t>70</t>
        </is>
      </c>
      <c r="E48" s="54" t="inlineStr">
        <is>
          <t>Estimación visual de campo</t>
        </is>
      </c>
      <c r="F48" s="54" t="inlineStr">
        <is>
          <t>&gt;60% bueno; 30-60% medio; &lt;30% malo</t>
        </is>
      </c>
      <c r="G48" s="54" t="inlineStr">
        <is>
          <t>Alto</t>
        </is>
      </c>
    </row>
    <row r="49">
      <c r="A49" s="55" t="inlineStr">
        <is>
          <t>2</t>
        </is>
      </c>
      <c r="B49" s="55" t="inlineStr">
        <is>
          <t>Porcentaje de suelo desnudo</t>
        </is>
      </c>
      <c r="C49" s="55" t="inlineStr">
        <is>
          <t>%</t>
        </is>
      </c>
      <c r="D49" s="55" t="inlineStr">
        <is>
          <t>5</t>
        </is>
      </c>
      <c r="E49" s="55" t="inlineStr">
        <is>
          <t>Estimación visual de campo</t>
        </is>
      </c>
      <c r="F49" s="55" t="inlineStr">
        <is>
          <t>&lt;10% bueno; 10-30% medio; &gt;30% malo</t>
        </is>
      </c>
      <c r="G49" s="55" t="inlineStr">
        <is>
          <t>Bajo</t>
        </is>
      </c>
    </row>
    <row r="50">
      <c r="A50" s="54" t="inlineStr">
        <is>
          <t>3</t>
        </is>
      </c>
      <c r="B50" s="54" t="inlineStr">
        <is>
          <t>Densidad de cárcavas</t>
        </is>
      </c>
      <c r="C50" s="54" t="inlineStr">
        <is>
          <t>N°/ha</t>
        </is>
      </c>
      <c r="D50" s="54" t="inlineStr">
        <is>
          <t>1</t>
        </is>
      </c>
      <c r="E50" s="54" t="inlineStr">
        <is>
          <t>Estimación visual de campo</t>
        </is>
      </c>
      <c r="F50" s="54" t="inlineStr">
        <is>
          <t>0 nulo; 1-3 medio; &gt;3 alto</t>
        </is>
      </c>
      <c r="G50" s="54" t="inlineStr">
        <is>
          <t>Bajo</t>
        </is>
      </c>
    </row>
    <row r="51">
      <c r="A51" s="55" t="inlineStr">
        <is>
          <t>4</t>
        </is>
      </c>
      <c r="B51" s="55" t="inlineStr">
        <is>
          <t>Presencia de especies invasoras</t>
        </is>
      </c>
      <c r="C51" s="55" t="inlineStr">
        <is>
          <t>% área</t>
        </is>
      </c>
      <c r="D51" s="55" t="inlineStr">
        <is>
          <t>0</t>
        </is>
      </c>
      <c r="E51" s="55" t="inlineStr">
        <is>
          <t>Estimación visual de campo</t>
        </is>
      </c>
      <c r="F51" s="55" t="inlineStr">
        <is>
          <t>&lt;5% bueno; 5-20% medio; &gt;20% alto</t>
        </is>
      </c>
      <c r="G51" s="55" t="inlineStr">
        <is>
          <t>Bajo</t>
        </is>
      </c>
    </row>
    <row r="52">
      <c r="A52" s="54" t="inlineStr">
        <is>
          <t>5</t>
        </is>
      </c>
      <c r="B52" s="54" t="inlineStr">
        <is>
          <t>Carga ganadera estimada</t>
        </is>
      </c>
      <c r="C52" s="54" t="inlineStr">
        <is>
          <t>UA/ha</t>
        </is>
      </c>
      <c r="D52" s="54" t="inlineStr">
        <is>
          <t>3</t>
        </is>
      </c>
      <c r="E52" s="54" t="inlineStr">
        <is>
          <t>Estimación visual de campo</t>
        </is>
      </c>
      <c r="F52" s="54" t="inlineStr">
        <is>
          <t>Según tipo de ecosistema</t>
        </is>
      </c>
      <c r="G52" s="54" t="inlineStr">
        <is>
          <t>Medio</t>
        </is>
      </c>
    </row>
    <row r="53">
      <c r="A53" s="55" t="inlineStr">
        <is>
          <t>6</t>
        </is>
      </c>
      <c r="B53" s="55" t="inlineStr">
        <is>
          <t>Frecuencia de quemas últimos 5 años</t>
        </is>
      </c>
      <c r="C53" s="55" t="inlineStr">
        <is>
          <t>N°</t>
        </is>
      </c>
      <c r="D53" s="55" t="inlineStr">
        <is>
          <t>1</t>
        </is>
      </c>
      <c r="E53" s="55" t="inlineStr">
        <is>
          <t>Estimación visual de campo</t>
        </is>
      </c>
      <c r="F53" s="55" t="inlineStr">
        <is>
          <t>0 nulo; 1-2 medio; &gt;2 alto</t>
        </is>
      </c>
      <c r="G53" s="55" t="inlineStr">
        <is>
          <t>Medio</t>
        </is>
      </c>
    </row>
    <row r="54">
      <c r="A54" s="54" t="inlineStr">
        <is>
          <t>7</t>
        </is>
      </c>
      <c r="B54" s="54" t="inlineStr">
        <is>
          <t>% área con pendiente &gt;50%</t>
        </is>
      </c>
      <c r="C54" s="54" t="inlineStr">
        <is>
          <t>%</t>
        </is>
      </c>
      <c r="D54" s="54" t="inlineStr">
        <is>
          <t>35</t>
        </is>
      </c>
      <c r="E54" s="54" t="inlineStr">
        <is>
          <t>Estimación visual de campo</t>
        </is>
      </c>
      <c r="F54" s="54" t="inlineStr">
        <is>
          <t>Factor de susceptibilidad</t>
        </is>
      </c>
      <c r="G54" s="54" t="inlineStr">
        <is>
          <t>Bajo</t>
        </is>
      </c>
    </row>
    <row r="55">
      <c r="A55" s="55" t="inlineStr">
        <is>
          <t>8</t>
        </is>
      </c>
      <c r="B55" s="55" t="inlineStr">
        <is>
          <t>Distancia a vía vecinal más cercana</t>
        </is>
      </c>
      <c r="C55" s="55" t="inlineStr">
        <is>
          <t>m</t>
        </is>
      </c>
      <c r="D55" s="55" t="inlineStr">
        <is>
          <t>100</t>
        </is>
      </c>
      <c r="E55" s="55" t="inlineStr">
        <is>
          <t>Estimación visual de campo</t>
        </is>
      </c>
      <c r="F55" s="55" t="inlineStr">
        <is>
          <t>A menor distancia → mayor presión</t>
        </is>
      </c>
      <c r="G55" s="55" t="inlineStr">
        <is>
          <t>Alto</t>
        </is>
      </c>
    </row>
    <row r="57">
      <c r="A57" s="52" t="inlineStr">
        <is>
          <t>F-DT-05 · FUENTES DE AGUA INVENTARIADAS</t>
        </is>
      </c>
    </row>
    <row r="58">
      <c r="A58" s="53" t="inlineStr">
        <is>
          <t>N.o</t>
        </is>
      </c>
      <c r="B58" s="53" t="inlineStr">
        <is>
          <t>Tipo de fuente</t>
        </is>
      </c>
      <c r="C58" s="53" t="inlineStr">
        <is>
          <t>UTM ESTE</t>
        </is>
      </c>
      <c r="D58" s="53" t="inlineStr">
        <is>
          <t>UTM NORTE</t>
        </is>
      </c>
      <c r="E58" s="53" t="inlineStr">
        <is>
          <t>Régimen</t>
        </is>
      </c>
      <c r="F58" s="53" t="inlineStr">
        <is>
          <t>Calidad</t>
        </is>
      </c>
      <c r="G58" s="53" t="inlineStr">
        <is>
          <t>Distancia (m)</t>
        </is>
      </c>
      <c r="H58" s="53" t="inlineStr">
        <is>
          <t>Uso / observación</t>
        </is>
      </c>
    </row>
    <row r="61">
      <c r="A61" s="52" t="inlineStr">
        <is>
          <t>OBSERVACIONES DEL EVALUADOR POR FICHA</t>
        </is>
      </c>
    </row>
    <row r="62">
      <c r="A62" s="53" t="inlineStr">
        <is>
          <t>Ficha</t>
        </is>
      </c>
      <c r="B62" s="53" t="inlineStr">
        <is>
          <t>Observación registrada en campo</t>
        </is>
      </c>
    </row>
    <row r="63">
      <c r="A63" s="54" t="inlineStr">
        <is>
          <t>F-DT-01</t>
        </is>
      </c>
      <c r="B63" s="54" t="inlineStr">
        <is>
          <t>El bloque se ubica en una ladera de colina alta. Presenta una pendiente menor a 60 %. El terreno se inclina más conforme se asciende. Se encuentra a una altitud de 300 msnm aprox. Presenta afloramiento rocoso, abundantes rocas semienterradas y piedras medianas a grandes dispersas en el área. Se tienen zonas con cobertura vegetal remanente. Esta ladera es empleada para el pastoreo extensivo de ganado caprino que pertenece al centro poblado próximo al bloque. También se ha evidenciado leña apilada en viviendas próximas al bloque. El suelo del bloque presenta erosión eólica. En la ladera se observan estrías y surcos dejados por el tránsito habitual del ganado. Existen caminos de herradura dentro del bloque y áreas de suelo desprovistas de vegetación y expuestas a lluvia. El bloque se encuentra próximo a una vía afirmada y medios de vida. ADVERTENCIA CRÍTICA: el punto de muestreo consignado (643 261 E / 9 389 812 N) es IDÉNTICO al de la ficha del bloque M4B4 y dista aproximadamente 4.2 km al norte del centroide catastral de M4B3 (643 474 E / 9 385 620 N). Todo indica que la ficha se levantó en el entorno de M4B4/M12B1 y no dentro de M4B3. Ver discrepancia D-01.</t>
        </is>
      </c>
    </row>
    <row r="64">
      <c r="A64" s="55" t="inlineStr">
        <is>
          <t>F-DT-02</t>
        </is>
      </c>
      <c r="B64" s="55" t="inlineStr">
        <is>
          <t>Nivel general de erosión moderado, dominado por erosión eólica, con surcos de tránsito de ganado y áreas de suelo desnudo. No se identifican cárcavas desarrolladas. Compactación por pisoteo; abundantes rocas semienterradas. ADVERTENCIA: la caracterización de erosión de este bloque procede de una ficha levantada fuera de su polígono (ver D-01) y es CONTRADICHA por la teledetección, que muestra en M4B3 la mayor superficie de suelo descubierto de los seis bloques. La descripción de campo debe considerarse NO REPRESENTATIVA hasta una verificación interna del polígono.</t>
        </is>
      </c>
    </row>
    <row r="65">
      <c r="A65" s="54" t="inlineStr">
        <is>
          <t>F-DT-03</t>
        </is>
      </c>
      <c r="B65" s="54" t="inlineStr">
        <is>
          <t>Al momento de la evaluación, la cobertura vegetal del área corresponde a un bosque seco con zonas empobrecidas y con claros próximos a la vía afirmada. La altura promedio de los individuos arbóreos es menor a los 10 m y los diámetros a la altura del pecho, menores a 30 cm. La parte alta del bloque conserva la vegetación. La eliminación de la vegetación provoca la formación de claros en el bosque, lo que conlleva un empobrecimiento de la cobertura vegetal. Se ha observado presencia de arbustos dispersos, principalmente overo. La vegetación es nativa y la mayoría de los individuos se encuentran en época de defoliación. Entre las especies arbóreas nativas: ceibo, pasallo, charán, faique, palo santo, hualtaco y sapote. También cardos; el 2do Entregable precisa hualtaco (Loxopterygium huasango), sapote (Capparis scabrida) y cardos (Armatocereus cartwrightianus). ADVERTENCIA: los dieciséis campos estructurales de esta ficha son casi idénticos a los de M4B4 y M12B1, levantados a la misma hora (11:46) y con la misma altitud GPS (340 m). Ello sugiere una estimación visual global no diferenciada por bloque. Ver discrepancia D-02.</t>
        </is>
      </c>
    </row>
    <row r="66">
      <c r="A66" s="55" t="inlineStr">
        <is>
          <t>F-DT-04</t>
        </is>
      </c>
      <c r="B66" s="55" t="inlineStr">
        <is>
          <t>Redelimitar el bloque priorizando las áreas próximas a los centros poblados y desestimando las áreas donde el ecosistema se encuentra conservado. Hay presencia de casas muy próximas al bloque. OBSERVACIÓN DE LA SUBDIRECCIÓN: la urgencia «Baja» y la reversibilidad «Totalmente reversible» registradas en campo son incompatibles con el MSAVI 2024 de 0.3222 —el segundo más bajo del conjunto— y con la extensión de tierra desnuda detectada por el NDVI 2025. Se recomienda reevaluación.</t>
        </is>
      </c>
    </row>
    <row r="67">
      <c r="A67" s="54" t="inlineStr">
        <is>
          <t>F-DT-05</t>
        </is>
      </c>
      <c r="B67" s="54" t="inlineStr">
        <is>
          <t>Acceso por vía asfaltada (Serrán — Chignia) en la margen derecha del río Huarmaca, con el CP Chignia Baja al pie del polígono según la narrativa del 2do Entregable; la ficha F-DT-01, en cambio, consigna Hualcas I y II como centros poblados asociados (ver D-01). POR COMPLETAR: inventario de fuentes de agua, JASS y captación poblacional, tiempos de viaje, señal celular y autorización de Ronda Campesina — sin ficha F-DT-05 en el ANEXO 01.</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49" t="inlineStr">
        <is>
          <t>AUTORIDAD NACIONAL DE INFRAESTRUCTURA - ANIN</t>
        </is>
      </c>
    </row>
    <row r="2">
      <c r="A2" s="49" t="inlineStr">
        <is>
          <t>DIRECCION DE INTERVENCIONES MULTISECTORIALES Y DE EMERGENCIA - DIME</t>
        </is>
      </c>
    </row>
    <row r="3">
      <c r="A3" s="49" t="inlineStr">
        <is>
          <t>SUBDIRECCION DE ESTUDIOS DE INVERSION - SESDI</t>
        </is>
      </c>
    </row>
    <row r="4">
      <c r="A4" s="50" t="inlineStr">
        <is>
          <t>PROYECTO IN PIURA | CUI 2669244 | Recuperacion del servicio de regulacion de riesgos naturales y de ecosistemas degradados - Cuenca Alta del Rio Piura</t>
        </is>
      </c>
    </row>
    <row r="5" ht="22" customHeight="1">
      <c r="A5" s="51" t="inlineStr">
        <is>
          <t>GRÁFICOS DE LA INTEGRACIÓN — BLOQUE M4B3</t>
        </is>
      </c>
    </row>
    <row r="7">
      <c r="A7" s="52" t="inlineStr">
        <is>
          <t>Hechos declarados por fuente</t>
        </is>
      </c>
    </row>
    <row r="8">
      <c r="A8" s="53" t="inlineStr">
        <is>
          <t>Fuente</t>
        </is>
      </c>
      <c r="B8" s="53" t="inlineStr">
        <is>
          <t>Hechos</t>
        </is>
      </c>
    </row>
    <row r="9">
      <c r="A9" s="54" t="inlineStr">
        <is>
          <t>Dato de campo</t>
        </is>
      </c>
      <c r="B9" s="54" t="n">
        <v>53</v>
      </c>
    </row>
    <row r="10">
      <c r="A10" s="55" t="inlineStr">
        <is>
          <t>Gabinete (GIS / teledetección)</t>
        </is>
      </c>
      <c r="B10" s="55" t="n">
        <v>27</v>
      </c>
    </row>
    <row r="11">
      <c r="A11" s="54" t="inlineStr">
        <is>
          <t>Fuente oficial</t>
        </is>
      </c>
      <c r="B11" s="54" t="n">
        <v>14</v>
      </c>
    </row>
    <row r="26">
      <c r="A26" s="52" t="inlineStr">
        <is>
          <t>Estado del cruce entre fuentes</t>
        </is>
      </c>
    </row>
    <row r="27">
      <c r="A27" s="53" t="inlineStr">
        <is>
          <t>Estado</t>
        </is>
      </c>
      <c r="B27" s="53" t="inlineStr">
        <is>
          <t>Hechos</t>
        </is>
      </c>
    </row>
    <row r="28">
      <c r="A28" s="54" t="inlineStr">
        <is>
          <t>CONFORME</t>
        </is>
      </c>
      <c r="B28" s="54" t="n">
        <v>91</v>
      </c>
    </row>
    <row r="29">
      <c r="A29" s="55" t="inlineStr">
        <is>
          <t>COMPLEMENTADO</t>
        </is>
      </c>
      <c r="B29" s="55" t="n">
        <v>3</v>
      </c>
    </row>
    <row r="30">
      <c r="A30" s="54" t="inlineStr">
        <is>
          <t>ACTUALIZADO</t>
        </is>
      </c>
      <c r="B30" s="54" t="n">
        <v>0</v>
      </c>
    </row>
    <row r="31">
      <c r="A31" s="55" t="inlineStr">
        <is>
          <t>DISCREPANTE</t>
        </is>
      </c>
      <c r="B31" s="55" t="n">
        <v>0</v>
      </c>
    </row>
    <row r="32">
      <c r="A32" s="54" t="inlineStr">
        <is>
          <t>PENDIENTE</t>
        </is>
      </c>
      <c r="B32" s="54" t="n">
        <v>20</v>
      </c>
    </row>
    <row r="45">
      <c r="A45" s="52" t="inlineStr">
        <is>
          <t>Cobertura por estrato — campo (%)</t>
        </is>
      </c>
    </row>
    <row r="46">
      <c r="A46" s="53" t="inlineStr">
        <is>
          <t>Estrato</t>
        </is>
      </c>
      <c r="B46" s="53" t="inlineStr">
        <is>
          <t>% del área</t>
        </is>
      </c>
    </row>
    <row r="47">
      <c r="A47" s="54" t="inlineStr">
        <is>
          <t>Dosel</t>
        </is>
      </c>
      <c r="B47" s="59" t="n">
        <v>65</v>
      </c>
    </row>
    <row r="48">
      <c r="A48" s="55" t="inlineStr">
        <is>
          <t>Arbustiva</t>
        </is>
      </c>
      <c r="B48" s="61" t="n">
        <v>15</v>
      </c>
    </row>
    <row r="49">
      <c r="A49" s="54" t="inlineStr">
        <is>
          <t>Herbácea</t>
        </is>
      </c>
      <c r="B49" s="59" t="n">
        <v>10</v>
      </c>
    </row>
    <row r="50">
      <c r="A50" s="55" t="inlineStr">
        <is>
          <t>Hojarasca</t>
        </is>
      </c>
      <c r="B50" s="62" t="n">
        <v>5</v>
      </c>
    </row>
    <row r="51">
      <c r="A51" s="54" t="inlineStr">
        <is>
          <t>Suelo desnudo</t>
        </is>
      </c>
      <c r="B51" s="59" t="n">
        <v>10</v>
      </c>
    </row>
    <row r="64">
      <c r="A64" s="52" t="inlineStr">
        <is>
          <t>Causas activas de degradación (F-DT-04)</t>
        </is>
      </c>
    </row>
    <row r="65">
      <c r="A65" s="53" t="inlineStr">
        <is>
          <t>Causa</t>
        </is>
      </c>
      <c r="B65" s="53" t="inlineStr">
        <is>
          <t>Intensidad (1 ligera - 4 muy fuerte)</t>
        </is>
      </c>
    </row>
    <row r="66">
      <c r="A66" s="54" t="inlineStr">
        <is>
          <t>Cambio de uso a pastoreo</t>
        </is>
      </c>
      <c r="B66" s="54" t="n">
        <v>2</v>
      </c>
    </row>
    <row r="67">
      <c r="A67" s="55" t="inlineStr">
        <is>
          <t>Sobrepastoreo (caprino/vacuno)</t>
        </is>
      </c>
      <c r="B67" s="55" t="n">
        <v>2</v>
      </c>
    </row>
    <row r="68">
      <c r="A68" s="54" t="inlineStr">
        <is>
          <t>Tala para leña</t>
        </is>
      </c>
      <c r="B68" s="54" t="n">
        <v>2</v>
      </c>
    </row>
    <row r="83">
      <c r="A83" s="52" t="inlineStr">
        <is>
          <t>Control de consistencia por calificación</t>
        </is>
      </c>
    </row>
    <row r="84">
      <c r="A84" s="53" t="inlineStr">
        <is>
          <t>Calificación</t>
        </is>
      </c>
      <c r="B84" s="53" t="inlineStr">
        <is>
          <t>Verificaciones</t>
        </is>
      </c>
    </row>
    <row r="85">
      <c r="A85" s="54" t="inlineStr">
        <is>
          <t>SUSTANTIVA</t>
        </is>
      </c>
      <c r="B85" s="54" t="n">
        <v>8</v>
      </c>
    </row>
    <row r="86">
      <c r="A86" s="55" t="inlineStr">
        <is>
          <t>NO SUSTANTIVA</t>
        </is>
      </c>
      <c r="B86" s="55" t="n">
        <v>3</v>
      </c>
    </row>
    <row r="87">
      <c r="A87" s="54" t="inlineStr">
        <is>
          <t>CORREGIDO</t>
        </is>
      </c>
      <c r="B87" s="54" t="n">
        <v>0</v>
      </c>
    </row>
    <row r="88">
      <c r="A88" s="55" t="inlineStr">
        <is>
          <t>CONFORME</t>
        </is>
      </c>
      <c r="B88" s="55"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M4B3 — IN Piura</dc:title>
  <dc:subject>Diagnóstico Territorial por bloque de intervención</dc:subject>
  <dcterms:created xsi:type="dcterms:W3CDTF">2026-09-08T03:39:58Z</dcterms:created>
  <dcterms:modified xsi:type="dcterms:W3CDTF">2026-09-11T21:26:37Z</dcterms:modified>
</cp:coreProperties>
</file>