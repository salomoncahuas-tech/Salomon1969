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integración'!$A$76:$A$79</f>
            </numRef>
          </cat>
          <val>
            <numRef>
              <f>'Gráficos de integración'!$B$76:$B$79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integración'!B97</f>
            </strRef>
          </tx>
          <spPr>
            <a:ln>
              <a:prstDash val="solid"/>
            </a:ln>
          </spPr>
          <cat>
            <numRef>
              <f>'Gráficos de integración'!$A$98:$A$101</f>
            </numRef>
          </cat>
          <val>
            <numRef>
              <f>'Gráficos de integración'!$B$98:$B$101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96</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M6B2-3</t>
        </is>
      </c>
    </row>
    <row r="6" ht="24" customHeight="1">
      <c r="A6" s="4" t="inlineStr">
        <is>
          <t>Diagnóstico Territorial — Plantilla DT Campo Check Validada V5 | Sistema de referencia: UTM WGS 84 Zona 17S (EPSG:32717) · Integrado con la ficha de campo F-DT vigente (FDT_M6B2-3_Diagnostico_Territorial validada.xlsx) — V7 - resumen V6 + campo F-DT integrado</t>
        </is>
      </c>
    </row>
    <row r="7"/>
    <row r="8" ht="18" customHeight="1">
      <c r="A8" s="5" t="inlineStr">
        <is>
          <t>1. IDENTIFICACIÓN Y LOCALIZACIÓN</t>
        </is>
      </c>
    </row>
    <row r="9">
      <c r="A9" s="6" t="inlineStr">
        <is>
          <t>Código del bloque</t>
        </is>
      </c>
      <c r="B9" s="7" t="inlineStr">
        <is>
          <t>M6B2-3</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Caserío Pedregal</t>
        </is>
      </c>
      <c r="C13" s="6" t="inlineStr">
        <is>
          <t>Comunidad campesina</t>
        </is>
      </c>
      <c r="D13" s="51" t="inlineStr">
        <is>
          <t>Sin registro en ficha</t>
        </is>
      </c>
      <c r="E13" s="8" t="n"/>
      <c r="F13" s="8" t="n"/>
    </row>
    <row r="14">
      <c r="A14" s="6" t="inlineStr">
        <is>
          <t>Superficie de catálogo (V5/V6), ha</t>
        </is>
      </c>
      <c r="B14" s="7" t="n">
        <v>160.98</v>
      </c>
      <c r="C14" s="6" t="inlineStr">
        <is>
          <t>Fuente de superficie</t>
        </is>
      </c>
      <c r="D14" s="7" t="inlineStr">
        <is>
          <t>Catálogo maestro Bloques V5/V6</t>
        </is>
      </c>
      <c r="E14" s="8" t="n"/>
      <c r="F14" s="8" t="n"/>
    </row>
    <row r="15">
      <c r="A15" s="6" t="inlineStr">
        <is>
          <t>Centroide UTM ESTE (m)</t>
        </is>
      </c>
      <c r="B15" s="7" t="n">
        <v>611305</v>
      </c>
      <c r="C15" s="6" t="inlineStr">
        <is>
          <t>Centroide UTM NORTE (m)</t>
        </is>
      </c>
      <c r="D15" s="7" t="n">
        <v>9419274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166</v>
      </c>
      <c r="C19" s="6" t="inlineStr">
        <is>
          <t>Altitud máxima (msnm)</t>
        </is>
      </c>
      <c r="D19" s="7" t="n">
        <v>557</v>
      </c>
      <c r="E19" s="8" t="n"/>
      <c r="F19" s="8" t="n"/>
    </row>
    <row r="20">
      <c r="A20" s="6" t="inlineStr">
        <is>
          <t>Amplitud altitudinal (m)</t>
        </is>
      </c>
      <c r="B20" s="7" t="n">
        <v>391</v>
      </c>
      <c r="C20" s="6" t="inlineStr">
        <is>
          <t>Piso altitudinal dominante</t>
        </is>
      </c>
      <c r="D20" s="7" t="inlineStr">
        <is>
          <t>&lt;1000 m (Yunga)</t>
        </is>
      </c>
      <c r="E20" s="8" t="n"/>
      <c r="F20" s="8" t="n"/>
    </row>
    <row r="21">
      <c r="A21" s="6" t="inlineStr">
        <is>
          <t>Pendiente promedio (%)</t>
        </is>
      </c>
      <c r="B21" s="7" t="n">
        <v>19.78</v>
      </c>
      <c r="C21" s="6" t="inlineStr">
        <is>
          <t>Pendiente promedio (grados)</t>
        </is>
      </c>
      <c r="D21" s="7" t="n">
        <v>11.2</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Por verificar (indicios no concluyentes)</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0.4063</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(60.25 %)</t>
        </is>
      </c>
      <c r="E29" s="8" t="n"/>
      <c r="F29" s="8" t="n"/>
    </row>
    <row r="30">
      <c r="A30" s="6" t="inlineStr">
        <is>
          <t>Superficie clasificada NDVI 2025 (ha)</t>
        </is>
      </c>
      <c r="B30" s="7" t="n">
        <v>161.058</v>
      </c>
      <c r="C30" s="6" t="inlineStr">
        <is>
          <t>Desviación frente al catálogo (%)</t>
        </is>
      </c>
      <c r="D30" s="7" t="n">
        <v>0.05</v>
      </c>
      <c r="E30" s="8" t="n"/>
      <c r="F30" s="8" t="n"/>
    </row>
    <row r="31">
      <c r="A31" s="6" t="inlineStr">
        <is>
          <t>Superficie clasificada MSAVI 2024 (ha)</t>
        </is>
      </c>
      <c r="B31" s="39" t="n">
        <v>160.978</v>
      </c>
      <c r="C31" s="6" t="inlineStr">
        <is>
          <t>Desviación MSAVI frente al catálogo (%)</t>
        </is>
      </c>
      <c r="D31" s="40" t="n">
        <v>0</v>
      </c>
      <c r="E31" s="8" t="n"/>
      <c r="F31" s="8" t="n"/>
    </row>
    <row r="32">
      <c r="A32" s="6" t="inlineStr">
        <is>
          <t>Superficie bajo umbral MSAVI 0.4976 (ha)</t>
        </is>
      </c>
      <c r="B32" s="39" t="n">
        <v>145.674</v>
      </c>
      <c r="C32" s="6" t="inlineStr">
        <is>
          <t>% del bloque bajo umbral (brecha espectral)</t>
        </is>
      </c>
      <c r="D32" s="40" t="n">
        <v>90.48999999999999</v>
      </c>
      <c r="E32" s="8" t="n"/>
      <c r="F32" s="8" t="n"/>
    </row>
    <row r="33">
      <c r="A33" s="6" t="inlineStr">
        <is>
          <t>Clase DN dominante (MSAVI 2024)</t>
        </is>
      </c>
      <c r="B33" s="7" t="inlineStr">
        <is>
          <t>DN 3 · 0.3813 - 0.4976 (Vigor bajo)</t>
        </is>
      </c>
      <c r="C33" s="6" t="inlineStr">
        <is>
          <t>N.° de polígonos MSAVI del bloque</t>
        </is>
      </c>
      <c r="D33" s="41" t="n">
        <v>399</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160.98 ha (100% del bloque, por dominancia)</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inlineStr">
        <is>
          <t>55 - 85</t>
        </is>
      </c>
      <c r="E38" s="8" t="n"/>
      <c r="F38" s="8" t="n"/>
    </row>
    <row r="39">
      <c r="A39" s="6" t="inlineStr">
        <is>
          <t>Suelo desnudo — campo (%)</t>
        </is>
      </c>
      <c r="B39" s="7" t="inlineStr">
        <is>
          <t>15 - 30</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2026-05-18</t>
        </is>
      </c>
      <c r="E44" s="8" t="n"/>
      <c r="F44" s="8" t="n"/>
    </row>
    <row r="45">
      <c r="A45" s="6" t="inlineStr">
        <is>
          <t>Hora de registro</t>
        </is>
      </c>
      <c r="B45" s="7" t="inlineStr">
        <is>
          <t>14:30 h</t>
        </is>
      </c>
      <c r="C45" s="6" t="inlineStr">
        <is>
          <t>Correlativo de ficha</t>
        </is>
      </c>
      <c r="D45" s="51" t="inlineStr">
        <is>
          <t>F-DT/M6B2-3/2026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formal)</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pastoreo extensivo sin manejo sobre un bosque seco frágil, agravada por la estacionalidad climática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51"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M6B2-3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0.3761</v>
      </c>
      <c r="C10" s="19">
        <f>ROUND(B10/$B$15*100,2)</f>
        <v/>
      </c>
      <c r="D10" s="11" t="inlineStr">
        <is>
          <t>Vigor alto</t>
        </is>
      </c>
      <c r="E10" s="11" t="inlineStr">
        <is>
          <t>Sobre umbral</t>
        </is>
      </c>
    </row>
    <row r="11">
      <c r="A11" s="12" t="inlineStr">
        <is>
          <t>0.4976 - 0.6139 · DN 4</t>
        </is>
      </c>
      <c r="B11" s="20" t="n">
        <v>14.9282</v>
      </c>
      <c r="C11" s="21">
        <f>ROUND(B11/$B$15*100,2)</f>
        <v/>
      </c>
      <c r="D11" s="13" t="inlineStr">
        <is>
          <t>Vigor moderado</t>
        </is>
      </c>
      <c r="E11" s="13" t="inlineStr">
        <is>
          <t>Sobre umbral</t>
        </is>
      </c>
    </row>
    <row r="12">
      <c r="A12" s="14" t="inlineStr">
        <is>
          <t>0.3813 - 0.4976 · DN 3</t>
        </is>
      </c>
      <c r="B12" s="32" t="n">
        <v>87.13630000000001</v>
      </c>
      <c r="C12" s="31">
        <f>ROUND(B12/$B$15*100,2)</f>
        <v/>
      </c>
      <c r="D12" s="15" t="inlineStr">
        <is>
          <t>Vigor bajo</t>
        </is>
      </c>
      <c r="E12" s="15" t="inlineStr">
        <is>
          <t>BAJO umbral 0.4976</t>
        </is>
      </c>
    </row>
    <row r="13">
      <c r="A13" s="12" t="inlineStr">
        <is>
          <t>0.2650 - 0.3813 · DN 2</t>
        </is>
      </c>
      <c r="B13" s="20" t="n">
        <v>53.8538</v>
      </c>
      <c r="C13" s="21">
        <f>ROUND(B13/$B$15*100,2)</f>
        <v/>
      </c>
      <c r="D13" s="13" t="inlineStr">
        <is>
          <t>Vigor muy bajo</t>
        </is>
      </c>
      <c r="E13" s="13" t="inlineStr">
        <is>
          <t>BAJO umbral 0.4976</t>
        </is>
      </c>
    </row>
    <row r="14">
      <c r="A14" s="7" t="inlineStr">
        <is>
          <t>&lt;= 0.2650 · DN 1</t>
        </is>
      </c>
      <c r="B14" s="18" t="n">
        <v>4.6841</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399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160.98</v>
      </c>
      <c r="C18" s="50" t="inlineStr">
        <is>
          <t>—</t>
        </is>
      </c>
      <c r="D18" s="47" t="inlineStr">
        <is>
          <t>Desviación planimétrica frente al catálogo</t>
        </is>
      </c>
      <c r="E18" s="47" t="inlineStr">
        <is>
          <t>+0.00 %</t>
        </is>
      </c>
    </row>
    <row r="19">
      <c r="A19" s="16" t="inlineStr">
        <is>
          <t>MSAVI 2024 — MEDIA DEL BLOQUE</t>
        </is>
      </c>
      <c r="B19" s="17" t="n">
        <v>0.406259</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399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(0.4063)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7.9284</v>
      </c>
      <c r="C25" s="19" t="n">
        <v>4.92</v>
      </c>
      <c r="D25" s="11" t="inlineStr">
        <is>
          <t>Dosel continuo, matorral denso o mosaico agroforestal</t>
        </is>
      </c>
      <c r="E25" s="11" t="inlineStr"/>
    </row>
    <row r="26">
      <c r="A26" s="12" t="inlineStr">
        <is>
          <t>Vegetación mediana</t>
        </is>
      </c>
      <c r="B26" s="20" t="n">
        <v>97.033</v>
      </c>
      <c r="C26" s="21" t="n">
        <v>60.25</v>
      </c>
      <c r="D26" s="13" t="inlineStr">
        <is>
          <t>Pastizal cultivado, matorral ralo, parcelas agrícolas</t>
        </is>
      </c>
      <c r="E26" s="13" t="inlineStr"/>
    </row>
    <row r="27">
      <c r="A27" s="7" t="inlineStr">
        <is>
          <t>Vegetación ligera</t>
        </is>
      </c>
      <c r="B27" s="18" t="n">
        <v>55.2152</v>
      </c>
      <c r="C27" s="19" t="n">
        <v>34.28</v>
      </c>
      <c r="D27" s="11" t="inlineStr">
        <is>
          <t>Cobertura discontinua, suelo parcialmente expuesto</t>
        </is>
      </c>
      <c r="E27" s="11" t="inlineStr"/>
    </row>
    <row r="28">
      <c r="A28" s="12" t="inlineStr">
        <is>
          <t>Tierra desnuda</t>
        </is>
      </c>
      <c r="B28" s="20" t="n">
        <v>0.8812</v>
      </c>
      <c r="C28" s="21" t="n">
        <v>0.55</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160.98</v>
      </c>
      <c r="C30" s="25" t="inlineStr">
        <is>
          <t>—</t>
        </is>
      </c>
      <c r="D30" s="25" t="inlineStr">
        <is>
          <t>Desviación planimétrica frente al catálogo</t>
        </is>
      </c>
      <c r="E30" s="25" t="inlineStr">
        <is>
          <t>+0.05 %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M6B2-3</t>
        </is>
      </c>
    </row>
    <row r="6" ht="24" customHeight="1">
      <c r="A6" s="4" t="inlineStr">
        <is>
          <t>Levantamiento del 2026-05-18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611500</v>
      </c>
      <c r="D10" s="26" t="n">
        <v>9419250</v>
      </c>
      <c r="E10" s="11" t="n">
        <v>196.5</v>
      </c>
      <c r="F10" s="11" t="inlineStr"/>
      <c r="G10" s="11" t="inlineStr">
        <is>
          <t>Coordenada consignada en F-DT-01</t>
        </is>
      </c>
    </row>
    <row r="11">
      <c r="A11" s="12" t="inlineStr">
        <is>
          <t>H-01</t>
        </is>
      </c>
      <c r="B11" s="13" t="inlineStr">
        <is>
          <t>Fuente de agua — Quebrada estacional</t>
        </is>
      </c>
      <c r="C11" s="27" t="n">
        <v>611200</v>
      </c>
      <c r="D11" s="27" t="n">
        <v>9419600</v>
      </c>
      <c r="E11" s="13" t="n">
        <v>342.5</v>
      </c>
      <c r="F11" s="13" t="inlineStr">
        <is>
          <t>Intermitente</t>
        </is>
      </c>
      <c r="G11" s="13" t="inlineStr">
        <is>
          <t>Cauce central del bloque</t>
        </is>
      </c>
    </row>
    <row r="12">
      <c r="A12" s="7" t="inlineStr">
        <is>
          <t>H-02</t>
        </is>
      </c>
      <c r="B12" s="11" t="inlineStr">
        <is>
          <t>Fuente de agua — Quebrada estacional</t>
        </is>
      </c>
      <c r="C12" s="26" t="n">
        <v>611600</v>
      </c>
      <c r="D12" s="26" t="n">
        <v>9419750</v>
      </c>
      <c r="E12" s="11" t="n">
        <v>560</v>
      </c>
      <c r="F12" s="11" t="inlineStr">
        <is>
          <t>Intermitente</t>
        </is>
      </c>
      <c r="G12" s="11" t="inlineStr">
        <is>
          <t>Drenaje secundario en el sector NE</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611305</v>
      </c>
      <c r="C15" s="6" t="inlineStr">
        <is>
          <t>Centroide del bloque — UTM NORTE (m)</t>
        </is>
      </c>
      <c r="D15" s="7" t="n">
        <v>9419274</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44"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AL BLOQUE DIFICULTOSO desde la capital distrital de Buenos Aires; ruta viable identificada por el Caserío Pedregal (NE), ATRAVESANDO PREDIOS CERCADOS CON AUTORIZACIÓN PREVIA DE TITULARES. LA PARTE ALTA (relictos de bosque seco mejor conservado, &gt;450 msnm) NO FUE ACCESIBLE por pendiente &gt;40% y ausencia de senderos. CONSISTENCIA: microcuenca y área se autocompletan desde Bloques V4 (C1077-Q9566; 160.98 ha); EL DATO PRELIMINAR DE CAMPO REGISTRABA «M6» Y 214.6 ha. Coordenadas = punto de muestreo (611 500 E · 9 419 250 N); centroide maestro 611 305 E · 9 419 274 N. POR VERIFICAR: escarpes activos, reptación de suelo (indicios no concluyentes) y evidencia de deslizamientos antiguos.</t>
        </is>
      </c>
      <c r="B18" s="42" t="n"/>
      <c r="C18" s="42" t="n"/>
      <c r="D18" s="42" t="n"/>
      <c r="E18" s="42" t="n"/>
      <c r="F18" s="42" t="n"/>
      <c r="G18" s="43"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M6B2-3</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M6B2-1</t>
        </is>
      </c>
      <c r="B10" s="28" t="n">
        <v>514.36</v>
      </c>
      <c r="C10" s="19" t="n">
        <v>33.1</v>
      </c>
      <c r="D10" s="11" t="inlineStr">
        <is>
          <t>181 – 504</t>
        </is>
      </c>
      <c r="E10" s="11" t="n">
        <v>323</v>
      </c>
      <c r="F10" s="11" t="n">
        <v>16.84</v>
      </c>
      <c r="G10" s="18" t="n">
        <v>0.3381</v>
      </c>
      <c r="H10" s="19" t="n">
        <v>0.98</v>
      </c>
      <c r="I10" s="19" t="n">
        <v>98.98999999999999</v>
      </c>
    </row>
    <row r="11">
      <c r="A11" s="12" t="inlineStr">
        <is>
          <t>M6B2-2</t>
        </is>
      </c>
      <c r="B11" s="29" t="n">
        <v>333.01</v>
      </c>
      <c r="C11" s="21" t="n">
        <v>21.43</v>
      </c>
      <c r="D11" s="13" t="inlineStr">
        <is>
          <t>195 – 440</t>
        </is>
      </c>
      <c r="E11" s="13" t="n">
        <v>245</v>
      </c>
      <c r="F11" s="13" t="n">
        <v>14.33</v>
      </c>
      <c r="G11" s="20" t="n">
        <v>0.3026</v>
      </c>
      <c r="H11" s="21" t="n">
        <v>0.68</v>
      </c>
      <c r="I11" s="21" t="n">
        <v>99</v>
      </c>
    </row>
    <row r="12">
      <c r="A12" s="7" t="inlineStr">
        <is>
          <t>5</t>
        </is>
      </c>
      <c r="B12" s="28" t="n">
        <v>295.73</v>
      </c>
      <c r="C12" s="19" t="n">
        <v>19.03</v>
      </c>
      <c r="D12" s="11" t="inlineStr">
        <is>
          <t>150 – 377</t>
        </is>
      </c>
      <c r="E12" s="11" t="n">
        <v>227</v>
      </c>
      <c r="F12" s="11" t="n">
        <v>18.57</v>
      </c>
      <c r="G12" s="18" t="n">
        <v>0.3394</v>
      </c>
      <c r="H12" s="19" t="n">
        <v>5.59</v>
      </c>
      <c r="I12" s="19" t="n">
        <v>99.84999999999999</v>
      </c>
    </row>
    <row r="13">
      <c r="A13" s="12" t="inlineStr">
        <is>
          <t>M6B10</t>
        </is>
      </c>
      <c r="B13" s="29" t="n">
        <v>249.89</v>
      </c>
      <c r="C13" s="21" t="n">
        <v>16.08</v>
      </c>
      <c r="D13" s="13" t="inlineStr">
        <is>
          <t>158 – 537</t>
        </is>
      </c>
      <c r="E13" s="13" t="n">
        <v>379</v>
      </c>
      <c r="F13" s="13" t="n">
        <v>20.6</v>
      </c>
      <c r="G13" s="20" t="n">
        <v>0.3099</v>
      </c>
      <c r="H13" s="21" t="n">
        <v>0.08</v>
      </c>
      <c r="I13" s="21" t="n">
        <v>99.83</v>
      </c>
    </row>
    <row r="14">
      <c r="A14" s="14" t="inlineStr">
        <is>
          <t>► M6B2-3</t>
        </is>
      </c>
      <c r="B14" s="30" t="n">
        <v>160.98</v>
      </c>
      <c r="C14" s="31" t="n">
        <v>10.36</v>
      </c>
      <c r="D14" s="15" t="inlineStr">
        <is>
          <t>166 – 557</t>
        </is>
      </c>
      <c r="E14" s="15" t="n">
        <v>391</v>
      </c>
      <c r="F14" s="15" t="n">
        <v>19.78</v>
      </c>
      <c r="G14" s="32" t="n">
        <v>0.4063</v>
      </c>
      <c r="H14" s="31" t="n">
        <v>4.92</v>
      </c>
      <c r="I14" s="31" t="n">
        <v>90.48999999999999</v>
      </c>
    </row>
    <row r="15">
      <c r="A15" s="16" t="inlineStr">
        <is>
          <t>TOTAL / PROMEDIO</t>
        </is>
      </c>
      <c r="B15" s="33">
        <f>SUM(B10:B14)</f>
        <v/>
      </c>
      <c r="C15" s="23">
        <f>SUM(C10:C14)</f>
        <v/>
      </c>
      <c r="D15" s="17" t="inlineStr">
        <is>
          <t>150 – 557</t>
        </is>
      </c>
      <c r="E15" s="17" t="inlineStr"/>
      <c r="F15" s="17">
        <f>ROUND(AVERAGE(F10:F14),2)</f>
        <v/>
      </c>
      <c r="G15" s="22">
        <f>ROUND(AVERAGE(G10:G14),4)</f>
        <v/>
      </c>
      <c r="H15" s="23">
        <f>ROUND(AVERAGE(H10:H14),2)</f>
        <v/>
      </c>
      <c r="I15" s="23">
        <f>ROUND(AVERAGE(I10:I14),2)</f>
        <v/>
      </c>
    </row>
    <row r="17" ht="84" customHeight="1">
      <c r="A17" s="9" t="inlineStr">
        <is>
          <t>LECTURA INTRAMICROCUENCA. El bloque M6B2-3 ocupa el puesto 5 de 5 por superficie dentro de la microcuenca C1077-Q9566 (10.36 % de las 1553.97 ha preliminares de la microcuenca). Su pendiente promedio (19.78 %, clase «15-25% (Fuert. inclinado)») es la 4.ª más baja de 5 y se sitúa por encima del promedio de la microcuenca (18.02 %). Su MSAVI 2024 (0.4063) es el 1.º de 5 y queda por encima del promedio local (0.3393). Amplitud altitudinal del bloque: 391 m (166–557 msnm). El cuadro conserva todos los bloques catalogados en la microcuenca, incluidos los descartados en el tamizaje, para referencia del conjunto. Los bloques sin ficha DT figuran con sus parámetros de gabinete. BRECHA ESPECTRAL. El 90.49 % de la superficie del bloque (145.674 ha de 160.978 ha) se sitúa bajo el umbral MSAVI 0.4976, por debajo del promedio local de la microcuenca (97.63 %) calculado sobre los bloques con dato MSAVI disponible.</t>
        </is>
      </c>
      <c r="B17" s="42" t="n"/>
      <c r="C17" s="42" t="n"/>
      <c r="D17" s="42" t="n"/>
      <c r="E17" s="42" t="n"/>
      <c r="F17" s="42" t="n"/>
      <c r="G17" s="42" t="n"/>
      <c r="H17" s="42" t="n"/>
      <c r="I17" s="43"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2" t="n"/>
      <c r="C19" s="42" t="n"/>
      <c r="D19" s="42" t="n"/>
      <c r="E19" s="42" t="n"/>
      <c r="F19" s="42" t="n"/>
      <c r="G19" s="42" t="n"/>
      <c r="H19" s="42" t="n"/>
      <c r="I19" s="43" t="n"/>
    </row>
  </sheetData>
  <mergeCells count="9">
    <mergeCell ref="A19:I19"/>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M6B2-3</t>
        </is>
      </c>
    </row>
    <row r="6">
      <c r="A6" s="53" t="inlineStr">
        <is>
          <t>Cruce de la ficha de campo F-DT vigente con la ficha de resumen de gabinete y el catálogo maestro. Integración 2026-09-11 20:22:40.</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«C1077-Q9566».</t>
        </is>
      </c>
      <c r="D9" s="57" t="inlineStr">
        <is>
          <t>CONFORME</t>
        </is>
      </c>
      <c r="E9" s="57" t="inlineStr">
        <is>
          <t>Sin acción.</t>
        </is>
      </c>
    </row>
    <row r="10">
      <c r="A10" s="58" t="inlineStr">
        <is>
          <t>G-02</t>
        </is>
      </c>
      <c r="B10" s="58" t="inlineStr">
        <is>
          <t>UTM del punto de muestreo</t>
        </is>
      </c>
      <c r="C10" s="58" t="inlineStr">
        <is>
          <t>El punto de muestreo declarado dista 196.5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(340 msnm) cae dentro del rango altitudinal del bloque (166 - 557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(161.058 ha) se desvía 0.05 % de la superficie de catálogo (160.98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(160.978 ha) se desvía -0.00 % de la superficie de catálogo (160.98 ha).</t>
        </is>
      </c>
      <c r="D14" s="58" t="inlineStr">
        <is>
          <t>CONFORME</t>
        </is>
      </c>
      <c r="E14" s="58" t="inlineStr">
        <is>
          <t>Sin acción: la segmentación valida la geometría del bloque.</t>
        </is>
      </c>
    </row>
    <row r="15">
      <c r="A15" s="57" t="inlineStr">
        <is>
          <t>G-07</t>
        </is>
      </c>
      <c r="B15" s="57" t="inlineStr">
        <is>
          <t>Brecha espectral MSAVI</t>
        </is>
      </c>
      <c r="C15" s="57" t="inlineStr">
        <is>
          <t>El 90.49 % del bloque queda bajo el umbral 0.4976; superficie de brecha 145.67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160.98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(0.4063) cae en la clase «0.3813 - 0.4976 (Vigor bajo)» y la clase DN dominante por superficie es «DN 3 · 0.3813 - 0.4976 (Vigor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F-01</t>
        </is>
      </c>
      <c r="B19" s="57" t="inlineStr">
        <is>
          <t>Fichas F-DT levantadas</t>
        </is>
      </c>
      <c r="C19" s="57" t="inlineStr">
        <is>
          <t>La plantilla de campo trae las cinco fichas F-DT-01 a F-DT-05 (completitud 92.9 % de los campos esperados).</t>
        </is>
      </c>
      <c r="D19" s="57" t="inlineStr">
        <is>
          <t>CONFORME</t>
        </is>
      </c>
      <c r="E19" s="57" t="inlineStr">
        <is>
          <t>Sin acción.</t>
        </is>
      </c>
    </row>
    <row r="20">
      <c r="A20" s="58" t="inlineStr">
        <is>
          <t>F-02</t>
        </is>
      </c>
      <c r="B20" s="58" t="inlineStr">
        <is>
          <t>Cobertura de la integración</t>
        </is>
      </c>
      <c r="C20" s="58" t="inlineStr">
        <is>
          <t>Se declararon 95 de 114 hechos integrados (83.3 %); 19 quedan sin dato en ninguna fuente.</t>
        </is>
      </c>
      <c r="D20" s="58" t="inlineStr">
        <is>
          <t>CONFORME</t>
        </is>
      </c>
      <c r="E20" s="58" t="inlineStr">
        <is>
          <t>Sin acción.</t>
        </is>
      </c>
    </row>
    <row r="21">
      <c r="A21" s="57" t="inlineStr">
        <is>
          <t>H-01</t>
        </is>
      </c>
      <c r="B21" s="57" t="inlineStr">
        <is>
          <t>Elenco florístico</t>
        </is>
      </c>
      <c r="C21" s="57" t="inlineStr">
        <is>
          <t>La ficha registra 12 taxones, por debajo del mínimo de 15 que exige el formato V5</t>
        </is>
      </c>
      <c r="D21" s="57" t="inlineStr">
        <is>
          <t>SUSTANTIVA</t>
        </is>
      </c>
      <c r="E21" s="57" t="inlineStr">
        <is>
          <t>Registro florístico preliminar, sin colecta ni determinación botánica formal. Debe cerrarse con colecta botánica en la siguiente campaña. (Verificación heredada de la ficha de resumen V6.)</t>
        </is>
      </c>
    </row>
    <row r="22">
      <c r="A22" s="58" t="inlineStr">
        <is>
          <t>H-02</t>
        </is>
      </c>
      <c r="B22" s="58" t="inlineStr">
        <is>
          <t>Representatividad del levantamiento</t>
        </is>
      </c>
      <c r="C22" s="58" t="inlineStr">
        <is>
          <t>Ninguna de las estaciones fotográficas georreferenciadas se localiza dentro del polígono del bloque</t>
        </is>
      </c>
      <c r="D22" s="58" t="inlineStr">
        <is>
          <t>SUSTANTIVA</t>
        </is>
      </c>
      <c r="E22" s="58" t="inlineStr">
        <is>
          <t>La verificación documenta el perímetro y la vista panorámica del bloque, no su interior. Los parámetros que exigen recorrido interno se consignan «Por determinar». (Verificación heredada de la ficha de resumen V6.)</t>
        </is>
      </c>
    </row>
    <row r="23">
      <c r="A23" s="57" t="inlineStr">
        <is>
          <t>H-03</t>
        </is>
      </c>
      <c r="B23" s="57" t="inlineStr">
        <is>
          <t>Centro poblado asociado</t>
        </is>
      </c>
      <c r="C23" s="57" t="inlineStr">
        <is>
          <t>La ficha DT declara «Caserío Pedregal»; el cruce INEI-Bloques V5 identifica 2 centro(s) poblado(s) en el bloque: PEDREGAL, PUEBLO NUEVO</t>
        </is>
      </c>
      <c r="D23" s="57" t="inlineStr">
        <is>
          <t>CONFORME</t>
        </is>
      </c>
      <c r="E23" s="57" t="inlineStr">
        <is>
          <t>Se conserva el registro de campo como referencia y se adopta el listado INEI para el diagnóstico social y el cálculo de población beneficiaria. (Verificación heredada de la ficha de resumen V6.)</t>
        </is>
      </c>
    </row>
    <row r="24">
      <c r="A24" s="58" t="inlineStr">
        <is>
          <t>H-04</t>
        </is>
      </c>
      <c r="B24" s="58" t="inlineStr">
        <is>
          <t>Plan de Ingreso</t>
        </is>
      </c>
      <c r="C24" s="58" t="inlineStr">
        <is>
          <t>Altitud = 0 msnm (captura por defecto del aplicativo)</t>
        </is>
      </c>
      <c r="D24" s="58" t="inlineStr">
        <is>
          <t>CORREGIDO</t>
        </is>
      </c>
      <c r="E24" s="58" t="inlineStr">
        <is>
          <t>Se reemplaza por la altitud GPS de campo (340 msnm) (Verificación heredada de la ficha de resumen V6.)</t>
        </is>
      </c>
    </row>
    <row r="25">
      <c r="A25" s="57" t="inlineStr">
        <is>
          <t>H-05</t>
        </is>
      </c>
      <c r="B25" s="57" t="inlineStr">
        <is>
          <t>F-DT-01</t>
        </is>
      </c>
      <c r="C25" s="57" t="inlineStr">
        <is>
          <t>El dato preliminar de campo registraba «M6» y 214.6 ha frente a C1077-Q9566 y 160.98 ha del catálogo</t>
        </is>
      </c>
      <c r="D25" s="57" t="inlineStr">
        <is>
          <t>NO SUSTANTIVA</t>
        </is>
      </c>
      <c r="E25" s="57" t="inlineStr">
        <is>
          <t>Se conserva el valor del catálogo; declarado en la propia ficha (Verificación heredada de la ficha de resumen V6.)</t>
        </is>
      </c>
    </row>
    <row r="26">
      <c r="A26" s="58" t="inlineStr">
        <is>
          <t>H-06</t>
        </is>
      </c>
      <c r="B26" s="58" t="inlineStr">
        <is>
          <t>F-DT-03</t>
        </is>
      </c>
      <c r="C26" s="58" t="inlineStr">
        <is>
          <t>Inventario florístico preliminar (12 especies) sin colecta ni confirmación de herbario</t>
        </is>
      </c>
      <c r="D26" s="58" t="inlineStr">
        <is>
          <t>SUSTANTIVA</t>
        </is>
      </c>
      <c r="E26" s="58" t="inlineStr">
        <is>
          <t>Determinación botánica pendiente (Verificación heredada de la ficha de resumen V6.)</t>
        </is>
      </c>
    </row>
    <row r="27">
      <c r="A27" s="57" t="inlineStr">
        <is>
          <t>H-07</t>
        </is>
      </c>
      <c r="B27" s="57" t="inlineStr">
        <is>
          <t>F-DT-04</t>
        </is>
      </c>
      <c r="C27" s="57" t="inlineStr">
        <is>
          <t>Cobertura vegetal total 55-85% calificada «Bajo», incompatible con el umbral de la propia ficha</t>
        </is>
      </c>
      <c r="D27" s="57" t="inlineStr">
        <is>
          <t>SUSTANTIVA</t>
        </is>
      </c>
      <c r="E27" s="57" t="inlineStr">
        <is>
          <t>Recalificar (Verificación heredada de la ficha de resumen V6.)</t>
        </is>
      </c>
    </row>
    <row r="28">
      <c r="A28" s="58" t="inlineStr">
        <is>
          <t>H-08</t>
        </is>
      </c>
      <c r="B28" s="58" t="inlineStr">
        <is>
          <t>F-DT-05</t>
        </is>
      </c>
      <c r="C28" s="58" t="inlineStr">
        <is>
          <t>Predios privados cercados que requieren autorización de titulares para el ingreso</t>
        </is>
      </c>
      <c r="D28" s="58" t="inlineStr">
        <is>
          <t>SUSTANTIVA</t>
        </is>
      </c>
      <c r="E28" s="58" t="inlineStr">
        <is>
          <t>Gestión predial previa indispensable (Verificación heredada de la ficha de resumen V6.)</t>
        </is>
      </c>
    </row>
    <row r="30">
      <c r="A30" s="59" t="inlineStr">
        <is>
          <t>RESUMEN</t>
        </is>
      </c>
      <c r="B30" s="60" t="inlineStr">
        <is>
          <t>20 verificaciones</t>
        </is>
      </c>
      <c r="C30" s="60" t="inlineStr">
        <is>
          <t>SUSTANTIVA: 6 · NO SUSTANTIVA: 1 · CORREGIDO: 1 · CONFORME: 12</t>
        </is>
      </c>
    </row>
    <row r="32">
      <c r="A32"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2:E32"/>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M6B2-3</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t>
        </is>
      </c>
      <c r="B9" s="57" t="inlineStr">
        <is>
          <t>Sin cambios: la ficha de campo confirma el libro V6</t>
        </is>
      </c>
      <c r="C9" s="57" t="inlineStr"/>
      <c r="D9" s="57" t="inlineStr"/>
      <c r="E9" s="57" t="inlineStr"/>
    </row>
    <row r="11">
      <c r="A11" s="55" t="inlineStr">
        <is>
          <t>B. HECHOS APORTADOS ÚNICAMENTE POR LA FICHA DE CAMPO</t>
        </is>
      </c>
    </row>
    <row r="12">
      <c r="A12" s="56" t="inlineStr">
        <is>
          <t>Sección</t>
        </is>
      </c>
      <c r="B12" s="56" t="inlineStr">
        <is>
          <t>Hecho</t>
        </is>
      </c>
      <c r="C12" s="56" t="inlineStr">
        <is>
          <t>Valor</t>
        </is>
      </c>
      <c r="D12" s="56" t="inlineStr">
        <is>
          <t>Unidad</t>
        </is>
      </c>
    </row>
    <row r="13">
      <c r="A13" s="57" t="inlineStr">
        <is>
          <t>1. Identificación y localización</t>
        </is>
      </c>
      <c r="B13" s="57" t="inlineStr">
        <is>
          <t>UTM ESTE del punto de muestreo (m)</t>
        </is>
      </c>
      <c r="C13" s="57" t="inlineStr">
        <is>
          <t>611500</t>
        </is>
      </c>
      <c r="D13" s="57" t="inlineStr">
        <is>
          <t>m</t>
        </is>
      </c>
    </row>
    <row r="14">
      <c r="A14" s="58" t="inlineStr">
        <is>
          <t>1. Identificación y localización</t>
        </is>
      </c>
      <c r="B14" s="58" t="inlineStr">
        <is>
          <t>UTM NORTE del punto de muestreo (m)</t>
        </is>
      </c>
      <c r="C14" s="58" t="inlineStr">
        <is>
          <t>9419250</t>
        </is>
      </c>
      <c r="D14" s="58" t="inlineStr">
        <is>
          <t>m</t>
        </is>
      </c>
    </row>
    <row r="15">
      <c r="A15" s="57" t="inlineStr">
        <is>
          <t>2. Parámetros físicos del terreno</t>
        </is>
      </c>
      <c r="B15" s="57" t="inlineStr">
        <is>
          <t>Altitud GPS del punto de muestreo (msnm)</t>
        </is>
      </c>
      <c r="C15" s="57" t="inlineStr">
        <is>
          <t>340</t>
        </is>
      </c>
      <c r="D15" s="57" t="inlineStr">
        <is>
          <t>msnm</t>
        </is>
      </c>
    </row>
    <row r="16">
      <c r="A16" s="58" t="inlineStr">
        <is>
          <t>2. Parámetros físicos del terreno</t>
        </is>
      </c>
      <c r="B16" s="58" t="inlineStr">
        <is>
          <t>Piso altitudinal del punto de muestreo</t>
        </is>
      </c>
      <c r="C16" s="58" t="inlineStr">
        <is>
          <t>&lt;1000 m (Yunga)</t>
        </is>
      </c>
      <c r="D16" s="58" t="inlineStr"/>
    </row>
    <row r="17">
      <c r="A17" s="57" t="inlineStr">
        <is>
          <t>2. Parámetros físicos del terreno</t>
        </is>
      </c>
      <c r="B17" s="57" t="inlineStr">
        <is>
          <t>Paisaje dominante descrito en campo</t>
        </is>
      </c>
      <c r="C17" s="57" t="inlineStr">
        <is>
          <t>Colinas y vertientes montañosas con disección moderada a fuerte; sustrato intrusivo-volcánico (Batolito de la Costa) con suelos coluviales delgados; mosaico de matorral xerofítico y bosque seco de montaña.</t>
        </is>
      </c>
      <c r="D17" s="57" t="inlineStr"/>
    </row>
    <row r="18">
      <c r="A18" s="58" t="inlineStr">
        <is>
          <t>4. Suelos y erosión (F-DT-02)</t>
        </is>
      </c>
      <c r="B18" s="58" t="inlineStr">
        <is>
          <t>Nivel de erosión - síntesis de campo</t>
        </is>
      </c>
      <c r="C18" s="58" t="inlineStr">
        <is>
          <t>Moderada (surcos)</t>
        </is>
      </c>
      <c r="D18" s="58" t="inlineStr"/>
    </row>
    <row r="19">
      <c r="A19" s="57" t="inlineStr">
        <is>
          <t>4. Suelos y erosión (F-DT-02)</t>
        </is>
      </c>
      <c r="B19" s="57" t="inlineStr">
        <is>
          <t>Compactación por pisoteo</t>
        </is>
      </c>
      <c r="C19" s="57" t="inlineStr">
        <is>
          <t>Sí</t>
        </is>
      </c>
      <c r="D19" s="57" t="inlineStr"/>
    </row>
    <row r="20">
      <c r="A20" s="58" t="inlineStr">
        <is>
          <t>4. Suelos y erosión (F-DT-02)</t>
        </is>
      </c>
      <c r="B20" s="58" t="inlineStr">
        <is>
          <t>Longitud total de cárcavas (m)</t>
        </is>
      </c>
      <c r="C20" s="58" t="inlineStr">
        <is>
          <t>0</t>
        </is>
      </c>
      <c r="D20" s="58" t="inlineStr">
        <is>
          <t>m</t>
        </is>
      </c>
    </row>
    <row r="21">
      <c r="A21" s="57" t="inlineStr">
        <is>
          <t>4. Suelos y erosión (F-DT-02)</t>
        </is>
      </c>
      <c r="B21" s="57" t="inlineStr">
        <is>
          <t>% del bloque afectado por cárcavas</t>
        </is>
      </c>
      <c r="C21" s="57" t="inlineStr">
        <is>
          <t>0</t>
        </is>
      </c>
      <c r="D21" s="57" t="inlineStr">
        <is>
          <t>%</t>
        </is>
      </c>
    </row>
    <row r="22">
      <c r="A22" s="58" t="inlineStr">
        <is>
          <t>5. Ecosistema, cobertura y flora (F-DT-03)</t>
        </is>
      </c>
      <c r="B22" s="58" t="inlineStr">
        <is>
          <t>Cobertura del dosel (%)</t>
        </is>
      </c>
      <c r="C22" s="58" t="inlineStr">
        <is>
          <t>10 - 25</t>
        </is>
      </c>
      <c r="D22" s="58" t="inlineStr">
        <is>
          <t>%</t>
        </is>
      </c>
    </row>
    <row r="23">
      <c r="A23" s="57" t="inlineStr">
        <is>
          <t>5. Ecosistema, cobertura y flora (F-DT-03)</t>
        </is>
      </c>
      <c r="B23" s="57" t="inlineStr">
        <is>
          <t>Cobertura arbustiva (%)</t>
        </is>
      </c>
      <c r="C23" s="57" t="inlineStr">
        <is>
          <t>35 - 55</t>
        </is>
      </c>
      <c r="D23" s="57" t="inlineStr">
        <is>
          <t>%</t>
        </is>
      </c>
    </row>
    <row r="24">
      <c r="A24" s="58" t="inlineStr">
        <is>
          <t>5. Ecosistema, cobertura y flora (F-DT-03)</t>
        </is>
      </c>
      <c r="B24" s="58" t="inlineStr">
        <is>
          <t>Cobertura herbácea (%)</t>
        </is>
      </c>
      <c r="C24" s="58" t="inlineStr">
        <is>
          <t>20 - 40</t>
        </is>
      </c>
      <c r="D24" s="58" t="inlineStr">
        <is>
          <t>%</t>
        </is>
      </c>
    </row>
    <row r="25">
      <c r="A25" s="57" t="inlineStr">
        <is>
          <t>5. Ecosistema, cobertura y flora (F-DT-03)</t>
        </is>
      </c>
      <c r="B25" s="57" t="inlineStr">
        <is>
          <t>Cobertura de hojarasca (%)</t>
        </is>
      </c>
      <c r="C25" s="57" t="inlineStr">
        <is>
          <t>15 - 30</t>
        </is>
      </c>
      <c r="D25" s="57" t="inlineStr">
        <is>
          <t>%</t>
        </is>
      </c>
    </row>
    <row r="26">
      <c r="A26" s="58" t="inlineStr">
        <is>
          <t>5. Ecosistema, cobertura y flora (F-DT-03)</t>
        </is>
      </c>
      <c r="B26" s="58" t="inlineStr">
        <is>
          <t>Altura del estrato dominante (m)</t>
        </is>
      </c>
      <c r="C26" s="58" t="inlineStr">
        <is>
          <t>4 - 8</t>
        </is>
      </c>
      <c r="D26" s="58" t="inlineStr">
        <is>
          <t>m</t>
        </is>
      </c>
    </row>
    <row r="27">
      <c r="A27" s="57" t="inlineStr">
        <is>
          <t>5. Ecosistema, cobertura y flora (F-DT-03)</t>
        </is>
      </c>
      <c r="B27" s="57" t="inlineStr">
        <is>
          <t>Altura máxima registrada (m)</t>
        </is>
      </c>
      <c r="C27" s="57" t="inlineStr">
        <is>
          <t>10 - 12</t>
        </is>
      </c>
      <c r="D27" s="57" t="inlineStr">
        <is>
          <t>m</t>
        </is>
      </c>
    </row>
    <row r="28">
      <c r="A28" s="58" t="inlineStr">
        <is>
          <t>5. Ecosistema, cobertura y flora (F-DT-03)</t>
        </is>
      </c>
      <c r="B28" s="58" t="inlineStr">
        <is>
          <t>DAP promedio (cm)</t>
        </is>
      </c>
      <c r="C28" s="58" t="inlineStr">
        <is>
          <t>8 - 18</t>
        </is>
      </c>
      <c r="D28" s="58" t="inlineStr">
        <is>
          <t>cm</t>
        </is>
      </c>
    </row>
    <row r="29">
      <c r="A29" s="57" t="inlineStr">
        <is>
          <t>5. Ecosistema, cobertura y flora (F-DT-03)</t>
        </is>
      </c>
      <c r="B29" s="57" t="inlineStr">
        <is>
          <t>Fenología dominante</t>
        </is>
      </c>
      <c r="C29" s="57" t="inlineStr">
        <is>
          <t>Vegetativo</t>
        </is>
      </c>
      <c r="D29" s="57" t="inlineStr"/>
    </row>
    <row r="30">
      <c r="A30" s="58" t="inlineStr">
        <is>
          <t>5. Ecosistema, cobertura y flora (F-DT-03)</t>
        </is>
      </c>
      <c r="B30" s="58" t="inlineStr">
        <is>
          <t>Dimensiones de la parcela (m)</t>
        </is>
      </c>
      <c r="C30" s="58" t="inlineStr">
        <is>
          <t>No aplica (evaluación por recorrido)</t>
        </is>
      </c>
      <c r="D30" s="58" t="inlineStr"/>
    </row>
    <row r="31">
      <c r="A31" s="57" t="inlineStr">
        <is>
          <t>5. Ecosistema, cobertura y flora (F-DT-03)</t>
        </is>
      </c>
      <c r="B31" s="57" t="inlineStr">
        <is>
          <t>Pendiente de la parcela (%)</t>
        </is>
      </c>
      <c r="C31" s="57" t="inlineStr">
        <is>
          <t>22 - 23</t>
        </is>
      </c>
      <c r="D31" s="57" t="inlineStr">
        <is>
          <t>%</t>
        </is>
      </c>
    </row>
    <row r="32">
      <c r="A32" s="58" t="inlineStr">
        <is>
          <t>5. Ecosistema, cobertura y flora (F-DT-03)</t>
        </is>
      </c>
      <c r="B32" s="58" t="inlineStr">
        <is>
          <t>Especies clave georreferenciadas</t>
        </is>
      </c>
      <c r="C32" s="58" t="inlineStr">
        <is>
          <t>2</t>
        </is>
      </c>
      <c r="D32" s="58" t="inlineStr"/>
    </row>
    <row r="33">
      <c r="A33" s="57" t="inlineStr">
        <is>
          <t>6. Degradación, causas y urgencia (F-DT-04)</t>
        </is>
      </c>
      <c r="B33" s="57" t="inlineStr">
        <is>
          <t>Causas directas de la degradación</t>
        </is>
      </c>
      <c r="C33" s="57" t="inlineStr">
        <is>
          <t>Sobrepastoreo caprino extensivo, extracción esporádica de leña, erosión hídrica severa (sector NE) y estrés hídrico estructural (estacionalidad / eventos FEN).</t>
        </is>
      </c>
      <c r="D33" s="57" t="inlineStr"/>
    </row>
    <row r="34">
      <c r="A34" s="58" t="inlineStr">
        <is>
          <t>6. Degradación, causas y urgencia (F-DT-04)</t>
        </is>
      </c>
      <c r="B34" s="58" t="inlineStr">
        <is>
          <t>N.° de causas activas en la matriz F-DT-04</t>
        </is>
      </c>
      <c r="C34" s="58" t="inlineStr">
        <is>
          <t>4</t>
        </is>
      </c>
      <c r="D34" s="58" t="inlineStr"/>
    </row>
    <row r="35">
      <c r="A35" s="57" t="inlineStr">
        <is>
          <t>7. Hidrología, acceso y logística (F-DT-05)</t>
        </is>
      </c>
      <c r="B35" s="57" t="inlineStr">
        <is>
          <t>Escorrentía concentrada</t>
        </is>
      </c>
      <c r="C35" s="57" t="inlineStr">
        <is>
          <t>Sí</t>
        </is>
      </c>
      <c r="D35" s="57" t="inlineStr"/>
    </row>
    <row r="36">
      <c r="A36" s="58" t="inlineStr">
        <is>
          <t>7. Hidrología, acceso y logística (F-DT-05)</t>
        </is>
      </c>
      <c r="B36" s="58" t="inlineStr">
        <is>
          <t>Fuentes de agua inventariadas</t>
        </is>
      </c>
      <c r="C36" s="58" t="inlineStr">
        <is>
          <t>2</t>
        </is>
      </c>
      <c r="D36" s="58" t="inlineStr"/>
    </row>
    <row r="37">
      <c r="A37" s="57" t="inlineStr">
        <is>
          <t>7. Hidrología, acceso y logística (F-DT-05)</t>
        </is>
      </c>
      <c r="B37" s="57" t="inlineStr">
        <is>
          <t>Interferencia con riego</t>
        </is>
      </c>
      <c r="C37" s="57" t="inlineStr">
        <is>
          <t>No</t>
        </is>
      </c>
      <c r="D37" s="57" t="inlineStr"/>
    </row>
    <row r="38">
      <c r="A38" s="58" t="inlineStr">
        <is>
          <t>7. Hidrología, acceso y logística (F-DT-05)</t>
        </is>
      </c>
      <c r="B38" s="58" t="inlineStr">
        <is>
          <t>Vía principal de acceso</t>
        </is>
      </c>
      <c r="C38" s="58" t="inlineStr">
        <is>
          <t>Ingreso por Caserío Pedregal (NE); caminos de herradura y trochas locales. Código de vía por verificar.</t>
        </is>
      </c>
      <c r="D38" s="58" t="inlineStr"/>
    </row>
    <row r="39">
      <c r="A39" s="57" t="inlineStr">
        <is>
          <t>7. Hidrología, acceso y logística (F-DT-05)</t>
        </is>
      </c>
      <c r="B39" s="57" t="inlineStr">
        <is>
          <t>Tipo de vía del tramo final</t>
        </is>
      </c>
      <c r="C39" s="57" t="inlineStr">
        <is>
          <t>Camino de herradura</t>
        </is>
      </c>
      <c r="D39" s="57" t="inlineStr"/>
    </row>
    <row r="40">
      <c r="A40" s="58" t="inlineStr">
        <is>
          <t>7. Hidrología, acceso y logística (F-DT-05)</t>
        </is>
      </c>
      <c r="B40" s="58" t="inlineStr">
        <is>
          <t>Transitabilidad en época seca</t>
        </is>
      </c>
      <c r="C40" s="58" t="inlineStr">
        <is>
          <t>Medio</t>
        </is>
      </c>
      <c r="D40" s="58" t="inlineStr"/>
    </row>
    <row r="41">
      <c r="A41" s="57" t="inlineStr">
        <is>
          <t>7. Hidrología, acceso y logística (F-DT-05)</t>
        </is>
      </c>
      <c r="B41" s="57" t="inlineStr">
        <is>
          <t>Transitabilidad en época lluviosa</t>
        </is>
      </c>
      <c r="C41" s="57" t="inlineStr">
        <is>
          <t>Bajo</t>
        </is>
      </c>
      <c r="D41" s="57" t="inlineStr"/>
    </row>
    <row r="43">
      <c r="A43" s="55" t="inlineStr">
        <is>
          <t>C. PROCEDENCIA DE LOS HECHOS DECLARADOS</t>
        </is>
      </c>
    </row>
    <row r="44">
      <c r="A44" s="56" t="inlineStr">
        <is>
          <t>Fuente</t>
        </is>
      </c>
      <c r="B44" s="56" t="inlineStr">
        <is>
          <t>Hechos</t>
        </is>
      </c>
      <c r="C44" s="56" t="inlineStr">
        <is>
          <t>Alcance de la fuente</t>
        </is>
      </c>
    </row>
    <row r="45">
      <c r="A45" s="57" t="inlineStr">
        <is>
          <t>Dato de campo</t>
        </is>
      </c>
      <c r="B45" s="57" t="n">
        <v>56</v>
      </c>
      <c r="C45" s="57" t="inlineStr">
        <is>
          <t>Verificación en campo. Fichas F-DT-01 a F-DT-05 de la Plantilla DT Campo Check Validada V5, suscritas por el evaluador.</t>
        </is>
      </c>
    </row>
    <row r="46">
      <c r="A46" s="58" t="inlineStr">
        <is>
          <t>Gabinete (GIS / teledetección)</t>
        </is>
      </c>
      <c r="B46" s="58" t="n">
        <v>25</v>
      </c>
      <c r="C46" s="58" t="inlineStr">
        <is>
          <t>Gabinete. Estadística zonal sobre el MDE y compuestos Sentinel-2 (NDVI mediana 2025, MSAVI 2024 por clase DN).</t>
        </is>
      </c>
    </row>
    <row r="47">
      <c r="A47" s="57" t="inlineStr">
        <is>
          <t>Fuente oficial</t>
        </is>
      </c>
      <c r="B47" s="57" t="n">
        <v>14</v>
      </c>
      <c r="C47" s="57" t="inlineStr">
        <is>
          <t>Fuente oficial. Catálogo maestro Bloques V5/V6, división política INEI y codificación de microcuencas de la ANA.</t>
        </is>
      </c>
    </row>
    <row r="49">
      <c r="A49" s="55" t="inlineStr">
        <is>
          <t>D. ESTADO DEL CRUCE ENTRE FUENTES</t>
        </is>
      </c>
    </row>
    <row r="50">
      <c r="A50" s="56" t="inlineStr">
        <is>
          <t>Estado</t>
        </is>
      </c>
      <c r="B50" s="56" t="inlineStr">
        <is>
          <t>Hechos</t>
        </is>
      </c>
      <c r="C50" s="56" t="inlineStr">
        <is>
          <t>Significado</t>
        </is>
      </c>
    </row>
    <row r="51">
      <c r="A51" s="57" t="inlineStr">
        <is>
          <t>CONFORME</t>
        </is>
      </c>
      <c r="B51" s="57" t="n">
        <v>92</v>
      </c>
      <c r="C51" s="57" t="inlineStr">
        <is>
          <t>Las dos fuentes declaran lo mismo, o solo la fuente que manda sobre el hecho lo declara.</t>
        </is>
      </c>
    </row>
    <row r="52">
      <c r="A52" s="58" t="inlineStr">
        <is>
          <t>COMPLEMENTADO</t>
        </is>
      </c>
      <c r="B52" s="58" t="n">
        <v>3</v>
      </c>
      <c r="C52" s="58" t="inlineStr">
        <is>
          <t>Solo una de las fuentes lo declara y se adopta ese valor.</t>
        </is>
      </c>
    </row>
    <row r="53">
      <c r="A53" s="57" t="inlineStr">
        <is>
          <t>ACTUALIZADO</t>
        </is>
      </c>
      <c r="B53" s="57" t="n">
        <v>0</v>
      </c>
      <c r="C53" s="57" t="inlineStr">
        <is>
          <t>La verificación de campo vigente corrige lo que traía el libro de resumen.</t>
        </is>
      </c>
    </row>
    <row r="54">
      <c r="A54" s="58" t="inlineStr">
        <is>
          <t>DISCREPANTE</t>
        </is>
      </c>
      <c r="B54" s="58" t="n">
        <v>0</v>
      </c>
      <c r="C54" s="58" t="inlineStr">
        <is>
          <t>Las fuentes se contradicen; prevalece la que manda sobre el hecho y la otra queda declarada.</t>
        </is>
      </c>
    </row>
    <row r="55">
      <c r="A55" s="57" t="inlineStr">
        <is>
          <t>PENDIENTE</t>
        </is>
      </c>
      <c r="B55" s="57" t="n">
        <v>19</v>
      </c>
      <c r="C55"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M6B2-3</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Sin cárcavas inventariadas en el tramo verificado</t>
        </is>
      </c>
      <c r="B9" s="57" t="inlineStr"/>
      <c r="C9" s="57" t="inlineStr"/>
      <c r="D9" s="57" t="inlineStr"/>
      <c r="E9" s="57" t="inlineStr"/>
      <c r="F9" s="57" t="inlineStr"/>
      <c r="G9" s="57" t="inlineStr"/>
      <c r="H9" s="57" t="inlineStr"/>
      <c r="I9" s="57" t="inlineStr"/>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3">
      <c r="A13" s="57" t="inlineStr">
        <is>
          <t>1</t>
        </is>
      </c>
      <c r="B13" s="57" t="inlineStr">
        <is>
          <t>Charán</t>
        </is>
      </c>
      <c r="C13" s="57" t="inlineStr">
        <is>
          <t>Caesalpinia paipai</t>
        </is>
      </c>
      <c r="D13" s="57" t="inlineStr">
        <is>
          <t>Fabaceae</t>
        </is>
      </c>
      <c r="E13" s="57" t="inlineStr">
        <is>
          <t>Arbóreo bajo (4-8 m)</t>
        </is>
      </c>
      <c r="F13" s="57" t="inlineStr">
        <is>
          <t>Nativa</t>
        </is>
      </c>
      <c r="G13" s="57" t="inlineStr">
        <is>
          <t>Abundante (20-40%)</t>
        </is>
      </c>
      <c r="H13" s="57" t="n"/>
      <c r="I13" s="57" t="n"/>
    </row>
    <row r="14">
      <c r="A14" s="58" t="inlineStr">
        <is>
          <t>2</t>
        </is>
      </c>
      <c r="B14" s="58" t="inlineStr">
        <is>
          <t>Faique</t>
        </is>
      </c>
      <c r="C14" s="58" t="inlineStr">
        <is>
          <t>Acacia macracantha</t>
        </is>
      </c>
      <c r="D14" s="58" t="inlineStr">
        <is>
          <t>Fabaceae</t>
        </is>
      </c>
      <c r="E14" s="58" t="inlineStr">
        <is>
          <t>Arbóreo bajo (4-8 m)</t>
        </is>
      </c>
      <c r="F14" s="58" t="inlineStr">
        <is>
          <t>Nativa</t>
        </is>
      </c>
      <c r="G14" s="58" t="inlineStr">
        <is>
          <t>Frecuente (5-20%)</t>
        </is>
      </c>
      <c r="H14" s="58" t="n"/>
      <c r="I14" s="58" t="n"/>
    </row>
    <row r="15">
      <c r="A15" s="57" t="inlineStr">
        <is>
          <t>3</t>
        </is>
      </c>
      <c r="B15" s="57" t="inlineStr">
        <is>
          <t>Palo verde</t>
        </is>
      </c>
      <c r="C15" s="57" t="inlineStr">
        <is>
          <t>Parkinsonia praecox</t>
        </is>
      </c>
      <c r="D15" s="57" t="inlineStr">
        <is>
          <t>Fabaceae</t>
        </is>
      </c>
      <c r="E15" s="57" t="inlineStr">
        <is>
          <t>Arbóreo bajo (4-8 m)</t>
        </is>
      </c>
      <c r="F15" s="57" t="inlineStr">
        <is>
          <t>Nativa</t>
        </is>
      </c>
      <c r="G15" s="57" t="inlineStr">
        <is>
          <t>Frecuente (5-20%)</t>
        </is>
      </c>
      <c r="H15" s="57" t="n"/>
      <c r="I15" s="57" t="n"/>
    </row>
    <row r="16">
      <c r="A16" s="58" t="inlineStr">
        <is>
          <t>4</t>
        </is>
      </c>
      <c r="B16" s="58" t="inlineStr">
        <is>
          <t>Pasallo</t>
        </is>
      </c>
      <c r="C16" s="58" t="inlineStr">
        <is>
          <t>Eriotheca ruizii</t>
        </is>
      </c>
      <c r="D16" s="58" t="inlineStr">
        <is>
          <t>Malvaceae</t>
        </is>
      </c>
      <c r="E16" s="58" t="inlineStr">
        <is>
          <t>Arbóreo medio (8-15 m)</t>
        </is>
      </c>
      <c r="F16" s="58" t="inlineStr">
        <is>
          <t>Nativa</t>
        </is>
      </c>
      <c r="G16" s="58" t="inlineStr">
        <is>
          <t>Ocasional (1-5%)</t>
        </is>
      </c>
      <c r="H16" s="58" t="n"/>
      <c r="I16" s="58" t="n"/>
    </row>
    <row r="17">
      <c r="A17" s="57" t="inlineStr">
        <is>
          <t>5</t>
        </is>
      </c>
      <c r="B17" s="57" t="inlineStr">
        <is>
          <t>Algarrobo</t>
        </is>
      </c>
      <c r="C17" s="57" t="inlineStr">
        <is>
          <t>Prosopis pallida</t>
        </is>
      </c>
      <c r="D17" s="57" t="inlineStr">
        <is>
          <t>Fabaceae</t>
        </is>
      </c>
      <c r="E17" s="57" t="inlineStr">
        <is>
          <t>Arbóreo bajo (4-8 m)</t>
        </is>
      </c>
      <c r="F17" s="57" t="inlineStr">
        <is>
          <t>Nativa</t>
        </is>
      </c>
      <c r="G17" s="57" t="inlineStr">
        <is>
          <t>Ocasional (1-5%)</t>
        </is>
      </c>
      <c r="H17" s="57" t="n"/>
      <c r="I17" s="57" t="n"/>
    </row>
    <row r="18">
      <c r="A18" s="58" t="inlineStr">
        <is>
          <t>6</t>
        </is>
      </c>
      <c r="B18" s="58" t="inlineStr">
        <is>
          <t>Hualtaco</t>
        </is>
      </c>
      <c r="C18" s="58" t="inlineStr">
        <is>
          <t>Loxopterygium huasango</t>
        </is>
      </c>
      <c r="D18" s="58" t="inlineStr">
        <is>
          <t>Anacardiaceae</t>
        </is>
      </c>
      <c r="E18" s="58" t="inlineStr">
        <is>
          <t>Arbóreo medio (8-15 m)</t>
        </is>
      </c>
      <c r="F18" s="58" t="inlineStr">
        <is>
          <t>Nativa</t>
        </is>
      </c>
      <c r="G18" s="58" t="inlineStr">
        <is>
          <t>Rara (&lt;1%)</t>
        </is>
      </c>
      <c r="H18" s="58" t="n"/>
      <c r="I18" s="58" t="n"/>
    </row>
    <row r="19">
      <c r="A19" s="57" t="inlineStr">
        <is>
          <t>7</t>
        </is>
      </c>
      <c r="B19" s="57" t="inlineStr">
        <is>
          <t>Overo</t>
        </is>
      </c>
      <c r="C19" s="57" t="inlineStr">
        <is>
          <t>Cordia lutea</t>
        </is>
      </c>
      <c r="D19" s="57" t="inlineStr">
        <is>
          <t>Boraginaceae</t>
        </is>
      </c>
      <c r="E19" s="57" t="inlineStr">
        <is>
          <t>Arbustivo alto (1.5-4 m)</t>
        </is>
      </c>
      <c r="F19" s="57" t="inlineStr">
        <is>
          <t>Nativa</t>
        </is>
      </c>
      <c r="G19" s="57" t="inlineStr">
        <is>
          <t>Frecuente (5-20%)</t>
        </is>
      </c>
      <c r="H19" s="57" t="n"/>
      <c r="I19" s="57" t="n"/>
    </row>
    <row r="20">
      <c r="A20" s="58" t="inlineStr">
        <is>
          <t>8</t>
        </is>
      </c>
      <c r="B20" s="58" t="inlineStr">
        <is>
          <t>Cardo / cactus</t>
        </is>
      </c>
      <c r="C20" s="58" t="inlineStr">
        <is>
          <t>Armatocereus cartwrightianus</t>
        </is>
      </c>
      <c r="D20" s="58" t="inlineStr">
        <is>
          <t>Cactaceae</t>
        </is>
      </c>
      <c r="E20" s="58" t="inlineStr">
        <is>
          <t>Arbustivo alto (1.5-4 m)</t>
        </is>
      </c>
      <c r="F20" s="58" t="inlineStr">
        <is>
          <t>Nativa</t>
        </is>
      </c>
      <c r="G20" s="58" t="inlineStr">
        <is>
          <t>Abundante (20-40%)</t>
        </is>
      </c>
      <c r="H20" s="58" t="n"/>
      <c r="I20" s="58" t="n"/>
    </row>
    <row r="21">
      <c r="A21" s="57" t="inlineStr">
        <is>
          <t>9</t>
        </is>
      </c>
      <c r="B21" s="57" t="inlineStr">
        <is>
          <t>Gigantón</t>
        </is>
      </c>
      <c r="C21" s="57" t="inlineStr">
        <is>
          <t>Neoraimondia arequipensis</t>
        </is>
      </c>
      <c r="D21" s="57" t="inlineStr">
        <is>
          <t>Cactaceae</t>
        </is>
      </c>
      <c r="E21" s="57" t="inlineStr">
        <is>
          <t>Arbóreo bajo (4-8 m)</t>
        </is>
      </c>
      <c r="F21" s="57" t="inlineStr">
        <is>
          <t>Nativa</t>
        </is>
      </c>
      <c r="G21" s="57" t="inlineStr">
        <is>
          <t>Ocasional (1-5%)</t>
        </is>
      </c>
      <c r="H21" s="57" t="n"/>
      <c r="I21" s="57" t="n"/>
    </row>
    <row r="22">
      <c r="A22" s="58" t="inlineStr">
        <is>
          <t>10</t>
        </is>
      </c>
      <c r="B22" s="58" t="inlineStr">
        <is>
          <t>Aromo / vichayo</t>
        </is>
      </c>
      <c r="C22" s="58" t="inlineStr">
        <is>
          <t>Vachellia aroma</t>
        </is>
      </c>
      <c r="D22" s="58" t="inlineStr">
        <is>
          <t>Fabaceae</t>
        </is>
      </c>
      <c r="E22" s="58" t="inlineStr">
        <is>
          <t>Arbustivo alto (1.5-4 m)</t>
        </is>
      </c>
      <c r="F22" s="58" t="inlineStr">
        <is>
          <t>Nativa</t>
        </is>
      </c>
      <c r="G22" s="58" t="inlineStr">
        <is>
          <t>Frecuente (5-20%)</t>
        </is>
      </c>
      <c r="H22" s="58" t="n"/>
      <c r="I22" s="58" t="n"/>
    </row>
    <row r="23">
      <c r="A23" s="57" t="inlineStr">
        <is>
          <t>11</t>
        </is>
      </c>
      <c r="B23" s="57" t="inlineStr">
        <is>
          <t>Mimosa / uña de gato</t>
        </is>
      </c>
      <c r="C23" s="57" t="inlineStr">
        <is>
          <t>Mimosa pellita</t>
        </is>
      </c>
      <c r="D23" s="57" t="inlineStr">
        <is>
          <t>Fabaceae</t>
        </is>
      </c>
      <c r="E23" s="57" t="inlineStr">
        <is>
          <t>Arbustivo bajo (0.5-1.5 m)</t>
        </is>
      </c>
      <c r="F23" s="57" t="inlineStr">
        <is>
          <t>Nativa</t>
        </is>
      </c>
      <c r="G23" s="57" t="inlineStr">
        <is>
          <t>Dominante (&gt;40%)</t>
        </is>
      </c>
      <c r="H23" s="57" t="n"/>
      <c r="I23" s="57" t="n"/>
    </row>
    <row r="24">
      <c r="A24" s="58" t="inlineStr">
        <is>
          <t>12</t>
        </is>
      </c>
      <c r="B24" s="58" t="inlineStr">
        <is>
          <t>Pajul / huarango</t>
        </is>
      </c>
      <c r="C24" s="58" t="inlineStr">
        <is>
          <t>Mimosa acantholoba</t>
        </is>
      </c>
      <c r="D24" s="58" t="inlineStr">
        <is>
          <t>Fabaceae</t>
        </is>
      </c>
      <c r="E24" s="58" t="inlineStr">
        <is>
          <t>Arbustivo alto (1.5-4 m)</t>
        </is>
      </c>
      <c r="F24" s="58" t="inlineStr">
        <is>
          <t>Nativa</t>
        </is>
      </c>
      <c r="G24" s="58" t="inlineStr">
        <is>
          <t>Abundante (20-40%)</t>
        </is>
      </c>
      <c r="H24" s="58" t="n"/>
      <c r="I24" s="58" t="n"/>
    </row>
    <row r="26">
      <c r="A26" s="55" t="inlineStr">
        <is>
          <t>F-DT-03 · ESPECIES CLAVE GEORREFERENCIADAS</t>
        </is>
      </c>
    </row>
    <row r="27">
      <c r="A27" s="56" t="inlineStr">
        <is>
          <t>N.o</t>
        </is>
      </c>
      <c r="B27" s="56" t="inlineStr">
        <is>
          <t>Especie</t>
        </is>
      </c>
      <c r="C27" s="56" t="inlineStr">
        <is>
          <t>Categoría</t>
        </is>
      </c>
      <c r="D27" s="56" t="inlineStr">
        <is>
          <t>Estado UICN</t>
        </is>
      </c>
      <c r="E27" s="56" t="inlineStr">
        <is>
          <t>UTM ESTE</t>
        </is>
      </c>
      <c r="F27" s="56" t="inlineStr">
        <is>
          <t>UTM NORTE</t>
        </is>
      </c>
      <c r="G27" s="56" t="inlineStr">
        <is>
          <t>N.° individuos</t>
        </is>
      </c>
      <c r="H27" s="56" t="inlineStr">
        <is>
          <t>Observación</t>
        </is>
      </c>
    </row>
    <row r="28">
      <c r="A28" s="57" t="inlineStr">
        <is>
          <t>1</t>
        </is>
      </c>
      <c r="B28" s="57" t="inlineStr">
        <is>
          <t>Hualtaco (Loxopterygium huasango)</t>
        </is>
      </c>
      <c r="C28" s="57" t="inlineStr">
        <is>
          <t>Amenazada (D.S. 043-2006-AG)</t>
        </is>
      </c>
      <c r="D28" s="57" t="inlineStr">
        <is>
          <t>CR — En Peligro Crítico</t>
        </is>
      </c>
      <c r="E28" s="57" t="n"/>
      <c r="F28" s="57" t="n"/>
      <c r="G28" s="57" t="n"/>
      <c r="H28" s="57" t="inlineStr">
        <is>
          <t>Especie clave amenazada; D.S. 043-2006-AG (CR). Coordenadas de individuos por verificar.</t>
        </is>
      </c>
    </row>
    <row r="29">
      <c r="A29" s="58" t="inlineStr">
        <is>
          <t>2</t>
        </is>
      </c>
      <c r="B29" s="58" t="inlineStr">
        <is>
          <t>Algarrobo (Prosopis pallida)</t>
        </is>
      </c>
      <c r="C29" s="58" t="inlineStr">
        <is>
          <t>Clave cultural</t>
        </is>
      </c>
      <c r="D29" s="58" t="inlineStr">
        <is>
          <t>No aplica</t>
        </is>
      </c>
      <c r="E29" s="58" t="n"/>
      <c r="F29" s="58" t="n"/>
      <c r="G29" s="58" t="n"/>
      <c r="H29" s="58" t="inlineStr">
        <is>
          <t>Uso cultural (recolección de vainas/algarroba); especie clave del bosque seco.</t>
        </is>
      </c>
    </row>
    <row r="31">
      <c r="A31" s="55" t="inlineStr">
        <is>
          <t>F-DT-04 · MATRIZ DE CAUSAS DE DEGRADACIÓN</t>
        </is>
      </c>
    </row>
    <row r="32">
      <c r="A32" s="56" t="inlineStr">
        <is>
          <t>N.o</t>
        </is>
      </c>
      <c r="B32" s="56" t="inlineStr">
        <is>
          <t>Causa</t>
        </is>
      </c>
      <c r="C32" s="56" t="inlineStr">
        <is>
          <t>Presencia</t>
        </is>
      </c>
      <c r="D32" s="56" t="inlineStr">
        <is>
          <t>Intensidad</t>
        </is>
      </c>
      <c r="E32" s="56" t="inlineStr">
        <is>
          <t>Extensión</t>
        </is>
      </c>
      <c r="F32" s="56" t="inlineStr">
        <is>
          <t>Antigüedad</t>
        </is>
      </c>
      <c r="G32" s="56" t="inlineStr">
        <is>
          <t>Evidencia</t>
        </is>
      </c>
    </row>
    <row r="33">
      <c r="A33" s="57" t="inlineStr">
        <is>
          <t>1</t>
        </is>
      </c>
      <c r="B33" s="57" t="inlineStr">
        <is>
          <t>Sobrepastoreo (caprino/vacuno)</t>
        </is>
      </c>
      <c r="C33" s="57" t="inlineStr">
        <is>
          <t>Sí</t>
        </is>
      </c>
      <c r="D33" s="57" t="inlineStr">
        <is>
          <t>Moderada</t>
        </is>
      </c>
      <c r="E33" s="57" t="inlineStr"/>
      <c r="F33" s="57" t="inlineStr"/>
      <c r="G33" s="57" t="inlineStr">
        <is>
          <t>Pastoreo caprino extensivo; huellas y ramoneo; pisoteo en zonas bajas.</t>
        </is>
      </c>
    </row>
    <row r="34">
      <c r="A34" s="58" t="inlineStr">
        <is>
          <t>2</t>
        </is>
      </c>
      <c r="B34" s="58" t="inlineStr">
        <is>
          <t>Tala para leña</t>
        </is>
      </c>
      <c r="C34" s="58" t="inlineStr">
        <is>
          <t>Sí</t>
        </is>
      </c>
      <c r="D34" s="58" t="inlineStr">
        <is>
          <t>Ligera</t>
        </is>
      </c>
      <c r="E34" s="58" t="inlineStr"/>
      <c r="F34" s="58" t="inlineStr"/>
      <c r="G34" s="58" t="inlineStr">
        <is>
          <t>Extracción esporádica de leña (tala selectiva).</t>
        </is>
      </c>
    </row>
    <row r="35">
      <c r="A35" s="57" t="inlineStr">
        <is>
          <t>3</t>
        </is>
      </c>
      <c r="B35" s="57" t="inlineStr">
        <is>
          <t>Tala para carbón</t>
        </is>
      </c>
      <c r="C35" s="57" t="inlineStr">
        <is>
          <t>No</t>
        </is>
      </c>
      <c r="D35" s="57" t="inlineStr"/>
      <c r="E35" s="57" t="inlineStr"/>
      <c r="F35" s="57" t="inlineStr"/>
      <c r="G35" s="57" t="inlineStr"/>
    </row>
    <row r="36">
      <c r="A36" s="58" t="inlineStr">
        <is>
          <t>4</t>
        </is>
      </c>
      <c r="B36" s="58" t="inlineStr">
        <is>
          <t>Tala para madera</t>
        </is>
      </c>
      <c r="C36" s="58" t="inlineStr">
        <is>
          <t>No</t>
        </is>
      </c>
      <c r="D36" s="58" t="inlineStr"/>
      <c r="E36" s="58" t="inlineStr"/>
      <c r="F36" s="58" t="inlineStr"/>
      <c r="G36" s="58" t="inlineStr"/>
    </row>
    <row r="37">
      <c r="A37" s="57" t="inlineStr">
        <is>
          <t>5</t>
        </is>
      </c>
      <c r="B37" s="57" t="inlineStr">
        <is>
          <t>Quema (renovación de pastos)</t>
        </is>
      </c>
      <c r="C37" s="57" t="inlineStr">
        <is>
          <t>No</t>
        </is>
      </c>
      <c r="D37" s="57" t="inlineStr"/>
      <c r="E37" s="57" t="inlineStr"/>
      <c r="F37" s="57" t="inlineStr"/>
      <c r="G37" s="57" t="inlineStr">
        <is>
          <t>Sin quemas en el polígono; humo distante en el valle.</t>
        </is>
      </c>
    </row>
    <row r="38">
      <c r="A38" s="58" t="inlineStr">
        <is>
          <t>6</t>
        </is>
      </c>
      <c r="B38" s="58" t="inlineStr">
        <is>
          <t>Quema accidental / Incendio</t>
        </is>
      </c>
      <c r="C38" s="58" t="inlineStr">
        <is>
          <t>No</t>
        </is>
      </c>
      <c r="D38" s="58" t="inlineStr"/>
      <c r="E38" s="58" t="inlineStr"/>
      <c r="F38" s="58" t="inlineStr"/>
      <c r="G38" s="58" t="inlineStr">
        <is>
          <t>Sin cicatrices recientes (ráster MODIS sin alertas).</t>
        </is>
      </c>
    </row>
    <row r="39">
      <c r="A39" s="57" t="inlineStr">
        <is>
          <t>7</t>
        </is>
      </c>
      <c r="B39" s="57" t="inlineStr">
        <is>
          <t>Cambio de uso a agricultura</t>
        </is>
      </c>
      <c r="C39" s="57" t="inlineStr">
        <is>
          <t>No</t>
        </is>
      </c>
      <c r="D39" s="57" t="inlineStr"/>
      <c r="E39" s="57" t="inlineStr"/>
      <c r="F39" s="57" t="inlineStr"/>
      <c r="G39" s="57" t="inlineStr">
        <is>
          <t>Sin cambio de uso a agricultura dentro del bloque.</t>
        </is>
      </c>
    </row>
    <row r="40">
      <c r="A40" s="58" t="inlineStr">
        <is>
          <t>8</t>
        </is>
      </c>
      <c r="B40" s="58" t="inlineStr">
        <is>
          <t>Cambio de uso a pastoreo</t>
        </is>
      </c>
      <c r="C40" s="58" t="inlineStr">
        <is>
          <t>No</t>
        </is>
      </c>
      <c r="D40" s="58" t="inlineStr"/>
      <c r="E40" s="58" t="inlineStr"/>
      <c r="F40" s="58" t="inlineStr"/>
      <c r="G40" s="58" t="inlineStr"/>
    </row>
    <row r="41">
      <c r="A41" s="57" t="inlineStr">
        <is>
          <t>9</t>
        </is>
      </c>
      <c r="B41" s="57" t="inlineStr">
        <is>
          <t>Expansión urbana / vial</t>
        </is>
      </c>
      <c r="C41" s="57" t="inlineStr">
        <is>
          <t>No</t>
        </is>
      </c>
      <c r="D41" s="57" t="inlineStr"/>
      <c r="E41" s="57" t="inlineStr"/>
      <c r="F41" s="57" t="inlineStr"/>
      <c r="G41" s="57" t="inlineStr">
        <is>
          <t>Caminos de herradura y trochas locales solo en los bordes.</t>
        </is>
      </c>
    </row>
    <row r="42">
      <c r="A42" s="58" t="inlineStr">
        <is>
          <t>10</t>
        </is>
      </c>
      <c r="B42" s="58" t="inlineStr">
        <is>
          <t>Minería informal</t>
        </is>
      </c>
      <c r="C42" s="58" t="inlineStr">
        <is>
          <t>No</t>
        </is>
      </c>
      <c r="D42" s="58" t="inlineStr"/>
      <c r="E42" s="58" t="inlineStr"/>
      <c r="F42" s="58" t="inlineStr"/>
      <c r="G42" s="58" t="inlineStr"/>
    </row>
    <row r="43">
      <c r="A43" s="57" t="inlineStr">
        <is>
          <t>11</t>
        </is>
      </c>
      <c r="B43" s="57" t="inlineStr">
        <is>
          <t>Extracción de áridos (cauces)</t>
        </is>
      </c>
      <c r="C43" s="57" t="inlineStr">
        <is>
          <t>No</t>
        </is>
      </c>
      <c r="D43" s="57" t="inlineStr"/>
      <c r="E43" s="57" t="inlineStr"/>
      <c r="F43" s="57" t="inlineStr"/>
      <c r="G43" s="57" t="inlineStr"/>
    </row>
    <row r="44">
      <c r="A44" s="58" t="inlineStr">
        <is>
          <t>12</t>
        </is>
      </c>
      <c r="B44" s="58" t="inlineStr">
        <is>
          <t>Especies invasoras</t>
        </is>
      </c>
      <c r="C44" s="58" t="inlineStr">
        <is>
          <t>No</t>
        </is>
      </c>
      <c r="D44" s="58" t="inlineStr"/>
      <c r="E44" s="58" t="inlineStr"/>
      <c r="F44" s="58" t="inlineStr"/>
      <c r="G44" s="58" t="inlineStr">
        <is>
          <t>No se detectaron especies invasoras en el recorrido.</t>
        </is>
      </c>
    </row>
    <row r="45">
      <c r="A45" s="57" t="inlineStr">
        <is>
          <t>13</t>
        </is>
      </c>
      <c r="B45" s="57" t="inlineStr">
        <is>
          <t>Erosión natural severa</t>
        </is>
      </c>
      <c r="C45" s="57" t="inlineStr">
        <is>
          <t>Sí</t>
        </is>
      </c>
      <c r="D45" s="57" t="inlineStr">
        <is>
          <t>Fuerte</t>
        </is>
      </c>
      <c r="E45" s="57" t="inlineStr"/>
      <c r="F45" s="57" t="inlineStr"/>
      <c r="G45" s="57" t="inlineStr">
        <is>
          <t>Erosión hídrica severa en sector NE (MSAVI&lt;0.27); pendientes &gt;40%.</t>
        </is>
      </c>
    </row>
    <row r="46">
      <c r="A46" s="58" t="inlineStr">
        <is>
          <t>14</t>
        </is>
      </c>
      <c r="B46" s="58" t="inlineStr">
        <is>
          <t>Sequía prolongada / CC</t>
        </is>
      </c>
      <c r="C46" s="58" t="inlineStr">
        <is>
          <t>Sí</t>
        </is>
      </c>
      <c r="D46" s="58" t="inlineStr">
        <is>
          <t>Fuerte</t>
        </is>
      </c>
      <c r="E46" s="58" t="inlineStr"/>
      <c r="F46" s="58" t="inlineStr"/>
      <c r="G46" s="58" t="inlineStr">
        <is>
          <t>Déficit hídrico estructural; régimen estacional marcado; estrés hídrico.</t>
        </is>
      </c>
    </row>
    <row r="47">
      <c r="A47" s="57" t="inlineStr">
        <is>
          <t>15</t>
        </is>
      </c>
      <c r="B47" s="57" t="inlineStr">
        <is>
          <t>Plagas o enfermedades forestales</t>
        </is>
      </c>
      <c r="C47" s="57" t="inlineStr">
        <is>
          <t>No</t>
        </is>
      </c>
      <c r="D47" s="57" t="inlineStr"/>
      <c r="E47" s="57" t="inlineStr"/>
      <c r="F47" s="57" t="inlineStr"/>
      <c r="G47" s="57" t="inlineStr">
        <is>
          <t>Vegetación sin signos relevantes de plagas o enfermedades.</t>
        </is>
      </c>
    </row>
    <row r="48">
      <c r="A48" s="58" t="inlineStr">
        <is>
          <t>16</t>
        </is>
      </c>
      <c r="B48" s="58" t="inlineStr">
        <is>
          <t>Otro</t>
        </is>
      </c>
      <c r="C48" s="58" t="inlineStr"/>
      <c r="D48" s="58" t="inlineStr"/>
      <c r="E48" s="58" t="inlineStr"/>
      <c r="F48" s="58" t="inlineStr"/>
      <c r="G48" s="58" t="inlineStr"/>
    </row>
    <row r="50">
      <c r="A50" s="55" t="inlineStr">
        <is>
          <t>F-DT-04 · INDICADORES CUANTITATIVOS</t>
        </is>
      </c>
    </row>
    <row r="51">
      <c r="A51" s="56" t="inlineStr">
        <is>
          <t>N.o</t>
        </is>
      </c>
      <c r="B51" s="56" t="inlineStr">
        <is>
          <t>Indicador</t>
        </is>
      </c>
      <c r="C51" s="56" t="inlineStr">
        <is>
          <t>Unidad</t>
        </is>
      </c>
      <c r="D51" s="56" t="inlineStr">
        <is>
          <t>Valor</t>
        </is>
      </c>
      <c r="E51" s="56" t="inlineStr">
        <is>
          <t>Fuente</t>
        </is>
      </c>
      <c r="F51" s="56" t="inlineStr">
        <is>
          <t>Umbral</t>
        </is>
      </c>
      <c r="G51" s="56" t="inlineStr">
        <is>
          <t>Nivel</t>
        </is>
      </c>
    </row>
    <row r="52">
      <c r="A52" s="57" t="inlineStr">
        <is>
          <t>1</t>
        </is>
      </c>
      <c r="B52" s="57" t="inlineStr">
        <is>
          <t>Cobertura vegetal total</t>
        </is>
      </c>
      <c r="C52" s="57" t="inlineStr">
        <is>
          <t>%</t>
        </is>
      </c>
      <c r="D52" s="57" t="inlineStr">
        <is>
          <t>55 - 85</t>
        </is>
      </c>
      <c r="E52" s="57" t="inlineStr">
        <is>
          <t>Observación de campo + MSAVI 2024</t>
        </is>
      </c>
      <c r="F52" s="57" t="inlineStr">
        <is>
          <t>&gt;60% bueno; 30-60% medio; &lt;30% malo</t>
        </is>
      </c>
      <c r="G52" s="57" t="inlineStr">
        <is>
          <t>Bajo</t>
        </is>
      </c>
    </row>
    <row r="53">
      <c r="A53" s="58" t="inlineStr">
        <is>
          <t>2</t>
        </is>
      </c>
      <c r="B53" s="58" t="inlineStr">
        <is>
          <t>Porcentaje de suelo desnudo</t>
        </is>
      </c>
      <c r="C53" s="58" t="inlineStr">
        <is>
          <t>%</t>
        </is>
      </c>
      <c r="D53" s="58" t="inlineStr">
        <is>
          <t>15 - 30</t>
        </is>
      </c>
      <c r="E53" s="58" t="inlineStr">
        <is>
          <t>Observación de campo</t>
        </is>
      </c>
      <c r="F53" s="58" t="inlineStr">
        <is>
          <t>&lt;10% bueno; 10-30% medio; &gt;30% malo</t>
        </is>
      </c>
      <c r="G53" s="58" t="inlineStr">
        <is>
          <t>Medio</t>
        </is>
      </c>
    </row>
    <row r="54">
      <c r="A54" s="57" t="inlineStr">
        <is>
          <t>3</t>
        </is>
      </c>
      <c r="B54" s="57" t="inlineStr">
        <is>
          <t>Densidad de cárcavas</t>
        </is>
      </c>
      <c r="C54" s="57" t="inlineStr">
        <is>
          <t>N°/ha</t>
        </is>
      </c>
      <c r="D54" s="57" t="inlineStr">
        <is>
          <t>0</t>
        </is>
      </c>
      <c r="E54" s="57" t="inlineStr">
        <is>
          <t>Observación de campo</t>
        </is>
      </c>
      <c r="F54" s="57" t="inlineStr">
        <is>
          <t>0 nulo; 1-3 medio; &gt;3 alto</t>
        </is>
      </c>
      <c r="G54" s="57" t="inlineStr">
        <is>
          <t>Bajo</t>
        </is>
      </c>
    </row>
    <row r="55">
      <c r="A55" s="58" t="inlineStr">
        <is>
          <t>4</t>
        </is>
      </c>
      <c r="B55" s="58" t="inlineStr">
        <is>
          <t>Presencia de especies invasoras</t>
        </is>
      </c>
      <c r="C55" s="58" t="inlineStr">
        <is>
          <t>% área</t>
        </is>
      </c>
      <c r="D55" s="58" t="inlineStr">
        <is>
          <t>0</t>
        </is>
      </c>
      <c r="E55" s="58" t="inlineStr">
        <is>
          <t>Observación de campo</t>
        </is>
      </c>
      <c r="F55" s="58" t="inlineStr">
        <is>
          <t>&lt;5% bueno; 5-20% medio; &gt;20% alto</t>
        </is>
      </c>
      <c r="G55" s="58" t="inlineStr">
        <is>
          <t>Bajo</t>
        </is>
      </c>
    </row>
    <row r="56">
      <c r="A56" s="57" t="inlineStr">
        <is>
          <t>5</t>
        </is>
      </c>
      <c r="B56" s="57" t="inlineStr">
        <is>
          <t>Carga ganadera estimada</t>
        </is>
      </c>
      <c r="C56" s="57" t="inlineStr">
        <is>
          <t>UA/ha</t>
        </is>
      </c>
      <c r="D56" s="57" t="inlineStr"/>
      <c r="E56" s="57" t="inlineStr"/>
      <c r="F56" s="57" t="inlineStr">
        <is>
          <t>Según tipo de ecosistema</t>
        </is>
      </c>
      <c r="G56" s="57" t="inlineStr"/>
    </row>
    <row r="57">
      <c r="A57" s="58" t="inlineStr">
        <is>
          <t>6</t>
        </is>
      </c>
      <c r="B57" s="58" t="inlineStr">
        <is>
          <t>Frecuencia de quemas últimos 5 años</t>
        </is>
      </c>
      <c r="C57" s="58" t="inlineStr">
        <is>
          <t>N°</t>
        </is>
      </c>
      <c r="D57" s="58" t="inlineStr">
        <is>
          <t>0</t>
        </is>
      </c>
      <c r="E57" s="58" t="inlineStr">
        <is>
          <t>Observación de campo</t>
        </is>
      </c>
      <c r="F57" s="58" t="inlineStr">
        <is>
          <t>0 nulo; 1-2 medio; &gt;2 alto</t>
        </is>
      </c>
      <c r="G57" s="58" t="inlineStr">
        <is>
          <t>Bajo</t>
        </is>
      </c>
    </row>
    <row r="58">
      <c r="A58" s="57" t="inlineStr">
        <is>
          <t>7</t>
        </is>
      </c>
      <c r="B58" s="57" t="inlineStr">
        <is>
          <t>% área con pendiente &gt;50%</t>
        </is>
      </c>
      <c r="C58" s="57" t="inlineStr">
        <is>
          <t>%</t>
        </is>
      </c>
      <c r="D58" s="57" t="inlineStr">
        <is>
          <t>0 - 5</t>
        </is>
      </c>
      <c r="E58" s="57" t="inlineStr">
        <is>
          <t>DEM / observación</t>
        </is>
      </c>
      <c r="F58" s="57" t="inlineStr">
        <is>
          <t>Factor de susceptibilidad</t>
        </is>
      </c>
      <c r="G58" s="57" t="inlineStr">
        <is>
          <t>Bajo</t>
        </is>
      </c>
    </row>
    <row r="59">
      <c r="A59" s="58" t="inlineStr">
        <is>
          <t>8</t>
        </is>
      </c>
      <c r="B59" s="58" t="inlineStr">
        <is>
          <t>Distancia a vía vecinal más cercana</t>
        </is>
      </c>
      <c r="C59" s="58" t="inlineStr">
        <is>
          <t>m</t>
        </is>
      </c>
      <c r="D59" s="58" t="inlineStr"/>
      <c r="E59" s="58" t="inlineStr">
        <is>
          <t>Por verificar</t>
        </is>
      </c>
      <c r="F59" s="58" t="inlineStr">
        <is>
          <t>A menor distancia → mayor presión</t>
        </is>
      </c>
      <c r="G59" s="58" t="inlineStr"/>
    </row>
    <row r="61">
      <c r="A61" s="55" t="inlineStr">
        <is>
          <t>F-DT-05 · FUENTES DE AGUA INVENTARIADAS</t>
        </is>
      </c>
    </row>
    <row r="62">
      <c r="A62" s="56" t="inlineStr">
        <is>
          <t>N.o</t>
        </is>
      </c>
      <c r="B62" s="56" t="inlineStr">
        <is>
          <t>Tipo de fuente</t>
        </is>
      </c>
      <c r="C62" s="56" t="inlineStr">
        <is>
          <t>UTM ESTE</t>
        </is>
      </c>
      <c r="D62" s="56" t="inlineStr">
        <is>
          <t>UTM NORTE</t>
        </is>
      </c>
      <c r="E62" s="56" t="inlineStr">
        <is>
          <t>Régimen</t>
        </is>
      </c>
      <c r="F62" s="56" t="inlineStr">
        <is>
          <t>Calidad</t>
        </is>
      </c>
      <c r="G62" s="56" t="inlineStr">
        <is>
          <t>Distancia (m)</t>
        </is>
      </c>
      <c r="H62" s="56" t="inlineStr">
        <is>
          <t>Uso / observación</t>
        </is>
      </c>
    </row>
    <row r="63">
      <c r="A63" s="57" t="inlineStr">
        <is>
          <t>1</t>
        </is>
      </c>
      <c r="B63" s="57" t="inlineStr">
        <is>
          <t>Quebrada estacional</t>
        </is>
      </c>
      <c r="C63" s="62" t="n">
        <v>611200</v>
      </c>
      <c r="D63" s="62" t="n">
        <v>9419600</v>
      </c>
      <c r="E63" s="57" t="inlineStr">
        <is>
          <t>Estacional (lluvias)</t>
        </is>
      </c>
      <c r="F63" s="57" t="inlineStr">
        <is>
          <t>No evaluable</t>
        </is>
      </c>
      <c r="G63" s="57" t="n"/>
      <c r="H63" s="57" t="inlineStr">
        <is>
          <t>Cauce central del bloque; seca al momento de la visita; drena SW→NE hacia el valle.</t>
        </is>
      </c>
    </row>
    <row r="64">
      <c r="A64" s="58" t="inlineStr">
        <is>
          <t>2</t>
        </is>
      </c>
      <c r="B64" s="58" t="inlineStr">
        <is>
          <t>Quebrada estacional</t>
        </is>
      </c>
      <c r="C64" s="63" t="n">
        <v>611600</v>
      </c>
      <c r="D64" s="63" t="n">
        <v>9419750</v>
      </c>
      <c r="E64" s="58" t="inlineStr">
        <is>
          <t>Intermitente</t>
        </is>
      </c>
      <c r="F64" s="58" t="inlineStr">
        <is>
          <t>No evaluable</t>
        </is>
      </c>
      <c r="G64" s="58" t="n"/>
      <c r="H64" s="58" t="inlineStr">
        <is>
          <t>Drenaje secundario en el sector NE; seco al momento de la visita.</t>
        </is>
      </c>
    </row>
    <row r="67">
      <c r="A67" s="55" t="inlineStr">
        <is>
          <t>OBSERVACIONES DEL EVALUADOR POR FICHA</t>
        </is>
      </c>
    </row>
    <row r="68">
      <c r="A68" s="56" t="inlineStr">
        <is>
          <t>Ficha</t>
        </is>
      </c>
      <c r="B68" s="56" t="inlineStr">
        <is>
          <t>Observación registrada en campo</t>
        </is>
      </c>
    </row>
    <row r="69">
      <c r="A69" s="57" t="inlineStr">
        <is>
          <t>F-DT-01</t>
        </is>
      </c>
      <c r="B69" s="57" t="inlineStr">
        <is>
          <t>Acceso al bloque dificultoso desde la capital distrital de Buenos Aires; ruta viable identificada por el Caserío Pedregal (NE), atravesando predios cercados con autorización previa de titulares. La parte alta (relictos de bosque seco mejor conservado, &gt;450 msnm) no fue accesible por pendiente &gt;40% y ausencia de senderos. CONSISTENCIA: microcuenca y área se autocompletan desde Bloques V4 (microcuenca C1077-Q9566; área 160.98 ha); el dato preliminar de campo registraba "M6" y 214.6 ha. Coordenadas = punto de muestreo (611500 E / 9419250 N); centroide maestro 611305 E / 9419274 N. POR VERIFICAR: escarpes activos, reptación de suelo (indicios no concluyentes) y evidencia de deslizamientos antiguos.</t>
        </is>
      </c>
    </row>
    <row r="70">
      <c r="A70" s="58" t="inlineStr">
        <is>
          <t>F-DT-02</t>
        </is>
      </c>
      <c r="B70" s="58" t="inlineStr">
        <is>
          <t>No se registraron cárcavas en el recorrido accesible. Se observan microsurcos y erosión laminar moderada en pendientes &gt;25%, severa en el sector NE (MSAVI &lt; 0.27). Pedregosidad superficial 25-45%; pavimento de piedras en el sector NE erosionado; compactación baja-media por pisoteo caprino en zonas bajas. POR VERIFICAR: % de erosión laminar, presencia de socavamiento en la quebrada central y costra/sellamiento superficial.</t>
        </is>
      </c>
    </row>
    <row r="71">
      <c r="A71" s="57" t="inlineStr">
        <is>
          <t>F-DT-03</t>
        </is>
      </c>
      <c r="B71" s="57" t="inlineStr">
        <is>
          <t>Inventario florístico PRELIMINAR (12 especies), pendiente de colecta botánica y confirmación de herbario. Ecosistema en mosaico: matorral xerofítico (zona baja-media) + relicto de bosque seco de montaña (parte alta, mejor conservado, no accesible en esta visita). Especie clave amenazada: Hualtaco (Loxopterygium huasango), En Peligro Crítico (CR) — D.S. 043-2006-AG. MSAVI 2024 dominante 0.38-0.50 (degradación leve-moderada); sector NE &lt; 0.27 (crítico). No se establecieron parcelas formales (evaluación por recorrido). DAP/altura por especie y coordenadas de individuos clave: por verificar. La superficie del ecosistema se asume igual al área total del bloque (160.98 ha) por dominancia del Bes-cm.</t>
        </is>
      </c>
    </row>
    <row r="72">
      <c r="A72" s="58" t="inlineStr">
        <is>
          <t>F-DT-04</t>
        </is>
      </c>
      <c r="B72" s="58" t="inlineStr">
        <is>
          <t>Causas directas dominantes: sobrepastoreo caprino, extracción de leña, erosión hídrica severa (NE) y estrés hídrico estructural (CC / FEN). No se detectaron invasoras, quemas recientes ni minería/extracción de áridos en el polígono.La urgencia se clasifica como Media a nivel de bloque; el sector NE crítico y la alta conectividad de riesgo hacia el valle podrían elevarla a Alta una vez confirmado el acceso predial.</t>
        </is>
      </c>
    </row>
    <row r="73">
      <c r="A73" s="57" t="inlineStr">
        <is>
          <t>F-DT-05</t>
        </is>
      </c>
      <c r="B73" s="57" t="inlineStr">
        <is>
          <t>Dos drenajes estacionales (quebrada central y drenaje secundario NE), secos al momento de la visita; la quebrada central drena SW→NE hacia el Caserío Pedregal y la planicie agrícola del valle de Buenos Aires-Morropón (conectividad de riesgo alta). Acceso vehicular hasta el Caserío Pedregal y caminata al bloque; predios privados cercados que requieren autorización de titulares; parte alta inaccesible a pie (&gt;40%). POR VERIFICAR: zona de recarga, manantiales/puquios en parte alta, distancia a captación poblacional y nombre de JASS, tiempos desde capital distrital/provincial, señal y operador celular, alojamiento rural, y la presencia/autorización de Ronda Campesina (en campo se confirmó autorización predial, no de ronda).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M6B2-3</t>
        </is>
      </c>
    </row>
    <row r="7">
      <c r="A7" s="55" t="inlineStr">
        <is>
          <t>Hechos declarados por fuente</t>
        </is>
      </c>
    </row>
    <row r="8">
      <c r="A8" s="56" t="inlineStr">
        <is>
          <t>Fuente</t>
        </is>
      </c>
      <c r="B8" s="56" t="inlineStr">
        <is>
          <t>Hechos</t>
        </is>
      </c>
    </row>
    <row r="9">
      <c r="A9" s="57" t="inlineStr">
        <is>
          <t>Dato de campo</t>
        </is>
      </c>
      <c r="B9" s="57" t="n">
        <v>56</v>
      </c>
    </row>
    <row r="10">
      <c r="A10" s="58" t="inlineStr">
        <is>
          <t>Gabinete (GIS / teledetección)</t>
        </is>
      </c>
      <c r="B10" s="58" t="n">
        <v>25</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92</v>
      </c>
    </row>
    <row r="31">
      <c r="A31" s="58" t="inlineStr">
        <is>
          <t>COMPLEMENTADO</t>
        </is>
      </c>
      <c r="B31" s="58" t="n">
        <v>3</v>
      </c>
    </row>
    <row r="32">
      <c r="A32" s="57" t="inlineStr">
        <is>
          <t>ACTUALIZADO</t>
        </is>
      </c>
      <c r="B32" s="57" t="n">
        <v>0</v>
      </c>
    </row>
    <row r="33">
      <c r="A33" s="58" t="inlineStr">
        <is>
          <t>DISCREPANTE</t>
        </is>
      </c>
      <c r="B33" s="58" t="n">
        <v>0</v>
      </c>
    </row>
    <row r="34">
      <c r="A34" s="57" t="inlineStr">
        <is>
          <t>PENDIENTE</t>
        </is>
      </c>
      <c r="B34" s="57" t="n">
        <v>19</v>
      </c>
    </row>
    <row r="51">
      <c r="A51" s="55" t="inlineStr">
        <is>
          <t>Cobertura por estrato — campo (%)</t>
        </is>
      </c>
    </row>
    <row r="52">
      <c r="A52" s="56" t="inlineStr">
        <is>
          <t>Estrato</t>
        </is>
      </c>
      <c r="B52" s="56" t="inlineStr">
        <is>
          <t>% del área</t>
        </is>
      </c>
    </row>
    <row r="53">
      <c r="A53" s="57" t="inlineStr">
        <is>
          <t>Dosel</t>
        </is>
      </c>
      <c r="B53" s="62" t="n">
        <v>10</v>
      </c>
    </row>
    <row r="54">
      <c r="A54" s="58" t="inlineStr">
        <is>
          <t>Arbustiva</t>
        </is>
      </c>
      <c r="B54" s="63" t="n">
        <v>35</v>
      </c>
    </row>
    <row r="55">
      <c r="A55" s="57" t="inlineStr">
        <is>
          <t>Herbácea</t>
        </is>
      </c>
      <c r="B55" s="62" t="n">
        <v>20</v>
      </c>
    </row>
    <row r="56">
      <c r="A56" s="58" t="inlineStr">
        <is>
          <t>Hojarasca</t>
        </is>
      </c>
      <c r="B56" s="63" t="n">
        <v>15</v>
      </c>
    </row>
    <row r="57">
      <c r="A57" s="57" t="inlineStr">
        <is>
          <t>Suelo desnudo</t>
        </is>
      </c>
      <c r="B57" s="62" t="n">
        <v>15</v>
      </c>
    </row>
    <row r="74">
      <c r="A74" s="55" t="inlineStr">
        <is>
          <t>Causas activas de degradación (F-DT-04)</t>
        </is>
      </c>
    </row>
    <row r="75">
      <c r="A75" s="56" t="inlineStr">
        <is>
          <t>Causa</t>
        </is>
      </c>
      <c r="B75" s="56" t="inlineStr">
        <is>
          <t>Intensidad (1 ligera - 4 muy fuerte)</t>
        </is>
      </c>
    </row>
    <row r="76">
      <c r="A76" s="57" t="inlineStr">
        <is>
          <t>Erosión natural severa</t>
        </is>
      </c>
      <c r="B76" s="57" t="n">
        <v>3</v>
      </c>
    </row>
    <row r="77">
      <c r="A77" s="58" t="inlineStr">
        <is>
          <t>Sequía prolongada / CC</t>
        </is>
      </c>
      <c r="B77" s="58" t="n">
        <v>3</v>
      </c>
    </row>
    <row r="78">
      <c r="A78" s="57" t="inlineStr">
        <is>
          <t>Sobrepastoreo (caprino/vacuno)</t>
        </is>
      </c>
      <c r="B78" s="57" t="n">
        <v>2</v>
      </c>
    </row>
    <row r="79">
      <c r="A79" s="58" t="inlineStr">
        <is>
          <t>Tala para leña</t>
        </is>
      </c>
      <c r="B79" s="58" t="n">
        <v>1</v>
      </c>
    </row>
    <row r="96">
      <c r="A96" s="55" t="inlineStr">
        <is>
          <t>Control de consistencia por calificación</t>
        </is>
      </c>
    </row>
    <row r="97">
      <c r="A97" s="56" t="inlineStr">
        <is>
          <t>Calificación</t>
        </is>
      </c>
      <c r="B97" s="56" t="inlineStr">
        <is>
          <t>Verificaciones</t>
        </is>
      </c>
    </row>
    <row r="98">
      <c r="A98" s="57" t="inlineStr">
        <is>
          <t>SUSTANTIVA</t>
        </is>
      </c>
      <c r="B98" s="57" t="n">
        <v>6</v>
      </c>
    </row>
    <row r="99">
      <c r="A99" s="58" t="inlineStr">
        <is>
          <t>NO SUSTANTIVA</t>
        </is>
      </c>
      <c r="B99" s="58" t="n">
        <v>1</v>
      </c>
    </row>
    <row r="100">
      <c r="A100" s="57" t="inlineStr">
        <is>
          <t>CORREGIDO</t>
        </is>
      </c>
      <c r="B100" s="57" t="n">
        <v>1</v>
      </c>
    </row>
    <row r="101">
      <c r="A101" s="58" t="inlineStr">
        <is>
          <t>CONFORME</t>
        </is>
      </c>
      <c r="B101"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M6B2-3 — IN Piura</dc:title>
  <dc:subject>Diagnóstico Territorial por bloque de intervención</dc:subject>
  <dcterms:created xsi:type="dcterms:W3CDTF">2026-09-08T03:39:54Z</dcterms:created>
  <dcterms:modified xsi:type="dcterms:W3CDTF">2026-09-11T20:22:40Z</dcterms:modified>
</cp:coreProperties>
</file>