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integración'!$A$66:$A$67</f>
            </numRef>
          </cat>
          <val>
            <numRef>
              <f>'Gráficos de integración'!$B$66:$B$67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9</t>
        </is>
      </c>
    </row>
    <row r="6" ht="24" customHeight="1">
      <c r="A6" s="4" t="inlineStr">
        <is>
          <t>Diagnóstico Territorial — Plantilla DT Campo Check Validada V5 | Sistema de referencia: UTM WGS 84 Zona 17S (EPSG:32717) · Integrado con la ficha de campo F-DT vigente (Plantilla_DT_Campo_Check_Validada_V5_Bloque9_IN_Piura.xlsx) — V7 - resumen V6 + campo F-DT integrado</t>
        </is>
      </c>
    </row>
    <row r="7"/>
    <row r="8" ht="18" customHeight="1">
      <c r="A8" s="5" t="inlineStr">
        <is>
          <t>1. IDENTIFICACIÓN Y LOCALIZACIÓN</t>
        </is>
      </c>
    </row>
    <row r="9">
      <c r="A9" s="6" t="inlineStr">
        <is>
          <t>Código del bloque</t>
        </is>
      </c>
      <c r="B9" s="7" t="inlineStr">
        <is>
          <t>9</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San Miguel de El Faique (sector La Unión)</t>
        </is>
      </c>
      <c r="C13" s="6" t="inlineStr">
        <is>
          <t>Comunidad campesina</t>
        </is>
      </c>
      <c r="D13" s="7" t="inlineStr">
        <is>
          <t>Por verificar</t>
        </is>
      </c>
      <c r="E13" s="8" t="n"/>
      <c r="F13" s="8" t="n"/>
    </row>
    <row r="14">
      <c r="A14" s="6" t="inlineStr">
        <is>
          <t>Superficie de catálogo (V5/V6), ha</t>
        </is>
      </c>
      <c r="B14" s="7" t="n">
        <v>109.86</v>
      </c>
      <c r="C14" s="6" t="inlineStr">
        <is>
          <t>Fuente de superficie</t>
        </is>
      </c>
      <c r="D14" s="7" t="inlineStr">
        <is>
          <t>Catálogo maestro Bloques V5/V6</t>
        </is>
      </c>
      <c r="E14" s="8" t="n"/>
      <c r="F14" s="8" t="n"/>
    </row>
    <row r="15">
      <c r="A15" s="6" t="inlineStr">
        <is>
          <t>Centroide UTM ESTE (m)</t>
        </is>
      </c>
      <c r="B15" s="7" t="n">
        <v>656578</v>
      </c>
      <c r="C15" s="6" t="inlineStr">
        <is>
          <t>Centroide UTM NORTE (m)</t>
        </is>
      </c>
      <c r="D15" s="7" t="n">
        <v>9397762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1529</v>
      </c>
      <c r="C19" s="6" t="inlineStr">
        <is>
          <t>Altitud máxima (msnm)</t>
        </is>
      </c>
      <c r="D19" s="7" t="n">
        <v>2264</v>
      </c>
      <c r="E19" s="8" t="n"/>
      <c r="F19" s="8" t="n"/>
    </row>
    <row r="20">
      <c r="A20" s="6" t="inlineStr">
        <is>
          <t>Amplitud altitudinal (m)</t>
        </is>
      </c>
      <c r="B20" s="7" t="n">
        <v>735</v>
      </c>
      <c r="C20" s="6" t="inlineStr">
        <is>
          <t>Piso altitudinal dominante</t>
        </is>
      </c>
      <c r="D20" s="7" t="inlineStr">
        <is>
          <t>1500-2000 m (Quechua media)</t>
        </is>
      </c>
      <c r="E20" s="8" t="n"/>
      <c r="F20" s="8" t="n"/>
    </row>
    <row r="21">
      <c r="A21" s="6" t="inlineStr">
        <is>
          <t>Pendiente promedio (%)</t>
        </is>
      </c>
      <c r="B21" s="7" t="n">
        <v>34.82</v>
      </c>
      <c r="C21" s="6" t="inlineStr">
        <is>
          <t>Pendiente promedio (grados)</t>
        </is>
      </c>
      <c r="D21" s="7" t="n">
        <v>19.2</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Cima (sin dominancia)</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0.5745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(90.24 %)</t>
        </is>
      </c>
      <c r="E29" s="8" t="n"/>
      <c r="F29" s="8" t="n"/>
    </row>
    <row r="30">
      <c r="A30" s="6" t="inlineStr">
        <is>
          <t>Superficie clasificada NDVI 2025 (ha)</t>
        </is>
      </c>
      <c r="B30" s="7" t="n">
        <v>109.882</v>
      </c>
      <c r="C30" s="6" t="inlineStr">
        <is>
          <t>Desviación frente al catálogo (%)</t>
        </is>
      </c>
      <c r="D30" s="7" t="n">
        <v>0.02</v>
      </c>
      <c r="E30" s="8" t="n"/>
      <c r="F30" s="8" t="n"/>
    </row>
    <row r="31">
      <c r="A31" s="6" t="inlineStr">
        <is>
          <t>Superficie clasificada MSAVI 2024 (ha)</t>
        </is>
      </c>
      <c r="B31" s="36" t="n">
        <v>109.861</v>
      </c>
      <c r="C31" s="6" t="inlineStr">
        <is>
          <t>Desviación MSAVI frente al catálogo (%)</t>
        </is>
      </c>
      <c r="D31" s="37" t="n">
        <v>0</v>
      </c>
      <c r="E31" s="8" t="n"/>
      <c r="F31" s="8" t="n"/>
    </row>
    <row r="32">
      <c r="A32" s="6" t="inlineStr">
        <is>
          <t>Superficie bajo umbral MSAVI 0.4976 (ha)</t>
        </is>
      </c>
      <c r="B32" s="36" t="n">
        <v>12.836</v>
      </c>
      <c r="C32" s="6" t="inlineStr">
        <is>
          <t>% del bloque bajo umbral (brecha espectral)</t>
        </is>
      </c>
      <c r="D32" s="37" t="n">
        <v>11.68</v>
      </c>
      <c r="E32" s="8" t="n"/>
      <c r="F32" s="8" t="n"/>
    </row>
    <row r="33">
      <c r="A33" s="6" t="inlineStr">
        <is>
          <t>Clase DN dominante (MSAVI 2024)</t>
        </is>
      </c>
      <c r="B33" s="7" t="inlineStr">
        <is>
          <t>DN 4 · 0.4976 - 0.6139 (Vigor moderado)</t>
        </is>
      </c>
      <c r="C33" s="6" t="inlineStr">
        <is>
          <t>N.° de polígonos MSAVI del bloque</t>
        </is>
      </c>
      <c r="D33" s="38" t="n">
        <v>357</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109.861 ha</t>
        </is>
      </c>
      <c r="E36" s="8" t="n"/>
      <c r="F36" s="8" t="n"/>
    </row>
    <row r="37">
      <c r="A37" s="6" t="inlineStr">
        <is>
          <t>Estado de conservación</t>
        </is>
      </c>
      <c r="B37" s="7" t="inlineStr">
        <is>
          <t>Medianamente alterado</t>
        </is>
      </c>
      <c r="C37" s="6" t="inlineStr">
        <is>
          <t>Uso actual dominante del suelo</t>
        </is>
      </c>
      <c r="D37" s="7" t="inlineStr">
        <is>
          <t>Agricultura secano</t>
        </is>
      </c>
      <c r="E37" s="8" t="n"/>
      <c r="F37" s="8" t="n"/>
    </row>
    <row r="38">
      <c r="A38" s="6" t="inlineStr">
        <is>
          <t>Tipo de cobertura dominante</t>
        </is>
      </c>
      <c r="B38" s="7" t="inlineStr">
        <is>
          <t>Matorral ralo</t>
        </is>
      </c>
      <c r="C38" s="6" t="inlineStr">
        <is>
          <t>Cobertura vegetal total — campo (%)</t>
        </is>
      </c>
      <c r="D38" s="7" t="n">
        <v>40</v>
      </c>
      <c r="E38" s="8" t="n"/>
      <c r="F38" s="8" t="n"/>
    </row>
    <row r="39">
      <c r="A39" s="6" t="inlineStr">
        <is>
          <t>Suelo desnudo — campo (%)</t>
        </is>
      </c>
      <c r="B39" s="7" t="n">
        <v>25</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Pedro Talledo Hernández</t>
        </is>
      </c>
      <c r="C44" s="6" t="inlineStr">
        <is>
          <t>Fecha de evaluación</t>
        </is>
      </c>
      <c r="D44" s="7" t="inlineStr">
        <is>
          <t>2026-08-11</t>
        </is>
      </c>
      <c r="E44" s="8" t="n"/>
      <c r="F44" s="8" t="n"/>
    </row>
    <row r="45">
      <c r="A45" s="6" t="inlineStr">
        <is>
          <t>Hora de registro</t>
        </is>
      </c>
      <c r="B45" s="7" t="inlineStr">
        <is>
          <t>Por registrar</t>
        </is>
      </c>
      <c r="C45" s="6" t="inlineStr">
        <is>
          <t>Correlativo de ficha</t>
        </is>
      </c>
      <c r="D45" s="7" t="inlineStr">
        <is>
          <t>F-DT-09-01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t>
        </is>
      </c>
      <c r="E47" s="8" t="n"/>
      <c r="F47" s="8" t="n"/>
    </row>
    <row r="48">
      <c r="A48" s="6" t="inlineStr">
        <is>
          <t>Estaciones fotográficas georreferenciadas</t>
        </is>
      </c>
      <c r="B48" s="7" t="inlineStr">
        <is>
          <t>Sin registro en la ficha DT</t>
        </is>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demográfica y necesidad de tierras para cultivo y pastoreo de subsistencia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39" t="n"/>
      <c r="C57" s="39" t="n"/>
      <c r="D57" s="39" t="n"/>
      <c r="E57" s="39" t="n"/>
      <c r="F57" s="40"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9</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29.8373</v>
      </c>
      <c r="C10" s="19">
        <f>ROUND(B10/$B$15*100,2)</f>
        <v/>
      </c>
      <c r="D10" s="11" t="inlineStr">
        <is>
          <t>Vigor alto</t>
        </is>
      </c>
      <c r="E10" s="11" t="inlineStr">
        <is>
          <t>Sobre umbral</t>
        </is>
      </c>
    </row>
    <row r="11">
      <c r="A11" s="12" t="inlineStr">
        <is>
          <t>0.4976 - 0.6139 · DN 4</t>
        </is>
      </c>
      <c r="B11" s="28" t="n">
        <v>67.18810000000001</v>
      </c>
      <c r="C11" s="27">
        <f>ROUND(B11/$B$15*100,2)</f>
        <v/>
      </c>
      <c r="D11" s="13" t="inlineStr">
        <is>
          <t>Vigor moderado</t>
        </is>
      </c>
      <c r="E11" s="13" t="inlineStr">
        <is>
          <t>Sobre umbral</t>
        </is>
      </c>
    </row>
    <row r="12">
      <c r="A12" s="7" t="inlineStr">
        <is>
          <t>0.3813 - 0.4976 · DN 3</t>
        </is>
      </c>
      <c r="B12" s="18" t="n">
        <v>12.4212</v>
      </c>
      <c r="C12" s="19">
        <f>ROUND(B12/$B$15*100,2)</f>
        <v/>
      </c>
      <c r="D12" s="11" t="inlineStr">
        <is>
          <t>Vigor bajo</t>
        </is>
      </c>
      <c r="E12" s="11" t="inlineStr">
        <is>
          <t>BAJO umbral 0.4976</t>
        </is>
      </c>
    </row>
    <row r="13">
      <c r="A13" s="14" t="inlineStr">
        <is>
          <t>0.2650 - 0.3813 · DN 2</t>
        </is>
      </c>
      <c r="B13" s="20" t="n">
        <v>0.4146</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1" t="inlineStr">
        <is>
          <t>TOTAL CLASIFICADO MSAVI 2024</t>
        </is>
      </c>
      <c r="B15" s="42">
        <f>SUM(B10:B14)</f>
        <v/>
      </c>
      <c r="C15" s="43">
        <f>SUM(C10:C14)</f>
        <v/>
      </c>
      <c r="D15" s="41" t="inlineStr">
        <is>
          <t>Suma de la distribución areal · 357 polígonos</t>
        </is>
      </c>
      <c r="E15" s="41" t="inlineStr">
        <is>
          <t>—</t>
        </is>
      </c>
    </row>
    <row r="16" ht="30" customHeight="1">
      <c r="A16" s="44" t="inlineStr">
        <is>
          <t>Superficie SOBRE umbral 0.4976 (ha)</t>
        </is>
      </c>
      <c r="B16" s="45">
        <f>SUM(B10:B11)</f>
        <v/>
      </c>
      <c r="C16" s="46">
        <f>ROUND(B16/B15*100,2)</f>
        <v/>
      </c>
      <c r="D16" s="44" t="inlineStr">
        <is>
          <t>Vigor alto y moderado (DN 4 y DN 5)</t>
        </is>
      </c>
      <c r="E16" s="44" t="inlineStr">
        <is>
          <t>Sobre umbral 0.4976</t>
        </is>
      </c>
    </row>
    <row r="17" ht="30" customHeight="1">
      <c r="A17" s="44" t="inlineStr">
        <is>
          <t>Superficie BAJO umbral 0.4976 (ha) — brecha</t>
        </is>
      </c>
      <c r="B17" s="45">
        <f>SUM(B12:B14)</f>
        <v/>
      </c>
      <c r="C17" s="46">
        <f>ROUND(B17/B15*100,2)</f>
        <v/>
      </c>
      <c r="D17" s="44" t="inlineStr">
        <is>
          <t>Vigor bajo, muy bajo y suelo desnudo (DN 1 a DN 3)</t>
        </is>
      </c>
      <c r="E17" s="44" t="inlineStr">
        <is>
          <t>Base para el indicador de brecha (R.M. N.° 00213-2024-MINAM)</t>
        </is>
      </c>
    </row>
    <row r="18" ht="30" customHeight="1">
      <c r="A18" s="44" t="inlineStr">
        <is>
          <t>Superficie de catálogo (V5/V6) — contraste MSAVI</t>
        </is>
      </c>
      <c r="B18" s="45" t="n">
        <v>109.86</v>
      </c>
      <c r="C18" s="47" t="inlineStr">
        <is>
          <t>—</t>
        </is>
      </c>
      <c r="D18" s="44" t="inlineStr">
        <is>
          <t>Desviación planimétrica frente al catálogo</t>
        </is>
      </c>
      <c r="E18" s="44" t="inlineStr">
        <is>
          <t>+0.00 %</t>
        </is>
      </c>
    </row>
    <row r="19">
      <c r="A19" s="16" t="inlineStr">
        <is>
          <t>MSAVI 2024 — MEDIA DEL BLOQUE</t>
        </is>
      </c>
      <c r="B19" s="17" t="n">
        <v>0.574527</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357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(0.5745) se conserva del catálogo maestro y es dato oficial; la fila resaltada indica la clase en la que cae dicha media. Los totales y porcentajes se calculan con fórmulas sobre las filas del cuadro.</t>
        </is>
      </c>
      <c r="B21" s="39" t="n"/>
      <c r="C21" s="39" t="n"/>
      <c r="D21" s="39" t="n"/>
      <c r="E21" s="40"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99.1632</v>
      </c>
      <c r="C25" s="19" t="n">
        <v>90.23999999999999</v>
      </c>
      <c r="D25" s="11" t="inlineStr">
        <is>
          <t>Dosel continuo, matorral denso o mosaico agroforestal</t>
        </is>
      </c>
      <c r="E25" s="11" t="inlineStr"/>
    </row>
    <row r="26">
      <c r="A26" s="14" t="inlineStr">
        <is>
          <t>Vegetación mediana</t>
        </is>
      </c>
      <c r="B26" s="20" t="n">
        <v>10.5789</v>
      </c>
      <c r="C26" s="21" t="n">
        <v>9.630000000000001</v>
      </c>
      <c r="D26" s="15" t="inlineStr">
        <is>
          <t>Pastizal cultivado, matorral ralo, parcelas agrícolas</t>
        </is>
      </c>
      <c r="E26" s="15" t="inlineStr"/>
    </row>
    <row r="27">
      <c r="A27" s="7" t="inlineStr">
        <is>
          <t>Vegetación ligera</t>
        </is>
      </c>
      <c r="B27" s="18" t="n">
        <v>0.1404</v>
      </c>
      <c r="C27" s="19" t="n">
        <v>0.13</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109.86</v>
      </c>
      <c r="C29" s="25" t="inlineStr">
        <is>
          <t>—</t>
        </is>
      </c>
      <c r="D29" s="25" t="inlineStr">
        <is>
          <t>Desviación planimétrica frente al catálogo</t>
        </is>
      </c>
      <c r="E29" s="25" t="inlineStr">
        <is>
          <t>+0.02 %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40 % frente a un 90.24 % del polígono clasificado como «Vegetación alta» por el NDVI 2025; la observación de campo corresponde a una parcela o recorrido puntual y no es estadísticamente representativa de las 109.860 ha del bloque.</t>
        </is>
      </c>
      <c r="B31" s="39" t="n"/>
      <c r="C31" s="39" t="n"/>
      <c r="D31" s="39" t="n"/>
      <c r="E31" s="40"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9</t>
        </is>
      </c>
    </row>
    <row r="6" ht="24" customHeight="1">
      <c r="A6" s="4" t="inlineStr">
        <is>
          <t>Levantamiento del 2026-08-11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t>
        </is>
      </c>
      <c r="B10" s="11" t="inlineStr">
        <is>
          <t>Sin puntos georreferenciados en la ficha DT</t>
        </is>
      </c>
      <c r="C10" s="11" t="inlineStr"/>
      <c r="D10" s="11" t="inlineStr"/>
      <c r="E10" s="11" t="inlineStr"/>
      <c r="F10" s="11" t="inlineStr"/>
      <c r="G10" s="11" t="inlineStr">
        <is>
          <t>No corresponde para este bloque</t>
        </is>
      </c>
    </row>
    <row r="12">
      <c r="A12" s="6" t="inlineStr">
        <is>
          <t>Centroide del bloque — UTM ESTE (m)</t>
        </is>
      </c>
      <c r="B12" s="7" t="n">
        <v>656578</v>
      </c>
      <c r="C12" s="6" t="inlineStr">
        <is>
          <t>Centroide del bloque — UTM NORTE (m)</t>
        </is>
      </c>
      <c r="D12" s="7" t="n">
        <v>9397762</v>
      </c>
      <c r="E12" s="8" t="n"/>
      <c r="F12" s="8" t="n"/>
      <c r="G12" s="8" t="n"/>
      <c r="H12" s="8" t="n"/>
    </row>
    <row r="13">
      <c r="A13" s="6" t="inlineStr">
        <is>
          <t>N.° de estaciones fotográficas declaradas</t>
        </is>
      </c>
      <c r="B13" s="7" t="inlineStr">
        <is>
          <t>Sin registro en la ficha DT</t>
        </is>
      </c>
      <c r="C13" s="6" t="inlineStr">
        <is>
          <t>Estaciones dentro del polígono</t>
        </is>
      </c>
      <c r="D13" s="7" t="inlineStr">
        <is>
          <t>Por determinar</t>
        </is>
      </c>
      <c r="E13" s="8" t="n"/>
      <c r="F13" s="8" t="n"/>
      <c r="G13" s="8" t="n"/>
      <c r="H13" s="8" t="n"/>
    </row>
    <row r="15" ht="84" customHeight="1">
      <c r="A15"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con predominio de pendientes muy fuertes (&gt;27° en el 93% del área), altamente susceptible a procesos erosivos si se pierde la cobertura vegetal.</t>
        </is>
      </c>
      <c r="B15" s="39" t="n"/>
      <c r="C15" s="39" t="n"/>
      <c r="D15" s="39" t="n"/>
      <c r="E15" s="39" t="n"/>
      <c r="F15" s="39" t="n"/>
      <c r="G15" s="40" t="n"/>
    </row>
  </sheetData>
  <mergeCells count="8">
    <mergeCell ref="A1:G1"/>
    <mergeCell ref="A8:G8"/>
    <mergeCell ref="A3:G3"/>
    <mergeCell ref="A6:G6"/>
    <mergeCell ref="A4:G4"/>
    <mergeCell ref="A2:G2"/>
    <mergeCell ref="A15:G15"/>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9</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9</t>
        </is>
      </c>
      <c r="B10" s="26" t="n">
        <v>109.86</v>
      </c>
      <c r="C10" s="27" t="n">
        <v>40.1</v>
      </c>
      <c r="D10" s="13" t="inlineStr">
        <is>
          <t>1529 – 2264</t>
        </is>
      </c>
      <c r="E10" s="13" t="n">
        <v>735</v>
      </c>
      <c r="F10" s="13" t="n">
        <v>34.82</v>
      </c>
      <c r="G10" s="28" t="n">
        <v>0.5745</v>
      </c>
      <c r="H10" s="27" t="n">
        <v>90.23999999999999</v>
      </c>
      <c r="I10" s="27" t="n">
        <v>11.68</v>
      </c>
    </row>
    <row r="11">
      <c r="A11" s="14" t="inlineStr">
        <is>
          <t>M22B1</t>
        </is>
      </c>
      <c r="B11" s="29" t="n">
        <v>55.17</v>
      </c>
      <c r="C11" s="21" t="n">
        <v>20.14</v>
      </c>
      <c r="D11" s="15" t="inlineStr">
        <is>
          <t>3216 – 3436</t>
        </is>
      </c>
      <c r="E11" s="15" t="n">
        <v>220</v>
      </c>
      <c r="F11" s="15" t="n">
        <v>19.98</v>
      </c>
      <c r="G11" s="20" t="n">
        <v>0.594</v>
      </c>
      <c r="H11" s="21" t="n">
        <v>91.05</v>
      </c>
      <c r="I11" s="21" t="n">
        <v>4.1</v>
      </c>
    </row>
    <row r="12">
      <c r="A12" s="7" t="inlineStr">
        <is>
          <t>35</t>
        </is>
      </c>
      <c r="B12" s="30" t="n">
        <v>30.8</v>
      </c>
      <c r="C12" s="19" t="n">
        <v>11.24</v>
      </c>
      <c r="D12" s="11" t="inlineStr">
        <is>
          <t>1376 – 1621</t>
        </is>
      </c>
      <c r="E12" s="11" t="n">
        <v>245</v>
      </c>
      <c r="F12" s="11" t="n">
        <v>33.66</v>
      </c>
      <c r="G12" s="18" t="n">
        <v>0.6245000000000001</v>
      </c>
      <c r="H12" s="19" t="n">
        <v>98.17</v>
      </c>
      <c r="I12" s="19" t="n">
        <v>1.19</v>
      </c>
    </row>
    <row r="13">
      <c r="A13" s="14" t="inlineStr">
        <is>
          <t>44</t>
        </is>
      </c>
      <c r="B13" s="29" t="n">
        <v>28.23</v>
      </c>
      <c r="C13" s="21" t="n">
        <v>10.3</v>
      </c>
      <c r="D13" s="15" t="inlineStr">
        <is>
          <t>3091 – 3277</t>
        </is>
      </c>
      <c r="E13" s="15" t="n">
        <v>186</v>
      </c>
      <c r="F13" s="15" t="n">
        <v>22.21</v>
      </c>
      <c r="G13" s="20" t="n">
        <v>0.5113</v>
      </c>
      <c r="H13" s="21" t="n">
        <v>83.84999999999999</v>
      </c>
      <c r="I13" s="21" t="n">
        <v>52.06</v>
      </c>
    </row>
    <row r="14">
      <c r="A14" s="7" t="inlineStr">
        <is>
          <t>43</t>
        </is>
      </c>
      <c r="B14" s="30" t="n">
        <v>23.17</v>
      </c>
      <c r="C14" s="19" t="n">
        <v>8.460000000000001</v>
      </c>
      <c r="D14" s="11" t="inlineStr">
        <is>
          <t>251 – 811</t>
        </is>
      </c>
      <c r="E14" s="11" t="n">
        <v>560</v>
      </c>
      <c r="F14" s="11" t="n">
        <v>31.39</v>
      </c>
      <c r="G14" s="18" t="n">
        <v>0.5515</v>
      </c>
      <c r="H14" s="19" t="n">
        <v>78.91</v>
      </c>
      <c r="I14" s="19" t="n">
        <v>21.28</v>
      </c>
    </row>
    <row r="15">
      <c r="A15" s="14" t="inlineStr">
        <is>
          <t>47</t>
        </is>
      </c>
      <c r="B15" s="29" t="n">
        <v>13.55</v>
      </c>
      <c r="C15" s="21" t="n">
        <v>4.95</v>
      </c>
      <c r="D15" s="15" t="inlineStr">
        <is>
          <t>2105 – 2333</t>
        </is>
      </c>
      <c r="E15" s="15" t="n">
        <v>228</v>
      </c>
      <c r="F15" s="15" t="n">
        <v>32.43</v>
      </c>
      <c r="G15" s="20" t="n">
        <v>0.5936</v>
      </c>
      <c r="H15" s="21" t="n">
        <v>91.26000000000001</v>
      </c>
      <c r="I15" s="21" t="n">
        <v>9.84</v>
      </c>
    </row>
    <row r="16">
      <c r="A16" s="7" t="inlineStr">
        <is>
          <t>67</t>
        </is>
      </c>
      <c r="B16" s="30" t="n">
        <v>13.18</v>
      </c>
      <c r="C16" s="19" t="n">
        <v>4.81</v>
      </c>
      <c r="D16" s="11" t="inlineStr">
        <is>
          <t>1575 – 1770</t>
        </is>
      </c>
      <c r="E16" s="11" t="n">
        <v>195</v>
      </c>
      <c r="F16" s="11" t="n">
        <v>30.33</v>
      </c>
      <c r="G16" s="18" t="n">
        <v>0.6052999999999999</v>
      </c>
      <c r="H16" s="19" t="n">
        <v>97.5</v>
      </c>
      <c r="I16" s="19" t="n">
        <v>2.12</v>
      </c>
    </row>
    <row r="17">
      <c r="A17" s="16" t="inlineStr">
        <is>
          <t>TOTAL / PROMEDIO</t>
        </is>
      </c>
      <c r="B17" s="31">
        <f>SUM(B10:B16)</f>
        <v/>
      </c>
      <c r="C17" s="23">
        <f>SUM(C10:C16)</f>
        <v/>
      </c>
      <c r="D17" s="17" t="inlineStr">
        <is>
          <t>251 – 3436</t>
        </is>
      </c>
      <c r="E17" s="17" t="inlineStr"/>
      <c r="F17" s="17">
        <f>ROUND(AVERAGE(F10:F16),2)</f>
        <v/>
      </c>
      <c r="G17" s="22">
        <f>ROUND(AVERAGE(G10:G16),4)</f>
        <v/>
      </c>
      <c r="H17" s="23">
        <f>ROUND(AVERAGE(H10:H16),2)</f>
        <v/>
      </c>
      <c r="I17" s="23">
        <f>ROUND(AVERAGE(I10:I16),2)</f>
        <v/>
      </c>
    </row>
    <row r="19" ht="84" customHeight="1">
      <c r="A19" s="9" t="inlineStr">
        <is>
          <t>LECTURA INTRAMICROCUENCA. El bloque 9 ocupa el puesto 1 de 7 por superficie dentro de la microcuenca C1076-Q9586 (40.10 % de las 273.96 ha preliminares de la microcuenca). Su pendiente promedio (34.82 %, clase «25-50% (Mod. escarpado)») es la 7.ª más baja de 7 y se sitúa por encima del promedio de la microcuenca (29.26 %). Su MSAVI 2024 (0.5745) es el 5.º de 7 y queda por debajo del promedio local (0.5793). Amplitud altitudinal del bloque: 735 m (1529–2264 msnm). El cuadro conserva todos los bloques catalogados en la microcuenca, incluidos los descartados en el tamizaje, para referencia del conjunto. Los bloques sin ficha DT figuran con sus parámetros de gabinete. BRECHA ESPECTRAL. El 11.68 % de la superficie del bloque (12.836 ha de 109.861 ha) se sitúa bajo el umbral MSAVI 0.4976, por debajo del promedio local de la microcuenca (14.61 %) calculado sobre los bloques con dato MSAVI disponible.</t>
        </is>
      </c>
      <c r="B19" s="39" t="n"/>
      <c r="C19" s="39" t="n"/>
      <c r="D19" s="39" t="n"/>
      <c r="E19" s="39" t="n"/>
      <c r="F19" s="39" t="n"/>
      <c r="G19" s="39" t="n"/>
      <c r="H19" s="39" t="n"/>
      <c r="I19" s="40"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39" t="n"/>
      <c r="C21" s="39" t="n"/>
      <c r="D21" s="39" t="n"/>
      <c r="E21" s="39" t="n"/>
      <c r="F21" s="39" t="n"/>
      <c r="G21" s="39" t="n"/>
      <c r="H21" s="39" t="n"/>
      <c r="I21" s="40"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48" t="inlineStr">
        <is>
          <t>AUTORIDAD NACIONAL DE INFRAESTRUCTURA - ANIN</t>
        </is>
      </c>
    </row>
    <row r="2">
      <c r="A2" s="48" t="inlineStr">
        <is>
          <t>DIRECCION DE INTERVENCIONES MULTISECTORIALES Y DE EMERGENCIA - DIME</t>
        </is>
      </c>
    </row>
    <row r="3">
      <c r="A3" s="48" t="inlineStr">
        <is>
          <t>SUBDIRECCION DE ESTUDIOS DE INVERSION - SESDI</t>
        </is>
      </c>
    </row>
    <row r="4">
      <c r="A4" s="49" t="inlineStr">
        <is>
          <t>PROYECTO IN PIURA | CUI 2669244 | Recuperacion del servicio de regulacion de riesgos naturales y de ecosistemas degradados - Cuenca Alta del Rio Piura</t>
        </is>
      </c>
    </row>
    <row r="5" ht="22" customHeight="1">
      <c r="A5" s="50" t="inlineStr">
        <is>
          <t>CONTROL DE CONSISTENCIA — BLOQUE 9</t>
        </is>
      </c>
    </row>
    <row r="6">
      <c r="A6" s="49" t="inlineStr">
        <is>
          <t>Cruce de la ficha de campo F-DT vigente con la ficha de resumen de gabinete y el catálogo maestro. Integración 2026-09-11 21:26:32.</t>
        </is>
      </c>
    </row>
    <row r="7">
      <c r="A7" s="51" t="inlineStr">
        <is>
          <t>DISCREPANCIAS Y VERIFICACIONES</t>
        </is>
      </c>
    </row>
    <row r="8">
      <c r="A8" s="52" t="inlineStr">
        <is>
          <t>Cod.</t>
        </is>
      </c>
      <c r="B8" s="52" t="inlineStr">
        <is>
          <t>Campo afectado</t>
        </is>
      </c>
      <c r="C8" s="52" t="inlineStr">
        <is>
          <t>Discrepancia observada</t>
        </is>
      </c>
      <c r="D8" s="52" t="inlineStr">
        <is>
          <t>Calificación</t>
        </is>
      </c>
      <c r="E8" s="52" t="inlineStr">
        <is>
          <t>Tratamiento adoptado</t>
        </is>
      </c>
    </row>
    <row r="9">
      <c r="A9" s="53" t="inlineStr">
        <is>
          <t>G-01</t>
        </is>
      </c>
      <c r="B9" s="53" t="inlineStr">
        <is>
          <t>Código de microcuenca</t>
        </is>
      </c>
      <c r="C9" s="53" t="inlineStr">
        <is>
          <t>Ficha DT y catálogo maestro coinciden en «C1076-Q9586».</t>
        </is>
      </c>
      <c r="D9" s="53" t="inlineStr">
        <is>
          <t>CONFORME</t>
        </is>
      </c>
      <c r="E9" s="53" t="inlineStr">
        <is>
          <t>Sin acción.</t>
        </is>
      </c>
    </row>
    <row r="10">
      <c r="A10" s="54" t="inlineStr">
        <is>
          <t>G-02</t>
        </is>
      </c>
      <c r="B10" s="54" t="inlineStr">
        <is>
          <t>UTM del punto de muestreo</t>
        </is>
      </c>
      <c r="C10" s="54" t="inlineStr">
        <is>
          <t>No es posible contrastar el punto de muestreo con el centroide: falta una de las dos coordenadas.</t>
        </is>
      </c>
      <c r="D10" s="54" t="inlineStr">
        <is>
          <t>SUSTANTIVA</t>
        </is>
      </c>
      <c r="E10" s="54" t="inlineStr">
        <is>
          <t>Debe consignarse la coordenada del punto de muestreo en F-DT-01.</t>
        </is>
      </c>
    </row>
    <row r="11">
      <c r="A11" s="53" t="inlineStr">
        <is>
          <t>G-03</t>
        </is>
      </c>
      <c r="B11" s="53" t="inlineStr">
        <is>
          <t>Sistema de referencia UTM 17S</t>
        </is>
      </c>
      <c r="C11" s="53" t="inlineStr">
        <is>
          <t>Verificación de rango para EPSG:32717: Conforme.</t>
        </is>
      </c>
      <c r="D11" s="53" t="inlineStr">
        <is>
          <t>CONFORME</t>
        </is>
      </c>
      <c r="E11" s="53" t="inlineStr">
        <is>
          <t>Sin acción.</t>
        </is>
      </c>
    </row>
    <row r="12">
      <c r="A12" s="54" t="inlineStr">
        <is>
          <t>G-04</t>
        </is>
      </c>
      <c r="B12" s="54" t="inlineStr">
        <is>
          <t>Altitud del punto de muestreo</t>
        </is>
      </c>
      <c r="C12" s="54" t="inlineStr">
        <is>
          <t>La altitud GPS (1896 msnm) cae dentro del rango altitudinal del bloque (1529 - 2264 msnm).</t>
        </is>
      </c>
      <c r="D12" s="54" t="inlineStr">
        <is>
          <t>CONFORME</t>
        </is>
      </c>
      <c r="E12" s="54" t="inlineStr">
        <is>
          <t>Sin acción.</t>
        </is>
      </c>
    </row>
    <row r="13">
      <c r="A13" s="53" t="inlineStr">
        <is>
          <t>G-05</t>
        </is>
      </c>
      <c r="B13" s="53" t="inlineStr">
        <is>
          <t>Superficie NDVI vs. catálogo</t>
        </is>
      </c>
      <c r="C13" s="53" t="inlineStr">
        <is>
          <t>La superficie clasificada por el NDVI mediana 2025 (109.882 ha) se desvía 0.02 % de la superficie de catálogo (109.86 ha).</t>
        </is>
      </c>
      <c r="D13" s="53" t="inlineStr">
        <is>
          <t>CONFORME</t>
        </is>
      </c>
      <c r="E13" s="53" t="inlineStr">
        <is>
          <t>Sin acción: la segmentación valida la geometría del bloque.</t>
        </is>
      </c>
    </row>
    <row r="14">
      <c r="A14" s="54" t="inlineStr">
        <is>
          <t>G-06</t>
        </is>
      </c>
      <c r="B14" s="54" t="inlineStr">
        <is>
          <t>Superficie MSAVI vs. catálogo</t>
        </is>
      </c>
      <c r="C14" s="54" t="inlineStr">
        <is>
          <t>La superficie clasificada por el MSAVI 2024 (109.861 ha) se desvía 0.00 % de la superficie de catálogo (109.86 ha).</t>
        </is>
      </c>
      <c r="D14" s="54" t="inlineStr">
        <is>
          <t>CONFORME</t>
        </is>
      </c>
      <c r="E14" s="54" t="inlineStr">
        <is>
          <t>Sin acción: la segmentación valida la geometría del bloque.</t>
        </is>
      </c>
    </row>
    <row r="15">
      <c r="A15" s="53" t="inlineStr">
        <is>
          <t>G-07</t>
        </is>
      </c>
      <c r="B15" s="53" t="inlineStr">
        <is>
          <t>Brecha espectral MSAVI</t>
        </is>
      </c>
      <c r="C15" s="53" t="inlineStr">
        <is>
          <t>El 11.68 % del bloque queda bajo el umbral 0.4976; superficie de brecha 12.84 ha.</t>
        </is>
      </c>
      <c r="D15" s="53" t="inlineStr">
        <is>
          <t>CONFORME</t>
        </is>
      </c>
      <c r="E15" s="53" t="inlineStr">
        <is>
          <t>Sin acción: alimenta el indicador de brecha del proyecto.</t>
        </is>
      </c>
    </row>
    <row r="16">
      <c r="A16" s="54" t="inlineStr">
        <is>
          <t>G-08</t>
        </is>
      </c>
      <c r="B16" s="54" t="inlineStr">
        <is>
          <t>Distribución areal MSAVI 2024</t>
        </is>
      </c>
      <c r="C16" s="54" t="inlineStr">
        <is>
          <t>La hoja de cobertura declara 5 clases DN con superficie, 109.86 ha clasificadas en total.</t>
        </is>
      </c>
      <c r="D16" s="54" t="inlineStr">
        <is>
          <t>CONFORME</t>
        </is>
      </c>
      <c r="E16" s="54" t="inlineStr">
        <is>
          <t>Sin acción: procede de la estadística zonal del raster MSAVI 2024 clasificado.</t>
        </is>
      </c>
    </row>
    <row r="17">
      <c r="A17" s="53" t="inlineStr">
        <is>
          <t>G-09</t>
        </is>
      </c>
      <c r="B17" s="53" t="inlineStr">
        <is>
          <t>Media MSAVI vs. clase DN dominante</t>
        </is>
      </c>
      <c r="C17" s="53" t="inlineStr">
        <is>
          <t>La media del bloque (0.5745) cae en la clase «0.4976 - 0.6139 (Vigor moderado)» y la clase DN dominante por superficie es «DN 4 · 0.4976 - 0.6139 (Vigor moderado)».</t>
        </is>
      </c>
      <c r="D17" s="53" t="inlineStr">
        <is>
          <t>CONFORME</t>
        </is>
      </c>
      <c r="E17" s="53" t="inlineStr">
        <is>
          <t>Sin acción: media y clase dominante son coherentes.</t>
        </is>
      </c>
    </row>
    <row r="18">
      <c r="A18" s="54" t="inlineStr">
        <is>
          <t>G-10</t>
        </is>
      </c>
      <c r="B18" s="54" t="inlineStr">
        <is>
          <t>Peligro integrado (MCA-AHP)</t>
        </is>
      </c>
      <c r="C18" s="54" t="inlineStr">
        <is>
          <t>El nivel de peligro integrado no está disponible en los insumos de este entregable.</t>
        </is>
      </c>
      <c r="D18" s="54" t="inlineStr">
        <is>
          <t>SUSTANTIVA</t>
        </is>
      </c>
      <c r="E18" s="54" t="inlineStr">
        <is>
          <t>Debe tomarse del modelamiento de mesolocalización (MCA-AHP de PMM, EPH y PGI) antes de cerrar el perfil.</t>
        </is>
      </c>
    </row>
    <row r="19">
      <c r="A19" s="53" t="inlineStr">
        <is>
          <t>F-01</t>
        </is>
      </c>
      <c r="B19" s="53" t="inlineStr">
        <is>
          <t>Fichas F-DT levantadas</t>
        </is>
      </c>
      <c r="C19" s="53" t="inlineStr">
        <is>
          <t>La plantilla de campo trae las cinco fichas F-DT-01 a F-DT-05 (completitud 100.0 % de los campos esperados).</t>
        </is>
      </c>
      <c r="D19" s="53" t="inlineStr">
        <is>
          <t>CONFORME</t>
        </is>
      </c>
      <c r="E19" s="53" t="inlineStr">
        <is>
          <t>Sin acción.</t>
        </is>
      </c>
    </row>
    <row r="20">
      <c r="A20" s="54" t="inlineStr">
        <is>
          <t>F-02</t>
        </is>
      </c>
      <c r="B20" s="54" t="inlineStr">
        <is>
          <t>Cobertura de la integración</t>
        </is>
      </c>
      <c r="C20" s="54" t="inlineStr">
        <is>
          <t>Se declararon 109 de 114 hechos integrados (95.6 %); 5 quedan sin dato en ninguna fuente.</t>
        </is>
      </c>
      <c r="D20" s="54" t="inlineStr">
        <is>
          <t>CONFORME</t>
        </is>
      </c>
      <c r="E20" s="54" t="inlineStr">
        <is>
          <t>Sin acción.</t>
        </is>
      </c>
    </row>
    <row r="21">
      <c r="A21" s="53" t="inlineStr">
        <is>
          <t>H-01</t>
        </is>
      </c>
      <c r="B21" s="53" t="inlineStr">
        <is>
          <t>Rango de pendiente dominante</t>
        </is>
      </c>
      <c r="C21" s="53" t="inlineStr">
        <is>
          <t>La ficha DT declara «50-75% (Escarpado)»; la estadística zonal sobre el MDE arroja una pendiente promedio de 34.82 %, que corresponde a la clase «25-50% (Mod. escarpado)»</t>
        </is>
      </c>
      <c r="D21" s="53" t="inlineStr">
        <is>
          <t>NO SUSTANTIVA</t>
        </is>
      </c>
      <c r="E21" s="53"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4" t="inlineStr">
        <is>
          <t>H-02</t>
        </is>
      </c>
      <c r="B22" s="54" t="inlineStr">
        <is>
          <t>Cobertura vegetal total</t>
        </is>
      </c>
      <c r="C22" s="54" t="inlineStr">
        <is>
          <t>La ficha DT estima 40 % de cobertura vegetal en campo; el NDVI mediana 2025 clasifica 100.00 % del polígono en clases de vegetación</t>
        </is>
      </c>
      <c r="D22" s="54" t="inlineStr">
        <is>
          <t>NO SUSTANTIVA</t>
        </is>
      </c>
      <c r="E22" s="54"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3" t="inlineStr">
        <is>
          <t>H-03</t>
        </is>
      </c>
      <c r="B23" s="53" t="inlineStr">
        <is>
          <t>Elenco florístico</t>
        </is>
      </c>
      <c r="C23" s="53" t="inlineStr">
        <is>
          <t>La ficha registra 11 taxones, por debajo del mínimo de 15 que exige el formato V5</t>
        </is>
      </c>
      <c r="D23" s="53" t="inlineStr">
        <is>
          <t>SUSTANTIVA</t>
        </is>
      </c>
      <c r="E23" s="53" t="inlineStr">
        <is>
          <t>Registro florístico preliminar, sin colecta ni determinación botánica formal. Debe cerrarse con colecta botánica en la siguiente campaña. (Verificación heredada de la ficha de resumen V6.)</t>
        </is>
      </c>
    </row>
    <row r="24">
      <c r="A24" s="54" t="inlineStr">
        <is>
          <t>H-04</t>
        </is>
      </c>
      <c r="B24" s="54" t="inlineStr">
        <is>
          <t>Centro poblado asociado</t>
        </is>
      </c>
      <c r="C24" s="54" t="inlineStr">
        <is>
          <t>La ficha DT declara «San Miguel de El Faique (sector La Unión)»; el cruce INEI-Bloques V5 identifica 2 centro(s) poblado(s) en el bloque: EL HIGUERON, LA CAPILLA</t>
        </is>
      </c>
      <c r="D24" s="54" t="inlineStr">
        <is>
          <t>CONFORME</t>
        </is>
      </c>
      <c r="E24" s="54" t="inlineStr">
        <is>
          <t>Se conserva el registro de campo como referencia y se adopta el listado INEI para el diagnóstico social y el cálculo de población beneficiaria. (Verificación heredada de la ficha de resumen V6.)</t>
        </is>
      </c>
    </row>
    <row r="26">
      <c r="A26" s="55" t="inlineStr">
        <is>
          <t>RESUMEN</t>
        </is>
      </c>
      <c r="B26" s="56" t="inlineStr">
        <is>
          <t>16 verificaciones</t>
        </is>
      </c>
      <c r="C26" s="56" t="inlineStr">
        <is>
          <t>SUSTANTIVA: 3 · NO SUSTANTIVA: 2 · CONFORME: 11</t>
        </is>
      </c>
    </row>
    <row r="28">
      <c r="A28" s="57"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48" t="inlineStr">
        <is>
          <t>AUTORIDAD NACIONAL DE INFRAESTRUCTURA - ANIN</t>
        </is>
      </c>
    </row>
    <row r="2">
      <c r="A2" s="48" t="inlineStr">
        <is>
          <t>DIRECCION DE INTERVENCIONES MULTISECTORIALES Y DE EMERGENCIA - DIME</t>
        </is>
      </c>
    </row>
    <row r="3">
      <c r="A3" s="48" t="inlineStr">
        <is>
          <t>SUBDIRECCION DE ESTUDIOS DE INVERSION - SESDI</t>
        </is>
      </c>
    </row>
    <row r="4">
      <c r="A4" s="49" t="inlineStr">
        <is>
          <t>PROYECTO IN PIURA | CUI 2669244 | Recuperacion del servicio de regulacion de riesgos naturales y de ecosistemas degradados - Cuenca Alta del Rio Piura</t>
        </is>
      </c>
    </row>
    <row r="5" ht="22" customHeight="1">
      <c r="A5" s="50" t="inlineStr">
        <is>
          <t>INTEGRACIÓN DE LA FICHA DE CAMPO — BLOQUE 9</t>
        </is>
      </c>
    </row>
    <row r="7">
      <c r="A7" s="51" t="inlineStr">
        <is>
          <t>A. HECHOS ACTUALIZADOS POR LA VERIFICACIÓN DE CAMPO</t>
        </is>
      </c>
    </row>
    <row r="8">
      <c r="A8" s="52" t="inlineStr">
        <is>
          <t>Sección</t>
        </is>
      </c>
      <c r="B8" s="52" t="inlineStr">
        <is>
          <t>Hecho</t>
        </is>
      </c>
      <c r="C8" s="52" t="inlineStr">
        <is>
          <t>Valor en la ficha V6</t>
        </is>
      </c>
      <c r="D8" s="52" t="inlineStr">
        <is>
          <t>Valor de campo vigente</t>
        </is>
      </c>
      <c r="E8" s="52" t="inlineStr">
        <is>
          <t>Fuente que manda</t>
        </is>
      </c>
    </row>
    <row r="9">
      <c r="A9" s="53" t="inlineStr">
        <is>
          <t>—</t>
        </is>
      </c>
      <c r="B9" s="53" t="inlineStr">
        <is>
          <t>Sin cambios: la ficha de campo confirma el libro V6</t>
        </is>
      </c>
      <c r="C9" s="53" t="inlineStr"/>
      <c r="D9" s="53" t="inlineStr"/>
      <c r="E9" s="53" t="inlineStr"/>
    </row>
    <row r="11">
      <c r="A11" s="51" t="inlineStr">
        <is>
          <t>B. HECHOS APORTADOS ÚNICAMENTE POR LA FICHA DE CAMPO</t>
        </is>
      </c>
    </row>
    <row r="12">
      <c r="A12" s="52" t="inlineStr">
        <is>
          <t>Sección</t>
        </is>
      </c>
      <c r="B12" s="52" t="inlineStr">
        <is>
          <t>Hecho</t>
        </is>
      </c>
      <c r="C12" s="52" t="inlineStr">
        <is>
          <t>Valor</t>
        </is>
      </c>
      <c r="D12" s="52" t="inlineStr">
        <is>
          <t>Unidad</t>
        </is>
      </c>
    </row>
    <row r="13">
      <c r="A13" s="53" t="inlineStr">
        <is>
          <t>1. Identificación y localización</t>
        </is>
      </c>
      <c r="B13" s="53" t="inlineStr">
        <is>
          <t>UTM ESTE del punto de muestreo (m)</t>
        </is>
      </c>
      <c r="C13" s="53" t="inlineStr">
        <is>
          <t>Por registrar</t>
        </is>
      </c>
      <c r="D13" s="53" t="inlineStr">
        <is>
          <t>m</t>
        </is>
      </c>
    </row>
    <row r="14">
      <c r="A14" s="54" t="inlineStr">
        <is>
          <t>1. Identificación y localización</t>
        </is>
      </c>
      <c r="B14" s="54" t="inlineStr">
        <is>
          <t>UTM NORTE del punto de muestreo (m)</t>
        </is>
      </c>
      <c r="C14" s="54" t="inlineStr">
        <is>
          <t>Por registrar</t>
        </is>
      </c>
      <c r="D14" s="54" t="inlineStr">
        <is>
          <t>m</t>
        </is>
      </c>
    </row>
    <row r="15">
      <c r="A15" s="53" t="inlineStr">
        <is>
          <t>2. Parámetros físicos del terreno</t>
        </is>
      </c>
      <c r="B15" s="53" t="inlineStr">
        <is>
          <t>Altitud GPS del punto de muestreo (msnm)</t>
        </is>
      </c>
      <c r="C15" s="53" t="inlineStr">
        <is>
          <t>1896.5</t>
        </is>
      </c>
      <c r="D15" s="53" t="inlineStr">
        <is>
          <t>msnm</t>
        </is>
      </c>
    </row>
    <row r="16">
      <c r="A16" s="54" t="inlineStr">
        <is>
          <t>2. Parámetros físicos del terreno</t>
        </is>
      </c>
      <c r="B16" s="54" t="inlineStr">
        <is>
          <t>Piso altitudinal del punto de muestreo</t>
        </is>
      </c>
      <c r="C16" s="54" t="inlineStr">
        <is>
          <t>1500-2000 m (Quechua media)</t>
        </is>
      </c>
      <c r="D16" s="54" t="inlineStr"/>
    </row>
    <row r="17">
      <c r="A17" s="53" t="inlineStr">
        <is>
          <t>2. Parámetros físicos del terreno</t>
        </is>
      </c>
      <c r="B17" s="53" t="inlineStr">
        <is>
          <t>Paisaje dominante descrito en campo</t>
        </is>
      </c>
      <c r="C17" s="53" t="inlineStr">
        <is>
          <t>Montaña con vertiente montañosa empinada a escarpada, sobre geología plutónica (Granodiorita de la Unidad Carrizal).</t>
        </is>
      </c>
      <c r="D17" s="53" t="inlineStr"/>
    </row>
    <row r="18">
      <c r="A18" s="54" t="inlineStr">
        <is>
          <t>2. Parámetros físicos del terreno</t>
        </is>
      </c>
      <c r="B18" s="54" t="inlineStr">
        <is>
          <t>Reptación de suelo</t>
        </is>
      </c>
      <c r="C18" s="54" t="inlineStr">
        <is>
          <t>No</t>
        </is>
      </c>
      <c r="D18" s="54" t="inlineStr"/>
    </row>
    <row r="19">
      <c r="A19" s="53" t="inlineStr">
        <is>
          <t>2. Parámetros físicos del terreno</t>
        </is>
      </c>
      <c r="B19" s="53" t="inlineStr">
        <is>
          <t>Deslizamientos antiguos</t>
        </is>
      </c>
      <c r="C19" s="53" t="inlineStr">
        <is>
          <t>No</t>
        </is>
      </c>
      <c r="D19" s="53" t="inlineStr"/>
    </row>
    <row r="20">
      <c r="A20" s="54" t="inlineStr">
        <is>
          <t>4. Suelos y erosión (F-DT-02)</t>
        </is>
      </c>
      <c r="B20" s="54" t="inlineStr">
        <is>
          <t>Nivel de erosión - síntesis de campo</t>
        </is>
      </c>
      <c r="C20" s="54" t="inlineStr">
        <is>
          <t>Moderada (surcos)</t>
        </is>
      </c>
      <c r="D20" s="54" t="inlineStr"/>
    </row>
    <row r="21">
      <c r="A21" s="53" t="inlineStr">
        <is>
          <t>4. Suelos y erosión (F-DT-02)</t>
        </is>
      </c>
      <c r="B21" s="53" t="inlineStr">
        <is>
          <t>Sellamiento / costra superficial</t>
        </is>
      </c>
      <c r="C21" s="53" t="inlineStr">
        <is>
          <t>No</t>
        </is>
      </c>
      <c r="D21" s="53" t="inlineStr"/>
    </row>
    <row r="22">
      <c r="A22" s="54" t="inlineStr">
        <is>
          <t>4. Suelos y erosión (F-DT-02)</t>
        </is>
      </c>
      <c r="B22" s="54" t="inlineStr">
        <is>
          <t>Compactación por pisoteo</t>
        </is>
      </c>
      <c r="C22" s="54" t="inlineStr">
        <is>
          <t>Sí</t>
        </is>
      </c>
      <c r="D22" s="54" t="inlineStr"/>
    </row>
    <row r="23">
      <c r="A23" s="53" t="inlineStr">
        <is>
          <t>4. Suelos y erosión (F-DT-02)</t>
        </is>
      </c>
      <c r="B23" s="53" t="inlineStr">
        <is>
          <t>Raíces expuestas</t>
        </is>
      </c>
      <c r="C23" s="53" t="inlineStr">
        <is>
          <t>Sí</t>
        </is>
      </c>
      <c r="D23" s="53" t="inlineStr"/>
    </row>
    <row r="24">
      <c r="A24" s="54" t="inlineStr">
        <is>
          <t>4. Suelos y erosión (F-DT-02)</t>
        </is>
      </c>
      <c r="B24" s="54" t="inlineStr">
        <is>
          <t>Longitud total de cárcavas (m)</t>
        </is>
      </c>
      <c r="C24" s="54" t="inlineStr">
        <is>
          <t>0</t>
        </is>
      </c>
      <c r="D24" s="54" t="inlineStr">
        <is>
          <t>m</t>
        </is>
      </c>
    </row>
    <row r="25">
      <c r="A25" s="53" t="inlineStr">
        <is>
          <t>4. Suelos y erosión (F-DT-02)</t>
        </is>
      </c>
      <c r="B25" s="53" t="inlineStr">
        <is>
          <t>% del bloque afectado por cárcavas</t>
        </is>
      </c>
      <c r="C25" s="53" t="inlineStr">
        <is>
          <t>0</t>
        </is>
      </c>
      <c r="D25" s="53" t="inlineStr">
        <is>
          <t>%</t>
        </is>
      </c>
    </row>
    <row r="26">
      <c r="A26" s="54" t="inlineStr">
        <is>
          <t>4. Suelos y erosión (F-DT-02)</t>
        </is>
      </c>
      <c r="B26" s="54" t="inlineStr">
        <is>
          <t>Erosión laminar (% del bloque)</t>
        </is>
      </c>
      <c r="C26" s="54" t="inlineStr">
        <is>
          <t>15</t>
        </is>
      </c>
      <c r="D26" s="54" t="inlineStr">
        <is>
          <t>%</t>
        </is>
      </c>
    </row>
    <row r="27">
      <c r="A27" s="53" t="inlineStr">
        <is>
          <t>4. Suelos y erosión (F-DT-02)</t>
        </is>
      </c>
      <c r="B27" s="53" t="inlineStr">
        <is>
          <t>Patrón de cárcavas</t>
        </is>
      </c>
      <c r="C27" s="53" t="inlineStr">
        <is>
          <t>No aplica</t>
        </is>
      </c>
      <c r="D27" s="53" t="inlineStr"/>
    </row>
    <row r="28">
      <c r="A28" s="54" t="inlineStr">
        <is>
          <t>4. Suelos y erosión (F-DT-02)</t>
        </is>
      </c>
      <c r="B28" s="54" t="inlineStr">
        <is>
          <t>Socavamiento de cauce</t>
        </is>
      </c>
      <c r="C28" s="54" t="inlineStr">
        <is>
          <t>No</t>
        </is>
      </c>
      <c r="D28" s="54" t="inlineStr"/>
    </row>
    <row r="29">
      <c r="A29" s="53" t="inlineStr">
        <is>
          <t>5. Ecosistema, cobertura y flora (F-DT-03)</t>
        </is>
      </c>
      <c r="B29" s="53" t="inlineStr">
        <is>
          <t>Cobertura del dosel (%)</t>
        </is>
      </c>
      <c r="C29" s="53" t="inlineStr">
        <is>
          <t>30</t>
        </is>
      </c>
      <c r="D29" s="53" t="inlineStr">
        <is>
          <t>%</t>
        </is>
      </c>
    </row>
    <row r="30">
      <c r="A30" s="54" t="inlineStr">
        <is>
          <t>5. Ecosistema, cobertura y flora (F-DT-03)</t>
        </is>
      </c>
      <c r="B30" s="54" t="inlineStr">
        <is>
          <t>Cobertura arbustiva (%)</t>
        </is>
      </c>
      <c r="C30" s="54" t="inlineStr">
        <is>
          <t>20</t>
        </is>
      </c>
      <c r="D30" s="54" t="inlineStr">
        <is>
          <t>%</t>
        </is>
      </c>
    </row>
    <row r="31">
      <c r="A31" s="53" t="inlineStr">
        <is>
          <t>5. Ecosistema, cobertura y flora (F-DT-03)</t>
        </is>
      </c>
      <c r="B31" s="53" t="inlineStr">
        <is>
          <t>Cobertura herbácea (%)</t>
        </is>
      </c>
      <c r="C31" s="53" t="inlineStr">
        <is>
          <t>15</t>
        </is>
      </c>
      <c r="D31" s="53" t="inlineStr">
        <is>
          <t>%</t>
        </is>
      </c>
    </row>
    <row r="32">
      <c r="A32" s="54" t="inlineStr">
        <is>
          <t>5. Ecosistema, cobertura y flora (F-DT-03)</t>
        </is>
      </c>
      <c r="B32" s="54" t="inlineStr">
        <is>
          <t>Cobertura de hojarasca (%)</t>
        </is>
      </c>
      <c r="C32" s="54" t="inlineStr">
        <is>
          <t>10</t>
        </is>
      </c>
      <c r="D32" s="54" t="inlineStr">
        <is>
          <t>%</t>
        </is>
      </c>
    </row>
    <row r="33">
      <c r="A33" s="53" t="inlineStr">
        <is>
          <t>5. Ecosistema, cobertura y flora (F-DT-03)</t>
        </is>
      </c>
      <c r="B33" s="53" t="inlineStr">
        <is>
          <t>Altura del estrato dominante (m)</t>
        </is>
      </c>
      <c r="C33" s="53" t="inlineStr">
        <is>
          <t>8</t>
        </is>
      </c>
      <c r="D33" s="53" t="inlineStr">
        <is>
          <t>m</t>
        </is>
      </c>
    </row>
    <row r="34">
      <c r="A34" s="54" t="inlineStr">
        <is>
          <t>5. Ecosistema, cobertura y flora (F-DT-03)</t>
        </is>
      </c>
      <c r="B34" s="54" t="inlineStr">
        <is>
          <t>Altura máxima registrada (m)</t>
        </is>
      </c>
      <c r="C34" s="54" t="inlineStr">
        <is>
          <t>12</t>
        </is>
      </c>
      <c r="D34" s="54" t="inlineStr">
        <is>
          <t>m</t>
        </is>
      </c>
    </row>
    <row r="35">
      <c r="A35" s="53" t="inlineStr">
        <is>
          <t>5. Ecosistema, cobertura y flora (F-DT-03)</t>
        </is>
      </c>
      <c r="B35" s="53" t="inlineStr">
        <is>
          <t>DAP promedio (cm)</t>
        </is>
      </c>
      <c r="C35" s="53" t="inlineStr">
        <is>
          <t>15</t>
        </is>
      </c>
      <c r="D35" s="53" t="inlineStr">
        <is>
          <t>cm</t>
        </is>
      </c>
    </row>
    <row r="36">
      <c r="A36" s="54" t="inlineStr">
        <is>
          <t>5. Ecosistema, cobertura y flora (F-DT-03)</t>
        </is>
      </c>
      <c r="B36" s="54" t="inlineStr">
        <is>
          <t>Presencia de epífitas</t>
        </is>
      </c>
      <c r="C36" s="54" t="inlineStr">
        <is>
          <t>Escasa</t>
        </is>
      </c>
      <c r="D36" s="54" t="inlineStr"/>
    </row>
    <row r="37">
      <c r="A37" s="53" t="inlineStr">
        <is>
          <t>5. Ecosistema, cobertura y flora (F-DT-03)</t>
        </is>
      </c>
      <c r="B37" s="53" t="inlineStr">
        <is>
          <t>Fenología dominante</t>
        </is>
      </c>
      <c r="C37" s="53" t="inlineStr">
        <is>
          <t>Vegetativo</t>
        </is>
      </c>
      <c r="D37" s="53" t="inlineStr"/>
    </row>
    <row r="38">
      <c r="A38" s="54" t="inlineStr">
        <is>
          <t>5. Ecosistema, cobertura y flora (F-DT-03)</t>
        </is>
      </c>
      <c r="B38" s="54" t="inlineStr">
        <is>
          <t>Dimensiones de la parcela (m)</t>
        </is>
      </c>
      <c r="C38" s="54" t="inlineStr">
        <is>
          <t>20x20</t>
        </is>
      </c>
      <c r="D38" s="54" t="inlineStr"/>
    </row>
    <row r="39">
      <c r="A39" s="53" t="inlineStr">
        <is>
          <t>5. Ecosistema, cobertura y flora (F-DT-03)</t>
        </is>
      </c>
      <c r="B39" s="53" t="inlineStr">
        <is>
          <t>Pendiente de la parcela (%)</t>
        </is>
      </c>
      <c r="C39" s="53" t="inlineStr">
        <is>
          <t>69</t>
        </is>
      </c>
      <c r="D39" s="53" t="inlineStr">
        <is>
          <t>%</t>
        </is>
      </c>
    </row>
    <row r="40">
      <c r="A40" s="54" t="inlineStr">
        <is>
          <t>5. Ecosistema, cobertura y flora (F-DT-03)</t>
        </is>
      </c>
      <c r="B40" s="54" t="inlineStr">
        <is>
          <t>Especies clave georreferenciadas</t>
        </is>
      </c>
      <c r="C40" s="54" t="inlineStr">
        <is>
          <t>5</t>
        </is>
      </c>
      <c r="D40" s="54" t="inlineStr"/>
    </row>
    <row r="41">
      <c r="A41" s="53" t="inlineStr">
        <is>
          <t>6. Degradación, causas y urgencia (F-DT-04)</t>
        </is>
      </c>
      <c r="B41" s="53" t="inlineStr">
        <is>
          <t>Causas directas de la degradación</t>
        </is>
      </c>
      <c r="C41" s="53" t="inlineStr">
        <is>
          <t>La expansión de la agricultura de secano en laderas con pendientes muy fuertes (&gt;50%) y el pastoreo extensivo son los principales motores de degradación, generando pérdida de cobertura vegetal y exposición del suelo a la erosión hídrica.</t>
        </is>
      </c>
      <c r="D41" s="53" t="inlineStr"/>
    </row>
    <row r="42">
      <c r="A42" s="54" t="inlineStr">
        <is>
          <t>6. Degradación, causas y urgencia (F-DT-04)</t>
        </is>
      </c>
      <c r="B42" s="54" t="inlineStr">
        <is>
          <t>N.° de causas activas en la matriz F-DT-04</t>
        </is>
      </c>
      <c r="C42" s="54" t="inlineStr">
        <is>
          <t>2</t>
        </is>
      </c>
      <c r="D42" s="54" t="inlineStr"/>
    </row>
    <row r="43">
      <c r="A43" s="53" t="inlineStr">
        <is>
          <t>7. Hidrología, acceso y logística (F-DT-05)</t>
        </is>
      </c>
      <c r="B43" s="53" t="inlineStr">
        <is>
          <t>Escorrentía concentrada</t>
        </is>
      </c>
      <c r="C43" s="53" t="inlineStr">
        <is>
          <t>Sí</t>
        </is>
      </c>
      <c r="D43" s="53" t="inlineStr"/>
    </row>
    <row r="44">
      <c r="A44" s="54" t="inlineStr">
        <is>
          <t>7. Hidrología, acceso y logística (F-DT-05)</t>
        </is>
      </c>
      <c r="B44" s="54" t="inlineStr">
        <is>
          <t>Distancia a captación (m)</t>
        </is>
      </c>
      <c r="C44" s="54" t="inlineStr">
        <is>
          <t>1500</t>
        </is>
      </c>
      <c r="D44" s="54" t="inlineStr">
        <is>
          <t>m</t>
        </is>
      </c>
    </row>
    <row r="45">
      <c r="A45" s="53" t="inlineStr">
        <is>
          <t>7. Hidrología, acceso y logística (F-DT-05)</t>
        </is>
      </c>
      <c r="B45" s="53" t="inlineStr">
        <is>
          <t>JASS / usuario de la captación</t>
        </is>
      </c>
      <c r="C45" s="53" t="inlineStr">
        <is>
          <t>No identificada en campo</t>
        </is>
      </c>
      <c r="D45" s="53" t="inlineStr"/>
    </row>
    <row r="46">
      <c r="A46" s="54" t="inlineStr">
        <is>
          <t>7. Hidrología, acceso y logística (F-DT-05)</t>
        </is>
      </c>
      <c r="B46" s="54" t="inlineStr">
        <is>
          <t>Interferencia con riego</t>
        </is>
      </c>
      <c r="C46" s="54" t="inlineStr">
        <is>
          <t>No</t>
        </is>
      </c>
      <c r="D46" s="54" t="inlineStr"/>
    </row>
    <row r="47">
      <c r="A47" s="53" t="inlineStr">
        <is>
          <t>7. Hidrología, acceso y logística (F-DT-05)</t>
        </is>
      </c>
      <c r="B47" s="53" t="inlineStr">
        <is>
          <t>Vía principal de acceso</t>
        </is>
      </c>
      <c r="C47" s="53" t="inlineStr">
        <is>
          <t>Departamental afirmada</t>
        </is>
      </c>
      <c r="D47" s="53" t="inlineStr"/>
    </row>
    <row r="48">
      <c r="A48" s="54" t="inlineStr">
        <is>
          <t>7. Hidrología, acceso y logística (F-DT-05)</t>
        </is>
      </c>
      <c r="B48" s="54" t="inlineStr">
        <is>
          <t>Tipo de vía del tramo final</t>
        </is>
      </c>
      <c r="C48" s="54" t="inlineStr">
        <is>
          <t>Camino de herradura</t>
        </is>
      </c>
      <c r="D48" s="54" t="inlineStr"/>
    </row>
    <row r="49">
      <c r="A49" s="53" t="inlineStr">
        <is>
          <t>7. Hidrología, acceso y logística (F-DT-05)</t>
        </is>
      </c>
      <c r="B49" s="53" t="inlineStr">
        <is>
          <t>Transitabilidad en época seca</t>
        </is>
      </c>
      <c r="C49" s="53" t="inlineStr">
        <is>
          <t>Alto</t>
        </is>
      </c>
      <c r="D49" s="53" t="inlineStr"/>
    </row>
    <row r="50">
      <c r="A50" s="54" t="inlineStr">
        <is>
          <t>7. Hidrología, acceso y logística (F-DT-05)</t>
        </is>
      </c>
      <c r="B50" s="54" t="inlineStr">
        <is>
          <t>Transitabilidad en época lluviosa</t>
        </is>
      </c>
      <c r="C50" s="54" t="inlineStr">
        <is>
          <t>Bajo</t>
        </is>
      </c>
      <c r="D50" s="54" t="inlineStr"/>
    </row>
    <row r="51">
      <c r="A51" s="53" t="inlineStr">
        <is>
          <t>7. Hidrología, acceso y logística (F-DT-05)</t>
        </is>
      </c>
      <c r="B51" s="53" t="inlineStr">
        <is>
          <t>Tiempo a la capital distrital (min)</t>
        </is>
      </c>
      <c r="C51" s="53" t="inlineStr">
        <is>
          <t>45</t>
        </is>
      </c>
      <c r="D51" s="53" t="inlineStr">
        <is>
          <t>min</t>
        </is>
      </c>
    </row>
    <row r="52">
      <c r="A52" s="54" t="inlineStr">
        <is>
          <t>7. Hidrología, acceso y logística (F-DT-05)</t>
        </is>
      </c>
      <c r="B52" s="54" t="inlineStr">
        <is>
          <t>Señal celular</t>
        </is>
      </c>
      <c r="C52" s="54" t="inlineStr">
        <is>
          <t>Parcial</t>
        </is>
      </c>
      <c r="D52" s="54" t="inlineStr"/>
    </row>
    <row r="53">
      <c r="A53" s="53" t="inlineStr">
        <is>
          <t>7. Hidrología, acceso y logística (F-DT-05)</t>
        </is>
      </c>
      <c r="B53" s="53" t="inlineStr">
        <is>
          <t>Operador con cobertura</t>
        </is>
      </c>
      <c r="C53" s="53" t="inlineStr">
        <is>
          <t>Movistar</t>
        </is>
      </c>
      <c r="D53" s="53" t="inlineStr"/>
    </row>
    <row r="54">
      <c r="A54" s="54" t="inlineStr">
        <is>
          <t>7. Hidrología, acceso y logística (F-DT-05)</t>
        </is>
      </c>
      <c r="B54" s="54" t="inlineStr">
        <is>
          <t>Alojamiento disponible en la zona</t>
        </is>
      </c>
      <c r="C54" s="54" t="inlineStr">
        <is>
          <t>No</t>
        </is>
      </c>
      <c r="D54" s="54" t="inlineStr"/>
    </row>
    <row r="55">
      <c r="A55" s="53" t="inlineStr">
        <is>
          <t>7. Hidrología, acceso y logística (F-DT-05)</t>
        </is>
      </c>
      <c r="B55" s="53" t="inlineStr">
        <is>
          <t>Requiere coordinación con ronda / comunidad</t>
        </is>
      </c>
      <c r="C55" s="53" t="inlineStr">
        <is>
          <t>Sí</t>
        </is>
      </c>
      <c r="D55" s="53" t="inlineStr"/>
    </row>
    <row r="57">
      <c r="A57" s="51" t="inlineStr">
        <is>
          <t>C. PROCEDENCIA DE LOS HECHOS DECLARADOS</t>
        </is>
      </c>
    </row>
    <row r="58">
      <c r="A58" s="52" t="inlineStr">
        <is>
          <t>Fuente</t>
        </is>
      </c>
      <c r="B58" s="52" t="inlineStr">
        <is>
          <t>Hechos</t>
        </is>
      </c>
      <c r="C58" s="52" t="inlineStr">
        <is>
          <t>Alcance de la fuente</t>
        </is>
      </c>
    </row>
    <row r="59">
      <c r="A59" s="53" t="inlineStr">
        <is>
          <t>Dato de campo</t>
        </is>
      </c>
      <c r="B59" s="53" t="n">
        <v>73</v>
      </c>
      <c r="C59" s="53" t="inlineStr">
        <is>
          <t>Verificación en campo. Fichas F-DT-01 a F-DT-05 de la Plantilla DT Campo Check Validada V5, suscritas por el evaluador.</t>
        </is>
      </c>
    </row>
    <row r="60">
      <c r="A60" s="54" t="inlineStr">
        <is>
          <t>Gabinete (GIS / teledetección)</t>
        </is>
      </c>
      <c r="B60" s="54" t="n">
        <v>22</v>
      </c>
      <c r="C60" s="54" t="inlineStr">
        <is>
          <t>Gabinete. Estadística zonal sobre el MDE y compuestos Sentinel-2 (NDVI mediana 2025, MSAVI 2024 por clase DN).</t>
        </is>
      </c>
    </row>
    <row r="61">
      <c r="A61" s="53" t="inlineStr">
        <is>
          <t>Fuente oficial</t>
        </is>
      </c>
      <c r="B61" s="53" t="n">
        <v>14</v>
      </c>
      <c r="C61" s="53" t="inlineStr">
        <is>
          <t>Fuente oficial. Catálogo maestro Bloques V5/V6, división política INEI y codificación de microcuencas de la ANA.</t>
        </is>
      </c>
    </row>
    <row r="63">
      <c r="A63" s="51" t="inlineStr">
        <is>
          <t>D. ESTADO DEL CRUCE ENTRE FUENTES</t>
        </is>
      </c>
    </row>
    <row r="64">
      <c r="A64" s="52" t="inlineStr">
        <is>
          <t>Estado</t>
        </is>
      </c>
      <c r="B64" s="52" t="inlineStr">
        <is>
          <t>Hechos</t>
        </is>
      </c>
      <c r="C64" s="52" t="inlineStr">
        <is>
          <t>Significado</t>
        </is>
      </c>
    </row>
    <row r="65">
      <c r="A65" s="53" t="inlineStr">
        <is>
          <t>CONFORME</t>
        </is>
      </c>
      <c r="B65" s="53" t="n">
        <v>109</v>
      </c>
      <c r="C65" s="53" t="inlineStr">
        <is>
          <t>Las dos fuentes declaran lo mismo, o solo la fuente que manda sobre el hecho lo declara.</t>
        </is>
      </c>
    </row>
    <row r="66">
      <c r="A66" s="54" t="inlineStr">
        <is>
          <t>COMPLEMENTADO</t>
        </is>
      </c>
      <c r="B66" s="54" t="n">
        <v>0</v>
      </c>
      <c r="C66" s="54" t="inlineStr">
        <is>
          <t>Solo una de las fuentes lo declara y se adopta ese valor.</t>
        </is>
      </c>
    </row>
    <row r="67">
      <c r="A67" s="53" t="inlineStr">
        <is>
          <t>ACTUALIZADO</t>
        </is>
      </c>
      <c r="B67" s="53" t="n">
        <v>0</v>
      </c>
      <c r="C67" s="53" t="inlineStr">
        <is>
          <t>La verificación de campo vigente corrige lo que traía el libro de resumen.</t>
        </is>
      </c>
    </row>
    <row r="68">
      <c r="A68" s="54" t="inlineStr">
        <is>
          <t>DISCREPANTE</t>
        </is>
      </c>
      <c r="B68" s="54" t="n">
        <v>0</v>
      </c>
      <c r="C68" s="54" t="inlineStr">
        <is>
          <t>Las fuentes se contradicen; prevalece la que manda sobre el hecho y la otra queda declarada.</t>
        </is>
      </c>
    </row>
    <row r="69">
      <c r="A69" s="53" t="inlineStr">
        <is>
          <t>PENDIENTE</t>
        </is>
      </c>
      <c r="B69" s="53" t="n">
        <v>5</v>
      </c>
      <c r="C69" s="53"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48" t="inlineStr">
        <is>
          <t>AUTORIDAD NACIONAL DE INFRAESTRUCTURA - ANIN</t>
        </is>
      </c>
    </row>
    <row r="2">
      <c r="A2" s="48" t="inlineStr">
        <is>
          <t>DIRECCION DE INTERVENCIONES MULTISECTORIALES Y DE EMERGENCIA - DIME</t>
        </is>
      </c>
    </row>
    <row r="3">
      <c r="A3" s="48" t="inlineStr">
        <is>
          <t>SUBDIRECCION DE ESTUDIOS DE INVERSION - SESDI</t>
        </is>
      </c>
    </row>
    <row r="4">
      <c r="A4" s="49" t="inlineStr">
        <is>
          <t>PROYECTO IN PIURA | CUI 2669244 | Recuperacion del servicio de regulacion de riesgos naturales y de ecosistemas degradados - Cuenca Alta del Rio Piura</t>
        </is>
      </c>
    </row>
    <row r="5" ht="22" customHeight="1">
      <c r="A5" s="50" t="inlineStr">
        <is>
          <t>REGISTRO DE CAMPO F-DT-01 A F-DT-05 — BLOQUE 9</t>
        </is>
      </c>
    </row>
    <row r="7">
      <c r="A7" s="51" t="inlineStr">
        <is>
          <t>F-DT-02 · INVENTARIO DE CÁRCAVAS</t>
        </is>
      </c>
    </row>
    <row r="8">
      <c r="A8" s="52" t="inlineStr">
        <is>
          <t>Código</t>
        </is>
      </c>
      <c r="B8" s="52" t="inlineStr">
        <is>
          <t>Tipo</t>
        </is>
      </c>
      <c r="C8" s="52" t="inlineStr">
        <is>
          <t>UTM E ini.</t>
        </is>
      </c>
      <c r="D8" s="52" t="inlineStr">
        <is>
          <t>UTM N ini.</t>
        </is>
      </c>
      <c r="E8" s="52" t="inlineStr">
        <is>
          <t>Longitud (m)</t>
        </is>
      </c>
      <c r="F8" s="52" t="inlineStr">
        <is>
          <t>Prof. (m)</t>
        </is>
      </c>
      <c r="G8" s="52" t="inlineStr">
        <is>
          <t>Ancho (m)</t>
        </is>
      </c>
      <c r="H8" s="52" t="inlineStr">
        <is>
          <t>Estado</t>
        </is>
      </c>
      <c r="I8" s="52" t="inlineStr">
        <is>
          <t>Causa</t>
        </is>
      </c>
    </row>
    <row r="9">
      <c r="A9" s="53" t="inlineStr">
        <is>
          <t>Sin cárcavas inventariadas en el tramo verificado</t>
        </is>
      </c>
      <c r="B9" s="53" t="inlineStr"/>
      <c r="C9" s="53" t="inlineStr"/>
      <c r="D9" s="53" t="inlineStr"/>
      <c r="E9" s="53" t="inlineStr"/>
      <c r="F9" s="53" t="inlineStr"/>
      <c r="G9" s="53" t="inlineStr"/>
      <c r="H9" s="53" t="inlineStr"/>
      <c r="I9" s="53" t="inlineStr"/>
    </row>
    <row r="11">
      <c r="A11" s="51" t="inlineStr">
        <is>
          <t>F-DT-03 · ELENCO FLORÍSTICO</t>
        </is>
      </c>
    </row>
    <row r="12">
      <c r="A12" s="52" t="inlineStr">
        <is>
          <t>N.o</t>
        </is>
      </c>
      <c r="B12" s="52" t="inlineStr">
        <is>
          <t>Nombre común</t>
        </is>
      </c>
      <c r="C12" s="52" t="inlineStr">
        <is>
          <t>Nombre científico</t>
        </is>
      </c>
      <c r="D12" s="52" t="inlineStr">
        <is>
          <t>Familia</t>
        </is>
      </c>
      <c r="E12" s="52" t="inlineStr">
        <is>
          <t>Estrato</t>
        </is>
      </c>
      <c r="F12" s="52" t="inlineStr">
        <is>
          <t>Origen</t>
        </is>
      </c>
      <c r="G12" s="52" t="inlineStr">
        <is>
          <t>Abundancia</t>
        </is>
      </c>
      <c r="H12" s="52" t="inlineStr">
        <is>
          <t>DAP (cm)</t>
        </is>
      </c>
      <c r="I12" s="52" t="inlineStr">
        <is>
          <t>Altura (m)</t>
        </is>
      </c>
    </row>
    <row r="13">
      <c r="A13" s="53" t="inlineStr">
        <is>
          <t>1</t>
        </is>
      </c>
      <c r="B13" s="53" t="inlineStr">
        <is>
          <t>Eucalipto</t>
        </is>
      </c>
      <c r="C13" s="53" t="inlineStr">
        <is>
          <t>Eucalyptus globulus</t>
        </is>
      </c>
      <c r="D13" s="53" t="inlineStr">
        <is>
          <t>Myrtaceae</t>
        </is>
      </c>
      <c r="E13" s="53" t="inlineStr">
        <is>
          <t>Arbóreo superior (&gt;15 m)</t>
        </is>
      </c>
      <c r="F13" s="53" t="inlineStr">
        <is>
          <t>Introducida</t>
        </is>
      </c>
      <c r="G13" s="53" t="inlineStr"/>
      <c r="H13" s="53" t="n"/>
      <c r="I13" s="53" t="n"/>
    </row>
    <row r="14">
      <c r="A14" s="54" t="inlineStr">
        <is>
          <t>2</t>
        </is>
      </c>
      <c r="B14" s="54" t="inlineStr">
        <is>
          <t>Higuerón</t>
        </is>
      </c>
      <c r="C14" s="54" t="inlineStr">
        <is>
          <t>Ficus sp.</t>
        </is>
      </c>
      <c r="D14" s="54" t="inlineStr">
        <is>
          <t>Moraceae</t>
        </is>
      </c>
      <c r="E14" s="54" t="inlineStr">
        <is>
          <t>Arbóreo superior (&gt;15 m)</t>
        </is>
      </c>
      <c r="F14" s="54" t="inlineStr">
        <is>
          <t>Nativa</t>
        </is>
      </c>
      <c r="G14" s="54" t="inlineStr"/>
      <c r="H14" s="54" t="n"/>
      <c r="I14" s="54" t="n"/>
    </row>
    <row r="15">
      <c r="A15" s="53" t="inlineStr">
        <is>
          <t>3</t>
        </is>
      </c>
      <c r="B15" s="53" t="inlineStr">
        <is>
          <t>Grevilea</t>
        </is>
      </c>
      <c r="C15" s="53" t="inlineStr">
        <is>
          <t>Grevillea robusta</t>
        </is>
      </c>
      <c r="D15" s="53" t="inlineStr">
        <is>
          <t>Proteaceae</t>
        </is>
      </c>
      <c r="E15" s="53" t="inlineStr">
        <is>
          <t>Arbóreo medio (8-15 m)</t>
        </is>
      </c>
      <c r="F15" s="53" t="inlineStr">
        <is>
          <t>Introducida</t>
        </is>
      </c>
      <c r="G15" s="53" t="inlineStr"/>
      <c r="H15" s="53" t="n"/>
      <c r="I15" s="53" t="n"/>
    </row>
    <row r="16">
      <c r="A16" s="54" t="inlineStr">
        <is>
          <t>4</t>
        </is>
      </c>
      <c r="B16" s="54" t="inlineStr">
        <is>
          <t>Pacae</t>
        </is>
      </c>
      <c r="C16" s="54" t="inlineStr">
        <is>
          <t>Inga feuillei</t>
        </is>
      </c>
      <c r="D16" s="54" t="inlineStr">
        <is>
          <t>Fabaceae</t>
        </is>
      </c>
      <c r="E16" s="54" t="inlineStr">
        <is>
          <t>Arbóreo medio (8-15 m)</t>
        </is>
      </c>
      <c r="F16" s="54" t="inlineStr">
        <is>
          <t>Nativa</t>
        </is>
      </c>
      <c r="G16" s="54" t="inlineStr"/>
      <c r="H16" s="54" t="n"/>
      <c r="I16" s="54" t="n"/>
    </row>
    <row r="17">
      <c r="A17" s="53" t="inlineStr">
        <is>
          <t>5</t>
        </is>
      </c>
      <c r="B17" s="53" t="inlineStr">
        <is>
          <t>Caña guayaquil / bambú</t>
        </is>
      </c>
      <c r="C17" s="53" t="inlineStr">
        <is>
          <t>Guadua angustifolia</t>
        </is>
      </c>
      <c r="D17" s="53" t="inlineStr">
        <is>
          <t>Poaceae</t>
        </is>
      </c>
      <c r="E17" s="53" t="inlineStr">
        <is>
          <t>Arbóreo medio (8-15 m)</t>
        </is>
      </c>
      <c r="F17" s="53" t="inlineStr">
        <is>
          <t>Nativa</t>
        </is>
      </c>
      <c r="G17" s="53" t="inlineStr"/>
      <c r="H17" s="53" t="n"/>
      <c r="I17" s="53" t="n"/>
    </row>
    <row r="18">
      <c r="A18" s="54" t="inlineStr">
        <is>
          <t>6</t>
        </is>
      </c>
      <c r="B18" s="54" t="inlineStr">
        <is>
          <t>Faique</t>
        </is>
      </c>
      <c r="C18" s="54" t="inlineStr">
        <is>
          <t>Vachellia macracantha (= Acacia macracantha)</t>
        </is>
      </c>
      <c r="D18" s="54" t="inlineStr">
        <is>
          <t>Fabaceae</t>
        </is>
      </c>
      <c r="E18" s="54" t="inlineStr">
        <is>
          <t>Arbóreo bajo (4-8 m)</t>
        </is>
      </c>
      <c r="F18" s="54" t="inlineStr">
        <is>
          <t>Nativa</t>
        </is>
      </c>
      <c r="G18" s="54" t="inlineStr">
        <is>
          <t>Frecuente (5-20%)</t>
        </is>
      </c>
      <c r="H18" s="54" t="n"/>
      <c r="I18" s="54" t="n"/>
    </row>
    <row r="19">
      <c r="A19" s="53" t="inlineStr">
        <is>
          <t>7</t>
        </is>
      </c>
      <c r="B19" s="53" t="inlineStr">
        <is>
          <t>Cactácea columnar</t>
        </is>
      </c>
      <c r="C19" s="53" t="inlineStr">
        <is>
          <t>Armatocereus sp.</t>
        </is>
      </c>
      <c r="D19" s="53" t="inlineStr">
        <is>
          <t>Cactaceae</t>
        </is>
      </c>
      <c r="E19" s="53" t="inlineStr">
        <is>
          <t>Arbustivo alto (1.5-4 m)</t>
        </is>
      </c>
      <c r="F19" s="53" t="inlineStr">
        <is>
          <t>Nativa</t>
        </is>
      </c>
      <c r="G19" s="53" t="inlineStr"/>
      <c r="H19" s="53" t="n"/>
      <c r="I19" s="53" t="n"/>
    </row>
    <row r="20">
      <c r="A20" s="54" t="inlineStr">
        <is>
          <t>8</t>
        </is>
      </c>
      <c r="B20" s="54" t="inlineStr">
        <is>
          <t>Plátano (cultivo)</t>
        </is>
      </c>
      <c r="C20" s="54" t="inlineStr">
        <is>
          <t>Musa × paradisiaca</t>
        </is>
      </c>
      <c r="D20" s="54" t="inlineStr">
        <is>
          <t>Musaceae</t>
        </is>
      </c>
      <c r="E20" s="54" t="inlineStr">
        <is>
          <t>Arbustivo alto (1.5-4 m)</t>
        </is>
      </c>
      <c r="F20" s="54" t="inlineStr">
        <is>
          <t>Introducida</t>
        </is>
      </c>
      <c r="G20" s="54" t="inlineStr"/>
      <c r="H20" s="54" t="n"/>
      <c r="I20" s="54" t="n"/>
    </row>
    <row r="21">
      <c r="A21" s="53" t="inlineStr">
        <is>
          <t>9</t>
        </is>
      </c>
      <c r="B21" s="53" t="inlineStr">
        <is>
          <t>Café (cultivo)</t>
        </is>
      </c>
      <c r="C21" s="53" t="inlineStr">
        <is>
          <t>Coffea arabica</t>
        </is>
      </c>
      <c r="D21" s="53" t="inlineStr">
        <is>
          <t>Rubiaceae</t>
        </is>
      </c>
      <c r="E21" s="53" t="inlineStr">
        <is>
          <t>Arbustivo alto (1.5-4 m)</t>
        </is>
      </c>
      <c r="F21" s="53" t="inlineStr">
        <is>
          <t>Introducida</t>
        </is>
      </c>
      <c r="G21" s="53" t="inlineStr"/>
      <c r="H21" s="53" t="n"/>
      <c r="I21" s="53" t="n"/>
    </row>
    <row r="22">
      <c r="A22" s="54" t="inlineStr">
        <is>
          <t>10</t>
        </is>
      </c>
      <c r="B22" s="54" t="inlineStr">
        <is>
          <t>Maíz (cultivo)</t>
        </is>
      </c>
      <c r="C22" s="54" t="inlineStr">
        <is>
          <t>Zea mays</t>
        </is>
      </c>
      <c r="D22" s="54" t="inlineStr">
        <is>
          <t>Poaceae</t>
        </is>
      </c>
      <c r="E22" s="54" t="inlineStr">
        <is>
          <t>Herbáceo (&lt;0.5 m)</t>
        </is>
      </c>
      <c r="F22" s="54" t="inlineStr">
        <is>
          <t>Introducida</t>
        </is>
      </c>
      <c r="G22" s="54" t="inlineStr"/>
      <c r="H22" s="54" t="n"/>
      <c r="I22" s="54" t="n"/>
    </row>
    <row r="23">
      <c r="A23" s="53" t="inlineStr">
        <is>
          <t>11</t>
        </is>
      </c>
      <c r="B23" s="53" t="inlineStr">
        <is>
          <t>Pastos cultivados</t>
        </is>
      </c>
      <c r="C23" s="53" t="inlineStr">
        <is>
          <t>Poaceae (por determinar)</t>
        </is>
      </c>
      <c r="D23" s="53" t="inlineStr">
        <is>
          <t>Poaceae</t>
        </is>
      </c>
      <c r="E23" s="53" t="inlineStr">
        <is>
          <t>Herbáceo (&lt;0.5 m)</t>
        </is>
      </c>
      <c r="F23" s="53" t="inlineStr">
        <is>
          <t>Introducida</t>
        </is>
      </c>
      <c r="G23" s="53" t="inlineStr"/>
      <c r="H23" s="53" t="n"/>
      <c r="I23" s="53" t="n"/>
    </row>
    <row r="25">
      <c r="A25" s="51" t="inlineStr">
        <is>
          <t>F-DT-03 · ESPECIES CLAVE GEORREFERENCIADAS</t>
        </is>
      </c>
    </row>
    <row r="26">
      <c r="A26" s="52" t="inlineStr">
        <is>
          <t>N.o</t>
        </is>
      </c>
      <c r="B26" s="52" t="inlineStr">
        <is>
          <t>Especie</t>
        </is>
      </c>
      <c r="C26" s="52" t="inlineStr">
        <is>
          <t>Categoría</t>
        </is>
      </c>
      <c r="D26" s="52" t="inlineStr">
        <is>
          <t>Estado UICN</t>
        </is>
      </c>
      <c r="E26" s="52" t="inlineStr">
        <is>
          <t>UTM ESTE</t>
        </is>
      </c>
      <c r="F26" s="52" t="inlineStr">
        <is>
          <t>UTM NORTE</t>
        </is>
      </c>
      <c r="G26" s="52" t="inlineStr">
        <is>
          <t>N.° individuos</t>
        </is>
      </c>
      <c r="H26" s="52" t="inlineStr">
        <is>
          <t>Observación</t>
        </is>
      </c>
    </row>
    <row r="27">
      <c r="A27" s="53" t="inlineStr">
        <is>
          <t>1</t>
        </is>
      </c>
      <c r="B27" s="53" t="inlineStr">
        <is>
          <t>Guadua angustifolia (caña guayaquil)</t>
        </is>
      </c>
      <c r="C27" s="53" t="inlineStr">
        <is>
          <t>Indicadora de buen estado</t>
        </is>
      </c>
      <c r="D27" s="53" t="inlineStr">
        <is>
          <t>No aplica</t>
        </is>
      </c>
      <c r="E27" s="53" t="n"/>
      <c r="F27" s="53" t="n"/>
      <c r="G27" s="53" t="n"/>
      <c r="H27" s="53" t="inlineStr">
        <is>
          <t>Restringida a fondos de quebrada con humedad permanente; indicadora de freático somero y candidata directa para revegetación de fajas marginales. Analogía B73</t>
        </is>
      </c>
    </row>
    <row r="28">
      <c r="A28" s="54" t="inlineStr">
        <is>
          <t>2</t>
        </is>
      </c>
      <c r="B28" s="54" t="inlineStr">
        <is>
          <t>Ficus sp. (higuerón)</t>
        </is>
      </c>
      <c r="C28" s="54" t="inlineStr">
        <is>
          <t>Indicadora de buen estado</t>
        </is>
      </c>
      <c r="D28" s="54" t="inlineStr">
        <is>
          <t>NE — No Evaluado</t>
        </is>
      </c>
      <c r="E28" s="54" t="n"/>
      <c r="F28" s="54" t="n"/>
      <c r="G28" s="54" t="n"/>
      <c r="H28" s="54" t="inlineStr">
        <is>
          <t>Individuos aislados de gran porte en vaguadas; relictos del dosel original y potenciales árboles semilleros. Determinación específica pendiente. Analogía B73</t>
        </is>
      </c>
    </row>
    <row r="29">
      <c r="A29" s="53" t="inlineStr">
        <is>
          <t>3</t>
        </is>
      </c>
      <c r="B29" s="53" t="inlineStr">
        <is>
          <t>Vachellia macracantha (faique)</t>
        </is>
      </c>
      <c r="C29" s="53" t="inlineStr">
        <is>
          <t>Clave cultural</t>
        </is>
      </c>
      <c r="D29" s="53" t="inlineStr">
        <is>
          <t>No aplica</t>
        </is>
      </c>
      <c r="E29" s="53" t="n"/>
      <c r="F29" s="53" t="n"/>
      <c r="G29" s="53" t="n"/>
      <c r="H29" s="53" t="inlineStr">
        <is>
          <t>Especie estructurante del estrato arbóreo bajo; leñosa multipropósito de uso local y de alta rusticidad para la revegetación de ladera. Registrada en campo en el Bloque 9</t>
        </is>
      </c>
    </row>
    <row r="30">
      <c r="A30" s="54" t="inlineStr">
        <is>
          <t>4</t>
        </is>
      </c>
      <c r="B30" s="54" t="inlineStr">
        <is>
          <t>Armatocereus sp. (cactácea columnar)</t>
        </is>
      </c>
      <c r="C30" s="54" t="inlineStr">
        <is>
          <t>Indicadora de perturbación</t>
        </is>
      </c>
      <c r="D30" s="54" t="inlineStr">
        <is>
          <t>NE — No Evaluado</t>
        </is>
      </c>
      <c r="E30" s="54" t="n"/>
      <c r="F30" s="54" t="n"/>
      <c r="G30" s="54" t="n"/>
      <c r="H30" s="54" t="inlineStr">
        <is>
          <t>Su presencia delimita los sectores de suelo somero y cobertura abierta, que deben priorizarse para clausura y revegetación. Analogía B73</t>
        </is>
      </c>
    </row>
    <row r="31">
      <c r="A31" s="53" t="inlineStr">
        <is>
          <t>5</t>
        </is>
      </c>
      <c r="B31" s="53" t="inlineStr">
        <is>
          <t>Eucalyptus globulus (eucalipto)</t>
        </is>
      </c>
      <c r="C31" s="53" t="inlineStr">
        <is>
          <t>Indicadora de perturbación</t>
        </is>
      </c>
      <c r="D31" s="53" t="inlineStr">
        <is>
          <t>No aplica</t>
        </is>
      </c>
      <c r="E31" s="53" t="n"/>
      <c r="F31" s="53" t="n"/>
      <c r="G31" s="53" t="n"/>
      <c r="H31" s="53" t="inlineStr">
        <is>
          <t>Plantaciones en el entorno del caserío; su competencia hídrica debe considerarse al definir la composición de la revegetación en cabecera. Analogía B73</t>
        </is>
      </c>
    </row>
    <row r="33">
      <c r="A33" s="51" t="inlineStr">
        <is>
          <t>F-DT-04 · MATRIZ DE CAUSAS DE DEGRADACIÓN</t>
        </is>
      </c>
    </row>
    <row r="34">
      <c r="A34" s="52" t="inlineStr">
        <is>
          <t>N.o</t>
        </is>
      </c>
      <c r="B34" s="52" t="inlineStr">
        <is>
          <t>Causa</t>
        </is>
      </c>
      <c r="C34" s="52" t="inlineStr">
        <is>
          <t>Presencia</t>
        </is>
      </c>
      <c r="D34" s="52" t="inlineStr">
        <is>
          <t>Intensidad</t>
        </is>
      </c>
      <c r="E34" s="52" t="inlineStr">
        <is>
          <t>Extensión</t>
        </is>
      </c>
      <c r="F34" s="52" t="inlineStr">
        <is>
          <t>Antigüedad</t>
        </is>
      </c>
      <c r="G34" s="52" t="inlineStr">
        <is>
          <t>Evidencia</t>
        </is>
      </c>
    </row>
    <row r="35">
      <c r="A35" s="53" t="inlineStr">
        <is>
          <t>1</t>
        </is>
      </c>
      <c r="B35" s="53" t="inlineStr">
        <is>
          <t>Sobrepastoreo (caprino/vacuno)</t>
        </is>
      </c>
      <c r="C35" s="53" t="inlineStr">
        <is>
          <t>Sí</t>
        </is>
      </c>
      <c r="D35" s="53" t="inlineStr">
        <is>
          <t>Moderada</t>
        </is>
      </c>
      <c r="E35" s="53" t="inlineStr">
        <is>
          <t>30</t>
        </is>
      </c>
      <c r="F35" s="53" t="inlineStr">
        <is>
          <t>15</t>
        </is>
      </c>
      <c r="G35" s="53" t="inlineStr">
        <is>
          <t>Senderos de ganado y compactación del suelo en laderas</t>
        </is>
      </c>
    </row>
    <row r="36">
      <c r="A36" s="54" t="inlineStr">
        <is>
          <t>2</t>
        </is>
      </c>
      <c r="B36" s="54" t="inlineStr">
        <is>
          <t>Tala para leña</t>
        </is>
      </c>
      <c r="C36" s="54" t="inlineStr"/>
      <c r="D36" s="54" t="inlineStr"/>
      <c r="E36" s="54" t="inlineStr"/>
      <c r="F36" s="54" t="inlineStr"/>
      <c r="G36" s="54" t="inlineStr"/>
    </row>
    <row r="37">
      <c r="A37" s="53" t="inlineStr">
        <is>
          <t>3</t>
        </is>
      </c>
      <c r="B37" s="53" t="inlineStr">
        <is>
          <t>Tala para carbón</t>
        </is>
      </c>
      <c r="C37" s="53" t="inlineStr"/>
      <c r="D37" s="53" t="inlineStr"/>
      <c r="E37" s="53" t="inlineStr"/>
      <c r="F37" s="53" t="inlineStr"/>
      <c r="G37" s="53" t="inlineStr"/>
    </row>
    <row r="38">
      <c r="A38" s="54" t="inlineStr">
        <is>
          <t>4</t>
        </is>
      </c>
      <c r="B38" s="54" t="inlineStr">
        <is>
          <t>Tala para madera</t>
        </is>
      </c>
      <c r="C38" s="54" t="inlineStr"/>
      <c r="D38" s="54" t="inlineStr"/>
      <c r="E38" s="54" t="inlineStr"/>
      <c r="F38" s="54" t="inlineStr"/>
      <c r="G38" s="54" t="inlineStr"/>
    </row>
    <row r="39">
      <c r="A39" s="53" t="inlineStr">
        <is>
          <t>5</t>
        </is>
      </c>
      <c r="B39" s="53" t="inlineStr">
        <is>
          <t>Quema (renovación de pastos)</t>
        </is>
      </c>
      <c r="C39" s="53" t="inlineStr"/>
      <c r="D39" s="53" t="inlineStr"/>
      <c r="E39" s="53" t="inlineStr"/>
      <c r="F39" s="53" t="inlineStr"/>
      <c r="G39" s="53" t="inlineStr"/>
    </row>
    <row r="40">
      <c r="A40" s="54" t="inlineStr">
        <is>
          <t>6</t>
        </is>
      </c>
      <c r="B40" s="54" t="inlineStr">
        <is>
          <t>Quema accidental / Incendio</t>
        </is>
      </c>
      <c r="C40" s="54" t="inlineStr"/>
      <c r="D40" s="54" t="inlineStr"/>
      <c r="E40" s="54" t="inlineStr"/>
      <c r="F40" s="54" t="inlineStr"/>
      <c r="G40" s="54" t="inlineStr"/>
    </row>
    <row r="41">
      <c r="A41" s="53" t="inlineStr">
        <is>
          <t>7</t>
        </is>
      </c>
      <c r="B41" s="53" t="inlineStr">
        <is>
          <t>Cambio de uso a agricultura</t>
        </is>
      </c>
      <c r="C41" s="53" t="inlineStr">
        <is>
          <t>Sí</t>
        </is>
      </c>
      <c r="D41" s="53" t="inlineStr">
        <is>
          <t>Moderada</t>
        </is>
      </c>
      <c r="E41" s="53" t="inlineStr">
        <is>
          <t>60</t>
        </is>
      </c>
      <c r="F41" s="53" t="inlineStr">
        <is>
          <t>20</t>
        </is>
      </c>
      <c r="G41" s="53" t="inlineStr">
        <is>
          <t>Laderas convertidas en parcelas de cultivo de secano con alta pendiente</t>
        </is>
      </c>
    </row>
    <row r="42">
      <c r="A42" s="54" t="inlineStr">
        <is>
          <t>8</t>
        </is>
      </c>
      <c r="B42" s="54" t="inlineStr">
        <is>
          <t>Cambio de uso a pastoreo</t>
        </is>
      </c>
      <c r="C42" s="54" t="inlineStr"/>
      <c r="D42" s="54" t="inlineStr"/>
      <c r="E42" s="54" t="inlineStr"/>
      <c r="F42" s="54" t="inlineStr"/>
      <c r="G42" s="54" t="inlineStr"/>
    </row>
    <row r="43">
      <c r="A43" s="53" t="inlineStr">
        <is>
          <t>9</t>
        </is>
      </c>
      <c r="B43" s="53" t="inlineStr">
        <is>
          <t>Expansión urbana / vial</t>
        </is>
      </c>
      <c r="C43" s="53" t="inlineStr"/>
      <c r="D43" s="53" t="inlineStr"/>
      <c r="E43" s="53" t="inlineStr"/>
      <c r="F43" s="53" t="inlineStr"/>
      <c r="G43" s="53" t="inlineStr"/>
    </row>
    <row r="44">
      <c r="A44" s="54" t="inlineStr">
        <is>
          <t>10</t>
        </is>
      </c>
      <c r="B44" s="54" t="inlineStr">
        <is>
          <t>Minería informal</t>
        </is>
      </c>
      <c r="C44" s="54" t="inlineStr"/>
      <c r="D44" s="54" t="inlineStr"/>
      <c r="E44" s="54" t="inlineStr"/>
      <c r="F44" s="54" t="inlineStr"/>
      <c r="G44" s="54" t="inlineStr"/>
    </row>
    <row r="45">
      <c r="A45" s="53" t="inlineStr">
        <is>
          <t>11</t>
        </is>
      </c>
      <c r="B45" s="53" t="inlineStr">
        <is>
          <t>Extracción de áridos (cauces)</t>
        </is>
      </c>
      <c r="C45" s="53" t="inlineStr"/>
      <c r="D45" s="53" t="inlineStr"/>
      <c r="E45" s="53" t="inlineStr"/>
      <c r="F45" s="53" t="inlineStr"/>
      <c r="G45" s="53" t="inlineStr"/>
    </row>
    <row r="46">
      <c r="A46" s="54" t="inlineStr">
        <is>
          <t>12</t>
        </is>
      </c>
      <c r="B46" s="54" t="inlineStr">
        <is>
          <t>Especies invasoras</t>
        </is>
      </c>
      <c r="C46" s="54" t="inlineStr"/>
      <c r="D46" s="54" t="inlineStr"/>
      <c r="E46" s="54" t="inlineStr"/>
      <c r="F46" s="54" t="inlineStr"/>
      <c r="G46" s="54" t="inlineStr"/>
    </row>
    <row r="47">
      <c r="A47" s="53" t="inlineStr">
        <is>
          <t>13</t>
        </is>
      </c>
      <c r="B47" s="53" t="inlineStr">
        <is>
          <t>Erosión natural severa</t>
        </is>
      </c>
      <c r="C47" s="53" t="inlineStr"/>
      <c r="D47" s="53" t="inlineStr"/>
      <c r="E47" s="53" t="inlineStr"/>
      <c r="F47" s="53" t="inlineStr"/>
      <c r="G47" s="53" t="inlineStr"/>
    </row>
    <row r="48">
      <c r="A48" s="54" t="inlineStr">
        <is>
          <t>14</t>
        </is>
      </c>
      <c r="B48" s="54" t="inlineStr">
        <is>
          <t>Sequía prolongada / CC</t>
        </is>
      </c>
      <c r="C48" s="54" t="inlineStr"/>
      <c r="D48" s="54" t="inlineStr"/>
      <c r="E48" s="54" t="inlineStr"/>
      <c r="F48" s="54" t="inlineStr"/>
      <c r="G48" s="54" t="inlineStr"/>
    </row>
    <row r="49">
      <c r="A49" s="53" t="inlineStr">
        <is>
          <t>15</t>
        </is>
      </c>
      <c r="B49" s="53" t="inlineStr">
        <is>
          <t>Plagas o enfermedades forestales</t>
        </is>
      </c>
      <c r="C49" s="53" t="inlineStr"/>
      <c r="D49" s="53" t="inlineStr"/>
      <c r="E49" s="53" t="inlineStr"/>
      <c r="F49" s="53" t="inlineStr"/>
      <c r="G49" s="53" t="inlineStr"/>
    </row>
    <row r="50">
      <c r="A50" s="54" t="inlineStr">
        <is>
          <t>16</t>
        </is>
      </c>
      <c r="B50" s="54" t="inlineStr">
        <is>
          <t>Otro</t>
        </is>
      </c>
      <c r="C50" s="54" t="inlineStr"/>
      <c r="D50" s="54" t="inlineStr"/>
      <c r="E50" s="54" t="inlineStr"/>
      <c r="F50" s="54" t="inlineStr"/>
      <c r="G50" s="54" t="inlineStr"/>
    </row>
    <row r="52">
      <c r="A52" s="51" t="inlineStr">
        <is>
          <t>F-DT-04 · INDICADORES CUANTITATIVOS</t>
        </is>
      </c>
    </row>
    <row r="53">
      <c r="A53" s="52" t="inlineStr">
        <is>
          <t>N.o</t>
        </is>
      </c>
      <c r="B53" s="52" t="inlineStr">
        <is>
          <t>Indicador</t>
        </is>
      </c>
      <c r="C53" s="52" t="inlineStr">
        <is>
          <t>Unidad</t>
        </is>
      </c>
      <c r="D53" s="52" t="inlineStr">
        <is>
          <t>Valor</t>
        </is>
      </c>
      <c r="E53" s="52" t="inlineStr">
        <is>
          <t>Fuente</t>
        </is>
      </c>
      <c r="F53" s="52" t="inlineStr">
        <is>
          <t>Umbral</t>
        </is>
      </c>
      <c r="G53" s="52" t="inlineStr">
        <is>
          <t>Nivel</t>
        </is>
      </c>
    </row>
    <row r="54">
      <c r="A54" s="53" t="inlineStr">
        <is>
          <t>1</t>
        </is>
      </c>
      <c r="B54" s="53" t="inlineStr">
        <is>
          <t>Cobertura vegetal total</t>
        </is>
      </c>
      <c r="C54" s="53" t="inlineStr">
        <is>
          <t>%</t>
        </is>
      </c>
      <c r="D54" s="53" t="inlineStr">
        <is>
          <t>40</t>
        </is>
      </c>
      <c r="E54" s="53" t="inlineStr">
        <is>
          <t>Estimación en campo / MSAVI</t>
        </is>
      </c>
      <c r="F54" s="53" t="inlineStr">
        <is>
          <t>&gt;60% bueno; 30-60% medio; &lt;30% malo</t>
        </is>
      </c>
      <c r="G54" s="53" t="inlineStr">
        <is>
          <t>Medio</t>
        </is>
      </c>
    </row>
    <row r="55">
      <c r="A55" s="54" t="inlineStr">
        <is>
          <t>2</t>
        </is>
      </c>
      <c r="B55" s="54" t="inlineStr">
        <is>
          <t>Porcentaje de suelo desnudo</t>
        </is>
      </c>
      <c r="C55" s="54" t="inlineStr">
        <is>
          <t>%</t>
        </is>
      </c>
      <c r="D55" s="54" t="inlineStr">
        <is>
          <t>25</t>
        </is>
      </c>
      <c r="E55" s="54" t="inlineStr">
        <is>
          <t>Estimación en campo</t>
        </is>
      </c>
      <c r="F55" s="54" t="inlineStr">
        <is>
          <t>&lt;10% bueno; 10-30% medio; &gt;30% malo</t>
        </is>
      </c>
      <c r="G55" s="54" t="inlineStr">
        <is>
          <t>Medio</t>
        </is>
      </c>
    </row>
    <row r="56">
      <c r="A56" s="53" t="inlineStr">
        <is>
          <t>3</t>
        </is>
      </c>
      <c r="B56" s="53" t="inlineStr">
        <is>
          <t>Densidad de cárcavas</t>
        </is>
      </c>
      <c r="C56" s="53" t="inlineStr">
        <is>
          <t>N°/ha</t>
        </is>
      </c>
      <c r="D56" s="53" t="inlineStr">
        <is>
          <t>0</t>
        </is>
      </c>
      <c r="E56" s="53" t="inlineStr">
        <is>
          <t>Inventario en campo</t>
        </is>
      </c>
      <c r="F56" s="53" t="inlineStr">
        <is>
          <t>0 nulo; 1-3 medio; &gt;3 alto</t>
        </is>
      </c>
      <c r="G56" s="53" t="inlineStr">
        <is>
          <t>Bajo</t>
        </is>
      </c>
    </row>
    <row r="57">
      <c r="A57" s="54" t="inlineStr">
        <is>
          <t>4</t>
        </is>
      </c>
      <c r="B57" s="54" t="inlineStr">
        <is>
          <t>Presencia de especies invasoras</t>
        </is>
      </c>
      <c r="C57" s="54" t="inlineStr">
        <is>
          <t>% área</t>
        </is>
      </c>
      <c r="D57" s="54" t="inlineStr"/>
      <c r="E57" s="54" t="inlineStr"/>
      <c r="F57" s="54" t="inlineStr">
        <is>
          <t>&lt;5% bueno; 5-20% medio; &gt;20% alto</t>
        </is>
      </c>
      <c r="G57" s="54" t="inlineStr"/>
    </row>
    <row r="58">
      <c r="A58" s="53" t="inlineStr">
        <is>
          <t>5</t>
        </is>
      </c>
      <c r="B58" s="53" t="inlineStr">
        <is>
          <t>Carga ganadera estimada</t>
        </is>
      </c>
      <c r="C58" s="53" t="inlineStr">
        <is>
          <t>UA/ha</t>
        </is>
      </c>
      <c r="D58" s="53" t="inlineStr"/>
      <c r="E58" s="53" t="inlineStr"/>
      <c r="F58" s="53" t="inlineStr">
        <is>
          <t>Según tipo de ecosistema</t>
        </is>
      </c>
      <c r="G58" s="53" t="inlineStr"/>
    </row>
    <row r="59">
      <c r="A59" s="54" t="inlineStr">
        <is>
          <t>6</t>
        </is>
      </c>
      <c r="B59" s="54" t="inlineStr">
        <is>
          <t>Frecuencia de quemas últimos 5 años</t>
        </is>
      </c>
      <c r="C59" s="54" t="inlineStr">
        <is>
          <t>N°</t>
        </is>
      </c>
      <c r="D59" s="54" t="inlineStr"/>
      <c r="E59" s="54" t="inlineStr"/>
      <c r="F59" s="54" t="inlineStr">
        <is>
          <t>0 nulo; 1-2 medio; &gt;2 alto</t>
        </is>
      </c>
      <c r="G59" s="54" t="inlineStr"/>
    </row>
    <row r="60">
      <c r="A60" s="53" t="inlineStr">
        <is>
          <t>7</t>
        </is>
      </c>
      <c r="B60" s="53" t="inlineStr">
        <is>
          <t>% área con pendiente &gt;50%</t>
        </is>
      </c>
      <c r="C60" s="53" t="inlineStr">
        <is>
          <t>%</t>
        </is>
      </c>
      <c r="D60" s="53" t="inlineStr">
        <is>
          <t>93</t>
        </is>
      </c>
      <c r="E60" s="53" t="inlineStr">
        <is>
          <t>Análisis de pendiente (102.48/109.86 ha)</t>
        </is>
      </c>
      <c r="F60" s="53" t="inlineStr">
        <is>
          <t>Factor de susceptibilidad</t>
        </is>
      </c>
      <c r="G60" s="53" t="inlineStr">
        <is>
          <t>Alto</t>
        </is>
      </c>
    </row>
    <row r="61">
      <c r="A61" s="54" t="inlineStr">
        <is>
          <t>8</t>
        </is>
      </c>
      <c r="B61" s="54" t="inlineStr">
        <is>
          <t>Distancia a vía vecinal más cercana</t>
        </is>
      </c>
      <c r="C61" s="54" t="inlineStr">
        <is>
          <t>m</t>
        </is>
      </c>
      <c r="D61" s="54" t="inlineStr">
        <is>
          <t>Por medir</t>
        </is>
      </c>
      <c r="E61" s="54" t="inlineStr">
        <is>
          <t>No consignado en campo; vía 108 al oeste del bloque en la vista satelital</t>
        </is>
      </c>
      <c r="F61" s="54" t="inlineStr">
        <is>
          <t>A menor distancia → mayor presión</t>
        </is>
      </c>
      <c r="G61" s="54" t="inlineStr">
        <is>
          <t>Por determinar</t>
        </is>
      </c>
    </row>
    <row r="63">
      <c r="A63" s="51" t="inlineStr">
        <is>
          <t>F-DT-05 · FUENTES DE AGUA INVENTARIADAS</t>
        </is>
      </c>
    </row>
    <row r="64">
      <c r="A64" s="52" t="inlineStr">
        <is>
          <t>N.o</t>
        </is>
      </c>
      <c r="B64" s="52" t="inlineStr">
        <is>
          <t>Tipo de fuente</t>
        </is>
      </c>
      <c r="C64" s="52" t="inlineStr">
        <is>
          <t>UTM ESTE</t>
        </is>
      </c>
      <c r="D64" s="52" t="inlineStr">
        <is>
          <t>UTM NORTE</t>
        </is>
      </c>
      <c r="E64" s="52" t="inlineStr">
        <is>
          <t>Régimen</t>
        </is>
      </c>
      <c r="F64" s="52" t="inlineStr">
        <is>
          <t>Calidad</t>
        </is>
      </c>
      <c r="G64" s="52" t="inlineStr">
        <is>
          <t>Distancia (m)</t>
        </is>
      </c>
      <c r="H64" s="52" t="inlineStr">
        <is>
          <t>Uso / observación</t>
        </is>
      </c>
    </row>
    <row r="67">
      <c r="A67" s="51" t="inlineStr">
        <is>
          <t>OBSERVACIONES DEL EVALUADOR POR FICHA</t>
        </is>
      </c>
    </row>
    <row r="68">
      <c r="A68" s="52" t="inlineStr">
        <is>
          <t>Ficha</t>
        </is>
      </c>
      <c r="B68" s="52" t="inlineStr">
        <is>
          <t>Observación registrada en campo</t>
        </is>
      </c>
    </row>
    <row r="69">
      <c r="A69" s="53" t="inlineStr">
        <is>
          <t>F-DT-01</t>
        </is>
      </c>
      <c r="B69" s="53" t="inlineStr">
        <is>
          <t>Bloque con predominio de pendientes muy fuertes (&gt;27° en el 93% del área), lo que lo hace altamente susceptible a procesos erosivos si se pierde la cobertura vegetal.</t>
        </is>
      </c>
    </row>
    <row r="70">
      <c r="A70" s="54" t="inlineStr">
        <is>
          <t>F-DT-02</t>
        </is>
      </c>
      <c r="B70" s="54" t="inlineStr">
        <is>
          <t>No se registraron cárcavas activas de gran magnitud, pero la erosión laminar y en surcos es evidente en las zonas de cultivo en pendiente.</t>
        </is>
      </c>
    </row>
    <row r="71">
      <c r="A71" s="53" t="inlineStr">
        <is>
          <t>F-DT-03</t>
        </is>
      </c>
      <c r="B71" s="53" t="inlineStr">
        <is>
          <t>CORRECCIÓN 07-09-2026 — Tipo de ecosistema y elenco florístico rectificados por la Unidad Formuladora. Se adopta «Matorral Andino subhúmedo, con relictos arbóreos en vaguadas y mosaico agroforestal» y el elenco del Bloque 73 (C1076-Q9592, a ~2.9 km, 1 845 – 2 305 msnm, verificado el 01 de agosto de 2026 mediante vuelo fotogramétrico con RPAS), por analogía de altitud, proximidad y ecosistema. La columna J indica, fila por fila, si el registro procede del levantamiento de campo del Bloque 9 o de la analogía. Se retiran del elenco: «Algarrobo — Prosopis pallida» (especie de bosque seco de llanura, propia de cotas muy inferiores, incompatible con el matorral andino subhúmedo de 1 450-2 300 msnm) y «Hualtaco — Cordia lutea» (nombre común y binomio incompatibles entre sí; ninguno de los dos taxones corresponde al elenco del Bloque 73). Se conserva «Faique», reconciliado a su nombre aceptado Vachellia macracantha, por coincidir con el registro de campo y con el elenco de referencia. La especie clave del levantamiento original (Prosopis pallida, «indicadora de buen estado», 15 individuos, foto F01) se retira por la misma razón. Ninguna determinación está confirmada taxonómicamente: la lista es preliminar y debe cerrarse con colecta botánica.</t>
        </is>
      </c>
    </row>
    <row r="72">
      <c r="A72" s="54" t="inlineStr">
        <is>
          <t>F-DT-04</t>
        </is>
      </c>
      <c r="B72" s="54" t="inlineStr">
        <is>
          <t>La alta pendiente (promedio 34.8°, ~69%) hace que cualquier pérdida de cobertura derive rápidamente en erosión acelerada. Se requiere intervención prioritaria.</t>
        </is>
      </c>
    </row>
    <row r="73">
      <c r="A73" s="53" t="inlineStr">
        <is>
          <t>F-DT-05</t>
        </is>
      </c>
      <c r="B73" s="53" t="inlineStr">
        <is>
          <t>El acceso se dificulta notablemente en época de lluvias debido a la pendiente y la falta de afirmado en los caminos de herradura.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48" t="inlineStr">
        <is>
          <t>AUTORIDAD NACIONAL DE INFRAESTRUCTURA - ANIN</t>
        </is>
      </c>
    </row>
    <row r="2">
      <c r="A2" s="48" t="inlineStr">
        <is>
          <t>DIRECCION DE INTERVENCIONES MULTISECTORIALES Y DE EMERGENCIA - DIME</t>
        </is>
      </c>
    </row>
    <row r="3">
      <c r="A3" s="48" t="inlineStr">
        <is>
          <t>SUBDIRECCION DE ESTUDIOS DE INVERSION - SESDI</t>
        </is>
      </c>
    </row>
    <row r="4">
      <c r="A4" s="49" t="inlineStr">
        <is>
          <t>PROYECTO IN PIURA | CUI 2669244 | Recuperacion del servicio de regulacion de riesgos naturales y de ecosistemas degradados - Cuenca Alta del Rio Piura</t>
        </is>
      </c>
    </row>
    <row r="5" ht="22" customHeight="1">
      <c r="A5" s="50" t="inlineStr">
        <is>
          <t>GRÁFICOS DE LA INTEGRACIÓN — BLOQUE 9</t>
        </is>
      </c>
    </row>
    <row r="7">
      <c r="A7" s="51" t="inlineStr">
        <is>
          <t>Hechos declarados por fuente</t>
        </is>
      </c>
    </row>
    <row r="8">
      <c r="A8" s="52" t="inlineStr">
        <is>
          <t>Fuente</t>
        </is>
      </c>
      <c r="B8" s="52" t="inlineStr">
        <is>
          <t>Hechos</t>
        </is>
      </c>
    </row>
    <row r="9">
      <c r="A9" s="53" t="inlineStr">
        <is>
          <t>Dato de campo</t>
        </is>
      </c>
      <c r="B9" s="53" t="n">
        <v>73</v>
      </c>
    </row>
    <row r="10">
      <c r="A10" s="54" t="inlineStr">
        <is>
          <t>Gabinete (GIS / teledetección)</t>
        </is>
      </c>
      <c r="B10" s="54" t="n">
        <v>22</v>
      </c>
    </row>
    <row r="11">
      <c r="A11" s="53" t="inlineStr">
        <is>
          <t>Fuente oficial</t>
        </is>
      </c>
      <c r="B11" s="53" t="n">
        <v>14</v>
      </c>
    </row>
    <row r="26">
      <c r="A26" s="51" t="inlineStr">
        <is>
          <t>Estado del cruce entre fuentes</t>
        </is>
      </c>
    </row>
    <row r="27">
      <c r="A27" s="52" t="inlineStr">
        <is>
          <t>Estado</t>
        </is>
      </c>
      <c r="B27" s="52" t="inlineStr">
        <is>
          <t>Hechos</t>
        </is>
      </c>
    </row>
    <row r="28">
      <c r="A28" s="53" t="inlineStr">
        <is>
          <t>CONFORME</t>
        </is>
      </c>
      <c r="B28" s="53" t="n">
        <v>109</v>
      </c>
    </row>
    <row r="29">
      <c r="A29" s="54" t="inlineStr">
        <is>
          <t>COMPLEMENTADO</t>
        </is>
      </c>
      <c r="B29" s="54" t="n">
        <v>0</v>
      </c>
    </row>
    <row r="30">
      <c r="A30" s="53" t="inlineStr">
        <is>
          <t>ACTUALIZADO</t>
        </is>
      </c>
      <c r="B30" s="53" t="n">
        <v>0</v>
      </c>
    </row>
    <row r="31">
      <c r="A31" s="54" t="inlineStr">
        <is>
          <t>DISCREPANTE</t>
        </is>
      </c>
      <c r="B31" s="54" t="n">
        <v>0</v>
      </c>
    </row>
    <row r="32">
      <c r="A32" s="53" t="inlineStr">
        <is>
          <t>PENDIENTE</t>
        </is>
      </c>
      <c r="B32" s="53" t="n">
        <v>5</v>
      </c>
    </row>
    <row r="45">
      <c r="A45" s="51" t="inlineStr">
        <is>
          <t>Cobertura por estrato — campo (%)</t>
        </is>
      </c>
    </row>
    <row r="46">
      <c r="A46" s="52" t="inlineStr">
        <is>
          <t>Estrato</t>
        </is>
      </c>
      <c r="B46" s="52" t="inlineStr">
        <is>
          <t>% del área</t>
        </is>
      </c>
    </row>
    <row r="47">
      <c r="A47" s="53" t="inlineStr">
        <is>
          <t>Dosel</t>
        </is>
      </c>
      <c r="B47" s="58" t="n">
        <v>30</v>
      </c>
    </row>
    <row r="48">
      <c r="A48" s="54" t="inlineStr">
        <is>
          <t>Arbustiva</t>
        </is>
      </c>
      <c r="B48" s="59" t="n">
        <v>20</v>
      </c>
    </row>
    <row r="49">
      <c r="A49" s="53" t="inlineStr">
        <is>
          <t>Herbácea</t>
        </is>
      </c>
      <c r="B49" s="58" t="n">
        <v>15</v>
      </c>
    </row>
    <row r="50">
      <c r="A50" s="54" t="inlineStr">
        <is>
          <t>Hojarasca</t>
        </is>
      </c>
      <c r="B50" s="59" t="n">
        <v>10</v>
      </c>
    </row>
    <row r="51">
      <c r="A51" s="53" t="inlineStr">
        <is>
          <t>Suelo desnudo</t>
        </is>
      </c>
      <c r="B51" s="58" t="n">
        <v>25</v>
      </c>
    </row>
    <row r="64">
      <c r="A64" s="51" t="inlineStr">
        <is>
          <t>Causas activas de degradación (F-DT-04)</t>
        </is>
      </c>
    </row>
    <row r="65">
      <c r="A65" s="52" t="inlineStr">
        <is>
          <t>Causa</t>
        </is>
      </c>
      <c r="B65" s="52" t="inlineStr">
        <is>
          <t>Intensidad (1 ligera - 4 muy fuerte)</t>
        </is>
      </c>
    </row>
    <row r="66">
      <c r="A66" s="53" t="inlineStr">
        <is>
          <t>Cambio de uso a agricultura</t>
        </is>
      </c>
      <c r="B66" s="53" t="n">
        <v>2</v>
      </c>
    </row>
    <row r="67">
      <c r="A67" s="54" t="inlineStr">
        <is>
          <t>Sobrepastoreo (caprino/vacuno)</t>
        </is>
      </c>
      <c r="B67" s="54" t="n">
        <v>2</v>
      </c>
    </row>
    <row r="83">
      <c r="A83" s="51" t="inlineStr">
        <is>
          <t>Control de consistencia por calificación</t>
        </is>
      </c>
    </row>
    <row r="84">
      <c r="A84" s="52" t="inlineStr">
        <is>
          <t>Calificación</t>
        </is>
      </c>
      <c r="B84" s="52" t="inlineStr">
        <is>
          <t>Verificaciones</t>
        </is>
      </c>
    </row>
    <row r="85">
      <c r="A85" s="53" t="inlineStr">
        <is>
          <t>SUSTANTIVA</t>
        </is>
      </c>
      <c r="B85" s="53" t="n">
        <v>3</v>
      </c>
    </row>
    <row r="86">
      <c r="A86" s="54" t="inlineStr">
        <is>
          <t>NO SUSTANTIVA</t>
        </is>
      </c>
      <c r="B86" s="54" t="n">
        <v>2</v>
      </c>
    </row>
    <row r="87">
      <c r="A87" s="53" t="inlineStr">
        <is>
          <t>CORREGIDO</t>
        </is>
      </c>
      <c r="B87" s="53" t="n">
        <v>0</v>
      </c>
    </row>
    <row r="88">
      <c r="A88" s="54" t="inlineStr">
        <is>
          <t>CONFORME</t>
        </is>
      </c>
      <c r="B88" s="54"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9 — IN Piura</dc:title>
  <dc:subject>Diagnóstico Territorial por bloque de intervención</dc:subject>
  <dcterms:created xsi:type="dcterms:W3CDTF">2026-09-08T03:39:55Z</dcterms:created>
  <dcterms:modified xsi:type="dcterms:W3CDTF">2026-09-11T21:26:32Z</dcterms:modified>
</cp:coreProperties>
</file>