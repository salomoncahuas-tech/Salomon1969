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integración'!$A$47:$A$49</f>
            </numRef>
          </cat>
          <val>
            <numRef>
              <f>'Gráficos de integración'!$B$47:$B$49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integración'!$A$66:$A$74</f>
            </numRef>
          </cat>
          <val>
            <numRef>
              <f>'Gráficos de integración'!$B$66:$B$74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M7B3</t>
        </is>
      </c>
    </row>
    <row r="6" ht="24" customHeight="1">
      <c r="A6" s="4" t="inlineStr">
        <is>
          <t>Diagnóstico Territorial — Plantilla DT Campo Check Validada V5 | Sistema de referencia: UTM WGS 84 Zona 17S (EPSG:32717) · Integrado con la ficha de campo F-DT vigente (Plantilla_DT_Campo_Check_Validada_V5_M7B3.xlsx) — V7 - resumen V6 + campo F-DT integrado</t>
        </is>
      </c>
    </row>
    <row r="7"/>
    <row r="8" ht="18" customHeight="1">
      <c r="A8" s="5" t="inlineStr">
        <is>
          <t>1. IDENTIFICACIÓN Y LOCALIZACIÓN</t>
        </is>
      </c>
    </row>
    <row r="9">
      <c r="A9" s="6" t="inlineStr">
        <is>
          <t>Código del bloque</t>
        </is>
      </c>
      <c r="B9" s="7" t="inlineStr">
        <is>
          <t>M7B3</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Palo Blanco Centro (Caserío Palo Blanco de Salitral)</t>
        </is>
      </c>
      <c r="C13" s="6" t="inlineStr">
        <is>
          <t>Comunidad campesina</t>
        </is>
      </c>
      <c r="D13" s="7" t="inlineStr">
        <is>
          <t>No aplica — TIERRAS DEL ESTADO BAJO ADMINISTRACIÓN DEL GORE PIURA</t>
        </is>
      </c>
      <c r="E13" s="8" t="n"/>
      <c r="F13" s="8" t="n"/>
    </row>
    <row r="14">
      <c r="A14" s="6" t="inlineStr">
        <is>
          <t>Superficie de catálogo (V5/V6), ha</t>
        </is>
      </c>
      <c r="B14" s="7" t="n">
        <v>65.73999999999999</v>
      </c>
      <c r="C14" s="6" t="inlineStr">
        <is>
          <t>Fuente de superficie</t>
        </is>
      </c>
      <c r="D14" s="7" t="inlineStr">
        <is>
          <t>Catálogo maestro Bloques V5/V6</t>
        </is>
      </c>
      <c r="E14" s="8" t="n"/>
      <c r="F14" s="8" t="n"/>
    </row>
    <row r="15">
      <c r="A15" s="6" t="inlineStr">
        <is>
          <t>Centroide UTM ESTE (m)</t>
        </is>
      </c>
      <c r="B15" s="7" t="n">
        <v>633232</v>
      </c>
      <c r="C15" s="6" t="inlineStr">
        <is>
          <t>Centroide UTM NORTE (m)</t>
        </is>
      </c>
      <c r="D15" s="7" t="n">
        <v>9401227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209</v>
      </c>
      <c r="C19" s="6" t="inlineStr">
        <is>
          <t>Altitud máxima (msnm)</t>
        </is>
      </c>
      <c r="D19" s="7" t="n">
        <v>372</v>
      </c>
      <c r="E19" s="8" t="n"/>
      <c r="F19" s="8" t="n"/>
    </row>
    <row r="20">
      <c r="A20" s="6" t="inlineStr">
        <is>
          <t>Amplitud altitudinal (m)</t>
        </is>
      </c>
      <c r="B20" s="7" t="n">
        <v>163</v>
      </c>
      <c r="C20" s="6" t="inlineStr">
        <is>
          <t>Piso altitudinal dominante</t>
        </is>
      </c>
      <c r="D20" s="7" t="inlineStr">
        <is>
          <t>&lt;1000 m (Yunga)</t>
        </is>
      </c>
      <c r="E20" s="8" t="n"/>
      <c r="F20" s="8" t="n"/>
    </row>
    <row r="21">
      <c r="A21" s="6" t="inlineStr">
        <is>
          <t>Pendiente promedio (%)</t>
        </is>
      </c>
      <c r="B21" s="7" t="n">
        <v>19.61</v>
      </c>
      <c r="C21" s="6" t="inlineStr">
        <is>
          <t>Pendiente promedio (grados)</t>
        </is>
      </c>
      <c r="D21" s="7" t="n">
        <v>11.1</v>
      </c>
      <c r="E21" s="8" t="n"/>
      <c r="F21" s="8" t="n"/>
    </row>
    <row r="22">
      <c r="A22" s="6" t="inlineStr">
        <is>
          <t>Clase de pendiente equivalente</t>
        </is>
      </c>
      <c r="B22" s="7" t="inlineStr">
        <is>
          <t>15-25% (Fuert. inclinado)</t>
        </is>
      </c>
      <c r="C22" s="6" t="inlineStr">
        <is>
          <t>Rango de pendiente declarado en campo</t>
        </is>
      </c>
      <c r="D22" s="51" t="inlineStr">
        <is>
          <t>25-50% (Moderadamente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(48.88 %)</t>
        </is>
      </c>
      <c r="E29" s="8" t="n"/>
      <c r="F29" s="8" t="n"/>
    </row>
    <row r="30">
      <c r="A30" s="6" t="inlineStr">
        <is>
          <t>Superficie clasificada NDVI 2025 (ha)</t>
        </is>
      </c>
      <c r="B30" s="7" t="n">
        <v>65.768</v>
      </c>
      <c r="C30" s="6" t="inlineStr">
        <is>
          <t>Desviación frente al catálogo (%)</t>
        </is>
      </c>
      <c r="D30" s="7" t="n">
        <v>0.04</v>
      </c>
      <c r="E30" s="8" t="n"/>
      <c r="F30" s="8" t="n"/>
    </row>
    <row r="31">
      <c r="A31" s="6" t="inlineStr">
        <is>
          <t>Superficie clasificada MSAVI 2024 (ha)</t>
        </is>
      </c>
      <c r="B31" s="39" t="n">
        <v>65.745</v>
      </c>
      <c r="C31" s="6" t="inlineStr">
        <is>
          <t>Desviación MSAVI frente al catálogo (%)</t>
        </is>
      </c>
      <c r="D31" s="40" t="n">
        <v>0.01</v>
      </c>
      <c r="E31" s="8" t="n"/>
      <c r="F31" s="8" t="n"/>
    </row>
    <row r="32">
      <c r="A32" s="6" t="inlineStr">
        <is>
          <t>Superficie bajo umbral MSAVI 0.4976 (ha)</t>
        </is>
      </c>
      <c r="B32" s="39" t="n">
        <v>65.645</v>
      </c>
      <c r="C32" s="6" t="inlineStr">
        <is>
          <t>% del bloque bajo umbral (brecha espectral)</t>
        </is>
      </c>
      <c r="D32" s="40" t="n">
        <v>99.84999999999999</v>
      </c>
      <c r="E32" s="8" t="n"/>
      <c r="F32" s="8" t="n"/>
    </row>
    <row r="33">
      <c r="A33" s="6" t="inlineStr">
        <is>
          <t>Clase DN dominante (MSAVI 2024)</t>
        </is>
      </c>
      <c r="B33" s="7" t="inlineStr">
        <is>
          <t>DN 2 · 0.2650 - 0.3813 (Vigor muy bajo)</t>
        </is>
      </c>
      <c r="C33" s="6" t="inlineStr">
        <is>
          <t>N.° de polígonos MSAVI del bloque</t>
        </is>
      </c>
      <c r="D33" s="41" t="n">
        <v>310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t>
        </is>
      </c>
      <c r="E36" s="8" t="n"/>
      <c r="F36" s="8" t="n"/>
    </row>
    <row r="37">
      <c r="A37" s="6" t="inlineStr">
        <is>
          <t>Estado de conservación</t>
        </is>
      </c>
      <c r="B37" s="51" t="inlineStr">
        <is>
          <t>Medianamente alterado</t>
        </is>
      </c>
      <c r="C37" s="6" t="inlineStr">
        <is>
          <t>Uso actual dominante del suelo</t>
        </is>
      </c>
      <c r="D37" s="51" t="inlineStr">
        <is>
          <t>Forestal protección</t>
        </is>
      </c>
      <c r="E37" s="8" t="n"/>
      <c r="F37" s="8" t="n"/>
    </row>
    <row r="38">
      <c r="A38" s="6" t="inlineStr">
        <is>
          <t>Tipo de cobertura dominante</t>
        </is>
      </c>
      <c r="B38" s="51" t="inlineStr">
        <is>
          <t>Matorral ralo</t>
        </is>
      </c>
      <c r="C38" s="6" t="inlineStr">
        <is>
          <t>Cobertura vegetal total — campo (%)</t>
        </is>
      </c>
      <c r="D38" s="7" t="n">
        <v>70</v>
      </c>
      <c r="E38" s="8" t="n"/>
      <c r="F38" s="8" t="n"/>
    </row>
    <row r="39">
      <c r="A39" s="6" t="inlineStr">
        <is>
          <t>Suelo desnudo — campo (%)</t>
        </is>
      </c>
      <c r="B39" s="51" t="inlineStr">
        <is>
          <t>25</t>
        </is>
      </c>
      <c r="C39" s="6" t="inlineStr">
        <is>
          <t>Regeneración natural</t>
        </is>
      </c>
      <c r="D39" s="7" t="inlineStr">
        <is>
          <t>Escasa (&lt;10 pl./100m²)</t>
        </is>
      </c>
      <c r="E39" s="8" t="n"/>
      <c r="F39" s="8" t="n"/>
    </row>
    <row r="40">
      <c r="A40" s="6" t="inlineStr">
        <is>
          <t>Nivel general de erosión</t>
        </is>
      </c>
      <c r="B40" s="51" t="inlineStr">
        <is>
          <t>Moderada (surcos)</t>
        </is>
      </c>
      <c r="C40" s="6" t="inlineStr">
        <is>
          <t>N.° de cárcavas registradas</t>
        </is>
      </c>
      <c r="D40" s="51" t="inlineStr">
        <is>
          <t>2</t>
        </is>
      </c>
      <c r="E40" s="8" t="n"/>
      <c r="F40" s="8" t="n"/>
    </row>
    <row r="41">
      <c r="A41" s="6" t="inlineStr">
        <is>
          <t>Elenco florístico (n.° de taxones)</t>
        </is>
      </c>
      <c r="B41" s="7" t="n">
        <v>10</v>
      </c>
      <c r="C41" s="6" t="inlineStr">
        <is>
          <t>Estado sanitario</t>
        </is>
      </c>
      <c r="D41" s="51"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51" t="inlineStr">
        <is>
          <t>14-15/05/2026</t>
        </is>
      </c>
      <c r="E44" s="8" t="n"/>
      <c r="F44" s="8" t="n"/>
    </row>
    <row r="45">
      <c r="A45" s="6" t="inlineStr">
        <is>
          <t>Hora de registro</t>
        </is>
      </c>
      <c r="B45" s="51" t="inlineStr">
        <is>
          <t>10:24 a.m. – 10:42 a.m.</t>
        </is>
      </c>
      <c r="C45" s="6" t="inlineStr">
        <is>
          <t>Correlativo de ficha</t>
        </is>
      </c>
      <c r="D45" s="7" t="inlineStr">
        <is>
          <t>F-DT-M7B3-001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P1 — Pie de ladera M7B3</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Demanda histórica de madera/leña + acceso facilitado por la PE-02A + ausencia de mecanismos formales de gobernanza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0.0999</v>
      </c>
      <c r="C11" s="21">
        <f>ROUND(B11/$B$15*100,2)</f>
        <v/>
      </c>
      <c r="D11" s="13" t="inlineStr">
        <is>
          <t>Vigor moderado</t>
        </is>
      </c>
      <c r="E11" s="13" t="inlineStr">
        <is>
          <t>Sobre umbral</t>
        </is>
      </c>
    </row>
    <row r="12">
      <c r="A12" s="7" t="inlineStr">
        <is>
          <t>0.3813 - 0.4976 · DN 3</t>
        </is>
      </c>
      <c r="B12" s="18" t="n">
        <v>3.2595</v>
      </c>
      <c r="C12" s="19">
        <f>ROUND(B12/$B$15*100,2)</f>
        <v/>
      </c>
      <c r="D12" s="11" t="inlineStr">
        <is>
          <t>Vigor bajo</t>
        </is>
      </c>
      <c r="E12" s="11" t="inlineStr">
        <is>
          <t>BAJO umbral 0.4976</t>
        </is>
      </c>
    </row>
    <row r="13">
      <c r="A13" s="14" t="inlineStr">
        <is>
          <t>0.2650 - 0.3813 · DN 2</t>
        </is>
      </c>
      <c r="B13" s="32" t="n">
        <v>47.8887</v>
      </c>
      <c r="C13" s="31">
        <f>ROUND(B13/$B$15*100,2)</f>
        <v/>
      </c>
      <c r="D13" s="15" t="inlineStr">
        <is>
          <t>Vigor muy bajo</t>
        </is>
      </c>
      <c r="E13" s="15" t="inlineStr">
        <is>
          <t>BAJO umbral 0.4976</t>
        </is>
      </c>
    </row>
    <row r="14">
      <c r="A14" s="7" t="inlineStr">
        <is>
          <t>&lt;= 0.2650 · DN 1</t>
        </is>
      </c>
      <c r="B14" s="18" t="n">
        <v>14.4965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310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65.73999999999999</v>
      </c>
      <c r="C18" s="50" t="inlineStr">
        <is>
          <t>—</t>
        </is>
      </c>
      <c r="D18" s="47" t="inlineStr">
        <is>
          <t>Desviación planimétrica frente al catálogo</t>
        </is>
      </c>
      <c r="E18" s="47" t="inlineStr">
        <is>
          <t>+0.01 %</t>
        </is>
      </c>
    </row>
    <row r="19">
      <c r="A19" s="16" t="inlineStr">
        <is>
          <t>MSAVI 2024 — MEDIA DEL BLOQUE</t>
        </is>
      </c>
      <c r="B19" s="17" t="n">
        <v>0.298017</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(0.2980)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0.8705000000000001</v>
      </c>
      <c r="C25" s="19" t="n">
        <v>1.32</v>
      </c>
      <c r="D25" s="11" t="inlineStr">
        <is>
          <t>Dosel continuo, matorral denso o mosaico agroforestal</t>
        </is>
      </c>
      <c r="E25" s="11" t="inlineStr"/>
    </row>
    <row r="26">
      <c r="A26" s="12" t="inlineStr">
        <is>
          <t>Vegetación mediana</t>
        </is>
      </c>
      <c r="B26" s="20" t="n">
        <v>32.1456</v>
      </c>
      <c r="C26" s="21" t="n">
        <v>48.88</v>
      </c>
      <c r="D26" s="13" t="inlineStr">
        <is>
          <t>Pastizal cultivado, matorral ralo, parcelas agrícolas</t>
        </is>
      </c>
      <c r="E26" s="13" t="inlineStr"/>
    </row>
    <row r="27">
      <c r="A27" s="7" t="inlineStr">
        <is>
          <t>Vegetación ligera</t>
        </is>
      </c>
      <c r="B27" s="18" t="n">
        <v>31.688</v>
      </c>
      <c r="C27" s="19" t="n">
        <v>48.18</v>
      </c>
      <c r="D27" s="11" t="inlineStr">
        <is>
          <t>Cobertura discontinua, suelo parcialmente expuesto</t>
        </is>
      </c>
      <c r="E27" s="11" t="inlineStr"/>
    </row>
    <row r="28">
      <c r="A28" s="12" t="inlineStr">
        <is>
          <t>Tierra desnuda</t>
        </is>
      </c>
      <c r="B28" s="20" t="n">
        <v>1.0642</v>
      </c>
      <c r="C28" s="21" t="n">
        <v>1.62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65.73999999999999</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1.32 % del polígono clasificado como «Vegetación alta» por el NDVI 2025; la observación de campo corresponde a una parcela o recorrido puntual y no es estadísticamente representativa de las 65.740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M7B3</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633171</v>
      </c>
      <c r="D10" s="26" t="n">
        <v>9402000</v>
      </c>
      <c r="E10" s="11" t="n">
        <v>775.4</v>
      </c>
      <c r="F10" s="11" t="inlineStr"/>
      <c r="G10" s="11" t="inlineStr">
        <is>
          <t>Coordenada consignada en F-DT-01</t>
        </is>
      </c>
    </row>
    <row r="11">
      <c r="A11" s="12" t="inlineStr">
        <is>
          <t>M7B3-S01</t>
        </is>
      </c>
      <c r="B11" s="13" t="inlineStr">
        <is>
          <t>Rasgo erosivo — Surco (&lt;30 cm) — 25 m, 0.15 m prof., 0.2 m ancho</t>
        </is>
      </c>
      <c r="C11" s="27" t="n">
        <v>633100</v>
      </c>
      <c r="D11" s="27" t="n">
        <v>9401980</v>
      </c>
      <c r="E11" s="13" t="n">
        <v>764.5</v>
      </c>
      <c r="F11" s="13" t="inlineStr">
        <is>
          <t>Activa</t>
        </is>
      </c>
      <c r="G11" s="13" t="inlineStr">
        <is>
          <t>Concentración natural de escorrentía</t>
        </is>
      </c>
    </row>
    <row r="12">
      <c r="A12" s="7" t="inlineStr">
        <is>
          <t>M7B3-S02</t>
        </is>
      </c>
      <c r="B12" s="11" t="inlineStr">
        <is>
          <t>Rasgo erosivo — Surco (&lt;30 cm) — 30 m, 0.2 m prof., 0.25 m ancho</t>
        </is>
      </c>
      <c r="C12" s="26" t="n">
        <v>633150</v>
      </c>
      <c r="D12" s="26" t="n">
        <v>9401950</v>
      </c>
      <c r="E12" s="11" t="n">
        <v>727.6</v>
      </c>
      <c r="F12" s="11" t="inlineStr">
        <is>
          <t>Activa</t>
        </is>
      </c>
      <c r="G12" s="11" t="inlineStr">
        <is>
          <t>Sobrepastoreo</t>
        </is>
      </c>
    </row>
    <row r="13">
      <c r="A13" s="12" t="inlineStr">
        <is>
          <t>H-01</t>
        </is>
      </c>
      <c r="B13" s="13" t="inlineStr">
        <is>
          <t>Fuente de agua — Río</t>
        </is>
      </c>
      <c r="C13" s="27" t="n">
        <v>633400</v>
      </c>
      <c r="D13" s="27" t="n">
        <v>9401500</v>
      </c>
      <c r="E13" s="13" t="n">
        <v>320.6</v>
      </c>
      <c r="F13" s="13" t="inlineStr">
        <is>
          <t>Permanente</t>
        </is>
      </c>
      <c r="G13" s="13" t="inlineStr">
        <is>
          <t>Río Piura — cauce principal</t>
        </is>
      </c>
    </row>
    <row r="14">
      <c r="A14" s="7" t="inlineStr">
        <is>
          <t>H-02</t>
        </is>
      </c>
      <c r="B14" s="11" t="inlineStr">
        <is>
          <t>Fuente de agua — Quebrada estacional</t>
        </is>
      </c>
      <c r="C14" s="26" t="n">
        <v>633050</v>
      </c>
      <c r="D14" s="26" t="n">
        <v>9402100</v>
      </c>
      <c r="E14" s="11" t="n">
        <v>891.8</v>
      </c>
      <c r="F14" s="11" t="inlineStr">
        <is>
          <t>Estacional</t>
        </is>
      </c>
      <c r="G14" s="11" t="inlineStr">
        <is>
          <t>Quebrada tributaria interna</t>
        </is>
      </c>
    </row>
    <row r="15">
      <c r="A15" s="12" t="inlineStr">
        <is>
          <t>H-03</t>
        </is>
      </c>
      <c r="B15" s="13" t="inlineStr">
        <is>
          <t>Fuente de agua — Quebrada estacional</t>
        </is>
      </c>
      <c r="C15" s="27" t="n">
        <v>633300</v>
      </c>
      <c r="D15" s="27" t="n">
        <v>9401200</v>
      </c>
      <c r="E15" s="13" t="n">
        <v>73.2</v>
      </c>
      <c r="F15" s="13" t="inlineStr">
        <is>
          <t>Estacional</t>
        </is>
      </c>
      <c r="G15" s="13" t="inlineStr">
        <is>
          <t>Quebrada tributaria interna</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633232</v>
      </c>
      <c r="C18" s="6" t="inlineStr">
        <is>
          <t>Centroide del bloque — UTM NORTE (m)</t>
        </is>
      </c>
      <c r="D18" s="7" t="n">
        <v>9401227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14-15/05/2026 con acompañamiento del Sr. Luis Alberto Porras (Teniente Gobernador del CP Palo Blanco Centro), Ing. Florencio Loardo e Ing. Ángela Cruz Solórzano. AVANCE FÍSICO ≈30% DEL BLOQUE (sector bajo y medio-bajo). CUMBRES NO ALCANZADAS — requieren visita complementaria con acémila o RPA. HALLAZGO CRÍTICO: LA ESPECIE PALO BLANCO SE IDENTIFICA COMO ESPECIE CULTURAL EMBLEMÁTICA EN ESTADO CRÍTICO DE CONSERVACIÓN LOCAL DEBIDO A TALA SELECTIVA INTENSIVA HISTÓRICA. EL TOPÓNIMO DEL CENTRO POBLADO CONFIRMA EL VALOR HISTÓRICO DE LA ESPECIE.</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M7B3</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8" t="n">
        <v>130.43</v>
      </c>
      <c r="C10" s="19" t="n">
        <v>32.38</v>
      </c>
      <c r="D10" s="11" t="inlineStr">
        <is>
          <t>183 – 357</t>
        </is>
      </c>
      <c r="E10" s="11" t="n">
        <v>174</v>
      </c>
      <c r="F10" s="11" t="n">
        <v>17.35</v>
      </c>
      <c r="G10" s="18" t="n">
        <v>0.3136</v>
      </c>
      <c r="H10" s="19" t="n">
        <v>4.28</v>
      </c>
      <c r="I10" s="19" t="n">
        <v>99.78</v>
      </c>
    </row>
    <row r="11">
      <c r="A11" s="12" t="inlineStr">
        <is>
          <t>M7B2</t>
        </is>
      </c>
      <c r="B11" s="29" t="n">
        <v>115.38</v>
      </c>
      <c r="C11" s="21" t="n">
        <v>28.64</v>
      </c>
      <c r="D11" s="13" t="inlineStr">
        <is>
          <t>204 – 362</t>
        </is>
      </c>
      <c r="E11" s="13" t="n">
        <v>158</v>
      </c>
      <c r="F11" s="13" t="n">
        <v>14.01</v>
      </c>
      <c r="G11" s="20" t="n">
        <v>0.2877</v>
      </c>
      <c r="H11" s="21" t="n">
        <v>0.91</v>
      </c>
      <c r="I11" s="21" t="n">
        <v>99.58</v>
      </c>
    </row>
    <row r="12">
      <c r="A12" s="7" t="inlineStr">
        <is>
          <t>M7B6</t>
        </is>
      </c>
      <c r="B12" s="28" t="n">
        <v>91.29000000000001</v>
      </c>
      <c r="C12" s="19" t="n">
        <v>22.66</v>
      </c>
      <c r="D12" s="11" t="inlineStr">
        <is>
          <t>228 – 453</t>
        </is>
      </c>
      <c r="E12" s="11" t="n">
        <v>225</v>
      </c>
      <c r="F12" s="11" t="n">
        <v>16.87</v>
      </c>
      <c r="G12" s="18" t="n">
        <v>0.2878</v>
      </c>
      <c r="H12" s="19" t="n">
        <v>0.73</v>
      </c>
      <c r="I12" s="19" t="n">
        <v>99.95999999999999</v>
      </c>
    </row>
    <row r="13">
      <c r="A13" s="14" t="inlineStr">
        <is>
          <t>► M7B3</t>
        </is>
      </c>
      <c r="B13" s="30" t="n">
        <v>65.73999999999999</v>
      </c>
      <c r="C13" s="31" t="n">
        <v>16.32</v>
      </c>
      <c r="D13" s="15" t="inlineStr">
        <is>
          <t>209 – 372</t>
        </is>
      </c>
      <c r="E13" s="15" t="n">
        <v>163</v>
      </c>
      <c r="F13" s="15" t="n">
        <v>19.61</v>
      </c>
      <c r="G13" s="32" t="n">
        <v>0.298</v>
      </c>
      <c r="H13" s="31" t="n">
        <v>1.32</v>
      </c>
      <c r="I13" s="31" t="n">
        <v>99.84999999999999</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c r="I14" s="23">
        <f>ROUND(AVERAGE(I10:I13),2)</f>
        <v/>
      </c>
    </row>
    <row r="16" ht="84" customHeight="1">
      <c r="A16" s="9" t="inlineStr">
        <is>
          <t>LECTURA INTRAMICROCUENCA. El bloque M7B3 ocupa el puesto 4 de 4 por superficie dentro de la microcuenca C1076-Q9581 (16.32 % de las 402.84 ha preliminares de la microcuenca). Su pendiente promedio (19.61 %, clase «15-25% (Fuert. inclinado)») es la 4.ª más baja de 4 y se sitúa por encima del promedio de la microcuenca (16.96 %). Su MSAVI 2024 (0.2980) es el 2.º de 4 y queda por encima del promedio local (0.2968). Amplitud altitudinal del bloque: 163 m (209–372 msnm). El cuadro conserva todos los bloques catalogados en la microcuenca, incluidos los descartados en el tamizaje, para referencia del conjunto. Los bloques sin ficha DT figuran con sus parámetros de gabinete. BRECHA ESPECTRAL. El 99.85 % de la superficie del bloque (65.645 ha de 65.745 ha) se sitúa bajo el umbral MSAVI 0.4976, por encima del promedio local de la microcuenca (99.79 %) calculado sobre los bloques con dato MSAVI disponible.</t>
        </is>
      </c>
      <c r="B16" s="42" t="n"/>
      <c r="C16" s="42" t="n"/>
      <c r="D16" s="42" t="n"/>
      <c r="E16" s="42" t="n"/>
      <c r="F16" s="42" t="n"/>
      <c r="G16" s="42" t="n"/>
      <c r="H16" s="42" t="n"/>
      <c r="I16" s="43"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2" t="n"/>
      <c r="I18" s="43" t="n"/>
    </row>
  </sheetData>
  <mergeCells count="9">
    <mergeCell ref="A2:I2"/>
    <mergeCell ref="A5:I5"/>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M7B3</t>
        </is>
      </c>
    </row>
    <row r="6">
      <c r="A6" s="53" t="inlineStr">
        <is>
          <t>Cruce de la ficha de campo F-DT vigente con la ficha de resumen de gabinete y el catálogo maestro. Integración 2026-09-11 21:26:38.</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«C1076-Q9581».</t>
        </is>
      </c>
      <c r="D9" s="57" t="inlineStr">
        <is>
          <t>CONFORME</t>
        </is>
      </c>
      <c r="E9" s="57" t="inlineStr">
        <is>
          <t>Sin acción.</t>
        </is>
      </c>
    </row>
    <row r="10">
      <c r="A10" s="58" t="inlineStr">
        <is>
          <t>G-02</t>
        </is>
      </c>
      <c r="B10" s="58" t="inlineStr">
        <is>
          <t>UTM del punto de muestreo</t>
        </is>
      </c>
      <c r="C10" s="58" t="inlineStr">
        <is>
          <t>El punto de muestreo declarado dista 0.0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(204 msnm) cae dentro del rango altitudinal del bloque (209 - 372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(65.768 ha) se desvía 0.04 % de la superficie de catálogo (65.74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(65.745 ha) se desvía 0.01 % de la superficie de catálogo (65.74 ha).</t>
        </is>
      </c>
      <c r="D14" s="58" t="inlineStr">
        <is>
          <t>CONFORME</t>
        </is>
      </c>
      <c r="E14" s="58" t="inlineStr">
        <is>
          <t>Sin acción: la segmentación valida la geometría del bloque.</t>
        </is>
      </c>
    </row>
    <row r="15">
      <c r="A15" s="57" t="inlineStr">
        <is>
          <t>G-07</t>
        </is>
      </c>
      <c r="B15" s="57" t="inlineStr">
        <is>
          <t>Brecha espectral MSAVI</t>
        </is>
      </c>
      <c r="C15" s="57" t="inlineStr">
        <is>
          <t>El 99.85 % del bloque queda bajo el umbral 0.4976; superficie de brecha 65.64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65.74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(0.2980)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Rango de pendiente declarado en campo</t>
        </is>
      </c>
      <c r="C19" s="57" t="inlineStr">
        <is>
          <t>El libro de resumen V6 consignaba «No consignado en el campo de lista (30-40% del área con pendiente &gt;50%)»; la ficha de campo vigente declara «25-50% (Moderadamente escarpado)».</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Uso actual dominante del suelo</t>
        </is>
      </c>
      <c r="C20" s="58" t="inlineStr">
        <is>
          <t>El libro de resumen V6 consignaba «Forestal de protección»; la ficha de campo vigente declara «Forestal protección».</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Parcela de muestreo</t>
        </is>
      </c>
      <c r="C21" s="57" t="inlineStr">
        <is>
          <t>El libro de resumen V6 consignaba «Sin registro en ficha»; la ficha de campo vigente declara «P1 — Pie de ladera M7B3».</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Fecha de evaluación</t>
        </is>
      </c>
      <c r="C22" s="58" t="inlineStr">
        <is>
          <t>El libro de resumen V6 consignaba «2026-05-14»; la ficha de campo vigente declara «14-15/05/2026».</t>
        </is>
      </c>
      <c r="D22" s="58" t="inlineStr">
        <is>
          <t>CORREGIDO</t>
        </is>
      </c>
      <c r="E22" s="58" t="inlineStr">
        <is>
          <t>Se adopta el valor de campo por ser la fuente que manda sobre el dato y la más reciente. El valor anterior queda declarado para trazabilidad.</t>
        </is>
      </c>
    </row>
    <row r="23">
      <c r="A23" s="57" t="inlineStr">
        <is>
          <t>I-05</t>
        </is>
      </c>
      <c r="B23" s="57" t="inlineStr">
        <is>
          <t>Hora de registro</t>
        </is>
      </c>
      <c r="C23" s="57" t="inlineStr">
        <is>
          <t>El libro de resumen V6 consignaba «10:24 h»; la ficha de campo vigente declara «10:24 a.m. – 10:42 a.m.».</t>
        </is>
      </c>
      <c r="D23" s="57" t="inlineStr">
        <is>
          <t>CORREGIDO</t>
        </is>
      </c>
      <c r="E23" s="57" t="inlineStr">
        <is>
          <t>Se adopta el valor de campo por ser la fuente que manda sobre el dato y la más reciente. El valor anterior queda declarado para trazabilidad.</t>
        </is>
      </c>
    </row>
    <row r="24">
      <c r="A24" s="58" t="inlineStr">
        <is>
          <t>F-01</t>
        </is>
      </c>
      <c r="B24" s="58" t="inlineStr">
        <is>
          <t>Fichas F-DT levantadas</t>
        </is>
      </c>
      <c r="C24" s="58" t="inlineStr">
        <is>
          <t>La plantilla de campo trae las cinco fichas F-DT-01 a F-DT-05 (completitud 89.3 % de los campos esperados).</t>
        </is>
      </c>
      <c r="D24" s="58" t="inlineStr">
        <is>
          <t>CONFORME</t>
        </is>
      </c>
      <c r="E24" s="58" t="inlineStr">
        <is>
          <t>Sin acción.</t>
        </is>
      </c>
    </row>
    <row r="25">
      <c r="A25" s="57" t="inlineStr">
        <is>
          <t>F-02</t>
        </is>
      </c>
      <c r="B25" s="57" t="inlineStr">
        <is>
          <t>Cobertura de la integración</t>
        </is>
      </c>
      <c r="C25" s="57" t="inlineStr">
        <is>
          <t>Se declararon 99 de 114 hechos integrados (86.8 %); 15 quedan sin dato en ninguna fuente.</t>
        </is>
      </c>
      <c r="D25" s="57" t="inlineStr">
        <is>
          <t>CONFORME</t>
        </is>
      </c>
      <c r="E25" s="57" t="inlineStr">
        <is>
          <t>Sin acción.</t>
        </is>
      </c>
    </row>
    <row r="26">
      <c r="A26" s="58" t="inlineStr">
        <is>
          <t>H-01</t>
        </is>
      </c>
      <c r="B26" s="58" t="inlineStr">
        <is>
          <t>Rango de pendiente dominante</t>
        </is>
      </c>
      <c r="C26" s="58" t="inlineStr">
        <is>
          <t>La ficha DT declara «No consignado en el campo de lista (30-40% del área con pendiente &gt;50%)»; la estadística zonal sobre el MDE arroja una pendiente promedio de 19.61 %, que corresponde a la clase «15-25% (Fuert. inclinado)»</t>
        </is>
      </c>
      <c r="D26" s="58" t="inlineStr">
        <is>
          <t>NO SUSTANTIVA</t>
        </is>
      </c>
      <c r="E26" s="58"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7">
      <c r="A27" s="57" t="inlineStr">
        <is>
          <t>H-02</t>
        </is>
      </c>
      <c r="B27" s="57" t="inlineStr">
        <is>
          <t>Cobertura vegetal total</t>
        </is>
      </c>
      <c r="C27" s="57" t="inlineStr">
        <is>
          <t>La ficha DT estima 70 % de cobertura vegetal en campo; el NDVI mediana 2025 clasifica 98.38 % del polígono en clases de vegetación</t>
        </is>
      </c>
      <c r="D27" s="57" t="inlineStr">
        <is>
          <t>NO SUSTANTIVA</t>
        </is>
      </c>
      <c r="E27"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8">
      <c r="A28" s="58" t="inlineStr">
        <is>
          <t>H-03</t>
        </is>
      </c>
      <c r="B28" s="58" t="inlineStr">
        <is>
          <t>Elenco florístico</t>
        </is>
      </c>
      <c r="C28" s="58" t="inlineStr">
        <is>
          <t>La ficha registra 10 taxones, por debajo del mínimo de 15 que exige el formato V5</t>
        </is>
      </c>
      <c r="D28" s="58" t="inlineStr">
        <is>
          <t>SUSTANTIVA</t>
        </is>
      </c>
      <c r="E28" s="58" t="inlineStr">
        <is>
          <t>Registro florístico preliminar, sin colecta ni determinación botánica formal. Debe cerrarse con colecta botánica en la siguiente campaña. (Verificación heredada de la ficha de resumen V6.)</t>
        </is>
      </c>
    </row>
    <row r="29">
      <c r="A29" s="57" t="inlineStr">
        <is>
          <t>H-04</t>
        </is>
      </c>
      <c r="B29" s="57" t="inlineStr">
        <is>
          <t>Representatividad del levantamiento</t>
        </is>
      </c>
      <c r="C29" s="57" t="inlineStr">
        <is>
          <t>Ninguna de las estaciones fotográficas georreferenciadas se localiza dentro del polígono del bloque</t>
        </is>
      </c>
      <c r="D29" s="57" t="inlineStr">
        <is>
          <t>SUSTANTIVA</t>
        </is>
      </c>
      <c r="E29" s="57" t="inlineStr">
        <is>
          <t>La verificación documenta el perímetro y la vista panorámica del bloque, no su interior. Los parámetros que exigen recorrido interno se consignan «Por determinar». (Verificación heredada de la ficha de resumen V6.)</t>
        </is>
      </c>
    </row>
    <row r="30">
      <c r="A30" s="58" t="inlineStr">
        <is>
          <t>H-05</t>
        </is>
      </c>
      <c r="B30" s="58" t="inlineStr">
        <is>
          <t>Centro poblado asociado</t>
        </is>
      </c>
      <c r="C30" s="58" t="inlineStr">
        <is>
          <t>La ficha DT declara «Palo Blanco Centro (Caserío Palo Blanco de Salitral)»; el cruce INEI-Bloques V5 identifica 2 centro(s) poblado(s) en el bloque: LA TRANCA, PALO BLANCO-EL CEREZO</t>
        </is>
      </c>
      <c r="D30" s="58" t="inlineStr">
        <is>
          <t>CONFORME</t>
        </is>
      </c>
      <c r="E30" s="58" t="inlineStr">
        <is>
          <t>Se conserva el registro de campo como referencia y se adopta el listado INEI para el diagnóstico social y el cálculo de población beneficiaria. (Verificación heredada de la ficha de resumen V6.)</t>
        </is>
      </c>
    </row>
    <row r="31">
      <c r="A31" s="57" t="inlineStr">
        <is>
          <t>H-06</t>
        </is>
      </c>
      <c r="B31" s="57" t="inlineStr">
        <is>
          <t>Plan de Ingreso</t>
        </is>
      </c>
      <c r="C31" s="57" t="inlineStr">
        <is>
          <t>Altitud = 0 msnm (captura por defecto del aplicativo)</t>
        </is>
      </c>
      <c r="D31" s="57" t="inlineStr">
        <is>
          <t>CORREGIDO</t>
        </is>
      </c>
      <c r="E31" s="57" t="inlineStr">
        <is>
          <t>Se reemplaza por la altitud GPS de campo (204 msnm) (Verificación heredada de la ficha de resumen V6.)</t>
        </is>
      </c>
    </row>
    <row r="32">
      <c r="A32" s="58" t="inlineStr">
        <is>
          <t>H-07</t>
        </is>
      </c>
      <c r="B32" s="58" t="inlineStr">
        <is>
          <t>F-DT-01</t>
        </is>
      </c>
      <c r="C32" s="58" t="inlineStr">
        <is>
          <t>Avance físico de la verificación ≈30% del bloque; cumbres no alcanzadas</t>
        </is>
      </c>
      <c r="D32" s="58" t="inlineStr">
        <is>
          <t>SUSTANTIVA</t>
        </is>
      </c>
      <c r="E32" s="58" t="inlineStr">
        <is>
          <t>Visita complementaria con acémila o RPA requerida (Verificación heredada de la ficha de resumen V6.)</t>
        </is>
      </c>
    </row>
    <row r="33">
      <c r="A33" s="57" t="inlineStr">
        <is>
          <t>H-08</t>
        </is>
      </c>
      <c r="B33" s="57" t="inlineStr">
        <is>
          <t>F-DT-03</t>
        </is>
      </c>
      <c r="C33" s="57" t="inlineStr">
        <is>
          <t>Superficie de ecosistema sin valor</t>
        </is>
      </c>
      <c r="D33" s="57" t="inlineStr">
        <is>
          <t>NO SUSTANTIVA</t>
        </is>
      </c>
      <c r="E33" s="57" t="inlineStr">
        <is>
          <t>Completar por intersección con la capa MINAM (Verificación heredada de la ficha de resumen V6.)</t>
        </is>
      </c>
    </row>
    <row r="34">
      <c r="A34" s="58" t="inlineStr">
        <is>
          <t>H-09</t>
        </is>
      </c>
      <c r="B34" s="58" t="inlineStr">
        <is>
          <t>F-DT-04</t>
        </is>
      </c>
      <c r="C34" s="58" t="inlineStr">
        <is>
          <t>Densidad de cárcavas, carga ganadera y frecuencia de quemas por determinar</t>
        </is>
      </c>
      <c r="D34" s="58" t="inlineStr">
        <is>
          <t>NO SUSTANTIVA</t>
        </is>
      </c>
      <c r="E34" s="58" t="inlineStr">
        <is>
          <t>Cuantificación pendiente (Verificación heredada de la ficha de resumen V6.)</t>
        </is>
      </c>
    </row>
    <row r="35">
      <c r="A35" s="57" t="inlineStr">
        <is>
          <t>H-10</t>
        </is>
      </c>
      <c r="B35" s="57" t="inlineStr">
        <is>
          <t>F-DS-01</t>
        </is>
      </c>
      <c r="C35" s="57" t="inlineStr">
        <is>
          <t>La ficha social consigna microcuenca C1076-Q9584 (valor heredado de plantilla)</t>
        </is>
      </c>
      <c r="D35" s="57" t="inlineStr">
        <is>
          <t>NO SUSTANTIVA</t>
        </is>
      </c>
      <c r="E35" s="57" t="inlineStr">
        <is>
          <t>Se conserva la microcuenca del catálogo C1076-Q9581 (Verificación heredada de la ficha de resumen V6.)</t>
        </is>
      </c>
    </row>
    <row r="37">
      <c r="A37" s="59" t="inlineStr">
        <is>
          <t>RESUMEN</t>
        </is>
      </c>
      <c r="B37" s="60" t="inlineStr">
        <is>
          <t>27 verificaciones</t>
        </is>
      </c>
      <c r="C37" s="60" t="inlineStr">
        <is>
          <t>SUSTANTIVA: 4 · NO SUSTANTIVA: 5 · CORREGIDO: 6 · CONFORME: 12</t>
        </is>
      </c>
    </row>
    <row r="39">
      <c r="A39"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9:E39"/>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M7B3</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2. Parámetros físicos del terreno</t>
        </is>
      </c>
      <c r="B9" s="57" t="inlineStr">
        <is>
          <t>Rango de pendiente declarado en campo</t>
        </is>
      </c>
      <c r="C9" s="57" t="inlineStr">
        <is>
          <t>No consignado en el campo de lista (30-40% del área con pendiente &gt;50%)</t>
        </is>
      </c>
      <c r="D9" s="57" t="inlineStr">
        <is>
          <t>25-50% (Moderadamente escarpado)</t>
        </is>
      </c>
      <c r="E9" s="57" t="inlineStr">
        <is>
          <t>Dato de campo</t>
        </is>
      </c>
    </row>
    <row r="10">
      <c r="A10" s="58" t="inlineStr">
        <is>
          <t>5. Ecosistema, cobertura y flora (F-DT-03)</t>
        </is>
      </c>
      <c r="B10" s="58" t="inlineStr">
        <is>
          <t>Uso actual dominante del suelo</t>
        </is>
      </c>
      <c r="C10" s="58" t="inlineStr">
        <is>
          <t>Forestal de protección</t>
        </is>
      </c>
      <c r="D10" s="58" t="inlineStr">
        <is>
          <t>Forestal protección</t>
        </is>
      </c>
      <c r="E10" s="58" t="inlineStr">
        <is>
          <t>Dato de campo</t>
        </is>
      </c>
    </row>
    <row r="11">
      <c r="A11" s="57" t="inlineStr">
        <is>
          <t>5. Ecosistema, cobertura y flora (F-DT-03)</t>
        </is>
      </c>
      <c r="B11" s="57" t="inlineStr">
        <is>
          <t>Parcela de muestreo</t>
        </is>
      </c>
      <c r="C11" s="57" t="inlineStr">
        <is>
          <t>Sin registro en ficha</t>
        </is>
      </c>
      <c r="D11" s="57" t="inlineStr">
        <is>
          <t>P1 — Pie de ladera M7B3</t>
        </is>
      </c>
      <c r="E11" s="57" t="inlineStr">
        <is>
          <t>Dato de campo</t>
        </is>
      </c>
    </row>
    <row r="12">
      <c r="A12" s="58" t="inlineStr">
        <is>
          <t>8. Responsable y modalidad de la evaluación</t>
        </is>
      </c>
      <c r="B12" s="58" t="inlineStr">
        <is>
          <t>Fecha de evaluación</t>
        </is>
      </c>
      <c r="C12" s="58" t="inlineStr">
        <is>
          <t>2026-05-14</t>
        </is>
      </c>
      <c r="D12" s="58" t="inlineStr">
        <is>
          <t>14-15/05/2026</t>
        </is>
      </c>
      <c r="E12" s="58" t="inlineStr">
        <is>
          <t>Dato de campo</t>
        </is>
      </c>
    </row>
    <row r="13">
      <c r="A13" s="57" t="inlineStr">
        <is>
          <t>8. Responsable y modalidad de la evaluación</t>
        </is>
      </c>
      <c r="B13" s="57" t="inlineStr">
        <is>
          <t>Hora de registro</t>
        </is>
      </c>
      <c r="C13" s="57" t="inlineStr">
        <is>
          <t>10:24 h</t>
        </is>
      </c>
      <c r="D13" s="57" t="inlineStr">
        <is>
          <t>10:24 a.m. – 10:42 a.m.</t>
        </is>
      </c>
      <c r="E13" s="57" t="inlineStr">
        <is>
          <t>Dato de campo</t>
        </is>
      </c>
    </row>
    <row r="15">
      <c r="A15" s="55" t="inlineStr">
        <is>
          <t>B. HECHOS APORTADOS ÚNICAMENTE POR LA FICHA DE CAMPO</t>
        </is>
      </c>
    </row>
    <row r="16">
      <c r="A16" s="56" t="inlineStr">
        <is>
          <t>Sección</t>
        </is>
      </c>
      <c r="B16" s="56" t="inlineStr">
        <is>
          <t>Hecho</t>
        </is>
      </c>
      <c r="C16" s="56" t="inlineStr">
        <is>
          <t>Valor</t>
        </is>
      </c>
      <c r="D16" s="56" t="inlineStr">
        <is>
          <t>Unidad</t>
        </is>
      </c>
    </row>
    <row r="17">
      <c r="A17" s="57" t="inlineStr">
        <is>
          <t>1. Identificación y localización</t>
        </is>
      </c>
      <c r="B17" s="57" t="inlineStr">
        <is>
          <t>UTM ESTE del punto de muestreo (m)</t>
        </is>
      </c>
      <c r="C17" s="57" t="inlineStr">
        <is>
          <t>633232</t>
        </is>
      </c>
      <c r="D17" s="57" t="inlineStr">
        <is>
          <t>m</t>
        </is>
      </c>
    </row>
    <row r="18">
      <c r="A18" s="58" t="inlineStr">
        <is>
          <t>1. Identificación y localización</t>
        </is>
      </c>
      <c r="B18" s="58" t="inlineStr">
        <is>
          <t>UTM NORTE del punto de muestreo (m)</t>
        </is>
      </c>
      <c r="C18" s="58" t="inlineStr">
        <is>
          <t>9401227</t>
        </is>
      </c>
      <c r="D18" s="58" t="inlineStr">
        <is>
          <t>m</t>
        </is>
      </c>
    </row>
    <row r="19">
      <c r="A19" s="57" t="inlineStr">
        <is>
          <t>2. Parámetros físicos del terreno</t>
        </is>
      </c>
      <c r="B19" s="57" t="inlineStr">
        <is>
          <t>Altitud GPS del punto de muestreo (msnm)</t>
        </is>
      </c>
      <c r="C19" s="57" t="inlineStr">
        <is>
          <t>204</t>
        </is>
      </c>
      <c r="D19" s="57" t="inlineStr">
        <is>
          <t>msnm</t>
        </is>
      </c>
    </row>
    <row r="20">
      <c r="A20" s="58" t="inlineStr">
        <is>
          <t>2. Parámetros físicos del terreno</t>
        </is>
      </c>
      <c r="B20" s="58" t="inlineStr">
        <is>
          <t>Piso altitudinal del punto de muestreo</t>
        </is>
      </c>
      <c r="C20" s="58" t="inlineStr">
        <is>
          <t>&lt;1000 m (Yunga)</t>
        </is>
      </c>
      <c r="D20" s="58" t="inlineStr"/>
    </row>
    <row r="21">
      <c r="A21" s="57" t="inlineStr">
        <is>
          <t>2. Parámetros físicos del terreno</t>
        </is>
      </c>
      <c r="B21" s="57" t="inlineStr">
        <is>
          <t>Paisaje dominante descrito en campo</t>
        </is>
      </c>
      <c r="C21" s="57" t="inlineStr">
        <is>
          <t>Ladera montañosa de bosque estacionalmente seco de colina y montaña con gradiente altitudinal 200–700 msnm. Pie de ladera con matorral xerofítico y vegetación arbustiva densa; ladera media con bosque ralo y cactáceas columnares; cumbre con relictos arbóreos dispersos. Colinda al este con la carretera PE-02A asfaltada y frente al cauce del río Piura.</t>
        </is>
      </c>
      <c r="D21" s="57" t="inlineStr"/>
    </row>
    <row r="22">
      <c r="A22" s="58" t="inlineStr">
        <is>
          <t>2. Parámetros físicos del terreno</t>
        </is>
      </c>
      <c r="B22" s="58" t="inlineStr">
        <is>
          <t>Reptación de suelo</t>
        </is>
      </c>
      <c r="C22" s="58" t="inlineStr">
        <is>
          <t>No</t>
        </is>
      </c>
      <c r="D22" s="58" t="inlineStr"/>
    </row>
    <row r="23">
      <c r="A23" s="57" t="inlineStr">
        <is>
          <t>2. Parámetros físicos del terreno</t>
        </is>
      </c>
      <c r="B23" s="57" t="inlineStr">
        <is>
          <t>Deslizamientos antiguos</t>
        </is>
      </c>
      <c r="C23" s="57" t="inlineStr">
        <is>
          <t>No</t>
        </is>
      </c>
      <c r="D23" s="57" t="inlineStr"/>
    </row>
    <row r="24">
      <c r="A24" s="58" t="inlineStr">
        <is>
          <t>4. Suelos y erosión (F-DT-02)</t>
        </is>
      </c>
      <c r="B24" s="58" t="inlineStr">
        <is>
          <t>Sellamiento / costra superficial</t>
        </is>
      </c>
      <c r="C24" s="58" t="inlineStr">
        <is>
          <t>Sí</t>
        </is>
      </c>
      <c r="D24" s="58" t="inlineStr"/>
    </row>
    <row r="25">
      <c r="A25" s="57" t="inlineStr">
        <is>
          <t>4. Suelos y erosión (F-DT-02)</t>
        </is>
      </c>
      <c r="B25" s="57" t="inlineStr">
        <is>
          <t>Compactación por pisoteo</t>
        </is>
      </c>
      <c r="C25" s="57" t="inlineStr">
        <is>
          <t>Sí</t>
        </is>
      </c>
      <c r="D25" s="57" t="inlineStr"/>
    </row>
    <row r="26">
      <c r="A26" s="58" t="inlineStr">
        <is>
          <t>4. Suelos y erosión (F-DT-02)</t>
        </is>
      </c>
      <c r="B26" s="58" t="inlineStr">
        <is>
          <t>Raíces expuestas</t>
        </is>
      </c>
      <c r="C26" s="58" t="inlineStr">
        <is>
          <t>Sí</t>
        </is>
      </c>
      <c r="D26" s="58" t="inlineStr"/>
    </row>
    <row r="27">
      <c r="A27" s="57" t="inlineStr">
        <is>
          <t>4. Suelos y erosión (F-DT-02)</t>
        </is>
      </c>
      <c r="B27" s="57" t="inlineStr">
        <is>
          <t>Erosión laminar (% del bloque)</t>
        </is>
      </c>
      <c r="C27" s="57" t="inlineStr">
        <is>
          <t>20</t>
        </is>
      </c>
      <c r="D27" s="57" t="inlineStr">
        <is>
          <t>%</t>
        </is>
      </c>
    </row>
    <row r="28">
      <c r="A28" s="58" t="inlineStr">
        <is>
          <t>4. Suelos y erosión (F-DT-02)</t>
        </is>
      </c>
      <c r="B28" s="58" t="inlineStr">
        <is>
          <t>Socavamiento de cauce</t>
        </is>
      </c>
      <c r="C28" s="58" t="inlineStr">
        <is>
          <t>Sí</t>
        </is>
      </c>
      <c r="D28" s="58" t="inlineStr"/>
    </row>
    <row r="29">
      <c r="A29" s="57" t="inlineStr">
        <is>
          <t>5. Ecosistema, cobertura y flora (F-DT-03)</t>
        </is>
      </c>
      <c r="B29" s="57" t="inlineStr">
        <is>
          <t>Cobertura arbustiva (%)</t>
        </is>
      </c>
      <c r="C29" s="57" t="inlineStr">
        <is>
          <t>35</t>
        </is>
      </c>
      <c r="D29" s="57" t="inlineStr">
        <is>
          <t>%</t>
        </is>
      </c>
    </row>
    <row r="30">
      <c r="A30" s="58" t="inlineStr">
        <is>
          <t>5. Ecosistema, cobertura y flora (F-DT-03)</t>
        </is>
      </c>
      <c r="B30" s="58" t="inlineStr">
        <is>
          <t>Cobertura herbácea (%)</t>
        </is>
      </c>
      <c r="C30" s="58" t="inlineStr">
        <is>
          <t>30</t>
        </is>
      </c>
      <c r="D30" s="58" t="inlineStr">
        <is>
          <t>%</t>
        </is>
      </c>
    </row>
    <row r="31">
      <c r="A31" s="57" t="inlineStr">
        <is>
          <t>5. Ecosistema, cobertura y flora (F-DT-03)</t>
        </is>
      </c>
      <c r="B31" s="57" t="inlineStr">
        <is>
          <t>Altura del estrato dominante (m)</t>
        </is>
      </c>
      <c r="C31" s="57" t="inlineStr">
        <is>
          <t>3</t>
        </is>
      </c>
      <c r="D31" s="57" t="inlineStr">
        <is>
          <t>m</t>
        </is>
      </c>
    </row>
    <row r="32">
      <c r="A32" s="58" t="inlineStr">
        <is>
          <t>5. Ecosistema, cobertura y flora (F-DT-03)</t>
        </is>
      </c>
      <c r="B32" s="58" t="inlineStr">
        <is>
          <t>Altura máxima registrada (m)</t>
        </is>
      </c>
      <c r="C32" s="58" t="inlineStr">
        <is>
          <t>12</t>
        </is>
      </c>
      <c r="D32" s="58" t="inlineStr">
        <is>
          <t>m</t>
        </is>
      </c>
    </row>
    <row r="33">
      <c r="A33" s="57" t="inlineStr">
        <is>
          <t>5. Ecosistema, cobertura y flora (F-DT-03)</t>
        </is>
      </c>
      <c r="B33" s="57" t="inlineStr">
        <is>
          <t>DAP promedio (cm)</t>
        </is>
      </c>
      <c r="C33" s="57" t="inlineStr">
        <is>
          <t>18</t>
        </is>
      </c>
      <c r="D33" s="57" t="inlineStr">
        <is>
          <t>cm</t>
        </is>
      </c>
    </row>
    <row r="34">
      <c r="A34" s="58" t="inlineStr">
        <is>
          <t>5. Ecosistema, cobertura y flora (F-DT-03)</t>
        </is>
      </c>
      <c r="B34" s="58" t="inlineStr">
        <is>
          <t>Fenología dominante</t>
        </is>
      </c>
      <c r="C34" s="58" t="inlineStr">
        <is>
          <t>Vegetativo</t>
        </is>
      </c>
      <c r="D34" s="58" t="inlineStr"/>
    </row>
    <row r="35">
      <c r="A35" s="57" t="inlineStr">
        <is>
          <t>5. Ecosistema, cobertura y flora (F-DT-03)</t>
        </is>
      </c>
      <c r="B35" s="57" t="inlineStr">
        <is>
          <t>Pendiente de la parcela (%)</t>
        </is>
      </c>
      <c r="C35" s="57" t="inlineStr">
        <is>
          <t>25-35</t>
        </is>
      </c>
      <c r="D35" s="57" t="inlineStr">
        <is>
          <t>%</t>
        </is>
      </c>
    </row>
    <row r="36">
      <c r="A36" s="58" t="inlineStr">
        <is>
          <t>5. Ecosistema, cobertura y flora (F-DT-03)</t>
        </is>
      </c>
      <c r="B36" s="58" t="inlineStr">
        <is>
          <t>Especies clave georreferenciadas</t>
        </is>
      </c>
      <c r="C36" s="58" t="inlineStr">
        <is>
          <t>6</t>
        </is>
      </c>
      <c r="D36" s="58" t="inlineStr"/>
    </row>
    <row r="37">
      <c r="A37" s="57" t="inlineStr">
        <is>
          <t>6. Degradación, causas y urgencia (F-DT-04)</t>
        </is>
      </c>
      <c r="B37" s="57" t="inlineStr">
        <is>
          <t>Causas directas de la degradación</t>
        </is>
      </c>
      <c r="C37" s="57" t="inlineStr">
        <is>
          <t>(1) Tala selectiva intensiva histórica (Palo Blanco, Hualtaco). (2) Sobrepastoreo extensivo caprino/vacuno. (3) Erosión hídrica en pendientes &gt;25%.</t>
        </is>
      </c>
      <c r="D37" s="57" t="inlineStr"/>
    </row>
    <row r="38">
      <c r="A38" s="58" t="inlineStr">
        <is>
          <t>6. Degradación, causas y urgencia (F-DT-04)</t>
        </is>
      </c>
      <c r="B38" s="58" t="inlineStr">
        <is>
          <t>N.° de causas activas en la matriz F-DT-04</t>
        </is>
      </c>
      <c r="C38" s="58" t="inlineStr">
        <is>
          <t>9</t>
        </is>
      </c>
      <c r="D38" s="58" t="inlineStr"/>
    </row>
    <row r="39">
      <c r="A39" s="57" t="inlineStr">
        <is>
          <t>7. Hidrología, acceso y logística (F-DT-05)</t>
        </is>
      </c>
      <c r="B39" s="57" t="inlineStr">
        <is>
          <t>Escorrentía concentrada</t>
        </is>
      </c>
      <c r="C39" s="57" t="inlineStr">
        <is>
          <t>Sí</t>
        </is>
      </c>
      <c r="D39" s="57" t="inlineStr"/>
    </row>
    <row r="40">
      <c r="A40" s="58" t="inlineStr">
        <is>
          <t>7. Hidrología, acceso y logística (F-DT-05)</t>
        </is>
      </c>
      <c r="B40" s="58" t="inlineStr">
        <is>
          <t>Fuentes de agua inventariadas</t>
        </is>
      </c>
      <c r="C40" s="58" t="inlineStr">
        <is>
          <t>3</t>
        </is>
      </c>
      <c r="D40" s="58" t="inlineStr"/>
    </row>
    <row r="41">
      <c r="A41" s="57" t="inlineStr">
        <is>
          <t>7. Hidrología, acceso y logística (F-DT-05)</t>
        </is>
      </c>
      <c r="B41" s="57" t="inlineStr">
        <is>
          <t>Interferencia con riego</t>
        </is>
      </c>
      <c r="C41" s="57" t="inlineStr">
        <is>
          <t>No</t>
        </is>
      </c>
      <c r="D41" s="57" t="inlineStr"/>
    </row>
    <row r="42">
      <c r="A42" s="58" t="inlineStr">
        <is>
          <t>7. Hidrología, acceso y logística (F-DT-05)</t>
        </is>
      </c>
      <c r="B42" s="58" t="inlineStr">
        <is>
          <t>Tipo de vía del tramo final</t>
        </is>
      </c>
      <c r="C42" s="58" t="inlineStr">
        <is>
          <t>Departamental asfaltada</t>
        </is>
      </c>
      <c r="D42" s="58" t="inlineStr"/>
    </row>
    <row r="43">
      <c r="A43" s="57" t="inlineStr">
        <is>
          <t>7. Hidrología, acceso y logística (F-DT-05)</t>
        </is>
      </c>
      <c r="B43" s="57" t="inlineStr">
        <is>
          <t>Transitabilidad en época seca</t>
        </is>
      </c>
      <c r="C43" s="57" t="inlineStr">
        <is>
          <t>Alto</t>
        </is>
      </c>
      <c r="D43" s="57" t="inlineStr"/>
    </row>
    <row r="44">
      <c r="A44" s="58" t="inlineStr">
        <is>
          <t>7. Hidrología, acceso y logística (F-DT-05)</t>
        </is>
      </c>
      <c r="B44" s="58" t="inlineStr">
        <is>
          <t>Transitabilidad en época lluviosa</t>
        </is>
      </c>
      <c r="C44" s="58" t="inlineStr">
        <is>
          <t>Medio</t>
        </is>
      </c>
      <c r="D44" s="58" t="inlineStr"/>
    </row>
    <row r="45">
      <c r="A45" s="57" t="inlineStr">
        <is>
          <t>7. Hidrología, acceso y logística (F-DT-05)</t>
        </is>
      </c>
      <c r="B45" s="57" t="inlineStr">
        <is>
          <t>Tiempo a la capital distrital (min)</t>
        </is>
      </c>
      <c r="C45" s="57" t="inlineStr">
        <is>
          <t>15</t>
        </is>
      </c>
      <c r="D45" s="57" t="inlineStr">
        <is>
          <t>min</t>
        </is>
      </c>
    </row>
    <row r="46">
      <c r="A46" s="58" t="inlineStr">
        <is>
          <t>7. Hidrología, acceso y logística (F-DT-05)</t>
        </is>
      </c>
      <c r="B46" s="58" t="inlineStr">
        <is>
          <t>Señal celular</t>
        </is>
      </c>
      <c r="C46" s="58" t="inlineStr">
        <is>
          <t>Parcial</t>
        </is>
      </c>
      <c r="D46" s="58" t="inlineStr"/>
    </row>
    <row r="47">
      <c r="A47" s="57" t="inlineStr">
        <is>
          <t>7. Hidrología, acceso y logística (F-DT-05)</t>
        </is>
      </c>
      <c r="B47" s="57" t="inlineStr">
        <is>
          <t>Alojamiento disponible en la zona</t>
        </is>
      </c>
      <c r="C47" s="57" t="inlineStr">
        <is>
          <t>Sí</t>
        </is>
      </c>
      <c r="D47" s="57" t="inlineStr"/>
    </row>
    <row r="48">
      <c r="A48" s="58" t="inlineStr">
        <is>
          <t>7. Hidrología, acceso y logística (F-DT-05)</t>
        </is>
      </c>
      <c r="B48" s="58" t="inlineStr">
        <is>
          <t>Requiere coordinación con ronda / comunidad</t>
        </is>
      </c>
      <c r="C48" s="58" t="inlineStr">
        <is>
          <t>Sí</t>
        </is>
      </c>
      <c r="D48" s="58" t="inlineStr"/>
    </row>
    <row r="49">
      <c r="A49" s="57" t="inlineStr">
        <is>
          <t>7. Hidrología, acceso y logística (F-DT-05)</t>
        </is>
      </c>
      <c r="B49" s="57" t="inlineStr">
        <is>
          <t>Contacto local de coordinación</t>
        </is>
      </c>
      <c r="C49" s="57" t="inlineStr">
        <is>
          <t>Sr. Luis Alberto Porras — Teniente Gobernador del Centro Poblado Palo Blanco Centro (acompañó la verificación). Coordinar formalmente con Subprefectura de Salitral y Ronda Campesina del distrito.</t>
        </is>
      </c>
      <c r="D49" s="57" t="inlineStr"/>
    </row>
    <row r="51">
      <c r="A51" s="55" t="inlineStr">
        <is>
          <t>C. PROCEDENCIA DE LOS HECHOS DECLARADOS</t>
        </is>
      </c>
    </row>
    <row r="52">
      <c r="A52" s="56" t="inlineStr">
        <is>
          <t>Fuente</t>
        </is>
      </c>
      <c r="B52" s="56" t="inlineStr">
        <is>
          <t>Hechos</t>
        </is>
      </c>
      <c r="C52" s="56" t="inlineStr">
        <is>
          <t>Alcance de la fuente</t>
        </is>
      </c>
    </row>
    <row r="53">
      <c r="A53" s="57" t="inlineStr">
        <is>
          <t>Dato de campo</t>
        </is>
      </c>
      <c r="B53" s="57" t="n">
        <v>59</v>
      </c>
      <c r="C53" s="57" t="inlineStr">
        <is>
          <t>Verificación en campo. Fichas F-DT-01 a F-DT-05 de la Plantilla DT Campo Check Validada V5, suscritas por el evaluador.</t>
        </is>
      </c>
    </row>
    <row r="54">
      <c r="A54" s="58" t="inlineStr">
        <is>
          <t>Gabinete (GIS / teledetección)</t>
        </is>
      </c>
      <c r="B54" s="58" t="n">
        <v>26</v>
      </c>
      <c r="C54" s="58" t="inlineStr">
        <is>
          <t>Gabinete. Estadística zonal sobre el MDE y compuestos Sentinel-2 (NDVI mediana 2025, MSAVI 2024 por clase DN).</t>
        </is>
      </c>
    </row>
    <row r="55">
      <c r="A55" s="57" t="inlineStr">
        <is>
          <t>Fuente oficial</t>
        </is>
      </c>
      <c r="B55" s="57" t="n">
        <v>14</v>
      </c>
      <c r="C55" s="57" t="inlineStr">
        <is>
          <t>Fuente oficial. Catálogo maestro Bloques V5/V6, división política INEI y codificación de microcuencas de la ANA.</t>
        </is>
      </c>
    </row>
    <row r="57">
      <c r="A57" s="55" t="inlineStr">
        <is>
          <t>D. ESTADO DEL CRUCE ENTRE FUENTES</t>
        </is>
      </c>
    </row>
    <row r="58">
      <c r="A58" s="56" t="inlineStr">
        <is>
          <t>Estado</t>
        </is>
      </c>
      <c r="B58" s="56" t="inlineStr">
        <is>
          <t>Hechos</t>
        </is>
      </c>
      <c r="C58" s="56" t="inlineStr">
        <is>
          <t>Significado</t>
        </is>
      </c>
    </row>
    <row r="59">
      <c r="A59" s="57" t="inlineStr">
        <is>
          <t>CONFORME</t>
        </is>
      </c>
      <c r="B59" s="57" t="n">
        <v>88</v>
      </c>
      <c r="C59" s="57" t="inlineStr">
        <is>
          <t>Las dos fuentes declaran lo mismo, o solo la fuente que manda sobre el hecho lo declara.</t>
        </is>
      </c>
    </row>
    <row r="60">
      <c r="A60" s="58" t="inlineStr">
        <is>
          <t>COMPLEMENTADO</t>
        </is>
      </c>
      <c r="B60" s="58" t="n">
        <v>6</v>
      </c>
      <c r="C60" s="58" t="inlineStr">
        <is>
          <t>Solo una de las fuentes lo declara y se adopta ese valor.</t>
        </is>
      </c>
    </row>
    <row r="61">
      <c r="A61" s="57" t="inlineStr">
        <is>
          <t>ACTUALIZADO</t>
        </is>
      </c>
      <c r="B61" s="57" t="n">
        <v>5</v>
      </c>
      <c r="C61" s="57" t="inlineStr">
        <is>
          <t>La verificación de campo vigente corrige lo que traía el libro de resumen.</t>
        </is>
      </c>
    </row>
    <row r="62">
      <c r="A62" s="58" t="inlineStr">
        <is>
          <t>DISCREPANTE</t>
        </is>
      </c>
      <c r="B62" s="58" t="n">
        <v>0</v>
      </c>
      <c r="C62" s="58" t="inlineStr">
        <is>
          <t>Las fuentes se contradicen; prevalece la que manda sobre el hecho y la otra queda declarada.</t>
        </is>
      </c>
    </row>
    <row r="63">
      <c r="A63" s="57" t="inlineStr">
        <is>
          <t>PENDIENTE</t>
        </is>
      </c>
      <c r="B63" s="57" t="n">
        <v>15</v>
      </c>
      <c r="C63"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M7B3</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M7B3-S01</t>
        </is>
      </c>
      <c r="B9" s="57" t="inlineStr">
        <is>
          <t>Surco &lt;30 cm</t>
        </is>
      </c>
      <c r="C9" s="62" t="n">
        <v>633100</v>
      </c>
      <c r="D9" s="62" t="n">
        <v>9401980</v>
      </c>
      <c r="E9" s="62" t="n">
        <v>25</v>
      </c>
      <c r="F9" s="63" t="n">
        <v>0.15</v>
      </c>
      <c r="G9" s="63" t="n">
        <v>0.2</v>
      </c>
      <c r="H9" s="57" t="inlineStr">
        <is>
          <t>Activo (estacional)</t>
        </is>
      </c>
      <c r="I9" s="57" t="inlineStr">
        <is>
          <t>Escorrentía concentrada</t>
        </is>
      </c>
    </row>
    <row r="10">
      <c r="A10" s="58" t="inlineStr">
        <is>
          <t>M7B3-S02</t>
        </is>
      </c>
      <c r="B10" s="58" t="inlineStr">
        <is>
          <t>Surco &lt;30 cm</t>
        </is>
      </c>
      <c r="C10" s="64" t="n">
        <v>633150</v>
      </c>
      <c r="D10" s="64" t="n">
        <v>9401950</v>
      </c>
      <c r="E10" s="64" t="n">
        <v>30</v>
      </c>
      <c r="F10" s="65" t="n">
        <v>0.2</v>
      </c>
      <c r="G10" s="65" t="n">
        <v>0.25</v>
      </c>
      <c r="H10" s="58" t="inlineStr">
        <is>
          <t>Activo (estacional)</t>
        </is>
      </c>
      <c r="I10" s="58" t="inlineStr">
        <is>
          <t>Sobrepastoreo + escorrentía</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Charán</t>
        </is>
      </c>
      <c r="C14" s="57" t="inlineStr">
        <is>
          <t>Caesalpinia paipai (R.&amp; P.) Tul.</t>
        </is>
      </c>
      <c r="D14" s="57" t="inlineStr">
        <is>
          <t>Fabaceae</t>
        </is>
      </c>
      <c r="E14" s="57" t="inlineStr">
        <is>
          <t>Arbóreo bajo (4-8 m)</t>
        </is>
      </c>
      <c r="F14" s="57" t="inlineStr">
        <is>
          <t>Nativa</t>
        </is>
      </c>
      <c r="G14" s="57" t="inlineStr">
        <is>
          <t>Abundante</t>
        </is>
      </c>
      <c r="H14" s="62" t="n">
        <v>12</v>
      </c>
      <c r="I14" s="63" t="n">
        <v>5</v>
      </c>
    </row>
    <row r="15">
      <c r="A15" s="58" t="inlineStr">
        <is>
          <t>2</t>
        </is>
      </c>
      <c r="B15" s="58" t="inlineStr">
        <is>
          <t>Pasallo</t>
        </is>
      </c>
      <c r="C15" s="58" t="inlineStr">
        <is>
          <t>Eriotheca ruizii (K.Schum.) A.Robyns</t>
        </is>
      </c>
      <c r="D15" s="58" t="inlineStr">
        <is>
          <t>Malvaceae</t>
        </is>
      </c>
      <c r="E15" s="58" t="inlineStr">
        <is>
          <t>Arbóreo medio (8-15 m)</t>
        </is>
      </c>
      <c r="F15" s="58" t="inlineStr">
        <is>
          <t>Nativa</t>
        </is>
      </c>
      <c r="G15" s="58" t="inlineStr">
        <is>
          <t>Común</t>
        </is>
      </c>
      <c r="H15" s="64" t="n">
        <v>30</v>
      </c>
      <c r="I15" s="65" t="n">
        <v>8</v>
      </c>
    </row>
    <row r="16">
      <c r="A16" s="57" t="inlineStr">
        <is>
          <t>3</t>
        </is>
      </c>
      <c r="B16" s="57" t="inlineStr">
        <is>
          <t>Algarrobo</t>
        </is>
      </c>
      <c r="C16" s="57" t="inlineStr">
        <is>
          <t>Neltuma pallida (ex Prosopis pallida)</t>
        </is>
      </c>
      <c r="D16" s="57" t="inlineStr">
        <is>
          <t>Fabaceae</t>
        </is>
      </c>
      <c r="E16" s="57" t="inlineStr">
        <is>
          <t>Arbóreo bajo (4-8 m)</t>
        </is>
      </c>
      <c r="F16" s="57" t="inlineStr">
        <is>
          <t>Nativa</t>
        </is>
      </c>
      <c r="G16" s="57" t="inlineStr">
        <is>
          <t>Común</t>
        </is>
      </c>
      <c r="H16" s="62" t="n">
        <v>20</v>
      </c>
      <c r="I16" s="63" t="n">
        <v>5</v>
      </c>
    </row>
    <row r="17">
      <c r="A17" s="58" t="inlineStr">
        <is>
          <t>4</t>
        </is>
      </c>
      <c r="B17" s="58" t="inlineStr">
        <is>
          <t>Hualtaco</t>
        </is>
      </c>
      <c r="C17" s="58" t="inlineStr">
        <is>
          <t>Loxopterygium huasango Spruce ex Engl.</t>
        </is>
      </c>
      <c r="D17" s="58" t="inlineStr">
        <is>
          <t>Anacardiaceae</t>
        </is>
      </c>
      <c r="E17" s="58" t="inlineStr">
        <is>
          <t>Arbóreo medio (8-15 m)</t>
        </is>
      </c>
      <c r="F17" s="58" t="inlineStr">
        <is>
          <t>Nativa</t>
        </is>
      </c>
      <c r="G17" s="58" t="inlineStr">
        <is>
          <t>Escasa</t>
        </is>
      </c>
      <c r="H17" s="64" t="n">
        <v>25</v>
      </c>
      <c r="I17" s="65" t="n">
        <v>7</v>
      </c>
    </row>
    <row r="18">
      <c r="A18" s="57" t="inlineStr">
        <is>
          <t>5</t>
        </is>
      </c>
      <c r="B18" s="57" t="inlineStr">
        <is>
          <t>Overo</t>
        </is>
      </c>
      <c r="C18" s="57" t="inlineStr">
        <is>
          <t>Cordia lutea Lam.</t>
        </is>
      </c>
      <c r="D18" s="57" t="inlineStr">
        <is>
          <t>Cordiaceae</t>
        </is>
      </c>
      <c r="E18" s="57" t="inlineStr">
        <is>
          <t>Arbustivo alto (1.5-4 m)</t>
        </is>
      </c>
      <c r="F18" s="57" t="inlineStr">
        <is>
          <t>Nativa</t>
        </is>
      </c>
      <c r="G18" s="57" t="inlineStr">
        <is>
          <t>Común</t>
        </is>
      </c>
      <c r="H18" s="63" t="n">
        <v>8</v>
      </c>
      <c r="I18" s="63" t="n">
        <v>2</v>
      </c>
    </row>
    <row r="19">
      <c r="A19" s="58" t="inlineStr">
        <is>
          <t>6</t>
        </is>
      </c>
      <c r="B19" s="58" t="inlineStr">
        <is>
          <t>Palo Blanco</t>
        </is>
      </c>
      <c r="C19" s="58" t="inlineStr">
        <is>
          <t>Por determinar (probable Celtis sp. / Cynophalla sp.)</t>
        </is>
      </c>
      <c r="D19" s="58" t="inlineStr">
        <is>
          <t>Por determinar</t>
        </is>
      </c>
      <c r="E19" s="58" t="inlineStr">
        <is>
          <t>Arbóreo bajo (4-8 m)</t>
        </is>
      </c>
      <c r="F19" s="58" t="inlineStr">
        <is>
          <t>Nativa</t>
        </is>
      </c>
      <c r="G19" s="58" t="inlineStr">
        <is>
          <t>Muy escasa (depredada)</t>
        </is>
      </c>
      <c r="H19" s="64" t="n">
        <v>10</v>
      </c>
      <c r="I19" s="65" t="n">
        <v>4</v>
      </c>
    </row>
    <row r="20">
      <c r="A20" s="57" t="inlineStr">
        <is>
          <t>7</t>
        </is>
      </c>
      <c r="B20" s="57" t="inlineStr">
        <is>
          <t>Cardón / Gigantón</t>
        </is>
      </c>
      <c r="C20" s="57" t="inlineStr">
        <is>
          <t>Armatocereus cartwrightianus Britton &amp; Rose</t>
        </is>
      </c>
      <c r="D20" s="57" t="inlineStr">
        <is>
          <t>Cactaceae</t>
        </is>
      </c>
      <c r="E20" s="57" t="inlineStr">
        <is>
          <t>Suculenta columnar</t>
        </is>
      </c>
      <c r="F20" s="57" t="inlineStr">
        <is>
          <t>Endémica</t>
        </is>
      </c>
      <c r="G20" s="57" t="inlineStr">
        <is>
          <t>Abundante</t>
        </is>
      </c>
      <c r="H20" s="57" t="n"/>
      <c r="I20" s="63" t="n">
        <v>3</v>
      </c>
    </row>
    <row r="21">
      <c r="A21" s="58" t="inlineStr">
        <is>
          <t>8</t>
        </is>
      </c>
      <c r="B21" s="58" t="inlineStr">
        <is>
          <t>Sapote</t>
        </is>
      </c>
      <c r="C21" s="58" t="inlineStr">
        <is>
          <t>Capparis scabrida Kunth</t>
        </is>
      </c>
      <c r="D21" s="58" t="inlineStr">
        <is>
          <t>Capparaceae</t>
        </is>
      </c>
      <c r="E21" s="58" t="inlineStr">
        <is>
          <t>Arbóreo bajo (4-8 m)</t>
        </is>
      </c>
      <c r="F21" s="58" t="inlineStr">
        <is>
          <t>Nativa</t>
        </is>
      </c>
      <c r="G21" s="58" t="inlineStr">
        <is>
          <t>Común</t>
        </is>
      </c>
      <c r="H21" s="64" t="n">
        <v>15</v>
      </c>
      <c r="I21" s="65" t="n">
        <v>4</v>
      </c>
    </row>
    <row r="22">
      <c r="A22" s="57" t="inlineStr">
        <is>
          <t>9</t>
        </is>
      </c>
      <c r="B22" s="57" t="inlineStr">
        <is>
          <t>Faique</t>
        </is>
      </c>
      <c r="C22" s="57" t="inlineStr">
        <is>
          <t>Vachellia macracantha (ex Acacia macracantha)</t>
        </is>
      </c>
      <c r="D22" s="57" t="inlineStr">
        <is>
          <t>Fabaceae</t>
        </is>
      </c>
      <c r="E22" s="57" t="inlineStr">
        <is>
          <t>Arbóreo bajo (4-8 m)</t>
        </is>
      </c>
      <c r="F22" s="57" t="inlineStr">
        <is>
          <t>Nativa</t>
        </is>
      </c>
      <c r="G22" s="57" t="inlineStr">
        <is>
          <t>Común</t>
        </is>
      </c>
      <c r="H22" s="62" t="n">
        <v>15</v>
      </c>
      <c r="I22" s="63" t="n">
        <v>5</v>
      </c>
    </row>
    <row r="23">
      <c r="A23" s="58" t="inlineStr">
        <is>
          <t>10</t>
        </is>
      </c>
      <c r="B23" s="58" t="inlineStr">
        <is>
          <t>Borrachera</t>
        </is>
      </c>
      <c r="C23" s="58" t="inlineStr">
        <is>
          <t>Ipomoea sp.</t>
        </is>
      </c>
      <c r="D23" s="58" t="inlineStr">
        <is>
          <t>Convolvulaceae</t>
        </is>
      </c>
      <c r="E23" s="58" t="inlineStr">
        <is>
          <t>Trepador</t>
        </is>
      </c>
      <c r="F23" s="58" t="inlineStr">
        <is>
          <t>Por determinar</t>
        </is>
      </c>
      <c r="G23" s="58" t="inlineStr">
        <is>
          <t>Abundante</t>
        </is>
      </c>
      <c r="H23" s="58" t="n"/>
      <c r="I23" s="65" t="n">
        <v>0.3</v>
      </c>
    </row>
    <row r="25">
      <c r="A25" s="55" t="inlineStr">
        <is>
          <t>F-DT-03 · ESPECIES CLAVE GEORREFERENCIADAS</t>
        </is>
      </c>
    </row>
    <row r="26">
      <c r="A26" s="56" t="inlineStr">
        <is>
          <t>N.o</t>
        </is>
      </c>
      <c r="B26" s="56" t="inlineStr">
        <is>
          <t>Especie</t>
        </is>
      </c>
      <c r="C26" s="56" t="inlineStr">
        <is>
          <t>Categoría</t>
        </is>
      </c>
      <c r="D26" s="56" t="inlineStr">
        <is>
          <t>Estado UICN</t>
        </is>
      </c>
      <c r="E26" s="56" t="inlineStr">
        <is>
          <t>UTM ESTE</t>
        </is>
      </c>
      <c r="F26" s="56" t="inlineStr">
        <is>
          <t>UTM NORTE</t>
        </is>
      </c>
      <c r="G26" s="56" t="inlineStr">
        <is>
          <t>N.° individuos</t>
        </is>
      </c>
      <c r="H26" s="56" t="inlineStr">
        <is>
          <t>Observación</t>
        </is>
      </c>
    </row>
    <row r="27">
      <c r="A27" s="57" t="inlineStr">
        <is>
          <t>1</t>
        </is>
      </c>
      <c r="B27" s="57" t="inlineStr">
        <is>
          <t>Palo Blanco (en determinación)</t>
        </is>
      </c>
      <c r="C27" s="57" t="inlineStr">
        <is>
          <t>Indicadora de perturbación + uso cultural</t>
        </is>
      </c>
      <c r="D27" s="57" t="inlineStr">
        <is>
          <t>Sin evaluación formal</t>
        </is>
      </c>
      <c r="E27" s="62" t="n">
        <v>633568</v>
      </c>
      <c r="F27" s="62" t="n">
        <v>9401457</v>
      </c>
      <c r="G27" s="63" t="n">
        <v>3</v>
      </c>
      <c r="H27" s="57" t="inlineStr">
        <is>
          <t>Especie altamente apreciada; tala selectiva intensiva histórica. Topónimo del CP.</t>
        </is>
      </c>
    </row>
    <row r="28">
      <c r="A28" s="58" t="inlineStr">
        <is>
          <t>2</t>
        </is>
      </c>
      <c r="B28" s="58" t="inlineStr">
        <is>
          <t>Hualtaco — Loxopterygium huasango</t>
        </is>
      </c>
      <c r="C28" s="58" t="inlineStr">
        <is>
          <t>Amenazada (D.S. 043-2006-AG)</t>
        </is>
      </c>
      <c r="D28" s="58" t="inlineStr">
        <is>
          <t>En Peligro (EN)</t>
        </is>
      </c>
      <c r="E28" s="64" t="n">
        <v>633195</v>
      </c>
      <c r="F28" s="64" t="n">
        <v>9401965</v>
      </c>
      <c r="G28" s="65" t="n">
        <v>4</v>
      </c>
      <c r="H28" s="58" t="inlineStr">
        <is>
          <t>Especie amenazada nacional; remanentes dispersos. Prioridad de conservación.</t>
        </is>
      </c>
    </row>
    <row r="29">
      <c r="A29" s="57" t="inlineStr">
        <is>
          <t>3</t>
        </is>
      </c>
      <c r="B29" s="57" t="inlineStr">
        <is>
          <t>Charán — Caesalpinia paipai</t>
        </is>
      </c>
      <c r="C29" s="57" t="inlineStr">
        <is>
          <t>Indicadora buen estado bosque seco</t>
        </is>
      </c>
      <c r="D29" s="57" t="inlineStr">
        <is>
          <t>Preocupación Menor (LC)</t>
        </is>
      </c>
      <c r="E29" s="62" t="n">
        <v>633164</v>
      </c>
      <c r="F29" s="62" t="n">
        <v>9402010</v>
      </c>
      <c r="G29" s="57" t="n"/>
      <c r="H29" s="57" t="inlineStr">
        <is>
          <t>Especie estructural del bosque seco; regeneración observada en ladera baja.</t>
        </is>
      </c>
    </row>
    <row r="30">
      <c r="A30" s="58" t="inlineStr">
        <is>
          <t>4</t>
        </is>
      </c>
      <c r="B30" s="58" t="inlineStr">
        <is>
          <t>Pasallo — Eriotheca ruizii</t>
        </is>
      </c>
      <c r="C30" s="58" t="inlineStr">
        <is>
          <t>Indicadora buen estado bosque seco</t>
        </is>
      </c>
      <c r="D30" s="58" t="inlineStr">
        <is>
          <t>Preocupación Menor (LC)</t>
        </is>
      </c>
      <c r="E30" s="64" t="n">
        <v>633171</v>
      </c>
      <c r="F30" s="64" t="n">
        <v>9402000</v>
      </c>
      <c r="G30" s="64" t="n">
        <v>10</v>
      </c>
      <c r="H30" s="58" t="inlineStr">
        <is>
          <t>Especie clave de cumbre y ladera alta; ejemplares maduros visibles en cima.</t>
        </is>
      </c>
    </row>
    <row r="31">
      <c r="A31" s="57" t="inlineStr">
        <is>
          <t>5</t>
        </is>
      </c>
      <c r="B31" s="57" t="inlineStr">
        <is>
          <t>Cardón — Armatocereus cartwrightianus</t>
        </is>
      </c>
      <c r="C31" s="57" t="inlineStr">
        <is>
          <t>Endémica del Perú + Indicadora buen estado</t>
        </is>
      </c>
      <c r="D31" s="57" t="inlineStr">
        <is>
          <t>No evaluada UICN globalmente</t>
        </is>
      </c>
      <c r="E31" s="62" t="n">
        <v>633094</v>
      </c>
      <c r="F31" s="62" t="n">
        <v>9401958</v>
      </c>
      <c r="G31" s="57" t="n"/>
      <c r="H31" s="57" t="inlineStr">
        <is>
          <t>Cactácea columnar endémica del bosque seco peruano. Elemento estructural clave.</t>
        </is>
      </c>
    </row>
    <row r="32">
      <c r="A32" s="58" t="inlineStr">
        <is>
          <t>6</t>
        </is>
      </c>
      <c r="B32" s="58" t="inlineStr">
        <is>
          <t>Algarrobo — Neltuma pallida</t>
        </is>
      </c>
      <c r="C32" s="58" t="inlineStr">
        <is>
          <t>Indicadora buen estado bosque seco</t>
        </is>
      </c>
      <c r="D32" s="58" t="inlineStr">
        <is>
          <t>Preocupación Menor (LC)</t>
        </is>
      </c>
      <c r="E32" s="64" t="n">
        <v>633171</v>
      </c>
      <c r="F32" s="64" t="n">
        <v>9402000</v>
      </c>
      <c r="G32" s="58" t="n"/>
      <c r="H32" s="58" t="inlineStr">
        <is>
          <t>Especie nodal del bosque seco; usos múltiples (sombra, leña, vainas para ganado).</t>
        </is>
      </c>
    </row>
    <row r="34">
      <c r="A34" s="55" t="inlineStr">
        <is>
          <t>F-DT-04 · MATRIZ DE CAUSAS DE DEGRADACIÓN</t>
        </is>
      </c>
    </row>
    <row r="35">
      <c r="A35" s="56" t="inlineStr">
        <is>
          <t>N.o</t>
        </is>
      </c>
      <c r="B35" s="56" t="inlineStr">
        <is>
          <t>Causa</t>
        </is>
      </c>
      <c r="C35" s="56" t="inlineStr">
        <is>
          <t>Presencia</t>
        </is>
      </c>
      <c r="D35" s="56" t="inlineStr">
        <is>
          <t>Intensidad</t>
        </is>
      </c>
      <c r="E35" s="56" t="inlineStr">
        <is>
          <t>Extensión</t>
        </is>
      </c>
      <c r="F35" s="56" t="inlineStr">
        <is>
          <t>Antigüedad</t>
        </is>
      </c>
      <c r="G35" s="56" t="inlineStr">
        <is>
          <t>Evidencia</t>
        </is>
      </c>
    </row>
    <row r="36">
      <c r="A36" s="57" t="inlineStr">
        <is>
          <t>1</t>
        </is>
      </c>
      <c r="B36" s="57" t="inlineStr">
        <is>
          <t>Sobrepastoreo (caprino/vacuno)</t>
        </is>
      </c>
      <c r="C36" s="57" t="inlineStr">
        <is>
          <t>Sí</t>
        </is>
      </c>
      <c r="D36" s="57" t="inlineStr">
        <is>
          <t>M</t>
        </is>
      </c>
      <c r="E36" s="57" t="inlineStr">
        <is>
          <t>60%</t>
        </is>
      </c>
      <c r="F36" s="57" t="inlineStr">
        <is>
          <t>&gt;30 años</t>
        </is>
      </c>
      <c r="G36" s="57" t="inlineStr">
        <is>
          <t>Ramoneo en sotobosque, senderos de ganado, suelos compactados localizados.</t>
        </is>
      </c>
    </row>
    <row r="37">
      <c r="A37" s="58" t="inlineStr">
        <is>
          <t>2</t>
        </is>
      </c>
      <c r="B37" s="58" t="inlineStr">
        <is>
          <t>Tala para leña</t>
        </is>
      </c>
      <c r="C37" s="58" t="inlineStr">
        <is>
          <t>Sí</t>
        </is>
      </c>
      <c r="D37" s="58" t="inlineStr">
        <is>
          <t>M</t>
        </is>
      </c>
      <c r="E37" s="58" t="inlineStr">
        <is>
          <t>50%</t>
        </is>
      </c>
      <c r="F37" s="58" t="inlineStr">
        <is>
          <t>&gt;30 años</t>
        </is>
      </c>
      <c r="G37" s="58" t="inlineStr">
        <is>
          <t>Probable extracción para combustible doméstico. A confirmar en diagnóstico social.</t>
        </is>
      </c>
    </row>
    <row r="38">
      <c r="A38" s="57" t="inlineStr">
        <is>
          <t>3</t>
        </is>
      </c>
      <c r="B38" s="57" t="inlineStr">
        <is>
          <t>Tala para carbón</t>
        </is>
      </c>
      <c r="C38" s="57" t="inlineStr">
        <is>
          <t>No</t>
        </is>
      </c>
      <c r="D38" s="57" t="inlineStr">
        <is>
          <t>N</t>
        </is>
      </c>
      <c r="E38" s="57" t="inlineStr">
        <is>
          <t>—</t>
        </is>
      </c>
      <c r="F38" s="57" t="inlineStr">
        <is>
          <t>—</t>
        </is>
      </c>
      <c r="G38" s="57" t="inlineStr">
        <is>
          <t>No se observan hornos de carbón ni evidencia de aprovechamiento sistemático.</t>
        </is>
      </c>
    </row>
    <row r="39">
      <c r="A39" s="58" t="inlineStr">
        <is>
          <t>4</t>
        </is>
      </c>
      <c r="B39" s="58" t="inlineStr">
        <is>
          <t>Tala para madera</t>
        </is>
      </c>
      <c r="C39" s="58" t="inlineStr">
        <is>
          <t>Sí</t>
        </is>
      </c>
      <c r="D39" s="58" t="inlineStr">
        <is>
          <t>F</t>
        </is>
      </c>
      <c r="E39" s="58" t="inlineStr">
        <is>
          <t>50%</t>
        </is>
      </c>
      <c r="F39" s="58" t="inlineStr">
        <is>
          <t>&gt;50 años</t>
        </is>
      </c>
      <c r="G39" s="58" t="inlineStr">
        <is>
          <t>Tala selectiva intensiva del Palo Blanco — especie cultural depredada hasta condición crítica local. Topónimo del CP.</t>
        </is>
      </c>
    </row>
    <row r="40">
      <c r="A40" s="57" t="inlineStr">
        <is>
          <t>5</t>
        </is>
      </c>
      <c r="B40" s="57" t="inlineStr">
        <is>
          <t>Quema (renovación pastos)</t>
        </is>
      </c>
      <c r="C40" s="57" t="inlineStr">
        <is>
          <t>Por verificar</t>
        </is>
      </c>
      <c r="D40" s="57" t="inlineStr">
        <is>
          <t>L</t>
        </is>
      </c>
      <c r="E40" s="57" t="inlineStr">
        <is>
          <t>20%</t>
        </is>
      </c>
      <c r="F40" s="57" t="inlineStr">
        <is>
          <t>Por verificar</t>
        </is>
      </c>
      <c r="G40" s="57" t="inlineStr">
        <is>
          <t>Probable. Verificar con análisis multitemporal MSAVI/NDVI Theil-Sen.</t>
        </is>
      </c>
    </row>
    <row r="41">
      <c r="A41" s="58" t="inlineStr">
        <is>
          <t>6</t>
        </is>
      </c>
      <c r="B41" s="58" t="inlineStr">
        <is>
          <t>Quema accidental / Incendio</t>
        </is>
      </c>
      <c r="C41" s="58" t="inlineStr">
        <is>
          <t>No</t>
        </is>
      </c>
      <c r="D41" s="58" t="inlineStr">
        <is>
          <t>N</t>
        </is>
      </c>
      <c r="E41" s="58" t="inlineStr">
        <is>
          <t>—</t>
        </is>
      </c>
      <c r="F41" s="58" t="inlineStr">
        <is>
          <t>—</t>
        </is>
      </c>
      <c r="G41" s="58" t="inlineStr">
        <is>
          <t>No se observan evidencias frescas en la visita.</t>
        </is>
      </c>
    </row>
    <row r="42">
      <c r="A42" s="57" t="inlineStr">
        <is>
          <t>7</t>
        </is>
      </c>
      <c r="B42" s="57" t="inlineStr">
        <is>
          <t>Cambio uso a agricultura</t>
        </is>
      </c>
      <c r="C42" s="57" t="inlineStr">
        <is>
          <t>No</t>
        </is>
      </c>
      <c r="D42" s="57" t="inlineStr">
        <is>
          <t>N</t>
        </is>
      </c>
      <c r="E42" s="57" t="inlineStr">
        <is>
          <t>—</t>
        </is>
      </c>
      <c r="F42" s="57" t="inlineStr">
        <is>
          <t>—</t>
        </is>
      </c>
      <c r="G42" s="57" t="inlineStr">
        <is>
          <t>No hay agricultura en el polígono.</t>
        </is>
      </c>
    </row>
    <row r="43">
      <c r="A43" s="58" t="inlineStr">
        <is>
          <t>8</t>
        </is>
      </c>
      <c r="B43" s="58" t="inlineStr">
        <is>
          <t>Cambio uso a pastoreo</t>
        </is>
      </c>
      <c r="C43" s="58" t="inlineStr">
        <is>
          <t>Sí</t>
        </is>
      </c>
      <c r="D43" s="58" t="inlineStr">
        <is>
          <t>M</t>
        </is>
      </c>
      <c r="E43" s="58" t="inlineStr">
        <is>
          <t>30%</t>
        </is>
      </c>
      <c r="F43" s="58" t="inlineStr">
        <is>
          <t>&gt;30 años</t>
        </is>
      </c>
      <c r="G43" s="58" t="inlineStr">
        <is>
          <t>Cambio histórico de uso a pastoreo extensivo en ladera baja y media.</t>
        </is>
      </c>
    </row>
    <row r="44">
      <c r="A44" s="57" t="inlineStr">
        <is>
          <t>9</t>
        </is>
      </c>
      <c r="B44" s="57" t="inlineStr">
        <is>
          <t>Expansión urbana / vial</t>
        </is>
      </c>
      <c r="C44" s="57" t="inlineStr">
        <is>
          <t>Sí</t>
        </is>
      </c>
      <c r="D44" s="57" t="inlineStr">
        <is>
          <t>L</t>
        </is>
      </c>
      <c r="E44" s="57" t="inlineStr">
        <is>
          <t>5%</t>
        </is>
      </c>
      <c r="F44" s="57" t="inlineStr">
        <is>
          <t>&gt;30 años</t>
        </is>
      </c>
      <c r="G44" s="57" t="inlineStr">
        <is>
          <t>Borde con la PE-02A (vía departamental asfaltada). Sin nuevas urbanizaciones.</t>
        </is>
      </c>
    </row>
    <row r="45">
      <c r="A45" s="58" t="inlineStr">
        <is>
          <t>10</t>
        </is>
      </c>
      <c r="B45" s="58" t="inlineStr">
        <is>
          <t>Minería informal</t>
        </is>
      </c>
      <c r="C45" s="58" t="inlineStr">
        <is>
          <t>No</t>
        </is>
      </c>
      <c r="D45" s="58" t="inlineStr">
        <is>
          <t>N</t>
        </is>
      </c>
      <c r="E45" s="58" t="inlineStr">
        <is>
          <t>—</t>
        </is>
      </c>
      <c r="F45" s="58" t="inlineStr">
        <is>
          <t>—</t>
        </is>
      </c>
      <c r="G45" s="58" t="inlineStr">
        <is>
          <t>Sin actividades mineras dentro o adyacentes al polígono.</t>
        </is>
      </c>
    </row>
    <row r="46">
      <c r="A46" s="57" t="inlineStr">
        <is>
          <t>11</t>
        </is>
      </c>
      <c r="B46" s="57" t="inlineStr">
        <is>
          <t>Extracción de áridos (cauces)</t>
        </is>
      </c>
      <c r="C46" s="57" t="inlineStr">
        <is>
          <t>No</t>
        </is>
      </c>
      <c r="D46" s="57" t="inlineStr">
        <is>
          <t>N</t>
        </is>
      </c>
      <c r="E46" s="57" t="inlineStr">
        <is>
          <t>—</t>
        </is>
      </c>
      <c r="F46" s="57" t="inlineStr">
        <is>
          <t>—</t>
        </is>
      </c>
      <c r="G46" s="57" t="inlineStr">
        <is>
          <t>No se identifican puntos de extracción dentro del polígono.</t>
        </is>
      </c>
    </row>
    <row r="47">
      <c r="A47" s="58" t="inlineStr">
        <is>
          <t>12</t>
        </is>
      </c>
      <c r="B47" s="58" t="inlineStr">
        <is>
          <t>Especies invasoras</t>
        </is>
      </c>
      <c r="C47" s="58" t="inlineStr">
        <is>
          <t>No</t>
        </is>
      </c>
      <c r="D47" s="58" t="inlineStr">
        <is>
          <t>—</t>
        </is>
      </c>
      <c r="E47" s="58" t="inlineStr">
        <is>
          <t>&lt;5%</t>
        </is>
      </c>
      <c r="F47" s="58" t="inlineStr">
        <is>
          <t>—</t>
        </is>
      </c>
      <c r="G47" s="58" t="inlineStr">
        <is>
          <t>Sin presencia clara de invasoras dominantes. Verificar en F-EE.</t>
        </is>
      </c>
    </row>
    <row r="48">
      <c r="A48" s="57" t="inlineStr">
        <is>
          <t>13</t>
        </is>
      </c>
      <c r="B48" s="57" t="inlineStr">
        <is>
          <t>Erosión natural severa</t>
        </is>
      </c>
      <c r="C48" s="57" t="inlineStr">
        <is>
          <t>Sí</t>
        </is>
      </c>
      <c r="D48" s="57" t="inlineStr">
        <is>
          <t>M</t>
        </is>
      </c>
      <c r="E48" s="57" t="inlineStr">
        <is>
          <t>25-35%</t>
        </is>
      </c>
      <c r="F48" s="57" t="inlineStr">
        <is>
          <t>—</t>
        </is>
      </c>
      <c r="G48" s="57" t="inlineStr">
        <is>
          <t>Áreas con MSAVI ≤ 0.265, suelo desnudo en ladera frontal. Erosión laminar moderada.</t>
        </is>
      </c>
    </row>
    <row r="49">
      <c r="A49" s="58" t="inlineStr">
        <is>
          <t>14</t>
        </is>
      </c>
      <c r="B49" s="58" t="inlineStr">
        <is>
          <t>Sequía prolongada / Cambio climático</t>
        </is>
      </c>
      <c r="C49" s="58" t="inlineStr">
        <is>
          <t>Sí</t>
        </is>
      </c>
      <c r="D49" s="58" t="inlineStr">
        <is>
          <t>M</t>
        </is>
      </c>
      <c r="E49" s="58" t="inlineStr">
        <is>
          <t>100%</t>
        </is>
      </c>
      <c r="F49" s="58" t="inlineStr">
        <is>
          <t>—</t>
        </is>
      </c>
      <c r="G49" s="58" t="inlineStr">
        <is>
          <t>Estrés hídrico estacional generalizado; afecta regeneración natural.</t>
        </is>
      </c>
    </row>
    <row r="50">
      <c r="A50" s="57" t="inlineStr">
        <is>
          <t>15</t>
        </is>
      </c>
      <c r="B50" s="57" t="inlineStr">
        <is>
          <t>Plagas o enfermedades forestales</t>
        </is>
      </c>
      <c r="C50" s="57" t="inlineStr">
        <is>
          <t>No</t>
        </is>
      </c>
      <c r="D50" s="57" t="inlineStr">
        <is>
          <t>N</t>
        </is>
      </c>
      <c r="E50" s="57" t="inlineStr">
        <is>
          <t>—</t>
        </is>
      </c>
      <c r="F50" s="57" t="inlineStr">
        <is>
          <t>—</t>
        </is>
      </c>
      <c r="G50" s="57" t="inlineStr">
        <is>
          <t>No se observaron plagas significativas. Estado sanitario general bueno.</t>
        </is>
      </c>
    </row>
    <row r="51">
      <c r="A51" s="58" t="inlineStr">
        <is>
          <t>16</t>
        </is>
      </c>
      <c r="B51" s="58" t="inlineStr">
        <is>
          <t>Otro: presión por borde vial PE-02A</t>
        </is>
      </c>
      <c r="C51" s="58" t="inlineStr">
        <is>
          <t>Sí</t>
        </is>
      </c>
      <c r="D51" s="58" t="inlineStr">
        <is>
          <t>L</t>
        </is>
      </c>
      <c r="E51" s="58" t="inlineStr">
        <is>
          <t>—</t>
        </is>
      </c>
      <c r="F51" s="58" t="inlineStr">
        <is>
          <t>—</t>
        </is>
      </c>
      <c r="G51" s="58" t="inlineStr">
        <is>
          <t>Presión por borde vial PE-02A — riesgo de incendios marginales.</t>
        </is>
      </c>
    </row>
    <row r="53">
      <c r="A53" s="55" t="inlineStr">
        <is>
          <t>F-DT-04 · INDICADORES CUANTITATIVOS</t>
        </is>
      </c>
    </row>
    <row r="54">
      <c r="A54" s="56" t="inlineStr">
        <is>
          <t>N.o</t>
        </is>
      </c>
      <c r="B54" s="56" t="inlineStr">
        <is>
          <t>Indicador</t>
        </is>
      </c>
      <c r="C54" s="56" t="inlineStr">
        <is>
          <t>Unidad</t>
        </is>
      </c>
      <c r="D54" s="56" t="inlineStr">
        <is>
          <t>Valor</t>
        </is>
      </c>
      <c r="E54" s="56" t="inlineStr">
        <is>
          <t>Fuente</t>
        </is>
      </c>
      <c r="F54" s="56" t="inlineStr">
        <is>
          <t>Umbral</t>
        </is>
      </c>
      <c r="G54" s="56" t="inlineStr">
        <is>
          <t>Nivel</t>
        </is>
      </c>
    </row>
    <row r="55">
      <c r="A55" s="57" t="inlineStr">
        <is>
          <t>1</t>
        </is>
      </c>
      <c r="B55" s="57" t="inlineStr">
        <is>
          <t>Cobertura vegetal total</t>
        </is>
      </c>
      <c r="C55" s="57" t="inlineStr">
        <is>
          <t>%</t>
        </is>
      </c>
      <c r="D55" s="57" t="inlineStr">
        <is>
          <t>70</t>
        </is>
      </c>
      <c r="E55" s="57" t="inlineStr">
        <is>
          <t>Verif. campo + MSAVI 14-24</t>
        </is>
      </c>
      <c r="F55" s="57" t="inlineStr">
        <is>
          <t>&gt;60% bueno; 30-60% medio; &lt;30% malo</t>
        </is>
      </c>
      <c r="G55" s="57" t="inlineStr">
        <is>
          <t>Bueno (&gt;60%)</t>
        </is>
      </c>
    </row>
    <row r="56">
      <c r="A56" s="58" t="inlineStr">
        <is>
          <t>2</t>
        </is>
      </c>
      <c r="B56" s="58" t="inlineStr">
        <is>
          <t>Porcentaje de suelo desnudo</t>
        </is>
      </c>
      <c r="C56" s="58" t="inlineStr">
        <is>
          <t>%</t>
        </is>
      </c>
      <c r="D56" s="58" t="inlineStr">
        <is>
          <t>25</t>
        </is>
      </c>
      <c r="E56" s="58" t="inlineStr">
        <is>
          <t>Verif. campo + MSAVI &lt;0.265</t>
        </is>
      </c>
      <c r="F56" s="58" t="inlineStr">
        <is>
          <t>&lt;10% bueno; 10-30% medio; &gt;30% malo</t>
        </is>
      </c>
      <c r="G56" s="58" t="inlineStr">
        <is>
          <t>Medio (10-30%)</t>
        </is>
      </c>
    </row>
    <row r="57">
      <c r="A57" s="57" t="inlineStr">
        <is>
          <t>3</t>
        </is>
      </c>
      <c r="B57" s="57" t="inlineStr">
        <is>
          <t>Densidad de cárcavas</t>
        </is>
      </c>
      <c r="C57" s="57" t="inlineStr">
        <is>
          <t>N°/ha</t>
        </is>
      </c>
      <c r="D57" s="57" t="inlineStr">
        <is>
          <t>Por determinar</t>
        </is>
      </c>
      <c r="E57" s="57" t="inlineStr">
        <is>
          <t>Pendiente inventario completo</t>
        </is>
      </c>
      <c r="F57" s="57" t="inlineStr">
        <is>
          <t>0 nulo; 1-3 medio; &gt;3 alto</t>
        </is>
      </c>
      <c r="G57" s="57" t="inlineStr">
        <is>
          <t>Por determinar</t>
        </is>
      </c>
    </row>
    <row r="58">
      <c r="A58" s="58" t="inlineStr">
        <is>
          <t>4</t>
        </is>
      </c>
      <c r="B58" s="58" t="inlineStr">
        <is>
          <t>Presencia de especies invasoras</t>
        </is>
      </c>
      <c r="C58" s="58" t="inlineStr">
        <is>
          <t>% área</t>
        </is>
      </c>
      <c r="D58" s="58" t="inlineStr">
        <is>
          <t>&lt;5</t>
        </is>
      </c>
      <c r="E58" s="58" t="inlineStr">
        <is>
          <t>Verif. campo</t>
        </is>
      </c>
      <c r="F58" s="58" t="inlineStr">
        <is>
          <t>&lt;5% bueno; 5-20% medio; &gt;20% alto</t>
        </is>
      </c>
      <c r="G58" s="58" t="inlineStr">
        <is>
          <t>Bueno</t>
        </is>
      </c>
    </row>
    <row r="59">
      <c r="A59" s="57" t="inlineStr">
        <is>
          <t>5</t>
        </is>
      </c>
      <c r="B59" s="57" t="inlineStr">
        <is>
          <t>Carga ganadera estimada</t>
        </is>
      </c>
      <c r="C59" s="57" t="inlineStr">
        <is>
          <t>UA/ha</t>
        </is>
      </c>
      <c r="D59" s="57" t="inlineStr">
        <is>
          <t>Por determinar</t>
        </is>
      </c>
      <c r="E59" s="57" t="inlineStr">
        <is>
          <t>Pendiente diagnóstico social (F-DS)</t>
        </is>
      </c>
      <c r="F59" s="57" t="inlineStr">
        <is>
          <t>Según tipo de ecosistema</t>
        </is>
      </c>
      <c r="G59" s="57" t="inlineStr">
        <is>
          <t>Por determinar</t>
        </is>
      </c>
    </row>
    <row r="60">
      <c r="A60" s="58" t="inlineStr">
        <is>
          <t>6</t>
        </is>
      </c>
      <c r="B60" s="58" t="inlineStr">
        <is>
          <t>Frecuencia de quemas últimos 5 años</t>
        </is>
      </c>
      <c r="C60" s="58" t="inlineStr">
        <is>
          <t>N°</t>
        </is>
      </c>
      <c r="D60" s="58" t="inlineStr">
        <is>
          <t>Por determinar</t>
        </is>
      </c>
      <c r="E60" s="58" t="inlineStr">
        <is>
          <t>Pendiente análisis multitemporal</t>
        </is>
      </c>
      <c r="F60" s="58" t="inlineStr">
        <is>
          <t>0 nulo; 1-2 medio; &gt;2 alto</t>
        </is>
      </c>
      <c r="G60" s="58" t="inlineStr">
        <is>
          <t>Por determinar</t>
        </is>
      </c>
    </row>
    <row r="61">
      <c r="A61" s="57" t="inlineStr">
        <is>
          <t>7</t>
        </is>
      </c>
      <c r="B61" s="57" t="inlineStr">
        <is>
          <t>% área con pendiente &gt;50%</t>
        </is>
      </c>
      <c r="C61" s="57" t="inlineStr">
        <is>
          <t>%</t>
        </is>
      </c>
      <c r="D61" s="57" t="inlineStr">
        <is>
          <t>30-40</t>
        </is>
      </c>
      <c r="E61" s="57" t="inlineStr">
        <is>
          <t>Estimación Google Earth + DEM</t>
        </is>
      </c>
      <c r="F61" s="57" t="inlineStr">
        <is>
          <t>Factor de susceptibilidad</t>
        </is>
      </c>
      <c r="G61" s="57" t="inlineStr">
        <is>
          <t>Alto</t>
        </is>
      </c>
    </row>
    <row r="62">
      <c r="A62" s="58" t="inlineStr">
        <is>
          <t>8</t>
        </is>
      </c>
      <c r="B62" s="58" t="inlineStr">
        <is>
          <t>Distancia a vía vecinal más cercana</t>
        </is>
      </c>
      <c r="C62" s="58" t="inlineStr">
        <is>
          <t>m</t>
        </is>
      </c>
      <c r="D62" s="58" t="inlineStr">
        <is>
          <t>0</t>
        </is>
      </c>
      <c r="E62" s="58" t="inlineStr">
        <is>
          <t>GIS — colindancia directa con PE-02A</t>
        </is>
      </c>
      <c r="F62" s="58" t="inlineStr">
        <is>
          <t>A menor distancia → mayor presión</t>
        </is>
      </c>
      <c r="G62" s="58" t="inlineStr">
        <is>
          <t>Alto</t>
        </is>
      </c>
    </row>
    <row r="64">
      <c r="A64" s="55" t="inlineStr">
        <is>
          <t>F-DT-05 · FUENTES DE AGUA INVENTARIADAS</t>
        </is>
      </c>
    </row>
    <row r="65">
      <c r="A65" s="56" t="inlineStr">
        <is>
          <t>N.o</t>
        </is>
      </c>
      <c r="B65" s="56" t="inlineStr">
        <is>
          <t>Tipo de fuente</t>
        </is>
      </c>
      <c r="C65" s="56" t="inlineStr">
        <is>
          <t>UTM ESTE</t>
        </is>
      </c>
      <c r="D65" s="56" t="inlineStr">
        <is>
          <t>UTM NORTE</t>
        </is>
      </c>
      <c r="E65" s="56" t="inlineStr">
        <is>
          <t>Régimen</t>
        </is>
      </c>
      <c r="F65" s="56" t="inlineStr">
        <is>
          <t>Calidad</t>
        </is>
      </c>
      <c r="G65" s="56" t="inlineStr">
        <is>
          <t>Distancia (m)</t>
        </is>
      </c>
      <c r="H65" s="56" t="inlineStr">
        <is>
          <t>Uso / observación</t>
        </is>
      </c>
    </row>
    <row r="66">
      <c r="A66" s="57" t="inlineStr">
        <is>
          <t>1</t>
        </is>
      </c>
      <c r="B66" s="57" t="inlineStr">
        <is>
          <t>Río</t>
        </is>
      </c>
      <c r="C66" s="62" t="n">
        <v>633400</v>
      </c>
      <c r="D66" s="62" t="n">
        <v>9401500</v>
      </c>
      <c r="E66" s="57" t="inlineStr">
        <is>
          <t>Permanente</t>
        </is>
      </c>
      <c r="F66" s="57" t="inlineStr">
        <is>
          <t>Aceptable</t>
        </is>
      </c>
      <c r="G66" s="63" t="n">
        <v>0</v>
      </c>
      <c r="H66" s="57" t="inlineStr">
        <is>
          <t>Río Piura — cauce principal. Caudal estacional. Frontera oriental natural del bloque.</t>
        </is>
      </c>
    </row>
    <row r="67">
      <c r="A67" s="58" t="inlineStr">
        <is>
          <t>2</t>
        </is>
      </c>
      <c r="B67" s="58" t="inlineStr">
        <is>
          <t>Quebrada estacional</t>
        </is>
      </c>
      <c r="C67" s="64" t="n">
        <v>633050</v>
      </c>
      <c r="D67" s="64" t="n">
        <v>9402100</v>
      </c>
      <c r="E67" s="58" t="inlineStr">
        <is>
          <t>Estacional (lluvias)</t>
        </is>
      </c>
      <c r="F67" s="58" t="inlineStr">
        <is>
          <t>Aceptable</t>
        </is>
      </c>
      <c r="G67" s="58" t="n"/>
      <c r="H67" s="58" t="inlineStr">
        <is>
          <t>Quebrada tributaria intermitente NW. Activación en lluvias.</t>
        </is>
      </c>
    </row>
    <row r="68">
      <c r="A68" s="57" t="inlineStr">
        <is>
          <t>3</t>
        </is>
      </c>
      <c r="B68" s="57" t="inlineStr">
        <is>
          <t>Quebrada estacional</t>
        </is>
      </c>
      <c r="C68" s="62" t="n">
        <v>633300</v>
      </c>
      <c r="D68" s="62" t="n">
        <v>9401200</v>
      </c>
      <c r="E68" s="57" t="inlineStr">
        <is>
          <t>Estacional (lluvias)</t>
        </is>
      </c>
      <c r="F68" s="57" t="inlineStr">
        <is>
          <t>Aceptable</t>
        </is>
      </c>
      <c r="G68" s="57" t="n"/>
      <c r="H68" s="57" t="inlineStr">
        <is>
          <t>Quebrada tributaria intermitente sector medio-bajo. Flujo subsuperficial sostiene vegetación ribereña.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M7B3</t>
        </is>
      </c>
    </row>
    <row r="7">
      <c r="A7" s="55" t="inlineStr">
        <is>
          <t>Hechos declarados por fuente</t>
        </is>
      </c>
    </row>
    <row r="8">
      <c r="A8" s="56" t="inlineStr">
        <is>
          <t>Fuente</t>
        </is>
      </c>
      <c r="B8" s="56" t="inlineStr">
        <is>
          <t>Hechos</t>
        </is>
      </c>
    </row>
    <row r="9">
      <c r="A9" s="57" t="inlineStr">
        <is>
          <t>Dato de campo</t>
        </is>
      </c>
      <c r="B9" s="57" t="n">
        <v>59</v>
      </c>
    </row>
    <row r="10">
      <c r="A10" s="58" t="inlineStr">
        <is>
          <t>Gabinete (GIS / teledetección)</t>
        </is>
      </c>
      <c r="B10" s="58" t="n">
        <v>26</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88</v>
      </c>
    </row>
    <row r="29">
      <c r="A29" s="58" t="inlineStr">
        <is>
          <t>COMPLEMENTADO</t>
        </is>
      </c>
      <c r="B29" s="58" t="n">
        <v>6</v>
      </c>
    </row>
    <row r="30">
      <c r="A30" s="57" t="inlineStr">
        <is>
          <t>ACTUALIZADO</t>
        </is>
      </c>
      <c r="B30" s="57" t="n">
        <v>5</v>
      </c>
    </row>
    <row r="31">
      <c r="A31" s="58" t="inlineStr">
        <is>
          <t>DISCREPANTE</t>
        </is>
      </c>
      <c r="B31" s="58" t="n">
        <v>0</v>
      </c>
    </row>
    <row r="32">
      <c r="A32" s="57" t="inlineStr">
        <is>
          <t>PENDIENTE</t>
        </is>
      </c>
      <c r="B32" s="57" t="n">
        <v>15</v>
      </c>
    </row>
    <row r="45">
      <c r="A45" s="55" t="inlineStr">
        <is>
          <t>Cobertura por estrato — campo (%)</t>
        </is>
      </c>
    </row>
    <row r="46">
      <c r="A46" s="56" t="inlineStr">
        <is>
          <t>Estrato</t>
        </is>
      </c>
      <c r="B46" s="56" t="inlineStr">
        <is>
          <t>% del área</t>
        </is>
      </c>
    </row>
    <row r="47">
      <c r="A47" s="57" t="inlineStr">
        <is>
          <t>Arbustiva</t>
        </is>
      </c>
      <c r="B47" s="62" t="n">
        <v>35</v>
      </c>
    </row>
    <row r="48">
      <c r="A48" s="58" t="inlineStr">
        <is>
          <t>Herbácea</t>
        </is>
      </c>
      <c r="B48" s="64" t="n">
        <v>30</v>
      </c>
    </row>
    <row r="49">
      <c r="A49" s="57" t="inlineStr">
        <is>
          <t>Suelo desnudo</t>
        </is>
      </c>
      <c r="B49" s="62" t="n">
        <v>25</v>
      </c>
    </row>
    <row r="64">
      <c r="A64" s="55" t="inlineStr">
        <is>
          <t>Causas activas de degradación (F-DT-04)</t>
        </is>
      </c>
    </row>
    <row r="65">
      <c r="A65" s="56" t="inlineStr">
        <is>
          <t>Causa</t>
        </is>
      </c>
      <c r="B65" s="56" t="inlineStr">
        <is>
          <t>Intensidad (1 ligera - 4 muy fuerte)</t>
        </is>
      </c>
    </row>
    <row r="66">
      <c r="A66" s="57" t="inlineStr">
        <is>
          <t>Cambio uso a pastoreo</t>
        </is>
      </c>
      <c r="B66" s="57" t="n">
        <v>1</v>
      </c>
    </row>
    <row r="67">
      <c r="A67" s="58" t="inlineStr">
        <is>
          <t>Erosión natural severa</t>
        </is>
      </c>
      <c r="B67" s="58" t="n">
        <v>1</v>
      </c>
    </row>
    <row r="68">
      <c r="A68" s="57" t="inlineStr">
        <is>
          <t>Expansión urbana / vial</t>
        </is>
      </c>
      <c r="B68" s="57" t="n">
        <v>1</v>
      </c>
    </row>
    <row r="69">
      <c r="A69" s="58" t="inlineStr">
        <is>
          <t>Otro: presión por borde vial PE-02A</t>
        </is>
      </c>
      <c r="B69" s="58" t="n">
        <v>1</v>
      </c>
    </row>
    <row r="70">
      <c r="A70" s="57" t="inlineStr">
        <is>
          <t>Quema (renovación pastos)</t>
        </is>
      </c>
      <c r="B70" s="57" t="n">
        <v>1</v>
      </c>
    </row>
    <row r="71">
      <c r="A71" s="58" t="inlineStr">
        <is>
          <t>Sequía prolongada / Cambio climático</t>
        </is>
      </c>
      <c r="B71" s="58" t="n">
        <v>1</v>
      </c>
    </row>
    <row r="72">
      <c r="A72" s="57" t="inlineStr">
        <is>
          <t>Sobrepastoreo (caprino/vacuno)</t>
        </is>
      </c>
      <c r="B72" s="57" t="n">
        <v>1</v>
      </c>
    </row>
    <row r="73">
      <c r="A73" s="58" t="inlineStr">
        <is>
          <t>Tala para leña</t>
        </is>
      </c>
      <c r="B73" s="58" t="n">
        <v>1</v>
      </c>
    </row>
    <row r="74">
      <c r="A74" s="57" t="inlineStr">
        <is>
          <t>Tala para madera</t>
        </is>
      </c>
      <c r="B74" s="57" t="n">
        <v>1</v>
      </c>
    </row>
    <row r="83">
      <c r="A83" s="55" t="inlineStr">
        <is>
          <t>Control de consistencia por calificación</t>
        </is>
      </c>
    </row>
    <row r="84">
      <c r="A84" s="56" t="inlineStr">
        <is>
          <t>Calificación</t>
        </is>
      </c>
      <c r="B84" s="56" t="inlineStr">
        <is>
          <t>Verificaciones</t>
        </is>
      </c>
    </row>
    <row r="85">
      <c r="A85" s="57" t="inlineStr">
        <is>
          <t>SUSTANTIVA</t>
        </is>
      </c>
      <c r="B85" s="57" t="n">
        <v>4</v>
      </c>
    </row>
    <row r="86">
      <c r="A86" s="58" t="inlineStr">
        <is>
          <t>NO SUSTANTIVA</t>
        </is>
      </c>
      <c r="B86" s="58" t="n">
        <v>5</v>
      </c>
    </row>
    <row r="87">
      <c r="A87" s="57" t="inlineStr">
        <is>
          <t>CORREGIDO</t>
        </is>
      </c>
      <c r="B87" s="57" t="n">
        <v>6</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M7B3 — IN Piura</dc:title>
  <dc:subject>Diagnóstico Territorial por bloque de intervención</dc:subject>
  <dcterms:created xsi:type="dcterms:W3CDTF">2026-09-08T03:39:53Z</dcterms:created>
  <dcterms:modified xsi:type="dcterms:W3CDTF">2026-09-11T21:26:38Z</dcterms:modified>
</cp:coreProperties>
</file>