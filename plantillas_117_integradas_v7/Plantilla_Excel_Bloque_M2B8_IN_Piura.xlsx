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integración'!$A$76:$A$78</f>
            </numRef>
          </cat>
          <val>
            <numRef>
              <f>'Gráficos de integración'!$B$76:$B$78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integración'!B96</f>
            </strRef>
          </tx>
          <spPr>
            <a:ln>
              <a:prstDash val="solid"/>
            </a:ln>
          </spPr>
          <cat>
            <numRef>
              <f>'Gráficos de integración'!$A$97:$A$100</f>
            </numRef>
          </cat>
          <val>
            <numRef>
              <f>'Gráficos de integración'!$B$97:$B$100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95</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M2B8</t>
        </is>
      </c>
    </row>
    <row r="6" ht="24" customHeight="1">
      <c r="A6" s="4" t="inlineStr">
        <is>
          <t>Diagnóstico Territorial — Plantilla DT Campo Check Validada V5 | Sistema de referencia: UTM WGS 84 Zona 17S (EPSG:32717) · Integrado con la ficha de campo F-DT vigente (Plantilla_DT_Campo_V5_Bloque_M2B8_IN_Piura_rev_hscm.xlsx) — V7 - resumen V6 + campo F-DT integrado</t>
        </is>
      </c>
    </row>
    <row r="7"/>
    <row r="8" ht="18" customHeight="1">
      <c r="A8" s="5" t="inlineStr">
        <is>
          <t>1. IDENTIFICACIÓN Y LOCALIZACIÓN</t>
        </is>
      </c>
    </row>
    <row r="9">
      <c r="A9" s="6" t="inlineStr">
        <is>
          <t>Código del bloque</t>
        </is>
      </c>
      <c r="B9" s="7" t="inlineStr">
        <is>
          <t>M2B8</t>
        </is>
      </c>
      <c r="C9" s="6" t="inlineStr">
        <is>
          <t>Microcuenca (catálogo)</t>
        </is>
      </c>
      <c r="D9" s="7" t="inlineStr">
        <is>
          <t>C1076-Q9584</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Huacas Baja</t>
        </is>
      </c>
      <c r="C13" s="6" t="inlineStr">
        <is>
          <t>Comunidad campesina</t>
        </is>
      </c>
      <c r="D13" s="49" t="inlineStr">
        <is>
          <t>No consignada</t>
        </is>
      </c>
      <c r="E13" s="8" t="n"/>
      <c r="F13" s="8" t="n"/>
    </row>
    <row r="14">
      <c r="A14" s="6" t="inlineStr">
        <is>
          <t>Superficie de catálogo (V5/V6), ha</t>
        </is>
      </c>
      <c r="B14" s="7" t="n">
        <v>116.1</v>
      </c>
      <c r="C14" s="6" t="inlineStr">
        <is>
          <t>Fuente de superficie</t>
        </is>
      </c>
      <c r="D14" s="7" t="inlineStr">
        <is>
          <t>Catálogo maestro Bloques V5/V6</t>
        </is>
      </c>
      <c r="E14" s="8" t="n"/>
      <c r="F14" s="8" t="n"/>
    </row>
    <row r="15">
      <c r="A15" s="6" t="inlineStr">
        <is>
          <t>Centroide UTM ESTE (m)</t>
        </is>
      </c>
      <c r="B15" s="7" t="n">
        <v>639059</v>
      </c>
      <c r="C15" s="6" t="inlineStr">
        <is>
          <t>Centroide UTM NORTE (m)</t>
        </is>
      </c>
      <c r="D15" s="7" t="n">
        <v>9398295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244</v>
      </c>
      <c r="C19" s="6" t="inlineStr">
        <is>
          <t>Altitud máxima (msnm)</t>
        </is>
      </c>
      <c r="D19" s="7" t="n">
        <v>673</v>
      </c>
      <c r="E19" s="8" t="n"/>
      <c r="F19" s="8" t="n"/>
    </row>
    <row r="20">
      <c r="A20" s="6" t="inlineStr">
        <is>
          <t>Amplitud altitudinal (m)</t>
        </is>
      </c>
      <c r="B20" s="7" t="n">
        <v>429</v>
      </c>
      <c r="C20" s="6" t="inlineStr">
        <is>
          <t>Piso altitudinal dominante</t>
        </is>
      </c>
      <c r="D20" s="7" t="inlineStr">
        <is>
          <t>&lt;1000 m (Yunga)</t>
        </is>
      </c>
      <c r="E20" s="8" t="n"/>
      <c r="F20" s="8" t="n"/>
    </row>
    <row r="21">
      <c r="A21" s="6" t="inlineStr">
        <is>
          <t>Pendiente promedio (%)</t>
        </is>
      </c>
      <c r="B21" s="7" t="n">
        <v>19.24</v>
      </c>
      <c r="C21" s="6" t="inlineStr">
        <is>
          <t>Pendiente promedio (grados)</t>
        </is>
      </c>
      <c r="D21" s="7" t="n">
        <v>10.9</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0.3752</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(58.83 %)</t>
        </is>
      </c>
      <c r="E29" s="8" t="n"/>
      <c r="F29" s="8" t="n"/>
    </row>
    <row r="30">
      <c r="A30" s="6" t="inlineStr">
        <is>
          <t>Superficie clasificada NDVI 2025 (ha)</t>
        </is>
      </c>
      <c r="B30" s="7" t="n">
        <v>116.136</v>
      </c>
      <c r="C30" s="6" t="inlineStr">
        <is>
          <t>Desviación frente al catálogo (%)</t>
        </is>
      </c>
      <c r="D30" s="7" t="n">
        <v>0.03</v>
      </c>
      <c r="E30" s="8" t="n"/>
      <c r="F30" s="8" t="n"/>
    </row>
    <row r="31">
      <c r="A31" s="6" t="inlineStr">
        <is>
          <t>Superficie clasificada MSAVI 2024 (ha)</t>
        </is>
      </c>
      <c r="B31" s="37" t="n">
        <v>116.099</v>
      </c>
      <c r="C31" s="6" t="inlineStr">
        <is>
          <t>Desviación MSAVI frente al catálogo (%)</t>
        </is>
      </c>
      <c r="D31" s="38" t="n">
        <v>0</v>
      </c>
      <c r="E31" s="8" t="n"/>
      <c r="F31" s="8" t="n"/>
    </row>
    <row r="32">
      <c r="A32" s="6" t="inlineStr">
        <is>
          <t>Superficie bajo umbral MSAVI 0.4976 (ha)</t>
        </is>
      </c>
      <c r="B32" s="37" t="n">
        <v>107.174</v>
      </c>
      <c r="C32" s="6" t="inlineStr">
        <is>
          <t>% del bloque bajo umbral (brecha espectral)</t>
        </is>
      </c>
      <c r="D32" s="38" t="n">
        <v>92.31</v>
      </c>
      <c r="E32" s="8" t="n"/>
      <c r="F32" s="8" t="n"/>
    </row>
    <row r="33">
      <c r="A33" s="6" t="inlineStr">
        <is>
          <t>Clase DN dominante (MSAVI 2024)</t>
        </is>
      </c>
      <c r="B33" s="7" t="inlineStr">
        <is>
          <t>DN 2 · 0.2650 - 0.3813 (Vigor muy bajo)</t>
        </is>
      </c>
      <c r="C33" s="6" t="inlineStr">
        <is>
          <t>N.° de polígonos MSAVI del bloque</t>
        </is>
      </c>
      <c r="D33" s="39" t="n">
        <v>360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80 ha (de 116.10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80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2026-08-04</t>
        </is>
      </c>
      <c r="E44" s="8" t="n"/>
      <c r="F44" s="8" t="n"/>
    </row>
    <row r="45">
      <c r="A45" s="6" t="inlineStr">
        <is>
          <t>Hora de registro</t>
        </is>
      </c>
      <c r="B45" s="7" t="inlineStr">
        <is>
          <t>15:26 h</t>
        </is>
      </c>
      <c r="C45" s="6" t="inlineStr">
        <is>
          <t>Correlativo de ficha</t>
        </is>
      </c>
      <c r="D45" s="7"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49" t="inlineStr">
        <is>
          <t>No consignada en la ficha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M2B8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0.0198</v>
      </c>
      <c r="C10" s="19">
        <f>ROUND(B10/$B$15*100,2)</f>
        <v/>
      </c>
      <c r="D10" s="11" t="inlineStr">
        <is>
          <t>Vigor alto</t>
        </is>
      </c>
      <c r="E10" s="11" t="inlineStr">
        <is>
          <t>Sobre umbral</t>
        </is>
      </c>
    </row>
    <row r="11">
      <c r="A11" s="12" t="inlineStr">
        <is>
          <t>0.4976 - 0.6139 · DN 4</t>
        </is>
      </c>
      <c r="B11" s="20" t="n">
        <v>8.9056</v>
      </c>
      <c r="C11" s="21">
        <f>ROUND(B11/$B$15*100,2)</f>
        <v/>
      </c>
      <c r="D11" s="13" t="inlineStr">
        <is>
          <t>Vigor moderado</t>
        </is>
      </c>
      <c r="E11" s="13" t="inlineStr">
        <is>
          <t>Sobre umbral</t>
        </is>
      </c>
    </row>
    <row r="12">
      <c r="A12" s="7" t="inlineStr">
        <is>
          <t>0.3813 - 0.4976 · DN 3</t>
        </is>
      </c>
      <c r="B12" s="18" t="n">
        <v>43.9985</v>
      </c>
      <c r="C12" s="19">
        <f>ROUND(B12/$B$15*100,2)</f>
        <v/>
      </c>
      <c r="D12" s="11" t="inlineStr">
        <is>
          <t>Vigor bajo</t>
        </is>
      </c>
      <c r="E12" s="11" t="inlineStr">
        <is>
          <t>BAJO umbral 0.4976</t>
        </is>
      </c>
    </row>
    <row r="13">
      <c r="A13" s="14" t="inlineStr">
        <is>
          <t>0.2650 - 0.3813 · DN 2</t>
        </is>
      </c>
      <c r="B13" s="31" t="n">
        <v>54.4479</v>
      </c>
      <c r="C13" s="30">
        <f>ROUND(B13/$B$15*100,2)</f>
        <v/>
      </c>
      <c r="D13" s="15" t="inlineStr">
        <is>
          <t>Vigor muy bajo</t>
        </is>
      </c>
      <c r="E13" s="15" t="inlineStr">
        <is>
          <t>BAJO umbral 0.4976</t>
        </is>
      </c>
    </row>
    <row r="14">
      <c r="A14" s="7" t="inlineStr">
        <is>
          <t>&lt;= 0.2650 · DN 1</t>
        </is>
      </c>
      <c r="B14" s="18" t="n">
        <v>8.7272</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360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116.1</v>
      </c>
      <c r="C18" s="48" t="inlineStr">
        <is>
          <t>—</t>
        </is>
      </c>
      <c r="D18" s="45" t="inlineStr">
        <is>
          <t>Desviación planimétrica frente al catálogo</t>
        </is>
      </c>
      <c r="E18" s="45" t="inlineStr">
        <is>
          <t>+0.00 %</t>
        </is>
      </c>
    </row>
    <row r="19">
      <c r="A19" s="16" t="inlineStr">
        <is>
          <t>MSAVI 2024 — MEDIA DEL BLOQUE</t>
        </is>
      </c>
      <c r="B19" s="17" t="n">
        <v>0.375171</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360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(0.3752)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19.3268</v>
      </c>
      <c r="C25" s="19" t="n">
        <v>16.64</v>
      </c>
      <c r="D25" s="11" t="inlineStr">
        <is>
          <t>Dosel continuo, matorral denso o mosaico agroforestal</t>
        </is>
      </c>
      <c r="E25" s="11" t="inlineStr"/>
    </row>
    <row r="26">
      <c r="A26" s="12" t="inlineStr">
        <is>
          <t>Vegetación mediana</t>
        </is>
      </c>
      <c r="B26" s="20" t="n">
        <v>68.3261</v>
      </c>
      <c r="C26" s="21" t="n">
        <v>58.83</v>
      </c>
      <c r="D26" s="13" t="inlineStr">
        <is>
          <t>Pastizal cultivado, matorral ralo, parcelas agrícolas</t>
        </is>
      </c>
      <c r="E26" s="13" t="inlineStr"/>
    </row>
    <row r="27">
      <c r="A27" s="7" t="inlineStr">
        <is>
          <t>Vegetación ligera</t>
        </is>
      </c>
      <c r="B27" s="18" t="n">
        <v>28.4833</v>
      </c>
      <c r="C27" s="19" t="n">
        <v>24.53</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116.1</v>
      </c>
      <c r="C29" s="25" t="inlineStr">
        <is>
          <t>—</t>
        </is>
      </c>
      <c r="D29" s="25" t="inlineStr">
        <is>
          <t>Desviación planimétrica frente al catálogo</t>
        </is>
      </c>
      <c r="E29" s="25" t="inlineStr">
        <is>
          <t>+0.03 %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16.64 % del polígono clasificado como «Vegetación alta» por el NDVI 2025; la observación de campo corresponde a una parcela o recorrido puntual y no es estadísticamente representativa de las 116.100 ha del bloque.</t>
        </is>
      </c>
      <c r="B31" s="40" t="n"/>
      <c r="C31" s="40" t="n"/>
      <c r="D31" s="40" t="n"/>
      <c r="E31" s="41"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M2B8</t>
        </is>
      </c>
    </row>
    <row r="6" ht="24" customHeight="1">
      <c r="A6" s="4" t="inlineStr">
        <is>
          <t>Levantamiento del 2026-08-04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638286</v>
      </c>
      <c r="D10" s="26" t="n">
        <v>9398789</v>
      </c>
      <c r="E10" s="11" t="n">
        <v>917.4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639059</v>
      </c>
      <c r="C13" s="6" t="inlineStr">
        <is>
          <t>Centroide del bloque — UTM NORTE (m)</t>
        </is>
      </c>
      <c r="D13" s="7" t="n">
        <v>9398295</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≈250 msnm. LA LADERA ES EMPLEADA PARA EL PASTOREO EXTENSIVO DE GANADO CAPRINO Y VACUNO del centro poblado asentado al pie del bloque. Se ubica cerca de una VÍA ASFALTADA y de ÁREAS DE CULTIVO. Se ha evidenciado LEÑA APILADA en viviendas próximas. El suelo presenta erosión eólica e hídrica; en la ladera se observan estrías y surcos dejados por el tránsito habitual del ganado. Existen caminos de herradura dentro del bloque y áreas de suelo desprovistas de vegetación expuestas a lluvia. ES EL ÚNICO DE LOS SEIS BLOQUES DEL GRUPO EN EL QUE SE REGISTRA REPTACIÓN DE SUELO.</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C1076-Q9584 — BLOQUE M2B8</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t>
        </is>
      </c>
      <c r="B10" s="27" t="n">
        <v>1370.96</v>
      </c>
      <c r="C10" s="19" t="n">
        <v>77.31999999999999</v>
      </c>
      <c r="D10" s="11" t="inlineStr">
        <is>
          <t>291 – 1204</t>
        </is>
      </c>
      <c r="E10" s="11" t="n">
        <v>913</v>
      </c>
      <c r="F10" s="11" t="n">
        <v>21.39</v>
      </c>
      <c r="G10" s="18" t="n">
        <v>0.4545</v>
      </c>
      <c r="H10" s="19" t="inlineStr">
        <is>
          <t>Por determinar</t>
        </is>
      </c>
      <c r="I10" s="11" t="inlineStr">
        <is>
          <t>s/d</t>
        </is>
      </c>
    </row>
    <row r="11">
      <c r="A11" s="12" t="inlineStr">
        <is>
          <t>7</t>
        </is>
      </c>
      <c r="B11" s="28" t="n">
        <v>173.43</v>
      </c>
      <c r="C11" s="21" t="n">
        <v>9.779999999999999</v>
      </c>
      <c r="D11" s="13" t="inlineStr">
        <is>
          <t>257 – 577</t>
        </is>
      </c>
      <c r="E11" s="13" t="n">
        <v>320</v>
      </c>
      <c r="F11" s="13" t="n">
        <v>18.59</v>
      </c>
      <c r="G11" s="20" t="n">
        <v>0.3753</v>
      </c>
      <c r="H11" s="21" t="inlineStr">
        <is>
          <t>Por determinar</t>
        </is>
      </c>
      <c r="I11" s="13" t="inlineStr">
        <is>
          <t>s/d</t>
        </is>
      </c>
    </row>
    <row r="12">
      <c r="A12" s="14" t="inlineStr">
        <is>
          <t>► M2B8</t>
        </is>
      </c>
      <c r="B12" s="29" t="n">
        <v>116.1</v>
      </c>
      <c r="C12" s="30" t="n">
        <v>6.55</v>
      </c>
      <c r="D12" s="15" t="inlineStr">
        <is>
          <t>244 – 673</t>
        </is>
      </c>
      <c r="E12" s="15" t="n">
        <v>429</v>
      </c>
      <c r="F12" s="15" t="n">
        <v>19.24</v>
      </c>
      <c r="G12" s="31" t="n">
        <v>0.3752</v>
      </c>
      <c r="H12" s="30" t="n">
        <v>16.64</v>
      </c>
      <c r="I12" s="30" t="n">
        <v>92.31</v>
      </c>
    </row>
    <row r="13">
      <c r="A13" s="12" t="inlineStr">
        <is>
          <t>M2B1</t>
        </is>
      </c>
      <c r="B13" s="28" t="n">
        <v>81.79000000000001</v>
      </c>
      <c r="C13" s="21" t="n">
        <v>4.61</v>
      </c>
      <c r="D13" s="13" t="inlineStr">
        <is>
          <t>235 – 446</t>
        </is>
      </c>
      <c r="E13" s="13" t="n">
        <v>211</v>
      </c>
      <c r="F13" s="13" t="n">
        <v>17.48</v>
      </c>
      <c r="G13" s="20" t="n">
        <v>0.2984</v>
      </c>
      <c r="H13" s="21" t="n">
        <v>0.04</v>
      </c>
      <c r="I13" s="21" t="n">
        <v>100</v>
      </c>
    </row>
    <row r="14">
      <c r="A14" s="7" t="inlineStr">
        <is>
          <t>M2B5</t>
        </is>
      </c>
      <c r="B14" s="27" t="n">
        <v>30.91</v>
      </c>
      <c r="C14" s="19" t="n">
        <v>1.74</v>
      </c>
      <c r="D14" s="11" t="inlineStr">
        <is>
          <t>68 – 322</t>
        </is>
      </c>
      <c r="E14" s="11" t="n">
        <v>254</v>
      </c>
      <c r="F14" s="11" t="n">
        <v>8.32</v>
      </c>
      <c r="G14" s="18" t="n">
        <v>0.3047</v>
      </c>
      <c r="H14" s="19" t="n">
        <v>5.14</v>
      </c>
      <c r="I14" s="19" t="n">
        <v>99.03</v>
      </c>
    </row>
    <row r="15">
      <c r="A15" s="16" t="inlineStr">
        <is>
          <t>TOTAL / PROMEDIO</t>
        </is>
      </c>
      <c r="B15" s="32">
        <f>SUM(B10:B14)</f>
        <v/>
      </c>
      <c r="C15" s="23">
        <f>SUM(C10:C14)</f>
        <v/>
      </c>
      <c r="D15" s="17" t="inlineStr">
        <is>
          <t>68 – 1204</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3 de los 5 bloques; los 2 bloques restantes carecen de estadística zonal de NDVI. Los totales de ÁREA y % de microcuenca sí comprenden la totalidad de los 5 bloques. No se estima ningún valor ausente.</t>
        </is>
      </c>
      <c r="B16" s="40" t="n"/>
      <c r="C16" s="40" t="n"/>
      <c r="D16" s="40" t="n"/>
      <c r="E16" s="40" t="n"/>
      <c r="F16" s="40" t="n"/>
      <c r="G16" s="40" t="n"/>
      <c r="H16" s="40" t="n"/>
      <c r="I16" s="41" t="n"/>
    </row>
    <row r="18" ht="84" customHeight="1">
      <c r="A18" s="9" t="inlineStr">
        <is>
          <t>LECTURA INTRAMICROCUENCA. El bloque M2B8 ocupa el puesto 3 de 5 por superficie dentro de la microcuenca C1076-Q9584 (6.55 % de las 1773.19 ha preliminares de la microcuenca). Su pendiente promedio (19.24 %, clase «15-25% (Fuert. inclinado)») es la 4.ª más baja de 5 y se sitúa por encima del promedio de la microcuenca (17.00 %). Su MSAVI 2024 (0.3752) es el 3.º de 5 y queda por encima del promedio local (0.3616). Amplitud altitudinal del bloque: 429 m (244–673 msnm). El cuadro conserva todos los bloques catalogados en la microcuenca, incluidos los descartados en el tamizaje, para referencia del conjunto. Los bloques sin ficha DT figuran con sus parámetros de gabinete. BRECHA ESPECTRAL. El 92.31 % de la superficie del bloque (107.174 ha de 116.099 ha) se sitúa bajo el umbral MSAVI 0.4976, por debajo del promedio local de la microcuenca (97.12 %) calculado sobre los bloques con dato MSAVI disponible.</t>
        </is>
      </c>
      <c r="B18" s="40" t="n"/>
      <c r="C18" s="40" t="n"/>
      <c r="D18" s="40" t="n"/>
      <c r="E18" s="40" t="n"/>
      <c r="F18" s="40" t="n"/>
      <c r="G18" s="40" t="n"/>
      <c r="H18" s="40" t="n"/>
      <c r="I18" s="41" t="n"/>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0" t="n"/>
      <c r="C20" s="40" t="n"/>
      <c r="D20" s="40" t="n"/>
      <c r="E20" s="40" t="n"/>
      <c r="F20" s="40" t="n"/>
      <c r="G20" s="40" t="n"/>
      <c r="H20" s="40" t="n"/>
      <c r="I20" s="41" t="n"/>
    </row>
  </sheetData>
  <mergeCells count="10">
    <mergeCell ref="A2:I2"/>
    <mergeCell ref="A5:I5"/>
    <mergeCell ref="A1:I1"/>
    <mergeCell ref="A18:I18"/>
    <mergeCell ref="A8:I8"/>
    <mergeCell ref="A3:I3"/>
    <mergeCell ref="A6:I6"/>
    <mergeCell ref="A4:I4"/>
    <mergeCell ref="A20:I20"/>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M2B8</t>
        </is>
      </c>
    </row>
    <row r="6">
      <c r="A6" s="51" t="inlineStr">
        <is>
          <t>Cruce de la ficha de campo F-DT vigente con la ficha de resumen de gabinete y el catálogo maestro. Integración 2026-09-11 20:22:37.</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«C1076-Q9584».</t>
        </is>
      </c>
      <c r="D9" s="55" t="inlineStr">
        <is>
          <t>CONFORME</t>
        </is>
      </c>
      <c r="E9" s="55" t="inlineStr">
        <is>
          <t>Sin acción.</t>
        </is>
      </c>
    </row>
    <row r="10">
      <c r="A10" s="56" t="inlineStr">
        <is>
          <t>G-02</t>
        </is>
      </c>
      <c r="B10" s="56" t="inlineStr">
        <is>
          <t>UTM del punto de muestreo</t>
        </is>
      </c>
      <c r="C10" s="56" t="inlineStr">
        <is>
          <t>El punto de muestreo declarado dista 917.4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(237 msnm) cae dentro del rango altitudinal del bloque (244 - 673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(116.136 ha) se desvía 0.03 % de la superficie de catálogo (116.10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(116.099 ha) se desvía -0.00 % de la superficie de catálogo (116.10 ha).</t>
        </is>
      </c>
      <c r="D14" s="56" t="inlineStr">
        <is>
          <t>CONFORME</t>
        </is>
      </c>
      <c r="E14" s="56" t="inlineStr">
        <is>
          <t>Sin acción: la segmentación valida la geometría del bloque.</t>
        </is>
      </c>
    </row>
    <row r="15">
      <c r="A15" s="55" t="inlineStr">
        <is>
          <t>G-07</t>
        </is>
      </c>
      <c r="B15" s="55" t="inlineStr">
        <is>
          <t>Brecha espectral MSAVI</t>
        </is>
      </c>
      <c r="C15" s="55" t="inlineStr">
        <is>
          <t>El 92.31 % del bloque queda bajo el umbral 0.4976; superficie de brecha 107.17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116.10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(0.3752) cae en la clase «0.2650 - 0.3813 (Vigor muy bajo)» y la clase DN dominante por superficie es «DN 2 · 0.2650 - 0.3813 (Vigor muy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92.9 % de los campos esperados).</t>
        </is>
      </c>
      <c r="D19" s="55" t="inlineStr">
        <is>
          <t>CONFORME</t>
        </is>
      </c>
      <c r="E19" s="55" t="inlineStr">
        <is>
          <t>Sin acción.</t>
        </is>
      </c>
    </row>
    <row r="20">
      <c r="A20" s="56" t="inlineStr">
        <is>
          <t>F-02</t>
        </is>
      </c>
      <c r="B20" s="56" t="inlineStr">
        <is>
          <t>Cobertura de la integración</t>
        </is>
      </c>
      <c r="C20" s="56" t="inlineStr">
        <is>
          <t>Se declararon 94 de 114 hechos integrados (82.5 %); 20 quedan sin dato en ninguna fuente.</t>
        </is>
      </c>
      <c r="D20" s="56" t="inlineStr">
        <is>
          <t>CONFORME</t>
        </is>
      </c>
      <c r="E20" s="56" t="inlineStr">
        <is>
          <t>Sin acción.</t>
        </is>
      </c>
    </row>
    <row r="21">
      <c r="A21" s="55" t="inlineStr">
        <is>
          <t>H-01</t>
        </is>
      </c>
      <c r="B21" s="55" t="inlineStr">
        <is>
          <t>Rango de pendiente dominante</t>
        </is>
      </c>
      <c r="C21" s="55" t="inlineStr">
        <is>
          <t>La ficha DT declara «25-50% (Mod. escarpado)»; la estadística zonal sobre el MDE arroja una pendiente promedio de 19.24 %, que corresponde a la clase «15-25% (Fuert. inclinado)»</t>
        </is>
      </c>
      <c r="D21" s="55" t="inlineStr">
        <is>
          <t>NO SUSTANTIVA</t>
        </is>
      </c>
      <c r="E21"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6" t="inlineStr">
        <is>
          <t>H-02</t>
        </is>
      </c>
      <c r="B22" s="56" t="inlineStr">
        <is>
          <t>Cobertura vegetal total</t>
        </is>
      </c>
      <c r="C22" s="56" t="inlineStr">
        <is>
          <t>La ficha DT estima 80 % de cobertura vegetal en campo; el NDVI mediana 2025 clasifica 100.00 % del polígono en clases de vegetación</t>
        </is>
      </c>
      <c r="D22" s="56" t="inlineStr">
        <is>
          <t>NO SUSTANTIVA</t>
        </is>
      </c>
      <c r="E22"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5" t="inlineStr">
        <is>
          <t>H-03</t>
        </is>
      </c>
      <c r="B23" s="55" t="inlineStr">
        <is>
          <t>Elenco florístico</t>
        </is>
      </c>
      <c r="C23" s="55" t="inlineStr">
        <is>
          <t>La ficha registra 7 taxones, por debajo del mínimo de 15 que exige el formato V5</t>
        </is>
      </c>
      <c r="D23" s="55" t="inlineStr">
        <is>
          <t>SUSTANTIVA</t>
        </is>
      </c>
      <c r="E23" s="55" t="inlineStr">
        <is>
          <t>Registro florístico preliminar, sin colecta ni determinación botánica formal. Debe cerrarse con colecta botánica en la siguiente campaña. (Verificación heredada de la ficha de resumen V6.)</t>
        </is>
      </c>
    </row>
    <row r="24">
      <c r="A24" s="56" t="inlineStr">
        <is>
          <t>H-04</t>
        </is>
      </c>
      <c r="B24" s="56" t="inlineStr">
        <is>
          <t>Representatividad del levantamiento</t>
        </is>
      </c>
      <c r="C24" s="56" t="inlineStr">
        <is>
          <t>Ninguna de las estaciones fotográficas georreferenciadas se localiza dentro del polígono del bloque</t>
        </is>
      </c>
      <c r="D24" s="56" t="inlineStr">
        <is>
          <t>SUSTANTIVA</t>
        </is>
      </c>
      <c r="E24" s="56" t="inlineStr">
        <is>
          <t>La verificación documenta el perímetro y la vista panorámica del bloque, no su interior. Los parámetros que exigen recorrido interno se consignan «Por determinar». (Verificación heredada de la ficha de resumen V6.)</t>
        </is>
      </c>
    </row>
    <row r="25">
      <c r="A25" s="55" t="inlineStr">
        <is>
          <t>H-05</t>
        </is>
      </c>
      <c r="B25" s="55" t="inlineStr">
        <is>
          <t>Centro poblado asociado</t>
        </is>
      </c>
      <c r="C25" s="55" t="inlineStr">
        <is>
          <t>La ficha DT declara «Huacas Baja»; el cruce INEI-Bloques V5 identifica 2 centro(s) poblado(s) en el bloque: HUACAS BAJA, LAS HUACAS</t>
        </is>
      </c>
      <c r="D25" s="55" t="inlineStr">
        <is>
          <t>CONFORME</t>
        </is>
      </c>
      <c r="E25" s="55" t="inlineStr">
        <is>
          <t>Se conserva el registro de campo como referencia y se adopta el listado INEI para el diagnóstico social y el cálculo de población beneficiaria. (Verificación heredada de la ficha de resumen V6.)</t>
        </is>
      </c>
    </row>
    <row r="26">
      <c r="A26" s="56" t="inlineStr">
        <is>
          <t>H-06</t>
        </is>
      </c>
      <c r="B26" s="56" t="inlineStr">
        <is>
          <t>F-DT-02</t>
        </is>
      </c>
      <c r="C26" s="56" t="inlineStr">
        <is>
          <t>Sin ficha F-DT-02 firmada en el ANEXO 01; inventario georreferenciado de cárcavas pendiente</t>
        </is>
      </c>
      <c r="D26" s="56" t="inlineStr">
        <is>
          <t>SUSTANTIVA</t>
        </is>
      </c>
      <c r="E26" s="56" t="inlineStr">
        <is>
          <t>Levantamiento pendiente (Verificación heredada de la ficha de resumen V6.)</t>
        </is>
      </c>
    </row>
    <row r="27">
      <c r="A27" s="55" t="inlineStr">
        <is>
          <t>H-07</t>
        </is>
      </c>
      <c r="B27" s="55" t="inlineStr">
        <is>
          <t>F-DT-03</t>
        </is>
      </c>
      <c r="C27" s="55" t="inlineStr">
        <is>
          <t>D-07: las observaciones señalan que «abundan ceibos» pero la tabla florística registró solo 7 especies</t>
        </is>
      </c>
      <c r="D27" s="55" t="inlineStr">
        <is>
          <t>SUSTANTIVA</t>
        </is>
      </c>
      <c r="E27" s="55" t="inlineStr">
        <is>
          <t>Inventario florístico incompleto (mínimo exigido: 15) (Verificación heredada de la ficha de resumen V6.)</t>
        </is>
      </c>
    </row>
    <row r="28">
      <c r="A28" s="56" t="inlineStr">
        <is>
          <t>H-08</t>
        </is>
      </c>
      <c r="B28" s="56" t="inlineStr">
        <is>
          <t>F-DT-05</t>
        </is>
      </c>
      <c r="C28" s="56" t="inlineStr">
        <is>
          <t>Sin ficha F-DT-05 en el ANEXO 01: inventario hídrico, JASS, tiempos, señal y Ronda por completar</t>
        </is>
      </c>
      <c r="D28" s="56" t="inlineStr">
        <is>
          <t>SUSTANTIVA</t>
        </is>
      </c>
      <c r="E28" s="56" t="inlineStr">
        <is>
          <t>Levantamiento pendiente (Verificación heredada de la ficha de resumen V6.)</t>
        </is>
      </c>
    </row>
    <row r="29">
      <c r="A29" s="55" t="inlineStr">
        <is>
          <t>H-09</t>
        </is>
      </c>
      <c r="B29" s="55" t="inlineStr">
        <is>
          <t>F-DT-04</t>
        </is>
      </c>
      <c r="C29" s="55" t="inlineStr">
        <is>
          <t>Recomendación de campo de redelimitar el bloque excluyendo las áreas conservadas</t>
        </is>
      </c>
      <c r="D29" s="55" t="inlineStr">
        <is>
          <t>SUSTANTIVA</t>
        </is>
      </c>
      <c r="E29" s="55" t="inlineStr">
        <is>
          <t>Elevar a la Subdirección; el terreno está cercado y requiere gestión con titulares (Verificación heredada de la ficha de resumen V6.)</t>
        </is>
      </c>
    </row>
    <row r="31">
      <c r="A31" s="57" t="inlineStr">
        <is>
          <t>RESUMEN</t>
        </is>
      </c>
      <c r="B31" s="58" t="inlineStr">
        <is>
          <t>21 verificaciones</t>
        </is>
      </c>
      <c r="C31" s="58" t="inlineStr">
        <is>
          <t>SUSTANTIVA: 7 · NO SUSTANTIVA: 2 · CONFORME: 12</t>
        </is>
      </c>
    </row>
    <row r="33">
      <c r="A33"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M2B8</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638286</t>
        </is>
      </c>
      <c r="D13" s="55" t="inlineStr">
        <is>
          <t>m</t>
        </is>
      </c>
    </row>
    <row r="14">
      <c r="A14" s="56" t="inlineStr">
        <is>
          <t>1. Identificación y localización</t>
        </is>
      </c>
      <c r="B14" s="56" t="inlineStr">
        <is>
          <t>UTM NORTE del punto de muestreo (m)</t>
        </is>
      </c>
      <c r="C14" s="56" t="inlineStr">
        <is>
          <t>9398789</t>
        </is>
      </c>
      <c r="D14" s="56" t="inlineStr">
        <is>
          <t>m</t>
        </is>
      </c>
    </row>
    <row r="15">
      <c r="A15" s="55" t="inlineStr">
        <is>
          <t>2. Parámetros físicos del terreno</t>
        </is>
      </c>
      <c r="B15" s="55" t="inlineStr">
        <is>
          <t>Altitud GPS del punto de muestreo (msnm)</t>
        </is>
      </c>
      <c r="C15" s="55" t="inlineStr">
        <is>
          <t>237</t>
        </is>
      </c>
      <c r="D15" s="55" t="inlineStr">
        <is>
          <t>msnm</t>
        </is>
      </c>
    </row>
    <row r="16">
      <c r="A16" s="56" t="inlineStr">
        <is>
          <t>2. Parámetros físicos del terreno</t>
        </is>
      </c>
      <c r="B16" s="56" t="inlineStr">
        <is>
          <t>Piso altitudinal del punto de muestreo</t>
        </is>
      </c>
      <c r="C16" s="56" t="inlineStr">
        <is>
          <t>&lt;1000 m (Yunga)</t>
        </is>
      </c>
      <c r="D16" s="56" t="inlineStr"/>
    </row>
    <row r="17">
      <c r="A17" s="55" t="inlineStr">
        <is>
          <t>2. Parámetros físicos del terreno</t>
        </is>
      </c>
      <c r="B17" s="55" t="inlineStr">
        <is>
          <t>Paisaje dominante descrito en campo</t>
        </is>
      </c>
      <c r="C17" s="55" t="inlineStr">
        <is>
          <t>Sistema de laderas convexo-cóncavas tributarias de la quebrada Q9584 (microcuenca C1076), con altitudes de 230 a 600 msnm y desniveles internos. Paisaje de colina media, dominado por bosque estacionalmente seco de colina y montaña.</t>
        </is>
      </c>
      <c r="D17" s="55" t="inlineStr"/>
    </row>
    <row r="18">
      <c r="A18" s="56" t="inlineStr">
        <is>
          <t>2. Parámetros físicos del terreno</t>
        </is>
      </c>
      <c r="B18" s="56" t="inlineStr">
        <is>
          <t>Reptación de suelo</t>
        </is>
      </c>
      <c r="C18" s="56" t="inlineStr">
        <is>
          <t>Sí</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Compactación por pisoteo</t>
        </is>
      </c>
      <c r="C21" s="55" t="inlineStr">
        <is>
          <t>Sí</t>
        </is>
      </c>
      <c r="D21" s="55" t="inlineStr"/>
    </row>
    <row r="22">
      <c r="A22" s="56" t="inlineStr">
        <is>
          <t>4. Suelos y erosión (F-DT-02)</t>
        </is>
      </c>
      <c r="B22" s="56" t="inlineStr">
        <is>
          <t>Longitud total de cárcavas (m)</t>
        </is>
      </c>
      <c r="C22" s="56" t="inlineStr">
        <is>
          <t>0</t>
        </is>
      </c>
      <c r="D22" s="56" t="inlineStr">
        <is>
          <t>m</t>
        </is>
      </c>
    </row>
    <row r="23">
      <c r="A23" s="55" t="inlineStr">
        <is>
          <t>4. Suelos y erosión (F-DT-02)</t>
        </is>
      </c>
      <c r="B23" s="55" t="inlineStr">
        <is>
          <t>% del bloque afectado por cárcavas</t>
        </is>
      </c>
      <c r="C23" s="55" t="inlineStr">
        <is>
          <t>0</t>
        </is>
      </c>
      <c r="D23" s="55" t="inlineStr">
        <is>
          <t>%</t>
        </is>
      </c>
    </row>
    <row r="24">
      <c r="A24" s="56" t="inlineStr">
        <is>
          <t>4. Suelos y erosión (F-DT-02)</t>
        </is>
      </c>
      <c r="B24" s="56" t="inlineStr">
        <is>
          <t>Socavamiento de cauce</t>
        </is>
      </c>
      <c r="C24" s="56" t="inlineStr">
        <is>
          <t>No</t>
        </is>
      </c>
      <c r="D24" s="56" t="inlineStr"/>
    </row>
    <row r="25">
      <c r="A25" s="55" t="inlineStr">
        <is>
          <t>5. Ecosistema, cobertura y flora (F-DT-03)</t>
        </is>
      </c>
      <c r="B25" s="55" t="inlineStr">
        <is>
          <t>Cobertura del dosel (%)</t>
        </is>
      </c>
      <c r="C25" s="55" t="inlineStr">
        <is>
          <t>80</t>
        </is>
      </c>
      <c r="D25" s="55" t="inlineStr">
        <is>
          <t>%</t>
        </is>
      </c>
    </row>
    <row r="26">
      <c r="A26" s="56" t="inlineStr">
        <is>
          <t>5. Ecosistema, cobertura y flora (F-DT-03)</t>
        </is>
      </c>
      <c r="B26" s="56" t="inlineStr">
        <is>
          <t>Cobertura arbustiva (%)</t>
        </is>
      </c>
      <c r="C26" s="56" t="inlineStr">
        <is>
          <t>15</t>
        </is>
      </c>
      <c r="D26" s="56" t="inlineStr">
        <is>
          <t>%</t>
        </is>
      </c>
    </row>
    <row r="27">
      <c r="A27" s="55" t="inlineStr">
        <is>
          <t>5. Ecosistema, cobertura y flora (F-DT-03)</t>
        </is>
      </c>
      <c r="B27" s="55" t="inlineStr">
        <is>
          <t>Cobertura herbácea (%)</t>
        </is>
      </c>
      <c r="C27" s="55" t="inlineStr">
        <is>
          <t>10</t>
        </is>
      </c>
      <c r="D27" s="55" t="inlineStr">
        <is>
          <t>%</t>
        </is>
      </c>
    </row>
    <row r="28">
      <c r="A28" s="56" t="inlineStr">
        <is>
          <t>5. Ecosistema, cobertura y flora (F-DT-03)</t>
        </is>
      </c>
      <c r="B28" s="56" t="inlineStr">
        <is>
          <t>Cobertura de hojarasca (%)</t>
        </is>
      </c>
      <c r="C28" s="56" t="inlineStr">
        <is>
          <t>5</t>
        </is>
      </c>
      <c r="D28" s="56" t="inlineStr">
        <is>
          <t>%</t>
        </is>
      </c>
    </row>
    <row r="29">
      <c r="A29" s="55" t="inlineStr">
        <is>
          <t>5. Ecosistema, cobertura y flora (F-DT-03)</t>
        </is>
      </c>
      <c r="B29" s="55" t="inlineStr">
        <is>
          <t>Altura del estrato dominante (m)</t>
        </is>
      </c>
      <c r="C29" s="55" t="inlineStr">
        <is>
          <t>7</t>
        </is>
      </c>
      <c r="D29" s="55" t="inlineStr">
        <is>
          <t>m</t>
        </is>
      </c>
    </row>
    <row r="30">
      <c r="A30" s="56" t="inlineStr">
        <is>
          <t>5. Ecosistema, cobertura y flora (F-DT-03)</t>
        </is>
      </c>
      <c r="B30" s="56" t="inlineStr">
        <is>
          <t>Altura máxima registrada (m)</t>
        </is>
      </c>
      <c r="C30" s="56" t="inlineStr">
        <is>
          <t>10</t>
        </is>
      </c>
      <c r="D30" s="56" t="inlineStr">
        <is>
          <t>m</t>
        </is>
      </c>
    </row>
    <row r="31">
      <c r="A31" s="55" t="inlineStr">
        <is>
          <t>5. Ecosistema, cobertura y flora (F-DT-03)</t>
        </is>
      </c>
      <c r="B31" s="55" t="inlineStr">
        <is>
          <t>DAP promedio (cm)</t>
        </is>
      </c>
      <c r="C31" s="55" t="inlineStr">
        <is>
          <t>30</t>
        </is>
      </c>
      <c r="D31" s="55" t="inlineStr">
        <is>
          <t>cm</t>
        </is>
      </c>
    </row>
    <row r="32">
      <c r="A32" s="56" t="inlineStr">
        <is>
          <t>5. Ecosistema, cobertura y flora (F-DT-03)</t>
        </is>
      </c>
      <c r="B32" s="56" t="inlineStr">
        <is>
          <t>Presencia de epífitas</t>
        </is>
      </c>
      <c r="C32" s="56" t="inlineStr">
        <is>
          <t>No</t>
        </is>
      </c>
      <c r="D32" s="56" t="inlineStr"/>
    </row>
    <row r="33">
      <c r="A33" s="55" t="inlineStr">
        <is>
          <t>5. Ecosistema, cobertura y flora (F-DT-03)</t>
        </is>
      </c>
      <c r="B33" s="55" t="inlineStr">
        <is>
          <t>Fenología dominante</t>
        </is>
      </c>
      <c r="C33" s="55" t="inlineStr">
        <is>
          <t>Vegetativo</t>
        </is>
      </c>
      <c r="D33" s="55" t="inlineStr"/>
    </row>
    <row r="34">
      <c r="A34" s="56" t="inlineStr">
        <is>
          <t>5. Ecosistema, cobertura y flora (F-DT-03)</t>
        </is>
      </c>
      <c r="B34" s="56" t="inlineStr">
        <is>
          <t>Especies clave georreferenciadas</t>
        </is>
      </c>
      <c r="C34" s="56" t="inlineStr">
        <is>
          <t>3</t>
        </is>
      </c>
      <c r="D34" s="56" t="inlineStr"/>
    </row>
    <row r="35">
      <c r="A35" s="55" t="inlineStr">
        <is>
          <t>6. Degradación, causas y urgencia (F-DT-04)</t>
        </is>
      </c>
      <c r="B35" s="55" t="inlineStr">
        <is>
          <t>Causas directas de la degradación</t>
        </is>
      </c>
      <c r="C35" s="55" t="inlineStr">
        <is>
          <t>La degradación leve del ecosistema se debe principalmente a las actividades de pastoreo de ganado vacuno y caprino y a la extracción de leña para uso doméstico.</t>
        </is>
      </c>
      <c r="D35" s="55" t="inlineStr"/>
    </row>
    <row r="36">
      <c r="A36" s="56" t="inlineStr">
        <is>
          <t>6. Degradación, causas y urgencia (F-DT-04)</t>
        </is>
      </c>
      <c r="B36" s="56" t="inlineStr">
        <is>
          <t>N.° de causas activas en la matriz F-DT-04</t>
        </is>
      </c>
      <c r="C36" s="56" t="inlineStr">
        <is>
          <t>3</t>
        </is>
      </c>
      <c r="D36" s="56" t="inlineStr"/>
    </row>
    <row r="37">
      <c r="A37" s="55" t="inlineStr">
        <is>
          <t>7. Hidrología, acceso y logística (F-DT-05)</t>
        </is>
      </c>
      <c r="B37" s="55" t="inlineStr">
        <is>
          <t>Escorrentía concentrada</t>
        </is>
      </c>
      <c r="C37" s="55" t="inlineStr">
        <is>
          <t>Sí</t>
        </is>
      </c>
      <c r="D37" s="55" t="inlineStr"/>
    </row>
    <row r="38">
      <c r="A38" s="56" t="inlineStr">
        <is>
          <t>7. Hidrología, acceso y logística (F-DT-05)</t>
        </is>
      </c>
      <c r="B38" s="56" t="inlineStr">
        <is>
          <t>Vía principal de acceso</t>
        </is>
      </c>
      <c r="C38" s="56" t="inlineStr">
        <is>
          <t>Vía nacional asfaltada Serrán — Canchaque, margen izquierda del río Pusmalca</t>
        </is>
      </c>
      <c r="D38" s="56" t="inlineStr"/>
    </row>
    <row r="39">
      <c r="A39" s="55" t="inlineStr">
        <is>
          <t>7. Hidrología, acceso y logística (F-DT-05)</t>
        </is>
      </c>
      <c r="B39" s="55" t="inlineStr">
        <is>
          <t>Tipo de vía del tramo final</t>
        </is>
      </c>
      <c r="C39" s="55" t="inlineStr">
        <is>
          <t>Camino de herradura</t>
        </is>
      </c>
      <c r="D39" s="55" t="inlineStr"/>
    </row>
    <row r="41">
      <c r="A41" s="53" t="inlineStr">
        <is>
          <t>C. PROCEDENCIA DE LOS HECHOS DECLARADOS</t>
        </is>
      </c>
    </row>
    <row r="42">
      <c r="A42" s="54" t="inlineStr">
        <is>
          <t>Fuente</t>
        </is>
      </c>
      <c r="B42" s="54" t="inlineStr">
        <is>
          <t>Hechos</t>
        </is>
      </c>
      <c r="C42" s="54" t="inlineStr">
        <is>
          <t>Alcance de la fuente</t>
        </is>
      </c>
    </row>
    <row r="43">
      <c r="A43" s="55" t="inlineStr">
        <is>
          <t>Dato de campo</t>
        </is>
      </c>
      <c r="B43" s="55" t="n">
        <v>55</v>
      </c>
      <c r="C43" s="55" t="inlineStr">
        <is>
          <t>Verificación en campo. Fichas F-DT-01 a F-DT-05 de la Plantilla DT Campo Check Validada V5, suscritas por el evaluador.</t>
        </is>
      </c>
    </row>
    <row r="44">
      <c r="A44" s="56" t="inlineStr">
        <is>
          <t>Gabinete (GIS / teledetección)</t>
        </is>
      </c>
      <c r="B44" s="56" t="n">
        <v>25</v>
      </c>
      <c r="C44" s="56" t="inlineStr">
        <is>
          <t>Gabinete. Estadística zonal sobre el MDE y compuestos Sentinel-2 (NDVI mediana 2025, MSAVI 2024 por clase DN).</t>
        </is>
      </c>
    </row>
    <row r="45">
      <c r="A45" s="55" t="inlineStr">
        <is>
          <t>Fuente oficial</t>
        </is>
      </c>
      <c r="B45" s="55" t="n">
        <v>14</v>
      </c>
      <c r="C45" s="55" t="inlineStr">
        <is>
          <t>Fuente oficial. Catálogo maestro Bloques V5/V6, división política INEI y codificación de microcuencas de la ANA.</t>
        </is>
      </c>
    </row>
    <row r="47">
      <c r="A47" s="53" t="inlineStr">
        <is>
          <t>D. ESTADO DEL CRUCE ENTRE FUENTES</t>
        </is>
      </c>
    </row>
    <row r="48">
      <c r="A48" s="54" t="inlineStr">
        <is>
          <t>Estado</t>
        </is>
      </c>
      <c r="B48" s="54" t="inlineStr">
        <is>
          <t>Hechos</t>
        </is>
      </c>
      <c r="C48" s="54" t="inlineStr">
        <is>
          <t>Significado</t>
        </is>
      </c>
    </row>
    <row r="49">
      <c r="A49" s="55" t="inlineStr">
        <is>
          <t>CONFORME</t>
        </is>
      </c>
      <c r="B49" s="55" t="n">
        <v>91</v>
      </c>
      <c r="C49" s="55" t="inlineStr">
        <is>
          <t>Las dos fuentes declaran lo mismo, o solo la fuente que manda sobre el hecho lo declara.</t>
        </is>
      </c>
    </row>
    <row r="50">
      <c r="A50" s="56" t="inlineStr">
        <is>
          <t>COMPLEMENTADO</t>
        </is>
      </c>
      <c r="B50" s="56" t="n">
        <v>3</v>
      </c>
      <c r="C50" s="56" t="inlineStr">
        <is>
          <t>Solo una de las fuentes lo declara y se adopta ese valor.</t>
        </is>
      </c>
    </row>
    <row r="51">
      <c r="A51" s="55" t="inlineStr">
        <is>
          <t>ACTUALIZADO</t>
        </is>
      </c>
      <c r="B51" s="55" t="n">
        <v>0</v>
      </c>
      <c r="C51" s="55" t="inlineStr">
        <is>
          <t>La verificación de campo vigente corrige lo que traía el libro de resumen.</t>
        </is>
      </c>
    </row>
    <row r="52">
      <c r="A52" s="56" t="inlineStr">
        <is>
          <t>DISCREPANTE</t>
        </is>
      </c>
      <c r="B52" s="56" t="n">
        <v>0</v>
      </c>
      <c r="C52" s="56" t="inlineStr">
        <is>
          <t>Las fuentes se contradicen; prevalece la que manda sobre el hecho y la otra queda declarada.</t>
        </is>
      </c>
    </row>
    <row r="53">
      <c r="A53" s="55" t="inlineStr">
        <is>
          <t>PENDIENTE</t>
        </is>
      </c>
      <c r="B53" s="55" t="n">
        <v>20</v>
      </c>
      <c r="C53"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M2B8</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Faique</t>
        </is>
      </c>
      <c r="C13" s="55" t="inlineStr">
        <is>
          <t>Vachellia macracantha</t>
        </is>
      </c>
      <c r="D13" s="55" t="inlineStr">
        <is>
          <t>Fabaceae</t>
        </is>
      </c>
      <c r="E13" s="55" t="inlineStr">
        <is>
          <t>Arbóreo bajo (4-8 m)</t>
        </is>
      </c>
      <c r="F13" s="55" t="inlineStr">
        <is>
          <t>Nativa</t>
        </is>
      </c>
      <c r="G13" s="55" t="inlineStr">
        <is>
          <t>Ocasional (1-5%)</t>
        </is>
      </c>
      <c r="H13" s="60" t="n">
        <v>20</v>
      </c>
      <c r="I13" s="61" t="n">
        <v>5</v>
      </c>
    </row>
    <row r="14">
      <c r="A14" s="56" t="inlineStr">
        <is>
          <t>2</t>
        </is>
      </c>
      <c r="B14" s="56" t="inlineStr">
        <is>
          <t>Palo santo</t>
        </is>
      </c>
      <c r="C14" s="56" t="inlineStr">
        <is>
          <t>Bursera graveolens</t>
        </is>
      </c>
      <c r="D14" s="56" t="inlineStr">
        <is>
          <t>Burseraceae</t>
        </is>
      </c>
      <c r="E14" s="56" t="inlineStr">
        <is>
          <t>Arbóreo bajo (4-8 m)</t>
        </is>
      </c>
      <c r="F14" s="56" t="inlineStr">
        <is>
          <t>Nativa</t>
        </is>
      </c>
      <c r="G14" s="56" t="inlineStr">
        <is>
          <t>Ocasional (1-5%)</t>
        </is>
      </c>
      <c r="H14" s="62" t="n">
        <v>25</v>
      </c>
      <c r="I14" s="63" t="n">
        <v>7</v>
      </c>
    </row>
    <row r="15">
      <c r="A15" s="55" t="inlineStr">
        <is>
          <t>3</t>
        </is>
      </c>
      <c r="B15" s="55" t="inlineStr">
        <is>
          <t>Pasallo</t>
        </is>
      </c>
      <c r="C15" s="55" t="inlineStr">
        <is>
          <t>Eriotheca ruizii</t>
        </is>
      </c>
      <c r="D15" s="55" t="inlineStr">
        <is>
          <t>Malvaceae</t>
        </is>
      </c>
      <c r="E15" s="55" t="inlineStr">
        <is>
          <t>Arbóreo bajo (4-8 m)</t>
        </is>
      </c>
      <c r="F15" s="55" t="inlineStr">
        <is>
          <t>Nativa</t>
        </is>
      </c>
      <c r="G15" s="55" t="inlineStr">
        <is>
          <t>Ocasional (1-5%)</t>
        </is>
      </c>
      <c r="H15" s="60" t="n">
        <v>30</v>
      </c>
      <c r="I15" s="61" t="n">
        <v>6</v>
      </c>
    </row>
    <row r="16">
      <c r="A16" s="56" t="inlineStr">
        <is>
          <t>4</t>
        </is>
      </c>
      <c r="B16" s="56" t="inlineStr">
        <is>
          <t>Hualtaco</t>
        </is>
      </c>
      <c r="C16" s="56" t="inlineStr">
        <is>
          <t>Loxopterygium huasango</t>
        </is>
      </c>
      <c r="D16" s="56" t="inlineStr">
        <is>
          <t>Anacardiaceae</t>
        </is>
      </c>
      <c r="E16" s="56" t="inlineStr">
        <is>
          <t>Arbóreo bajo (4-8 m)</t>
        </is>
      </c>
      <c r="F16" s="56" t="inlineStr">
        <is>
          <t>Nativa</t>
        </is>
      </c>
      <c r="G16" s="56" t="inlineStr">
        <is>
          <t>Ocasional (1-5%)</t>
        </is>
      </c>
      <c r="H16" s="62" t="n">
        <v>30</v>
      </c>
      <c r="I16" s="63" t="n">
        <v>8</v>
      </c>
    </row>
    <row r="17">
      <c r="A17" s="55" t="inlineStr">
        <is>
          <t>5</t>
        </is>
      </c>
      <c r="B17" s="55" t="inlineStr">
        <is>
          <t>Charán</t>
        </is>
      </c>
      <c r="C17" s="55" t="inlineStr">
        <is>
          <t>Caesalpinia paipai</t>
        </is>
      </c>
      <c r="D17" s="55" t="inlineStr">
        <is>
          <t>Fabaceae</t>
        </is>
      </c>
      <c r="E17" s="55" t="inlineStr">
        <is>
          <t>Arbóreo bajo (4-8 m)</t>
        </is>
      </c>
      <c r="F17" s="55" t="inlineStr">
        <is>
          <t>Nativa</t>
        </is>
      </c>
      <c r="G17" s="55" t="inlineStr">
        <is>
          <t>Ocasional (1-5%)</t>
        </is>
      </c>
      <c r="H17" s="60" t="n">
        <v>20</v>
      </c>
      <c r="I17" s="61" t="n">
        <v>5</v>
      </c>
    </row>
    <row r="18">
      <c r="A18" s="56" t="inlineStr">
        <is>
          <t>6</t>
        </is>
      </c>
      <c r="B18" s="56" t="inlineStr">
        <is>
          <t>Overo</t>
        </is>
      </c>
      <c r="C18" s="56" t="inlineStr">
        <is>
          <t>Cordia lutea</t>
        </is>
      </c>
      <c r="D18" s="56" t="inlineStr">
        <is>
          <t>Boraginaceae</t>
        </is>
      </c>
      <c r="E18" s="56" t="inlineStr">
        <is>
          <t>Arbustivo alto (1.5-4 m)</t>
        </is>
      </c>
      <c r="F18" s="56" t="inlineStr">
        <is>
          <t>Nativa</t>
        </is>
      </c>
      <c r="G18" s="56" t="inlineStr">
        <is>
          <t>Frecuente (5-20%)</t>
        </is>
      </c>
      <c r="H18" s="62" t="n">
        <v>15</v>
      </c>
      <c r="I18" s="63" t="n">
        <v>4</v>
      </c>
    </row>
    <row r="19">
      <c r="A19" s="55" t="inlineStr">
        <is>
          <t>7</t>
        </is>
      </c>
      <c r="B19" s="55" t="inlineStr">
        <is>
          <t>% área con pendiente &gt;50%</t>
        </is>
      </c>
      <c r="C19" s="55" t="inlineStr">
        <is>
          <t>Bursera graveolens</t>
        </is>
      </c>
      <c r="D19" s="55" t="inlineStr">
        <is>
          <t>40</t>
        </is>
      </c>
      <c r="E19" s="55" t="inlineStr">
        <is>
          <t>Arbóreo medio (8-15 m)</t>
        </is>
      </c>
      <c r="F19" s="55" t="inlineStr">
        <is>
          <t>0 nulo; 10-20 medio; &gt;20 alto</t>
        </is>
      </c>
      <c r="G19" s="55" t="inlineStr">
        <is>
          <t>Bajo</t>
        </is>
      </c>
      <c r="H19" s="60" t="n">
        <v>40</v>
      </c>
      <c r="I19" s="61" t="n">
        <v>8</v>
      </c>
    </row>
    <row r="21">
      <c r="A21" s="53" t="inlineStr">
        <is>
          <t>F-DT-03 · ESPECIES CLAVE GEORREFERENCIADAS</t>
        </is>
      </c>
    </row>
    <row r="22">
      <c r="A22" s="54" t="inlineStr">
        <is>
          <t>N.o</t>
        </is>
      </c>
      <c r="B22" s="54" t="inlineStr">
        <is>
          <t>Especie</t>
        </is>
      </c>
      <c r="C22" s="54" t="inlineStr">
        <is>
          <t>Categoría</t>
        </is>
      </c>
      <c r="D22" s="54" t="inlineStr">
        <is>
          <t>Estado UICN</t>
        </is>
      </c>
      <c r="E22" s="54" t="inlineStr">
        <is>
          <t>UTM ESTE</t>
        </is>
      </c>
      <c r="F22" s="54" t="inlineStr">
        <is>
          <t>UTM NORTE</t>
        </is>
      </c>
      <c r="G22" s="54" t="inlineStr">
        <is>
          <t>N.° individuos</t>
        </is>
      </c>
      <c r="H22" s="54" t="inlineStr">
        <is>
          <t>Observación</t>
        </is>
      </c>
    </row>
    <row r="23">
      <c r="A23" s="55" t="inlineStr">
        <is>
          <t>1</t>
        </is>
      </c>
      <c r="B23" s="55" t="inlineStr">
        <is>
          <t>Hualtaco (Loxopterygium huasango)</t>
        </is>
      </c>
      <c r="C23" s="55" t="inlineStr">
        <is>
          <t>Amenazada (D.S. 043-2006-AG)</t>
        </is>
      </c>
      <c r="D23" s="55" t="inlineStr">
        <is>
          <t>CR — En Peligro Crítico</t>
        </is>
      </c>
      <c r="E23" s="55" t="n"/>
      <c r="F23" s="55" t="n"/>
      <c r="G23" s="55" t="n"/>
      <c r="H23" s="55" t="inlineStr">
        <is>
          <t>Registrada en la ficha F-DT-03 como estrato arbóreo. Sin conteo ni georreferenciación individual: POR VERIFICAR.</t>
        </is>
      </c>
    </row>
    <row r="24">
      <c r="A24" s="56" t="inlineStr">
        <is>
          <t>2</t>
        </is>
      </c>
      <c r="B24" s="56" t="inlineStr">
        <is>
          <t>Palo santo (Bursera graveolens)</t>
        </is>
      </c>
      <c r="C24" s="56" t="inlineStr">
        <is>
          <t>Amenazada (D.S. 043-2006-AG)</t>
        </is>
      </c>
      <c r="D24" s="56" t="inlineStr">
        <is>
          <t>No aplica</t>
        </is>
      </c>
      <c r="E24" s="56" t="n"/>
      <c r="F24" s="56" t="n"/>
      <c r="G24" s="56" t="n"/>
      <c r="H24" s="56" t="inlineStr">
        <is>
          <t>Registrada en la ficha F-DT-03. Categoría nacional por confirmar con el estudio de ecosistema.</t>
        </is>
      </c>
    </row>
    <row r="25">
      <c r="A25" s="55" t="inlineStr">
        <is>
          <t>3</t>
        </is>
      </c>
      <c r="B25" s="55" t="inlineStr">
        <is>
          <t>Sapote (Colicodendron scabridum)</t>
        </is>
      </c>
      <c r="C25" s="55" t="inlineStr">
        <is>
          <t>Indicadora de buen estado</t>
        </is>
      </c>
      <c r="D25" s="55" t="inlineStr">
        <is>
          <t>No aplica</t>
        </is>
      </c>
      <c r="E25" s="55" t="n"/>
      <c r="F25" s="55" t="n"/>
      <c r="G25" s="55" t="n"/>
      <c r="H25" s="55" t="inlineStr">
        <is>
          <t>Citada en las observaciones de la ficha y en el 2do Entregable; no incluida en la tabla florística.</t>
        </is>
      </c>
    </row>
    <row r="27">
      <c r="A27" s="53" t="inlineStr">
        <is>
          <t>F-DT-04 · MATRIZ DE CAUSAS DE DEGRADACIÓN</t>
        </is>
      </c>
    </row>
    <row r="28">
      <c r="A28" s="54" t="inlineStr">
        <is>
          <t>N.o</t>
        </is>
      </c>
      <c r="B28" s="54" t="inlineStr">
        <is>
          <t>Causa</t>
        </is>
      </c>
      <c r="C28" s="54" t="inlineStr">
        <is>
          <t>Presencia</t>
        </is>
      </c>
      <c r="D28" s="54" t="inlineStr">
        <is>
          <t>Intensidad</t>
        </is>
      </c>
      <c r="E28" s="54" t="inlineStr">
        <is>
          <t>Extensión</t>
        </is>
      </c>
      <c r="F28" s="54" t="inlineStr">
        <is>
          <t>Antigüedad</t>
        </is>
      </c>
      <c r="G28" s="54" t="inlineStr">
        <is>
          <t>Evidencia</t>
        </is>
      </c>
    </row>
    <row r="29">
      <c r="A29" s="55" t="inlineStr">
        <is>
          <t>1</t>
        </is>
      </c>
      <c r="B29" s="55" t="inlineStr">
        <is>
          <t>Sobrepastoreo (caprino/vacuno)</t>
        </is>
      </c>
      <c r="C29" s="55" t="inlineStr">
        <is>
          <t>Sí</t>
        </is>
      </c>
      <c r="D29" s="55" t="inlineStr">
        <is>
          <t>Moderada</t>
        </is>
      </c>
      <c r="E29" s="55" t="inlineStr">
        <is>
          <t>60</t>
        </is>
      </c>
      <c r="F29" s="55" t="inlineStr">
        <is>
          <t>30</t>
        </is>
      </c>
      <c r="G29" s="55" t="inlineStr">
        <is>
          <t>Se observó presencia de ganado vacuno y caprino.</t>
        </is>
      </c>
    </row>
    <row r="30">
      <c r="A30" s="56" t="inlineStr">
        <is>
          <t>2</t>
        </is>
      </c>
      <c r="B30" s="56" t="inlineStr">
        <is>
          <t>Tala para leña</t>
        </is>
      </c>
      <c r="C30" s="56" t="inlineStr">
        <is>
          <t>Sí</t>
        </is>
      </c>
      <c r="D30" s="56" t="inlineStr">
        <is>
          <t>Moderada</t>
        </is>
      </c>
      <c r="E30" s="56" t="inlineStr">
        <is>
          <t>30</t>
        </is>
      </c>
      <c r="F30" s="56" t="inlineStr">
        <is>
          <t>30</t>
        </is>
      </c>
      <c r="G30" s="56" t="inlineStr">
        <is>
          <t>Se observó leña apilada en los patios de las viviendas.</t>
        </is>
      </c>
    </row>
    <row r="31">
      <c r="A31" s="55" t="inlineStr">
        <is>
          <t>3</t>
        </is>
      </c>
      <c r="B31" s="55" t="inlineStr">
        <is>
          <t>Tala para carbón</t>
        </is>
      </c>
      <c r="C31" s="55" t="inlineStr"/>
      <c r="D31" s="55" t="inlineStr"/>
      <c r="E31" s="55" t="inlineStr"/>
      <c r="F31" s="55" t="inlineStr"/>
      <c r="G31" s="55" t="inlineStr"/>
    </row>
    <row r="32">
      <c r="A32" s="56" t="inlineStr">
        <is>
          <t>4</t>
        </is>
      </c>
      <c r="B32" s="56" t="inlineStr">
        <is>
          <t>Tala para madera</t>
        </is>
      </c>
      <c r="C32" s="56" t="inlineStr"/>
      <c r="D32" s="56" t="inlineStr"/>
      <c r="E32" s="56" t="inlineStr"/>
      <c r="F32" s="56" t="inlineStr"/>
      <c r="G32" s="56" t="inlineStr"/>
    </row>
    <row r="33">
      <c r="A33" s="55" t="inlineStr">
        <is>
          <t>5</t>
        </is>
      </c>
      <c r="B33" s="55" t="inlineStr">
        <is>
          <t>Quema (renovación de pastos)</t>
        </is>
      </c>
      <c r="C33" s="55" t="inlineStr"/>
      <c r="D33" s="55" t="inlineStr"/>
      <c r="E33" s="55" t="inlineStr"/>
      <c r="F33" s="55" t="inlineStr"/>
      <c r="G33" s="55" t="inlineStr"/>
    </row>
    <row r="34">
      <c r="A34" s="56" t="inlineStr">
        <is>
          <t>6</t>
        </is>
      </c>
      <c r="B34" s="56" t="inlineStr">
        <is>
          <t>Quema accidental / Incendio</t>
        </is>
      </c>
      <c r="C34" s="56" t="inlineStr"/>
      <c r="D34" s="56" t="inlineStr"/>
      <c r="E34" s="56" t="inlineStr"/>
      <c r="F34" s="56" t="inlineStr"/>
      <c r="G34" s="56" t="inlineStr"/>
    </row>
    <row r="35">
      <c r="A35" s="55" t="inlineStr">
        <is>
          <t>7</t>
        </is>
      </c>
      <c r="B35" s="55" t="inlineStr">
        <is>
          <t>Cambio de uso a agricultura</t>
        </is>
      </c>
      <c r="C35" s="55" t="inlineStr"/>
      <c r="D35" s="55" t="inlineStr"/>
      <c r="E35" s="55" t="inlineStr"/>
      <c r="F35" s="55" t="inlineStr"/>
      <c r="G35" s="55" t="inlineStr"/>
    </row>
    <row r="36">
      <c r="A36" s="56" t="inlineStr">
        <is>
          <t>8</t>
        </is>
      </c>
      <c r="B36" s="56" t="inlineStr">
        <is>
          <t>Cambio de uso a pastoreo</t>
        </is>
      </c>
      <c r="C36" s="56" t="inlineStr">
        <is>
          <t>Sí</t>
        </is>
      </c>
      <c r="D36" s="56" t="inlineStr">
        <is>
          <t>Moderada</t>
        </is>
      </c>
      <c r="E36" s="56" t="inlineStr">
        <is>
          <t>60</t>
        </is>
      </c>
      <c r="F36" s="56" t="inlineStr">
        <is>
          <t>30</t>
        </is>
      </c>
      <c r="G36" s="56" t="inlineStr">
        <is>
          <t>Se observó presencia de ganado vacuno y caprino.</t>
        </is>
      </c>
    </row>
    <row r="37">
      <c r="A37" s="55" t="inlineStr">
        <is>
          <t>9</t>
        </is>
      </c>
      <c r="B37" s="55" t="inlineStr">
        <is>
          <t>Expansión urbana / vial</t>
        </is>
      </c>
      <c r="C37" s="55" t="inlineStr"/>
      <c r="D37" s="55" t="inlineStr"/>
      <c r="E37" s="55" t="inlineStr"/>
      <c r="F37" s="55" t="inlineStr"/>
      <c r="G37" s="55" t="inlineStr"/>
    </row>
    <row r="38">
      <c r="A38" s="56" t="inlineStr">
        <is>
          <t>10</t>
        </is>
      </c>
      <c r="B38" s="56" t="inlineStr">
        <is>
          <t>Minería informal</t>
        </is>
      </c>
      <c r="C38" s="56" t="inlineStr"/>
      <c r="D38" s="56" t="inlineStr"/>
      <c r="E38" s="56" t="inlineStr"/>
      <c r="F38" s="56" t="inlineStr"/>
      <c r="G38" s="56" t="inlineStr"/>
    </row>
    <row r="39">
      <c r="A39" s="55" t="inlineStr">
        <is>
          <t>11</t>
        </is>
      </c>
      <c r="B39" s="55" t="inlineStr">
        <is>
          <t>Extracción de áridos (cauces)</t>
        </is>
      </c>
      <c r="C39" s="55" t="inlineStr"/>
      <c r="D39" s="55" t="inlineStr"/>
      <c r="E39" s="55" t="inlineStr"/>
      <c r="F39" s="55" t="inlineStr"/>
      <c r="G39" s="55" t="inlineStr"/>
    </row>
    <row r="40">
      <c r="A40" s="56" t="inlineStr">
        <is>
          <t>12</t>
        </is>
      </c>
      <c r="B40" s="56" t="inlineStr">
        <is>
          <t>Especies invasoras</t>
        </is>
      </c>
      <c r="C40" s="56" t="inlineStr"/>
      <c r="D40" s="56" t="inlineStr"/>
      <c r="E40" s="56" t="inlineStr"/>
      <c r="F40" s="56" t="inlineStr"/>
      <c r="G40" s="56" t="inlineStr"/>
    </row>
    <row r="41">
      <c r="A41" s="55" t="inlineStr">
        <is>
          <t>13</t>
        </is>
      </c>
      <c r="B41" s="55" t="inlineStr">
        <is>
          <t>Erosión natural severa</t>
        </is>
      </c>
      <c r="C41" s="55" t="inlineStr"/>
      <c r="D41" s="55" t="inlineStr"/>
      <c r="E41" s="55" t="inlineStr"/>
      <c r="F41" s="55" t="inlineStr"/>
      <c r="G41" s="55" t="inlineStr"/>
    </row>
    <row r="42">
      <c r="A42" s="56" t="inlineStr">
        <is>
          <t>14</t>
        </is>
      </c>
      <c r="B42" s="56" t="inlineStr">
        <is>
          <t>Sequía prolongada / CC</t>
        </is>
      </c>
      <c r="C42" s="56" t="inlineStr"/>
      <c r="D42" s="56" t="inlineStr"/>
      <c r="E42" s="56" t="inlineStr"/>
      <c r="F42" s="56" t="inlineStr"/>
      <c r="G42" s="56" t="inlineStr"/>
    </row>
    <row r="43">
      <c r="A43" s="55" t="inlineStr">
        <is>
          <t>15</t>
        </is>
      </c>
      <c r="B43" s="55" t="inlineStr">
        <is>
          <t>Plagas o enfermedades forestales</t>
        </is>
      </c>
      <c r="C43" s="55" t="inlineStr"/>
      <c r="D43" s="55" t="inlineStr"/>
      <c r="E43" s="55" t="inlineStr"/>
      <c r="F43" s="55" t="inlineStr"/>
      <c r="G43" s="55" t="inlineStr"/>
    </row>
    <row r="44">
      <c r="A44" s="56" t="inlineStr">
        <is>
          <t>16</t>
        </is>
      </c>
      <c r="B44" s="56" t="inlineStr">
        <is>
          <t>Otro</t>
        </is>
      </c>
      <c r="C44" s="56" t="inlineStr"/>
      <c r="D44" s="56" t="inlineStr"/>
      <c r="E44" s="56" t="inlineStr"/>
      <c r="F44" s="56" t="inlineStr"/>
      <c r="G44" s="56" t="inlineStr"/>
    </row>
    <row r="46">
      <c r="A46" s="53" t="inlineStr">
        <is>
          <t>F-DT-04 · INDICADORES CUANTITATIVOS</t>
        </is>
      </c>
    </row>
    <row r="47">
      <c r="A47" s="54" t="inlineStr">
        <is>
          <t>N.o</t>
        </is>
      </c>
      <c r="B47" s="54" t="inlineStr">
        <is>
          <t>Indicador</t>
        </is>
      </c>
      <c r="C47" s="54" t="inlineStr">
        <is>
          <t>Unidad</t>
        </is>
      </c>
      <c r="D47" s="54" t="inlineStr">
        <is>
          <t>Valor</t>
        </is>
      </c>
      <c r="E47" s="54" t="inlineStr">
        <is>
          <t>Fuente</t>
        </is>
      </c>
      <c r="F47" s="54" t="inlineStr">
        <is>
          <t>Umbral</t>
        </is>
      </c>
      <c r="G47" s="54" t="inlineStr">
        <is>
          <t>Nivel</t>
        </is>
      </c>
    </row>
    <row r="48">
      <c r="A48" s="55" t="inlineStr">
        <is>
          <t>1</t>
        </is>
      </c>
      <c r="B48" s="55" t="inlineStr">
        <is>
          <t>Cobertura vegetal total</t>
        </is>
      </c>
      <c r="C48" s="55" t="inlineStr">
        <is>
          <t>%</t>
        </is>
      </c>
      <c r="D48" s="55" t="inlineStr">
        <is>
          <t>80</t>
        </is>
      </c>
      <c r="E48" s="55" t="inlineStr">
        <is>
          <t>Estimación visual de campo</t>
        </is>
      </c>
      <c r="F48" s="55" t="inlineStr">
        <is>
          <t>&gt;60% bueno; 30-60% medio; &lt;30% malo</t>
        </is>
      </c>
      <c r="G48" s="55" t="inlineStr">
        <is>
          <t>Alto</t>
        </is>
      </c>
    </row>
    <row r="49">
      <c r="A49" s="56" t="inlineStr">
        <is>
          <t>2</t>
        </is>
      </c>
      <c r="B49" s="56" t="inlineStr">
        <is>
          <t>Porcentaje de suelo desnudo</t>
        </is>
      </c>
      <c r="C49" s="56" t="inlineStr">
        <is>
          <t>%</t>
        </is>
      </c>
      <c r="D49" s="56" t="inlineStr">
        <is>
          <t>5</t>
        </is>
      </c>
      <c r="E49" s="56" t="inlineStr">
        <is>
          <t>Estimación visual de campo</t>
        </is>
      </c>
      <c r="F49" s="56" t="inlineStr">
        <is>
          <t>&lt;10% bueno; 10-30% medio; &gt;30% malo</t>
        </is>
      </c>
      <c r="G49" s="56" t="inlineStr">
        <is>
          <t>Bajo</t>
        </is>
      </c>
    </row>
    <row r="50">
      <c r="A50" s="55" t="inlineStr">
        <is>
          <t>3</t>
        </is>
      </c>
      <c r="B50" s="55" t="inlineStr">
        <is>
          <t>Densidad de cárcavas</t>
        </is>
      </c>
      <c r="C50" s="55" t="inlineStr">
        <is>
          <t>N°/ha</t>
        </is>
      </c>
      <c r="D50" s="55" t="inlineStr">
        <is>
          <t>1</t>
        </is>
      </c>
      <c r="E50" s="55" t="inlineStr">
        <is>
          <t>Estimación visual de campo</t>
        </is>
      </c>
      <c r="F50" s="55" t="inlineStr">
        <is>
          <t>0 nulo; 1-3 medio; &gt;3 alto</t>
        </is>
      </c>
      <c r="G50" s="55" t="inlineStr">
        <is>
          <t>Bajo</t>
        </is>
      </c>
    </row>
    <row r="51">
      <c r="A51" s="56" t="inlineStr">
        <is>
          <t>4</t>
        </is>
      </c>
      <c r="B51" s="56" t="inlineStr">
        <is>
          <t>Presencia de especies invasoras</t>
        </is>
      </c>
      <c r="C51" s="56" t="inlineStr">
        <is>
          <t>% área</t>
        </is>
      </c>
      <c r="D51" s="56" t="inlineStr">
        <is>
          <t>0</t>
        </is>
      </c>
      <c r="E51" s="56" t="inlineStr">
        <is>
          <t>Estimación visual de campo</t>
        </is>
      </c>
      <c r="F51" s="56" t="inlineStr">
        <is>
          <t>&lt;5% bueno; 5-20% medio; &gt;20% alto</t>
        </is>
      </c>
      <c r="G51" s="56" t="inlineStr">
        <is>
          <t>Bajo</t>
        </is>
      </c>
    </row>
    <row r="52">
      <c r="A52" s="55" t="inlineStr">
        <is>
          <t>5</t>
        </is>
      </c>
      <c r="B52" s="55" t="inlineStr">
        <is>
          <t>Carga ganadera estimada</t>
        </is>
      </c>
      <c r="C52" s="55" t="inlineStr">
        <is>
          <t>UA/ha</t>
        </is>
      </c>
      <c r="D52" s="55" t="inlineStr">
        <is>
          <t>3</t>
        </is>
      </c>
      <c r="E52" s="55" t="inlineStr">
        <is>
          <t>Estimación visual de campo</t>
        </is>
      </c>
      <c r="F52" s="55" t="inlineStr">
        <is>
          <t>Según tipo de ecosistema</t>
        </is>
      </c>
      <c r="G52" s="55" t="inlineStr">
        <is>
          <t>Medio</t>
        </is>
      </c>
    </row>
    <row r="53">
      <c r="A53" s="56" t="inlineStr">
        <is>
          <t>6</t>
        </is>
      </c>
      <c r="B53" s="56" t="inlineStr">
        <is>
          <t>Frecuencia de quemas últimos 5 años</t>
        </is>
      </c>
      <c r="C53" s="56" t="inlineStr">
        <is>
          <t>N°</t>
        </is>
      </c>
      <c r="D53" s="56" t="inlineStr">
        <is>
          <t>1</t>
        </is>
      </c>
      <c r="E53" s="56" t="inlineStr">
        <is>
          <t>Estimación visual de campo</t>
        </is>
      </c>
      <c r="F53" s="56" t="inlineStr">
        <is>
          <t>0 nulo; 1-2 medio; &gt;2 alto</t>
        </is>
      </c>
      <c r="G53" s="56" t="inlineStr">
        <is>
          <t>Medio</t>
        </is>
      </c>
    </row>
    <row r="54">
      <c r="A54" s="55" t="inlineStr">
        <is>
          <t>7</t>
        </is>
      </c>
      <c r="B54" s="55" t="inlineStr">
        <is>
          <t>% área con pendiente &gt;50%</t>
        </is>
      </c>
      <c r="C54" s="55" t="inlineStr">
        <is>
          <t>%</t>
        </is>
      </c>
      <c r="D54" s="55" t="inlineStr">
        <is>
          <t>40</t>
        </is>
      </c>
      <c r="E54" s="55" t="inlineStr">
        <is>
          <t>Estimación visual de campo</t>
        </is>
      </c>
      <c r="F54" s="55" t="inlineStr">
        <is>
          <t>0 nulo; 10-20 medio; &gt;20 alto</t>
        </is>
      </c>
      <c r="G54" s="55" t="inlineStr">
        <is>
          <t>Alto</t>
        </is>
      </c>
    </row>
    <row r="55">
      <c r="A55" s="56" t="inlineStr">
        <is>
          <t>8</t>
        </is>
      </c>
      <c r="B55" s="56" t="inlineStr">
        <is>
          <t>Distancia a vía vecinal más cercana</t>
        </is>
      </c>
      <c r="C55" s="56" t="inlineStr">
        <is>
          <t>m</t>
        </is>
      </c>
      <c r="D55" s="56" t="inlineStr">
        <is>
          <t>100</t>
        </is>
      </c>
      <c r="E55" s="56" t="inlineStr">
        <is>
          <t>Estimación visual de campo</t>
        </is>
      </c>
      <c r="F55" s="56" t="inlineStr">
        <is>
          <t>A menor distancia → mayor presión</t>
        </is>
      </c>
      <c r="G55" s="56" t="inlineStr">
        <is>
          <t>Alto</t>
        </is>
      </c>
    </row>
    <row r="57">
      <c r="A57" s="53" t="inlineStr">
        <is>
          <t>F-DT-05 · FUENTES DE AGUA INVENTARIADAS</t>
        </is>
      </c>
    </row>
    <row r="58">
      <c r="A58" s="54" t="inlineStr">
        <is>
          <t>N.o</t>
        </is>
      </c>
      <c r="B58" s="54" t="inlineStr">
        <is>
          <t>Tipo de fuente</t>
        </is>
      </c>
      <c r="C58" s="54" t="inlineStr">
        <is>
          <t>UTM ESTE</t>
        </is>
      </c>
      <c r="D58" s="54" t="inlineStr">
        <is>
          <t>UTM NORTE</t>
        </is>
      </c>
      <c r="E58" s="54" t="inlineStr">
        <is>
          <t>Régimen</t>
        </is>
      </c>
      <c r="F58" s="54" t="inlineStr">
        <is>
          <t>Calidad</t>
        </is>
      </c>
      <c r="G58" s="54" t="inlineStr">
        <is>
          <t>Distancia (m)</t>
        </is>
      </c>
      <c r="H58" s="54" t="inlineStr">
        <is>
          <t>Uso / observación</t>
        </is>
      </c>
    </row>
    <row r="61">
      <c r="A61" s="53" t="inlineStr">
        <is>
          <t>OBSERVACIONES DEL EVALUADOR POR FICHA</t>
        </is>
      </c>
    </row>
    <row r="62">
      <c r="A62" s="54" t="inlineStr">
        <is>
          <t>Ficha</t>
        </is>
      </c>
      <c r="B62" s="54" t="inlineStr">
        <is>
          <t>Observación registrada en campo</t>
        </is>
      </c>
    </row>
    <row r="63">
      <c r="A63" s="55" t="inlineStr">
        <is>
          <t>F-DT-01</t>
        </is>
      </c>
      <c r="B63" s="55" t="inlineStr">
        <is>
          <t>El bloque se ubica en una ladera de colina alta. Presenta una pendiente menor a 60 %. El terreno se inclina más conforme se asciende. Se encuentra a una altitud de 250 msnm aprox. Esta ladera es empleada para el pastoreo extensivo de ganado caprino y vacuno, que pertenece al centro poblado asentado al pie del bloque. Además, se ubica cerca de una vía asfaltada y de áreas de cultivo. También se ha evidenciado leña apilada en viviendas próximas al bloque. El suelo del bloque presenta erosión eólica e hídrica. En la ladera se observan estrías y surcos dejados por el tránsito habitual del ganado. Existen caminos de herradura dentro del bloque y áreas de suelo desprovistas de vegetación y expuestas a lluvia. Es el único de los seis bloques en el que se registra reptación de suelo.</t>
        </is>
      </c>
    </row>
    <row r="64">
      <c r="A64" s="56" t="inlineStr">
        <is>
          <t>F-DT-02</t>
        </is>
      </c>
      <c r="B64" s="56" t="inlineStr">
        <is>
          <t>Nivel general de erosión moderado, con erosión eólica e hídrica. Estrías y surcos por tránsito de ganado y áreas de suelo desnudo expuestas a la lluvia. No se identifican cárcavas desarrolladas. Compactación por pisoteo y piedras dispersas. La reptación de suelo registrada en la ficha F-DT-01 constituye un indicio de movimiento lento de ladera que merece seguimiento específico, y diferencia a este bloque de los otros cinco. Sin ficha F-DT-02 firmada en el ANEXO 01; el inventario georreferenciado de cárcavas queda pendiente.</t>
        </is>
      </c>
    </row>
    <row r="65">
      <c r="A65" s="55" t="inlineStr">
        <is>
          <t>F-DT-03</t>
        </is>
      </c>
      <c r="B65" s="55" t="inlineStr">
        <is>
          <t>Al momento de la evaluación, la cobertura vegetal del área corresponde a un bosque seco con zonas empobrecidas y con claros próximos a la vía asfaltada. La altura promedio de los individuos arbóreos es menor a los 8 m y los diámetros a la altura del pecho, menores a 30 cm. Abundan ceibos. Es un bosque empobrecido (ralo). La parte alta del bloque conserva la vegetación. Se ha observado presencia de arbustos dispersos, principalmente overo. La vegetación es nativa y la mayoría de los individuos se encuentran en época de defoliación. Entre las especies arbóreas nativas: ceibo, pasallo, charán, faique, palo santo, hualtaco y sapote. También hay presencia de cardos. INCONSISTENCIA: las observaciones señalan que «abundan ceibos», pero la tabla florística de la ficha solo registró 6 especies y omitió el ceibo, que sí figura en los otros cuatro bloques con ficha. Ver discrepancia D-07.</t>
        </is>
      </c>
    </row>
    <row r="66">
      <c r="A66" s="56" t="inlineStr">
        <is>
          <t>F-DT-04</t>
        </is>
      </c>
      <c r="B66" s="56" t="inlineStr">
        <is>
          <t>Redelimitar el bloque priorizando las áreas próximas a los centros poblados y desestimando las áreas donde el ecosistema se encuentra conservado. Hay presencia de casas muy próximas al bloque. El terreno está cercado para pastoreo de ganado vacuno de los pobladores próximos al área del bloque. Existe un cerco con postes. Presencia de ganado vacuno.</t>
        </is>
      </c>
    </row>
    <row r="67">
      <c r="A67" s="55" t="inlineStr">
        <is>
          <t>F-DT-05</t>
        </is>
      </c>
      <c r="B67" s="55" t="inlineStr">
        <is>
          <t>Acceso por la vía nacional asfaltada (Serrán — Canchaque), margen izquierda del río Pusmalca; desplazamiento interior a pie por caminos de herradura. El terreno se encuentra cercado con postes para pastoreo de ganado vacuno, lo que implica gestión previa con los titulares para el ingreso y para cualquier intervención. POR COMPLETAR: inventario de fuentes de agua, JASS y captación poblacional, tiempos de viaje, señal celular y autorización de Ronda Campesina — sin ficha F-DT-05 en el ANEXO 01.</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M2B8</t>
        </is>
      </c>
    </row>
    <row r="7">
      <c r="A7" s="53" t="inlineStr">
        <is>
          <t>Hechos declarados por fuente</t>
        </is>
      </c>
    </row>
    <row r="8">
      <c r="A8" s="54" t="inlineStr">
        <is>
          <t>Fuente</t>
        </is>
      </c>
      <c r="B8" s="54" t="inlineStr">
        <is>
          <t>Hechos</t>
        </is>
      </c>
    </row>
    <row r="9">
      <c r="A9" s="55" t="inlineStr">
        <is>
          <t>Dato de campo</t>
        </is>
      </c>
      <c r="B9" s="55" t="n">
        <v>55</v>
      </c>
    </row>
    <row r="10">
      <c r="A10" s="56" t="inlineStr">
        <is>
          <t>Gabinete (GIS / teledetección)</t>
        </is>
      </c>
      <c r="B10" s="56" t="n">
        <v>25</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91</v>
      </c>
    </row>
    <row r="31">
      <c r="A31" s="56" t="inlineStr">
        <is>
          <t>COMPLEMENTADO</t>
        </is>
      </c>
      <c r="B31" s="56" t="n">
        <v>3</v>
      </c>
    </row>
    <row r="32">
      <c r="A32" s="55" t="inlineStr">
        <is>
          <t>ACTUALIZADO</t>
        </is>
      </c>
      <c r="B32" s="55" t="n">
        <v>0</v>
      </c>
    </row>
    <row r="33">
      <c r="A33" s="56" t="inlineStr">
        <is>
          <t>DISCREPANTE</t>
        </is>
      </c>
      <c r="B33" s="56" t="n">
        <v>0</v>
      </c>
    </row>
    <row r="34">
      <c r="A34" s="55" t="inlineStr">
        <is>
          <t>PENDIENTE</t>
        </is>
      </c>
      <c r="B34" s="55" t="n">
        <v>20</v>
      </c>
    </row>
    <row r="51">
      <c r="A51" s="53" t="inlineStr">
        <is>
          <t>Cobertura por estrato — campo (%)</t>
        </is>
      </c>
    </row>
    <row r="52">
      <c r="A52" s="54" t="inlineStr">
        <is>
          <t>Estrato</t>
        </is>
      </c>
      <c r="B52" s="54" t="inlineStr">
        <is>
          <t>% del área</t>
        </is>
      </c>
    </row>
    <row r="53">
      <c r="A53" s="55" t="inlineStr">
        <is>
          <t>Dosel</t>
        </is>
      </c>
      <c r="B53" s="60" t="n">
        <v>80</v>
      </c>
    </row>
    <row r="54">
      <c r="A54" s="56" t="inlineStr">
        <is>
          <t>Arbustiva</t>
        </is>
      </c>
      <c r="B54" s="62" t="n">
        <v>15</v>
      </c>
    </row>
    <row r="55">
      <c r="A55" s="55" t="inlineStr">
        <is>
          <t>Herbácea</t>
        </is>
      </c>
      <c r="B55" s="60" t="n">
        <v>10</v>
      </c>
    </row>
    <row r="56">
      <c r="A56" s="56" t="inlineStr">
        <is>
          <t>Hojarasca</t>
        </is>
      </c>
      <c r="B56" s="63" t="n">
        <v>5</v>
      </c>
    </row>
    <row r="57">
      <c r="A57" s="55" t="inlineStr">
        <is>
          <t>Suelo desnudo</t>
        </is>
      </c>
      <c r="B57" s="60" t="n">
        <v>10</v>
      </c>
    </row>
    <row r="74">
      <c r="A74" s="53" t="inlineStr">
        <is>
          <t>Causas activas de degradación (F-DT-04)</t>
        </is>
      </c>
    </row>
    <row r="75">
      <c r="A75" s="54" t="inlineStr">
        <is>
          <t>Causa</t>
        </is>
      </c>
      <c r="B75" s="54" t="inlineStr">
        <is>
          <t>Intensidad (1 ligera - 4 muy fuerte)</t>
        </is>
      </c>
    </row>
    <row r="76">
      <c r="A76" s="55" t="inlineStr">
        <is>
          <t>Cambio de uso a pastoreo</t>
        </is>
      </c>
      <c r="B76" s="55" t="n">
        <v>2</v>
      </c>
    </row>
    <row r="77">
      <c r="A77" s="56" t="inlineStr">
        <is>
          <t>Sobrepastoreo (caprino/vacuno)</t>
        </is>
      </c>
      <c r="B77" s="56" t="n">
        <v>2</v>
      </c>
    </row>
    <row r="78">
      <c r="A78" s="55" t="inlineStr">
        <is>
          <t>Tala para leña</t>
        </is>
      </c>
      <c r="B78" s="55" t="n">
        <v>2</v>
      </c>
    </row>
    <row r="95">
      <c r="A95" s="53" t="inlineStr">
        <is>
          <t>Control de consistencia por calificación</t>
        </is>
      </c>
    </row>
    <row r="96">
      <c r="A96" s="54" t="inlineStr">
        <is>
          <t>Calificación</t>
        </is>
      </c>
      <c r="B96" s="54" t="inlineStr">
        <is>
          <t>Verificaciones</t>
        </is>
      </c>
    </row>
    <row r="97">
      <c r="A97" s="55" t="inlineStr">
        <is>
          <t>SUSTANTIVA</t>
        </is>
      </c>
      <c r="B97" s="55" t="n">
        <v>7</v>
      </c>
    </row>
    <row r="98">
      <c r="A98" s="56" t="inlineStr">
        <is>
          <t>NO SUSTANTIVA</t>
        </is>
      </c>
      <c r="B98" s="56" t="n">
        <v>2</v>
      </c>
    </row>
    <row r="99">
      <c r="A99" s="55" t="inlineStr">
        <is>
          <t>CORREGIDO</t>
        </is>
      </c>
      <c r="B99" s="55" t="n">
        <v>0</v>
      </c>
    </row>
    <row r="100">
      <c r="A100" s="56" t="inlineStr">
        <is>
          <t>CONFORME</t>
        </is>
      </c>
      <c r="B100"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M2B8 — IN Piura</dc:title>
  <dc:subject>Diagnóstico Territorial por bloque de intervención</dc:subject>
  <dcterms:created xsi:type="dcterms:W3CDTF">2026-09-08T03:39:54Z</dcterms:created>
  <dcterms:modified xsi:type="dcterms:W3CDTF">2026-09-11T20:22:37Z</dcterms:modified>
</cp:coreProperties>
</file>