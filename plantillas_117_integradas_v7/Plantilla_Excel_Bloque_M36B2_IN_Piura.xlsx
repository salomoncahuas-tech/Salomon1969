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integración'!$A$66:$A$71</f>
            </numRef>
          </cat>
          <val>
            <numRef>
              <f>'Gráficos de integración'!$B$66:$B$71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M36B2</t>
        </is>
      </c>
    </row>
    <row r="6" ht="24" customHeight="1">
      <c r="A6" s="4" t="inlineStr">
        <is>
          <t>Diagnóstico Territorial — Plantilla DT Campo Check Validada V5 | Sistema de referencia: UTM WGS 84 Zona 17S (EPSG:32717) · Integrado con la ficha de campo F-DT vigente (DT_M36B2_IN_Piura.xlsx) — V7 - resumen V6 + campo F-DT integrado</t>
        </is>
      </c>
    </row>
    <row r="7"/>
    <row r="8" ht="18" customHeight="1">
      <c r="A8" s="5" t="inlineStr">
        <is>
          <t>1. IDENTIFICACIÓN Y LOCALIZACIÓN</t>
        </is>
      </c>
    </row>
    <row r="9">
      <c r="A9" s="6" t="inlineStr">
        <is>
          <t>Código del bloque</t>
        </is>
      </c>
      <c r="B9" s="7" t="inlineStr">
        <is>
          <t>M36B2</t>
        </is>
      </c>
      <c r="C9" s="6" t="inlineStr">
        <is>
          <t>Microcuenca (catálogo)</t>
        </is>
      </c>
      <c r="D9" s="7" t="inlineStr">
        <is>
          <t>C1086-Q9576</t>
        </is>
      </c>
      <c r="E9" s="8" t="n"/>
      <c r="F9" s="8" t="n"/>
    </row>
    <row r="10">
      <c r="A10" s="6" t="inlineStr">
        <is>
          <t>Zona de planificación</t>
        </is>
      </c>
      <c r="B10" s="7" t="inlineStr">
        <is>
          <t>Z04</t>
        </is>
      </c>
      <c r="C10" s="6" t="inlineStr">
        <is>
          <t>Microcuenca declarada en ficha DT</t>
        </is>
      </c>
      <c r="D10" s="7" t="inlineStr">
        <is>
          <t>C1086-Q9576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Santa Catalina de Mossa</t>
        </is>
      </c>
      <c r="C12" s="6" t="inlineStr">
        <is>
          <t>Capital distrital</t>
        </is>
      </c>
      <c r="D12" s="7" t="inlineStr">
        <is>
          <t>Santa Catalina de Mossa</t>
        </is>
      </c>
      <c r="E12" s="8" t="n"/>
      <c r="F12" s="8" t="n"/>
    </row>
    <row r="13">
      <c r="A13" s="6" t="inlineStr">
        <is>
          <t>Centro poblado asociado</t>
        </is>
      </c>
      <c r="B13" s="7" t="inlineStr">
        <is>
          <t>Santa Rosa de Chirimoyos</t>
        </is>
      </c>
      <c r="C13" s="6" t="inlineStr">
        <is>
          <t>Comunidad campesina</t>
        </is>
      </c>
      <c r="D13" s="7" t="inlineStr">
        <is>
          <t>Por verificar (predominio de predios privados; tierras comunales y del Estado)</t>
        </is>
      </c>
      <c r="E13" s="8" t="n"/>
      <c r="F13" s="8" t="n"/>
    </row>
    <row r="14">
      <c r="A14" s="6" t="inlineStr">
        <is>
          <t>Superficie de catálogo (V5/V6), ha</t>
        </is>
      </c>
      <c r="B14" s="7" t="n">
        <v>28.19</v>
      </c>
      <c r="C14" s="6" t="inlineStr">
        <is>
          <t>Fuente de superficie</t>
        </is>
      </c>
      <c r="D14" s="7" t="inlineStr">
        <is>
          <t>Catálogo maestro Bloques V5/V6</t>
        </is>
      </c>
      <c r="E14" s="8" t="n"/>
      <c r="F14" s="8" t="n"/>
    </row>
    <row r="15">
      <c r="A15" s="6" t="inlineStr">
        <is>
          <t>Centroide UTM ESTE (m)</t>
        </is>
      </c>
      <c r="B15" s="7" t="n">
        <v>626438</v>
      </c>
      <c r="C15" s="6" t="inlineStr">
        <is>
          <t>Centroide UTM NORTE (m)</t>
        </is>
      </c>
      <c r="D15" s="7" t="n">
        <v>9435060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1331</v>
      </c>
      <c r="C19" s="6" t="inlineStr">
        <is>
          <t>Altitud máxima (msnm)</t>
        </is>
      </c>
      <c r="D19" s="7" t="n">
        <v>1533</v>
      </c>
      <c r="E19" s="8" t="n"/>
      <c r="F19" s="8" t="n"/>
    </row>
    <row r="20">
      <c r="A20" s="6" t="inlineStr">
        <is>
          <t>Amplitud altitudinal (m)</t>
        </is>
      </c>
      <c r="B20" s="7" t="n">
        <v>202</v>
      </c>
      <c r="C20" s="6" t="inlineStr">
        <is>
          <t>Piso altitudinal dominante</t>
        </is>
      </c>
      <c r="D20" s="7" t="inlineStr">
        <is>
          <t>1000-1500 m (Quechua baja)</t>
        </is>
      </c>
      <c r="E20" s="8" t="n"/>
      <c r="F20" s="8" t="n"/>
    </row>
    <row r="21">
      <c r="A21" s="6" t="inlineStr">
        <is>
          <t>Pendiente promedio (%)</t>
        </is>
      </c>
      <c r="B21" s="7" t="n">
        <v>29.67</v>
      </c>
      <c r="C21" s="6" t="inlineStr">
        <is>
          <t>Pendiente promedio (grados)</t>
        </is>
      </c>
      <c r="D21" s="7" t="n">
        <v>16.5</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0.5974</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(82.35 %)</t>
        </is>
      </c>
      <c r="E29" s="8" t="n"/>
      <c r="F29" s="8" t="n"/>
    </row>
    <row r="30">
      <c r="A30" s="6" t="inlineStr">
        <is>
          <t>Superficie clasificada NDVI 2025 (ha)</t>
        </is>
      </c>
      <c r="B30" s="7" t="n">
        <v>28.202</v>
      </c>
      <c r="C30" s="6" t="inlineStr">
        <is>
          <t>Desviación frente al catálogo (%)</t>
        </is>
      </c>
      <c r="D30" s="7" t="n">
        <v>0.04</v>
      </c>
      <c r="E30" s="8" t="n"/>
      <c r="F30" s="8" t="n"/>
    </row>
    <row r="31">
      <c r="A31" s="6" t="inlineStr">
        <is>
          <t>Superficie clasificada MSAVI 2024 (ha)</t>
        </is>
      </c>
      <c r="B31" s="37" t="n">
        <v>28.19</v>
      </c>
      <c r="C31" s="6" t="inlineStr">
        <is>
          <t>Desviación MSAVI frente al catálogo (%)</t>
        </is>
      </c>
      <c r="D31" s="38" t="n">
        <v>0</v>
      </c>
      <c r="E31" s="8" t="n"/>
      <c r="F31" s="8" t="n"/>
    </row>
    <row r="32">
      <c r="A32" s="6" t="inlineStr">
        <is>
          <t>Superficie bajo umbral MSAVI 0.4976 (ha)</t>
        </is>
      </c>
      <c r="B32" s="37" t="n">
        <v>1.401</v>
      </c>
      <c r="C32" s="6" t="inlineStr">
        <is>
          <t>% del bloque bajo umbral (brecha espectral)</t>
        </is>
      </c>
      <c r="D32" s="38" t="n">
        <v>4.97</v>
      </c>
      <c r="E32" s="8" t="n"/>
      <c r="F32" s="8" t="n"/>
    </row>
    <row r="33">
      <c r="A33" s="6" t="inlineStr">
        <is>
          <t>Clase DN dominante (MSAVI 2024)</t>
        </is>
      </c>
      <c r="B33" s="7" t="inlineStr">
        <is>
          <t>DN 4 · 0.4976 - 0.6139 (Vigor moderado)</t>
        </is>
      </c>
      <c r="C33" s="6" t="inlineStr">
        <is>
          <t>N.° de polígonos MSAVI del bloque</t>
        </is>
      </c>
      <c r="D33" s="39" t="n">
        <v>94</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28.19 ha (100% del bloque, catalogado por el MINAM como Zona agrícola)</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75</v>
      </c>
      <c r="E38" s="8" t="n"/>
      <c r="F38" s="8" t="n"/>
    </row>
    <row r="39">
      <c r="A39" s="6" t="inlineStr">
        <is>
          <t>Suelo desnudo — campo (%)</t>
        </is>
      </c>
      <c r="B39" s="7" t="n">
        <v>15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4</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 Ing. Pedro Talledo Hernández</t>
        </is>
      </c>
      <c r="C44" s="6" t="inlineStr">
        <is>
          <t>Fecha de evaluación</t>
        </is>
      </c>
      <c r="D44" s="7" t="inlineStr">
        <is>
          <t>2026-06-03</t>
        </is>
      </c>
      <c r="E44" s="8" t="n"/>
      <c r="F44" s="8" t="n"/>
    </row>
    <row r="45">
      <c r="A45" s="6" t="inlineStr">
        <is>
          <t>Hora de registro</t>
        </is>
      </c>
      <c r="B45" s="7" t="inlineStr">
        <is>
          <t>14:39 - 15:33 h</t>
        </is>
      </c>
      <c r="C45" s="6" t="inlineStr">
        <is>
          <t>Correlativo de ficha</t>
        </is>
      </c>
      <c r="D45" s="7" t="inlineStr">
        <is>
          <t>F-DT-M36B2-01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bloque (transecto a pie; sin parcela fija)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49" t="inlineStr">
        <is>
          <t>Economía de subsistencia agropecuaria sin prácticas de conservación de suelos, sobre un ecosistema de ladera catalogado como zona agrícola con relictos de bosque seco de colina/montaña.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M36B2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10.8453</v>
      </c>
      <c r="C10" s="19">
        <f>ROUND(B10/$B$15*100,2)</f>
        <v/>
      </c>
      <c r="D10" s="11" t="inlineStr">
        <is>
          <t>Vigor alto</t>
        </is>
      </c>
      <c r="E10" s="11" t="inlineStr">
        <is>
          <t>Sobre umbral</t>
        </is>
      </c>
    </row>
    <row r="11">
      <c r="A11" s="12" t="inlineStr">
        <is>
          <t>0.4976 - 0.6139 · DN 4</t>
        </is>
      </c>
      <c r="B11" s="30" t="n">
        <v>15.9436</v>
      </c>
      <c r="C11" s="29">
        <f>ROUND(B11/$B$15*100,2)</f>
        <v/>
      </c>
      <c r="D11" s="13" t="inlineStr">
        <is>
          <t>Vigor moderado</t>
        </is>
      </c>
      <c r="E11" s="13" t="inlineStr">
        <is>
          <t>Sobre umbral</t>
        </is>
      </c>
    </row>
    <row r="12">
      <c r="A12" s="7" t="inlineStr">
        <is>
          <t>0.3813 - 0.4976 · DN 3</t>
        </is>
      </c>
      <c r="B12" s="18" t="n">
        <v>1.2133</v>
      </c>
      <c r="C12" s="19">
        <f>ROUND(B12/$B$15*100,2)</f>
        <v/>
      </c>
      <c r="D12" s="11" t="inlineStr">
        <is>
          <t>Vigor bajo</t>
        </is>
      </c>
      <c r="E12" s="11" t="inlineStr">
        <is>
          <t>BAJO umbral 0.4976</t>
        </is>
      </c>
    </row>
    <row r="13">
      <c r="A13" s="14" t="inlineStr">
        <is>
          <t>0.2650 - 0.3813 · DN 2</t>
        </is>
      </c>
      <c r="B13" s="20" t="n">
        <v>0.1881</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94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28.19</v>
      </c>
      <c r="C18" s="48" t="inlineStr">
        <is>
          <t>—</t>
        </is>
      </c>
      <c r="D18" s="45" t="inlineStr">
        <is>
          <t>Desviación planimétrica frente al catálogo</t>
        </is>
      </c>
      <c r="E18" s="45" t="inlineStr">
        <is>
          <t>+0.00 %</t>
        </is>
      </c>
    </row>
    <row r="19">
      <c r="A19" s="16" t="inlineStr">
        <is>
          <t>MSAVI 2024 — MEDIA DEL BLOQUE</t>
        </is>
      </c>
      <c r="B19" s="17" t="n">
        <v>0.597433</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94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(0.5974)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23.2233</v>
      </c>
      <c r="C25" s="19" t="n">
        <v>82.34999999999999</v>
      </c>
      <c r="D25" s="11" t="inlineStr">
        <is>
          <t>Dosel continuo, matorral denso o mosaico agroforestal</t>
        </is>
      </c>
      <c r="E25" s="11" t="inlineStr"/>
    </row>
    <row r="26">
      <c r="A26" s="14" t="inlineStr">
        <is>
          <t>Vegetación mediana</t>
        </is>
      </c>
      <c r="B26" s="20" t="n">
        <v>4.3372</v>
      </c>
      <c r="C26" s="21" t="n">
        <v>15.38</v>
      </c>
      <c r="D26" s="15" t="inlineStr">
        <is>
          <t>Pastizal cultivado, matorral ralo, parcelas agrícolas</t>
        </is>
      </c>
      <c r="E26" s="15" t="inlineStr"/>
    </row>
    <row r="27">
      <c r="A27" s="7" t="inlineStr">
        <is>
          <t>Vegetación ligera</t>
        </is>
      </c>
      <c r="B27" s="18" t="n">
        <v>0.6016</v>
      </c>
      <c r="C27" s="19" t="n">
        <v>2.13</v>
      </c>
      <c r="D27" s="11" t="inlineStr">
        <is>
          <t>Cobertura discontinua, suelo parcialmente expuesto</t>
        </is>
      </c>
      <c r="E27" s="11" t="inlineStr"/>
    </row>
    <row r="28">
      <c r="A28" s="14" t="inlineStr">
        <is>
          <t>Tierra desnuda</t>
        </is>
      </c>
      <c r="B28" s="20" t="n">
        <v>0.0396</v>
      </c>
      <c r="C28" s="21" t="n">
        <v>0.14</v>
      </c>
      <c r="D28" s="15" t="inlineStr">
        <is>
          <t>Suelo desnudo, afloramientos, plataformas y taludes</t>
        </is>
      </c>
      <c r="E28" s="15" t="inlineStr"/>
    </row>
    <row r="29">
      <c r="A29" s="16" t="inlineStr">
        <is>
          <t>TOTAL CLASIFICADO</t>
        </is>
      </c>
      <c r="B29" s="22">
        <f>SUM(B25:B28)</f>
        <v/>
      </c>
      <c r="C29" s="23">
        <f>SUM(C25:C28)</f>
        <v/>
      </c>
      <c r="D29" s="17" t="inlineStr"/>
      <c r="E29" s="17" t="inlineStr"/>
    </row>
    <row r="30">
      <c r="A30" s="24" t="inlineStr">
        <is>
          <t>Superficie de catálogo (V5/V6)</t>
        </is>
      </c>
      <c r="B30" s="25" t="n">
        <v>28.19</v>
      </c>
      <c r="C30" s="25" t="inlineStr">
        <is>
          <t>—</t>
        </is>
      </c>
      <c r="D30" s="25" t="inlineStr">
        <is>
          <t>Desviación planimétrica frente al catálogo</t>
        </is>
      </c>
      <c r="E30" s="25" t="inlineStr">
        <is>
          <t>+0.04 %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75 % frente a un 82.35 % del polígono clasificado como «Vegetación alta» por el NDVI 2025; la observación de campo corresponde a una parcela o recorrido puntual y no es estadísticamente representativa de las 28.190 ha del bloque.</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M36B2</t>
        </is>
      </c>
    </row>
    <row r="6" ht="24" customHeight="1">
      <c r="A6" s="4" t="inlineStr">
        <is>
          <t>Levantamiento del 2026-06-03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626400</v>
      </c>
      <c r="D10" s="26" t="n">
        <v>9434998</v>
      </c>
      <c r="E10" s="11" t="n">
        <v>72.7</v>
      </c>
      <c r="F10" s="11" t="inlineStr"/>
      <c r="G10" s="11" t="inlineStr">
        <is>
          <t>Coordenada consignada en F-DT-01</t>
        </is>
      </c>
    </row>
    <row r="11">
      <c r="A11" s="14" t="inlineStr">
        <is>
          <t>C-01</t>
        </is>
      </c>
      <c r="B11" s="15" t="inlineStr">
        <is>
          <t>Rasgo erosivo — Cárcava somera</t>
        </is>
      </c>
      <c r="C11" s="27" t="n">
        <v>626102</v>
      </c>
      <c r="D11" s="27" t="n">
        <v>9434928</v>
      </c>
      <c r="E11" s="15" t="n">
        <v>361</v>
      </c>
      <c r="F11" s="15" t="inlineStr">
        <is>
          <t>Por determinar</t>
        </is>
      </c>
      <c r="G11" s="15" t="inlineStr">
        <is>
          <t>Por determinar</t>
        </is>
      </c>
    </row>
    <row r="12">
      <c r="A12" s="7" t="inlineStr">
        <is>
          <t>C-02</t>
        </is>
      </c>
      <c r="B12" s="11" t="inlineStr">
        <is>
          <t>Rasgo erosivo — Cárcava incipiente</t>
        </is>
      </c>
      <c r="C12" s="26" t="n">
        <v>626547</v>
      </c>
      <c r="D12" s="26" t="n">
        <v>9435257</v>
      </c>
      <c r="E12" s="11" t="n">
        <v>225.1</v>
      </c>
      <c r="F12" s="11" t="inlineStr">
        <is>
          <t>Por determinar</t>
        </is>
      </c>
      <c r="G12" s="11" t="inlineStr">
        <is>
          <t>Por determinar</t>
        </is>
      </c>
    </row>
    <row r="13">
      <c r="A13" s="14" t="inlineStr">
        <is>
          <t>C-03</t>
        </is>
      </c>
      <c r="B13" s="15" t="inlineStr">
        <is>
          <t>Rasgo erosivo — Surco (&lt;30 cm)</t>
        </is>
      </c>
      <c r="C13" s="27" t="n">
        <v>626118</v>
      </c>
      <c r="D13" s="27" t="n">
        <v>9434932</v>
      </c>
      <c r="E13" s="15" t="n">
        <v>344.7</v>
      </c>
      <c r="F13" s="15" t="inlineStr">
        <is>
          <t>Por determinar</t>
        </is>
      </c>
      <c r="G13" s="15" t="inlineStr">
        <is>
          <t>Por determinar</t>
        </is>
      </c>
    </row>
    <row r="14">
      <c r="A14" s="7" t="inlineStr">
        <is>
          <t>C-04</t>
        </is>
      </c>
      <c r="B14" s="11" t="inlineStr">
        <is>
          <t>Rasgo erosivo — Cárcava somera</t>
        </is>
      </c>
      <c r="C14" s="26" t="n">
        <v>626314</v>
      </c>
      <c r="D14" s="26" t="n">
        <v>9434983</v>
      </c>
      <c r="E14" s="11" t="n">
        <v>146</v>
      </c>
      <c r="F14" s="11" t="inlineStr">
        <is>
          <t>Por determinar</t>
        </is>
      </c>
      <c r="G14" s="11" t="inlineStr">
        <is>
          <t>Por determinar</t>
        </is>
      </c>
    </row>
    <row r="15">
      <c r="A15" s="14" t="inlineStr">
        <is>
          <t>H-01</t>
        </is>
      </c>
      <c r="B15" s="15" t="inlineStr">
        <is>
          <t>Fuente de agua — 1</t>
        </is>
      </c>
      <c r="C15" s="27" t="inlineStr">
        <is>
          <t>Manantial / Puquio</t>
        </is>
      </c>
      <c r="D15" s="27" t="n">
        <v>626580</v>
      </c>
      <c r="E15" s="15" t="inlineStr"/>
      <c r="F15" s="15" t="n">
        <v>9435291</v>
      </c>
      <c r="G15" s="15" t="inlineStr"/>
    </row>
    <row r="16">
      <c r="A16" s="7" t="inlineStr">
        <is>
          <t>H-02</t>
        </is>
      </c>
      <c r="B16" s="11" t="inlineStr">
        <is>
          <t>Fuente de agua — 2</t>
        </is>
      </c>
      <c r="C16" s="26" t="inlineStr">
        <is>
          <t>Quebrada estacional</t>
        </is>
      </c>
      <c r="D16" s="26" t="n">
        <v>626100</v>
      </c>
      <c r="E16" s="11" t="inlineStr"/>
      <c r="F16" s="11" t="n">
        <v>9434850</v>
      </c>
      <c r="G16" s="11" t="inlineStr"/>
    </row>
    <row r="17">
      <c r="A17" s="14" t="inlineStr">
        <is>
          <t>B-03</t>
        </is>
      </c>
      <c r="B17" s="15" t="inlineStr">
        <is>
          <t>Especie clave — Angolo (Pithecellobium sp.)</t>
        </is>
      </c>
      <c r="C17" s="27" t="inlineStr">
        <is>
          <t>626339</t>
        </is>
      </c>
      <c r="D17" s="27" t="inlineStr">
        <is>
          <t>9434975</t>
        </is>
      </c>
      <c r="E17" s="15" t="n">
        <v>130.5</v>
      </c>
      <c r="F17" s="15" t="inlineStr">
        <is>
          <t>Indicadora de buen estado</t>
        </is>
      </c>
      <c r="G17" s="15" t="inlineStr">
        <is>
          <t>No aplica</t>
        </is>
      </c>
    </row>
    <row r="18">
      <c r="A18" s="16" t="inlineStr">
        <is>
          <t>TOTAL: 8 puntos</t>
        </is>
      </c>
      <c r="B18" s="17" t="inlineStr"/>
      <c r="C18" s="17" t="inlineStr"/>
      <c r="D18" s="17" t="inlineStr"/>
      <c r="E18" s="17" t="inlineStr"/>
      <c r="F18" s="17" t="inlineStr"/>
      <c r="G18" s="17" t="inlineStr"/>
    </row>
    <row r="20">
      <c r="A20" s="6" t="inlineStr">
        <is>
          <t>Centroide del bloque — UTM ESTE (m)</t>
        </is>
      </c>
      <c r="B20" s="7" t="n">
        <v>626438</v>
      </c>
      <c r="C20" s="6" t="inlineStr">
        <is>
          <t>Centroide del bloque — UTM NORTE (m)</t>
        </is>
      </c>
      <c r="D20" s="7" t="n">
        <v>9435060</v>
      </c>
      <c r="E20" s="8" t="n"/>
      <c r="F20" s="8" t="n"/>
      <c r="G20" s="8" t="n"/>
      <c r="H20" s="8" t="n"/>
    </row>
    <row r="21">
      <c r="A21" s="6" t="inlineStr">
        <is>
          <t>N.° de estaciones fotográficas declaradas</t>
        </is>
      </c>
      <c r="B21" s="7" t="n">
        <v>0</v>
      </c>
      <c r="C21" s="6" t="inlineStr">
        <is>
          <t>Estaciones dentro del polígono</t>
        </is>
      </c>
      <c r="D21" s="7" t="n">
        <v>0</v>
      </c>
      <c r="E21" s="8" t="n"/>
      <c r="F21" s="8" t="n"/>
      <c r="G21" s="8" t="n"/>
      <c r="H21" s="8" t="n"/>
    </row>
    <row r="23" ht="132"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Inspección del 03-06-2026. El punto de muestreo se refiere al hito del bloque (626 400 E / 9 434 998 N, 1 453 msnm de GPS de gabinete); el recorrido de campo (track Garmin 66sr) abarcó de 626 580 E / 9 435 291 N a 625 974 E / 9 434 966 N. Los afloramientos, el saprolito y los escarpes activos se concentran en los TALUDES DE CORTE de la trocha y los caminos de herradura (periferia del bloque), no en remociones en masa de superficie. ADVERTENCIA: algunas coordenadas de fotografías pueden presentar error por señal GPS de celular subóptima (cielo nublado y ligera lluvia).</t>
        </is>
      </c>
      <c r="B23" s="40" t="n"/>
      <c r="C23" s="40" t="n"/>
      <c r="D23" s="40" t="n"/>
      <c r="E23" s="40" t="n"/>
      <c r="F23" s="40" t="n"/>
      <c r="G23" s="41"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C1086-Q9576 — BLOQUE M36B2</t>
        </is>
      </c>
    </row>
    <row r="6" ht="24" customHeight="1">
      <c r="A6" s="4" t="inlineStr">
        <is>
          <t>Distrito de Santa Catalina de Mossa · Provincia de Morropon · Comparación de los bloques preliminares de intervención de la misma microcuenca</t>
        </is>
      </c>
    </row>
    <row r="8" ht="18" customHeight="1">
      <c r="A8" s="5" t="inlineStr">
        <is>
          <t>BLOQUES DE LA MICROCUENCA C1086-Q9576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2" t="inlineStr">
        <is>
          <t>► M36B2</t>
        </is>
      </c>
      <c r="B10" s="28" t="n">
        <v>28.19</v>
      </c>
      <c r="C10" s="29" t="n">
        <v>52.34</v>
      </c>
      <c r="D10" s="13" t="inlineStr">
        <is>
          <t>1331 – 1533</t>
        </is>
      </c>
      <c r="E10" s="13" t="n">
        <v>202</v>
      </c>
      <c r="F10" s="13" t="n">
        <v>29.67</v>
      </c>
      <c r="G10" s="30" t="n">
        <v>0.5974</v>
      </c>
      <c r="H10" s="29" t="n">
        <v>82.34999999999999</v>
      </c>
      <c r="I10" s="29" t="n">
        <v>4.97</v>
      </c>
    </row>
    <row r="11">
      <c r="A11" s="14" t="inlineStr">
        <is>
          <t>57</t>
        </is>
      </c>
      <c r="B11" s="31" t="n">
        <v>25.67</v>
      </c>
      <c r="C11" s="21" t="n">
        <v>47.66</v>
      </c>
      <c r="D11" s="15" t="inlineStr">
        <is>
          <t>2306 – 2624</t>
        </is>
      </c>
      <c r="E11" s="15" t="n">
        <v>318</v>
      </c>
      <c r="F11" s="15" t="n">
        <v>30.44</v>
      </c>
      <c r="G11" s="20" t="n">
        <v>0.6031</v>
      </c>
      <c r="H11" s="21" t="n">
        <v>82.90000000000001</v>
      </c>
      <c r="I11" s="21" t="n">
        <v>4.58</v>
      </c>
    </row>
    <row r="12">
      <c r="A12" s="16" t="inlineStr">
        <is>
          <t>TOTAL / PROMEDIO</t>
        </is>
      </c>
      <c r="B12" s="32">
        <f>SUM(B10:B11)</f>
        <v/>
      </c>
      <c r="C12" s="23">
        <f>SUM(C10:C11)</f>
        <v/>
      </c>
      <c r="D12" s="17" t="inlineStr">
        <is>
          <t>1331 – 2624</t>
        </is>
      </c>
      <c r="E12" s="17" t="inlineStr"/>
      <c r="F12" s="17">
        <f>ROUND(AVERAGE(F10:F11),2)</f>
        <v/>
      </c>
      <c r="G12" s="22">
        <f>ROUND(AVERAGE(G10:G11),4)</f>
        <v/>
      </c>
      <c r="H12" s="23">
        <f>ROUND(AVERAGE(H10:H11),2)</f>
        <v/>
      </c>
      <c r="I12" s="23">
        <f>ROUND(AVERAGE(I10:I11),2)</f>
        <v/>
      </c>
    </row>
    <row r="14" ht="84" customHeight="1">
      <c r="A14" s="9" t="inlineStr">
        <is>
          <t>LECTURA INTRAMICROCUENCA. El bloque M36B2 ocupa el puesto 1 de 2 por superficie dentro de la microcuenca C1086-Q9576 (52.34 % de las 53.86 ha preliminares de la microcuenca). Su pendiente promedio (29.67 %, clase «25-50% (Mod. escarpado)») es la 1.ª más baja de 2 y se sitúa por debajo del promedio de la microcuenca (30.05 %). Su MSAVI 2024 (0.5974) es el 2.º de 2 y queda por debajo del promedio local (0.6002). Amplitud altitudinal del bloque: 202 m (1331–1533 msnm). El cuadro conserva todos los bloques catalogados en la microcuenca, incluidos los descartados en el tamizaje, para referencia del conjunto. Los bloques sin ficha DT figuran con sus parámetros de gabinete. BRECHA ESPECTRAL. El 4.97 % de la superficie del bloque (1.401 ha de 28.190 ha) se sitúa bajo el umbral MSAVI 0.4976, por encima del promedio local de la microcuenca (4.78 %) calculado sobre los bloques con dato MSAVI disponible.</t>
        </is>
      </c>
      <c r="B14" s="40" t="n"/>
      <c r="C14" s="40" t="n"/>
      <c r="D14" s="40" t="n"/>
      <c r="E14" s="40" t="n"/>
      <c r="F14" s="40" t="n"/>
      <c r="G14" s="40" t="n"/>
      <c r="H14" s="40" t="n"/>
      <c r="I14" s="41" t="n"/>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0" t="n"/>
      <c r="C16" s="40" t="n"/>
      <c r="D16" s="40" t="n"/>
      <c r="E16" s="40" t="n"/>
      <c r="F16" s="40" t="n"/>
      <c r="G16" s="40" t="n"/>
      <c r="H16" s="40" t="n"/>
      <c r="I16" s="41" t="n"/>
    </row>
  </sheetData>
  <mergeCells count="9">
    <mergeCell ref="A2:I2"/>
    <mergeCell ref="A5:I5"/>
    <mergeCell ref="A14:I14"/>
    <mergeCell ref="A1:I1"/>
    <mergeCell ref="A8:I8"/>
    <mergeCell ref="A3:I3"/>
    <mergeCell ref="A6:I6"/>
    <mergeCell ref="A4:I4"/>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M36B2</t>
        </is>
      </c>
    </row>
    <row r="6">
      <c r="A6" s="51" t="inlineStr">
        <is>
          <t>Cruce de la ficha de campo F-DT vigente con la ficha de resumen de gabinete y el catálogo maestro. Integración 2026-09-11 21:26:36.</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«C1086-Q9576».</t>
        </is>
      </c>
      <c r="D9" s="55" t="inlineStr">
        <is>
          <t>CONFORME</t>
        </is>
      </c>
      <c r="E9" s="55" t="inlineStr">
        <is>
          <t>Sin acción.</t>
        </is>
      </c>
    </row>
    <row r="10">
      <c r="A10" s="56" t="inlineStr">
        <is>
          <t>G-02</t>
        </is>
      </c>
      <c r="B10" s="56" t="inlineStr">
        <is>
          <t>UTM del punto de muestreo</t>
        </is>
      </c>
      <c r="C10" s="56" t="inlineStr">
        <is>
          <t>El punto de muestreo declarado dista 72.7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(1400 msnm) cae dentro del rango altitudinal del bloque (1331 - 1533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(28.202 ha) se desvía 0.04 % de la superficie de catálogo (28.19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(28.190 ha) se desvía 0.00 % de la superficie de catálogo (28.19 ha).</t>
        </is>
      </c>
      <c r="D14" s="56" t="inlineStr">
        <is>
          <t>CONFORME</t>
        </is>
      </c>
      <c r="E14" s="56" t="inlineStr">
        <is>
          <t>Sin acción: la segmentación valida la geometría del bloque.</t>
        </is>
      </c>
    </row>
    <row r="15">
      <c r="A15" s="55" t="inlineStr">
        <is>
          <t>G-07</t>
        </is>
      </c>
      <c r="B15" s="55" t="inlineStr">
        <is>
          <t>Brecha espectral MSAVI</t>
        </is>
      </c>
      <c r="C15" s="55" t="inlineStr">
        <is>
          <t>El 4.97 % del bloque queda bajo el umbral 0.4976; superficie de brecha 1.4014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28.19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(0.5974) cae en la clase «0.4976 - 0.6139 (Vigor moderado)» y la clase DN dominante por superficie es «DN 4 · 0.4976 - 0.6139 (Vigor moderado)».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I-01</t>
        </is>
      </c>
      <c r="B19" s="55" t="inlineStr">
        <is>
          <t>Causa subyacente principal</t>
        </is>
      </c>
      <c r="C19" s="55" t="inlineStr">
        <is>
          <t>El libro de resumen V6 consignaba «Economía de subsistencia agropecuaria sin prácticas de conservación de suelos, sobre un ecosistema de ladera con fuerte pendiente»; la ficha de campo vigente declara «Economía de subsistencia agropecuaria sin prácticas de conservación de suelos, sobre un ecosistema de ladera catalogado como zona agrícola …».</t>
        </is>
      </c>
      <c r="D19" s="55" t="inlineStr">
        <is>
          <t>CORREGIDO</t>
        </is>
      </c>
      <c r="E19" s="55" t="inlineStr">
        <is>
          <t>Se adopta el valor de campo por ser la fuente que manda sobre el dato y la más reciente. El valor anterior queda declarado para trazabilidad.</t>
        </is>
      </c>
    </row>
    <row r="20">
      <c r="A20" s="56" t="inlineStr">
        <is>
          <t>F-01</t>
        </is>
      </c>
      <c r="B20" s="56" t="inlineStr">
        <is>
          <t>Fichas F-DT levantadas</t>
        </is>
      </c>
      <c r="C20" s="56" t="inlineStr">
        <is>
          <t>La plantilla de campo trae las cinco fichas F-DT-01 a F-DT-05 (completitud 96.4 % de los campos esperados).</t>
        </is>
      </c>
      <c r="D20" s="56" t="inlineStr">
        <is>
          <t>CONFORME</t>
        </is>
      </c>
      <c r="E20" s="56" t="inlineStr">
        <is>
          <t>Sin acción.</t>
        </is>
      </c>
    </row>
    <row r="21">
      <c r="A21" s="55" t="inlineStr">
        <is>
          <t>F-02</t>
        </is>
      </c>
      <c r="B21" s="55" t="inlineStr">
        <is>
          <t>Cobertura de la integración</t>
        </is>
      </c>
      <c r="C21" s="55" t="inlineStr">
        <is>
          <t>Se declararon 99 de 114 hechos integrados (86.8 %); 15 quedan sin dato en ninguna fuente.</t>
        </is>
      </c>
      <c r="D21" s="55" t="inlineStr">
        <is>
          <t>CONFORME</t>
        </is>
      </c>
      <c r="E21" s="55" t="inlineStr">
        <is>
          <t>Sin acción.</t>
        </is>
      </c>
    </row>
    <row r="22">
      <c r="A22" s="56" t="inlineStr">
        <is>
          <t>H-01</t>
        </is>
      </c>
      <c r="B22" s="56" t="inlineStr">
        <is>
          <t>Cobertura vegetal total</t>
        </is>
      </c>
      <c r="C22" s="56" t="inlineStr">
        <is>
          <t>La ficha DT estima 75 % de cobertura vegetal en campo; el NDVI mediana 2025 clasifica 99.86 % del polígono en clases de vegetación</t>
        </is>
      </c>
      <c r="D22" s="56" t="inlineStr">
        <is>
          <t>NO SUSTANTIVA</t>
        </is>
      </c>
      <c r="E22"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5" t="inlineStr">
        <is>
          <t>H-02</t>
        </is>
      </c>
      <c r="B23" s="55" t="inlineStr">
        <is>
          <t>Representatividad del levantamiento</t>
        </is>
      </c>
      <c r="C23" s="55" t="inlineStr">
        <is>
          <t>Ninguna de las estaciones fotográficas georreferenciadas se localiza dentro del polígono del bloque</t>
        </is>
      </c>
      <c r="D23" s="55" t="inlineStr">
        <is>
          <t>SUSTANTIVA</t>
        </is>
      </c>
      <c r="E23" s="55" t="inlineStr">
        <is>
          <t>La verificación documenta el perímetro y la vista panorámica del bloque, no su interior. Los parámetros que exigen recorrido interno se consignan «Por determinar». (Verificación heredada de la ficha de resumen V6.)</t>
        </is>
      </c>
    </row>
    <row r="24">
      <c r="A24" s="56" t="inlineStr">
        <is>
          <t>H-03</t>
        </is>
      </c>
      <c r="B24" s="56" t="inlineStr">
        <is>
          <t>Centro poblado asociado</t>
        </is>
      </c>
      <c r="C24" s="56" t="inlineStr">
        <is>
          <t>La ficha DT declara «Santa Rosa de Chirimoyos»; el cruce INEI-Bloques V5 identifica 1 centro(s) poblado(s) en el bloque: SANTA ROSA DE CHIRIMOYOS</t>
        </is>
      </c>
      <c r="D24" s="56" t="inlineStr">
        <is>
          <t>CONFORME</t>
        </is>
      </c>
      <c r="E24" s="56" t="inlineStr">
        <is>
          <t>Se conserva el registro de campo como referencia y se adopta el listado INEI para el diagnóstico social y el cálculo de población beneficiaria. (Verificación heredada de la ficha de resumen V6.)</t>
        </is>
      </c>
    </row>
    <row r="25">
      <c r="A25" s="55" t="inlineStr">
        <is>
          <t>H-04</t>
        </is>
      </c>
      <c r="B25" s="55" t="inlineStr">
        <is>
          <t>F-DT-01</t>
        </is>
      </c>
      <c r="C25" s="55" t="inlineStr">
        <is>
          <t>Altitud GPS declarada 1 400 m frente a los 1 453 msnm del hito del bloque (GPS de gabinete)</t>
        </is>
      </c>
      <c r="D25" s="55" t="inlineStr">
        <is>
          <t>NO SUSTANTIVA</t>
        </is>
      </c>
      <c r="E25" s="55" t="inlineStr">
        <is>
          <t>Se conservan ambos registros con indicación de su fuente (Verificación heredada de la ficha de resumen V6.)</t>
        </is>
      </c>
    </row>
    <row r="26">
      <c r="A26" s="56" t="inlineStr">
        <is>
          <t>H-05</t>
        </is>
      </c>
      <c r="B26" s="56" t="inlineStr">
        <is>
          <t>F-DT-02</t>
        </is>
      </c>
      <c r="C26" s="56" t="inlineStr">
        <is>
          <t>Inventario de cárcavas como registro rápido de 4 rasgos, sin longitud, profundidad ni ancho; el rasgo C-04 tampoco consigna estado</t>
        </is>
      </c>
      <c r="D26" s="56" t="inlineStr">
        <is>
          <t>SUSTANTIVA</t>
        </is>
      </c>
      <c r="E26" s="56" t="inlineStr">
        <is>
          <t>Pendiente de levantamiento instrumental; no se estiman dimensiones (Verificación heredada de la ficha de resumen V6.)</t>
        </is>
      </c>
    </row>
    <row r="27">
      <c r="A27" s="55" t="inlineStr">
        <is>
          <t>H-06</t>
        </is>
      </c>
      <c r="B27" s="55" t="inlineStr">
        <is>
          <t>F-DT-03</t>
        </is>
      </c>
      <c r="C27" s="55" t="inlineStr">
        <is>
          <t>DAP y alturas no medidos por instrumento</t>
        </is>
      </c>
      <c r="D27" s="55" t="inlineStr">
        <is>
          <t>SUSTANTIVA</t>
        </is>
      </c>
      <c r="E27" s="55" t="inlineStr">
        <is>
          <t>POR DETERMINAR; requiere parcela de muestreo forestal (Verificación heredada de la ficha de resumen V6.)</t>
        </is>
      </c>
    </row>
    <row r="28">
      <c r="A28" s="56" t="inlineStr">
        <is>
          <t>H-07</t>
        </is>
      </c>
      <c r="B28" s="56" t="inlineStr">
        <is>
          <t>F-DT-04</t>
        </is>
      </c>
      <c r="C28" s="56" t="inlineStr">
        <is>
          <t>Indicadores 3, 4, 5 y 6 sin valor consignado</t>
        </is>
      </c>
      <c r="D28" s="56" t="inlineStr">
        <is>
          <t>NO SUSTANTIVA</t>
        </is>
      </c>
      <c r="E28" s="56" t="inlineStr">
        <is>
          <t>Pendientes de levantamiento y encuesta predial (Verificación heredada de la ficha de resumen V6.)</t>
        </is>
      </c>
    </row>
    <row r="29">
      <c r="A29" s="55" t="inlineStr">
        <is>
          <t>H-08</t>
        </is>
      </c>
      <c r="B29" s="55" t="inlineStr">
        <is>
          <t>F-DT-05</t>
        </is>
      </c>
      <c r="C29" s="55" t="inlineStr">
        <is>
          <t>La captación de la JASS Santa Rosa de Chirimoyos se ubica dentro o al borde del bloque</t>
        </is>
      </c>
      <c r="D29" s="55" t="inlineStr">
        <is>
          <t>SUSTANTIVA</t>
        </is>
      </c>
      <c r="E29" s="55" t="inlineStr">
        <is>
          <t>Se eleva como criterio de diseño: la protección de la fuente de consumo humano condiciona la intervención (Verificación heredada de la ficha de resumen V6.)</t>
        </is>
      </c>
    </row>
    <row r="31">
      <c r="A31" s="57" t="inlineStr">
        <is>
          <t>RESUMEN</t>
        </is>
      </c>
      <c r="B31" s="58" t="inlineStr">
        <is>
          <t>21 verificaciones</t>
        </is>
      </c>
      <c r="C31" s="58" t="inlineStr">
        <is>
          <t>SUSTANTIVA: 5 · NO SUSTANTIVA: 3 · CORREGIDO: 1 · CONFORME: 12</t>
        </is>
      </c>
    </row>
    <row r="33">
      <c r="A33"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M36B2</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6. Degradación, causas y urgencia (F-DT-04)</t>
        </is>
      </c>
      <c r="B9" s="55" t="inlineStr">
        <is>
          <t>Causa subyacente principal</t>
        </is>
      </c>
      <c r="C9" s="55" t="inlineStr">
        <is>
          <t>Economía de subsistencia agropecuaria sin prácticas de conservación de suelos, sobre un ecosistema de ladera con fuerte pendiente</t>
        </is>
      </c>
      <c r="D9" s="55" t="inlineStr">
        <is>
          <t>Economía de subsistencia agropecuaria sin prácticas de conservación de suelos, sobre un ecosistema de ladera catalogado como zona agrícola con relictos de bosque seco de colina/montaña.</t>
        </is>
      </c>
      <c r="E9" s="55" t="inlineStr">
        <is>
          <t>Dato de campo</t>
        </is>
      </c>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626400</t>
        </is>
      </c>
      <c r="D13" s="55" t="inlineStr">
        <is>
          <t>m</t>
        </is>
      </c>
    </row>
    <row r="14">
      <c r="A14" s="56" t="inlineStr">
        <is>
          <t>1. Identificación y localización</t>
        </is>
      </c>
      <c r="B14" s="56" t="inlineStr">
        <is>
          <t>UTM NORTE del punto de muestreo (m)</t>
        </is>
      </c>
      <c r="C14" s="56" t="inlineStr">
        <is>
          <t>9434998</t>
        </is>
      </c>
      <c r="D14" s="56" t="inlineStr">
        <is>
          <t>m</t>
        </is>
      </c>
    </row>
    <row r="15">
      <c r="A15" s="55" t="inlineStr">
        <is>
          <t>2. Parámetros físicos del terreno</t>
        </is>
      </c>
      <c r="B15" s="55" t="inlineStr">
        <is>
          <t>Altitud GPS del punto de muestreo (msnm)</t>
        </is>
      </c>
      <c r="C15" s="55" t="inlineStr">
        <is>
          <t>1400</t>
        </is>
      </c>
      <c r="D15" s="55" t="inlineStr">
        <is>
          <t>msnm</t>
        </is>
      </c>
    </row>
    <row r="16">
      <c r="A16" s="56" t="inlineStr">
        <is>
          <t>2. Parámetros físicos del terreno</t>
        </is>
      </c>
      <c r="B16" s="56" t="inlineStr">
        <is>
          <t>Piso altitudinal del punto de muestreo</t>
        </is>
      </c>
      <c r="C16" s="56" t="inlineStr">
        <is>
          <t>1000-1500 m (Quechua baja)</t>
        </is>
      </c>
      <c r="D16" s="56" t="inlineStr"/>
    </row>
    <row r="17">
      <c r="A17" s="55" t="inlineStr">
        <is>
          <t>2. Parámetros físicos del terreno</t>
        </is>
      </c>
      <c r="B17" s="55" t="inlineStr">
        <is>
          <t>Paisaje dominante descrito en campo</t>
        </is>
      </c>
      <c r="C17" s="55" t="inlineStr">
        <is>
          <t>Espolón de ladera de colina-montaña entre dos quebradas tributarias de la microcuenca C1086-Q9576; mosaico agropecuario (pastos cultivados y parcelas de maíz, café y plátano) con relictos de bosque seco de colina/montaña y árboles nativos dispersos. El caserío Santa Rosa de Chirimoyos se ubica en la vertiente NO.</t>
        </is>
      </c>
      <c r="D17" s="55" t="inlineStr"/>
    </row>
    <row r="18">
      <c r="A18" s="56" t="inlineStr">
        <is>
          <t>2. Parámetros físicos del terreno</t>
        </is>
      </c>
      <c r="B18" s="56" t="inlineStr">
        <is>
          <t>Reptación de suelo</t>
        </is>
      </c>
      <c r="C18" s="56" t="inlineStr">
        <is>
          <t>No</t>
        </is>
      </c>
      <c r="D18" s="56" t="inlineStr"/>
    </row>
    <row r="19">
      <c r="A19" s="55" t="inlineStr">
        <is>
          <t>2. Parámetros físicos del terreno</t>
        </is>
      </c>
      <c r="B19" s="55" t="inlineStr">
        <is>
          <t>Deslizamientos antiguos</t>
        </is>
      </c>
      <c r="C19" s="55" t="inlineStr">
        <is>
          <t>No</t>
        </is>
      </c>
      <c r="D19" s="55" t="inlineStr"/>
    </row>
    <row r="20">
      <c r="A20" s="56" t="inlineStr">
        <is>
          <t>4. Suelos y erosión (F-DT-02)</t>
        </is>
      </c>
      <c r="B20" s="56" t="inlineStr">
        <is>
          <t>Nivel de erosión - síntesis de campo</t>
        </is>
      </c>
      <c r="C20" s="56" t="inlineStr">
        <is>
          <t>Moderada (surcos)</t>
        </is>
      </c>
      <c r="D20" s="56" t="inlineStr"/>
    </row>
    <row r="21">
      <c r="A21" s="55" t="inlineStr">
        <is>
          <t>4. Suelos y erosión (F-DT-02)</t>
        </is>
      </c>
      <c r="B21" s="55" t="inlineStr">
        <is>
          <t>Sellamiento / costra superficial</t>
        </is>
      </c>
      <c r="C21" s="55" t="inlineStr">
        <is>
          <t>No</t>
        </is>
      </c>
      <c r="D21" s="55" t="inlineStr"/>
    </row>
    <row r="22">
      <c r="A22" s="56" t="inlineStr">
        <is>
          <t>4. Suelos y erosión (F-DT-02)</t>
        </is>
      </c>
      <c r="B22" s="56" t="inlineStr">
        <is>
          <t>Compactación por pisoteo</t>
        </is>
      </c>
      <c r="C22" s="56" t="inlineStr">
        <is>
          <t>Sí</t>
        </is>
      </c>
      <c r="D22" s="56" t="inlineStr"/>
    </row>
    <row r="23">
      <c r="A23" s="55" t="inlineStr">
        <is>
          <t>4. Suelos y erosión (F-DT-02)</t>
        </is>
      </c>
      <c r="B23" s="55" t="inlineStr">
        <is>
          <t>Raíces expuestas</t>
        </is>
      </c>
      <c r="C23" s="55" t="inlineStr">
        <is>
          <t>Sí</t>
        </is>
      </c>
      <c r="D23" s="55" t="inlineStr"/>
    </row>
    <row r="24">
      <c r="A24" s="56" t="inlineStr">
        <is>
          <t>4. Suelos y erosión (F-DT-02)</t>
        </is>
      </c>
      <c r="B24" s="56" t="inlineStr">
        <is>
          <t>Patrón de cárcavas</t>
        </is>
      </c>
      <c r="C24" s="56" t="inlineStr">
        <is>
          <t>Aislado</t>
        </is>
      </c>
      <c r="D24" s="56" t="inlineStr"/>
    </row>
    <row r="25">
      <c r="A25" s="55" t="inlineStr">
        <is>
          <t>4. Suelos y erosión (F-DT-02)</t>
        </is>
      </c>
      <c r="B25" s="55" t="inlineStr">
        <is>
          <t>Socavamiento de cauce</t>
        </is>
      </c>
      <c r="C25" s="55" t="inlineStr">
        <is>
          <t>No</t>
        </is>
      </c>
      <c r="D25" s="55" t="inlineStr"/>
    </row>
    <row r="26">
      <c r="A26" s="56" t="inlineStr">
        <is>
          <t>5. Ecosistema, cobertura y flora (F-DT-03)</t>
        </is>
      </c>
      <c r="B26" s="56" t="inlineStr">
        <is>
          <t>Cobertura del dosel (%)</t>
        </is>
      </c>
      <c r="C26" s="56" t="inlineStr">
        <is>
          <t>25</t>
        </is>
      </c>
      <c r="D26" s="56" t="inlineStr">
        <is>
          <t>%</t>
        </is>
      </c>
    </row>
    <row r="27">
      <c r="A27" s="55" t="inlineStr">
        <is>
          <t>5. Ecosistema, cobertura y flora (F-DT-03)</t>
        </is>
      </c>
      <c r="B27" s="55" t="inlineStr">
        <is>
          <t>Cobertura arbustiva (%)</t>
        </is>
      </c>
      <c r="C27" s="55" t="inlineStr">
        <is>
          <t>25</t>
        </is>
      </c>
      <c r="D27" s="55" t="inlineStr">
        <is>
          <t>%</t>
        </is>
      </c>
    </row>
    <row r="28">
      <c r="A28" s="56" t="inlineStr">
        <is>
          <t>5. Ecosistema, cobertura y flora (F-DT-03)</t>
        </is>
      </c>
      <c r="B28" s="56" t="inlineStr">
        <is>
          <t>Cobertura herbácea (%)</t>
        </is>
      </c>
      <c r="C28" s="56" t="inlineStr">
        <is>
          <t>35</t>
        </is>
      </c>
      <c r="D28" s="56" t="inlineStr">
        <is>
          <t>%</t>
        </is>
      </c>
    </row>
    <row r="29">
      <c r="A29" s="55" t="inlineStr">
        <is>
          <t>5. Ecosistema, cobertura y flora (F-DT-03)</t>
        </is>
      </c>
      <c r="B29" s="55" t="inlineStr">
        <is>
          <t>Cobertura de hojarasca (%)</t>
        </is>
      </c>
      <c r="C29" s="55" t="inlineStr">
        <is>
          <t>10</t>
        </is>
      </c>
      <c r="D29" s="55" t="inlineStr">
        <is>
          <t>%</t>
        </is>
      </c>
    </row>
    <row r="30">
      <c r="A30" s="56" t="inlineStr">
        <is>
          <t>5. Ecosistema, cobertura y flora (F-DT-03)</t>
        </is>
      </c>
      <c r="B30" s="56" t="inlineStr">
        <is>
          <t>Presencia de epífitas</t>
        </is>
      </c>
      <c r="C30" s="56" t="inlineStr">
        <is>
          <t>Sí</t>
        </is>
      </c>
      <c r="D30" s="56" t="inlineStr"/>
    </row>
    <row r="31">
      <c r="A31" s="55" t="inlineStr">
        <is>
          <t>5. Ecosistema, cobertura y flora (F-DT-03)</t>
        </is>
      </c>
      <c r="B31" s="55" t="inlineStr">
        <is>
          <t>Fenología dominante</t>
        </is>
      </c>
      <c r="C31" s="55" t="inlineStr">
        <is>
          <t>Vegetativo</t>
        </is>
      </c>
      <c r="D31" s="55" t="inlineStr"/>
    </row>
    <row r="32">
      <c r="A32" s="56" t="inlineStr">
        <is>
          <t>5. Ecosistema, cobertura y flora (F-DT-03)</t>
        </is>
      </c>
      <c r="B32" s="56" t="inlineStr">
        <is>
          <t>Dimensiones de la parcela (m)</t>
        </is>
      </c>
      <c r="C32" s="56" t="inlineStr">
        <is>
          <t>No aplica (evaluación por recorrido/transecto)</t>
        </is>
      </c>
      <c r="D32" s="56" t="inlineStr"/>
    </row>
    <row r="33">
      <c r="A33" s="55" t="inlineStr">
        <is>
          <t>5. Ecosistema, cobertura y flora (F-DT-03)</t>
        </is>
      </c>
      <c r="B33" s="55" t="inlineStr">
        <is>
          <t>Pendiente de la parcela (%)</t>
        </is>
      </c>
      <c r="C33" s="55" t="inlineStr">
        <is>
          <t>20</t>
        </is>
      </c>
      <c r="D33" s="55" t="inlineStr">
        <is>
          <t>%</t>
        </is>
      </c>
    </row>
    <row r="34">
      <c r="A34" s="56" t="inlineStr">
        <is>
          <t>5. Ecosistema, cobertura y flora (F-DT-03)</t>
        </is>
      </c>
      <c r="B34" s="56" t="inlineStr">
        <is>
          <t>Especies clave georreferenciadas</t>
        </is>
      </c>
      <c r="C34" s="56" t="inlineStr">
        <is>
          <t>4</t>
        </is>
      </c>
      <c r="D34" s="56" t="inlineStr"/>
    </row>
    <row r="35">
      <c r="A35" s="55" t="inlineStr">
        <is>
          <t>6. Degradación, causas y urgencia (F-DT-04)</t>
        </is>
      </c>
      <c r="B35" s="55" t="inlineStr">
        <is>
          <t>Causas directas de la degradación</t>
        </is>
      </c>
      <c r="C35" s="55" t="inlineStr">
        <is>
          <t>Presión agropecuaria sobre laderas de fuerte pendiente: sobrepastoreo de ganado vacuno, conversión a pastos cultivados y a parcelas de maíz, café y plátano, y extracción de leña para autoconsumo; desestabilización de taludes por apertura de trocha carrozable y caminos de herradura.</t>
        </is>
      </c>
      <c r="D35" s="55" t="inlineStr"/>
    </row>
    <row r="36">
      <c r="A36" s="56" t="inlineStr">
        <is>
          <t>6. Degradación, causas y urgencia (F-DT-04)</t>
        </is>
      </c>
      <c r="B36" s="56" t="inlineStr">
        <is>
          <t>N.° de causas activas en la matriz F-DT-04</t>
        </is>
      </c>
      <c r="C36" s="56" t="inlineStr">
        <is>
          <t>6</t>
        </is>
      </c>
      <c r="D36" s="56" t="inlineStr"/>
    </row>
    <row r="37">
      <c r="A37" s="55" t="inlineStr">
        <is>
          <t>7. Hidrología, acceso y logística (F-DT-05)</t>
        </is>
      </c>
      <c r="B37" s="55" t="inlineStr">
        <is>
          <t>Escorrentía concentrada</t>
        </is>
      </c>
      <c r="C37" s="55" t="inlineStr">
        <is>
          <t>Sí</t>
        </is>
      </c>
      <c r="D37" s="55" t="inlineStr"/>
    </row>
    <row r="38">
      <c r="A38" s="56" t="inlineStr">
        <is>
          <t>7. Hidrología, acceso y logística (F-DT-05)</t>
        </is>
      </c>
      <c r="B38" s="56" t="inlineStr">
        <is>
          <t>Fuentes de agua inventariadas</t>
        </is>
      </c>
      <c r="C38" s="56" t="inlineStr">
        <is>
          <t>2</t>
        </is>
      </c>
      <c r="D38" s="56" t="inlineStr"/>
    </row>
    <row r="39">
      <c r="A39" s="55" t="inlineStr">
        <is>
          <t>7. Hidrología, acceso y logística (F-DT-05)</t>
        </is>
      </c>
      <c r="B39" s="55" t="inlineStr">
        <is>
          <t>Distancia a captación (m)</t>
        </is>
      </c>
      <c r="C39" s="55" t="inlineStr">
        <is>
          <t>0</t>
        </is>
      </c>
      <c r="D39" s="55" t="inlineStr">
        <is>
          <t>m</t>
        </is>
      </c>
    </row>
    <row r="40">
      <c r="A40" s="56" t="inlineStr">
        <is>
          <t>7. Hidrología, acceso y logística (F-DT-05)</t>
        </is>
      </c>
      <c r="B40" s="56" t="inlineStr">
        <is>
          <t>Interferencia con riego</t>
        </is>
      </c>
      <c r="C40" s="56" t="inlineStr">
        <is>
          <t>No</t>
        </is>
      </c>
      <c r="D40" s="56" t="inlineStr"/>
    </row>
    <row r="41">
      <c r="A41" s="55" t="inlineStr">
        <is>
          <t>7. Hidrología, acceso y logística (F-DT-05)</t>
        </is>
      </c>
      <c r="B41" s="55" t="inlineStr">
        <is>
          <t>Vía principal de acceso</t>
        </is>
      </c>
      <c r="C41" s="55" t="inlineStr">
        <is>
          <t>Carretera PI-805 (desde la capital distrital de Santa Catalina de Mossa) + trocha carrozable + camino de herradura</t>
        </is>
      </c>
      <c r="D41" s="55" t="inlineStr"/>
    </row>
    <row r="42">
      <c r="A42" s="56" t="inlineStr">
        <is>
          <t>7. Hidrología, acceso y logística (F-DT-05)</t>
        </is>
      </c>
      <c r="B42" s="56" t="inlineStr">
        <is>
          <t>Tipo de vía del tramo final</t>
        </is>
      </c>
      <c r="C42" s="56" t="inlineStr">
        <is>
          <t>Camino de herradura</t>
        </is>
      </c>
      <c r="D42" s="56" t="inlineStr"/>
    </row>
    <row r="43">
      <c r="A43" s="55" t="inlineStr">
        <is>
          <t>7. Hidrología, acceso y logística (F-DT-05)</t>
        </is>
      </c>
      <c r="B43" s="55" t="inlineStr">
        <is>
          <t>Transitabilidad en época seca</t>
        </is>
      </c>
      <c r="C43" s="55" t="inlineStr">
        <is>
          <t>Medio</t>
        </is>
      </c>
      <c r="D43" s="55" t="inlineStr"/>
    </row>
    <row r="44">
      <c r="A44" s="56" t="inlineStr">
        <is>
          <t>7. Hidrología, acceso y logística (F-DT-05)</t>
        </is>
      </c>
      <c r="B44" s="56" t="inlineStr">
        <is>
          <t>Transitabilidad en época lluviosa</t>
        </is>
      </c>
      <c r="C44" s="56" t="inlineStr">
        <is>
          <t>Bajo</t>
        </is>
      </c>
      <c r="D44" s="56" t="inlineStr"/>
    </row>
    <row r="45">
      <c r="A45" s="55" t="inlineStr">
        <is>
          <t>7. Hidrología, acceso y logística (F-DT-05)</t>
        </is>
      </c>
      <c r="B45" s="55" t="inlineStr">
        <is>
          <t>Requiere coordinación con ronda / comunidad</t>
        </is>
      </c>
      <c r="C45" s="55" t="inlineStr">
        <is>
          <t>No</t>
        </is>
      </c>
      <c r="D45" s="55" t="inlineStr"/>
    </row>
    <row r="47">
      <c r="A47" s="53" t="inlineStr">
        <is>
          <t>C. PROCEDENCIA DE LOS HECHOS DECLARADOS</t>
        </is>
      </c>
    </row>
    <row r="48">
      <c r="A48" s="54" t="inlineStr">
        <is>
          <t>Fuente</t>
        </is>
      </c>
      <c r="B48" s="54" t="inlineStr">
        <is>
          <t>Hechos</t>
        </is>
      </c>
      <c r="C48" s="54" t="inlineStr">
        <is>
          <t>Alcance de la fuente</t>
        </is>
      </c>
    </row>
    <row r="49">
      <c r="A49" s="55" t="inlineStr">
        <is>
          <t>Dato de campo</t>
        </is>
      </c>
      <c r="B49" s="55" t="n">
        <v>63</v>
      </c>
      <c r="C49" s="55" t="inlineStr">
        <is>
          <t>Verificación en campo. Fichas F-DT-01 a F-DT-05 de la Plantilla DT Campo Check Validada V5, suscritas por el evaluador.</t>
        </is>
      </c>
    </row>
    <row r="50">
      <c r="A50" s="56" t="inlineStr">
        <is>
          <t>Gabinete (GIS / teledetección)</t>
        </is>
      </c>
      <c r="B50" s="56" t="n">
        <v>22</v>
      </c>
      <c r="C50" s="56" t="inlineStr">
        <is>
          <t>Gabinete. Estadística zonal sobre el MDE y compuestos Sentinel-2 (NDVI mediana 2025, MSAVI 2024 por clase DN).</t>
        </is>
      </c>
    </row>
    <row r="51">
      <c r="A51" s="55" t="inlineStr">
        <is>
          <t>Fuente oficial</t>
        </is>
      </c>
      <c r="B51" s="55" t="n">
        <v>14</v>
      </c>
      <c r="C51" s="55" t="inlineStr">
        <is>
          <t>Fuente oficial. Catálogo maestro Bloques V5/V6, división política INEI y codificación de microcuencas de la ANA.</t>
        </is>
      </c>
    </row>
    <row r="53">
      <c r="A53" s="53" t="inlineStr">
        <is>
          <t>D. ESTADO DEL CRUCE ENTRE FUENTES</t>
        </is>
      </c>
    </row>
    <row r="54">
      <c r="A54" s="54" t="inlineStr">
        <is>
          <t>Estado</t>
        </is>
      </c>
      <c r="B54" s="54" t="inlineStr">
        <is>
          <t>Hechos</t>
        </is>
      </c>
      <c r="C54" s="54" t="inlineStr">
        <is>
          <t>Significado</t>
        </is>
      </c>
    </row>
    <row r="55">
      <c r="A55" s="55" t="inlineStr">
        <is>
          <t>CONFORME</t>
        </is>
      </c>
      <c r="B55" s="55" t="n">
        <v>98</v>
      </c>
      <c r="C55" s="55" t="inlineStr">
        <is>
          <t>Las dos fuentes declaran lo mismo, o solo la fuente que manda sobre el hecho lo declara.</t>
        </is>
      </c>
    </row>
    <row r="56">
      <c r="A56" s="56" t="inlineStr">
        <is>
          <t>COMPLEMENTADO</t>
        </is>
      </c>
      <c r="B56" s="56" t="n">
        <v>0</v>
      </c>
      <c r="C56" s="56" t="inlineStr">
        <is>
          <t>Solo una de las fuentes lo declara y se adopta ese valor.</t>
        </is>
      </c>
    </row>
    <row r="57">
      <c r="A57" s="55" t="inlineStr">
        <is>
          <t>ACTUALIZADO</t>
        </is>
      </c>
      <c r="B57" s="55" t="n">
        <v>1</v>
      </c>
      <c r="C57" s="55" t="inlineStr">
        <is>
          <t>La verificación de campo vigente corrige lo que traía el libro de resumen.</t>
        </is>
      </c>
    </row>
    <row r="58">
      <c r="A58" s="56" t="inlineStr">
        <is>
          <t>DISCREPANTE</t>
        </is>
      </c>
      <c r="B58" s="56" t="n">
        <v>0</v>
      </c>
      <c r="C58" s="56" t="inlineStr">
        <is>
          <t>Las fuentes se contradicen; prevalece la que manda sobre el hecho y la otra queda declarada.</t>
        </is>
      </c>
    </row>
    <row r="59">
      <c r="A59" s="55" t="inlineStr">
        <is>
          <t>PENDIENTE</t>
        </is>
      </c>
      <c r="B59" s="55" t="n">
        <v>15</v>
      </c>
      <c r="C59"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M36B2</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C-01</t>
        </is>
      </c>
      <c r="B9" s="55" t="inlineStr">
        <is>
          <t>Cárcava somera (0.5-2 m)</t>
        </is>
      </c>
      <c r="C9" s="60" t="n">
        <v>626102</v>
      </c>
      <c r="D9" s="60" t="n">
        <v>9434928</v>
      </c>
      <c r="E9" s="55" t="n"/>
      <c r="F9" s="55" t="n"/>
      <c r="G9" s="55" t="n"/>
      <c r="H9" s="55" t="inlineStr">
        <is>
          <t>Activa</t>
        </is>
      </c>
      <c r="I9" s="55" t="inlineStr">
        <is>
          <t>Caminos / huellas de ganado</t>
        </is>
      </c>
    </row>
    <row r="10">
      <c r="A10" s="56" t="inlineStr">
        <is>
          <t>C-02</t>
        </is>
      </c>
      <c r="B10" s="56" t="inlineStr">
        <is>
          <t>Cárcava incipiente (30-50 cm)</t>
        </is>
      </c>
      <c r="C10" s="61" t="n">
        <v>626547</v>
      </c>
      <c r="D10" s="61" t="n">
        <v>9435257</v>
      </c>
      <c r="E10" s="56" t="n"/>
      <c r="F10" s="56" t="n"/>
      <c r="G10" s="56" t="n"/>
      <c r="H10" s="56" t="inlineStr">
        <is>
          <t>Semi-activa</t>
        </is>
      </c>
      <c r="I10" s="56" t="inlineStr">
        <is>
          <t>Concentración natural de escorrentía</t>
        </is>
      </c>
    </row>
    <row r="11">
      <c r="A11" s="55" t="inlineStr">
        <is>
          <t>C-03</t>
        </is>
      </c>
      <c r="B11" s="55" t="inlineStr">
        <is>
          <t>Surco (&lt;30 cm)</t>
        </is>
      </c>
      <c r="C11" s="60" t="n">
        <v>626118</v>
      </c>
      <c r="D11" s="60" t="n">
        <v>9434932</v>
      </c>
      <c r="E11" s="55" t="n"/>
      <c r="F11" s="55" t="n"/>
      <c r="G11" s="55" t="n"/>
      <c r="H11" s="55" t="inlineStr">
        <is>
          <t>Activa</t>
        </is>
      </c>
      <c r="I11" s="55" t="inlineStr">
        <is>
          <t>Caminos / huellas de ganado</t>
        </is>
      </c>
    </row>
    <row r="12">
      <c r="A12" s="56" t="inlineStr">
        <is>
          <t>C-04</t>
        </is>
      </c>
      <c r="B12" s="56" t="inlineStr">
        <is>
          <t>Cárcava somera (0.5-2 m)</t>
        </is>
      </c>
      <c r="C12" s="61" t="n">
        <v>626314</v>
      </c>
      <c r="D12" s="61" t="n">
        <v>9434983</v>
      </c>
      <c r="E12" s="56" t="n"/>
      <c r="F12" s="56" t="n"/>
      <c r="G12" s="56" t="n"/>
      <c r="H12" s="56" t="inlineStr">
        <is>
          <t>Estabilizada con vegetación</t>
        </is>
      </c>
      <c r="I12" s="56" t="inlineStr">
        <is>
          <t>Concentración natural de escorrentía</t>
        </is>
      </c>
    </row>
    <row r="14">
      <c r="A14" s="53" t="inlineStr">
        <is>
          <t>F-DT-03 · ELENCO FLORÍSTICO</t>
        </is>
      </c>
    </row>
    <row r="15">
      <c r="A15" s="54" t="inlineStr">
        <is>
          <t>N.o</t>
        </is>
      </c>
      <c r="B15" s="54" t="inlineStr">
        <is>
          <t>Nombre común</t>
        </is>
      </c>
      <c r="C15" s="54" t="inlineStr">
        <is>
          <t>Nombre científico</t>
        </is>
      </c>
      <c r="D15" s="54" t="inlineStr">
        <is>
          <t>Familia</t>
        </is>
      </c>
      <c r="E15" s="54" t="inlineStr">
        <is>
          <t>Estrato</t>
        </is>
      </c>
      <c r="F15" s="54" t="inlineStr">
        <is>
          <t>Origen</t>
        </is>
      </c>
      <c r="G15" s="54" t="inlineStr">
        <is>
          <t>Abundancia</t>
        </is>
      </c>
      <c r="H15" s="54" t="inlineStr">
        <is>
          <t>DAP (cm)</t>
        </is>
      </c>
      <c r="I15" s="54" t="inlineStr">
        <is>
          <t>Altura (m)</t>
        </is>
      </c>
    </row>
    <row r="16">
      <c r="A16" s="55" t="inlineStr">
        <is>
          <t>1</t>
        </is>
      </c>
      <c r="B16" s="55" t="inlineStr">
        <is>
          <t>Higuerón</t>
        </is>
      </c>
      <c r="C16" s="55" t="inlineStr">
        <is>
          <t>Ficus sp.</t>
        </is>
      </c>
      <c r="D16" s="55" t="inlineStr">
        <is>
          <t>Moraceae</t>
        </is>
      </c>
      <c r="E16" s="55" t="inlineStr">
        <is>
          <t>Arbóreo medio (8-15 m)</t>
        </is>
      </c>
      <c r="F16" s="55" t="inlineStr">
        <is>
          <t>Nativa</t>
        </is>
      </c>
      <c r="G16" s="55" t="inlineStr">
        <is>
          <t>Frecuente (5-20%)</t>
        </is>
      </c>
      <c r="H16" s="55" t="n"/>
      <c r="I16" s="55" t="n"/>
    </row>
    <row r="17">
      <c r="A17" s="56" t="inlineStr">
        <is>
          <t>2</t>
        </is>
      </c>
      <c r="B17" s="56" t="inlineStr">
        <is>
          <t>Chirimoya silvestre</t>
        </is>
      </c>
      <c r="C17" s="56" t="inlineStr">
        <is>
          <t>Annona sp.</t>
        </is>
      </c>
      <c r="D17" s="56" t="inlineStr">
        <is>
          <t>Annonaceae</t>
        </is>
      </c>
      <c r="E17" s="56" t="inlineStr">
        <is>
          <t>Arbóreo bajo (4-8 m)</t>
        </is>
      </c>
      <c r="F17" s="56" t="inlineStr">
        <is>
          <t>Nativa</t>
        </is>
      </c>
      <c r="G17" s="56" t="inlineStr">
        <is>
          <t>Ocasional (1-5%)</t>
        </is>
      </c>
      <c r="H17" s="56" t="n"/>
      <c r="I17" s="56" t="n"/>
    </row>
    <row r="18">
      <c r="A18" s="55" t="inlineStr">
        <is>
          <t>3</t>
        </is>
      </c>
      <c r="B18" s="55" t="inlineStr">
        <is>
          <t>Angolo</t>
        </is>
      </c>
      <c r="C18" s="55" t="inlineStr">
        <is>
          <t>Pithecellobium sp.</t>
        </is>
      </c>
      <c r="D18" s="55" t="inlineStr">
        <is>
          <t>Fabaceae</t>
        </is>
      </c>
      <c r="E18" s="55" t="inlineStr">
        <is>
          <t>Arbóreo medio (8-15 m)</t>
        </is>
      </c>
      <c r="F18" s="55" t="inlineStr">
        <is>
          <t>Nativa</t>
        </is>
      </c>
      <c r="G18" s="55" t="inlineStr">
        <is>
          <t>Frecuente (5-20%)</t>
        </is>
      </c>
      <c r="H18" s="55" t="n"/>
      <c r="I18" s="55" t="n"/>
    </row>
    <row r="19">
      <c r="A19" s="56" t="inlineStr">
        <is>
          <t>4</t>
        </is>
      </c>
      <c r="B19" s="56" t="inlineStr">
        <is>
          <t>Pasallo</t>
        </is>
      </c>
      <c r="C19" s="56" t="inlineStr">
        <is>
          <t>Eriotheca ruizii</t>
        </is>
      </c>
      <c r="D19" s="56" t="inlineStr">
        <is>
          <t>Malvaceae</t>
        </is>
      </c>
      <c r="E19" s="56" t="inlineStr">
        <is>
          <t>Arbóreo bajo (4-8 m)</t>
        </is>
      </c>
      <c r="F19" s="56" t="inlineStr">
        <is>
          <t>Nativa</t>
        </is>
      </c>
      <c r="G19" s="56" t="inlineStr">
        <is>
          <t>Ocasional (1-5%)</t>
        </is>
      </c>
      <c r="H19" s="56" t="n"/>
      <c r="I19" s="56" t="n"/>
    </row>
    <row r="20">
      <c r="A20" s="55" t="inlineStr">
        <is>
          <t>5</t>
        </is>
      </c>
      <c r="B20" s="55" t="inlineStr">
        <is>
          <t>Quina / Cascarilla</t>
        </is>
      </c>
      <c r="C20" s="55" t="inlineStr">
        <is>
          <t>Cinchona sp.</t>
        </is>
      </c>
      <c r="D20" s="55" t="inlineStr">
        <is>
          <t>Rubiaceae</t>
        </is>
      </c>
      <c r="E20" s="55" t="inlineStr">
        <is>
          <t>Arbóreo bajo (4-8 m)</t>
        </is>
      </c>
      <c r="F20" s="55" t="inlineStr">
        <is>
          <t>Nativa</t>
        </is>
      </c>
      <c r="G20" s="55" t="inlineStr">
        <is>
          <t>Rara (&lt;1%)</t>
        </is>
      </c>
      <c r="H20" s="55" t="n"/>
      <c r="I20" s="55" t="n"/>
    </row>
    <row r="21">
      <c r="A21" s="56" t="inlineStr">
        <is>
          <t>6</t>
        </is>
      </c>
      <c r="B21" s="56" t="inlineStr">
        <is>
          <t>Faique</t>
        </is>
      </c>
      <c r="C21" s="56" t="inlineStr">
        <is>
          <t>Vachellia macracantha</t>
        </is>
      </c>
      <c r="D21" s="56" t="inlineStr">
        <is>
          <t>Fabaceae</t>
        </is>
      </c>
      <c r="E21" s="56" t="inlineStr">
        <is>
          <t>Arbóreo bajo (4-8 m)</t>
        </is>
      </c>
      <c r="F21" s="56" t="inlineStr">
        <is>
          <t>Nativa</t>
        </is>
      </c>
      <c r="G21" s="56" t="inlineStr">
        <is>
          <t>Ocasional (1-5%)</t>
        </is>
      </c>
      <c r="H21" s="56" t="n"/>
      <c r="I21" s="56" t="n"/>
    </row>
    <row r="22">
      <c r="A22" s="55" t="inlineStr">
        <is>
          <t>7</t>
        </is>
      </c>
      <c r="B22" s="55" t="inlineStr">
        <is>
          <t>Guayacán</t>
        </is>
      </c>
      <c r="C22" s="55" t="inlineStr">
        <is>
          <t>Handroanthus chrysanthus</t>
        </is>
      </c>
      <c r="D22" s="55" t="inlineStr">
        <is>
          <t>Bignoniaceae</t>
        </is>
      </c>
      <c r="E22" s="55" t="inlineStr">
        <is>
          <t>Arbóreo medio (8-15 m)</t>
        </is>
      </c>
      <c r="F22" s="55" t="inlineStr">
        <is>
          <t>Nativa</t>
        </is>
      </c>
      <c r="G22" s="55" t="inlineStr">
        <is>
          <t>Rara (&lt;1%)</t>
        </is>
      </c>
      <c r="H22" s="55" t="n"/>
      <c r="I22" s="55" t="n"/>
    </row>
    <row r="23">
      <c r="A23" s="56" t="inlineStr">
        <is>
          <t>8</t>
        </is>
      </c>
      <c r="B23" s="56" t="inlineStr">
        <is>
          <t>Caña Guayaquil</t>
        </is>
      </c>
      <c r="C23" s="56" t="inlineStr">
        <is>
          <t>Guadua angustifolia</t>
        </is>
      </c>
      <c r="D23" s="56" t="inlineStr">
        <is>
          <t>Poaceae</t>
        </is>
      </c>
      <c r="E23" s="56" t="inlineStr">
        <is>
          <t>Arbustivo alto (1.5-4 m)</t>
        </is>
      </c>
      <c r="F23" s="56" t="inlineStr">
        <is>
          <t>Nativa</t>
        </is>
      </c>
      <c r="G23" s="56" t="inlineStr">
        <is>
          <t>Ocasional (1-5%)</t>
        </is>
      </c>
      <c r="H23" s="56" t="n"/>
      <c r="I23" s="56" t="n"/>
    </row>
    <row r="24">
      <c r="A24" s="55" t="inlineStr">
        <is>
          <t>9</t>
        </is>
      </c>
      <c r="B24" s="55" t="inlineStr">
        <is>
          <t>Agave / Penca</t>
        </is>
      </c>
      <c r="C24" s="55" t="inlineStr">
        <is>
          <t>Agave americana</t>
        </is>
      </c>
      <c r="D24" s="55" t="inlineStr">
        <is>
          <t>Asparagaceae</t>
        </is>
      </c>
      <c r="E24" s="55" t="inlineStr">
        <is>
          <t>Arbustivo alto (1.5-4 m)</t>
        </is>
      </c>
      <c r="F24" s="55" t="inlineStr">
        <is>
          <t>Introducida</t>
        </is>
      </c>
      <c r="G24" s="55" t="inlineStr">
        <is>
          <t>Ocasional (1-5%)</t>
        </is>
      </c>
      <c r="H24" s="55" t="n"/>
      <c r="I24" s="55" t="n"/>
    </row>
    <row r="25">
      <c r="A25" s="56" t="inlineStr">
        <is>
          <t>10</t>
        </is>
      </c>
      <c r="B25" s="56" t="inlineStr">
        <is>
          <t>Cactácea columnar</t>
        </is>
      </c>
      <c r="C25" s="56" t="inlineStr">
        <is>
          <t>Cactaceae (indet.)</t>
        </is>
      </c>
      <c r="D25" s="56" t="inlineStr">
        <is>
          <t>Cactaceae</t>
        </is>
      </c>
      <c r="E25" s="56" t="inlineStr">
        <is>
          <t>Arbustivo alto (1.5-4 m)</t>
        </is>
      </c>
      <c r="F25" s="56" t="inlineStr">
        <is>
          <t>Nativa</t>
        </is>
      </c>
      <c r="G25" s="56" t="inlineStr">
        <is>
          <t>Rara (&lt;1%)</t>
        </is>
      </c>
      <c r="H25" s="56" t="n"/>
      <c r="I25" s="56" t="n"/>
    </row>
    <row r="26">
      <c r="A26" s="55" t="inlineStr">
        <is>
          <t>11</t>
        </is>
      </c>
      <c r="B26" s="55" t="inlineStr">
        <is>
          <t>Pastos cultivados</t>
        </is>
      </c>
      <c r="C26" s="55" t="inlineStr">
        <is>
          <t>Poaceae (indet.)</t>
        </is>
      </c>
      <c r="D26" s="55" t="inlineStr">
        <is>
          <t>Poaceae</t>
        </is>
      </c>
      <c r="E26" s="55" t="inlineStr">
        <is>
          <t>Herbáceo (&lt;0.5 m)</t>
        </is>
      </c>
      <c r="F26" s="55" t="inlineStr">
        <is>
          <t>Introducida</t>
        </is>
      </c>
      <c r="G26" s="55" t="inlineStr">
        <is>
          <t>Dominante (&gt;40%)</t>
        </is>
      </c>
      <c r="H26" s="55" t="n"/>
      <c r="I26" s="55" t="n"/>
    </row>
    <row r="27">
      <c r="A27" s="56" t="inlineStr">
        <is>
          <t>12</t>
        </is>
      </c>
      <c r="B27" s="56" t="inlineStr">
        <is>
          <t>Maíz</t>
        </is>
      </c>
      <c r="C27" s="56" t="inlineStr">
        <is>
          <t>Zea mays</t>
        </is>
      </c>
      <c r="D27" s="56" t="inlineStr">
        <is>
          <t>Poaceae</t>
        </is>
      </c>
      <c r="E27" s="56" t="inlineStr">
        <is>
          <t>Arbustivo bajo (0.5-1.5 m)</t>
        </is>
      </c>
      <c r="F27" s="56" t="inlineStr">
        <is>
          <t>Introducida</t>
        </is>
      </c>
      <c r="G27" s="56" t="inlineStr">
        <is>
          <t>Frecuente (5-20%)</t>
        </is>
      </c>
      <c r="H27" s="56" t="n"/>
      <c r="I27" s="56" t="n"/>
    </row>
    <row r="28">
      <c r="A28" s="55" t="inlineStr">
        <is>
          <t>13</t>
        </is>
      </c>
      <c r="B28" s="55" t="inlineStr">
        <is>
          <t>Café</t>
        </is>
      </c>
      <c r="C28" s="55" t="inlineStr">
        <is>
          <t>Coffea arabica</t>
        </is>
      </c>
      <c r="D28" s="55" t="inlineStr">
        <is>
          <t>Rubiaceae</t>
        </is>
      </c>
      <c r="E28" s="55" t="inlineStr">
        <is>
          <t>Arbustivo alto (1.5-4 m)</t>
        </is>
      </c>
      <c r="F28" s="55" t="inlineStr">
        <is>
          <t>Introducida</t>
        </is>
      </c>
      <c r="G28" s="55" t="inlineStr">
        <is>
          <t>Ocasional (1-5%)</t>
        </is>
      </c>
      <c r="H28" s="55" t="n"/>
      <c r="I28" s="55" t="n"/>
    </row>
    <row r="29">
      <c r="A29" s="56" t="inlineStr">
        <is>
          <t>14</t>
        </is>
      </c>
      <c r="B29" s="56" t="inlineStr">
        <is>
          <t>Plátano</t>
        </is>
      </c>
      <c r="C29" s="56" t="inlineStr">
        <is>
          <t>Musa × paradisiaca</t>
        </is>
      </c>
      <c r="D29" s="56" t="inlineStr">
        <is>
          <t>Musaceae</t>
        </is>
      </c>
      <c r="E29" s="56" t="inlineStr">
        <is>
          <t>Arbustivo alto (1.5-4 m)</t>
        </is>
      </c>
      <c r="F29" s="56" t="inlineStr">
        <is>
          <t>Introducida</t>
        </is>
      </c>
      <c r="G29" s="56" t="inlineStr">
        <is>
          <t>Ocasional (1-5%)</t>
        </is>
      </c>
      <c r="H29" s="56" t="n"/>
      <c r="I29" s="56" t="n"/>
    </row>
    <row r="30">
      <c r="A30" s="55" t="inlineStr">
        <is>
          <t>15</t>
        </is>
      </c>
      <c r="B30" s="55" t="inlineStr">
        <is>
          <t>Herbáceas de pastizal (varias)</t>
        </is>
      </c>
      <c r="C30" s="55" t="inlineStr">
        <is>
          <t>(indet.)</t>
        </is>
      </c>
      <c r="D30" s="55" t="inlineStr">
        <is>
          <t>Asteraceae/Poaceae</t>
        </is>
      </c>
      <c r="E30" s="55" t="inlineStr">
        <is>
          <t>Herbáceo (&lt;0.5 m)</t>
        </is>
      </c>
      <c r="F30" s="55" t="inlineStr">
        <is>
          <t>Introducida</t>
        </is>
      </c>
      <c r="G30" s="55" t="inlineStr">
        <is>
          <t>Abundante (20-40%)</t>
        </is>
      </c>
      <c r="H30" s="55" t="n"/>
      <c r="I30" s="55" t="n"/>
    </row>
    <row r="32">
      <c r="A32" s="53" t="inlineStr">
        <is>
          <t>F-DT-03 · ESPECIES CLAVE GEORREFERENCIADAS</t>
        </is>
      </c>
    </row>
    <row r="33">
      <c r="A33" s="54" t="inlineStr">
        <is>
          <t>N.o</t>
        </is>
      </c>
      <c r="B33" s="54" t="inlineStr">
        <is>
          <t>Especie</t>
        </is>
      </c>
      <c r="C33" s="54" t="inlineStr">
        <is>
          <t>Categoría</t>
        </is>
      </c>
      <c r="D33" s="54" t="inlineStr">
        <is>
          <t>Estado UICN</t>
        </is>
      </c>
      <c r="E33" s="54" t="inlineStr">
        <is>
          <t>UTM ESTE</t>
        </is>
      </c>
      <c r="F33" s="54" t="inlineStr">
        <is>
          <t>UTM NORTE</t>
        </is>
      </c>
      <c r="G33" s="54" t="inlineStr">
        <is>
          <t>N.° individuos</t>
        </is>
      </c>
      <c r="H33" s="54" t="inlineStr">
        <is>
          <t>Observación</t>
        </is>
      </c>
    </row>
    <row r="34">
      <c r="A34" s="55" t="inlineStr">
        <is>
          <t>1</t>
        </is>
      </c>
      <c r="B34" s="55" t="inlineStr">
        <is>
          <t>Faique (Vachellia macracantha)</t>
        </is>
      </c>
      <c r="C34" s="55" t="inlineStr">
        <is>
          <t>Amenazada (D.S. 043-2006-AG)</t>
        </is>
      </c>
      <c r="D34" s="55" t="inlineStr">
        <is>
          <t>NT — Casi Amenazado</t>
        </is>
      </c>
      <c r="E34" s="55" t="n"/>
      <c r="F34" s="55" t="n"/>
      <c r="G34" s="55" t="n"/>
      <c r="H34" s="55" t="inlineStr">
        <is>
          <t>Categoría NT s/ D.S. 043-2006-AG (referencial); por confirmar</t>
        </is>
      </c>
    </row>
    <row r="35">
      <c r="A35" s="56" t="inlineStr">
        <is>
          <t>2</t>
        </is>
      </c>
      <c r="B35" s="56" t="inlineStr">
        <is>
          <t>Quina / Cascarilla (Cinchona sp.)</t>
        </is>
      </c>
      <c r="C35" s="56" t="inlineStr">
        <is>
          <t>Clave cultural</t>
        </is>
      </c>
      <c r="D35" s="56" t="inlineStr">
        <is>
          <t>VU — Vulnerable</t>
        </is>
      </c>
      <c r="E35" s="56" t="n"/>
      <c r="F35" s="56" t="n"/>
      <c r="G35" s="56" t="n"/>
      <c r="H35" s="56" t="inlineStr">
        <is>
          <t>Árbol nacional; especie y categoría por confirmar</t>
        </is>
      </c>
    </row>
    <row r="36">
      <c r="A36" s="55" t="inlineStr">
        <is>
          <t>3</t>
        </is>
      </c>
      <c r="B36" s="55" t="inlineStr">
        <is>
          <t>Angolo (Pithecellobium sp.)</t>
        </is>
      </c>
      <c r="C36" s="55" t="inlineStr">
        <is>
          <t>Indicadora de buen estado</t>
        </is>
      </c>
      <c r="D36" s="55" t="inlineStr">
        <is>
          <t>No aplica</t>
        </is>
      </c>
      <c r="E36" s="60" t="n">
        <v>626339</v>
      </c>
      <c r="F36" s="60" t="n">
        <v>9434975</v>
      </c>
      <c r="G36" s="55" t="n"/>
      <c r="H36" s="55" t="inlineStr">
        <is>
          <t>Árbol nativo emergente; determinación por confirmar</t>
        </is>
      </c>
    </row>
    <row r="37">
      <c r="A37" s="56" t="inlineStr">
        <is>
          <t>4</t>
        </is>
      </c>
      <c r="B37" s="56" t="inlineStr">
        <is>
          <t>Guayacán (Handroanthus chrysanthus)</t>
        </is>
      </c>
      <c r="C37" s="56" t="inlineStr">
        <is>
          <t>Indicadora de buen estado</t>
        </is>
      </c>
      <c r="D37" s="56" t="inlineStr">
        <is>
          <t>NE — No Evaluado</t>
        </is>
      </c>
      <c r="E37" s="56" t="n"/>
      <c r="F37" s="56" t="n"/>
      <c r="G37" s="56" t="n"/>
      <c r="H37" s="56" t="inlineStr">
        <is>
          <t>Especie nativa valiosa; categoría por verificar</t>
        </is>
      </c>
    </row>
    <row r="39">
      <c r="A39" s="53" t="inlineStr">
        <is>
          <t>F-DT-04 · MATRIZ DE CAUSAS DE DEGRADACIÓN</t>
        </is>
      </c>
    </row>
    <row r="40">
      <c r="A40" s="54" t="inlineStr">
        <is>
          <t>N.o</t>
        </is>
      </c>
      <c r="B40" s="54" t="inlineStr">
        <is>
          <t>Causa</t>
        </is>
      </c>
      <c r="C40" s="54" t="inlineStr">
        <is>
          <t>Presencia</t>
        </is>
      </c>
      <c r="D40" s="54" t="inlineStr">
        <is>
          <t>Intensidad</t>
        </is>
      </c>
      <c r="E40" s="54" t="inlineStr">
        <is>
          <t>Extensión</t>
        </is>
      </c>
      <c r="F40" s="54" t="inlineStr">
        <is>
          <t>Antigüedad</t>
        </is>
      </c>
      <c r="G40" s="54" t="inlineStr">
        <is>
          <t>Evidencia</t>
        </is>
      </c>
    </row>
    <row r="41">
      <c r="A41" s="55" t="inlineStr">
        <is>
          <t>1</t>
        </is>
      </c>
      <c r="B41" s="55" t="inlineStr">
        <is>
          <t>Sobrepastoreo (caprino/vacuno)</t>
        </is>
      </c>
      <c r="C41" s="55" t="inlineStr">
        <is>
          <t>Sí</t>
        </is>
      </c>
      <c r="D41" s="55" t="inlineStr">
        <is>
          <t>Moderada</t>
        </is>
      </c>
      <c r="E41" s="55" t="inlineStr">
        <is>
          <t>40</t>
        </is>
      </c>
      <c r="F41" s="55" t="inlineStr"/>
      <c r="G41" s="55" t="inlineStr">
        <is>
          <t>Ganado vacuno pastando en laderas y senderos; pisoteo y compactación (fotos índices 15, 16).</t>
        </is>
      </c>
    </row>
    <row r="42">
      <c r="A42" s="56" t="inlineStr">
        <is>
          <t>2</t>
        </is>
      </c>
      <c r="B42" s="56" t="inlineStr">
        <is>
          <t>Tala para leña</t>
        </is>
      </c>
      <c r="C42" s="56" t="inlineStr">
        <is>
          <t>Sí</t>
        </is>
      </c>
      <c r="D42" s="56" t="inlineStr">
        <is>
          <t>Moderada</t>
        </is>
      </c>
      <c r="E42" s="56" t="inlineStr"/>
      <c r="F42" s="56" t="inlineStr"/>
      <c r="G42" s="56" t="inlineStr">
        <is>
          <t>Acopio de leña para autoconsumo bajo cobertizo (foto 2:39 p.m.).</t>
        </is>
      </c>
    </row>
    <row r="43">
      <c r="A43" s="55" t="inlineStr">
        <is>
          <t>3</t>
        </is>
      </c>
      <c r="B43" s="55" t="inlineStr">
        <is>
          <t>Tala para carbón</t>
        </is>
      </c>
      <c r="C43" s="55" t="inlineStr">
        <is>
          <t>No</t>
        </is>
      </c>
      <c r="D43" s="55" t="inlineStr"/>
      <c r="E43" s="55" t="inlineStr"/>
      <c r="F43" s="55" t="inlineStr"/>
      <c r="G43" s="55" t="inlineStr"/>
    </row>
    <row r="44">
      <c r="A44" s="56" t="inlineStr">
        <is>
          <t>4</t>
        </is>
      </c>
      <c r="B44" s="56" t="inlineStr">
        <is>
          <t>Tala para madera</t>
        </is>
      </c>
      <c r="C44" s="56" t="inlineStr">
        <is>
          <t>No</t>
        </is>
      </c>
      <c r="D44" s="56" t="inlineStr"/>
      <c r="E44" s="56" t="inlineStr"/>
      <c r="F44" s="56" t="inlineStr"/>
      <c r="G44" s="56" t="inlineStr"/>
    </row>
    <row r="45">
      <c r="A45" s="55" t="inlineStr">
        <is>
          <t>5</t>
        </is>
      </c>
      <c r="B45" s="55" t="inlineStr">
        <is>
          <t>Quema (renovación de pastos)</t>
        </is>
      </c>
      <c r="C45" s="55" t="inlineStr">
        <is>
          <t>No</t>
        </is>
      </c>
      <c r="D45" s="55" t="inlineStr"/>
      <c r="E45" s="55" t="inlineStr"/>
      <c r="F45" s="55" t="inlineStr"/>
      <c r="G45" s="55" t="inlineStr">
        <is>
          <t>No se observaron quemas recientes.</t>
        </is>
      </c>
    </row>
    <row r="46">
      <c r="A46" s="56" t="inlineStr">
        <is>
          <t>6</t>
        </is>
      </c>
      <c r="B46" s="56" t="inlineStr">
        <is>
          <t>Quema accidental / Incendio</t>
        </is>
      </c>
      <c r="C46" s="56" t="inlineStr">
        <is>
          <t>No</t>
        </is>
      </c>
      <c r="D46" s="56" t="inlineStr"/>
      <c r="E46" s="56" t="inlineStr"/>
      <c r="F46" s="56" t="inlineStr"/>
      <c r="G46" s="56" t="inlineStr"/>
    </row>
    <row r="47">
      <c r="A47" s="55" t="inlineStr">
        <is>
          <t>7</t>
        </is>
      </c>
      <c r="B47" s="55" t="inlineStr">
        <is>
          <t>Cambio de uso a agricultura</t>
        </is>
      </c>
      <c r="C47" s="55" t="inlineStr">
        <is>
          <t>Sí</t>
        </is>
      </c>
      <c r="D47" s="55" t="inlineStr">
        <is>
          <t>Moderada</t>
        </is>
      </c>
      <c r="E47" s="55" t="inlineStr">
        <is>
          <t>25</t>
        </is>
      </c>
      <c r="F47" s="55" t="inlineStr"/>
      <c r="G47" s="55" t="inlineStr">
        <is>
          <t>Parcelas de maíz, café y plátano; pastos cultivados en laderas.</t>
        </is>
      </c>
    </row>
    <row r="48">
      <c r="A48" s="56" t="inlineStr">
        <is>
          <t>8</t>
        </is>
      </c>
      <c r="B48" s="56" t="inlineStr">
        <is>
          <t>Cambio de uso a pastoreo</t>
        </is>
      </c>
      <c r="C48" s="56" t="inlineStr">
        <is>
          <t>Sí</t>
        </is>
      </c>
      <c r="D48" s="56" t="inlineStr">
        <is>
          <t>Moderada</t>
        </is>
      </c>
      <c r="E48" s="56" t="inlineStr">
        <is>
          <t>35</t>
        </is>
      </c>
      <c r="F48" s="56" t="inlineStr"/>
      <c r="G48" s="56" t="inlineStr">
        <is>
          <t>Conversión de cobertura a pastos cultivados para ganadería.</t>
        </is>
      </c>
    </row>
    <row r="49">
      <c r="A49" s="55" t="inlineStr">
        <is>
          <t>9</t>
        </is>
      </c>
      <c r="B49" s="55" t="inlineStr">
        <is>
          <t>Expansión urbana / vial</t>
        </is>
      </c>
      <c r="C49" s="55" t="inlineStr">
        <is>
          <t>Sí</t>
        </is>
      </c>
      <c r="D49" s="55" t="inlineStr">
        <is>
          <t>Ligera</t>
        </is>
      </c>
      <c r="E49" s="55" t="inlineStr">
        <is>
          <t>10</t>
        </is>
      </c>
      <c r="F49" s="55" t="inlineStr"/>
      <c r="G49" s="55" t="inlineStr">
        <is>
          <t>Apertura de trocha y caminos de herradura con taludes de corte inestables (fotos índices 7,10,21,24).</t>
        </is>
      </c>
    </row>
    <row r="50">
      <c r="A50" s="56" t="inlineStr">
        <is>
          <t>10</t>
        </is>
      </c>
      <c r="B50" s="56" t="inlineStr">
        <is>
          <t>Minería informal</t>
        </is>
      </c>
      <c r="C50" s="56" t="inlineStr">
        <is>
          <t>No</t>
        </is>
      </c>
      <c r="D50" s="56" t="inlineStr"/>
      <c r="E50" s="56" t="inlineStr"/>
      <c r="F50" s="56" t="inlineStr"/>
      <c r="G50" s="56" t="inlineStr"/>
    </row>
    <row r="51">
      <c r="A51" s="55" t="inlineStr">
        <is>
          <t>11</t>
        </is>
      </c>
      <c r="B51" s="55" t="inlineStr">
        <is>
          <t>Extracción de áridos (cauces)</t>
        </is>
      </c>
      <c r="C51" s="55" t="inlineStr">
        <is>
          <t>No</t>
        </is>
      </c>
      <c r="D51" s="55" t="inlineStr"/>
      <c r="E51" s="55" t="inlineStr"/>
      <c r="F51" s="55" t="inlineStr"/>
      <c r="G51" s="55" t="inlineStr"/>
    </row>
    <row r="52">
      <c r="A52" s="56" t="inlineStr">
        <is>
          <t>12</t>
        </is>
      </c>
      <c r="B52" s="56" t="inlineStr">
        <is>
          <t>Especies invasoras</t>
        </is>
      </c>
      <c r="C52" s="56" t="inlineStr">
        <is>
          <t>No</t>
        </is>
      </c>
      <c r="D52" s="56" t="inlineStr"/>
      <c r="E52" s="56" t="inlineStr"/>
      <c r="F52" s="56" t="inlineStr"/>
      <c r="G52" s="56" t="inlineStr">
        <is>
          <t>Agave es introducida/cultivada; sin evidencia de invasión activa.</t>
        </is>
      </c>
    </row>
    <row r="53">
      <c r="A53" s="55" t="inlineStr">
        <is>
          <t>13</t>
        </is>
      </c>
      <c r="B53" s="55" t="inlineStr">
        <is>
          <t>Erosión natural severa</t>
        </is>
      </c>
      <c r="C53" s="55" t="inlineStr">
        <is>
          <t>Sí</t>
        </is>
      </c>
      <c r="D53" s="55" t="inlineStr">
        <is>
          <t>Ligera</t>
        </is>
      </c>
      <c r="E53" s="55" t="inlineStr">
        <is>
          <t>5</t>
        </is>
      </c>
      <c r="F53" s="55" t="inlineStr"/>
      <c r="G53" s="55" t="inlineStr">
        <is>
          <t>Surcos y cárcavas incipientes localizadas en taludes y líneas de drenaje.</t>
        </is>
      </c>
    </row>
    <row r="54">
      <c r="A54" s="56" t="inlineStr">
        <is>
          <t>14</t>
        </is>
      </c>
      <c r="B54" s="56" t="inlineStr">
        <is>
          <t>Sequía prolongada / CC</t>
        </is>
      </c>
      <c r="C54" s="56" t="inlineStr">
        <is>
          <t>No</t>
        </is>
      </c>
      <c r="D54" s="56" t="inlineStr"/>
      <c r="E54" s="56" t="inlineStr"/>
      <c r="F54" s="56" t="inlineStr"/>
      <c r="G54" s="56" t="inlineStr">
        <is>
          <t>Factor regional (CC); no evaluable directamente en campo.</t>
        </is>
      </c>
    </row>
    <row r="55">
      <c r="A55" s="55" t="inlineStr">
        <is>
          <t>15</t>
        </is>
      </c>
      <c r="B55" s="55" t="inlineStr">
        <is>
          <t>Plagas o enfermedades forestales</t>
        </is>
      </c>
      <c r="C55" s="55" t="inlineStr">
        <is>
          <t>No</t>
        </is>
      </c>
      <c r="D55" s="55" t="inlineStr"/>
      <c r="E55" s="55" t="inlineStr"/>
      <c r="F55" s="55" t="inlineStr"/>
      <c r="G55" s="55" t="inlineStr"/>
    </row>
    <row r="56">
      <c r="A56" s="56" t="inlineStr">
        <is>
          <t>16</t>
        </is>
      </c>
      <c r="B56" s="56" t="inlineStr">
        <is>
          <t>Otro</t>
        </is>
      </c>
      <c r="C56" s="56" t="inlineStr">
        <is>
          <t>No</t>
        </is>
      </c>
      <c r="D56" s="56" t="inlineStr"/>
      <c r="E56" s="56" t="inlineStr"/>
      <c r="F56" s="56" t="inlineStr"/>
      <c r="G56" s="56" t="inlineStr"/>
    </row>
    <row r="58">
      <c r="A58" s="53" t="inlineStr">
        <is>
          <t>F-DT-04 · INDICADORES CUANTITATIVOS</t>
        </is>
      </c>
    </row>
    <row r="59">
      <c r="A59" s="54" t="inlineStr">
        <is>
          <t>N.o</t>
        </is>
      </c>
      <c r="B59" s="54" t="inlineStr">
        <is>
          <t>Indicador</t>
        </is>
      </c>
      <c r="C59" s="54" t="inlineStr">
        <is>
          <t>Unidad</t>
        </is>
      </c>
      <c r="D59" s="54" t="inlineStr">
        <is>
          <t>Valor</t>
        </is>
      </c>
      <c r="E59" s="54" t="inlineStr">
        <is>
          <t>Fuente</t>
        </is>
      </c>
      <c r="F59" s="54" t="inlineStr">
        <is>
          <t>Umbral</t>
        </is>
      </c>
      <c r="G59" s="54" t="inlineStr">
        <is>
          <t>Nivel</t>
        </is>
      </c>
    </row>
    <row r="60">
      <c r="A60" s="55" t="inlineStr">
        <is>
          <t>1</t>
        </is>
      </c>
      <c r="B60" s="55" t="inlineStr">
        <is>
          <t>Cobertura vegetal total</t>
        </is>
      </c>
      <c r="C60" s="55" t="inlineStr">
        <is>
          <t>%</t>
        </is>
      </c>
      <c r="D60" s="55" t="inlineStr">
        <is>
          <t>75</t>
        </is>
      </c>
      <c r="E60" s="55" t="inlineStr">
        <is>
          <t>Estimación ocular + MSAVI Piura 2024</t>
        </is>
      </c>
      <c r="F60" s="55" t="inlineStr">
        <is>
          <t>&gt;60% bueno; 30-60% medio; &lt;30% malo</t>
        </is>
      </c>
      <c r="G60" s="55" t="inlineStr">
        <is>
          <t>Alto</t>
        </is>
      </c>
    </row>
    <row r="61">
      <c r="A61" s="56" t="inlineStr">
        <is>
          <t>2</t>
        </is>
      </c>
      <c r="B61" s="56" t="inlineStr">
        <is>
          <t>Porcentaje de suelo desnudo</t>
        </is>
      </c>
      <c r="C61" s="56" t="inlineStr">
        <is>
          <t>%</t>
        </is>
      </c>
      <c r="D61" s="56" t="inlineStr">
        <is>
          <t>15</t>
        </is>
      </c>
      <c r="E61" s="56" t="inlineStr">
        <is>
          <t>Estimación ocular de campo</t>
        </is>
      </c>
      <c r="F61" s="56" t="inlineStr">
        <is>
          <t>&lt;10% bueno; 10-30% medio; &gt;30% malo</t>
        </is>
      </c>
      <c r="G61" s="56" t="inlineStr">
        <is>
          <t>Medio</t>
        </is>
      </c>
    </row>
    <row r="62">
      <c r="A62" s="55" t="inlineStr">
        <is>
          <t>3</t>
        </is>
      </c>
      <c r="B62" s="55" t="inlineStr">
        <is>
          <t>Densidad de cárcavas</t>
        </is>
      </c>
      <c r="C62" s="55" t="inlineStr">
        <is>
          <t>N°/ha</t>
        </is>
      </c>
      <c r="D62" s="55" t="inlineStr"/>
      <c r="E62" s="55" t="inlineStr">
        <is>
          <t>Registro rápido; localizado en taludes (sin conteo por ha)</t>
        </is>
      </c>
      <c r="F62" s="55" t="inlineStr">
        <is>
          <t>0 nulo; 1-3 medio; &gt;3 alto</t>
        </is>
      </c>
      <c r="G62" s="55" t="inlineStr">
        <is>
          <t>Bajo</t>
        </is>
      </c>
    </row>
    <row r="63">
      <c r="A63" s="56" t="inlineStr">
        <is>
          <t>4</t>
        </is>
      </c>
      <c r="B63" s="56" t="inlineStr">
        <is>
          <t>Presencia de especies invasoras</t>
        </is>
      </c>
      <c r="C63" s="56" t="inlineStr">
        <is>
          <t>% área</t>
        </is>
      </c>
      <c r="D63" s="56" t="inlineStr"/>
      <c r="E63" s="56" t="inlineStr">
        <is>
          <t>No cuantificado en campo</t>
        </is>
      </c>
      <c r="F63" s="56" t="inlineStr">
        <is>
          <t>&lt;5% bueno; 5-20% medio; &gt;20% alto</t>
        </is>
      </c>
      <c r="G63" s="56" t="inlineStr">
        <is>
          <t>Bajo</t>
        </is>
      </c>
    </row>
    <row r="64">
      <c r="A64" s="55" t="inlineStr">
        <is>
          <t>5</t>
        </is>
      </c>
      <c r="B64" s="55" t="inlineStr">
        <is>
          <t>Carga ganadera estimada</t>
        </is>
      </c>
      <c r="C64" s="55" t="inlineStr">
        <is>
          <t>UA/ha</t>
        </is>
      </c>
      <c r="D64" s="55" t="inlineStr"/>
      <c r="E64" s="55" t="inlineStr">
        <is>
          <t>Pendiente (encuesta predial)</t>
        </is>
      </c>
      <c r="F64" s="55" t="inlineStr">
        <is>
          <t>Según tipo de ecosistema</t>
        </is>
      </c>
      <c r="G64" s="55" t="inlineStr"/>
    </row>
    <row r="65">
      <c r="A65" s="56" t="inlineStr">
        <is>
          <t>6</t>
        </is>
      </c>
      <c r="B65" s="56" t="inlineStr">
        <is>
          <t>Frecuencia de quemas últimos 5 años</t>
        </is>
      </c>
      <c r="C65" s="56" t="inlineStr">
        <is>
          <t>N°</t>
        </is>
      </c>
      <c r="D65" s="56" t="inlineStr"/>
      <c r="E65" s="56" t="inlineStr">
        <is>
          <t>Pendiente (consulta comunal)</t>
        </is>
      </c>
      <c r="F65" s="56" t="inlineStr">
        <is>
          <t>0 nulo; 1-2 medio; &gt;2 alto</t>
        </is>
      </c>
      <c r="G65" s="56" t="inlineStr"/>
    </row>
    <row r="66">
      <c r="A66" s="55" t="inlineStr">
        <is>
          <t>7</t>
        </is>
      </c>
      <c r="B66" s="55" t="inlineStr">
        <is>
          <t>% área con pendiente &gt;50%</t>
        </is>
      </c>
      <c r="C66" s="55" t="inlineStr">
        <is>
          <t>%</t>
        </is>
      </c>
      <c r="D66" s="55" t="inlineStr">
        <is>
          <t>25</t>
        </is>
      </c>
      <c r="E66" s="55" t="inlineStr">
        <is>
          <t>Perfil de elevación Google Earth (pendiente máx ~50%)</t>
        </is>
      </c>
      <c r="F66" s="55" t="inlineStr">
        <is>
          <t>Factor de susceptibilidad</t>
        </is>
      </c>
      <c r="G66" s="55" t="inlineStr">
        <is>
          <t>Medio</t>
        </is>
      </c>
    </row>
    <row r="67">
      <c r="A67" s="56" t="inlineStr">
        <is>
          <t>8</t>
        </is>
      </c>
      <c r="B67" s="56" t="inlineStr">
        <is>
          <t>Distancia a vía vecinal más cercana</t>
        </is>
      </c>
      <c r="C67" s="56" t="inlineStr">
        <is>
          <t>m</t>
        </is>
      </c>
      <c r="D67" s="56" t="inlineStr">
        <is>
          <t>0</t>
        </is>
      </c>
      <c r="E67" s="56" t="inlineStr">
        <is>
          <t>Trocha/camino atraviesan el bloque</t>
        </is>
      </c>
      <c r="F67" s="56" t="inlineStr">
        <is>
          <t>A menor distancia → mayor presión</t>
        </is>
      </c>
      <c r="G67" s="56" t="inlineStr">
        <is>
          <t>Alto</t>
        </is>
      </c>
    </row>
    <row r="69">
      <c r="A69" s="53" t="inlineStr">
        <is>
          <t>F-DT-05 · FUENTES DE AGUA INVENTARIADAS</t>
        </is>
      </c>
    </row>
    <row r="70">
      <c r="A70" s="54" t="inlineStr">
        <is>
          <t>N.o</t>
        </is>
      </c>
      <c r="B70" s="54" t="inlineStr">
        <is>
          <t>Tipo de fuente</t>
        </is>
      </c>
      <c r="C70" s="54" t="inlineStr">
        <is>
          <t>UTM ESTE</t>
        </is>
      </c>
      <c r="D70" s="54" t="inlineStr">
        <is>
          <t>UTM NORTE</t>
        </is>
      </c>
      <c r="E70" s="54" t="inlineStr">
        <is>
          <t>Régimen</t>
        </is>
      </c>
      <c r="F70" s="54" t="inlineStr">
        <is>
          <t>Calidad</t>
        </is>
      </c>
      <c r="G70" s="54" t="inlineStr">
        <is>
          <t>Distancia (m)</t>
        </is>
      </c>
      <c r="H70" s="54" t="inlineStr">
        <is>
          <t>Uso / observación</t>
        </is>
      </c>
    </row>
    <row r="71">
      <c r="A71" s="55" t="inlineStr">
        <is>
          <t>1</t>
        </is>
      </c>
      <c r="B71" s="55" t="inlineStr">
        <is>
          <t>Manantial / Puquio</t>
        </is>
      </c>
      <c r="C71" s="60" t="n">
        <v>626580</v>
      </c>
      <c r="D71" s="60" t="n">
        <v>9435291</v>
      </c>
      <c r="E71" s="55" t="inlineStr">
        <is>
          <t>Permanente</t>
        </is>
      </c>
      <c r="F71" s="55" t="inlineStr">
        <is>
          <t>No evaluable</t>
        </is>
      </c>
      <c r="G71" s="62" t="n">
        <v>0</v>
      </c>
      <c r="H71" s="55" t="inlineStr">
        <is>
          <t>Captación de la JASS Santa Rosa de Chirimoyos; tanque y tubería PVC para consumo humano (fotos índices 15, 16).</t>
        </is>
      </c>
    </row>
    <row r="72">
      <c r="A72" s="56" t="inlineStr">
        <is>
          <t>2</t>
        </is>
      </c>
      <c r="B72" s="56" t="inlineStr">
        <is>
          <t>Quebrada estacional</t>
        </is>
      </c>
      <c r="C72" s="61" t="n">
        <v>626100</v>
      </c>
      <c r="D72" s="61" t="n">
        <v>9434850</v>
      </c>
      <c r="E72" s="56" t="inlineStr">
        <is>
          <t>Estacional (lluvias)</t>
        </is>
      </c>
      <c r="F72" s="56" t="inlineStr">
        <is>
          <t>No evaluable</t>
        </is>
      </c>
      <c r="G72" s="63" t="n">
        <v>0</v>
      </c>
      <c r="H72" s="56" t="inlineStr">
        <is>
          <t>Quebrada tributaria que delimita el bloque (ubicación aproximada).</t>
        </is>
      </c>
    </row>
    <row r="75">
      <c r="A75" s="53" t="inlineStr">
        <is>
          <t>OBSERVACIONES DEL EVALUADOR POR FICHA</t>
        </is>
      </c>
    </row>
    <row r="76">
      <c r="A76" s="54" t="inlineStr">
        <is>
          <t>Ficha</t>
        </is>
      </c>
      <c r="B76" s="54" t="inlineStr">
        <is>
          <t>Observación registrada en campo</t>
        </is>
      </c>
    </row>
    <row r="77">
      <c r="A77" s="55" t="inlineStr">
        <is>
          <t>F-DT-01</t>
        </is>
      </c>
      <c r="B77" s="55" t="inlineStr">
        <is>
          <t>Inspección del 03-06-2026 (Ing. H. Cahuas y Ing. P. Talledo). Punto de muestreo referido al hito del bloque (≈626 400 E / 9 434 998 N, 1 453 msnm GPS de gabinete); el recorrido de campo (track Garmin 66sr) abarcó de 626 580 E/9 435 291 N a 625 974 E/9 434 966 N, con altitudes 1 341–1 469 msnm (perfil GE). Rango altitudinal del bloque ≈1 350–1 500 msnm. Afloramientos/saprolito y escarpes activos se concentran en los taludes de corte de la trocha y caminos de herradura (periferia del bloque), no en remociones de masa de superficie. Algunas coordenadas de fotografías pueden presentar error por señal GPS de celular subóptima (cielo nublado y ligera lluvia).</t>
        </is>
      </c>
    </row>
    <row r="78">
      <c r="A78" s="56" t="inlineStr">
        <is>
          <t>F-DT-02</t>
        </is>
      </c>
      <c r="B78" s="56" t="inlineStr">
        <is>
          <t>Erosión predominantemente ligera-moderada en el interior del bloque (surcos y suelo expuesto en sendas, compactación por pisoteo de ganado, raíces expuestas). Las evidencias erosivas más marcadas (cárcavas y escarpes activos) se concentran en los taludes de corte de la trocha carrozable y caminos de herradura (fotos índices 7, 10, 13, 14, 21, 24). El inventario es un registro rápido (4 rasgos); las dimensiones (longitud, profundidad, ancho), la longitud total, el % de bloque afectado y la erosión laminar quedan pendientes de levantamiento instrumental. Coordenadas con posible error por señal GPS subóptima.</t>
        </is>
      </c>
    </row>
    <row r="79">
      <c r="A79" s="55" t="inlineStr">
        <is>
          <t>F-DT-03</t>
        </is>
      </c>
      <c r="B79" s="55" t="inlineStr">
        <is>
          <t>El bloque está catalogado por el MINAM como Zona agrícola (Agroecosistema) en su totalidad (28.19 ha, microcuenca C1086-Q9576), pero conserva relictos de bosque seco de colina/montaña y árboles nativos dispersos en las partes altas e inaccesibles. Coberturas y alturas son estimaciones oculares apoyadas en MSAVI Piura 2024; el MSAVI muestra predominio de clases de vigor moderado a alto (0.4976–0.6139 y &gt;0.6139), con parches degradados (0.2650–0.3813) localizados al sector NE, lo que define un mosaico con degradación localizada antes que generalizada. La lista florística es PRELIMINAR; los nombres científicos y las categorías de conservación están sujetos a determinación botánica formal. DAP y alturas no se midieron por instrumento.</t>
        </is>
      </c>
    </row>
    <row r="80">
      <c r="A80" s="56" t="inlineStr">
        <is>
          <t>F-DT-04</t>
        </is>
      </c>
      <c r="B80" s="56" t="inlineStr">
        <is>
          <t>Causas con evidencia directa de campo. La sequía/cambio climático es un factor regional contextual no evaluable directamente en la inspección rápida. Indicadores sin valor (densidad de cárcavas, invasoras, carga ganadera, frecuencia de quemas) quedan pendientes de levantamiento/encuesta predial. Valores de cobertura y suelo desnudo son estimaciones oculares apoyadas en MSAVI 2024.</t>
        </is>
      </c>
    </row>
    <row r="81">
      <c r="A81" s="55" t="inlineStr">
        <is>
          <t>F-DT-05</t>
        </is>
      </c>
      <c r="B81" s="55" t="inlineStr">
        <is>
          <t>El bloque se ubica en zona de origen/recarga de la microcuenca C1086-Q9576, con humedad persistente (neblina; cultivos de café y plátano). La captación de la JASS Santa Rosa de Chirimoyos (tanque + tubería PVC para consumo humano) se ubica dentro/al borde del bloque (fotos índices 15, 16). El bloque está delimitado por quebradas tributarias; al N se referencia la Laguna Colorada (cartografía MSAVI, ubicación referencial). Acceso a pie ~880 m (track Garmin 66sr). Señal/operador celular, tiempos de viaje, alojamiento y autorización de Ronda quedan por registrar/confirmar; el acceso a la inspección técnica se realizó sin restricción.</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M36B2</t>
        </is>
      </c>
    </row>
    <row r="7">
      <c r="A7" s="53" t="inlineStr">
        <is>
          <t>Hechos declarados por fuente</t>
        </is>
      </c>
    </row>
    <row r="8">
      <c r="A8" s="54" t="inlineStr">
        <is>
          <t>Fuente</t>
        </is>
      </c>
      <c r="B8" s="54" t="inlineStr">
        <is>
          <t>Hechos</t>
        </is>
      </c>
    </row>
    <row r="9">
      <c r="A9" s="55" t="inlineStr">
        <is>
          <t>Dato de campo</t>
        </is>
      </c>
      <c r="B9" s="55" t="n">
        <v>63</v>
      </c>
    </row>
    <row r="10">
      <c r="A10" s="56" t="inlineStr">
        <is>
          <t>Gabinete (GIS / teledetección)</t>
        </is>
      </c>
      <c r="B10" s="56" t="n">
        <v>22</v>
      </c>
    </row>
    <row r="11">
      <c r="A11" s="55" t="inlineStr">
        <is>
          <t>Fuente oficial</t>
        </is>
      </c>
      <c r="B11" s="55" t="n">
        <v>14</v>
      </c>
    </row>
    <row r="26">
      <c r="A26" s="53" t="inlineStr">
        <is>
          <t>Estado del cruce entre fuentes</t>
        </is>
      </c>
    </row>
    <row r="27">
      <c r="A27" s="54" t="inlineStr">
        <is>
          <t>Estado</t>
        </is>
      </c>
      <c r="B27" s="54" t="inlineStr">
        <is>
          <t>Hechos</t>
        </is>
      </c>
    </row>
    <row r="28">
      <c r="A28" s="55" t="inlineStr">
        <is>
          <t>CONFORME</t>
        </is>
      </c>
      <c r="B28" s="55" t="n">
        <v>98</v>
      </c>
    </row>
    <row r="29">
      <c r="A29" s="56" t="inlineStr">
        <is>
          <t>COMPLEMENTADO</t>
        </is>
      </c>
      <c r="B29" s="56" t="n">
        <v>0</v>
      </c>
    </row>
    <row r="30">
      <c r="A30" s="55" t="inlineStr">
        <is>
          <t>ACTUALIZADO</t>
        </is>
      </c>
      <c r="B30" s="55" t="n">
        <v>1</v>
      </c>
    </row>
    <row r="31">
      <c r="A31" s="56" t="inlineStr">
        <is>
          <t>DISCREPANTE</t>
        </is>
      </c>
      <c r="B31" s="56" t="n">
        <v>0</v>
      </c>
    </row>
    <row r="32">
      <c r="A32" s="55" t="inlineStr">
        <is>
          <t>PENDIENTE</t>
        </is>
      </c>
      <c r="B32" s="55" t="n">
        <v>15</v>
      </c>
    </row>
    <row r="45">
      <c r="A45" s="53" t="inlineStr">
        <is>
          <t>Cobertura por estrato — campo (%)</t>
        </is>
      </c>
    </row>
    <row r="46">
      <c r="A46" s="54" t="inlineStr">
        <is>
          <t>Estrato</t>
        </is>
      </c>
      <c r="B46" s="54" t="inlineStr">
        <is>
          <t>% del área</t>
        </is>
      </c>
    </row>
    <row r="47">
      <c r="A47" s="55" t="inlineStr">
        <is>
          <t>Dosel</t>
        </is>
      </c>
      <c r="B47" s="60" t="n">
        <v>25</v>
      </c>
    </row>
    <row r="48">
      <c r="A48" s="56" t="inlineStr">
        <is>
          <t>Arbustiva</t>
        </is>
      </c>
      <c r="B48" s="61" t="n">
        <v>25</v>
      </c>
    </row>
    <row r="49">
      <c r="A49" s="55" t="inlineStr">
        <is>
          <t>Herbácea</t>
        </is>
      </c>
      <c r="B49" s="60" t="n">
        <v>35</v>
      </c>
    </row>
    <row r="50">
      <c r="A50" s="56" t="inlineStr">
        <is>
          <t>Hojarasca</t>
        </is>
      </c>
      <c r="B50" s="61" t="n">
        <v>10</v>
      </c>
    </row>
    <row r="51">
      <c r="A51" s="55" t="inlineStr">
        <is>
          <t>Suelo desnudo</t>
        </is>
      </c>
      <c r="B51" s="60" t="n">
        <v>15</v>
      </c>
    </row>
    <row r="64">
      <c r="A64" s="53" t="inlineStr">
        <is>
          <t>Causas activas de degradación (F-DT-04)</t>
        </is>
      </c>
    </row>
    <row r="65">
      <c r="A65" s="54" t="inlineStr">
        <is>
          <t>Causa</t>
        </is>
      </c>
      <c r="B65" s="54" t="inlineStr">
        <is>
          <t>Intensidad (1 ligera - 4 muy fuerte)</t>
        </is>
      </c>
    </row>
    <row r="66">
      <c r="A66" s="55" t="inlineStr">
        <is>
          <t>Cambio de uso a agricultura</t>
        </is>
      </c>
      <c r="B66" s="55" t="n">
        <v>2</v>
      </c>
    </row>
    <row r="67">
      <c r="A67" s="56" t="inlineStr">
        <is>
          <t>Cambio de uso a pastoreo</t>
        </is>
      </c>
      <c r="B67" s="56" t="n">
        <v>2</v>
      </c>
    </row>
    <row r="68">
      <c r="A68" s="55" t="inlineStr">
        <is>
          <t>Sobrepastoreo (caprino/vacuno)</t>
        </is>
      </c>
      <c r="B68" s="55" t="n">
        <v>2</v>
      </c>
    </row>
    <row r="69">
      <c r="A69" s="56" t="inlineStr">
        <is>
          <t>Tala para leña</t>
        </is>
      </c>
      <c r="B69" s="56" t="n">
        <v>2</v>
      </c>
    </row>
    <row r="70">
      <c r="A70" s="55" t="inlineStr">
        <is>
          <t>Erosión natural severa</t>
        </is>
      </c>
      <c r="B70" s="55" t="n">
        <v>1</v>
      </c>
    </row>
    <row r="71">
      <c r="A71" s="56" t="inlineStr">
        <is>
          <t>Expansión urbana / vial</t>
        </is>
      </c>
      <c r="B71" s="56" t="n">
        <v>1</v>
      </c>
    </row>
    <row r="83">
      <c r="A83" s="53" t="inlineStr">
        <is>
          <t>Control de consistencia por calificación</t>
        </is>
      </c>
    </row>
    <row r="84">
      <c r="A84" s="54" t="inlineStr">
        <is>
          <t>Calificación</t>
        </is>
      </c>
      <c r="B84" s="54" t="inlineStr">
        <is>
          <t>Verificaciones</t>
        </is>
      </c>
    </row>
    <row r="85">
      <c r="A85" s="55" t="inlineStr">
        <is>
          <t>SUSTANTIVA</t>
        </is>
      </c>
      <c r="B85" s="55" t="n">
        <v>5</v>
      </c>
    </row>
    <row r="86">
      <c r="A86" s="56" t="inlineStr">
        <is>
          <t>NO SUSTANTIVA</t>
        </is>
      </c>
      <c r="B86" s="56" t="n">
        <v>3</v>
      </c>
    </row>
    <row r="87">
      <c r="A87" s="55" t="inlineStr">
        <is>
          <t>CORREGIDO</t>
        </is>
      </c>
      <c r="B87" s="55" t="n">
        <v>1</v>
      </c>
    </row>
    <row r="88">
      <c r="A88" s="56" t="inlineStr">
        <is>
          <t>CONFORME</t>
        </is>
      </c>
      <c r="B88" s="56"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M36B2 — IN Piura</dc:title>
  <dc:subject>Diagnóstico Territorial por bloque de intervención</dc:subject>
  <dcterms:created xsi:type="dcterms:W3CDTF">2026-09-08T03:39:58Z</dcterms:created>
  <dcterms:modified xsi:type="dcterms:W3CDTF">2026-09-11T21:26:36Z</dcterms:modified>
</cp:coreProperties>
</file>