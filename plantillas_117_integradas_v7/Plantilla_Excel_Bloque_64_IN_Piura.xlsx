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64</t>
        </is>
      </c>
    </row>
    <row r="6" ht="24" customHeight="1">
      <c r="A6" s="4" t="inlineStr">
        <is>
          <t>Diagnóstico Territorial — Plantilla DT Campo Check Validada V5 | Sistema de referencia: UTM WGS 84 Zona 17S (EPSG:32717) · Integrado con la ficha de campo F-DT vigente (Plantilla_DT_Campo_Bloque64_IN_Piura.xlsx) — V7 - resumen V6 + campo F-DT integrado</t>
        </is>
      </c>
    </row>
    <row r="7"/>
    <row r="8" ht="18" customHeight="1">
      <c r="A8" s="5" t="inlineStr">
        <is>
          <t>1. IDENTIFICACIÓN Y LOCALIZACIÓN</t>
        </is>
      </c>
    </row>
    <row r="9">
      <c r="A9" s="6" t="inlineStr">
        <is>
          <t>Código del bloque</t>
        </is>
      </c>
      <c r="B9" s="7" t="inlineStr">
        <is>
          <t>64</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Huancabamba</t>
        </is>
      </c>
      <c r="C12" s="6" t="inlineStr">
        <is>
          <t>Capital distrital</t>
        </is>
      </c>
      <c r="D12" s="7" t="inlineStr">
        <is>
          <t>Huancabamba</t>
        </is>
      </c>
      <c r="E12" s="8" t="n"/>
      <c r="F12" s="8" t="n"/>
    </row>
    <row r="13">
      <c r="A13" s="6" t="inlineStr">
        <is>
          <t>Centro poblado asociado</t>
        </is>
      </c>
      <c r="B13" s="7" t="inlineStr">
        <is>
          <t>Pariamarca centro</t>
        </is>
      </c>
      <c r="C13" s="6" t="inlineStr">
        <is>
          <t>Comunidad campesina</t>
        </is>
      </c>
      <c r="D13" s="50" t="inlineStr">
        <is>
          <t>No consignada</t>
        </is>
      </c>
      <c r="E13" s="8" t="n"/>
      <c r="F13" s="8" t="n"/>
    </row>
    <row r="14">
      <c r="A14" s="6" t="inlineStr">
        <is>
          <t>Superficie de catálogo (V5/V6), ha</t>
        </is>
      </c>
      <c r="B14" s="7" t="n">
        <v>35.77</v>
      </c>
      <c r="C14" s="6" t="inlineStr">
        <is>
          <t>Fuente de superficie</t>
        </is>
      </c>
      <c r="D14" s="7" t="inlineStr">
        <is>
          <t>Catálogo maestro Bloques V5/V6</t>
        </is>
      </c>
      <c r="E14" s="8" t="n"/>
      <c r="F14" s="8" t="n"/>
    </row>
    <row r="15">
      <c r="A15" s="6" t="inlineStr">
        <is>
          <t>Centroide UTM ESTE (m)</t>
        </is>
      </c>
      <c r="B15" s="7" t="n">
        <v>657819</v>
      </c>
      <c r="C15" s="6" t="inlineStr">
        <is>
          <t>Centroide UTM NORTE (m)</t>
        </is>
      </c>
      <c r="D15" s="7" t="n">
        <v>9428541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2412</v>
      </c>
      <c r="C19" s="6" t="inlineStr">
        <is>
          <t>Altitud máxima (msnm)</t>
        </is>
      </c>
      <c r="D19" s="7" t="n">
        <v>2651</v>
      </c>
      <c r="E19" s="8" t="n"/>
      <c r="F19" s="8" t="n"/>
    </row>
    <row r="20">
      <c r="A20" s="6" t="inlineStr">
        <is>
          <t>Amplitud altitudinal (m)</t>
        </is>
      </c>
      <c r="B20" s="7" t="n">
        <v>239</v>
      </c>
      <c r="C20" s="6" t="inlineStr">
        <is>
          <t>Piso altitudinal dominante</t>
        </is>
      </c>
      <c r="D20" s="7" t="inlineStr">
        <is>
          <t>2500-3000 m (Suni)</t>
        </is>
      </c>
      <c r="E20" s="8" t="n"/>
      <c r="F20" s="8" t="n"/>
    </row>
    <row r="21">
      <c r="A21" s="6" t="inlineStr">
        <is>
          <t>Pendiente promedio (%)</t>
        </is>
      </c>
      <c r="B21" s="7" t="n">
        <v>28.18</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0.5254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(78.22 %)</t>
        </is>
      </c>
      <c r="E29" s="8" t="n"/>
      <c r="F29" s="8" t="n"/>
    </row>
    <row r="30">
      <c r="A30" s="6" t="inlineStr">
        <is>
          <t>Superficie clasificada NDVI 2025 (ha)</t>
        </is>
      </c>
      <c r="B30" s="7" t="n">
        <v>35.78</v>
      </c>
      <c r="C30" s="6" t="inlineStr">
        <is>
          <t>Desviación frente al catálogo (%)</t>
        </is>
      </c>
      <c r="D30" s="7" t="n">
        <v>0.03</v>
      </c>
      <c r="E30" s="8" t="n"/>
      <c r="F30" s="8" t="n"/>
    </row>
    <row r="31">
      <c r="A31" s="6" t="inlineStr">
        <is>
          <t>Superficie clasificada MSAVI 2024 (ha)</t>
        </is>
      </c>
      <c r="B31" s="38" t="n">
        <v>35.774</v>
      </c>
      <c r="C31" s="6" t="inlineStr">
        <is>
          <t>Desviación MSAVI frente al catálogo (%)</t>
        </is>
      </c>
      <c r="D31" s="39" t="n">
        <v>0.01</v>
      </c>
      <c r="E31" s="8" t="n"/>
      <c r="F31" s="8" t="n"/>
    </row>
    <row r="32">
      <c r="A32" s="6" t="inlineStr">
        <is>
          <t>Superficie bajo umbral MSAVI 0.4976 (ha)</t>
        </is>
      </c>
      <c r="B32" s="38" t="n">
        <v>14.84</v>
      </c>
      <c r="C32" s="6" t="inlineStr">
        <is>
          <t>% del bloque bajo umbral (brecha espectral)</t>
        </is>
      </c>
      <c r="D32" s="39" t="n">
        <v>41.48</v>
      </c>
      <c r="E32" s="8" t="n"/>
      <c r="F32" s="8" t="n"/>
    </row>
    <row r="33">
      <c r="A33" s="6" t="inlineStr">
        <is>
          <t>Clase DN dominante (MSAVI 2024)</t>
        </is>
      </c>
      <c r="B33" s="7" t="inlineStr">
        <is>
          <t>DN 4 · 0.4976 - 0.6139 (Vigor moderado)</t>
        </is>
      </c>
      <c r="C33" s="6" t="inlineStr">
        <is>
          <t>N.° de polígonos MSAVI del bloque</t>
        </is>
      </c>
      <c r="D33" s="40" t="n">
        <v>144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 ha de ecosistema remanente (de 35.77 ha del bloque)</t>
        </is>
      </c>
      <c r="E36" s="8" t="n"/>
      <c r="F36" s="8" t="n"/>
    </row>
    <row r="37">
      <c r="A37" s="6" t="inlineStr">
        <is>
          <t>Estado de conservación</t>
        </is>
      </c>
      <c r="B37" s="7" t="inlineStr">
        <is>
          <t>Alterado (intervención marcada)</t>
        </is>
      </c>
      <c r="C37" s="6" t="inlineStr">
        <is>
          <t>Uso actual dominante del suelo</t>
        </is>
      </c>
      <c r="D37" s="50" t="inlineStr">
        <is>
          <t>Agricultura secano</t>
        </is>
      </c>
      <c r="E37" s="8" t="n"/>
      <c r="F37" s="8" t="n"/>
    </row>
    <row r="38">
      <c r="A38" s="6" t="inlineStr">
        <is>
          <t>Tipo de cobertura dominante</t>
        </is>
      </c>
      <c r="B38" s="7" t="inlineStr">
        <is>
          <t>Cultivo anual</t>
        </is>
      </c>
      <c r="C38" s="6" t="inlineStr">
        <is>
          <t>Cobertura vegetal total — campo (%)</t>
        </is>
      </c>
      <c r="D38" s="7" t="n">
        <v>17.5</v>
      </c>
      <c r="E38" s="8" t="n"/>
      <c r="F38" s="8" t="n"/>
    </row>
    <row r="39">
      <c r="A39" s="6" t="inlineStr">
        <is>
          <t>Suelo desnudo — campo (%)</t>
        </is>
      </c>
      <c r="B39" s="7" t="n">
        <v>5</v>
      </c>
      <c r="C39" s="6" t="inlineStr">
        <is>
          <t>Regeneración natural</t>
        </is>
      </c>
      <c r="D39" s="7" t="inlineStr">
        <is>
          <t>Ausente</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2026-08-11</t>
        </is>
      </c>
      <c r="E44" s="8" t="n"/>
      <c r="F44" s="8" t="n"/>
    </row>
    <row r="45">
      <c r="A45" s="6" t="inlineStr">
        <is>
          <t>Hora de registro</t>
        </is>
      </c>
      <c r="B45" s="7" t="inlineStr">
        <is>
          <t>11:54 h</t>
        </is>
      </c>
      <c r="C45" s="6" t="inlineStr">
        <is>
          <t>Correlativo de ficha</t>
        </is>
      </c>
      <c r="D45" s="7" t="inlineStr">
        <is>
          <t>F-DT-01/B64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Por determinar (no consignado en campo)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8.141400000000001</v>
      </c>
      <c r="C10" s="19">
        <f>ROUND(B10/$B$15*100,2)</f>
        <v/>
      </c>
      <c r="D10" s="11" t="inlineStr">
        <is>
          <t>Vigor alto</t>
        </is>
      </c>
      <c r="E10" s="11" t="inlineStr">
        <is>
          <t>Sobre umbral</t>
        </is>
      </c>
    </row>
    <row r="11">
      <c r="A11" s="12" t="inlineStr">
        <is>
          <t>0.4976 - 0.6139 · DN 4</t>
        </is>
      </c>
      <c r="B11" s="32" t="n">
        <v>12.792</v>
      </c>
      <c r="C11" s="31">
        <f>ROUND(B11/$B$15*100,2)</f>
        <v/>
      </c>
      <c r="D11" s="13" t="inlineStr">
        <is>
          <t>Vigor moderado</t>
        </is>
      </c>
      <c r="E11" s="13" t="inlineStr">
        <is>
          <t>Sobre umbral</t>
        </is>
      </c>
    </row>
    <row r="12">
      <c r="A12" s="7" t="inlineStr">
        <is>
          <t>0.3813 - 0.4976 · DN 3</t>
        </is>
      </c>
      <c r="B12" s="18" t="n">
        <v>12.1259</v>
      </c>
      <c r="C12" s="19">
        <f>ROUND(B12/$B$15*100,2)</f>
        <v/>
      </c>
      <c r="D12" s="11" t="inlineStr">
        <is>
          <t>Vigor bajo</t>
        </is>
      </c>
      <c r="E12" s="11" t="inlineStr">
        <is>
          <t>BAJO umbral 0.4976</t>
        </is>
      </c>
    </row>
    <row r="13">
      <c r="A13" s="14" t="inlineStr">
        <is>
          <t>0.2650 - 0.3813 · DN 2</t>
        </is>
      </c>
      <c r="B13" s="20" t="n">
        <v>2.7145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144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35.77</v>
      </c>
      <c r="C18" s="49" t="inlineStr">
        <is>
          <t>—</t>
        </is>
      </c>
      <c r="D18" s="46" t="inlineStr">
        <is>
          <t>Desviación planimétrica frente al catálogo</t>
        </is>
      </c>
      <c r="E18" s="46" t="inlineStr">
        <is>
          <t>+0.01 %</t>
        </is>
      </c>
    </row>
    <row r="19">
      <c r="A19" s="16" t="inlineStr">
        <is>
          <t>MSAVI 2024 — MEDIA DEL BLOQUE</t>
        </is>
      </c>
      <c r="B19" s="17" t="n">
        <v>0.525448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144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(0.5254)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27.9881</v>
      </c>
      <c r="C25" s="19" t="n">
        <v>78.22</v>
      </c>
      <c r="D25" s="11" t="inlineStr">
        <is>
          <t>Dosel continuo, matorral denso o mosaico agroforestal</t>
        </is>
      </c>
      <c r="E25" s="11" t="inlineStr"/>
    </row>
    <row r="26">
      <c r="A26" s="14" t="inlineStr">
        <is>
          <t>Vegetación mediana</t>
        </is>
      </c>
      <c r="B26" s="20" t="n">
        <v>7.6043</v>
      </c>
      <c r="C26" s="21" t="n">
        <v>21.25</v>
      </c>
      <c r="D26" s="15" t="inlineStr">
        <is>
          <t>Pastizal cultivado, matorral ralo, parcelas agrícolas</t>
        </is>
      </c>
      <c r="E26" s="15" t="inlineStr"/>
    </row>
    <row r="27">
      <c r="A27" s="7" t="inlineStr">
        <is>
          <t>Vegetación ligera</t>
        </is>
      </c>
      <c r="B27" s="18" t="n">
        <v>0.188</v>
      </c>
      <c r="C27" s="19" t="n">
        <v>0.53</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35.77</v>
      </c>
      <c r="C29" s="25" t="inlineStr">
        <is>
          <t>—</t>
        </is>
      </c>
      <c r="D29" s="25" t="inlineStr">
        <is>
          <t>Desviación planimétrica frente al catálogo</t>
        </is>
      </c>
      <c r="E29" s="25" t="inlineStr">
        <is>
          <t>+0.03 %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17.5 % frente a un 78.22 % del polígono clasificado como «Vegetación alta» por el NDVI 2025; la observación de campo corresponde a una parcela o recorrido puntual y no es estadísticamente representativa de las 35.770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64</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657816</v>
      </c>
      <c r="D10" s="26" t="n">
        <v>9428952</v>
      </c>
      <c r="E10" s="11" t="n">
        <v>411</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Estacional</t>
        </is>
      </c>
      <c r="G11" s="15" t="inlineStr">
        <is>
          <t>Quebrada Q9591, colectora</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657819</v>
      </c>
      <c r="C14" s="6" t="inlineStr">
        <is>
          <t>Centroide del bloque — UTM NORTE (m)</t>
        </is>
      </c>
      <c r="D14" s="7" t="n">
        <v>9428541</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6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inferior al 60%, que se incrementa al ascender. Afloramientos rocosos con piedras pequeñas a medianas dispersas. La ladera es empleada para siembra de maíz y papa; en el área cercana existen rodales de plantaciones de Pinus patula. El suelo presenta erosión eólica. Dominancia de pajonal y especies achaparradas. Se desarrollan actividades de pastoreo de ganado vacuno y existe un cerco de alambre. En áreas próximas hay rodales remanentes de Polylepis y evidencia de deslizamientos. NOTA DE GABINETE (SESDI): la ficha consigna «altitud de 3 000 msnm aprox.» y una altitud GPS de 2 669 msnm, mientras el MDE sitúa el bloque entre 2 412 y 2 651 msnm y la descripción del paisaje entre 2 400 y 2 600 msnm. EL PUNTO DE MUESTREO (657 816 E / 9 428 952 N) SE LOCALIZA 146 m AL NORTE DEL LÍMITE DEL POLÍGONO y a 411 m del centroide catastral: la caracterización de campo debe considerarse de ENTORNO INMEDIATO y no de interior del bloque (D-01).</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64</t>
        </is>
      </c>
    </row>
    <row r="6" ht="24" customHeight="1">
      <c r="A6" s="4" t="inlineStr">
        <is>
          <t>Distrito de Huancabamba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1" t="inlineStr">
        <is>
          <t>1171 – 1769</t>
        </is>
      </c>
      <c r="E10" s="11" t="n">
        <v>598</v>
      </c>
      <c r="F10" s="11" t="n">
        <v>31.55</v>
      </c>
      <c r="G10" s="18" t="n">
        <v>0.6403</v>
      </c>
      <c r="H10" s="19" t="n">
        <v>94.08</v>
      </c>
      <c r="I10" s="19" t="n">
        <v>8.84</v>
      </c>
    </row>
    <row r="11">
      <c r="A11" s="14" t="inlineStr">
        <is>
          <t>M30B5</t>
        </is>
      </c>
      <c r="B11" s="29" t="n">
        <v>90.90000000000001</v>
      </c>
      <c r="C11" s="21" t="n">
        <v>16.46</v>
      </c>
      <c r="D11" s="15" t="inlineStr">
        <is>
          <t>1782 – 2307</t>
        </is>
      </c>
      <c r="E11" s="15" t="n">
        <v>525</v>
      </c>
      <c r="F11" s="15" t="n">
        <v>21.23</v>
      </c>
      <c r="G11" s="20" t="n">
        <v>0.5564</v>
      </c>
      <c r="H11" s="21" t="n">
        <v>79.45999999999999</v>
      </c>
      <c r="I11" s="21" t="n">
        <v>33.03</v>
      </c>
    </row>
    <row r="12">
      <c r="A12" s="7" t="inlineStr">
        <is>
          <t>21</t>
        </is>
      </c>
      <c r="B12" s="28" t="n">
        <v>84.23</v>
      </c>
      <c r="C12" s="19" t="n">
        <v>15.25</v>
      </c>
      <c r="D12" s="11" t="inlineStr">
        <is>
          <t>1353 – 2004</t>
        </is>
      </c>
      <c r="E12" s="11" t="n">
        <v>651</v>
      </c>
      <c r="F12" s="11" t="n">
        <v>31.71</v>
      </c>
      <c r="G12" s="18" t="n">
        <v>0.6201</v>
      </c>
      <c r="H12" s="19" t="n">
        <v>89.39</v>
      </c>
      <c r="I12" s="19" t="n">
        <v>5.17</v>
      </c>
    </row>
    <row r="13">
      <c r="A13" s="14" t="inlineStr">
        <is>
          <t>28</t>
        </is>
      </c>
      <c r="B13" s="29" t="n">
        <v>52.97</v>
      </c>
      <c r="C13" s="21" t="n">
        <v>9.59</v>
      </c>
      <c r="D13" s="15" t="inlineStr">
        <is>
          <t>1462 – 1856</t>
        </is>
      </c>
      <c r="E13" s="15" t="n">
        <v>394</v>
      </c>
      <c r="F13" s="15" t="n">
        <v>30.36</v>
      </c>
      <c r="G13" s="20" t="n">
        <v>0.6394</v>
      </c>
      <c r="H13" s="21" t="n">
        <v>96.64</v>
      </c>
      <c r="I13" s="21" t="n">
        <v>0.93</v>
      </c>
    </row>
    <row r="14">
      <c r="A14" s="7" t="inlineStr">
        <is>
          <t>26</t>
        </is>
      </c>
      <c r="B14" s="28" t="n">
        <v>46.96</v>
      </c>
      <c r="C14" s="19" t="n">
        <v>8.5</v>
      </c>
      <c r="D14" s="11" t="inlineStr">
        <is>
          <t>1260 – 1855</t>
        </is>
      </c>
      <c r="E14" s="11" t="n">
        <v>595</v>
      </c>
      <c r="F14" s="11" t="n">
        <v>32.26</v>
      </c>
      <c r="G14" s="18" t="n">
        <v>0.6733</v>
      </c>
      <c r="H14" s="19" t="n">
        <v>97.29000000000001</v>
      </c>
      <c r="I14" s="19" t="n">
        <v>2.35</v>
      </c>
    </row>
    <row r="15">
      <c r="A15" s="14" t="inlineStr">
        <is>
          <t>60</t>
        </is>
      </c>
      <c r="B15" s="29" t="n">
        <v>40.13</v>
      </c>
      <c r="C15" s="21" t="n">
        <v>7.27</v>
      </c>
      <c r="D15" s="15" t="inlineStr">
        <is>
          <t>1638 – 2073</t>
        </is>
      </c>
      <c r="E15" s="15" t="n">
        <v>435</v>
      </c>
      <c r="F15" s="15" t="n">
        <v>32.67</v>
      </c>
      <c r="G15" s="20" t="n">
        <v>0.6745</v>
      </c>
      <c r="H15" s="21" t="n">
        <v>99.90000000000001</v>
      </c>
      <c r="I15" s="21" t="n">
        <v>0.61</v>
      </c>
    </row>
    <row r="16">
      <c r="A16" s="12" t="inlineStr">
        <is>
          <t>► 64</t>
        </is>
      </c>
      <c r="B16" s="30" t="n">
        <v>35.77</v>
      </c>
      <c r="C16" s="31" t="n">
        <v>6.48</v>
      </c>
      <c r="D16" s="13" t="inlineStr">
        <is>
          <t>2412 – 2651</t>
        </is>
      </c>
      <c r="E16" s="13" t="n">
        <v>239</v>
      </c>
      <c r="F16" s="13" t="n">
        <v>28.18</v>
      </c>
      <c r="G16" s="32" t="n">
        <v>0.5254</v>
      </c>
      <c r="H16" s="31" t="n">
        <v>78.22</v>
      </c>
      <c r="I16" s="31" t="n">
        <v>41.48</v>
      </c>
    </row>
    <row r="17">
      <c r="A17" s="14" t="inlineStr">
        <is>
          <t>37</t>
        </is>
      </c>
      <c r="B17" s="29" t="n">
        <v>35.49</v>
      </c>
      <c r="C17" s="21" t="n">
        <v>6.43</v>
      </c>
      <c r="D17" s="15" t="inlineStr">
        <is>
          <t>1184 – 1455</t>
        </is>
      </c>
      <c r="E17" s="15" t="n">
        <v>271</v>
      </c>
      <c r="F17" s="15" t="n">
        <v>23.59</v>
      </c>
      <c r="G17" s="20" t="n">
        <v>0.6588000000000001</v>
      </c>
      <c r="H17" s="21" t="n">
        <v>98.02</v>
      </c>
      <c r="I17" s="21" t="n">
        <v>1.92</v>
      </c>
    </row>
    <row r="18">
      <c r="A18" s="7" t="inlineStr">
        <is>
          <t>30</t>
        </is>
      </c>
      <c r="B18" s="28" t="n">
        <v>34.87</v>
      </c>
      <c r="C18" s="19" t="n">
        <v>6.31</v>
      </c>
      <c r="D18" s="11" t="inlineStr">
        <is>
          <t>1216 – 1541</t>
        </is>
      </c>
      <c r="E18" s="11" t="n">
        <v>325</v>
      </c>
      <c r="F18" s="11" t="n">
        <v>27.91</v>
      </c>
      <c r="G18" s="18" t="n">
        <v>0.6637999999999999</v>
      </c>
      <c r="H18" s="19" t="n">
        <v>99.38</v>
      </c>
      <c r="I18" s="19" t="n">
        <v>1.31</v>
      </c>
    </row>
    <row r="19">
      <c r="A19" s="14" t="inlineStr">
        <is>
          <t>40</t>
        </is>
      </c>
      <c r="B19" s="29" t="n">
        <v>28.52</v>
      </c>
      <c r="C19" s="21" t="n">
        <v>5.16</v>
      </c>
      <c r="D19" s="15" t="inlineStr">
        <is>
          <t>1407 – 1656</t>
        </is>
      </c>
      <c r="E19" s="15" t="n">
        <v>249</v>
      </c>
      <c r="F19" s="15"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64 ocupa el puesto 7 de 10 por superficie dentro de la microcuenca C1081-Q9591 (6.48 % de las 552.18 ha preliminares de la microcuenca). Su pendiente promedio (28.18 %, clase «25-50% (Mod. escarpado)») es la 4.ª más baja de 10 y se sitúa por debajo del promedio de la microcuenca (29.09 %). Su MSAVI 2024 (0.5254) es el 10.º de 10 y queda por debajo del promedio local (0.6292). Amplitud altitudinal del bloque: 239 m (2412–2651 msnm). El cuadro conserva todos los bloques catalogados en la microcuenca, incluidos los descartados en el tamizaje, para referencia del conjunto. Los bloques sin ficha DT figuran con sus parámetros de gabinete. BRECHA ESPECTRAL. El 41.48 % de la superficie del bloque (14.840 ha de 35.774 ha) se sitúa bajo el umbral MSAVI 0.4976, por encima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64</t>
        </is>
      </c>
    </row>
    <row r="6">
      <c r="A6" s="52" t="inlineStr">
        <is>
          <t>Cruce de la ficha de campo F-DT vigente con la ficha de resumen de gabinete y el catálogo maestro. Integración 2026-09-11 20:22:31.</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411.0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(2669 msnm) cae dentro del rango altitudinal del bloque (2412 - 2651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(35.780 ha) se desvía 0.03 % de la superficie de catálogo (35.77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(35.774 ha) se desvía 0.01 % de la superficie de catálogo (35.77 ha).</t>
        </is>
      </c>
      <c r="D14" s="57" t="inlineStr">
        <is>
          <t>CONFORME</t>
        </is>
      </c>
      <c r="E14" s="57" t="inlineStr">
        <is>
          <t>Sin acción: la segmentación valida la geometría del bloque.</t>
        </is>
      </c>
    </row>
    <row r="15">
      <c r="A15" s="56" t="inlineStr">
        <is>
          <t>G-07</t>
        </is>
      </c>
      <c r="B15" s="56" t="inlineStr">
        <is>
          <t>Brecha espectral MSAVI</t>
        </is>
      </c>
      <c r="C15" s="56" t="inlineStr">
        <is>
          <t>El 41.48 % del bloque queda bajo el umbral 0.4976; superficie de brecha 14.84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35.77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(0.5254)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Uso actual dominante del suelo</t>
        </is>
      </c>
      <c r="C19" s="56" t="inlineStr">
        <is>
          <t>El libro de resumen V6 consignaba «Agricultura de secano»; la ficha de campo vigente declara «Agricultura secano».</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92.9 % de los campos esperados).</t>
        </is>
      </c>
      <c r="D20" s="57" t="inlineStr">
        <is>
          <t>CONFORME</t>
        </is>
      </c>
      <c r="E20" s="57" t="inlineStr">
        <is>
          <t>Sin acción.</t>
        </is>
      </c>
    </row>
    <row r="21">
      <c r="A21" s="56" t="inlineStr">
        <is>
          <t>F-02</t>
        </is>
      </c>
      <c r="B21" s="56" t="inlineStr">
        <is>
          <t>Cobertura de la integración</t>
        </is>
      </c>
      <c r="C21" s="56" t="inlineStr">
        <is>
          <t>Se declararon 97 de 114 hechos integrados (85.1 %); 17 quedan sin dato en ninguna fuente.</t>
        </is>
      </c>
      <c r="D21" s="56" t="inlineStr">
        <is>
          <t>CONFORME</t>
        </is>
      </c>
      <c r="E21" s="56" t="inlineStr">
        <is>
          <t>Sin acción.</t>
        </is>
      </c>
    </row>
    <row r="22">
      <c r="A22" s="57" t="inlineStr">
        <is>
          <t>H-01</t>
        </is>
      </c>
      <c r="B22" s="57" t="inlineStr">
        <is>
          <t>Cobertura vegetal total</t>
        </is>
      </c>
      <c r="C22" s="57" t="inlineStr">
        <is>
          <t>La ficha DT estima 17.5 % de cobertura vegetal en campo; el NDVI mediana 2025 clasifica 100.00 %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H-02</t>
        </is>
      </c>
      <c r="B23" s="56" t="inlineStr">
        <is>
          <t>Elenco florístico</t>
        </is>
      </c>
      <c r="C23" s="56" t="inlineStr">
        <is>
          <t>La ficha registra 4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H-03</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H-04</t>
        </is>
      </c>
      <c r="B25" s="56" t="inlineStr">
        <is>
          <t>Centro poblado asociado</t>
        </is>
      </c>
      <c r="C25" s="56" t="inlineStr">
        <is>
          <t>La ficha DT declara «Pariamarca centro»; el cruce INEI-Bloques V5 identifica 1 centro(s) poblado(s) en el bloque: PARIAMARCA CENTRO</t>
        </is>
      </c>
      <c r="D25" s="56" t="inlineStr">
        <is>
          <t>CONFORME</t>
        </is>
      </c>
      <c r="E25" s="56" t="inlineStr">
        <is>
          <t>Se conserva el registro de campo como referencia y se adopta el listado INEI para el diagnóstico social y el cálculo de población beneficiaria. (Verificación heredada de la ficha de resumen V6.)</t>
        </is>
      </c>
    </row>
    <row r="26">
      <c r="A26" s="57" t="inlineStr">
        <is>
          <t>H-05</t>
        </is>
      </c>
      <c r="B26" s="57" t="inlineStr">
        <is>
          <t>F-DT-01</t>
        </is>
      </c>
      <c r="C26" s="57" t="inlineStr">
        <is>
          <t>D-01: el punto de muestreo (657 816 E / 9 428 952 N) se localiza 146 m al NORTE del límite del polígono y a 411 m del centroide</t>
        </is>
      </c>
      <c r="D26" s="57" t="inlineStr">
        <is>
          <t>SUSTANTIVA</t>
        </is>
      </c>
      <c r="E26" s="57" t="inlineStr">
        <is>
          <t>La caracterización de campo corresponde al entorno inmediato, no al interior del bloque (Verificación heredada de la ficha de resumen V6.)</t>
        </is>
      </c>
    </row>
    <row r="27">
      <c r="A27" s="56" t="inlineStr">
        <is>
          <t>H-06</t>
        </is>
      </c>
      <c r="B27" s="56" t="inlineStr">
        <is>
          <t>F-DT-02</t>
        </is>
      </c>
      <c r="C27" s="56" t="inlineStr">
        <is>
          <t>FICHA NO LEVANTADA EN CAMPO; valores derivados de F-DT-01 y F-DT-04</t>
        </is>
      </c>
      <c r="D27" s="56" t="inlineStr">
        <is>
          <t>SUSTANTIVA</t>
        </is>
      </c>
      <c r="E27" s="56" t="inlineStr">
        <is>
          <t>Levantamiento de suelo y procesos erosivos pendiente (Verificación heredada de la ficha de resumen V6.)</t>
        </is>
      </c>
    </row>
    <row r="28">
      <c r="A28" s="57" t="inlineStr">
        <is>
          <t>H-07</t>
        </is>
      </c>
      <c r="B28" s="57" t="inlineStr">
        <is>
          <t>F-DT-03</t>
        </is>
      </c>
      <c r="C28" s="57" t="inlineStr">
        <is>
          <t>D-02 / D-03: registro florístico de 3 especies nativas frente al mínimo de 15 exigido; especies clave en blanco</t>
        </is>
      </c>
      <c r="D28" s="57" t="inlineStr">
        <is>
          <t>SUSTANTIVA</t>
        </is>
      </c>
      <c r="E28" s="57" t="inlineStr">
        <is>
          <t>Colecta y determinación botánica formal pendientes, en particular del género Polylepis (Verificación heredada de la ficha de resumen V6.)</t>
        </is>
      </c>
    </row>
    <row r="29">
      <c r="A29" s="56" t="inlineStr">
        <is>
          <t>H-08</t>
        </is>
      </c>
      <c r="B29" s="56" t="inlineStr">
        <is>
          <t>F-DT-04</t>
        </is>
      </c>
      <c r="C29" s="56" t="inlineStr">
        <is>
          <t>D-04: urgencia declarada «Media» pese a remociones en masa activas y 41.71% de la superficie bajo el umbral MSAVI 0.4976</t>
        </is>
      </c>
      <c r="D29" s="56" t="inlineStr">
        <is>
          <t>SUSTANTIVA</t>
        </is>
      </c>
      <c r="E29" s="56" t="inlineStr">
        <is>
          <t>Se propone elevar la urgencia a ALTA (Verificación heredada de la ficha de resumen V6.)</t>
        </is>
      </c>
    </row>
    <row r="30">
      <c r="A30" s="57" t="inlineStr">
        <is>
          <t>H-09</t>
        </is>
      </c>
      <c r="B30" s="57" t="inlineStr">
        <is>
          <t>F-DT-05</t>
        </is>
      </c>
      <c r="C30" s="57" t="inlineStr">
        <is>
          <t>FICHA NO LEVANTADA EN CAMPO; datos de acceso tomados de la narrativa del entregable</t>
        </is>
      </c>
      <c r="D30" s="57" t="inlineStr">
        <is>
          <t>SUSTANTIVA</t>
        </is>
      </c>
      <c r="E30" s="57" t="inlineStr">
        <is>
          <t>Recursos hídricos y accesibilidad pendientes de levantamiento (Verificación heredada de la ficha de resumen V6.)</t>
        </is>
      </c>
    </row>
    <row r="32">
      <c r="A32" s="58" t="inlineStr">
        <is>
          <t>RESUMEN</t>
        </is>
      </c>
      <c r="B32" s="59" t="inlineStr">
        <is>
          <t>22 verificaciones</t>
        </is>
      </c>
      <c r="C32" s="59" t="inlineStr">
        <is>
          <t>SUSTANTIVA: 8 · NO SUSTANTIVA: 1 · CORREGIDO: 1 · CONFORME: 12</t>
        </is>
      </c>
    </row>
    <row r="34">
      <c r="A34"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64</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Uso actual dominante del suelo</t>
        </is>
      </c>
      <c r="C9" s="56" t="inlineStr">
        <is>
          <t>Agricultura de secano</t>
        </is>
      </c>
      <c r="D9" s="56" t="inlineStr">
        <is>
          <t>Agricultura secano</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657816</t>
        </is>
      </c>
      <c r="D13" s="56" t="inlineStr">
        <is>
          <t>m</t>
        </is>
      </c>
    </row>
    <row r="14">
      <c r="A14" s="57" t="inlineStr">
        <is>
          <t>1. Identificación y localización</t>
        </is>
      </c>
      <c r="B14" s="57" t="inlineStr">
        <is>
          <t>UTM NORTE del punto de muestreo (m)</t>
        </is>
      </c>
      <c r="C14" s="57" t="inlineStr">
        <is>
          <t>9428952</t>
        </is>
      </c>
      <c r="D14" s="57" t="inlineStr">
        <is>
          <t>m</t>
        </is>
      </c>
    </row>
    <row r="15">
      <c r="A15" s="56" t="inlineStr">
        <is>
          <t>2. Parámetros físicos del terreno</t>
        </is>
      </c>
      <c r="B15" s="56" t="inlineStr">
        <is>
          <t>Altitud GPS del punto de muestreo (msnm)</t>
        </is>
      </c>
      <c r="C15" s="56" t="inlineStr">
        <is>
          <t>2669</t>
        </is>
      </c>
      <c r="D15" s="56" t="inlineStr">
        <is>
          <t>msnm</t>
        </is>
      </c>
    </row>
    <row r="16">
      <c r="A16" s="57" t="inlineStr">
        <is>
          <t>2. Parámetros físicos del terreno</t>
        </is>
      </c>
      <c r="B16" s="57" t="inlineStr">
        <is>
          <t>Piso altitudinal del punto de muestreo</t>
        </is>
      </c>
      <c r="C16" s="57" t="inlineStr">
        <is>
          <t>2500-3000 m (Suni)</t>
        </is>
      </c>
      <c r="D16" s="57" t="inlineStr"/>
    </row>
    <row r="17">
      <c r="A17" s="56" t="inlineStr">
        <is>
          <t>2. Parámetros físicos del terreno</t>
        </is>
      </c>
      <c r="B17" s="56" t="inlineStr">
        <is>
          <t>Paisaje dominante descrito en campo</t>
        </is>
      </c>
      <c r="C17" s="56" t="inlineStr">
        <is>
          <t>Sistema de laderas convexo-cóncavas tributarias de la quebrada Q9591 (microcuenca C1081), con altitudes de 2 400 a 2 650 msnm y desniveles internos. Paisaje de montaña dominado por matorral andino y zona agrícola.</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Sí</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Longitud total de cárcavas (m)</t>
        </is>
      </c>
      <c r="C22" s="57" t="inlineStr">
        <is>
          <t>0</t>
        </is>
      </c>
      <c r="D22" s="57" t="inlineStr">
        <is>
          <t>m</t>
        </is>
      </c>
    </row>
    <row r="23">
      <c r="A23" s="56" t="inlineStr">
        <is>
          <t>5. Ecosistema, cobertura y flora (F-DT-03)</t>
        </is>
      </c>
      <c r="B23" s="56" t="inlineStr">
        <is>
          <t>Cobertura del dosel (%)</t>
        </is>
      </c>
      <c r="C23" s="56" t="inlineStr">
        <is>
          <t>5</t>
        </is>
      </c>
      <c r="D23" s="56" t="inlineStr">
        <is>
          <t>%</t>
        </is>
      </c>
    </row>
    <row r="24">
      <c r="A24" s="57" t="inlineStr">
        <is>
          <t>5. Ecosistema, cobertura y flora (F-DT-03)</t>
        </is>
      </c>
      <c r="B24" s="57" t="inlineStr">
        <is>
          <t>Cobertura arbustiva (%)</t>
        </is>
      </c>
      <c r="C24" s="57" t="inlineStr">
        <is>
          <t>2.5</t>
        </is>
      </c>
      <c r="D24" s="57" t="inlineStr">
        <is>
          <t>%</t>
        </is>
      </c>
    </row>
    <row r="25">
      <c r="A25" s="56" t="inlineStr">
        <is>
          <t>5. Ecosistema, cobertura y flora (F-DT-03)</t>
        </is>
      </c>
      <c r="B25" s="56" t="inlineStr">
        <is>
          <t>Cobertura herbácea (%)</t>
        </is>
      </c>
      <c r="C25" s="56" t="inlineStr">
        <is>
          <t>10</t>
        </is>
      </c>
      <c r="D25" s="56" t="inlineStr">
        <is>
          <t>%</t>
        </is>
      </c>
    </row>
    <row r="26">
      <c r="A26" s="57" t="inlineStr">
        <is>
          <t>5. Ecosistema, cobertura y flora (F-DT-03)</t>
        </is>
      </c>
      <c r="B26" s="57" t="inlineStr">
        <is>
          <t>Cobertura de hojarasca (%)</t>
        </is>
      </c>
      <c r="C26" s="57" t="inlineStr">
        <is>
          <t>0</t>
        </is>
      </c>
      <c r="D26" s="57" t="inlineStr">
        <is>
          <t>%</t>
        </is>
      </c>
    </row>
    <row r="27">
      <c r="A27" s="56" t="inlineStr">
        <is>
          <t>5. Ecosistema, cobertura y flora (F-DT-03)</t>
        </is>
      </c>
      <c r="B27" s="56" t="inlineStr">
        <is>
          <t>Altura del estrato dominante (m)</t>
        </is>
      </c>
      <c r="C27" s="56" t="inlineStr">
        <is>
          <t>4</t>
        </is>
      </c>
      <c r="D27" s="56" t="inlineStr">
        <is>
          <t>m</t>
        </is>
      </c>
    </row>
    <row r="28">
      <c r="A28" s="57" t="inlineStr">
        <is>
          <t>5. Ecosistema, cobertura y flora (F-DT-03)</t>
        </is>
      </c>
      <c r="B28" s="57" t="inlineStr">
        <is>
          <t>Altura máxima registrada (m)</t>
        </is>
      </c>
      <c r="C28" s="57" t="inlineStr">
        <is>
          <t>5</t>
        </is>
      </c>
      <c r="D28" s="57" t="inlineStr">
        <is>
          <t>m</t>
        </is>
      </c>
    </row>
    <row r="29">
      <c r="A29" s="56" t="inlineStr">
        <is>
          <t>5. Ecosistema, cobertura y flora (F-DT-03)</t>
        </is>
      </c>
      <c r="B29" s="56" t="inlineStr">
        <is>
          <t>DAP promedio (cm)</t>
        </is>
      </c>
      <c r="C29" s="56" t="inlineStr">
        <is>
          <t>20</t>
        </is>
      </c>
      <c r="D29" s="56" t="inlineStr">
        <is>
          <t>cm</t>
        </is>
      </c>
    </row>
    <row r="30">
      <c r="A30" s="57" t="inlineStr">
        <is>
          <t>5. Ecosistema, cobertura y flora (F-DT-03)</t>
        </is>
      </c>
      <c r="B30" s="57" t="inlineStr">
        <is>
          <t>Presencia de epífitas</t>
        </is>
      </c>
      <c r="C30" s="57" t="inlineStr">
        <is>
          <t>No</t>
        </is>
      </c>
      <c r="D30" s="57" t="inlineStr"/>
    </row>
    <row r="31">
      <c r="A31" s="56" t="inlineStr">
        <is>
          <t>5. Ecosistema, cobertura y flora (F-DT-03)</t>
        </is>
      </c>
      <c r="B31" s="56" t="inlineStr">
        <is>
          <t>Fenología dominante</t>
        </is>
      </c>
      <c r="C31" s="56" t="inlineStr">
        <is>
          <t>Vegetativo</t>
        </is>
      </c>
      <c r="D31" s="56" t="inlineStr"/>
    </row>
    <row r="32">
      <c r="A32" s="57" t="inlineStr">
        <is>
          <t>5. Ecosistema, cobertura y flora (F-DT-03)</t>
        </is>
      </c>
      <c r="B32" s="57" t="inlineStr">
        <is>
          <t>Dimensiones de la parcela (m)</t>
        </is>
      </c>
      <c r="C32" s="57" t="inlineStr">
        <is>
          <t>No consignadas</t>
        </is>
      </c>
      <c r="D32" s="57" t="inlineStr"/>
    </row>
    <row r="33">
      <c r="A33" s="56" t="inlineStr">
        <is>
          <t>5. Ecosistema, cobertura y flora (F-DT-03)</t>
        </is>
      </c>
      <c r="B33" s="56" t="inlineStr">
        <is>
          <t>Pendiente de la parcela (%)</t>
        </is>
      </c>
      <c r="C33" s="56" t="inlineStr">
        <is>
          <t>28.18</t>
        </is>
      </c>
      <c r="D33" s="56" t="inlineStr">
        <is>
          <t>%</t>
        </is>
      </c>
    </row>
    <row r="34">
      <c r="A34" s="57" t="inlineStr">
        <is>
          <t>6. Degradación, causas y urgencia (F-DT-04)</t>
        </is>
      </c>
      <c r="B34" s="57" t="inlineStr">
        <is>
          <t>Causas directas de la degradación</t>
        </is>
      </c>
      <c r="C34" s="57" t="inlineStr">
        <is>
          <t>El ecosistema ha perdido cobertura vegetal como consecuencia del cambio de uso de suelo, que ha dado paso a parcelas destinadas al cultivo de papa y pastos para forraje, así como a áreas de pastoreo para ganado vacuno.</t>
        </is>
      </c>
      <c r="D34" s="57" t="inlineStr"/>
    </row>
    <row r="35">
      <c r="A35" s="56" t="inlineStr">
        <is>
          <t>6. Degradación, causas y urgencia (F-DT-04)</t>
        </is>
      </c>
      <c r="B35" s="56" t="inlineStr">
        <is>
          <t>N.° de causas activas en la matriz F-DT-04</t>
        </is>
      </c>
      <c r="C35" s="56" t="inlineStr">
        <is>
          <t>3</t>
        </is>
      </c>
      <c r="D35" s="56" t="inlineStr"/>
    </row>
    <row r="36">
      <c r="A36" s="57" t="inlineStr">
        <is>
          <t>7. Hidrología, acceso y logística (F-DT-05)</t>
        </is>
      </c>
      <c r="B36" s="57" t="inlineStr">
        <is>
          <t>Escorrentía concentrada</t>
        </is>
      </c>
      <c r="C36" s="57" t="inlineStr">
        <is>
          <t>Sí</t>
        </is>
      </c>
      <c r="D36" s="57" t="inlineStr"/>
    </row>
    <row r="37">
      <c r="A37" s="56" t="inlineStr">
        <is>
          <t>7. Hidrología, acceso y logística (F-DT-05)</t>
        </is>
      </c>
      <c r="B37" s="56" t="inlineStr">
        <is>
          <t>Fuentes de agua inventariadas</t>
        </is>
      </c>
      <c r="C37" s="56" t="inlineStr">
        <is>
          <t>1</t>
        </is>
      </c>
      <c r="D37" s="56" t="inlineStr"/>
    </row>
    <row r="38">
      <c r="A38" s="57" t="inlineStr">
        <is>
          <t>7. Hidrología, acceso y logística (F-DT-05)</t>
        </is>
      </c>
      <c r="B38" s="57" t="inlineStr">
        <is>
          <t>Vía principal de acceso</t>
        </is>
      </c>
      <c r="C38" s="57" t="inlineStr">
        <is>
          <t>Vía afirmada Los Ranchos – Huancabamba</t>
        </is>
      </c>
      <c r="D38" s="57" t="inlineStr"/>
    </row>
    <row r="39">
      <c r="A39" s="56" t="inlineStr">
        <is>
          <t>7. Hidrología, acceso y logística (F-DT-05)</t>
        </is>
      </c>
      <c r="B39" s="56" t="inlineStr">
        <is>
          <t>Tipo de vía del tramo final</t>
        </is>
      </c>
      <c r="C39" s="56" t="inlineStr">
        <is>
          <t>Vecinal afirmada</t>
        </is>
      </c>
      <c r="D39" s="56" t="inlineStr"/>
    </row>
    <row r="40">
      <c r="A40" s="57" t="inlineStr">
        <is>
          <t>7. Hidrología, acceso y logística (F-DT-05)</t>
        </is>
      </c>
      <c r="B40" s="57" t="inlineStr">
        <is>
          <t>Transitabilidad en época seca</t>
        </is>
      </c>
      <c r="C40" s="57" t="inlineStr">
        <is>
          <t>Medio</t>
        </is>
      </c>
      <c r="D40" s="57" t="inlineStr"/>
    </row>
    <row r="41">
      <c r="A41" s="56" t="inlineStr">
        <is>
          <t>7. Hidrología, acceso y logística (F-DT-05)</t>
        </is>
      </c>
      <c r="B41" s="56" t="inlineStr">
        <is>
          <t>Transitabilidad en época lluviosa</t>
        </is>
      </c>
      <c r="C41" s="56" t="inlineStr">
        <is>
          <t>Bajo</t>
        </is>
      </c>
      <c r="D41" s="56" t="inlineStr"/>
    </row>
    <row r="42">
      <c r="A42" s="57" t="inlineStr">
        <is>
          <t>7. Hidrología, acceso y logística (F-DT-05)</t>
        </is>
      </c>
      <c r="B42" s="57" t="inlineStr">
        <is>
          <t>Operador con cobertura</t>
        </is>
      </c>
      <c r="C42" s="57" t="inlineStr">
        <is>
          <t>Otro</t>
        </is>
      </c>
      <c r="D42" s="57" t="inlineStr"/>
    </row>
    <row r="43">
      <c r="A43" s="56" t="inlineStr">
        <is>
          <t>7. Hidrología, acceso y logística (F-DT-05)</t>
        </is>
      </c>
      <c r="B43" s="56" t="inlineStr">
        <is>
          <t>Requiere coordinación con ronda / comunidad</t>
        </is>
      </c>
      <c r="C43" s="56" t="inlineStr">
        <is>
          <t>Sí</t>
        </is>
      </c>
      <c r="D43" s="56" t="inlineStr"/>
    </row>
    <row r="45">
      <c r="A45" s="54" t="inlineStr">
        <is>
          <t>C. PROCEDENCIA DE LOS HECHOS DECLARADOS</t>
        </is>
      </c>
    </row>
    <row r="46">
      <c r="A46" s="55" t="inlineStr">
        <is>
          <t>Fuente</t>
        </is>
      </c>
      <c r="B46" s="55" t="inlineStr">
        <is>
          <t>Hechos</t>
        </is>
      </c>
      <c r="C46" s="55" t="inlineStr">
        <is>
          <t>Alcance de la fuente</t>
        </is>
      </c>
    </row>
    <row r="47">
      <c r="A47" s="56" t="inlineStr">
        <is>
          <t>Dato de campo</t>
        </is>
      </c>
      <c r="B47" s="56" t="n">
        <v>60</v>
      </c>
      <c r="C47" s="56" t="inlineStr">
        <is>
          <t>Verificación en campo. Fichas F-DT-01 a F-DT-05 de la Plantilla DT Campo Check Validada V5, suscritas por el evaluador.</t>
        </is>
      </c>
    </row>
    <row r="48">
      <c r="A48" s="57" t="inlineStr">
        <is>
          <t>Gabinete (GIS / teledetección)</t>
        </is>
      </c>
      <c r="B48" s="57" t="n">
        <v>23</v>
      </c>
      <c r="C48" s="57" t="inlineStr">
        <is>
          <t>Gabinete. Estadística zonal sobre el MDE y compuestos Sentinel-2 (NDVI mediana 2025, MSAVI 2024 por clase DN).</t>
        </is>
      </c>
    </row>
    <row r="49">
      <c r="A49" s="56" t="inlineStr">
        <is>
          <t>Fuente oficial</t>
        </is>
      </c>
      <c r="B49" s="56" t="n">
        <v>14</v>
      </c>
      <c r="C49" s="56" t="inlineStr">
        <is>
          <t>Fuente oficial. Catálogo maestro Bloques V5/V6, división política INEI y codificación de microcuencas de la ANA.</t>
        </is>
      </c>
    </row>
    <row r="51">
      <c r="A51" s="54" t="inlineStr">
        <is>
          <t>D. ESTADO DEL CRUCE ENTRE FUENTES</t>
        </is>
      </c>
    </row>
    <row r="52">
      <c r="A52" s="55" t="inlineStr">
        <is>
          <t>Estado</t>
        </is>
      </c>
      <c r="B52" s="55" t="inlineStr">
        <is>
          <t>Hechos</t>
        </is>
      </c>
      <c r="C52" s="55" t="inlineStr">
        <is>
          <t>Significado</t>
        </is>
      </c>
    </row>
    <row r="53">
      <c r="A53" s="56" t="inlineStr">
        <is>
          <t>CONFORME</t>
        </is>
      </c>
      <c r="B53" s="56" t="n">
        <v>95</v>
      </c>
      <c r="C53" s="56" t="inlineStr">
        <is>
          <t>Las dos fuentes declaran lo mismo, o solo la fuente que manda sobre el hecho lo declara.</t>
        </is>
      </c>
    </row>
    <row r="54">
      <c r="A54" s="57" t="inlineStr">
        <is>
          <t>COMPLEMENTADO</t>
        </is>
      </c>
      <c r="B54" s="57" t="n">
        <v>1</v>
      </c>
      <c r="C54" s="57" t="inlineStr">
        <is>
          <t>Solo una de las fuentes lo declara y se adopta ese valor.</t>
        </is>
      </c>
    </row>
    <row r="55">
      <c r="A55" s="56" t="inlineStr">
        <is>
          <t>ACTUALIZADO</t>
        </is>
      </c>
      <c r="B55" s="56" t="n">
        <v>1</v>
      </c>
      <c r="C55" s="56" t="inlineStr">
        <is>
          <t>La verificación de campo vigente corrige lo que traía el libro de resumen.</t>
        </is>
      </c>
    </row>
    <row r="56">
      <c r="A56" s="57" t="inlineStr">
        <is>
          <t>DISCREPANTE</t>
        </is>
      </c>
      <c r="B56" s="57" t="n">
        <v>0</v>
      </c>
      <c r="C56" s="57" t="inlineStr">
        <is>
          <t>Las fuentes se contradicen; prevalece la que manda sobre el hecho y la otra queda declarada.</t>
        </is>
      </c>
    </row>
    <row r="57">
      <c r="A57" s="56" t="inlineStr">
        <is>
          <t>PENDIENTE</t>
        </is>
      </c>
      <c r="B57" s="56" t="n">
        <v>17</v>
      </c>
      <c r="C57"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64</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Polylepis</t>
        </is>
      </c>
      <c r="C13" s="56" t="inlineStr">
        <is>
          <t>Polylepis sp. (por confirmar)</t>
        </is>
      </c>
      <c r="D13" s="56" t="inlineStr">
        <is>
          <t>Rosaceae</t>
        </is>
      </c>
      <c r="E13" s="56" t="inlineStr">
        <is>
          <t>Arbóreo bajo (4-8 m)</t>
        </is>
      </c>
      <c r="F13" s="56" t="inlineStr">
        <is>
          <t>Nativa</t>
        </is>
      </c>
      <c r="G13" s="56" t="inlineStr">
        <is>
          <t>Frecuente (5-20%)</t>
        </is>
      </c>
      <c r="H13" s="61" t="n">
        <v>20</v>
      </c>
      <c r="I13" s="62" t="n">
        <v>4</v>
      </c>
    </row>
    <row r="14">
      <c r="A14" s="57" t="inlineStr">
        <is>
          <t>2</t>
        </is>
      </c>
      <c r="B14" s="57" t="inlineStr">
        <is>
          <t>Chachacomo</t>
        </is>
      </c>
      <c r="C14" s="57" t="inlineStr">
        <is>
          <t>Escallonia sp. (por confirmar)</t>
        </is>
      </c>
      <c r="D14" s="57" t="inlineStr">
        <is>
          <t>Escalloniaceae</t>
        </is>
      </c>
      <c r="E14" s="57" t="inlineStr">
        <is>
          <t>Arbóreo bajo (4-8 m)</t>
        </is>
      </c>
      <c r="F14" s="57" t="inlineStr">
        <is>
          <t>Nativa</t>
        </is>
      </c>
      <c r="G14" s="57" t="inlineStr">
        <is>
          <t>Frecuente (5-20%)</t>
        </is>
      </c>
      <c r="H14" s="63" t="n">
        <v>15</v>
      </c>
      <c r="I14" s="64" t="n">
        <v>5</v>
      </c>
    </row>
    <row r="15">
      <c r="A15" s="56" t="inlineStr">
        <is>
          <t>3</t>
        </is>
      </c>
      <c r="B15" s="56" t="inlineStr">
        <is>
          <t>Roble</t>
        </is>
      </c>
      <c r="C15" s="56" t="inlineStr">
        <is>
          <t>Por determinar</t>
        </is>
      </c>
      <c r="D15" s="56" t="inlineStr">
        <is>
          <t>Por determinar</t>
        </is>
      </c>
      <c r="E15" s="56" t="inlineStr">
        <is>
          <t>Arbóreo medio (8-15 m)</t>
        </is>
      </c>
      <c r="F15" s="56" t="inlineStr">
        <is>
          <t>Nativa</t>
        </is>
      </c>
      <c r="G15" s="56" t="inlineStr">
        <is>
          <t>Ocasional (1-5%)</t>
        </is>
      </c>
      <c r="H15" s="61" t="n">
        <v>25</v>
      </c>
      <c r="I15" s="61" t="n">
        <v>10</v>
      </c>
    </row>
    <row r="16">
      <c r="A16" s="57" t="inlineStr">
        <is>
          <t>4</t>
        </is>
      </c>
      <c r="B16" s="57" t="inlineStr">
        <is>
          <t>Pino</t>
        </is>
      </c>
      <c r="C16" s="57" t="inlineStr">
        <is>
          <t>Pinus patula</t>
        </is>
      </c>
      <c r="D16" s="57" t="inlineStr"/>
      <c r="E16" s="57" t="inlineStr">
        <is>
          <t>Arbóreo medio (8-15 m)</t>
        </is>
      </c>
      <c r="F16" s="57" t="inlineStr">
        <is>
          <t>Introducida</t>
        </is>
      </c>
      <c r="G16" s="57" t="inlineStr">
        <is>
          <t>Frecuente (5-20%)</t>
        </is>
      </c>
      <c r="H16" s="63" t="n">
        <v>20</v>
      </c>
      <c r="I16" s="64" t="n">
        <v>8</v>
      </c>
    </row>
    <row r="18">
      <c r="A18" s="54" t="inlineStr">
        <is>
          <t>F-DT-03 · ESPECIES CLAVE GEORREFERENCIADAS</t>
        </is>
      </c>
    </row>
    <row r="19">
      <c r="A19" s="55" t="inlineStr">
        <is>
          <t>N.o</t>
        </is>
      </c>
      <c r="B19" s="55" t="inlineStr">
        <is>
          <t>Especie</t>
        </is>
      </c>
      <c r="C19" s="55" t="inlineStr">
        <is>
          <t>Categoría</t>
        </is>
      </c>
      <c r="D19" s="55" t="inlineStr">
        <is>
          <t>Estado UICN</t>
        </is>
      </c>
      <c r="E19" s="55" t="inlineStr">
        <is>
          <t>UTM ESTE</t>
        </is>
      </c>
      <c r="F19" s="55" t="inlineStr">
        <is>
          <t>UTM NORTE</t>
        </is>
      </c>
      <c r="G19" s="55" t="inlineStr">
        <is>
          <t>N.° individuos</t>
        </is>
      </c>
      <c r="H19" s="55" t="inlineStr">
        <is>
          <t>Observación</t>
        </is>
      </c>
    </row>
    <row r="21">
      <c r="A21" s="54" t="inlineStr">
        <is>
          <t>F-DT-04 · MATRIZ DE CAUSAS DE DEGRADACIÓN</t>
        </is>
      </c>
    </row>
    <row r="22">
      <c r="A22" s="55" t="inlineStr">
        <is>
          <t>N.o</t>
        </is>
      </c>
      <c r="B22" s="55" t="inlineStr">
        <is>
          <t>Causa</t>
        </is>
      </c>
      <c r="C22" s="55" t="inlineStr">
        <is>
          <t>Presencia</t>
        </is>
      </c>
      <c r="D22" s="55" t="inlineStr">
        <is>
          <t>Intensidad</t>
        </is>
      </c>
      <c r="E22" s="55" t="inlineStr">
        <is>
          <t>Extensión</t>
        </is>
      </c>
      <c r="F22" s="55" t="inlineStr">
        <is>
          <t>Antigüedad</t>
        </is>
      </c>
      <c r="G22" s="55" t="inlineStr">
        <is>
          <t>Evidencia</t>
        </is>
      </c>
    </row>
    <row r="23">
      <c r="A23" s="56" t="inlineStr">
        <is>
          <t>1</t>
        </is>
      </c>
      <c r="B23" s="56" t="inlineStr">
        <is>
          <t>Sobrepastoreo (caprino/vacuno)</t>
        </is>
      </c>
      <c r="C23" s="56" t="inlineStr">
        <is>
          <t>Sí</t>
        </is>
      </c>
      <c r="D23" s="56" t="inlineStr">
        <is>
          <t>Moderada</t>
        </is>
      </c>
      <c r="E23" s="56" t="inlineStr">
        <is>
          <t>30</t>
        </is>
      </c>
      <c r="F23" s="56" t="inlineStr">
        <is>
          <t>30</t>
        </is>
      </c>
      <c r="G23" s="56" t="inlineStr">
        <is>
          <t>Se evidenció presencia de ganado vacuno por la zona.</t>
        </is>
      </c>
    </row>
    <row r="24">
      <c r="A24" s="57" t="inlineStr">
        <is>
          <t>2</t>
        </is>
      </c>
      <c r="B24" s="57" t="inlineStr">
        <is>
          <t>Tala para leña</t>
        </is>
      </c>
      <c r="C24" s="57" t="inlineStr"/>
      <c r="D24" s="57" t="inlineStr"/>
      <c r="E24" s="57" t="inlineStr"/>
      <c r="F24" s="57" t="inlineStr"/>
      <c r="G24" s="57" t="inlineStr"/>
    </row>
    <row r="25">
      <c r="A25" s="56" t="inlineStr">
        <is>
          <t>3</t>
        </is>
      </c>
      <c r="B25" s="56" t="inlineStr">
        <is>
          <t>Tala para carbón</t>
        </is>
      </c>
      <c r="C25" s="56" t="inlineStr"/>
      <c r="D25" s="56" t="inlineStr"/>
      <c r="E25" s="56" t="inlineStr"/>
      <c r="F25" s="56" t="inlineStr"/>
      <c r="G25" s="56" t="inlineStr"/>
    </row>
    <row r="26">
      <c r="A26" s="57" t="inlineStr">
        <is>
          <t>4</t>
        </is>
      </c>
      <c r="B26" s="57" t="inlineStr">
        <is>
          <t>Tala para madera</t>
        </is>
      </c>
      <c r="C26" s="57" t="inlineStr"/>
      <c r="D26" s="57" t="inlineStr"/>
      <c r="E26" s="57" t="inlineStr"/>
      <c r="F26" s="57" t="inlineStr"/>
      <c r="G26" s="57" t="inlineStr"/>
    </row>
    <row r="27">
      <c r="A27" s="56" t="inlineStr">
        <is>
          <t>5</t>
        </is>
      </c>
      <c r="B27" s="56" t="inlineStr">
        <is>
          <t>Quema (renovación de pastos)</t>
        </is>
      </c>
      <c r="C27" s="56" t="inlineStr"/>
      <c r="D27" s="56" t="inlineStr"/>
      <c r="E27" s="56" t="inlineStr"/>
      <c r="F27" s="56" t="inlineStr"/>
      <c r="G27" s="56" t="inlineStr"/>
    </row>
    <row r="28">
      <c r="A28" s="57" t="inlineStr">
        <is>
          <t>6</t>
        </is>
      </c>
      <c r="B28" s="57" t="inlineStr">
        <is>
          <t>Quema accidental / Incendio</t>
        </is>
      </c>
      <c r="C28" s="57" t="inlineStr"/>
      <c r="D28" s="57" t="inlineStr"/>
      <c r="E28" s="57" t="inlineStr"/>
      <c r="F28" s="57" t="inlineStr"/>
      <c r="G28" s="57" t="inlineStr"/>
    </row>
    <row r="29">
      <c r="A29" s="56" t="inlineStr">
        <is>
          <t>7</t>
        </is>
      </c>
      <c r="B29" s="56" t="inlineStr">
        <is>
          <t>Cambio de uso a agricultura</t>
        </is>
      </c>
      <c r="C29" s="56" t="inlineStr">
        <is>
          <t>Sí</t>
        </is>
      </c>
      <c r="D29" s="56" t="inlineStr">
        <is>
          <t>Moderada</t>
        </is>
      </c>
      <c r="E29" s="56" t="inlineStr">
        <is>
          <t>50</t>
        </is>
      </c>
      <c r="F29" s="56" t="inlineStr">
        <is>
          <t>30</t>
        </is>
      </c>
      <c r="G29" s="56" t="inlineStr">
        <is>
          <t>Se evidenciaron parcelas de cultivos de papa y pastos.</t>
        </is>
      </c>
    </row>
    <row r="30">
      <c r="A30" s="57" t="inlineStr">
        <is>
          <t>8</t>
        </is>
      </c>
      <c r="B30" s="57" t="inlineStr">
        <is>
          <t>Cambio de uso a pastoreo</t>
        </is>
      </c>
      <c r="C30" s="57" t="inlineStr">
        <is>
          <t>Sí</t>
        </is>
      </c>
      <c r="D30" s="57" t="inlineStr">
        <is>
          <t>Moderada</t>
        </is>
      </c>
      <c r="E30" s="57" t="inlineStr">
        <is>
          <t>30</t>
        </is>
      </c>
      <c r="F30" s="57" t="inlineStr">
        <is>
          <t>30</t>
        </is>
      </c>
      <c r="G30" s="57" t="inlineStr">
        <is>
          <t>Se evidenció presencia de ganado vacuno por la zona.</t>
        </is>
      </c>
    </row>
    <row r="31">
      <c r="A31" s="56" t="inlineStr">
        <is>
          <t>9</t>
        </is>
      </c>
      <c r="B31" s="56" t="inlineStr">
        <is>
          <t>Expansión urbana / vial</t>
        </is>
      </c>
      <c r="C31" s="56" t="inlineStr"/>
      <c r="D31" s="56" t="inlineStr"/>
      <c r="E31" s="56" t="inlineStr"/>
      <c r="F31" s="56" t="inlineStr"/>
      <c r="G31" s="56" t="inlineStr"/>
    </row>
    <row r="32">
      <c r="A32" s="57" t="inlineStr">
        <is>
          <t>10</t>
        </is>
      </c>
      <c r="B32" s="57" t="inlineStr">
        <is>
          <t>Minería informal</t>
        </is>
      </c>
      <c r="C32" s="57" t="inlineStr"/>
      <c r="D32" s="57" t="inlineStr"/>
      <c r="E32" s="57" t="inlineStr"/>
      <c r="F32" s="57" t="inlineStr"/>
      <c r="G32" s="57" t="inlineStr"/>
    </row>
    <row r="33">
      <c r="A33" s="56" t="inlineStr">
        <is>
          <t>11</t>
        </is>
      </c>
      <c r="B33" s="56" t="inlineStr">
        <is>
          <t>Extracción de áridos (cauces)</t>
        </is>
      </c>
      <c r="C33" s="56" t="inlineStr"/>
      <c r="D33" s="56" t="inlineStr"/>
      <c r="E33" s="56" t="inlineStr"/>
      <c r="F33" s="56" t="inlineStr"/>
      <c r="G33" s="56" t="inlineStr"/>
    </row>
    <row r="34">
      <c r="A34" s="57" t="inlineStr">
        <is>
          <t>12</t>
        </is>
      </c>
      <c r="B34" s="57" t="inlineStr">
        <is>
          <t>Especies invasoras</t>
        </is>
      </c>
      <c r="C34" s="57" t="inlineStr"/>
      <c r="D34" s="57" t="inlineStr"/>
      <c r="E34" s="57" t="inlineStr"/>
      <c r="F34" s="57" t="inlineStr"/>
      <c r="G34" s="57" t="inlineStr"/>
    </row>
    <row r="35">
      <c r="A35" s="56" t="inlineStr">
        <is>
          <t>13</t>
        </is>
      </c>
      <c r="B35" s="56" t="inlineStr">
        <is>
          <t>Erosión natural severa</t>
        </is>
      </c>
      <c r="C35" s="56" t="inlineStr"/>
      <c r="D35" s="56" t="inlineStr"/>
      <c r="E35" s="56" t="inlineStr"/>
      <c r="F35" s="56" t="inlineStr"/>
      <c r="G35" s="56" t="inlineStr"/>
    </row>
    <row r="36">
      <c r="A36" s="57" t="inlineStr">
        <is>
          <t>14</t>
        </is>
      </c>
      <c r="B36" s="57" t="inlineStr">
        <is>
          <t>Sequía prolongada / CC</t>
        </is>
      </c>
      <c r="C36" s="57" t="inlineStr"/>
      <c r="D36" s="57" t="inlineStr"/>
      <c r="E36" s="57" t="inlineStr"/>
      <c r="F36" s="57" t="inlineStr"/>
      <c r="G36" s="57" t="inlineStr"/>
    </row>
    <row r="37">
      <c r="A37" s="56" t="inlineStr">
        <is>
          <t>15</t>
        </is>
      </c>
      <c r="B37" s="56" t="inlineStr">
        <is>
          <t>Plagas o enfermedades forestales</t>
        </is>
      </c>
      <c r="C37" s="56" t="inlineStr"/>
      <c r="D37" s="56" t="inlineStr"/>
      <c r="E37" s="56" t="inlineStr"/>
      <c r="F37" s="56" t="inlineStr"/>
      <c r="G37" s="56" t="inlineStr"/>
    </row>
    <row r="38">
      <c r="A38" s="57" t="inlineStr">
        <is>
          <t>16</t>
        </is>
      </c>
      <c r="B38" s="57" t="inlineStr">
        <is>
          <t>Otro</t>
        </is>
      </c>
      <c r="C38" s="57" t="inlineStr"/>
      <c r="D38" s="57" t="inlineStr"/>
      <c r="E38" s="57" t="inlineStr"/>
      <c r="F38" s="57" t="inlineStr"/>
      <c r="G38" s="57" t="inlineStr"/>
    </row>
    <row r="40">
      <c r="A40" s="54" t="inlineStr">
        <is>
          <t>F-DT-04 · INDICADORES CUANTITATIVOS</t>
        </is>
      </c>
    </row>
    <row r="41">
      <c r="A41" s="55" t="inlineStr">
        <is>
          <t>N.o</t>
        </is>
      </c>
      <c r="B41" s="55" t="inlineStr">
        <is>
          <t>Indicador</t>
        </is>
      </c>
      <c r="C41" s="55" t="inlineStr">
        <is>
          <t>Unidad</t>
        </is>
      </c>
      <c r="D41" s="55" t="inlineStr">
        <is>
          <t>Valor</t>
        </is>
      </c>
      <c r="E41" s="55" t="inlineStr">
        <is>
          <t>Fuente</t>
        </is>
      </c>
      <c r="F41" s="55" t="inlineStr">
        <is>
          <t>Umbral</t>
        </is>
      </c>
      <c r="G41" s="55" t="inlineStr">
        <is>
          <t>Nivel</t>
        </is>
      </c>
    </row>
    <row r="42">
      <c r="A42" s="56" t="inlineStr">
        <is>
          <t>1</t>
        </is>
      </c>
      <c r="B42" s="56" t="inlineStr">
        <is>
          <t>Cobertura vegetal total</t>
        </is>
      </c>
      <c r="C42" s="56" t="inlineStr">
        <is>
          <t>%</t>
        </is>
      </c>
      <c r="D42" s="56" t="inlineStr">
        <is>
          <t>5</t>
        </is>
      </c>
      <c r="E42" s="56" t="inlineStr">
        <is>
          <t>Campo + MSAVI 2024 (gabinete)</t>
        </is>
      </c>
      <c r="F42" s="56" t="inlineStr">
        <is>
          <t>&gt;60% bueno; 30-60% medio; &lt;30% malo</t>
        </is>
      </c>
      <c r="G42" s="56" t="inlineStr">
        <is>
          <t>Bajo</t>
        </is>
      </c>
    </row>
    <row r="43">
      <c r="A43" s="57" t="inlineStr">
        <is>
          <t>2</t>
        </is>
      </c>
      <c r="B43" s="57" t="inlineStr">
        <is>
          <t>Porcentaje de suelo desnudo</t>
        </is>
      </c>
      <c r="C43" s="57" t="inlineStr">
        <is>
          <t>%</t>
        </is>
      </c>
      <c r="D43" s="57" t="inlineStr">
        <is>
          <t>5</t>
        </is>
      </c>
      <c r="E43" s="57" t="inlineStr">
        <is>
          <t>Estimación visual de campo</t>
        </is>
      </c>
      <c r="F43" s="57" t="inlineStr">
        <is>
          <t>&lt;10% bueno; 10-30% medio; &gt;30% malo</t>
        </is>
      </c>
      <c r="G43" s="57" t="inlineStr">
        <is>
          <t>Medio</t>
        </is>
      </c>
    </row>
    <row r="44">
      <c r="A44" s="56" t="inlineStr">
        <is>
          <t>3</t>
        </is>
      </c>
      <c r="B44" s="56" t="inlineStr">
        <is>
          <t>Densidad de cárcavas</t>
        </is>
      </c>
      <c r="C44" s="56" t="inlineStr">
        <is>
          <t>N°/ha</t>
        </is>
      </c>
      <c r="D44" s="56" t="inlineStr">
        <is>
          <t>0</t>
        </is>
      </c>
      <c r="E44" s="56" t="inlineStr">
        <is>
          <t>Estimación visual de campo</t>
        </is>
      </c>
      <c r="F44" s="56" t="inlineStr">
        <is>
          <t>0 nulo; 1-3 medio; &gt;3 alto</t>
        </is>
      </c>
      <c r="G44" s="56" t="inlineStr">
        <is>
          <t>Bajo</t>
        </is>
      </c>
    </row>
    <row r="45">
      <c r="A45" s="57" t="inlineStr">
        <is>
          <t>4</t>
        </is>
      </c>
      <c r="B45" s="57" t="inlineStr">
        <is>
          <t>Pino</t>
        </is>
      </c>
      <c r="C45" s="57" t="inlineStr">
        <is>
          <t>Pinus patula</t>
        </is>
      </c>
      <c r="D45" s="57" t="inlineStr">
        <is>
          <t>0</t>
        </is>
      </c>
      <c r="E45" s="57" t="inlineStr">
        <is>
          <t>Estimación visual de campo</t>
        </is>
      </c>
      <c r="F45" s="57" t="inlineStr">
        <is>
          <t>&lt;5% bueno; 5-20% medio; &gt;20% alto</t>
        </is>
      </c>
      <c r="G45" s="57" t="inlineStr">
        <is>
          <t>Bajo</t>
        </is>
      </c>
    </row>
    <row r="46">
      <c r="A46" s="56" t="inlineStr">
        <is>
          <t>5</t>
        </is>
      </c>
      <c r="B46" s="56" t="inlineStr">
        <is>
          <t>Carga ganadera estimada</t>
        </is>
      </c>
      <c r="C46" s="56" t="inlineStr">
        <is>
          <t>UA/ha</t>
        </is>
      </c>
      <c r="D46" s="56" t="inlineStr">
        <is>
          <t>2</t>
        </is>
      </c>
      <c r="E46" s="56" t="inlineStr">
        <is>
          <t>Estimación visual de campo</t>
        </is>
      </c>
      <c r="F46" s="56" t="inlineStr">
        <is>
          <t>Según tipo de ecosistema</t>
        </is>
      </c>
      <c r="G46" s="56" t="inlineStr">
        <is>
          <t>Medio</t>
        </is>
      </c>
    </row>
    <row r="47">
      <c r="A47" s="57" t="inlineStr">
        <is>
          <t>6</t>
        </is>
      </c>
      <c r="B47" s="57" t="inlineStr">
        <is>
          <t>Frecuencia de quemas últimos 5 años</t>
        </is>
      </c>
      <c r="C47" s="57" t="inlineStr">
        <is>
          <t>N°</t>
        </is>
      </c>
      <c r="D47" s="57" t="inlineStr">
        <is>
          <t>1</t>
        </is>
      </c>
      <c r="E47" s="57" t="inlineStr">
        <is>
          <t>Estimación visual de campo</t>
        </is>
      </c>
      <c r="F47" s="57" t="inlineStr">
        <is>
          <t>0 nulo; 1-2 medio; &gt;2 alto</t>
        </is>
      </c>
      <c r="G47" s="57" t="inlineStr">
        <is>
          <t>Medio</t>
        </is>
      </c>
    </row>
    <row r="48">
      <c r="A48" s="56" t="inlineStr">
        <is>
          <t>7</t>
        </is>
      </c>
      <c r="B48" s="56" t="inlineStr">
        <is>
          <t>% área con pendiente &gt;50%</t>
        </is>
      </c>
      <c r="C48" s="56" t="inlineStr">
        <is>
          <t>%</t>
        </is>
      </c>
      <c r="D48" s="56" t="inlineStr">
        <is>
          <t>30</t>
        </is>
      </c>
      <c r="E48" s="56" t="inlineStr">
        <is>
          <t>Estimación visual de campo</t>
        </is>
      </c>
      <c r="F48" s="56" t="inlineStr">
        <is>
          <t>Factor de susceptibilidad</t>
        </is>
      </c>
      <c r="G48" s="56" t="inlineStr">
        <is>
          <t>Alto</t>
        </is>
      </c>
    </row>
    <row r="49">
      <c r="A49" s="57" t="inlineStr">
        <is>
          <t>8</t>
        </is>
      </c>
      <c r="B49" s="57" t="inlineStr">
        <is>
          <t>Distancia a vía vecinal más cercana</t>
        </is>
      </c>
      <c r="C49" s="57" t="inlineStr">
        <is>
          <t>m</t>
        </is>
      </c>
      <c r="D49" s="57" t="inlineStr">
        <is>
          <t>100</t>
        </is>
      </c>
      <c r="E49" s="57" t="inlineStr">
        <is>
          <t>Estimación visual de campo</t>
        </is>
      </c>
      <c r="F49" s="57" t="inlineStr">
        <is>
          <t>A menor distancia → mayor presión</t>
        </is>
      </c>
      <c r="G49" s="57" t="inlineStr">
        <is>
          <t>Medio</t>
        </is>
      </c>
    </row>
    <row r="51">
      <c r="A51" s="54" t="inlineStr">
        <is>
          <t>F-DT-05 · FUENTES DE AGUA INVENTARIADAS</t>
        </is>
      </c>
    </row>
    <row r="52">
      <c r="A52" s="55" t="inlineStr">
        <is>
          <t>N.o</t>
        </is>
      </c>
      <c r="B52" s="55" t="inlineStr">
        <is>
          <t>Tipo de fuente</t>
        </is>
      </c>
      <c r="C52" s="55" t="inlineStr">
        <is>
          <t>UTM ESTE</t>
        </is>
      </c>
      <c r="D52" s="55" t="inlineStr">
        <is>
          <t>UTM NORTE</t>
        </is>
      </c>
      <c r="E52" s="55" t="inlineStr">
        <is>
          <t>Régimen</t>
        </is>
      </c>
      <c r="F52" s="55" t="inlineStr">
        <is>
          <t>Calidad</t>
        </is>
      </c>
      <c r="G52" s="55" t="inlineStr">
        <is>
          <t>Distancia (m)</t>
        </is>
      </c>
      <c r="H52" s="55" t="inlineStr">
        <is>
          <t>Uso / observación</t>
        </is>
      </c>
    </row>
    <row r="53">
      <c r="A53" s="56" t="inlineStr">
        <is>
          <t>1</t>
        </is>
      </c>
      <c r="B53" s="56" t="inlineStr">
        <is>
          <t>Quebrada estacional</t>
        </is>
      </c>
      <c r="C53" s="56" t="n"/>
      <c r="D53" s="56" t="n"/>
      <c r="E53" s="56" t="inlineStr">
        <is>
          <t>Estacional (lluvias)</t>
        </is>
      </c>
      <c r="F53" s="56" t="inlineStr">
        <is>
          <t>No evaluable</t>
        </is>
      </c>
      <c r="G53" s="56" t="n"/>
      <c r="H53" s="56" t="inlineStr">
        <is>
          <t>Quebrada Q9591, colector de la microcuenca C1081. Coordenadas no levantadas con GPS.</t>
        </is>
      </c>
    </row>
    <row r="56">
      <c r="A56" s="54" t="inlineStr">
        <is>
          <t>OBSERVACIONES DEL EVALUADOR POR FICHA</t>
        </is>
      </c>
    </row>
    <row r="57">
      <c r="A57" s="55" t="inlineStr">
        <is>
          <t>Ficha</t>
        </is>
      </c>
      <c r="B57" s="55" t="inlineStr">
        <is>
          <t>Observación registrada en campo</t>
        </is>
      </c>
    </row>
    <row r="58">
      <c r="A58" s="56" t="inlineStr">
        <is>
          <t>F-DT-01</t>
        </is>
      </c>
      <c r="B58" s="56" t="inlineStr">
        <is>
          <t>El bloque es una ladera de montaña alta, con pendiente general inferior al 60 %, que se incrementa al ascender por el terreno. Presenta afloramientos rocosos con piedras pequeñas a medianas dispersas en el área. La ladera es empleada para la siembra de maíz y papa; en el área cercana al bloque existen rodales de plantaciones de Pinus patula. El suelo del bloque presenta erosión eólica. Hay dominancia de pajonal y especies achaparradas. En el bloque se desarrollan actividades de pastoreo de ganado vacuno y existe un cerco de alambre. En áreas próximas al bloque hay rodales remanentes de Polylepis y evidencia de deslizamientos. NOTA DE GABINETE (SESDI): la ficha consigna «altitud de 3 000 msnm aprox.» y una altitud GPS de 2 669 msnm, mientras que el MDE sitúa el bloque entre 2 412 y 2 651 msnm y la propia descripción del paisaje entre 2 400 y 2 600 msnm. El punto de muestreo (657 816 E / 9 428 952 N) se localiza 146 m al NORTE del límite del polígono y a 411 m del centroide catastral, por lo que la caracterización de campo debe considerarse de entorno inmediato y no de interior del bloque (D-01).</t>
        </is>
      </c>
    </row>
    <row r="59">
      <c r="A59" s="57" t="inlineStr">
        <is>
          <t>F-DT-02</t>
        </is>
      </c>
      <c r="B59" s="57" t="inlineStr">
        <is>
          <t>FICHA F-DT-02 NO LEVANTADA EN CAMPO. El ANEXO de fichas del bloque contiene únicamente los formatos F-DT-01, F-DT-03 y F-DT-04. Los valores consignados aquí se derivan de las observaciones textuales de F-DT-01 y de los indicadores cuantitativos de F-DT-04, y tienen carácter preliminar. INVENTARIO GEORREFERENCIADO DE CÁRCAVAS NO EJECUTADO: 0 cárcavas registradas NO equivale a ausencia verificada. La densidad de cárcavas declarada en F-DT-04 es de 0 N°/ha, lo que resulta incompatible con un inventario vacío y debe resolverse en campo. El porcentaje del bloque afectado por cárcavas y la erosión laminar quedan supeditados al ortomosaico y al modelo digital de superficie.</t>
        </is>
      </c>
    </row>
    <row r="60">
      <c r="A60" s="56" t="inlineStr">
        <is>
          <t>F-DT-03</t>
        </is>
      </c>
      <c r="B60" s="56" t="inlineStr">
        <is>
          <t>Al momento de la evaluación la cobertura vegetal del área corresponde a una zona agrícola rodeada por rodales remanentes de bosque de Polylepis. La cobertura vegetal ha sido fragmentada en áreas para pastoreo y agricultura. La altura promedio de los individuos arbóreos es menor a 4 m y el diámetro a la altura del pecho promedio es de 20 cm. Se observó presencia de matas y arbustos dispersos. En los alrededores del bloque la población ha instalado rodales de pino y eucalipto que alcanzan alturas de 8 m y DAP de hasta 25 cm; estos bosques no están siendo aprovechados por ahora. Entre las especies arbóreas nativas destacan Polylepis, roble y chachacomo, principalmente. NOTA DE GABINETE (SESDI): registro florístico de 3 especies frente al mínimo de 15 exigido por la ficha; sin nombre científico ni familia confirmados en campo y sección de especies clave/indicadoras en blanco, pese a que el género Polylepis concentra especies de alto valor de conservación en la vertiente occidental norte. Los nombres científicos incorporados son preliminares de gabinete y requieren colecta y determinación botánica formal (D-02, D-03).</t>
        </is>
      </c>
    </row>
    <row r="61">
      <c r="A61" s="57" t="inlineStr">
        <is>
          <t>F-DT-04</t>
        </is>
      </c>
      <c r="B61" s="57" t="inlineStr">
        <is>
          <t>Redelimitar el bloque priorizando las áreas próximas al centro poblado y desestimando las áreas donde el ecosistema se encuentra conservado. Hay presencia de casas muy próximas al bloque. NOTA DE GABINETE (SESDI): la urgencia de intervención declarada en campo es «Media», pese a que la misma ficha F-DT-01 registra REMOCIONES EN MASA ACTIVAS y a que el MSAVI 2024 sitúa el 41.71 % de la superficie del bloque por debajo del umbral de 0.4976. Se propone a la Subdirección elevar la urgencia a ALTA (D-04).</t>
        </is>
      </c>
    </row>
    <row r="62">
      <c r="A62" s="56" t="inlineStr">
        <is>
          <t>F-DT-05</t>
        </is>
      </c>
      <c r="B62" s="56" t="inlineStr">
        <is>
          <t>FICHA F-DT-05 NO LEVANTADA EN CAMPO. Los datos de acceso proceden de la narrativa del entregable de campo; el inventario de fuentes no cuenta con coordenadas GPS ni con medición de caudal o distancia. El bloque se ubica en la ZONA DE ORIGEN del peligro generador de inundaciones (PGI), no en la zona de impacto: la intervención actúa sobre la generación de escorrentía aguas arriba y no sobre la llanura de inundación. Quedan por determinar: JASS y captación poblacional asociada, distancia a fuentes de uso doméstico, señal celular y operador, tiempos de viaje desde las capitales distrital y provincial, alojamiento rural y contacto responsable de la Ronda Campesina.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64</t>
        </is>
      </c>
    </row>
    <row r="7">
      <c r="A7" s="54" t="inlineStr">
        <is>
          <t>Hechos declarados por fuente</t>
        </is>
      </c>
    </row>
    <row r="8">
      <c r="A8" s="55" t="inlineStr">
        <is>
          <t>Fuente</t>
        </is>
      </c>
      <c r="B8" s="55" t="inlineStr">
        <is>
          <t>Hechos</t>
        </is>
      </c>
    </row>
    <row r="9">
      <c r="A9" s="56" t="inlineStr">
        <is>
          <t>Dato de campo</t>
        </is>
      </c>
      <c r="B9" s="56" t="n">
        <v>60</v>
      </c>
    </row>
    <row r="10">
      <c r="A10" s="57" t="inlineStr">
        <is>
          <t>Gabinete (GIS / teledetección)</t>
        </is>
      </c>
      <c r="B10" s="57" t="n">
        <v>23</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95</v>
      </c>
    </row>
    <row r="31">
      <c r="A31" s="57" t="inlineStr">
        <is>
          <t>COMPLEMENTADO</t>
        </is>
      </c>
      <c r="B31" s="57" t="n">
        <v>1</v>
      </c>
    </row>
    <row r="32">
      <c r="A32" s="56" t="inlineStr">
        <is>
          <t>ACTUALIZADO</t>
        </is>
      </c>
      <c r="B32" s="56" t="n">
        <v>1</v>
      </c>
    </row>
    <row r="33">
      <c r="A33" s="57" t="inlineStr">
        <is>
          <t>DISCREPANTE</t>
        </is>
      </c>
      <c r="B33" s="57" t="n">
        <v>0</v>
      </c>
    </row>
    <row r="34">
      <c r="A34" s="56" t="inlineStr">
        <is>
          <t>PENDIENTE</t>
        </is>
      </c>
      <c r="B34" s="56" t="n">
        <v>17</v>
      </c>
    </row>
    <row r="51">
      <c r="A51" s="54" t="inlineStr">
        <is>
          <t>Cobertura por estrato — campo (%)</t>
        </is>
      </c>
    </row>
    <row r="52">
      <c r="A52" s="55" t="inlineStr">
        <is>
          <t>Estrato</t>
        </is>
      </c>
      <c r="B52" s="55" t="inlineStr">
        <is>
          <t>% del área</t>
        </is>
      </c>
    </row>
    <row r="53">
      <c r="A53" s="56" t="inlineStr">
        <is>
          <t>Dosel</t>
        </is>
      </c>
      <c r="B53" s="62" t="n">
        <v>5</v>
      </c>
    </row>
    <row r="54">
      <c r="A54" s="57" t="inlineStr">
        <is>
          <t>Arbustiva</t>
        </is>
      </c>
      <c r="B54" s="64" t="n">
        <v>2.5</v>
      </c>
    </row>
    <row r="55">
      <c r="A55" s="56" t="inlineStr">
        <is>
          <t>Herbácea</t>
        </is>
      </c>
      <c r="B55" s="61" t="n">
        <v>10</v>
      </c>
    </row>
    <row r="56">
      <c r="A56" s="57" t="inlineStr">
        <is>
          <t>Hojarasca</t>
        </is>
      </c>
      <c r="B56" s="64" t="n">
        <v>0</v>
      </c>
    </row>
    <row r="57">
      <c r="A57" s="56" t="inlineStr">
        <is>
          <t>Suelo desnudo</t>
        </is>
      </c>
      <c r="B57" s="62" t="n">
        <v>5</v>
      </c>
    </row>
    <row r="74">
      <c r="A74" s="54" t="inlineStr">
        <is>
          <t>Causas activas de degradación (F-DT-04)</t>
        </is>
      </c>
    </row>
    <row r="75">
      <c r="A75" s="55" t="inlineStr">
        <is>
          <t>Causa</t>
        </is>
      </c>
      <c r="B75" s="55" t="inlineStr">
        <is>
          <t>Intensidad (1 ligera - 4 muy fuerte)</t>
        </is>
      </c>
    </row>
    <row r="76">
      <c r="A76" s="56" t="inlineStr">
        <is>
          <t>Cambio de uso a agricultura</t>
        </is>
      </c>
      <c r="B76" s="56" t="n">
        <v>2</v>
      </c>
    </row>
    <row r="77">
      <c r="A77" s="57" t="inlineStr">
        <is>
          <t>Cambio de uso a pastoreo</t>
        </is>
      </c>
      <c r="B77" s="57" t="n">
        <v>2</v>
      </c>
    </row>
    <row r="78">
      <c r="A78" s="56" t="inlineStr">
        <is>
          <t>Sobrepastoreo (caprino/vacuno)</t>
        </is>
      </c>
      <c r="B78" s="56" t="n">
        <v>2</v>
      </c>
    </row>
    <row r="95">
      <c r="A95" s="54" t="inlineStr">
        <is>
          <t>Control de consistencia por calificación</t>
        </is>
      </c>
    </row>
    <row r="96">
      <c r="A96" s="55" t="inlineStr">
        <is>
          <t>Calificación</t>
        </is>
      </c>
      <c r="B96" s="55" t="inlineStr">
        <is>
          <t>Verificaciones</t>
        </is>
      </c>
    </row>
    <row r="97">
      <c r="A97" s="56" t="inlineStr">
        <is>
          <t>SUSTANTIVA</t>
        </is>
      </c>
      <c r="B97" s="56" t="n">
        <v>8</v>
      </c>
    </row>
    <row r="98">
      <c r="A98" s="57" t="inlineStr">
        <is>
          <t>NO SUSTANTIVA</t>
        </is>
      </c>
      <c r="B98" s="57" t="n">
        <v>1</v>
      </c>
    </row>
    <row r="99">
      <c r="A99" s="56" t="inlineStr">
        <is>
          <t>CORREGIDO</t>
        </is>
      </c>
      <c r="B99" s="56" t="n">
        <v>1</v>
      </c>
    </row>
    <row r="100">
      <c r="A100" s="57" t="inlineStr">
        <is>
          <t>CONFORME</t>
        </is>
      </c>
      <c r="B100"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64 — IN Piura</dc:title>
  <dc:subject>Diagnóstico Territorial por bloque de intervención</dc:subject>
  <dcterms:created xsi:type="dcterms:W3CDTF">2026-09-08T03:39:54Z</dcterms:created>
  <dcterms:modified xsi:type="dcterms:W3CDTF">2026-09-11T20:22:31Z</dcterms:modified>
</cp:coreProperties>
</file>