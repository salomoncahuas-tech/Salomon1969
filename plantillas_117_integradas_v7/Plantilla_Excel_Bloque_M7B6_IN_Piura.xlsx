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integración'!$A$66:$A$75</f>
            </numRef>
          </cat>
          <val>
            <numRef>
              <f>'Gráficos de integración'!$B$66:$B$75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M7B6</t>
        </is>
      </c>
    </row>
    <row r="6" ht="24" customHeight="1">
      <c r="A6" s="4" t="inlineStr">
        <is>
          <t>Diagnóstico Territorial — Plantilla DT Campo Check Validada V5 | Sistema de referencia: UTM WGS 84 Zona 17S (EPSG:32717) · Integrado con la ficha de campo F-DT vigente (DT_M7B6_llenado.xlsx) — V7 - resumen V6 + campo F-DT integrado</t>
        </is>
      </c>
    </row>
    <row r="7"/>
    <row r="8" ht="18" customHeight="1">
      <c r="A8" s="5" t="inlineStr">
        <is>
          <t>1. IDENTIFICACIÓN Y LOCALIZACIÓN</t>
        </is>
      </c>
    </row>
    <row r="9">
      <c r="A9" s="6" t="inlineStr">
        <is>
          <t>Código del bloque</t>
        </is>
      </c>
      <c r="B9" s="7" t="inlineStr">
        <is>
          <t>M7B6</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Serrán / Nuevo San Juan</t>
        </is>
      </c>
      <c r="C13" s="6" t="inlineStr">
        <is>
          <t>Comunidad campesina</t>
        </is>
      </c>
      <c r="D13" s="7" t="inlineStr">
        <is>
          <t>No aplica</t>
        </is>
      </c>
      <c r="E13" s="8" t="n"/>
      <c r="F13" s="8" t="n"/>
    </row>
    <row r="14">
      <c r="A14" s="6" t="inlineStr">
        <is>
          <t>Superficie de catálogo (V5/V6), ha</t>
        </is>
      </c>
      <c r="B14" s="7" t="n">
        <v>91.29000000000001</v>
      </c>
      <c r="C14" s="6" t="inlineStr">
        <is>
          <t>Fuente de superficie</t>
        </is>
      </c>
      <c r="D14" s="7" t="inlineStr">
        <is>
          <t>Catálogo maestro Bloques V5/V6</t>
        </is>
      </c>
      <c r="E14" s="8" t="n"/>
      <c r="F14" s="8" t="n"/>
    </row>
    <row r="15">
      <c r="A15" s="6" t="inlineStr">
        <is>
          <t>Centroide UTM ESTE (m)</t>
        </is>
      </c>
      <c r="B15" s="7" t="n">
        <v>635110</v>
      </c>
      <c r="C15" s="6" t="inlineStr">
        <is>
          <t>Centroide UTM NORTE (m)</t>
        </is>
      </c>
      <c r="D15" s="7" t="n">
        <v>9399092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228</v>
      </c>
      <c r="C19" s="6" t="inlineStr">
        <is>
          <t>Altitud máxima (msnm)</t>
        </is>
      </c>
      <c r="D19" s="7" t="n">
        <v>453</v>
      </c>
      <c r="E19" s="8" t="n"/>
      <c r="F19" s="8" t="n"/>
    </row>
    <row r="20">
      <c r="A20" s="6" t="inlineStr">
        <is>
          <t>Amplitud altitudinal (m)</t>
        </is>
      </c>
      <c r="B20" s="7" t="n">
        <v>225</v>
      </c>
      <c r="C20" s="6" t="inlineStr">
        <is>
          <t>Piso altitudinal dominante</t>
        </is>
      </c>
      <c r="D20" s="7" t="inlineStr">
        <is>
          <t>&lt;1000 m (Yunga)</t>
        </is>
      </c>
      <c r="E20" s="8" t="n"/>
      <c r="F20" s="8" t="n"/>
    </row>
    <row r="21">
      <c r="A21" s="6" t="inlineStr">
        <is>
          <t>Pendiente promedio (%)</t>
        </is>
      </c>
      <c r="B21" s="7" t="n">
        <v>16.87</v>
      </c>
      <c r="C21" s="6" t="inlineStr">
        <is>
          <t>Pendiente promedio (grados)</t>
        </is>
      </c>
      <c r="D21" s="7" t="n">
        <v>9.6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0.2878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(52.88 %)</t>
        </is>
      </c>
      <c r="E29" s="8" t="n"/>
      <c r="F29" s="8" t="n"/>
    </row>
    <row r="30">
      <c r="A30" s="6" t="inlineStr">
        <is>
          <t>Superficie clasificada NDVI 2025 (ha)</t>
        </is>
      </c>
      <c r="B30" s="7" t="n">
        <v>91.31699999999999</v>
      </c>
      <c r="C30" s="6" t="inlineStr">
        <is>
          <t>Desviación frente al catálogo (%)</t>
        </is>
      </c>
      <c r="D30" s="7" t="n">
        <v>0.03</v>
      </c>
      <c r="E30" s="8" t="n"/>
      <c r="F30" s="8" t="n"/>
    </row>
    <row r="31">
      <c r="A31" s="6" t="inlineStr">
        <is>
          <t>Superficie clasificada MSAVI 2024 (ha)</t>
        </is>
      </c>
      <c r="B31" s="39" t="n">
        <v>91.285</v>
      </c>
      <c r="C31" s="6" t="inlineStr">
        <is>
          <t>Desviación MSAVI frente al catálogo (%)</t>
        </is>
      </c>
      <c r="D31" s="40" t="n">
        <v>-0.01</v>
      </c>
      <c r="E31" s="8" t="n"/>
      <c r="F31" s="8" t="n"/>
    </row>
    <row r="32">
      <c r="A32" s="6" t="inlineStr">
        <is>
          <t>Superficie bajo umbral MSAVI 0.4976 (ha)</t>
        </is>
      </c>
      <c r="B32" s="39" t="n">
        <v>91.253</v>
      </c>
      <c r="C32" s="6" t="inlineStr">
        <is>
          <t>% del bloque bajo umbral (brecha espectral)</t>
        </is>
      </c>
      <c r="D32" s="40" t="n">
        <v>99.95999999999999</v>
      </c>
      <c r="E32" s="8" t="n"/>
      <c r="F32" s="8" t="n"/>
    </row>
    <row r="33">
      <c r="A33" s="6" t="inlineStr">
        <is>
          <t>Clase DN dominante (MSAVI 2024)</t>
        </is>
      </c>
      <c r="B33" s="7" t="inlineStr">
        <is>
          <t>DN 2 · 0.2650 - 0.3813 (Vigor muy bajo)</t>
        </is>
      </c>
      <c r="C33" s="6" t="inlineStr">
        <is>
          <t>N.° de polígonos MSAVI del bloque</t>
        </is>
      </c>
      <c r="D33" s="41" t="n">
        <v>299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80 ha (de 91.29 ha del bloque)</t>
        </is>
      </c>
      <c r="E36" s="8" t="n"/>
      <c r="F36" s="8" t="n"/>
    </row>
    <row r="37">
      <c r="A37" s="6" t="inlineStr">
        <is>
          <t>Estado de conservación</t>
        </is>
      </c>
      <c r="B37" s="7" t="inlineStr">
        <is>
          <t>Muy alterado / Degradado</t>
        </is>
      </c>
      <c r="C37" s="6" t="inlineStr">
        <is>
          <t>Uso actual dominante del suelo</t>
        </is>
      </c>
      <c r="D37" s="7" t="inlineStr">
        <is>
          <t>Uso mixto</t>
        </is>
      </c>
      <c r="E37" s="8" t="n"/>
      <c r="F37" s="8" t="n"/>
    </row>
    <row r="38">
      <c r="A38" s="6" t="inlineStr">
        <is>
          <t>Tipo de cobertura dominante</t>
        </is>
      </c>
      <c r="B38" s="7" t="inlineStr">
        <is>
          <t>Matorral ralo</t>
        </is>
      </c>
      <c r="C38" s="6" t="inlineStr">
        <is>
          <t>Cobertura vegetal total — campo (%)</t>
        </is>
      </c>
      <c r="D38" s="7" t="n">
        <v>55</v>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1" t="inlineStr">
        <is>
          <t>Ing. Héctor Salomón Cahuas Miller / Ing. Juan Carlos Domínguez Varas</t>
        </is>
      </c>
      <c r="C44" s="6" t="inlineStr">
        <is>
          <t>Fecha de evaluación</t>
        </is>
      </c>
      <c r="D44" s="7" t="inlineStr">
        <is>
          <t>2026-05-19</t>
        </is>
      </c>
      <c r="E44" s="8" t="n"/>
      <c r="F44" s="8" t="n"/>
    </row>
    <row r="45">
      <c r="A45" s="6" t="inlineStr">
        <is>
          <t>Hora de registro</t>
        </is>
      </c>
      <c r="B45" s="7" t="inlineStr">
        <is>
          <t>10:06 h</t>
        </is>
      </c>
      <c r="C45" s="6" t="inlineStr">
        <is>
          <t>Correlativo de ficha</t>
        </is>
      </c>
      <c r="D45" s="7" t="inlineStr">
        <is>
          <t>DT-M7B6-01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socioeconómica de subsistencia (ganadería extensiva y demanda de leña) sumada a la expansión urbana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0.0325</v>
      </c>
      <c r="C11" s="21">
        <f>ROUND(B11/$B$15*100,2)</f>
        <v/>
      </c>
      <c r="D11" s="13" t="inlineStr">
        <is>
          <t>Vigor moderado</t>
        </is>
      </c>
      <c r="E11" s="13" t="inlineStr">
        <is>
          <t>Sobre umbral</t>
        </is>
      </c>
    </row>
    <row r="12">
      <c r="A12" s="7" t="inlineStr">
        <is>
          <t>0.3813 - 0.4976 · DN 3</t>
        </is>
      </c>
      <c r="B12" s="18" t="n">
        <v>4.6564</v>
      </c>
      <c r="C12" s="19">
        <f>ROUND(B12/$B$15*100,2)</f>
        <v/>
      </c>
      <c r="D12" s="11" t="inlineStr">
        <is>
          <t>Vigor bajo</t>
        </is>
      </c>
      <c r="E12" s="11" t="inlineStr">
        <is>
          <t>BAJO umbral 0.4976</t>
        </is>
      </c>
    </row>
    <row r="13">
      <c r="A13" s="14" t="inlineStr">
        <is>
          <t>0.2650 - 0.3813 · DN 2</t>
        </is>
      </c>
      <c r="B13" s="32" t="n">
        <v>52.2419</v>
      </c>
      <c r="C13" s="31">
        <f>ROUND(B13/$B$15*100,2)</f>
        <v/>
      </c>
      <c r="D13" s="15" t="inlineStr">
        <is>
          <t>Vigor muy bajo</t>
        </is>
      </c>
      <c r="E13" s="15" t="inlineStr">
        <is>
          <t>BAJO umbral 0.4976</t>
        </is>
      </c>
    </row>
    <row r="14">
      <c r="A14" s="7" t="inlineStr">
        <is>
          <t>&lt;= 0.2650 · DN 1</t>
        </is>
      </c>
      <c r="B14" s="18" t="n">
        <v>34.3544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299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91.29000000000001</v>
      </c>
      <c r="C18" s="50" t="inlineStr">
        <is>
          <t>—</t>
        </is>
      </c>
      <c r="D18" s="47" t="inlineStr">
        <is>
          <t>Desviación planimétrica frente al catálogo</t>
        </is>
      </c>
      <c r="E18" s="47" t="inlineStr">
        <is>
          <t>-0.01 %</t>
        </is>
      </c>
    </row>
    <row r="19">
      <c r="A19" s="16" t="inlineStr">
        <is>
          <t>MSAVI 2024 — MEDIA DEL BLOQUE</t>
        </is>
      </c>
      <c r="B19" s="17" t="n">
        <v>0.287833</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299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(0.2878)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0.6704</v>
      </c>
      <c r="C25" s="19" t="n">
        <v>0.73</v>
      </c>
      <c r="D25" s="11" t="inlineStr">
        <is>
          <t>Dosel continuo, matorral denso o mosaico agroforestal</t>
        </is>
      </c>
      <c r="E25" s="11" t="inlineStr"/>
    </row>
    <row r="26">
      <c r="A26" s="12" t="inlineStr">
        <is>
          <t>Vegetación mediana</t>
        </is>
      </c>
      <c r="B26" s="20" t="n">
        <v>42.0151</v>
      </c>
      <c r="C26" s="21" t="n">
        <v>46.01</v>
      </c>
      <c r="D26" s="13" t="inlineStr">
        <is>
          <t>Pastizal cultivado, matorral ralo, parcelas agrícolas</t>
        </is>
      </c>
      <c r="E26" s="13" t="inlineStr"/>
    </row>
    <row r="27">
      <c r="A27" s="7" t="inlineStr">
        <is>
          <t>Vegetación ligera</t>
        </is>
      </c>
      <c r="B27" s="18" t="n">
        <v>48.2907</v>
      </c>
      <c r="C27" s="19" t="n">
        <v>52.88</v>
      </c>
      <c r="D27" s="11" t="inlineStr">
        <is>
          <t>Cobertura discontinua, suelo parcialmente expuesto</t>
        </is>
      </c>
      <c r="E27" s="11" t="inlineStr"/>
    </row>
    <row r="28">
      <c r="A28" s="12" t="inlineStr">
        <is>
          <t>Tierra desnuda</t>
        </is>
      </c>
      <c r="B28" s="20" t="n">
        <v>0.3409</v>
      </c>
      <c r="C28" s="21" t="n">
        <v>0.37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91.29000000000001</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55 % frente a un 0.73 % del polígono clasificado como «Vegetación alta» por el NDVI 2025; la observación de campo corresponde a una parcela o recorrido puntual y no es estadísticamente representativa de las 91.290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M7B6</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635150</v>
      </c>
      <c r="D10" s="26" t="n">
        <v>9399300</v>
      </c>
      <c r="E10" s="11" t="n">
        <v>211.8</v>
      </c>
      <c r="F10" s="11" t="inlineStr"/>
      <c r="G10" s="11" t="inlineStr">
        <is>
          <t>Coordenada consignada en F-DT-01</t>
        </is>
      </c>
    </row>
    <row r="11">
      <c r="A11" s="12" t="inlineStr">
        <is>
          <t>C-M7B6-01</t>
        </is>
      </c>
      <c r="B11" s="13" t="inlineStr">
        <is>
          <t>Rasgo erosivo — Cárcava somera — 125 m, 0.8 m prof., 1.6 m ancho</t>
        </is>
      </c>
      <c r="C11" s="27" t="n">
        <v>635180</v>
      </c>
      <c r="D11" s="27" t="n">
        <v>9399400</v>
      </c>
      <c r="E11" s="13" t="n">
        <v>315.9</v>
      </c>
      <c r="F11" s="13" t="inlineStr">
        <is>
          <t>Semi-activa</t>
        </is>
      </c>
      <c r="G11" s="13" t="inlineStr">
        <is>
          <t>Concentración natural de escorrentía</t>
        </is>
      </c>
    </row>
    <row r="12">
      <c r="A12" s="7" t="inlineStr">
        <is>
          <t>C-M7B6-02</t>
        </is>
      </c>
      <c r="B12" s="11" t="inlineStr">
        <is>
          <t>Rasgo erosivo — Cárcava incipiente — 70 m, 0.4 m prof., 0.7 m ancho</t>
        </is>
      </c>
      <c r="C12" s="26" t="n">
        <v>635300</v>
      </c>
      <c r="D12" s="26" t="n">
        <v>9399560</v>
      </c>
      <c r="E12" s="11" t="n">
        <v>505.1</v>
      </c>
      <c r="F12" s="11" t="inlineStr">
        <is>
          <t>Activa</t>
        </is>
      </c>
      <c r="G12" s="11" t="inlineStr">
        <is>
          <t>Caminos / huellas de ganado</t>
        </is>
      </c>
    </row>
    <row r="13">
      <c r="A13" s="12" t="inlineStr">
        <is>
          <t>H-01</t>
        </is>
      </c>
      <c r="B13" s="13" t="inlineStr">
        <is>
          <t>Fuente de agua — Quebrada estacional</t>
        </is>
      </c>
      <c r="C13" s="27" t="n">
        <v>635300</v>
      </c>
      <c r="D13" s="27" t="n">
        <v>9399520</v>
      </c>
      <c r="E13" s="13" t="n">
        <v>468.3</v>
      </c>
      <c r="F13" s="13" t="inlineStr">
        <is>
          <t>Estacional</t>
        </is>
      </c>
      <c r="G13" s="13" t="inlineStr">
        <is>
          <t>Quebrada que se activa en lluvias y atraviesa el sector poblado</t>
        </is>
      </c>
    </row>
    <row r="14">
      <c r="A14" s="7" t="inlineStr">
        <is>
          <t>H-02</t>
        </is>
      </c>
      <c r="B14" s="11" t="inlineStr">
        <is>
          <t>Fuente de agua — Río</t>
        </is>
      </c>
      <c r="C14" s="26" t="n">
        <v>634650</v>
      </c>
      <c r="D14" s="26" t="n">
        <v>9399200</v>
      </c>
      <c r="E14" s="11" t="n">
        <v>472.5</v>
      </c>
      <c r="F14" s="11" t="inlineStr">
        <is>
          <t>Permanente</t>
        </is>
      </c>
      <c r="G14" s="11" t="inlineStr">
        <is>
          <t>Río Serrán (tributario)</t>
        </is>
      </c>
    </row>
    <row r="15">
      <c r="A15" s="12" t="inlineStr">
        <is>
          <t>H-03</t>
        </is>
      </c>
      <c r="B15" s="13" t="inlineStr">
        <is>
          <t>Fuente de agua — Canal de riego</t>
        </is>
      </c>
      <c r="C15" s="27" t="n">
        <v>635950</v>
      </c>
      <c r="D15" s="27" t="n">
        <v>9399100</v>
      </c>
      <c r="E15" s="13" t="n">
        <v>840</v>
      </c>
      <c r="F15" s="13" t="inlineStr">
        <is>
          <t>Intermitente</t>
        </is>
      </c>
      <c r="G15" s="13" t="inlineStr">
        <is>
          <t>Riego de chacras del valle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635110</v>
      </c>
      <c r="C18" s="6" t="inlineStr">
        <is>
          <t>Centroide del bloque — UTM NORTE (m)</t>
        </is>
      </c>
      <c r="D18" s="7" t="n">
        <v>9399092</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COLINDA POR EL FLANCO ORIENTAL CON EL ÁREA URBANA DE SERRÁN Y EL SECTOR NUEVO SAN JUAN. SE OBSERVAN VIVIENDAS CON MUROS DERRUIDOS Y DAÑOS A INFRAESTRUCTURA ASOCIADOS A LA ACTIVACIÓN DE QUEBRADAS Y AVENIDAS DE PRECIPITACIÓN EN TEMPORADA DE LLUVIAS, según refieren los pobladores. Inspección realizada el 19-05-2026. BLOQUE CONTIGUO A M2B1.</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M7B6</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M7B1</t>
        </is>
      </c>
      <c r="B10" s="28" t="n">
        <v>130.43</v>
      </c>
      <c r="C10" s="19" t="n">
        <v>32.38</v>
      </c>
      <c r="D10" s="11" t="inlineStr">
        <is>
          <t>183 – 357</t>
        </is>
      </c>
      <c r="E10" s="11" t="n">
        <v>174</v>
      </c>
      <c r="F10" s="11" t="n">
        <v>17.35</v>
      </c>
      <c r="G10" s="18" t="n">
        <v>0.3136</v>
      </c>
      <c r="H10" s="19" t="n">
        <v>4.28</v>
      </c>
      <c r="I10" s="19" t="n">
        <v>99.78</v>
      </c>
    </row>
    <row r="11">
      <c r="A11" s="12" t="inlineStr">
        <is>
          <t>M7B2</t>
        </is>
      </c>
      <c r="B11" s="29" t="n">
        <v>115.38</v>
      </c>
      <c r="C11" s="21" t="n">
        <v>28.64</v>
      </c>
      <c r="D11" s="13" t="inlineStr">
        <is>
          <t>204 – 362</t>
        </is>
      </c>
      <c r="E11" s="13" t="n">
        <v>158</v>
      </c>
      <c r="F11" s="13" t="n">
        <v>14.01</v>
      </c>
      <c r="G11" s="20" t="n">
        <v>0.2877</v>
      </c>
      <c r="H11" s="21" t="n">
        <v>0.91</v>
      </c>
      <c r="I11" s="21" t="n">
        <v>99.58</v>
      </c>
    </row>
    <row r="12">
      <c r="A12" s="14" t="inlineStr">
        <is>
          <t>► M7B6</t>
        </is>
      </c>
      <c r="B12" s="30" t="n">
        <v>91.29000000000001</v>
      </c>
      <c r="C12" s="31" t="n">
        <v>22.66</v>
      </c>
      <c r="D12" s="15" t="inlineStr">
        <is>
          <t>228 – 453</t>
        </is>
      </c>
      <c r="E12" s="15" t="n">
        <v>225</v>
      </c>
      <c r="F12" s="15" t="n">
        <v>16.87</v>
      </c>
      <c r="G12" s="32" t="n">
        <v>0.2878</v>
      </c>
      <c r="H12" s="31" t="n">
        <v>0.73</v>
      </c>
      <c r="I12" s="31" t="n">
        <v>99.95999999999999</v>
      </c>
    </row>
    <row r="13">
      <c r="A13" s="12" t="inlineStr">
        <is>
          <t>M7B3</t>
        </is>
      </c>
      <c r="B13" s="29" t="n">
        <v>65.73999999999999</v>
      </c>
      <c r="C13" s="21" t="n">
        <v>16.32</v>
      </c>
      <c r="D13" s="13" t="inlineStr">
        <is>
          <t>209 – 372</t>
        </is>
      </c>
      <c r="E13" s="13" t="n">
        <v>163</v>
      </c>
      <c r="F13" s="13" t="n">
        <v>19.61</v>
      </c>
      <c r="G13" s="20" t="n">
        <v>0.298</v>
      </c>
      <c r="H13" s="21" t="n">
        <v>1.32</v>
      </c>
      <c r="I13" s="21" t="n">
        <v>99.84999999999999</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c r="I14" s="23">
        <f>ROUND(AVERAGE(I10:I13),2)</f>
        <v/>
      </c>
    </row>
    <row r="16" ht="84" customHeight="1">
      <c r="A16" s="9" t="inlineStr">
        <is>
          <t>LECTURA INTRAMICROCUENCA. El bloque M7B6 ocupa el puesto 3 de 4 por superficie dentro de la microcuenca C1076-Q9581 (22.66 % de las 402.84 ha preliminares de la microcuenca). Su pendiente promedio (16.87 %, clase «15-25% (Fuert. inclinado)») es la 2.ª más baja de 4 y se sitúa por debajo del promedio de la microcuenca (16.96 %). Su MSAVI 2024 (0.2878) es el 3.º de 4 y queda por debajo del promedio local (0.2968). Amplitud altitudinal del bloque: 225 m (228–453 msnm). El cuadro conserva todos los bloques catalogados en la microcuenca, incluidos los descartados en el tamizaje, para referencia del conjunto. Los bloques sin ficha DT figuran con sus parámetros de gabinete. BRECHA ESPECTRAL. El 99.96 % de la superficie del bloque (91.253 ha de 91.285 ha) se sitúa bajo el umbral MSAVI 0.4976, por encima del promedio local de la microcuenca (99.79 %) calculado sobre los bloques con dato MSAVI disponible.</t>
        </is>
      </c>
      <c r="B16" s="42" t="n"/>
      <c r="C16" s="42" t="n"/>
      <c r="D16" s="42" t="n"/>
      <c r="E16" s="42" t="n"/>
      <c r="F16" s="42" t="n"/>
      <c r="G16" s="42" t="n"/>
      <c r="H16" s="42" t="n"/>
      <c r="I16" s="43"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2" t="n"/>
      <c r="I18" s="43" t="n"/>
    </row>
  </sheetData>
  <mergeCells count="9">
    <mergeCell ref="A2:I2"/>
    <mergeCell ref="A5:I5"/>
    <mergeCell ref="A1:I1"/>
    <mergeCell ref="A18:I18"/>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M7B6</t>
        </is>
      </c>
    </row>
    <row r="6">
      <c r="A6" s="53" t="inlineStr">
        <is>
          <t>Cruce de la ficha de campo F-DT vigente con la ficha de resumen de gabinete y el catálogo maestro. Integración 2026-09-11 21:26:38.</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«C1076-Q9581».</t>
        </is>
      </c>
      <c r="D9" s="57" t="inlineStr">
        <is>
          <t>CONFORME</t>
        </is>
      </c>
      <c r="E9" s="57" t="inlineStr">
        <is>
          <t>Sin acción.</t>
        </is>
      </c>
    </row>
    <row r="10">
      <c r="A10" s="58" t="inlineStr">
        <is>
          <t>G-02</t>
        </is>
      </c>
      <c r="B10" s="58" t="inlineStr">
        <is>
          <t>UTM del punto de muestreo</t>
        </is>
      </c>
      <c r="C10" s="58" t="inlineStr">
        <is>
          <t>El punto de muestreo declarado dista 592.8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(222 msnm) cae dentro del rango altitudinal del bloque (228 - 453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(91.317 ha) se desvía 0.03 % de la superficie de catálogo (91.29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(91.285 ha) se desvía -0.01 % de la superficie de catálogo (91.29 ha).</t>
        </is>
      </c>
      <c r="D14" s="58" t="inlineStr">
        <is>
          <t>CONFORME</t>
        </is>
      </c>
      <c r="E14" s="58" t="inlineStr">
        <is>
          <t>Sin acción: la segmentación valida la geometría del bloque.</t>
        </is>
      </c>
    </row>
    <row r="15">
      <c r="A15" s="57" t="inlineStr">
        <is>
          <t>G-07</t>
        </is>
      </c>
      <c r="B15" s="57" t="inlineStr">
        <is>
          <t>Brecha espectral MSAVI</t>
        </is>
      </c>
      <c r="C15" s="57" t="inlineStr">
        <is>
          <t>El 99.96 % del bloque queda bajo el umbral 0.4976; superficie de brecha 91.25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91.29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(0.2878)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Responsable de la evaluación</t>
        </is>
      </c>
      <c r="C19" s="57" t="inlineStr">
        <is>
          <t>El libro de resumen V6 consignaba «Ing. Héctor Salomón Cahuas Miller (con Ing. Juan Carlos Domínguez Varas)»; la ficha de campo vigente declara «Ing. Héctor Salomón Cahuas Miller / Ing. Juan Carlos Domínguez Varas».</t>
        </is>
      </c>
      <c r="D19" s="57" t="inlineStr">
        <is>
          <t>CORREGIDO</t>
        </is>
      </c>
      <c r="E19" s="57" t="inlineStr">
        <is>
          <t>Se adopta el valor de campo por ser la fuente que manda sobre el dato y la más reciente. El valor anterior queda declarado para trazabilidad.</t>
        </is>
      </c>
    </row>
    <row r="20">
      <c r="A20" s="58" t="inlineStr">
        <is>
          <t>F-01</t>
        </is>
      </c>
      <c r="B20" s="58" t="inlineStr">
        <is>
          <t>Fichas F-DT levantadas</t>
        </is>
      </c>
      <c r="C20" s="58" t="inlineStr">
        <is>
          <t>La plantilla de campo trae las cinco fichas F-DT-01 a F-DT-05 (completitud 100.0 % de los campos esperados).</t>
        </is>
      </c>
      <c r="D20" s="58" t="inlineStr">
        <is>
          <t>CONFORME</t>
        </is>
      </c>
      <c r="E20" s="58" t="inlineStr">
        <is>
          <t>Sin acción.</t>
        </is>
      </c>
    </row>
    <row r="21">
      <c r="A21" s="57" t="inlineStr">
        <is>
          <t>F-02</t>
        </is>
      </c>
      <c r="B21" s="57" t="inlineStr">
        <is>
          <t>Cobertura de la integración</t>
        </is>
      </c>
      <c r="C21" s="57" t="inlineStr">
        <is>
          <t>Se declararon 110 de 114 hechos integrados (96.5 %); 4 quedan sin dato en ninguna fuente.</t>
        </is>
      </c>
      <c r="D21" s="57" t="inlineStr">
        <is>
          <t>CONFORME</t>
        </is>
      </c>
      <c r="E21" s="57" t="inlineStr">
        <is>
          <t>Sin acción.</t>
        </is>
      </c>
    </row>
    <row r="22">
      <c r="A22" s="58" t="inlineStr">
        <is>
          <t>H-01</t>
        </is>
      </c>
      <c r="B22" s="58" t="inlineStr">
        <is>
          <t>Cobertura vegetal total</t>
        </is>
      </c>
      <c r="C22" s="58" t="inlineStr">
        <is>
          <t>La ficha DT estima 55 % de cobertura vegetal en campo; el NDVI mediana 2025 clasifica 99.62 % del polígono en clases de vegetación</t>
        </is>
      </c>
      <c r="D22" s="58" t="inlineStr">
        <is>
          <t>NO SUSTANTIVA</t>
        </is>
      </c>
      <c r="E22"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7" t="inlineStr">
        <is>
          <t>H-02</t>
        </is>
      </c>
      <c r="B23" s="57" t="inlineStr">
        <is>
          <t>Elenco florístico</t>
        </is>
      </c>
      <c r="C23" s="57" t="inlineStr">
        <is>
          <t>La ficha registra 12 taxones, por debajo del mínimo de 15 que exige el formato V5</t>
        </is>
      </c>
      <c r="D23" s="57" t="inlineStr">
        <is>
          <t>SUSTANTIVA</t>
        </is>
      </c>
      <c r="E23" s="57" t="inlineStr">
        <is>
          <t>Registro florístico preliminar, sin colecta ni determinación botánica formal. Debe cerrarse con colecta botánica en la siguiente campaña. (Verificación heredada de la ficha de resumen V6.)</t>
        </is>
      </c>
    </row>
    <row r="24">
      <c r="A24" s="58" t="inlineStr">
        <is>
          <t>H-03</t>
        </is>
      </c>
      <c r="B24" s="58" t="inlineStr">
        <is>
          <t>Representatividad del levantamiento</t>
        </is>
      </c>
      <c r="C24" s="58" t="inlineStr">
        <is>
          <t>Ninguna de las estaciones fotográficas georreferenciadas se localiza dentro del polígono del bloque</t>
        </is>
      </c>
      <c r="D24" s="58" t="inlineStr">
        <is>
          <t>SUSTANTIVA</t>
        </is>
      </c>
      <c r="E24" s="58" t="inlineStr">
        <is>
          <t>La verificación documenta el perímetro y la vista panorámica del bloque, no su interior. Los parámetros que exigen recorrido interno se consignan «Por determinar». (Verificación heredada de la ficha de resumen V6.)</t>
        </is>
      </c>
    </row>
    <row r="25">
      <c r="A25" s="57" t="inlineStr">
        <is>
          <t>H-04</t>
        </is>
      </c>
      <c r="B25" s="57" t="inlineStr">
        <is>
          <t>Centro poblado asociado</t>
        </is>
      </c>
      <c r="C25" s="57" t="inlineStr">
        <is>
          <t>La ficha DT declara «Serrán / Nuevo San Juan»; el cruce INEI-Bloques V5 identifica 3 centro(s) poblado(s) en el bloque: NUEVO SAN JUAN, SANTA ROSA, SERRAN</t>
        </is>
      </c>
      <c r="D25" s="57" t="inlineStr">
        <is>
          <t>CONFORME</t>
        </is>
      </c>
      <c r="E25" s="57" t="inlineStr">
        <is>
          <t>Se conserva el registro de campo como referencia y se adopta el listado INEI para el diagnóstico social y el cálculo de población beneficiaria. (Verificación heredada de la ficha de resumen V6.)</t>
        </is>
      </c>
    </row>
    <row r="26">
      <c r="A26" s="58" t="inlineStr">
        <is>
          <t>H-05</t>
        </is>
      </c>
      <c r="B26" s="58" t="inlineStr">
        <is>
          <t>Plan de Ingreso</t>
        </is>
      </c>
      <c r="C26" s="58" t="inlineStr">
        <is>
          <t>Altitud = 0 msnm (captura por defecto del aplicativo)</t>
        </is>
      </c>
      <c r="D26" s="58" t="inlineStr">
        <is>
          <t>CORREGIDO</t>
        </is>
      </c>
      <c r="E26" s="58" t="inlineStr">
        <is>
          <t>Se reemplaza por la altitud GPS de campo (250 msnm) (Verificación heredada de la ficha de resumen V6.)</t>
        </is>
      </c>
    </row>
    <row r="27">
      <c r="A27" s="57" t="inlineStr">
        <is>
          <t>H-06</t>
        </is>
      </c>
      <c r="B27" s="57" t="inlineStr">
        <is>
          <t>F-DT-01</t>
        </is>
      </c>
      <c r="C27" s="57" t="inlineStr">
        <is>
          <t>Viviendas con muros derruidos y daños a infraestructura por activación de quebradas en el flanco oriental (Serrán / Nuevo San Juan)</t>
        </is>
      </c>
      <c r="D27" s="57" t="inlineStr">
        <is>
          <t>SUSTANTIVA</t>
        </is>
      </c>
      <c r="E27" s="57" t="inlineStr">
        <is>
          <t>Elementos expuestos urbanos inmediatos: incorporar al análisis de riesgo y priorizar el control de escorrentía (Verificación heredada de la ficha de resumen V6.)</t>
        </is>
      </c>
    </row>
    <row r="28">
      <c r="A28" s="58" t="inlineStr">
        <is>
          <t>H-07</t>
        </is>
      </c>
      <c r="B28" s="58" t="inlineStr">
        <is>
          <t>F-DT-02 / F-DT-04</t>
        </is>
      </c>
      <c r="C28" s="58" t="inlineStr">
        <is>
          <t>Urgencia de control de erosión MEDIA frente a urgencia de intervención ALTA</t>
        </is>
      </c>
      <c r="D28" s="58" t="inlineStr">
        <is>
          <t>NO SUSTANTIVA</t>
        </is>
      </c>
      <c r="E28" s="58" t="inlineStr">
        <is>
          <t>Resolver en la carga definitiva (Verificación heredada de la ficha de resumen V6.)</t>
        </is>
      </c>
    </row>
    <row r="29">
      <c r="A29" s="57" t="inlineStr">
        <is>
          <t>H-08</t>
        </is>
      </c>
      <c r="B29" s="57" t="inlineStr">
        <is>
          <t>F-DT-03</t>
        </is>
      </c>
      <c r="C29" s="57" t="inlineStr">
        <is>
          <t>Categoría del Hualtaco consignada VU y del Palo Santo NT, frente a CR en la mayoría de los bloques</t>
        </is>
      </c>
      <c r="D29" s="57" t="inlineStr">
        <is>
          <t>SUSTANTIVA</t>
        </is>
      </c>
      <c r="E29" s="57" t="inlineStr">
        <is>
          <t>Homogeneizar criterio de categorización (Verificación heredada de la ficha de resumen V6.)</t>
        </is>
      </c>
    </row>
    <row r="31">
      <c r="A31" s="59" t="inlineStr">
        <is>
          <t>RESUMEN</t>
        </is>
      </c>
      <c r="B31" s="60" t="inlineStr">
        <is>
          <t>21 verificaciones</t>
        </is>
      </c>
      <c r="C31" s="60" t="inlineStr">
        <is>
          <t>SUSTANTIVA: 5 · NO SUSTANTIVA: 2 · CORREGIDO: 2 · CONFORME: 12</t>
        </is>
      </c>
    </row>
    <row r="33">
      <c r="A33"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M7B6</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8. Responsable y modalidad de la evaluación</t>
        </is>
      </c>
      <c r="B9" s="57" t="inlineStr">
        <is>
          <t>Responsable de la evaluación</t>
        </is>
      </c>
      <c r="C9" s="57" t="inlineStr">
        <is>
          <t>Ing. Héctor Salomón Cahuas Miller (con Ing. Juan Carlos Domínguez Varas)</t>
        </is>
      </c>
      <c r="D9" s="57" t="inlineStr">
        <is>
          <t>Ing. Héctor Salomón Cahuas Miller / Ing. Juan Carlos Domínguez Varas</t>
        </is>
      </c>
      <c r="E9" s="57" t="inlineStr">
        <is>
          <t>Dato de campo</t>
        </is>
      </c>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635250</t>
        </is>
      </c>
      <c r="D13" s="57" t="inlineStr">
        <is>
          <t>m</t>
        </is>
      </c>
    </row>
    <row r="14">
      <c r="A14" s="58" t="inlineStr">
        <is>
          <t>1. Identificación y localización</t>
        </is>
      </c>
      <c r="B14" s="58" t="inlineStr">
        <is>
          <t>UTM NORTE del punto de muestreo (m)</t>
        </is>
      </c>
      <c r="C14" s="58" t="inlineStr">
        <is>
          <t>9399668</t>
        </is>
      </c>
      <c r="D14" s="58" t="inlineStr">
        <is>
          <t>m</t>
        </is>
      </c>
    </row>
    <row r="15">
      <c r="A15" s="57" t="inlineStr">
        <is>
          <t>2. Parámetros físicos del terreno</t>
        </is>
      </c>
      <c r="B15" s="57" t="inlineStr">
        <is>
          <t>Altitud GPS del punto de muestreo (msnm)</t>
        </is>
      </c>
      <c r="C15" s="57" t="inlineStr">
        <is>
          <t>222</t>
        </is>
      </c>
      <c r="D15" s="57" t="inlineStr">
        <is>
          <t>msnm</t>
        </is>
      </c>
    </row>
    <row r="16">
      <c r="A16" s="58" t="inlineStr">
        <is>
          <t>2. Parámetros físicos del terreno</t>
        </is>
      </c>
      <c r="B16" s="58" t="inlineStr">
        <is>
          <t>Piso altitudinal del punto de muestreo</t>
        </is>
      </c>
      <c r="C16" s="58" t="inlineStr">
        <is>
          <t>&lt;1000 m (Yunga)</t>
        </is>
      </c>
      <c r="D16" s="58" t="inlineStr"/>
    </row>
    <row r="17">
      <c r="A17" s="57" t="inlineStr">
        <is>
          <t>2. Parámetros físicos del terreno</t>
        </is>
      </c>
      <c r="B17" s="57" t="inlineStr">
        <is>
          <t>Paisaje dominante descrito en campo</t>
        </is>
      </c>
      <c r="C17" s="57" t="inlineStr">
        <is>
          <t>Laderas de colina y montaña baja con bosque estacionalmente seco degradado; estrato arbustivo-herbáceo dominante con árboles dispersos (Charán, Palo Santo, Hualtaco) y relictos en cotas altas inaccesibles. Pie de ladera ocupado por viviendas, infraestructura y pequeñas chacras de secano.</t>
        </is>
      </c>
      <c r="D17" s="57" t="inlineStr"/>
    </row>
    <row r="18">
      <c r="A18" s="58" t="inlineStr">
        <is>
          <t>2. Parámetros físicos del terreno</t>
        </is>
      </c>
      <c r="B18" s="58" t="inlineStr">
        <is>
          <t>Reptación de suelo</t>
        </is>
      </c>
      <c r="C18" s="58" t="inlineStr">
        <is>
          <t>Sí</t>
        </is>
      </c>
      <c r="D18" s="58" t="inlineStr"/>
    </row>
    <row r="19">
      <c r="A19" s="57" t="inlineStr">
        <is>
          <t>2. Parámetros físicos del terreno</t>
        </is>
      </c>
      <c r="B19" s="57" t="inlineStr">
        <is>
          <t>Deslizamientos antiguos</t>
        </is>
      </c>
      <c r="C19" s="57" t="inlineStr">
        <is>
          <t>Sí</t>
        </is>
      </c>
      <c r="D19" s="57" t="inlineStr"/>
    </row>
    <row r="20">
      <c r="A20" s="58" t="inlineStr">
        <is>
          <t>4. Suelos y erosión (F-DT-02)</t>
        </is>
      </c>
      <c r="B20" s="58" t="inlineStr">
        <is>
          <t>Nivel de erosión - síntesis de campo</t>
        </is>
      </c>
      <c r="C20" s="58" t="inlineStr">
        <is>
          <t>Moderada (surcos)</t>
        </is>
      </c>
      <c r="D20" s="58" t="inlineStr"/>
    </row>
    <row r="21">
      <c r="A21" s="57" t="inlineStr">
        <is>
          <t>4. Suelos y erosión (F-DT-02)</t>
        </is>
      </c>
      <c r="B21" s="57" t="inlineStr">
        <is>
          <t>Sellamiento / costra superficial</t>
        </is>
      </c>
      <c r="C21" s="57" t="inlineStr">
        <is>
          <t>Sí</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Sí</t>
        </is>
      </c>
      <c r="D23" s="57" t="inlineStr"/>
    </row>
    <row r="24">
      <c r="A24" s="58" t="inlineStr">
        <is>
          <t>4. Suelos y erosión (F-DT-02)</t>
        </is>
      </c>
      <c r="B24" s="58" t="inlineStr">
        <is>
          <t>Longitud total de cárcavas (m)</t>
        </is>
      </c>
      <c r="C24" s="58" t="inlineStr">
        <is>
          <t>195</t>
        </is>
      </c>
      <c r="D24" s="58" t="inlineStr">
        <is>
          <t>m</t>
        </is>
      </c>
    </row>
    <row r="25">
      <c r="A25" s="57" t="inlineStr">
        <is>
          <t>4. Suelos y erosión (F-DT-02)</t>
        </is>
      </c>
      <c r="B25" s="57" t="inlineStr">
        <is>
          <t>% del bloque afectado por cárcavas</t>
        </is>
      </c>
      <c r="C25" s="57" t="inlineStr">
        <is>
          <t>8</t>
        </is>
      </c>
      <c r="D25" s="57" t="inlineStr">
        <is>
          <t>%</t>
        </is>
      </c>
    </row>
    <row r="26">
      <c r="A26" s="58" t="inlineStr">
        <is>
          <t>4. Suelos y erosión (F-DT-02)</t>
        </is>
      </c>
      <c r="B26" s="58" t="inlineStr">
        <is>
          <t>Erosión laminar (% del bloque)</t>
        </is>
      </c>
      <c r="C26" s="58" t="inlineStr">
        <is>
          <t>25</t>
        </is>
      </c>
      <c r="D26" s="58" t="inlineStr">
        <is>
          <t>%</t>
        </is>
      </c>
    </row>
    <row r="27">
      <c r="A27" s="57" t="inlineStr">
        <is>
          <t>4. Suelos y erosión (F-DT-02)</t>
        </is>
      </c>
      <c r="B27" s="57" t="inlineStr">
        <is>
          <t>Patrón de cárcavas</t>
        </is>
      </c>
      <c r="C27" s="57" t="inlineStr">
        <is>
          <t>Dendrítico</t>
        </is>
      </c>
      <c r="D27" s="57" t="inlineStr"/>
    </row>
    <row r="28">
      <c r="A28" s="58" t="inlineStr">
        <is>
          <t>4. Suelos y erosión (F-DT-02)</t>
        </is>
      </c>
      <c r="B28" s="58" t="inlineStr">
        <is>
          <t>Socavamiento de cauce</t>
        </is>
      </c>
      <c r="C28" s="58" t="inlineStr">
        <is>
          <t>Sí</t>
        </is>
      </c>
      <c r="D28" s="58" t="inlineStr"/>
    </row>
    <row r="29">
      <c r="A29" s="57" t="inlineStr">
        <is>
          <t>5. Ecosistema, cobertura y flora (F-DT-03)</t>
        </is>
      </c>
      <c r="B29" s="57" t="inlineStr">
        <is>
          <t>Cobertura del dosel (%)</t>
        </is>
      </c>
      <c r="C29" s="57" t="inlineStr">
        <is>
          <t>10</t>
        </is>
      </c>
      <c r="D29" s="57" t="inlineStr">
        <is>
          <t>%</t>
        </is>
      </c>
    </row>
    <row r="30">
      <c r="A30" s="58" t="inlineStr">
        <is>
          <t>5. Ecosistema, cobertura y flora (F-DT-03)</t>
        </is>
      </c>
      <c r="B30" s="58" t="inlineStr">
        <is>
          <t>Cobertura arbustiva (%)</t>
        </is>
      </c>
      <c r="C30" s="58" t="inlineStr">
        <is>
          <t>35</t>
        </is>
      </c>
      <c r="D30" s="58" t="inlineStr">
        <is>
          <t>%</t>
        </is>
      </c>
    </row>
    <row r="31">
      <c r="A31" s="57" t="inlineStr">
        <is>
          <t>5. Ecosistema, cobertura y flora (F-DT-03)</t>
        </is>
      </c>
      <c r="B31" s="57" t="inlineStr">
        <is>
          <t>Cobertura herbácea (%)</t>
        </is>
      </c>
      <c r="C31" s="57" t="inlineStr">
        <is>
          <t>40</t>
        </is>
      </c>
      <c r="D31" s="57" t="inlineStr">
        <is>
          <t>%</t>
        </is>
      </c>
    </row>
    <row r="32">
      <c r="A32" s="58" t="inlineStr">
        <is>
          <t>5. Ecosistema, cobertura y flora (F-DT-03)</t>
        </is>
      </c>
      <c r="B32" s="58" t="inlineStr">
        <is>
          <t>Cobertura de hojarasca (%)</t>
        </is>
      </c>
      <c r="C32" s="58" t="inlineStr">
        <is>
          <t>10</t>
        </is>
      </c>
      <c r="D32" s="58" t="inlineStr">
        <is>
          <t>%</t>
        </is>
      </c>
    </row>
    <row r="33">
      <c r="A33" s="57" t="inlineStr">
        <is>
          <t>5. Ecosistema, cobertura y flora (F-DT-03)</t>
        </is>
      </c>
      <c r="B33" s="57" t="inlineStr">
        <is>
          <t>Altura del estrato dominante (m)</t>
        </is>
      </c>
      <c r="C33" s="57" t="inlineStr">
        <is>
          <t>1.5</t>
        </is>
      </c>
      <c r="D33" s="57" t="inlineStr">
        <is>
          <t>m</t>
        </is>
      </c>
    </row>
    <row r="34">
      <c r="A34" s="58" t="inlineStr">
        <is>
          <t>5. Ecosistema, cobertura y flora (F-DT-03)</t>
        </is>
      </c>
      <c r="B34" s="58" t="inlineStr">
        <is>
          <t>Altura máxima registrada (m)</t>
        </is>
      </c>
      <c r="C34" s="58" t="inlineStr">
        <is>
          <t>8</t>
        </is>
      </c>
      <c r="D34" s="58" t="inlineStr">
        <is>
          <t>m</t>
        </is>
      </c>
    </row>
    <row r="35">
      <c r="A35" s="57" t="inlineStr">
        <is>
          <t>5. Ecosistema, cobertura y flora (F-DT-03)</t>
        </is>
      </c>
      <c r="B35" s="57" t="inlineStr">
        <is>
          <t>DAP promedio (cm)</t>
        </is>
      </c>
      <c r="C35" s="57" t="inlineStr">
        <is>
          <t>15</t>
        </is>
      </c>
      <c r="D35" s="57" t="inlineStr">
        <is>
          <t>cm</t>
        </is>
      </c>
    </row>
    <row r="36">
      <c r="A36" s="58" t="inlineStr">
        <is>
          <t>5. Ecosistema, cobertura y flora (F-DT-03)</t>
        </is>
      </c>
      <c r="B36" s="58" t="inlineStr">
        <is>
          <t>Presencia de epífitas</t>
        </is>
      </c>
      <c r="C36" s="58" t="inlineStr">
        <is>
          <t>No</t>
        </is>
      </c>
      <c r="D36" s="58" t="inlineStr"/>
    </row>
    <row r="37">
      <c r="A37" s="57" t="inlineStr">
        <is>
          <t>5. Ecosistema, cobertura y flora (F-DT-03)</t>
        </is>
      </c>
      <c r="B37" s="57" t="inlineStr">
        <is>
          <t>Fenología dominante</t>
        </is>
      </c>
      <c r="C37" s="57" t="inlineStr">
        <is>
          <t>Vegetativo</t>
        </is>
      </c>
      <c r="D37" s="57" t="inlineStr"/>
    </row>
    <row r="38">
      <c r="A38" s="58" t="inlineStr">
        <is>
          <t>5. Ecosistema, cobertura y flora (F-DT-03)</t>
        </is>
      </c>
      <c r="B38" s="58" t="inlineStr">
        <is>
          <t>Pendiente de la parcela (%)</t>
        </is>
      </c>
      <c r="C38" s="58" t="inlineStr">
        <is>
          <t>18</t>
        </is>
      </c>
      <c r="D38" s="58" t="inlineStr">
        <is>
          <t>%</t>
        </is>
      </c>
    </row>
    <row r="39">
      <c r="A39" s="57" t="inlineStr">
        <is>
          <t>5. Ecosistema, cobertura y flora (F-DT-03)</t>
        </is>
      </c>
      <c r="B39" s="57" t="inlineStr">
        <is>
          <t>Especies clave georreferenciadas</t>
        </is>
      </c>
      <c r="C39" s="57" t="inlineStr">
        <is>
          <t>5</t>
        </is>
      </c>
      <c r="D39" s="57" t="inlineStr"/>
    </row>
    <row r="40">
      <c r="A40" s="58" t="inlineStr">
        <is>
          <t>6. Degradación, causas y urgencia (F-DT-04)</t>
        </is>
      </c>
      <c r="B40" s="58" t="inlineStr">
        <is>
          <t>Causas directas de la degradación</t>
        </is>
      </c>
      <c r="C40" s="58" t="inlineStr">
        <is>
          <t>Sobrepastoreo, tala selectiva para leña/carbón, quemas periódicas de pastos, expansión urbana en el pie de ladera y colonización por Ipomoea carnea (borrachera).</t>
        </is>
      </c>
      <c r="D40" s="58" t="inlineStr"/>
    </row>
    <row r="41">
      <c r="A41" s="57" t="inlineStr">
        <is>
          <t>6. Degradación, causas y urgencia (F-DT-04)</t>
        </is>
      </c>
      <c r="B41" s="57" t="inlineStr">
        <is>
          <t>N.° de causas activas en la matriz F-DT-04</t>
        </is>
      </c>
      <c r="C41" s="57" t="inlineStr">
        <is>
          <t>11</t>
        </is>
      </c>
      <c r="D41" s="57" t="inlineStr"/>
    </row>
    <row r="42">
      <c r="A42" s="58" t="inlineStr">
        <is>
          <t>7. Hidrología, acceso y logística (F-DT-05)</t>
        </is>
      </c>
      <c r="B42" s="58" t="inlineStr">
        <is>
          <t>Escorrentía concentrada</t>
        </is>
      </c>
      <c r="C42" s="58" t="inlineStr">
        <is>
          <t>Sí</t>
        </is>
      </c>
      <c r="D42" s="58" t="inlineStr"/>
    </row>
    <row r="43">
      <c r="A43" s="57" t="inlineStr">
        <is>
          <t>7. Hidrología, acceso y logística (F-DT-05)</t>
        </is>
      </c>
      <c r="B43" s="57" t="inlineStr">
        <is>
          <t>Fuentes de agua inventariadas</t>
        </is>
      </c>
      <c r="C43" s="57" t="inlineStr">
        <is>
          <t>3</t>
        </is>
      </c>
      <c r="D43" s="57" t="inlineStr"/>
    </row>
    <row r="44">
      <c r="A44" s="58" t="inlineStr">
        <is>
          <t>7. Hidrología, acceso y logística (F-DT-05)</t>
        </is>
      </c>
      <c r="B44" s="58" t="inlineStr">
        <is>
          <t>Distancia a captación (m)</t>
        </is>
      </c>
      <c r="C44" s="58" t="inlineStr">
        <is>
          <t>800</t>
        </is>
      </c>
      <c r="D44" s="58" t="inlineStr">
        <is>
          <t>m</t>
        </is>
      </c>
    </row>
    <row r="45">
      <c r="A45" s="57" t="inlineStr">
        <is>
          <t>7. Hidrología, acceso y logística (F-DT-05)</t>
        </is>
      </c>
      <c r="B45" s="57" t="inlineStr">
        <is>
          <t>Interferencia con riego</t>
        </is>
      </c>
      <c r="C45" s="57" t="inlineStr">
        <is>
          <t>No</t>
        </is>
      </c>
      <c r="D45" s="57" t="inlineStr"/>
    </row>
    <row r="46">
      <c r="A46" s="58" t="inlineStr">
        <is>
          <t>7. Hidrología, acceso y logística (F-DT-05)</t>
        </is>
      </c>
      <c r="B46" s="58" t="inlineStr">
        <is>
          <t>Vía principal de acceso</t>
        </is>
      </c>
      <c r="C46" s="58" t="inlineStr">
        <is>
          <t>Carretera Morropón–Buenos Aires, desvío a Serrán (capital de Salitral)</t>
        </is>
      </c>
      <c r="D46" s="58" t="inlineStr"/>
    </row>
    <row r="47">
      <c r="A47" s="57" t="inlineStr">
        <is>
          <t>7. Hidrología, acceso y logística (F-DT-05)</t>
        </is>
      </c>
      <c r="B47" s="57" t="inlineStr">
        <is>
          <t>Tipo de vía del tramo final</t>
        </is>
      </c>
      <c r="C47" s="57" t="inlineStr">
        <is>
          <t>Trocha carrozable</t>
        </is>
      </c>
      <c r="D47" s="57" t="inlineStr"/>
    </row>
    <row r="48">
      <c r="A48" s="58" t="inlineStr">
        <is>
          <t>7. Hidrología, acceso y logística (F-DT-05)</t>
        </is>
      </c>
      <c r="B48" s="58" t="inlineStr">
        <is>
          <t>Transitabilidad en época seca</t>
        </is>
      </c>
      <c r="C48" s="58" t="inlineStr">
        <is>
          <t>Alto</t>
        </is>
      </c>
      <c r="D48" s="58" t="inlineStr"/>
    </row>
    <row r="49">
      <c r="A49" s="57" t="inlineStr">
        <is>
          <t>7. Hidrología, acceso y logística (F-DT-05)</t>
        </is>
      </c>
      <c r="B49" s="57" t="inlineStr">
        <is>
          <t>Transitabilidad en época lluviosa</t>
        </is>
      </c>
      <c r="C49" s="57" t="inlineStr">
        <is>
          <t>Bajo</t>
        </is>
      </c>
      <c r="D49" s="57" t="inlineStr"/>
    </row>
    <row r="50">
      <c r="A50" s="58" t="inlineStr">
        <is>
          <t>7. Hidrología, acceso y logística (F-DT-05)</t>
        </is>
      </c>
      <c r="B50" s="58" t="inlineStr">
        <is>
          <t>Tiempo a la capital distrital (min)</t>
        </is>
      </c>
      <c r="C50" s="58" t="inlineStr">
        <is>
          <t>30</t>
        </is>
      </c>
      <c r="D50" s="58" t="inlineStr">
        <is>
          <t>min</t>
        </is>
      </c>
    </row>
    <row r="51">
      <c r="A51" s="57" t="inlineStr">
        <is>
          <t>7. Hidrología, acceso y logística (F-DT-05)</t>
        </is>
      </c>
      <c r="B51" s="57" t="inlineStr">
        <is>
          <t>Señal celular</t>
        </is>
      </c>
      <c r="C51" s="57" t="inlineStr">
        <is>
          <t>Parcial</t>
        </is>
      </c>
      <c r="D51" s="57" t="inlineStr"/>
    </row>
    <row r="52">
      <c r="A52" s="58" t="inlineStr">
        <is>
          <t>7. Hidrología, acceso y logística (F-DT-05)</t>
        </is>
      </c>
      <c r="B52" s="58" t="inlineStr">
        <is>
          <t>Operador con cobertura</t>
        </is>
      </c>
      <c r="C52" s="58" t="inlineStr">
        <is>
          <t>Movistar</t>
        </is>
      </c>
      <c r="D52" s="58" t="inlineStr"/>
    </row>
    <row r="53">
      <c r="A53" s="57" t="inlineStr">
        <is>
          <t>7. Hidrología, acceso y logística (F-DT-05)</t>
        </is>
      </c>
      <c r="B53" s="57" t="inlineStr">
        <is>
          <t>Alojamiento disponible en la zona</t>
        </is>
      </c>
      <c r="C53" s="57" t="inlineStr">
        <is>
          <t>No</t>
        </is>
      </c>
      <c r="D53" s="57" t="inlineStr"/>
    </row>
    <row r="54">
      <c r="A54" s="58" t="inlineStr">
        <is>
          <t>7. Hidrología, acceso y logística (F-DT-05)</t>
        </is>
      </c>
      <c r="B54" s="58" t="inlineStr">
        <is>
          <t>Requiere coordinación con ronda / comunidad</t>
        </is>
      </c>
      <c r="C54" s="58" t="inlineStr">
        <is>
          <t>Sí</t>
        </is>
      </c>
      <c r="D54" s="58" t="inlineStr"/>
    </row>
    <row r="55">
      <c r="A55" s="57" t="inlineStr">
        <is>
          <t>7. Hidrología, acceso y logística (F-DT-05)</t>
        </is>
      </c>
      <c r="B55" s="57" t="inlineStr">
        <is>
          <t>Contacto local de coordinación</t>
        </is>
      </c>
      <c r="C55" s="57" t="inlineStr">
        <is>
          <t>No aplica</t>
        </is>
      </c>
      <c r="D55" s="57" t="inlineStr"/>
    </row>
    <row r="57">
      <c r="A57" s="55" t="inlineStr">
        <is>
          <t>C. PROCEDENCIA DE LOS HECHOS DECLARADOS</t>
        </is>
      </c>
    </row>
    <row r="58">
      <c r="A58" s="56" t="inlineStr">
        <is>
          <t>Fuente</t>
        </is>
      </c>
      <c r="B58" s="56" t="inlineStr">
        <is>
          <t>Hechos</t>
        </is>
      </c>
      <c r="C58" s="56" t="inlineStr">
        <is>
          <t>Alcance de la fuente</t>
        </is>
      </c>
    </row>
    <row r="59">
      <c r="A59" s="57" t="inlineStr">
        <is>
          <t>Dato de campo</t>
        </is>
      </c>
      <c r="B59" s="57" t="n">
        <v>73</v>
      </c>
      <c r="C59" s="57" t="inlineStr">
        <is>
          <t>Verificación en campo. Fichas F-DT-01 a F-DT-05 de la Plantilla DT Campo Check Validada V5, suscritas por el evaluador.</t>
        </is>
      </c>
    </row>
    <row r="60">
      <c r="A60" s="58" t="inlineStr">
        <is>
          <t>Gabinete (GIS / teledetección)</t>
        </is>
      </c>
      <c r="B60" s="58" t="n">
        <v>23</v>
      </c>
      <c r="C60" s="58" t="inlineStr">
        <is>
          <t>Gabinete. Estadística zonal sobre el MDE y compuestos Sentinel-2 (NDVI mediana 2025, MSAVI 2024 por clase DN).</t>
        </is>
      </c>
    </row>
    <row r="61">
      <c r="A61" s="57" t="inlineStr">
        <is>
          <t>Fuente oficial</t>
        </is>
      </c>
      <c r="B61" s="57" t="n">
        <v>14</v>
      </c>
      <c r="C61" s="57" t="inlineStr">
        <is>
          <t>Fuente oficial. Catálogo maestro Bloques V5/V6, división política INEI y codificación de microcuencas de la ANA.</t>
        </is>
      </c>
    </row>
    <row r="63">
      <c r="A63" s="55" t="inlineStr">
        <is>
          <t>D. ESTADO DEL CRUCE ENTRE FUENTES</t>
        </is>
      </c>
    </row>
    <row r="64">
      <c r="A64" s="56" t="inlineStr">
        <is>
          <t>Estado</t>
        </is>
      </c>
      <c r="B64" s="56" t="inlineStr">
        <is>
          <t>Hechos</t>
        </is>
      </c>
      <c r="C64" s="56" t="inlineStr">
        <is>
          <t>Significado</t>
        </is>
      </c>
    </row>
    <row r="65">
      <c r="A65" s="57" t="inlineStr">
        <is>
          <t>CONFORME</t>
        </is>
      </c>
      <c r="B65" s="57" t="n">
        <v>108</v>
      </c>
      <c r="C65" s="57" t="inlineStr">
        <is>
          <t>Las dos fuentes declaran lo mismo, o solo la fuente que manda sobre el hecho lo declara.</t>
        </is>
      </c>
    </row>
    <row r="66">
      <c r="A66" s="58" t="inlineStr">
        <is>
          <t>COMPLEMENTADO</t>
        </is>
      </c>
      <c r="B66" s="58" t="n">
        <v>1</v>
      </c>
      <c r="C66" s="58" t="inlineStr">
        <is>
          <t>Solo una de las fuentes lo declara y se adopta ese valor.</t>
        </is>
      </c>
    </row>
    <row r="67">
      <c r="A67" s="57" t="inlineStr">
        <is>
          <t>ACTUALIZADO</t>
        </is>
      </c>
      <c r="B67" s="57" t="n">
        <v>1</v>
      </c>
      <c r="C67" s="57" t="inlineStr">
        <is>
          <t>La verificación de campo vigente corrige lo que traía el libro de resumen.</t>
        </is>
      </c>
    </row>
    <row r="68">
      <c r="A68" s="58" t="inlineStr">
        <is>
          <t>DISCREPANTE</t>
        </is>
      </c>
      <c r="B68" s="58" t="n">
        <v>0</v>
      </c>
      <c r="C68" s="58" t="inlineStr">
        <is>
          <t>Las fuentes se contradicen; prevalece la que manda sobre el hecho y la otra queda declarada.</t>
        </is>
      </c>
    </row>
    <row r="69">
      <c r="A69" s="57" t="inlineStr">
        <is>
          <t>PENDIENTE</t>
        </is>
      </c>
      <c r="B69" s="57" t="n">
        <v>4</v>
      </c>
      <c r="C69"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M7B6</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C-M7B6-01</t>
        </is>
      </c>
      <c r="B9" s="57" t="inlineStr">
        <is>
          <t>Cárcava somera (0.5-2 m)</t>
        </is>
      </c>
      <c r="C9" s="62" t="n">
        <v>635180</v>
      </c>
      <c r="D9" s="62" t="n">
        <v>9399400</v>
      </c>
      <c r="E9" s="62" t="n">
        <v>125</v>
      </c>
      <c r="F9" s="63" t="n">
        <v>0.8</v>
      </c>
      <c r="G9" s="63" t="n">
        <v>1.6</v>
      </c>
      <c r="H9" s="57" t="inlineStr">
        <is>
          <t>Semi-activa</t>
        </is>
      </c>
      <c r="I9" s="57" t="inlineStr">
        <is>
          <t>Concentración natural de escorrentía</t>
        </is>
      </c>
    </row>
    <row r="10">
      <c r="A10" s="58" t="inlineStr">
        <is>
          <t>C-M7B6-02</t>
        </is>
      </c>
      <c r="B10" s="58" t="inlineStr">
        <is>
          <t>Cárcava incipiente (30-50 cm)</t>
        </is>
      </c>
      <c r="C10" s="64" t="n">
        <v>635300</v>
      </c>
      <c r="D10" s="64" t="n">
        <v>9399560</v>
      </c>
      <c r="E10" s="64" t="n">
        <v>70</v>
      </c>
      <c r="F10" s="65" t="n">
        <v>0.4</v>
      </c>
      <c r="G10" s="65" t="n">
        <v>0.7</v>
      </c>
      <c r="H10" s="58" t="inlineStr">
        <is>
          <t>Activa</t>
        </is>
      </c>
      <c r="I10" s="58" t="inlineStr">
        <is>
          <t>Caminos / huellas de ganado</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4">
      <c r="A14" s="57" t="inlineStr">
        <is>
          <t>1</t>
        </is>
      </c>
      <c r="B14" s="57" t="inlineStr">
        <is>
          <t>Charán</t>
        </is>
      </c>
      <c r="C14" s="57" t="inlineStr">
        <is>
          <t>Caesalpinia paipai</t>
        </is>
      </c>
      <c r="D14" s="57" t="inlineStr">
        <is>
          <t>Fabaceae</t>
        </is>
      </c>
      <c r="E14" s="57" t="inlineStr">
        <is>
          <t>Arbóreo bajo (4-8 m)</t>
        </is>
      </c>
      <c r="F14" s="57" t="inlineStr">
        <is>
          <t>Nativa</t>
        </is>
      </c>
      <c r="G14" s="57" t="inlineStr">
        <is>
          <t>Abundante (20-40%)</t>
        </is>
      </c>
      <c r="H14" s="62" t="n">
        <v>18</v>
      </c>
      <c r="I14" s="63" t="n">
        <v>6</v>
      </c>
    </row>
    <row r="15">
      <c r="A15" s="58" t="inlineStr">
        <is>
          <t>2</t>
        </is>
      </c>
      <c r="B15" s="58" t="inlineStr">
        <is>
          <t>Palo Santo</t>
        </is>
      </c>
      <c r="C15" s="58" t="inlineStr">
        <is>
          <t>Bursera graveolens</t>
        </is>
      </c>
      <c r="D15" s="58" t="inlineStr">
        <is>
          <t>Burseraceae</t>
        </is>
      </c>
      <c r="E15" s="58" t="inlineStr">
        <is>
          <t>Arbóreo bajo (4-8 m)</t>
        </is>
      </c>
      <c r="F15" s="58" t="inlineStr">
        <is>
          <t>Nativa</t>
        </is>
      </c>
      <c r="G15" s="58" t="inlineStr">
        <is>
          <t>Frecuente (5-20%)</t>
        </is>
      </c>
      <c r="H15" s="64" t="n">
        <v>16</v>
      </c>
      <c r="I15" s="65" t="n">
        <v>5</v>
      </c>
    </row>
    <row r="16">
      <c r="A16" s="57" t="inlineStr">
        <is>
          <t>3</t>
        </is>
      </c>
      <c r="B16" s="57" t="inlineStr">
        <is>
          <t>Hualtaco</t>
        </is>
      </c>
      <c r="C16" s="57" t="inlineStr">
        <is>
          <t>Loxopterygium huasango</t>
        </is>
      </c>
      <c r="D16" s="57" t="inlineStr">
        <is>
          <t>Anacardiaceae</t>
        </is>
      </c>
      <c r="E16" s="57" t="inlineStr">
        <is>
          <t>Arbóreo medio (8-15 m)</t>
        </is>
      </c>
      <c r="F16" s="57" t="inlineStr">
        <is>
          <t>Nativa</t>
        </is>
      </c>
      <c r="G16" s="57" t="inlineStr">
        <is>
          <t>Ocasional (1-5%)</t>
        </is>
      </c>
      <c r="H16" s="62" t="n">
        <v>28</v>
      </c>
      <c r="I16" s="62" t="n">
        <v>10</v>
      </c>
    </row>
    <row r="17">
      <c r="A17" s="58" t="inlineStr">
        <is>
          <t>4</t>
        </is>
      </c>
      <c r="B17" s="58" t="inlineStr">
        <is>
          <t>Pasallo</t>
        </is>
      </c>
      <c r="C17" s="58" t="inlineStr">
        <is>
          <t>Eriotheca ruizii</t>
        </is>
      </c>
      <c r="D17" s="58" t="inlineStr">
        <is>
          <t>Malvaceae</t>
        </is>
      </c>
      <c r="E17" s="58" t="inlineStr">
        <is>
          <t>Arbóreo medio (8-15 m)</t>
        </is>
      </c>
      <c r="F17" s="58" t="inlineStr">
        <is>
          <t>Nativa</t>
        </is>
      </c>
      <c r="G17" s="58" t="inlineStr">
        <is>
          <t>Ocasional (1-5%)</t>
        </is>
      </c>
      <c r="H17" s="64" t="n">
        <v>35</v>
      </c>
      <c r="I17" s="64" t="n">
        <v>11</v>
      </c>
    </row>
    <row r="18">
      <c r="A18" s="57" t="inlineStr">
        <is>
          <t>5</t>
        </is>
      </c>
      <c r="B18" s="57" t="inlineStr">
        <is>
          <t>Faique</t>
        </is>
      </c>
      <c r="C18" s="57" t="inlineStr">
        <is>
          <t>Vachellia macracantha</t>
        </is>
      </c>
      <c r="D18" s="57" t="inlineStr">
        <is>
          <t>Fabaceae</t>
        </is>
      </c>
      <c r="E18" s="57" t="inlineStr">
        <is>
          <t>Arbóreo bajo (4-8 m)</t>
        </is>
      </c>
      <c r="F18" s="57" t="inlineStr">
        <is>
          <t>Nativa</t>
        </is>
      </c>
      <c r="G18" s="57" t="inlineStr">
        <is>
          <t>Frecuente (5-20%)</t>
        </is>
      </c>
      <c r="H18" s="62" t="n">
        <v>20</v>
      </c>
      <c r="I18" s="63" t="n">
        <v>6</v>
      </c>
    </row>
    <row r="19">
      <c r="A19" s="58" t="inlineStr">
        <is>
          <t>6</t>
        </is>
      </c>
      <c r="B19" s="58" t="inlineStr">
        <is>
          <t>Algarrobo</t>
        </is>
      </c>
      <c r="C19" s="58" t="inlineStr">
        <is>
          <t>Prosopis pallida</t>
        </is>
      </c>
      <c r="D19" s="58" t="inlineStr">
        <is>
          <t>Fabaceae</t>
        </is>
      </c>
      <c r="E19" s="58" t="inlineStr">
        <is>
          <t>Arbóreo bajo (4-8 m)</t>
        </is>
      </c>
      <c r="F19" s="58" t="inlineStr">
        <is>
          <t>Nativa</t>
        </is>
      </c>
      <c r="G19" s="58" t="inlineStr">
        <is>
          <t>Ocasional (1-5%)</t>
        </is>
      </c>
      <c r="H19" s="64" t="n">
        <v>30</v>
      </c>
      <c r="I19" s="65" t="n">
        <v>7</v>
      </c>
    </row>
    <row r="20">
      <c r="A20" s="57" t="inlineStr">
        <is>
          <t>7</t>
        </is>
      </c>
      <c r="B20" s="57" t="inlineStr">
        <is>
          <t>Overo</t>
        </is>
      </c>
      <c r="C20" s="57" t="inlineStr">
        <is>
          <t>Cordia lutea</t>
        </is>
      </c>
      <c r="D20" s="57" t="inlineStr">
        <is>
          <t>Boraginaceae</t>
        </is>
      </c>
      <c r="E20" s="57" t="inlineStr">
        <is>
          <t>Arbustivo alto (1.5-4 m)</t>
        </is>
      </c>
      <c r="F20" s="57" t="inlineStr">
        <is>
          <t>Nativa</t>
        </is>
      </c>
      <c r="G20" s="57" t="inlineStr">
        <is>
          <t>Frecuente (5-20%)</t>
        </is>
      </c>
      <c r="H20" s="57" t="n"/>
      <c r="I20" s="63" t="n">
        <v>3</v>
      </c>
    </row>
    <row r="21">
      <c r="A21" s="58" t="inlineStr">
        <is>
          <t>8</t>
        </is>
      </c>
      <c r="B21" s="58" t="inlineStr">
        <is>
          <t>Vichayo</t>
        </is>
      </c>
      <c r="C21" s="58" t="inlineStr">
        <is>
          <t>Capparis scabrida</t>
        </is>
      </c>
      <c r="D21" s="58" t="inlineStr">
        <is>
          <t>Capparaceae</t>
        </is>
      </c>
      <c r="E21" s="58" t="inlineStr">
        <is>
          <t>Arbustivo alto (1.5-4 m)</t>
        </is>
      </c>
      <c r="F21" s="58" t="inlineStr">
        <is>
          <t>Nativa</t>
        </is>
      </c>
      <c r="G21" s="58" t="inlineStr">
        <is>
          <t>Ocasional (1-5%)</t>
        </is>
      </c>
      <c r="H21" s="58" t="n"/>
      <c r="I21" s="65" t="n">
        <v>3</v>
      </c>
    </row>
    <row r="22">
      <c r="A22" s="57" t="inlineStr">
        <is>
          <t>9</t>
        </is>
      </c>
      <c r="B22" s="57" t="inlineStr">
        <is>
          <t>Borrachera</t>
        </is>
      </c>
      <c r="C22" s="57" t="inlineStr">
        <is>
          <t>Ipomoea carnea</t>
        </is>
      </c>
      <c r="D22" s="57" t="inlineStr">
        <is>
          <t>Convolvulaceae</t>
        </is>
      </c>
      <c r="E22" s="57" t="inlineStr">
        <is>
          <t>Arbustivo bajo (0.5-1.5 m)</t>
        </is>
      </c>
      <c r="F22" s="57" t="inlineStr">
        <is>
          <t>Nativa</t>
        </is>
      </c>
      <c r="G22" s="57" t="inlineStr">
        <is>
          <t>Abundante (20-40%)</t>
        </is>
      </c>
      <c r="H22" s="57" t="n"/>
      <c r="I22" s="63" t="n">
        <v>1.2</v>
      </c>
    </row>
    <row r="23">
      <c r="A23" s="58" t="inlineStr">
        <is>
          <t>10</t>
        </is>
      </c>
      <c r="B23" s="58" t="inlineStr">
        <is>
          <t>Cardo / cactus columnar</t>
        </is>
      </c>
      <c r="C23" s="58" t="inlineStr">
        <is>
          <t>Armatocereus cartwrightianus</t>
        </is>
      </c>
      <c r="D23" s="58" t="inlineStr">
        <is>
          <t>Cactaceae</t>
        </is>
      </c>
      <c r="E23" s="58" t="inlineStr">
        <is>
          <t>Arbustivo alto (1.5-4 m)</t>
        </is>
      </c>
      <c r="F23" s="58" t="inlineStr">
        <is>
          <t>Nativa</t>
        </is>
      </c>
      <c r="G23" s="58" t="inlineStr">
        <is>
          <t>Ocasional (1-5%)</t>
        </is>
      </c>
      <c r="H23" s="58" t="n"/>
      <c r="I23" s="65" t="n">
        <v>3</v>
      </c>
    </row>
    <row r="24">
      <c r="A24" s="57" t="inlineStr">
        <is>
          <t>11</t>
        </is>
      </c>
      <c r="B24" s="57" t="inlineStr">
        <is>
          <t>Pasto natural (gramínea)</t>
        </is>
      </c>
      <c r="C24" s="57" t="inlineStr">
        <is>
          <t>Poaceae sp.</t>
        </is>
      </c>
      <c r="D24" s="57" t="inlineStr">
        <is>
          <t>Poaceae</t>
        </is>
      </c>
      <c r="E24" s="57" t="inlineStr">
        <is>
          <t>Herbáceo (&lt;0.5 m)</t>
        </is>
      </c>
      <c r="F24" s="57" t="inlineStr">
        <is>
          <t>Nativa</t>
        </is>
      </c>
      <c r="G24" s="57" t="inlineStr">
        <is>
          <t>Dominante (&gt;40%)</t>
        </is>
      </c>
      <c r="H24" s="57" t="n"/>
      <c r="I24" s="63" t="n">
        <v>0.4</v>
      </c>
    </row>
    <row r="25">
      <c r="A25" s="58" t="inlineStr">
        <is>
          <t>12</t>
        </is>
      </c>
      <c r="B25" s="58" t="inlineStr">
        <is>
          <t>Maíz (chacra colindante)</t>
        </is>
      </c>
      <c r="C25" s="58" t="inlineStr">
        <is>
          <t>Zea mays</t>
        </is>
      </c>
      <c r="D25" s="58" t="inlineStr">
        <is>
          <t>Poaceae</t>
        </is>
      </c>
      <c r="E25" s="58" t="inlineStr">
        <is>
          <t>Herbáceo (&lt;0.5 m)</t>
        </is>
      </c>
      <c r="F25" s="58" t="inlineStr">
        <is>
          <t>Introducida</t>
        </is>
      </c>
      <c r="G25" s="58" t="inlineStr"/>
      <c r="H25" s="58" t="n"/>
      <c r="I25" s="65" t="n">
        <v>1.5</v>
      </c>
    </row>
    <row r="27">
      <c r="A27" s="55" t="inlineStr">
        <is>
          <t>F-DT-03 · ESPECIES CLAVE GEORREFERENCIADAS</t>
        </is>
      </c>
    </row>
    <row r="28">
      <c r="A28" s="56" t="inlineStr">
        <is>
          <t>N.o</t>
        </is>
      </c>
      <c r="B28" s="56" t="inlineStr">
        <is>
          <t>Especie</t>
        </is>
      </c>
      <c r="C28" s="56" t="inlineStr">
        <is>
          <t>Categoría</t>
        </is>
      </c>
      <c r="D28" s="56" t="inlineStr">
        <is>
          <t>Estado UICN</t>
        </is>
      </c>
      <c r="E28" s="56" t="inlineStr">
        <is>
          <t>UTM ESTE</t>
        </is>
      </c>
      <c r="F28" s="56" t="inlineStr">
        <is>
          <t>UTM NORTE</t>
        </is>
      </c>
      <c r="G28" s="56" t="inlineStr">
        <is>
          <t>N.° individuos</t>
        </is>
      </c>
      <c r="H28" s="56" t="inlineStr">
        <is>
          <t>Observación</t>
        </is>
      </c>
    </row>
    <row r="29">
      <c r="A29" s="57" t="inlineStr">
        <is>
          <t>1</t>
        </is>
      </c>
      <c r="B29" s="57" t="inlineStr">
        <is>
          <t>Loxopterygium huasango (Hualtaco)</t>
        </is>
      </c>
      <c r="C29" s="57" t="inlineStr">
        <is>
          <t>Amenazada (D.S. 043-2006-AG)</t>
        </is>
      </c>
      <c r="D29" s="57" t="inlineStr">
        <is>
          <t>VU — Vulnerable</t>
        </is>
      </c>
      <c r="E29" s="62" t="n">
        <v>635090</v>
      </c>
      <c r="F29" s="62" t="n">
        <v>9399150</v>
      </c>
      <c r="G29" s="63" t="n">
        <v>2</v>
      </c>
      <c r="H29" s="57" t="inlineStr">
        <is>
          <t>Relicto en cota alta inaccesible</t>
        </is>
      </c>
    </row>
    <row r="30">
      <c r="A30" s="58" t="inlineStr">
        <is>
          <t>2</t>
        </is>
      </c>
      <c r="B30" s="58" t="inlineStr">
        <is>
          <t>Bursera graveolens (Palo Santo)</t>
        </is>
      </c>
      <c r="C30" s="58" t="inlineStr">
        <is>
          <t>Clave cultural</t>
        </is>
      </c>
      <c r="D30" s="58" t="inlineStr">
        <is>
          <t>NT — Casi Amenazado</t>
        </is>
      </c>
      <c r="E30" s="64" t="n">
        <v>635110</v>
      </c>
      <c r="F30" s="64" t="n">
        <v>9399210</v>
      </c>
      <c r="G30" s="65" t="n">
        <v>5</v>
      </c>
      <c r="H30" s="58" t="inlineStr">
        <is>
          <t>Aprovechamiento tradicional; en parches</t>
        </is>
      </c>
    </row>
    <row r="31">
      <c r="A31" s="57" t="inlineStr">
        <is>
          <t>3</t>
        </is>
      </c>
      <c r="B31" s="57" t="inlineStr">
        <is>
          <t>Caesalpinia paipai (Charán)</t>
        </is>
      </c>
      <c r="C31" s="57" t="inlineStr">
        <is>
          <t>Indicadora de buen estado</t>
        </is>
      </c>
      <c r="D31" s="57" t="inlineStr">
        <is>
          <t>LC — Preocupación Menor</t>
        </is>
      </c>
      <c r="E31" s="62" t="n">
        <v>635150</v>
      </c>
      <c r="F31" s="62" t="n">
        <v>9399300</v>
      </c>
      <c r="G31" s="62" t="n">
        <v>12</v>
      </c>
      <c r="H31" s="57" t="inlineStr">
        <is>
          <t>Especie dominante del estrato arbóreo bajo</t>
        </is>
      </c>
    </row>
    <row r="32">
      <c r="A32" s="58" t="inlineStr">
        <is>
          <t>4</t>
        </is>
      </c>
      <c r="B32" s="58" t="inlineStr">
        <is>
          <t>Eriotheca ruizii (Pasallo)</t>
        </is>
      </c>
      <c r="C32" s="58" t="inlineStr">
        <is>
          <t>Indicadora de buen estado</t>
        </is>
      </c>
      <c r="D32" s="58" t="inlineStr">
        <is>
          <t>LC — Preocupación Menor</t>
        </is>
      </c>
      <c r="E32" s="64" t="n">
        <v>635070</v>
      </c>
      <c r="F32" s="64" t="n">
        <v>9399120</v>
      </c>
      <c r="G32" s="65" t="n">
        <v>3</v>
      </c>
      <c r="H32" s="58" t="inlineStr">
        <is>
          <t>Indicador de Bes-cm bien conservado</t>
        </is>
      </c>
    </row>
    <row r="33">
      <c r="A33" s="57" t="inlineStr">
        <is>
          <t>5</t>
        </is>
      </c>
      <c r="B33" s="57" t="inlineStr">
        <is>
          <t>Ipomoea carnea (Borrachera)</t>
        </is>
      </c>
      <c r="C33" s="57" t="inlineStr">
        <is>
          <t>Indicadora de perturbación</t>
        </is>
      </c>
      <c r="D33" s="57" t="inlineStr">
        <is>
          <t>No aplica</t>
        </is>
      </c>
      <c r="E33" s="62" t="n">
        <v>635260</v>
      </c>
      <c r="F33" s="62" t="n">
        <v>9399520</v>
      </c>
      <c r="G33" s="63" t="n">
        <v>0</v>
      </c>
      <c r="H33" s="57" t="inlineStr">
        <is>
          <t>Coloniza áreas degradadas; herbácea no palatable</t>
        </is>
      </c>
    </row>
    <row r="35">
      <c r="A35" s="55" t="inlineStr">
        <is>
          <t>F-DT-04 · MATRIZ DE CAUSAS DE DEGRADACIÓN</t>
        </is>
      </c>
    </row>
    <row r="36">
      <c r="A36" s="56" t="inlineStr">
        <is>
          <t>N.o</t>
        </is>
      </c>
      <c r="B36" s="56" t="inlineStr">
        <is>
          <t>Causa</t>
        </is>
      </c>
      <c r="C36" s="56" t="inlineStr">
        <is>
          <t>Presencia</t>
        </is>
      </c>
      <c r="D36" s="56" t="inlineStr">
        <is>
          <t>Intensidad</t>
        </is>
      </c>
      <c r="E36" s="56" t="inlineStr">
        <is>
          <t>Extensión</t>
        </is>
      </c>
      <c r="F36" s="56" t="inlineStr">
        <is>
          <t>Antigüedad</t>
        </is>
      </c>
      <c r="G36" s="56" t="inlineStr">
        <is>
          <t>Evidencia</t>
        </is>
      </c>
    </row>
    <row r="37">
      <c r="A37" s="57" t="inlineStr">
        <is>
          <t>1</t>
        </is>
      </c>
      <c r="B37" s="57" t="inlineStr">
        <is>
          <t>Sobrepastoreo (caprino/vacuno)</t>
        </is>
      </c>
      <c r="C37" s="57" t="inlineStr">
        <is>
          <t>Sí</t>
        </is>
      </c>
      <c r="D37" s="57" t="inlineStr">
        <is>
          <t>Fuerte</t>
        </is>
      </c>
      <c r="E37" s="57" t="inlineStr">
        <is>
          <t>60</t>
        </is>
      </c>
      <c r="F37" s="57" t="inlineStr">
        <is>
          <t>20</t>
        </is>
      </c>
      <c r="G37" s="57" t="inlineStr">
        <is>
          <t>Pastoreo caprino/vacuno extensivo; suelo compactado y pisoteado</t>
        </is>
      </c>
    </row>
    <row r="38">
      <c r="A38" s="58" t="inlineStr">
        <is>
          <t>2</t>
        </is>
      </c>
      <c r="B38" s="58" t="inlineStr">
        <is>
          <t>Tala para leña</t>
        </is>
      </c>
      <c r="C38" s="58" t="inlineStr">
        <is>
          <t>Sí</t>
        </is>
      </c>
      <c r="D38" s="58" t="inlineStr">
        <is>
          <t>Moderada</t>
        </is>
      </c>
      <c r="E38" s="58" t="inlineStr">
        <is>
          <t>40</t>
        </is>
      </c>
      <c r="F38" s="58" t="inlineStr">
        <is>
          <t>20</t>
        </is>
      </c>
      <c r="G38" s="58" t="inlineStr">
        <is>
          <t>Extracción selectiva de Charán y Faique para leña</t>
        </is>
      </c>
    </row>
    <row r="39">
      <c r="A39" s="57" t="inlineStr">
        <is>
          <t>3</t>
        </is>
      </c>
      <c r="B39" s="57" t="inlineStr">
        <is>
          <t>Tala para carbón</t>
        </is>
      </c>
      <c r="C39" s="57" t="inlineStr">
        <is>
          <t>Sí</t>
        </is>
      </c>
      <c r="D39" s="57" t="inlineStr">
        <is>
          <t>Ligera</t>
        </is>
      </c>
      <c r="E39" s="57" t="inlineStr">
        <is>
          <t>15</t>
        </is>
      </c>
      <c r="F39" s="57" t="inlineStr">
        <is>
          <t>15</t>
        </is>
      </c>
      <c r="G39" s="57" t="inlineStr">
        <is>
          <t>Indicios de carboneo de algarrobo/faique</t>
        </is>
      </c>
    </row>
    <row r="40">
      <c r="A40" s="58" t="inlineStr">
        <is>
          <t>4</t>
        </is>
      </c>
      <c r="B40" s="58" t="inlineStr">
        <is>
          <t>Tala para madera</t>
        </is>
      </c>
      <c r="C40" s="58" t="inlineStr">
        <is>
          <t>No</t>
        </is>
      </c>
      <c r="D40" s="58" t="inlineStr">
        <is>
          <t>Nula</t>
        </is>
      </c>
      <c r="E40" s="58" t="inlineStr">
        <is>
          <t>0</t>
        </is>
      </c>
      <c r="F40" s="58" t="inlineStr"/>
      <c r="G40" s="58" t="inlineStr"/>
    </row>
    <row r="41">
      <c r="A41" s="57" t="inlineStr">
        <is>
          <t>5</t>
        </is>
      </c>
      <c r="B41" s="57" t="inlineStr">
        <is>
          <t>Quema (renovación de pastos)</t>
        </is>
      </c>
      <c r="C41" s="57" t="inlineStr">
        <is>
          <t>Sí</t>
        </is>
      </c>
      <c r="D41" s="57" t="inlineStr">
        <is>
          <t>Moderada</t>
        </is>
      </c>
      <c r="E41" s="57" t="inlineStr">
        <is>
          <t>25</t>
        </is>
      </c>
      <c r="F41" s="57" t="inlineStr">
        <is>
          <t>10</t>
        </is>
      </c>
      <c r="G41" s="57" t="inlineStr">
        <is>
          <t>Quemas para rebrote de pastos al inicio de lluvias</t>
        </is>
      </c>
    </row>
    <row r="42">
      <c r="A42" s="58" t="inlineStr">
        <is>
          <t>6</t>
        </is>
      </c>
      <c r="B42" s="58" t="inlineStr">
        <is>
          <t>Quema accidental / Incendio</t>
        </is>
      </c>
      <c r="C42" s="58" t="inlineStr">
        <is>
          <t>No</t>
        </is>
      </c>
      <c r="D42" s="58" t="inlineStr">
        <is>
          <t>Nula</t>
        </is>
      </c>
      <c r="E42" s="58" t="inlineStr">
        <is>
          <t>0</t>
        </is>
      </c>
      <c r="F42" s="58" t="inlineStr"/>
      <c r="G42" s="58" t="inlineStr"/>
    </row>
    <row r="43">
      <c r="A43" s="57" t="inlineStr">
        <is>
          <t>7</t>
        </is>
      </c>
      <c r="B43" s="57" t="inlineStr">
        <is>
          <t>Cambio de uso a agricultura</t>
        </is>
      </c>
      <c r="C43" s="57" t="inlineStr">
        <is>
          <t>Sí</t>
        </is>
      </c>
      <c r="D43" s="57" t="inlineStr">
        <is>
          <t>Ligera</t>
        </is>
      </c>
      <c r="E43" s="57" t="inlineStr">
        <is>
          <t>10</t>
        </is>
      </c>
      <c r="F43" s="57" t="inlineStr"/>
      <c r="G43" s="57" t="inlineStr">
        <is>
          <t>Pequeñas chacras de secano (maíz) en pie de ladera</t>
        </is>
      </c>
    </row>
    <row r="44">
      <c r="A44" s="58" t="inlineStr">
        <is>
          <t>8</t>
        </is>
      </c>
      <c r="B44" s="58" t="inlineStr">
        <is>
          <t>Cambio de uso a pastoreo</t>
        </is>
      </c>
      <c r="C44" s="58" t="inlineStr">
        <is>
          <t>Sí</t>
        </is>
      </c>
      <c r="D44" s="58" t="inlineStr">
        <is>
          <t>Moderada</t>
        </is>
      </c>
      <c r="E44" s="58" t="inlineStr">
        <is>
          <t>30</t>
        </is>
      </c>
      <c r="F44" s="58" t="inlineStr"/>
      <c r="G44" s="58" t="inlineStr">
        <is>
          <t>Conversión de matorral a áreas de pastoreo</t>
        </is>
      </c>
    </row>
    <row r="45">
      <c r="A45" s="57" t="inlineStr">
        <is>
          <t>9</t>
        </is>
      </c>
      <c r="B45" s="57" t="inlineStr">
        <is>
          <t>Expansión urbana / vial</t>
        </is>
      </c>
      <c r="C45" s="57" t="inlineStr">
        <is>
          <t>Sí</t>
        </is>
      </c>
      <c r="D45" s="57" t="inlineStr">
        <is>
          <t>Fuerte</t>
        </is>
      </c>
      <c r="E45" s="57" t="inlineStr">
        <is>
          <t>15</t>
        </is>
      </c>
      <c r="F45" s="57" t="inlineStr">
        <is>
          <t>5</t>
        </is>
      </c>
      <c r="G45" s="57" t="inlineStr">
        <is>
          <t>Habilitación de terrenos para expansión urbana con permiso municipal; viviendas en pie de ladera</t>
        </is>
      </c>
    </row>
    <row r="46">
      <c r="A46" s="58" t="inlineStr">
        <is>
          <t>10</t>
        </is>
      </c>
      <c r="B46" s="58" t="inlineStr">
        <is>
          <t>Minería informal</t>
        </is>
      </c>
      <c r="C46" s="58" t="inlineStr">
        <is>
          <t>No</t>
        </is>
      </c>
      <c r="D46" s="58" t="inlineStr">
        <is>
          <t>Nula</t>
        </is>
      </c>
      <c r="E46" s="58" t="inlineStr">
        <is>
          <t>0</t>
        </is>
      </c>
      <c r="F46" s="58" t="inlineStr"/>
      <c r="G46" s="58" t="inlineStr"/>
    </row>
    <row r="47">
      <c r="A47" s="57" t="inlineStr">
        <is>
          <t>11</t>
        </is>
      </c>
      <c r="B47" s="57" t="inlineStr">
        <is>
          <t>Extracción de áridos (cauces)</t>
        </is>
      </c>
      <c r="C47" s="57" t="inlineStr">
        <is>
          <t>Sí</t>
        </is>
      </c>
      <c r="D47" s="57" t="inlineStr">
        <is>
          <t>Ligera</t>
        </is>
      </c>
      <c r="E47" s="57" t="inlineStr">
        <is>
          <t>5</t>
        </is>
      </c>
      <c r="F47" s="57" t="inlineStr"/>
      <c r="G47" s="57" t="inlineStr">
        <is>
          <t>Cantera Río Serrán colindante (extracción de áridos)</t>
        </is>
      </c>
    </row>
    <row r="48">
      <c r="A48" s="58" t="inlineStr">
        <is>
          <t>12</t>
        </is>
      </c>
      <c r="B48" s="58" t="inlineStr">
        <is>
          <t>Especies invasoras</t>
        </is>
      </c>
      <c r="C48" s="58" t="inlineStr">
        <is>
          <t>Sí</t>
        </is>
      </c>
      <c r="D48" s="58" t="inlineStr">
        <is>
          <t>Moderada</t>
        </is>
      </c>
      <c r="E48" s="58" t="inlineStr">
        <is>
          <t>20</t>
        </is>
      </c>
      <c r="F48" s="58" t="inlineStr"/>
      <c r="G48" s="58" t="inlineStr">
        <is>
          <t>Ipomoea carnea (borrachera) coloniza áreas degradadas; no palatable</t>
        </is>
      </c>
    </row>
    <row r="49">
      <c r="A49" s="57" t="inlineStr">
        <is>
          <t>13</t>
        </is>
      </c>
      <c r="B49" s="57" t="inlineStr">
        <is>
          <t>Erosión natural severa</t>
        </is>
      </c>
      <c r="C49" s="57" t="inlineStr">
        <is>
          <t>Sí</t>
        </is>
      </c>
      <c r="D49" s="57" t="inlineStr">
        <is>
          <t>Moderada</t>
        </is>
      </c>
      <c r="E49" s="57" t="inlineStr">
        <is>
          <t>15</t>
        </is>
      </c>
      <c r="F49" s="57" t="inlineStr"/>
      <c r="G49" s="57" t="inlineStr">
        <is>
          <t>Cárcavas y surcos en laderas; activación de quebradas</t>
        </is>
      </c>
    </row>
    <row r="50">
      <c r="A50" s="58" t="inlineStr">
        <is>
          <t>14</t>
        </is>
      </c>
      <c r="B50" s="58" t="inlineStr">
        <is>
          <t>Sequía prolongada / CC</t>
        </is>
      </c>
      <c r="C50" s="58" t="inlineStr">
        <is>
          <t>Sí</t>
        </is>
      </c>
      <c r="D50" s="58" t="inlineStr">
        <is>
          <t>Moderada</t>
        </is>
      </c>
      <c r="E50" s="58" t="inlineStr">
        <is>
          <t>100</t>
        </is>
      </c>
      <c r="F50" s="58" t="inlineStr"/>
      <c r="G50" s="58" t="inlineStr">
        <is>
          <t>Estacionalidad marcada y déficit hídrico; estrés en vegetación</t>
        </is>
      </c>
    </row>
    <row r="51">
      <c r="A51" s="57" t="inlineStr">
        <is>
          <t>15</t>
        </is>
      </c>
      <c r="B51" s="57" t="inlineStr">
        <is>
          <t>Plagas o enfermedades forestales</t>
        </is>
      </c>
      <c r="C51" s="57" t="inlineStr">
        <is>
          <t>No</t>
        </is>
      </c>
      <c r="D51" s="57" t="inlineStr">
        <is>
          <t>Nula</t>
        </is>
      </c>
      <c r="E51" s="57" t="inlineStr">
        <is>
          <t>0</t>
        </is>
      </c>
      <c r="F51" s="57" t="inlineStr"/>
      <c r="G51" s="57" t="inlineStr"/>
    </row>
    <row r="52">
      <c r="A52" s="58" t="inlineStr">
        <is>
          <t>16</t>
        </is>
      </c>
      <c r="B52" s="58" t="inlineStr">
        <is>
          <t>Otro</t>
        </is>
      </c>
      <c r="C52" s="58" t="inlineStr">
        <is>
          <t>No</t>
        </is>
      </c>
      <c r="D52" s="58" t="inlineStr">
        <is>
          <t>Nula</t>
        </is>
      </c>
      <c r="E52" s="58" t="inlineStr">
        <is>
          <t>0</t>
        </is>
      </c>
      <c r="F52" s="58" t="inlineStr"/>
      <c r="G52" s="58" t="inlineStr"/>
    </row>
    <row r="54">
      <c r="A54" s="55" t="inlineStr">
        <is>
          <t>F-DT-04 · INDICADORES CUANTITATIVOS</t>
        </is>
      </c>
    </row>
    <row r="55">
      <c r="A55" s="56" t="inlineStr">
        <is>
          <t>N.o</t>
        </is>
      </c>
      <c r="B55" s="56" t="inlineStr">
        <is>
          <t>Indicador</t>
        </is>
      </c>
      <c r="C55" s="56" t="inlineStr">
        <is>
          <t>Unidad</t>
        </is>
      </c>
      <c r="D55" s="56" t="inlineStr">
        <is>
          <t>Valor</t>
        </is>
      </c>
      <c r="E55" s="56" t="inlineStr">
        <is>
          <t>Fuente</t>
        </is>
      </c>
      <c r="F55" s="56" t="inlineStr">
        <is>
          <t>Umbral</t>
        </is>
      </c>
      <c r="G55" s="56" t="inlineStr">
        <is>
          <t>Nivel</t>
        </is>
      </c>
    </row>
    <row r="56">
      <c r="A56" s="57" t="inlineStr">
        <is>
          <t>1</t>
        </is>
      </c>
      <c r="B56" s="57" t="inlineStr">
        <is>
          <t>Cobertura vegetal total</t>
        </is>
      </c>
      <c r="C56" s="57" t="inlineStr">
        <is>
          <t>%</t>
        </is>
      </c>
      <c r="D56" s="57" t="inlineStr">
        <is>
          <t>55</t>
        </is>
      </c>
      <c r="E56" s="57" t="inlineStr">
        <is>
          <t>Campo + MSAVI 2024</t>
        </is>
      </c>
      <c r="F56" s="57" t="inlineStr">
        <is>
          <t>&gt;60% bueno; 30-60% medio; &lt;30% malo</t>
        </is>
      </c>
      <c r="G56" s="57" t="inlineStr">
        <is>
          <t>Medio</t>
        </is>
      </c>
    </row>
    <row r="57">
      <c r="A57" s="58" t="inlineStr">
        <is>
          <t>2</t>
        </is>
      </c>
      <c r="B57" s="58" t="inlineStr">
        <is>
          <t>Porcentaje de suelo desnudo</t>
        </is>
      </c>
      <c r="C57" s="58" t="inlineStr">
        <is>
          <t>%</t>
        </is>
      </c>
      <c r="D57" s="58" t="inlineStr">
        <is>
          <t>20</t>
        </is>
      </c>
      <c r="E57" s="58" t="inlineStr">
        <is>
          <t>Observación de campo</t>
        </is>
      </c>
      <c r="F57" s="58" t="inlineStr">
        <is>
          <t>&lt;10% bueno; 10-30% medio; &gt;30% malo</t>
        </is>
      </c>
      <c r="G57" s="58" t="inlineStr">
        <is>
          <t>Medio</t>
        </is>
      </c>
    </row>
    <row r="58">
      <c r="A58" s="57" t="inlineStr">
        <is>
          <t>3</t>
        </is>
      </c>
      <c r="B58" s="57" t="inlineStr">
        <is>
          <t>Densidad de cárcavas</t>
        </is>
      </c>
      <c r="C58" s="57" t="inlineStr">
        <is>
          <t>N°/ha</t>
        </is>
      </c>
      <c r="D58" s="57" t="inlineStr">
        <is>
          <t>0.5</t>
        </is>
      </c>
      <c r="E58" s="57" t="inlineStr">
        <is>
          <t>Inventario de cárcavas</t>
        </is>
      </c>
      <c r="F58" s="57" t="inlineStr">
        <is>
          <t>0 nulo; 1-3 medio; &gt;3 alto</t>
        </is>
      </c>
      <c r="G58" s="57" t="inlineStr">
        <is>
          <t>Bajo</t>
        </is>
      </c>
    </row>
    <row r="59">
      <c r="A59" s="58" t="inlineStr">
        <is>
          <t>4</t>
        </is>
      </c>
      <c r="B59" s="58" t="inlineStr">
        <is>
          <t>Presencia de especies invasoras</t>
        </is>
      </c>
      <c r="C59" s="58" t="inlineStr">
        <is>
          <t>% área</t>
        </is>
      </c>
      <c r="D59" s="58" t="inlineStr">
        <is>
          <t>20</t>
        </is>
      </c>
      <c r="E59" s="58" t="inlineStr">
        <is>
          <t>Observación de campo</t>
        </is>
      </c>
      <c r="F59" s="58" t="inlineStr">
        <is>
          <t>&lt;5% bueno; 5-20% medio; &gt;20% alto</t>
        </is>
      </c>
      <c r="G59" s="58" t="inlineStr">
        <is>
          <t>Medio</t>
        </is>
      </c>
    </row>
    <row r="60">
      <c r="A60" s="57" t="inlineStr">
        <is>
          <t>5</t>
        </is>
      </c>
      <c r="B60" s="57" t="inlineStr">
        <is>
          <t>Carga ganadera estimada</t>
        </is>
      </c>
      <c r="C60" s="57" t="inlineStr">
        <is>
          <t>UA/ha</t>
        </is>
      </c>
      <c r="D60" s="57" t="inlineStr">
        <is>
          <t>0.8</t>
        </is>
      </c>
      <c r="E60" s="57" t="inlineStr">
        <is>
          <t>Estimación de campo</t>
        </is>
      </c>
      <c r="F60" s="57" t="inlineStr">
        <is>
          <t>Según tipo de ecosistema</t>
        </is>
      </c>
      <c r="G60" s="57" t="inlineStr">
        <is>
          <t>Medio</t>
        </is>
      </c>
    </row>
    <row r="61">
      <c r="A61" s="58" t="inlineStr">
        <is>
          <t>6</t>
        </is>
      </c>
      <c r="B61" s="58" t="inlineStr">
        <is>
          <t>Frecuencia de quemas últimos 5 años</t>
        </is>
      </c>
      <c r="C61" s="58" t="inlineStr">
        <is>
          <t>N°</t>
        </is>
      </c>
      <c r="D61" s="58" t="inlineStr">
        <is>
          <t>2</t>
        </is>
      </c>
      <c r="E61" s="58" t="inlineStr">
        <is>
          <t>Entrevista a pobladores</t>
        </is>
      </c>
      <c r="F61" s="58" t="inlineStr">
        <is>
          <t>0 nulo; 1-2 medio; &gt;2 alto</t>
        </is>
      </c>
      <c r="G61" s="58" t="inlineStr">
        <is>
          <t>Medio</t>
        </is>
      </c>
    </row>
    <row r="62">
      <c r="A62" s="57" t="inlineStr">
        <is>
          <t>7</t>
        </is>
      </c>
      <c r="B62" s="57" t="inlineStr">
        <is>
          <t>% área con pendiente &gt;50%</t>
        </is>
      </c>
      <c r="C62" s="57" t="inlineStr">
        <is>
          <t>%</t>
        </is>
      </c>
      <c r="D62" s="57" t="inlineStr">
        <is>
          <t>25</t>
        </is>
      </c>
      <c r="E62" s="57" t="inlineStr">
        <is>
          <t>DEM / perfil Google Earth</t>
        </is>
      </c>
      <c r="F62" s="57" t="inlineStr">
        <is>
          <t>Factor de susceptibilidad</t>
        </is>
      </c>
      <c r="G62" s="57" t="inlineStr">
        <is>
          <t>Medio</t>
        </is>
      </c>
    </row>
    <row r="63">
      <c r="A63" s="58" t="inlineStr">
        <is>
          <t>8</t>
        </is>
      </c>
      <c r="B63" s="58" t="inlineStr">
        <is>
          <t>Distancia a vía vecinal más cercana</t>
        </is>
      </c>
      <c r="C63" s="58" t="inlineStr">
        <is>
          <t>m</t>
        </is>
      </c>
      <c r="D63" s="58" t="inlineStr">
        <is>
          <t>50</t>
        </is>
      </c>
      <c r="E63" s="58" t="inlineStr">
        <is>
          <t>GIS / red vial MTC</t>
        </is>
      </c>
      <c r="F63" s="58" t="inlineStr">
        <is>
          <t>A menor distancia → mayor presión</t>
        </is>
      </c>
      <c r="G63" s="58" t="inlineStr">
        <is>
          <t>Alto</t>
        </is>
      </c>
    </row>
    <row r="65">
      <c r="A65" s="55" t="inlineStr">
        <is>
          <t>F-DT-05 · FUENTES DE AGUA INVENTARIADAS</t>
        </is>
      </c>
    </row>
    <row r="66">
      <c r="A66" s="56" t="inlineStr">
        <is>
          <t>N.o</t>
        </is>
      </c>
      <c r="B66" s="56" t="inlineStr">
        <is>
          <t>Tipo de fuente</t>
        </is>
      </c>
      <c r="C66" s="56" t="inlineStr">
        <is>
          <t>UTM ESTE</t>
        </is>
      </c>
      <c r="D66" s="56" t="inlineStr">
        <is>
          <t>UTM NORTE</t>
        </is>
      </c>
      <c r="E66" s="56" t="inlineStr">
        <is>
          <t>Régimen</t>
        </is>
      </c>
      <c r="F66" s="56" t="inlineStr">
        <is>
          <t>Calidad</t>
        </is>
      </c>
      <c r="G66" s="56" t="inlineStr">
        <is>
          <t>Distancia (m)</t>
        </is>
      </c>
      <c r="H66" s="56" t="inlineStr">
        <is>
          <t>Uso / observación</t>
        </is>
      </c>
    </row>
    <row r="67">
      <c r="A67" s="57" t="inlineStr">
        <is>
          <t>1</t>
        </is>
      </c>
      <c r="B67" s="57" t="inlineStr">
        <is>
          <t>Quebrada estacional</t>
        </is>
      </c>
      <c r="C67" s="62" t="n">
        <v>635300</v>
      </c>
      <c r="D67" s="62" t="n">
        <v>9399520</v>
      </c>
      <c r="E67" s="57" t="inlineStr">
        <is>
          <t>Estacional (lluvias)</t>
        </is>
      </c>
      <c r="F67" s="57" t="inlineStr">
        <is>
          <t>No evaluable</t>
        </is>
      </c>
      <c r="G67" s="63" t="n">
        <v>0</v>
      </c>
      <c r="H67" s="57" t="inlineStr">
        <is>
          <t>Quebrada que se activa en lluvias; descarga hacia viviendas del pie de ladera</t>
        </is>
      </c>
    </row>
    <row r="68">
      <c r="A68" s="58" t="inlineStr">
        <is>
          <t>2</t>
        </is>
      </c>
      <c r="B68" s="58" t="inlineStr">
        <is>
          <t>Río</t>
        </is>
      </c>
      <c r="C68" s="64" t="n">
        <v>634650</v>
      </c>
      <c r="D68" s="64" t="n">
        <v>9399200</v>
      </c>
      <c r="E68" s="58" t="inlineStr">
        <is>
          <t>Permanente</t>
        </is>
      </c>
      <c r="F68" s="58" t="inlineStr">
        <is>
          <t>Regular (ligeramente turbia o con sedimentos)</t>
        </is>
      </c>
      <c r="G68" s="64" t="n">
        <v>300</v>
      </c>
      <c r="H68" s="58" t="inlineStr">
        <is>
          <t>Río Serrán (tributario del Piura), margen oeste del bloque</t>
        </is>
      </c>
    </row>
    <row r="69">
      <c r="A69" s="57" t="inlineStr">
        <is>
          <t>3</t>
        </is>
      </c>
      <c r="B69" s="57" t="inlineStr">
        <is>
          <t>Canal de riego</t>
        </is>
      </c>
      <c r="C69" s="62" t="n">
        <v>635950</v>
      </c>
      <c r="D69" s="62" t="n">
        <v>9399100</v>
      </c>
      <c r="E69" s="57" t="inlineStr">
        <is>
          <t>Intermitente</t>
        </is>
      </c>
      <c r="F69" s="57" t="inlineStr">
        <is>
          <t>Regular (ligeramente turbia o con sedimentos)</t>
        </is>
      </c>
      <c r="G69" s="62" t="n">
        <v>250</v>
      </c>
      <c r="H69" s="57" t="inlineStr">
        <is>
          <t>Riego de chacras del valle hacia Serrán</t>
        </is>
      </c>
    </row>
    <row r="72">
      <c r="A72" s="55" t="inlineStr">
        <is>
          <t>OBSERVACIONES DEL EVALUADOR POR FICHA</t>
        </is>
      </c>
    </row>
    <row r="73">
      <c r="A73" s="56" t="inlineStr">
        <is>
          <t>Ficha</t>
        </is>
      </c>
      <c r="B73" s="56" t="inlineStr">
        <is>
          <t>Observación registrada en campo</t>
        </is>
      </c>
    </row>
    <row r="74">
      <c r="A74" s="57" t="inlineStr">
        <is>
          <t>F-DT-01</t>
        </is>
      </c>
      <c r="B74" s="57" t="inlineStr">
        <is>
          <t>El bloque colinda por el flanco oriental con el área urbana de Serrán y el sector Nuevo San Juan. Se observan viviendas con muros derruidos y daños a infraestructura asociados a la activación de quebradas y avenidas de precipitación en temporada de lluvias, según refieren los pobladores. Inspección realizada el 19-05-2026 junto al Ing. Juan Carlos Domínguez Varas. Bloque contiguo a M2B1.</t>
        </is>
      </c>
    </row>
    <row r="75">
      <c r="A75" s="58" t="inlineStr">
        <is>
          <t>F-DT-02</t>
        </is>
      </c>
      <c r="B75" s="58" t="inlineStr">
        <is>
          <t>Predominan procesos de erosión laminar y en surcos en las laderas degradadas, con cárcavas incipientes asociadas a huellas de ganado y a la concentración de escorrentía. Se constató socavamiento incipiente en los cauces de quebradas que descienden hacia el pie de ladera poblado.</t>
        </is>
      </c>
    </row>
    <row r="76">
      <c r="A76" s="57" t="inlineStr">
        <is>
          <t>F-DT-03</t>
        </is>
      </c>
      <c r="B76" s="57" t="inlineStr">
        <is>
          <t>El ecosistema Bes-cm se presenta muy alterado: el dosel arbóreo original persiste solo como relictos en las cotas altas inaccesibles, dominando un mosaico arbustivo-herbáceo. La presencia abundante de Ipomoea carnea (borrachera) confirma el avance de la degradación.</t>
        </is>
      </c>
    </row>
    <row r="77">
      <c r="A77" s="58" t="inlineStr">
        <is>
          <t>F-DT-04</t>
        </is>
      </c>
      <c r="B77" s="58" t="inlineStr">
        <is>
          <t>La degradación es de origen predominantemente antrópico, acelerada por la estacionalidad climática. La cercanía a Serrán y la habilitación urbana incrementan la presión y la exposición de la población a la dinámica de quebradas y movimientos en masa.</t>
        </is>
      </c>
    </row>
    <row r="78">
      <c r="A78" s="57" t="inlineStr">
        <is>
          <t>F-DT-05</t>
        </is>
      </c>
      <c r="B78" s="57" t="inlineStr">
        <is>
          <t>Acceso vehicular hasta el pie de ladera por la trocha de Serrán; el tramo en pendiente requiere caminata. Transitabilidad limitada en época de lluvias por activación de quebradas. La quebrada que atraviesa el sector poblado constituye el principal foco de riesgo hídrico para viviendas e infraestructura.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M7B6</t>
        </is>
      </c>
    </row>
    <row r="7">
      <c r="A7" s="55" t="inlineStr">
        <is>
          <t>Hechos declarados por fuente</t>
        </is>
      </c>
    </row>
    <row r="8">
      <c r="A8" s="56" t="inlineStr">
        <is>
          <t>Fuente</t>
        </is>
      </c>
      <c r="B8" s="56" t="inlineStr">
        <is>
          <t>Hechos</t>
        </is>
      </c>
    </row>
    <row r="9">
      <c r="A9" s="57" t="inlineStr">
        <is>
          <t>Dato de campo</t>
        </is>
      </c>
      <c r="B9" s="57" t="n">
        <v>73</v>
      </c>
    </row>
    <row r="10">
      <c r="A10" s="58" t="inlineStr">
        <is>
          <t>Gabinete (GIS / teledetección)</t>
        </is>
      </c>
      <c r="B10" s="58" t="n">
        <v>23</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108</v>
      </c>
    </row>
    <row r="29">
      <c r="A29" s="58" t="inlineStr">
        <is>
          <t>COMPLEMENTADO</t>
        </is>
      </c>
      <c r="B29" s="58" t="n">
        <v>1</v>
      </c>
    </row>
    <row r="30">
      <c r="A30" s="57" t="inlineStr">
        <is>
          <t>ACTUALIZADO</t>
        </is>
      </c>
      <c r="B30" s="57" t="n">
        <v>1</v>
      </c>
    </row>
    <row r="31">
      <c r="A31" s="58" t="inlineStr">
        <is>
          <t>DISCREPANTE</t>
        </is>
      </c>
      <c r="B31" s="58" t="n">
        <v>0</v>
      </c>
    </row>
    <row r="32">
      <c r="A32" s="57" t="inlineStr">
        <is>
          <t>PENDIENTE</t>
        </is>
      </c>
      <c r="B32" s="57" t="n">
        <v>4</v>
      </c>
    </row>
    <row r="45">
      <c r="A45" s="55" t="inlineStr">
        <is>
          <t>Cobertura por estrato — campo (%)</t>
        </is>
      </c>
    </row>
    <row r="46">
      <c r="A46" s="56" t="inlineStr">
        <is>
          <t>Estrato</t>
        </is>
      </c>
      <c r="B46" s="56" t="inlineStr">
        <is>
          <t>% del área</t>
        </is>
      </c>
    </row>
    <row r="47">
      <c r="A47" s="57" t="inlineStr">
        <is>
          <t>Dosel</t>
        </is>
      </c>
      <c r="B47" s="62" t="n">
        <v>10</v>
      </c>
    </row>
    <row r="48">
      <c r="A48" s="58" t="inlineStr">
        <is>
          <t>Arbustiva</t>
        </is>
      </c>
      <c r="B48" s="64" t="n">
        <v>35</v>
      </c>
    </row>
    <row r="49">
      <c r="A49" s="57" t="inlineStr">
        <is>
          <t>Herbácea</t>
        </is>
      </c>
      <c r="B49" s="62" t="n">
        <v>40</v>
      </c>
    </row>
    <row r="50">
      <c r="A50" s="58" t="inlineStr">
        <is>
          <t>Hojarasca</t>
        </is>
      </c>
      <c r="B50" s="64" t="n">
        <v>10</v>
      </c>
    </row>
    <row r="51">
      <c r="A51" s="57" t="inlineStr">
        <is>
          <t>Suelo desnudo</t>
        </is>
      </c>
      <c r="B51" s="62" t="n">
        <v>20</v>
      </c>
    </row>
    <row r="64">
      <c r="A64" s="55" t="inlineStr">
        <is>
          <t>Causas activas de degradación (F-DT-04)</t>
        </is>
      </c>
    </row>
    <row r="65">
      <c r="A65" s="56" t="inlineStr">
        <is>
          <t>Causa</t>
        </is>
      </c>
      <c r="B65" s="56" t="inlineStr">
        <is>
          <t>Intensidad (1 ligera - 4 muy fuerte)</t>
        </is>
      </c>
    </row>
    <row r="66">
      <c r="A66" s="57" t="inlineStr">
        <is>
          <t>Expansión urbana / vial</t>
        </is>
      </c>
      <c r="B66" s="57" t="n">
        <v>3</v>
      </c>
    </row>
    <row r="67">
      <c r="A67" s="58" t="inlineStr">
        <is>
          <t>Sobrepastoreo (caprino/vacuno)</t>
        </is>
      </c>
      <c r="B67" s="58" t="n">
        <v>3</v>
      </c>
    </row>
    <row r="68">
      <c r="A68" s="57" t="inlineStr">
        <is>
          <t>Cambio de uso a pastoreo</t>
        </is>
      </c>
      <c r="B68" s="57" t="n">
        <v>2</v>
      </c>
    </row>
    <row r="69">
      <c r="A69" s="58" t="inlineStr">
        <is>
          <t>Erosión natural severa</t>
        </is>
      </c>
      <c r="B69" s="58" t="n">
        <v>2</v>
      </c>
    </row>
    <row r="70">
      <c r="A70" s="57" t="inlineStr">
        <is>
          <t>Especies invasoras</t>
        </is>
      </c>
      <c r="B70" s="57" t="n">
        <v>2</v>
      </c>
    </row>
    <row r="71">
      <c r="A71" s="58" t="inlineStr">
        <is>
          <t>Quema (renovación de pastos)</t>
        </is>
      </c>
      <c r="B71" s="58" t="n">
        <v>2</v>
      </c>
    </row>
    <row r="72">
      <c r="A72" s="57" t="inlineStr">
        <is>
          <t>Sequía prolongada / CC</t>
        </is>
      </c>
      <c r="B72" s="57" t="n">
        <v>2</v>
      </c>
    </row>
    <row r="73">
      <c r="A73" s="58" t="inlineStr">
        <is>
          <t>Tala para leña</t>
        </is>
      </c>
      <c r="B73" s="58" t="n">
        <v>2</v>
      </c>
    </row>
    <row r="74">
      <c r="A74" s="57" t="inlineStr">
        <is>
          <t>Cambio de uso a agricultura</t>
        </is>
      </c>
      <c r="B74" s="57" t="n">
        <v>1</v>
      </c>
    </row>
    <row r="75">
      <c r="A75" s="58" t="inlineStr">
        <is>
          <t>Extracción de áridos (cauces)</t>
        </is>
      </c>
      <c r="B75" s="58" t="n">
        <v>1</v>
      </c>
    </row>
    <row r="83">
      <c r="A83" s="55" t="inlineStr">
        <is>
          <t>Control de consistencia por calificación</t>
        </is>
      </c>
    </row>
    <row r="84">
      <c r="A84" s="56" t="inlineStr">
        <is>
          <t>Calificación</t>
        </is>
      </c>
      <c r="B84" s="56" t="inlineStr">
        <is>
          <t>Verificaciones</t>
        </is>
      </c>
    </row>
    <row r="85">
      <c r="A85" s="57" t="inlineStr">
        <is>
          <t>SUSTANTIVA</t>
        </is>
      </c>
      <c r="B85" s="57" t="n">
        <v>5</v>
      </c>
    </row>
    <row r="86">
      <c r="A86" s="58" t="inlineStr">
        <is>
          <t>NO SUSTANTIVA</t>
        </is>
      </c>
      <c r="B86" s="58" t="n">
        <v>2</v>
      </c>
    </row>
    <row r="87">
      <c r="A87" s="57" t="inlineStr">
        <is>
          <t>CORREGIDO</t>
        </is>
      </c>
      <c r="B87" s="57" t="n">
        <v>2</v>
      </c>
    </row>
    <row r="88">
      <c r="A88" s="58" t="inlineStr">
        <is>
          <t>CONFORME</t>
        </is>
      </c>
      <c r="B8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M7B6 — IN Piura</dc:title>
  <dc:subject>Diagnóstico Territorial por bloque de intervención</dc:subject>
  <dcterms:created xsi:type="dcterms:W3CDTF">2026-09-08T03:39:59Z</dcterms:created>
  <dcterms:modified xsi:type="dcterms:W3CDTF">2026-09-11T21:26:38Z</dcterms:modified>
</cp:coreProperties>
</file>