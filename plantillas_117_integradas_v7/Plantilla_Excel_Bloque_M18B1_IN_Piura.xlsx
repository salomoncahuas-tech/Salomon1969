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xf numFmtId="4" fontId="6" fillId="5" borderId="7" pivotButton="0" quotePrefix="0" xfId="0"/>
    <xf numFmtId="166" fontId="6" fillId="5" borderId="7" pivotButton="0" quotePrefix="0" xfId="0"/>
    <xf numFmtId="4"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integración'!$A$76:$A$84</f>
            </numRef>
          </cat>
          <val>
            <numRef>
              <f>'Gráficos de integración'!$B$76:$B$84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integración'!B102</f>
            </strRef>
          </tx>
          <spPr>
            <a:ln>
              <a:prstDash val="solid"/>
            </a:ln>
          </spPr>
          <cat>
            <numRef>
              <f>'Gráficos de integración'!$A$103:$A$106</f>
            </numRef>
          </cat>
          <val>
            <numRef>
              <f>'Gráficos de integración'!$B$103:$B$106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101</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M18B1</t>
        </is>
      </c>
    </row>
    <row r="6" ht="24" customHeight="1">
      <c r="A6" s="4" t="inlineStr">
        <is>
          <t>Diagnóstico Territorial — Plantilla DT Campo Check Validada V5 | Sistema de referencia: UTM WGS 84 Zona 17S (EPSG:32717) · Integrado con la ficha de campo F-DT vigente (Diagnostico_Territorial_M18B1_IN_Piura.xlsx) — V7 - resumen V6 + campo F-DT integrado</t>
        </is>
      </c>
    </row>
    <row r="7"/>
    <row r="8" ht="18" customHeight="1">
      <c r="A8" s="5" t="inlineStr">
        <is>
          <t>1. IDENTIFICACIÓN Y LOCALIZACIÓN</t>
        </is>
      </c>
    </row>
    <row r="9">
      <c r="A9" s="6" t="inlineStr">
        <is>
          <t>Código del bloque</t>
        </is>
      </c>
      <c r="B9" s="7" t="inlineStr">
        <is>
          <t>M18B1</t>
        </is>
      </c>
      <c r="C9" s="6" t="inlineStr">
        <is>
          <t>Microcuenca (catálogo)</t>
        </is>
      </c>
      <c r="D9" s="7" t="inlineStr">
        <is>
          <t>C1077-Q9579</t>
        </is>
      </c>
      <c r="E9" s="8" t="n"/>
      <c r="F9" s="8" t="n"/>
    </row>
    <row r="10">
      <c r="A10" s="6" t="inlineStr">
        <is>
          <t>Zona de planificación</t>
        </is>
      </c>
      <c r="B10" s="7" t="inlineStr">
        <is>
          <t>Z06</t>
        </is>
      </c>
      <c r="C10" s="6" t="inlineStr">
        <is>
          <t>Microcuenca declarada en ficha DT</t>
        </is>
      </c>
      <c r="D10" s="7" t="inlineStr">
        <is>
          <t>C1077-Q9579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Hualas / Villa Malacasí / Mangamanga</t>
        </is>
      </c>
      <c r="C13" s="6" t="inlineStr">
        <is>
          <t>Comunidad campesina</t>
        </is>
      </c>
      <c r="D13" s="51" t="inlineStr">
        <is>
          <t>Sin registro en ficha</t>
        </is>
      </c>
      <c r="E13" s="8" t="n"/>
      <c r="F13" s="8" t="n"/>
    </row>
    <row r="14">
      <c r="A14" s="6" t="inlineStr">
        <is>
          <t>Superficie de catálogo (V5/V6), ha</t>
        </is>
      </c>
      <c r="B14" s="7" t="n">
        <v>160.36</v>
      </c>
      <c r="C14" s="6" t="inlineStr">
        <is>
          <t>Fuente de superficie</t>
        </is>
      </c>
      <c r="D14" s="7" t="inlineStr">
        <is>
          <t>Catálogo maestro Bloques V5/V6</t>
        </is>
      </c>
      <c r="E14" s="8" t="n"/>
      <c r="F14" s="8" t="n"/>
    </row>
    <row r="15">
      <c r="A15" s="6" t="inlineStr">
        <is>
          <t>Centroide UTM ESTE (m)</t>
        </is>
      </c>
      <c r="B15" s="7" t="n">
        <v>621058</v>
      </c>
      <c r="C15" s="6" t="inlineStr">
        <is>
          <t>Centroide UTM NORTE (m)</t>
        </is>
      </c>
      <c r="D15" s="7" t="n">
        <v>9410427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153</v>
      </c>
      <c r="C19" s="6" t="inlineStr">
        <is>
          <t>Altitud máxima (msnm)</t>
        </is>
      </c>
      <c r="D19" s="7" t="n">
        <v>396</v>
      </c>
      <c r="E19" s="8" t="n"/>
      <c r="F19" s="8" t="n"/>
    </row>
    <row r="20">
      <c r="A20" s="6" t="inlineStr">
        <is>
          <t>Amplitud altitudinal (m)</t>
        </is>
      </c>
      <c r="B20" s="7" t="n">
        <v>243</v>
      </c>
      <c r="C20" s="6" t="inlineStr">
        <is>
          <t>Piso altitudinal dominante</t>
        </is>
      </c>
      <c r="D20" s="7" t="inlineStr">
        <is>
          <t>&lt;1000 m (Yunga)</t>
        </is>
      </c>
      <c r="E20" s="8" t="n"/>
      <c r="F20" s="8" t="n"/>
    </row>
    <row r="21">
      <c r="A21" s="6" t="inlineStr">
        <is>
          <t>Pendiente promedio (%)</t>
        </is>
      </c>
      <c r="B21" s="7" t="n">
        <v>20.37</v>
      </c>
      <c r="C21" s="6" t="inlineStr">
        <is>
          <t>Pendiente promedio (grados)</t>
        </is>
      </c>
      <c r="D21" s="7" t="n">
        <v>11.5</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0.3343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(69.97 %)</t>
        </is>
      </c>
      <c r="E29" s="8" t="n"/>
      <c r="F29" s="8" t="n"/>
    </row>
    <row r="30">
      <c r="A30" s="6" t="inlineStr">
        <is>
          <t>Superficie clasificada NDVI 2025 (ha)</t>
        </is>
      </c>
      <c r="B30" s="7" t="n">
        <v>160.43</v>
      </c>
      <c r="C30" s="6" t="inlineStr">
        <is>
          <t>Desviación frente al catálogo (%)</t>
        </is>
      </c>
      <c r="D30" s="7" t="n">
        <v>0.04</v>
      </c>
      <c r="E30" s="8" t="n"/>
      <c r="F30" s="8" t="n"/>
    </row>
    <row r="31">
      <c r="A31" s="6" t="inlineStr">
        <is>
          <t>Superficie clasificada MSAVI 2024 (ha)</t>
        </is>
      </c>
      <c r="B31" s="39" t="n">
        <v>160.36</v>
      </c>
      <c r="C31" s="6" t="inlineStr">
        <is>
          <t>Desviación MSAVI frente al catálogo (%)</t>
        </is>
      </c>
      <c r="D31" s="40" t="n">
        <v>0</v>
      </c>
      <c r="E31" s="8" t="n"/>
      <c r="F31" s="8" t="n"/>
    </row>
    <row r="32">
      <c r="A32" s="6" t="inlineStr">
        <is>
          <t>Superficie bajo umbral MSAVI 0.4976 (ha)</t>
        </is>
      </c>
      <c r="B32" s="39" t="n">
        <v>159.835</v>
      </c>
      <c r="C32" s="6" t="inlineStr">
        <is>
          <t>% del bloque bajo umbral (brecha espectral)</t>
        </is>
      </c>
      <c r="D32" s="40" t="n">
        <v>99.67</v>
      </c>
      <c r="E32" s="8" t="n"/>
      <c r="F32" s="8" t="n"/>
    </row>
    <row r="33">
      <c r="A33" s="6" t="inlineStr">
        <is>
          <t>Clase DN dominante (MSAVI 2024)</t>
        </is>
      </c>
      <c r="B33" s="7" t="inlineStr">
        <is>
          <t>DN 2 · 0.2650 - 0.3813 (Vigor muy bajo)</t>
        </is>
      </c>
      <c r="C33" s="6" t="inlineStr">
        <is>
          <t>N.° de polígonos MSAVI del bloque</t>
        </is>
      </c>
      <c r="D33" s="41" t="n">
        <v>446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160.36 ha (100% del bloque)</t>
        </is>
      </c>
      <c r="E36" s="8" t="n"/>
      <c r="F36" s="8" t="n"/>
    </row>
    <row r="37">
      <c r="A37" s="6" t="inlineStr">
        <is>
          <t>Estado de conservación</t>
        </is>
      </c>
      <c r="B37" s="7" t="inlineStr">
        <is>
          <t>Medianamente alterado</t>
        </is>
      </c>
      <c r="C37" s="6" t="inlineStr">
        <is>
          <t>Uso actual dominante del suelo</t>
        </is>
      </c>
      <c r="D37" s="51" t="inlineStr">
        <is>
          <t>Forestal protección</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40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51" t="inlineStr">
        <is>
          <t>13</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 S. Cahuas Miller</t>
        </is>
      </c>
      <c r="C44" s="6" t="inlineStr">
        <is>
          <t>Fecha de evaluación</t>
        </is>
      </c>
      <c r="D44" s="7" t="inlineStr">
        <is>
          <t>2026-05-14</t>
        </is>
      </c>
      <c r="E44" s="8" t="n"/>
      <c r="F44" s="8" t="n"/>
    </row>
    <row r="45">
      <c r="A45" s="6" t="inlineStr">
        <is>
          <t>Hora de registro</t>
        </is>
      </c>
      <c r="B45" s="7" t="inlineStr">
        <is>
          <t>08:00 - 09:20 h</t>
        </is>
      </c>
      <c r="C45" s="6" t="inlineStr">
        <is>
          <t>Correlativo de ficha</t>
        </is>
      </c>
      <c r="D45" s="7" t="inlineStr">
        <is>
          <t>DT-M18B1-001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(punto representativo de bloque)</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1" t="inlineStr">
        <is>
          <t>Presión antrópica difusa por proximidad a centros poblados (Hualas, Villa Malacasi, Mangamanga) y al eje de la vía PE-02A; uso histórico del bosque seco para extracción de leña y pastoreo extensivo sin manejo, agravado por debilidad de gobernanza forestal local en bosque seco de propiedad mixta (predios privados y comunal).</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M18B1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0.5246</v>
      </c>
      <c r="C11" s="21">
        <f>ROUND(B11/$B$15*100,2)</f>
        <v/>
      </c>
      <c r="D11" s="13" t="inlineStr">
        <is>
          <t>Vigor moderado</t>
        </is>
      </c>
      <c r="E11" s="13" t="inlineStr">
        <is>
          <t>Sobre umbral</t>
        </is>
      </c>
    </row>
    <row r="12">
      <c r="A12" s="7" t="inlineStr">
        <is>
          <t>0.3813 - 0.4976 · DN 3</t>
        </is>
      </c>
      <c r="B12" s="18" t="n">
        <v>38.1498</v>
      </c>
      <c r="C12" s="19">
        <f>ROUND(B12/$B$15*100,2)</f>
        <v/>
      </c>
      <c r="D12" s="11" t="inlineStr">
        <is>
          <t>Vigor bajo</t>
        </is>
      </c>
      <c r="E12" s="11" t="inlineStr">
        <is>
          <t>BAJO umbral 0.4976</t>
        </is>
      </c>
    </row>
    <row r="13">
      <c r="A13" s="14" t="inlineStr">
        <is>
          <t>0.2650 - 0.3813 · DN 2</t>
        </is>
      </c>
      <c r="B13" s="32" t="n">
        <v>95.749</v>
      </c>
      <c r="C13" s="31">
        <f>ROUND(B13/$B$15*100,2)</f>
        <v/>
      </c>
      <c r="D13" s="15" t="inlineStr">
        <is>
          <t>Vigor muy bajo</t>
        </is>
      </c>
      <c r="E13" s="15" t="inlineStr">
        <is>
          <t>BAJO umbral 0.4976</t>
        </is>
      </c>
    </row>
    <row r="14">
      <c r="A14" s="7" t="inlineStr">
        <is>
          <t>&lt;= 0.2650 · DN 1</t>
        </is>
      </c>
      <c r="B14" s="18" t="n">
        <v>25.9366</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446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160.36</v>
      </c>
      <c r="C18" s="50" t="inlineStr">
        <is>
          <t>—</t>
        </is>
      </c>
      <c r="D18" s="47" t="inlineStr">
        <is>
          <t>Desviación planimétrica frente al catálogo</t>
        </is>
      </c>
      <c r="E18" s="47" t="inlineStr">
        <is>
          <t>+0.00 %</t>
        </is>
      </c>
    </row>
    <row r="19">
      <c r="A19" s="16" t="inlineStr">
        <is>
          <t>MSAVI 2024 — MEDIA DEL BLOQUE</t>
        </is>
      </c>
      <c r="B19" s="17" t="n">
        <v>0.334299</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446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(0.3343)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2.2624</v>
      </c>
      <c r="C25" s="19" t="n">
        <v>1.41</v>
      </c>
      <c r="D25" s="11" t="inlineStr">
        <is>
          <t>Dosel continuo, matorral denso o mosaico agroforestal</t>
        </is>
      </c>
      <c r="E25" s="11" t="inlineStr"/>
    </row>
    <row r="26">
      <c r="A26" s="12" t="inlineStr">
        <is>
          <t>Vegetación mediana</t>
        </is>
      </c>
      <c r="B26" s="20" t="n">
        <v>112.2516</v>
      </c>
      <c r="C26" s="21" t="n">
        <v>69.97</v>
      </c>
      <c r="D26" s="13" t="inlineStr">
        <is>
          <t>Pastizal cultivado, matorral ralo, parcelas agrícolas</t>
        </is>
      </c>
      <c r="E26" s="13" t="inlineStr"/>
    </row>
    <row r="27">
      <c r="A27" s="7" t="inlineStr">
        <is>
          <t>Vegetación ligera</t>
        </is>
      </c>
      <c r="B27" s="18" t="n">
        <v>44.8367</v>
      </c>
      <c r="C27" s="19" t="n">
        <v>27.95</v>
      </c>
      <c r="D27" s="11" t="inlineStr">
        <is>
          <t>Cobertura discontinua, suelo parcialmente expuesto</t>
        </is>
      </c>
      <c r="E27" s="11" t="inlineStr"/>
    </row>
    <row r="28">
      <c r="A28" s="12" t="inlineStr">
        <is>
          <t>Tierra desnuda</t>
        </is>
      </c>
      <c r="B28" s="20" t="n">
        <v>1.0794</v>
      </c>
      <c r="C28" s="21" t="n">
        <v>0.67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160.36</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1.41 % del polígono clasificado como «Vegetación alta» por el NDVI 2025; la observación de campo corresponde a una parcela o recorrido puntual y no es estadísticamente representativa de las 160.360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M18B1</t>
        </is>
      </c>
    </row>
    <row r="6" ht="24" customHeight="1">
      <c r="A6" s="4" t="inlineStr">
        <is>
          <t>Levantamiento del 2026-05-14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621200</v>
      </c>
      <c r="D10" s="26" t="n">
        <v>9410650</v>
      </c>
      <c r="E10" s="11" t="n">
        <v>264.4</v>
      </c>
      <c r="F10" s="11" t="inlineStr"/>
      <c r="G10" s="11" t="inlineStr">
        <is>
          <t>Coordenada consignada en F-DT-01</t>
        </is>
      </c>
    </row>
    <row r="11">
      <c r="A11" s="12" t="inlineStr">
        <is>
          <t>H-01</t>
        </is>
      </c>
      <c r="B11" s="13" t="inlineStr">
        <is>
          <t>Fuente de agua — Quebrada estacional</t>
        </is>
      </c>
      <c r="C11" s="27" t="n">
        <v>621317</v>
      </c>
      <c r="D11" s="27" t="n">
        <v>9410690</v>
      </c>
      <c r="E11" s="13" t="n">
        <v>369.1</v>
      </c>
      <c r="F11" s="13" t="inlineStr">
        <is>
          <t>Estacional</t>
        </is>
      </c>
      <c r="G11" s="13" t="inlineStr">
        <is>
          <t>Qbda. Hualas — drena el bloque</t>
        </is>
      </c>
    </row>
    <row r="12">
      <c r="A12" s="7" t="inlineStr">
        <is>
          <t>H-02</t>
        </is>
      </c>
      <c r="B12" s="11" t="inlineStr">
        <is>
          <t>Fuente de agua — Río</t>
        </is>
      </c>
      <c r="C12" s="26" t="n">
        <v>621442</v>
      </c>
      <c r="D12" s="26" t="n">
        <v>9411300</v>
      </c>
      <c r="E12" s="11" t="n">
        <v>953.7</v>
      </c>
      <c r="F12" s="11" t="inlineStr">
        <is>
          <t>Permanente</t>
        </is>
      </c>
      <c r="G12" s="11" t="inlineStr">
        <is>
          <t>Río Piura — receptor de la escorrentía</t>
        </is>
      </c>
    </row>
    <row r="13">
      <c r="A13" s="12" t="inlineStr">
        <is>
          <t>H-03</t>
        </is>
      </c>
      <c r="B13" s="13" t="inlineStr">
        <is>
          <t>Fuente de agua — Quebrada estacional</t>
        </is>
      </c>
      <c r="C13" s="27" t="n">
        <v>621158</v>
      </c>
      <c r="D13" s="27" t="n">
        <v>9410869</v>
      </c>
      <c r="E13" s="13" t="n">
        <v>453.2</v>
      </c>
      <c r="F13" s="13" t="inlineStr">
        <is>
          <t>Estacional</t>
        </is>
      </c>
      <c r="G13" s="13" t="inlineStr">
        <is>
          <t>Río Seco</t>
        </is>
      </c>
    </row>
    <row r="14">
      <c r="A14" s="7" t="inlineStr">
        <is>
          <t>H-04</t>
        </is>
      </c>
      <c r="B14" s="11" t="inlineStr">
        <is>
          <t>Fuente de agua — Quebrada estacional</t>
        </is>
      </c>
      <c r="C14" s="26" t="n">
        <v>621501</v>
      </c>
      <c r="D14" s="26" t="n">
        <v>9410664</v>
      </c>
      <c r="E14" s="11" t="n">
        <v>502.4</v>
      </c>
      <c r="F14" s="11" t="inlineStr">
        <is>
          <t>Estacional</t>
        </is>
      </c>
      <c r="G14" s="11" t="inlineStr">
        <is>
          <t>Qbda. Mayor — drenaje del flanco oriental</t>
        </is>
      </c>
    </row>
    <row r="15">
      <c r="A15" s="12" t="inlineStr">
        <is>
          <t>H-05</t>
        </is>
      </c>
      <c r="B15" s="13" t="inlineStr">
        <is>
          <t>Fuente de agua — Pozo / Galería filtrante</t>
        </is>
      </c>
      <c r="C15" s="27" t="n">
        <v>621256</v>
      </c>
      <c r="D15" s="27" t="n">
        <v>9410755</v>
      </c>
      <c r="E15" s="13" t="n">
        <v>383.1</v>
      </c>
      <c r="F15" s="13" t="inlineStr">
        <is>
          <t>Permanente</t>
        </is>
      </c>
      <c r="G15" s="13" t="inlineStr">
        <is>
          <t>CAPTACIÓN CON TANQUE ELEVADO (JASS Hualas)</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621058</v>
      </c>
      <c r="C18" s="6" t="inlineStr">
        <is>
          <t>Centroide del bloque — UTM NORTE (m)</t>
        </is>
      </c>
      <c r="D18" s="7" t="n">
        <v>9410427</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32"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accesible desde el CP Hualas por trocha de herradura ascendente. EL SECTOR NE LIMITA CON LA VÍA NACIONAL PE-02A (Buenos Aires-Salitral), QUE CONSTITUYE EL PRINCIPAL EJE DE PRESIÓN ANTRÓPICA. Afloramientos rocosos masivos observados en la cabecera de la Qbda. Hualas (621 118 · 9 410 535), correspondientes a ROCAS METAMÓRFICAS-ÍGNEAS DEL COMPLEJO BASAL. La pendiente máxima puntual alcanza 46% en los flancos de la Qbda. Mayor, con pendiente media de 17-25% en la mayor parte del bloque. NO SE IDENTIFICARON EVIDENCIAS DE MOVIMIENTOS EN MASA ACTUALES NI PASADOS.</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C1077-Q9579 — BLOQUE M18B1</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C1077-Q9579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M18B3</t>
        </is>
      </c>
      <c r="B10" s="28" t="n">
        <v>373.81</v>
      </c>
      <c r="C10" s="19" t="n">
        <v>51.1</v>
      </c>
      <c r="D10" s="11" t="inlineStr">
        <is>
          <t>159 – 533</t>
        </is>
      </c>
      <c r="E10" s="11" t="n">
        <v>374</v>
      </c>
      <c r="F10" s="11" t="n">
        <v>21.52</v>
      </c>
      <c r="G10" s="18" t="n">
        <v>0.3694</v>
      </c>
      <c r="H10" s="19" t="n">
        <v>9.02</v>
      </c>
      <c r="I10" s="19" t="n">
        <v>98.38</v>
      </c>
    </row>
    <row r="11">
      <c r="A11" s="12" t="inlineStr">
        <is>
          <t>M18B5</t>
        </is>
      </c>
      <c r="B11" s="29" t="n">
        <v>197.35</v>
      </c>
      <c r="C11" s="21" t="n">
        <v>26.98</v>
      </c>
      <c r="D11" s="13" t="inlineStr">
        <is>
          <t>157 – 645</t>
        </is>
      </c>
      <c r="E11" s="13" t="n">
        <v>488</v>
      </c>
      <c r="F11" s="13" t="n">
        <v>18.19</v>
      </c>
      <c r="G11" s="20" t="n">
        <v>0.3565</v>
      </c>
      <c r="H11" s="21" t="inlineStr">
        <is>
          <t>Por determinar</t>
        </is>
      </c>
      <c r="I11" s="13" t="inlineStr">
        <is>
          <t>s/d</t>
        </is>
      </c>
    </row>
    <row r="12">
      <c r="A12" s="14" t="inlineStr">
        <is>
          <t>► M18B1</t>
        </is>
      </c>
      <c r="B12" s="30" t="n">
        <v>160.36</v>
      </c>
      <c r="C12" s="31" t="n">
        <v>21.92</v>
      </c>
      <c r="D12" s="15" t="inlineStr">
        <is>
          <t>153 – 396</t>
        </is>
      </c>
      <c r="E12" s="15" t="n">
        <v>243</v>
      </c>
      <c r="F12" s="15" t="n">
        <v>20.37</v>
      </c>
      <c r="G12" s="32" t="n">
        <v>0.3343</v>
      </c>
      <c r="H12" s="31" t="n">
        <v>1.41</v>
      </c>
      <c r="I12" s="31" t="n">
        <v>99.67</v>
      </c>
    </row>
    <row r="13">
      <c r="A13" s="16" t="inlineStr">
        <is>
          <t>TOTAL / PROMEDIO</t>
        </is>
      </c>
      <c r="B13" s="33">
        <f>SUM(B10:B12)</f>
        <v/>
      </c>
      <c r="C13" s="23">
        <f>SUM(C10:C12)</f>
        <v/>
      </c>
      <c r="D13" s="17" t="inlineStr">
        <is>
          <t>153 – 645</t>
        </is>
      </c>
      <c r="E13" s="17" t="inlineStr"/>
      <c r="F13" s="17">
        <f>ROUND(AVERAGE(F10:F12),2)</f>
        <v/>
      </c>
      <c r="G13" s="22">
        <f>ROUND(AVERAGE(G10:G12),4)</f>
        <v/>
      </c>
      <c r="H13" s="23">
        <f>ROUND(AVERAGE(H10:H12),2)</f>
        <v/>
      </c>
      <c r="I13" s="23">
        <f>ROUND(AVERAGE(I10:I12),2)</f>
        <v/>
      </c>
    </row>
    <row r="14" ht="48" customHeight="1">
      <c r="A14" s="9" t="inlineStr">
        <is>
          <t>ALCANCE DE LOS PROMEDIOS. La fila TOTAL / PROMEDIO omite las celdas «Por determinar»: el promedio de VEGETACIÓN ALTA (NDVI 2025) se calcula sobre 2 de los 3 bloques; el bloque restante carece de estadística zonal de NDVI. Los totales de ÁREA y % de microcuenca sí comprenden la totalidad de los 3 bloques. No se estima ningún valor ausente.</t>
        </is>
      </c>
      <c r="B14" s="42" t="n"/>
      <c r="C14" s="42" t="n"/>
      <c r="D14" s="42" t="n"/>
      <c r="E14" s="42" t="n"/>
      <c r="F14" s="42" t="n"/>
      <c r="G14" s="42" t="n"/>
      <c r="H14" s="42" t="n"/>
      <c r="I14" s="43" t="n"/>
    </row>
    <row r="16" ht="84" customHeight="1">
      <c r="A16" s="9" t="inlineStr">
        <is>
          <t>LECTURA INTRAMICROCUENCA. El bloque M18B1 ocupa el puesto 3 de 3 por superficie dentro de la microcuenca C1077-Q9579 (21.92 % de las 731.52 ha preliminares de la microcuenca). Su pendiente promedio (20.37 %, clase «15-25% (Fuert. inclinado)») es la 2.ª más baja de 3 y se sitúa por encima del promedio de la microcuenca (20.03 %). Su MSAVI 2024 (0.3343) es el 3.º de 3 y queda por debajo del promedio local (0.3534). Amplitud altitudinal del bloque: 243 m (153–396 msnm). El cuadro conserva todos los bloques catalogados en la microcuenca, incluidos los descartados en el tamizaje, para referencia del conjunto. Los bloques sin ficha DT figuran con sus parámetros de gabinete. BRECHA ESPECTRAL. El 99.67 % de la superficie del bloque (159.835 ha de 160.360 ha) se sitúa bajo el umbral MSAVI 0.4976, por encima del promedio local de la microcuenca (99.02 %) calculado sobre los bloques con dato MSAVI disponible.</t>
        </is>
      </c>
      <c r="B16" s="42" t="n"/>
      <c r="C16" s="42" t="n"/>
      <c r="D16" s="42" t="n"/>
      <c r="E16" s="42" t="n"/>
      <c r="F16" s="42" t="n"/>
      <c r="G16" s="42" t="n"/>
      <c r="H16" s="42" t="n"/>
      <c r="I16" s="43" t="n"/>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2" t="n"/>
      <c r="I18" s="43" t="n"/>
    </row>
  </sheetData>
  <mergeCells count="10">
    <mergeCell ref="A2:I2"/>
    <mergeCell ref="A5:I5"/>
    <mergeCell ref="A14:I14"/>
    <mergeCell ref="A1:I1"/>
    <mergeCell ref="A18:I18"/>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M18B1</t>
        </is>
      </c>
    </row>
    <row r="6">
      <c r="A6" s="53" t="inlineStr">
        <is>
          <t>Cruce de la ficha de campo F-DT vigente con la ficha de resumen de gabinete y el catálogo maestro. Integración 2026-09-11 20:22:35.</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«C1077-Q9579».</t>
        </is>
      </c>
      <c r="D9" s="57" t="inlineStr">
        <is>
          <t>CONFORME</t>
        </is>
      </c>
      <c r="E9" s="57" t="inlineStr">
        <is>
          <t>Sin acción.</t>
        </is>
      </c>
    </row>
    <row r="10">
      <c r="A10" s="58" t="inlineStr">
        <is>
          <t>G-02</t>
        </is>
      </c>
      <c r="B10" s="58" t="inlineStr">
        <is>
          <t>UTM del punto de muestreo</t>
        </is>
      </c>
      <c r="C10" s="58" t="inlineStr">
        <is>
          <t>El punto de muestreo declarado dista 264.4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(200 msnm) cae dentro del rango altitudinal del bloque (153 - 396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(160.430 ha) se desvía 0.04 % de la superficie de catálogo (160.36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(160.360 ha) se desvía 0.00 % de la superficie de catálogo (160.36 ha).</t>
        </is>
      </c>
      <c r="D14" s="58" t="inlineStr">
        <is>
          <t>CONFORME</t>
        </is>
      </c>
      <c r="E14" s="58" t="inlineStr">
        <is>
          <t>Sin acción: la segmentación valida la geometría del bloque.</t>
        </is>
      </c>
    </row>
    <row r="15">
      <c r="A15" s="57" t="inlineStr">
        <is>
          <t>G-07</t>
        </is>
      </c>
      <c r="B15" s="57" t="inlineStr">
        <is>
          <t>Brecha espectral MSAVI</t>
        </is>
      </c>
      <c r="C15" s="57" t="inlineStr">
        <is>
          <t>El 99.67 % del bloque queda bajo el umbral 0.4976; superficie de brecha 159.84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160.36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(0.3343)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Uso actual dominante del suelo</t>
        </is>
      </c>
      <c r="C19" s="57" t="inlineStr">
        <is>
          <t>El libro de resumen V6 consignaba «Forestal de protección»; la ficha de campo vigente declara «Forestal protección».</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Elenco florístico (n.o de taxones)</t>
        </is>
      </c>
      <c r="C20" s="58" t="inlineStr">
        <is>
          <t>El libro de resumen V6 consignaba «11»; la ficha de campo vigente declara «13».</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Causa subyacente principal</t>
        </is>
      </c>
      <c r="C21" s="57" t="inlineStr">
        <is>
          <t>El libro de resumen V6 consignaba «Presión antrópica difusa por proximidad a centros poblados (Hualas, Villa Malacasí, Mangamanga) y al eje de la vía nacional PE-02A»; la ficha de campo vigente declara «Presión antrópica difusa por proximidad a centros poblados (Hualas, Villa Malacasi, Mangamanga) y al eje de la vía PE-02A; uso histórico de…».</t>
        </is>
      </c>
      <c r="D21" s="57" t="inlineStr">
        <is>
          <t>CORREGIDO</t>
        </is>
      </c>
      <c r="E21" s="57" t="inlineStr">
        <is>
          <t>Se adopta el valor de campo por ser la fuente que manda sobre el dato y la más reciente. El valor anterior queda declarado para trazabilidad.</t>
        </is>
      </c>
    </row>
    <row r="22">
      <c r="A22" s="58" t="inlineStr">
        <is>
          <t>F-01</t>
        </is>
      </c>
      <c r="B22" s="58" t="inlineStr">
        <is>
          <t>Fichas F-DT levantadas</t>
        </is>
      </c>
      <c r="C22" s="58" t="inlineStr">
        <is>
          <t>La plantilla de campo trae las cinco fichas F-DT-01 a F-DT-05 (completitud 100.0 % de los campos esperados).</t>
        </is>
      </c>
      <c r="D22" s="58" t="inlineStr">
        <is>
          <t>CONFORME</t>
        </is>
      </c>
      <c r="E22" s="58" t="inlineStr">
        <is>
          <t>Sin acción.</t>
        </is>
      </c>
    </row>
    <row r="23">
      <c r="A23" s="57" t="inlineStr">
        <is>
          <t>F-02</t>
        </is>
      </c>
      <c r="B23" s="57" t="inlineStr">
        <is>
          <t>Cobertura de la integración</t>
        </is>
      </c>
      <c r="C23" s="57" t="inlineStr">
        <is>
          <t>Se declararon 109 de 114 hechos integrados (95.6 %); 5 quedan sin dato en ninguna fuente.</t>
        </is>
      </c>
      <c r="D23" s="57" t="inlineStr">
        <is>
          <t>CONFORME</t>
        </is>
      </c>
      <c r="E23" s="57" t="inlineStr">
        <is>
          <t>Sin acción.</t>
        </is>
      </c>
    </row>
    <row r="24">
      <c r="A24" s="58" t="inlineStr">
        <is>
          <t>H-01</t>
        </is>
      </c>
      <c r="B24" s="58" t="inlineStr">
        <is>
          <t>Cobertura vegetal total</t>
        </is>
      </c>
      <c r="C24" s="58" t="inlineStr">
        <is>
          <t>La ficha DT estima 60 % de cobertura vegetal en campo; el NDVI mediana 2025 clasifica 99.33 % del polígono en clases de vegetación</t>
        </is>
      </c>
      <c r="D24" s="58" t="inlineStr">
        <is>
          <t>NO SUSTANTIVA</t>
        </is>
      </c>
      <c r="E24"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7" t="inlineStr">
        <is>
          <t>H-02</t>
        </is>
      </c>
      <c r="B25" s="57" t="inlineStr">
        <is>
          <t>Representatividad del levantamiento</t>
        </is>
      </c>
      <c r="C25" s="57" t="inlineStr">
        <is>
          <t>Ninguna de las estaciones fotográficas georreferenciadas se localiza dentro del polígono del bloque</t>
        </is>
      </c>
      <c r="D25" s="57" t="inlineStr">
        <is>
          <t>SUSTANTIVA</t>
        </is>
      </c>
      <c r="E25" s="57" t="inlineStr">
        <is>
          <t>La verificación documenta el perímetro y la vista panorámica del bloque, no su interior. Los parámetros que exigen recorrido interno se consignan «Por determinar». (Verificación heredada de la ficha de resumen V6.)</t>
        </is>
      </c>
    </row>
    <row r="26">
      <c r="A26" s="58" t="inlineStr">
        <is>
          <t>H-03</t>
        </is>
      </c>
      <c r="B26" s="58" t="inlineStr">
        <is>
          <t>Centro poblado asociado</t>
        </is>
      </c>
      <c r="C26" s="58" t="inlineStr">
        <is>
          <t>La ficha DT declara «Hualas / Villa Malacasí / Mangamanga»; el cruce INEI-Bloques V5 identifica 1 centro(s) poblado(s) en el bloque: HUALAS</t>
        </is>
      </c>
      <c r="D26" s="58" t="inlineStr">
        <is>
          <t>CONFORME</t>
        </is>
      </c>
      <c r="E26" s="58" t="inlineStr">
        <is>
          <t>Se conserva el registro de campo como referencia y se adopta el listado INEI para el diagnóstico social y el cálculo de población beneficiaria. (Verificación heredada de la ficha de resumen V6.)</t>
        </is>
      </c>
    </row>
    <row r="27">
      <c r="A27" s="57" t="inlineStr">
        <is>
          <t>H-04</t>
        </is>
      </c>
      <c r="B27" s="57" t="inlineStr">
        <is>
          <t>Plan de Ingreso</t>
        </is>
      </c>
      <c r="C27" s="57" t="inlineStr">
        <is>
          <t>Altitud = 0 msnm (captura por defecto del aplicativo)</t>
        </is>
      </c>
      <c r="D27" s="57" t="inlineStr">
        <is>
          <t>CORREGIDO</t>
        </is>
      </c>
      <c r="E27" s="57" t="inlineStr">
        <is>
          <t>Se reemplaza por la altitud GPS de campo (150 msnm) (Verificación heredada de la ficha de resumen V6.)</t>
        </is>
      </c>
    </row>
    <row r="28">
      <c r="A28" s="58" t="inlineStr">
        <is>
          <t>H-05</t>
        </is>
      </c>
      <c r="B28" s="58" t="inlineStr">
        <is>
          <t>F-DT-02</t>
        </is>
      </c>
      <c r="C28" s="58" t="inlineStr">
        <is>
          <t>La observación declara erosión laminar en ≈25% del área frente al 10% consignado en el campo</t>
        </is>
      </c>
      <c r="D28" s="58" t="inlineStr">
        <is>
          <t>SUSTANTIVA</t>
        </is>
      </c>
      <c r="E28" s="58" t="inlineStr">
        <is>
          <t>Inconsistencia interna a resolver (Verificación heredada de la ficha de resumen V6.)</t>
        </is>
      </c>
    </row>
    <row r="29">
      <c r="A29" s="57" t="inlineStr">
        <is>
          <t>H-06</t>
        </is>
      </c>
      <c r="B29" s="57" t="inlineStr">
        <is>
          <t>F-DT-03 / F-DT-04</t>
        </is>
      </c>
      <c r="C29" s="57" t="inlineStr">
        <is>
          <t>Suelo desnudo: 40% en F-DT-03 frente a 15% en el indicador N.° 2</t>
        </is>
      </c>
      <c r="D29" s="57" t="inlineStr">
        <is>
          <t>SUSTANTIVA</t>
        </is>
      </c>
      <c r="E29" s="57" t="inlineStr">
        <is>
          <t>Inconsistencia interna a resolver (Verificación heredada de la ficha de resumen V6.)</t>
        </is>
      </c>
    </row>
    <row r="30">
      <c r="A30" s="58" t="inlineStr">
        <is>
          <t>H-07</t>
        </is>
      </c>
      <c r="B30" s="58" t="inlineStr">
        <is>
          <t>F-DT-05</t>
        </is>
      </c>
      <c r="C30" s="58" t="inlineStr">
        <is>
          <t>Zona de recarga «No» y escorrentía concentrada «No» pese a registrarse socavamiento de cauce y 4 quebradas</t>
        </is>
      </c>
      <c r="D30" s="58" t="inlineStr">
        <is>
          <t>SUSTANTIVA</t>
        </is>
      </c>
      <c r="E30" s="58" t="inlineStr">
        <is>
          <t>Inconsistencia interna a resolver (Verificación heredada de la ficha de resumen V6.)</t>
        </is>
      </c>
    </row>
    <row r="32">
      <c r="A32" s="59" t="inlineStr">
        <is>
          <t>RESUMEN</t>
        </is>
      </c>
      <c r="B32" s="60" t="inlineStr">
        <is>
          <t>22 verificaciones</t>
        </is>
      </c>
      <c r="C32" s="60" t="inlineStr">
        <is>
          <t>SUSTANTIVA: 5 · NO SUSTANTIVA: 1 · CORREGIDO: 4 · CONFORME: 12</t>
        </is>
      </c>
    </row>
    <row r="34">
      <c r="A34"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M18B1</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5. Ecosistema, cobertura y flora (F-DT-03)</t>
        </is>
      </c>
      <c r="B9" s="57" t="inlineStr">
        <is>
          <t>Uso actual dominante del suelo</t>
        </is>
      </c>
      <c r="C9" s="57" t="inlineStr">
        <is>
          <t>Forestal de protección</t>
        </is>
      </c>
      <c r="D9" s="57" t="inlineStr">
        <is>
          <t>Forestal protección</t>
        </is>
      </c>
      <c r="E9" s="57" t="inlineStr">
        <is>
          <t>Dato de campo</t>
        </is>
      </c>
    </row>
    <row r="10">
      <c r="A10" s="58" t="inlineStr">
        <is>
          <t>5. Ecosistema, cobertura y flora (F-DT-03)</t>
        </is>
      </c>
      <c r="B10" s="58" t="inlineStr">
        <is>
          <t>Elenco florístico (n.o de taxones)</t>
        </is>
      </c>
      <c r="C10" s="58" t="inlineStr">
        <is>
          <t>11</t>
        </is>
      </c>
      <c r="D10" s="58" t="inlineStr">
        <is>
          <t>13</t>
        </is>
      </c>
      <c r="E10" s="58" t="inlineStr">
        <is>
          <t>Dato de campo</t>
        </is>
      </c>
    </row>
    <row r="11">
      <c r="A11" s="57" t="inlineStr">
        <is>
          <t>6. Degradación, causas y urgencia (F-DT-04)</t>
        </is>
      </c>
      <c r="B11" s="57" t="inlineStr">
        <is>
          <t>Causa subyacente principal</t>
        </is>
      </c>
      <c r="C11" s="57" t="inlineStr">
        <is>
          <t>Presión antrópica difusa por proximidad a centros poblados (Hualas, Villa Malacasí, Mangamanga) y al eje de la vía nacional PE-02A</t>
        </is>
      </c>
      <c r="D11" s="57" t="inlineStr">
        <is>
          <t>Presión antrópica difusa por proximidad a centros poblados (Hualas, Villa Malacasi, Mangamanga) y al eje de la vía PE-02A; uso histórico del bosque seco para extracción de leña y pastoreo extensivo sin manejo, agravado por debilidad de gobernanza forestal local en bosque seco de propiedad mixta (predios privados y comunal).</t>
        </is>
      </c>
      <c r="E11" s="57" t="inlineStr">
        <is>
          <t>Dato de campo</t>
        </is>
      </c>
    </row>
    <row r="13">
      <c r="A13" s="55" t="inlineStr">
        <is>
          <t>B. HECHOS APORTADOS ÚNICAMENTE POR LA FICHA DE CAMPO</t>
        </is>
      </c>
    </row>
    <row r="14">
      <c r="A14" s="56" t="inlineStr">
        <is>
          <t>Sección</t>
        </is>
      </c>
      <c r="B14" s="56" t="inlineStr">
        <is>
          <t>Hecho</t>
        </is>
      </c>
      <c r="C14" s="56" t="inlineStr">
        <is>
          <t>Valor</t>
        </is>
      </c>
      <c r="D14" s="56" t="inlineStr">
        <is>
          <t>Unidad</t>
        </is>
      </c>
    </row>
    <row r="15">
      <c r="A15" s="57" t="inlineStr">
        <is>
          <t>1. Identificación y localización</t>
        </is>
      </c>
      <c r="B15" s="57" t="inlineStr">
        <is>
          <t>UTM ESTE del punto de muestreo (m)</t>
        </is>
      </c>
      <c r="C15" s="57" t="inlineStr">
        <is>
          <t>621200</t>
        </is>
      </c>
      <c r="D15" s="57" t="inlineStr">
        <is>
          <t>m</t>
        </is>
      </c>
    </row>
    <row r="16">
      <c r="A16" s="58" t="inlineStr">
        <is>
          <t>1. Identificación y localización</t>
        </is>
      </c>
      <c r="B16" s="58" t="inlineStr">
        <is>
          <t>UTM NORTE del punto de muestreo (m)</t>
        </is>
      </c>
      <c r="C16" s="58" t="inlineStr">
        <is>
          <t>9410650</t>
        </is>
      </c>
      <c r="D16" s="58" t="inlineStr">
        <is>
          <t>m</t>
        </is>
      </c>
    </row>
    <row r="17">
      <c r="A17" s="57" t="inlineStr">
        <is>
          <t>2. Parámetros físicos del terreno</t>
        </is>
      </c>
      <c r="B17" s="57" t="inlineStr">
        <is>
          <t>Altitud GPS del punto de muestreo (msnm)</t>
        </is>
      </c>
      <c r="C17" s="57" t="inlineStr">
        <is>
          <t>200</t>
        </is>
      </c>
      <c r="D17" s="57" t="inlineStr">
        <is>
          <t>msnm</t>
        </is>
      </c>
    </row>
    <row r="18">
      <c r="A18" s="58" t="inlineStr">
        <is>
          <t>2. Parámetros físicos del terreno</t>
        </is>
      </c>
      <c r="B18" s="58" t="inlineStr">
        <is>
          <t>Piso altitudinal del punto de muestreo</t>
        </is>
      </c>
      <c r="C18" s="58" t="inlineStr">
        <is>
          <t>&lt;1000 m (Yunga)</t>
        </is>
      </c>
      <c r="D18" s="58" t="inlineStr"/>
    </row>
    <row r="19">
      <c r="A19" s="57" t="inlineStr">
        <is>
          <t>2. Parámetros físicos del terreno</t>
        </is>
      </c>
      <c r="B19" s="57" t="inlineStr">
        <is>
          <t>Paisaje dominante descrito en campo</t>
        </is>
      </c>
      <c r="C19" s="57" t="inlineStr">
        <is>
          <t>Paisaje colinoso de bosque estacionalmente seco de colina y montaña ubicado en margen izquierda del río Piura. Tres niveles altitudinales identificados: zona ribereña (143–170 msnm) con vegetación arbórea más desarrollada, ladera media (170–230 msnm) con bosque ralo dominado por charán y pasallo, y cimas y crestas (230–290 msnm) con cobertura arbustiva-cactácea. Quebradas estacionales (Qbda. Hualas y Qbda. Mayor) drenan hacia el río Piura. Faja de desbosque observada en sector central, asociada a línea eléctrica de alta tensión rural.</t>
        </is>
      </c>
      <c r="D19" s="57" t="inlineStr"/>
    </row>
    <row r="20">
      <c r="A20" s="58" t="inlineStr">
        <is>
          <t>2. Parámetros físicos del terreno</t>
        </is>
      </c>
      <c r="B20" s="58" t="inlineStr">
        <is>
          <t>Reptación de suelo</t>
        </is>
      </c>
      <c r="C20" s="58" t="inlineStr">
        <is>
          <t>No</t>
        </is>
      </c>
      <c r="D20" s="58" t="inlineStr"/>
    </row>
    <row r="21">
      <c r="A21" s="57" t="inlineStr">
        <is>
          <t>2. Parámetros físicos del terreno</t>
        </is>
      </c>
      <c r="B21" s="57" t="inlineStr">
        <is>
          <t>Deslizamientos antiguos</t>
        </is>
      </c>
      <c r="C21" s="57" t="inlineStr">
        <is>
          <t>No</t>
        </is>
      </c>
      <c r="D21" s="57" t="inlineStr"/>
    </row>
    <row r="22">
      <c r="A22" s="58" t="inlineStr">
        <is>
          <t>4. Suelos y erosión (F-DT-02)</t>
        </is>
      </c>
      <c r="B22" s="58" t="inlineStr">
        <is>
          <t>Nivel de erosión - síntesis de campo</t>
        </is>
      </c>
      <c r="C22" s="58" t="inlineStr">
        <is>
          <t>Ligera (laminar)</t>
        </is>
      </c>
      <c r="D22" s="58" t="inlineStr"/>
    </row>
    <row r="23">
      <c r="A23" s="57" t="inlineStr">
        <is>
          <t>4. Suelos y erosión (F-DT-02)</t>
        </is>
      </c>
      <c r="B23" s="57" t="inlineStr">
        <is>
          <t>Sellamiento / costra superficial</t>
        </is>
      </c>
      <c r="C23" s="57" t="inlineStr">
        <is>
          <t>No</t>
        </is>
      </c>
      <c r="D23" s="57" t="inlineStr"/>
    </row>
    <row r="24">
      <c r="A24" s="58" t="inlineStr">
        <is>
          <t>4. Suelos y erosión (F-DT-02)</t>
        </is>
      </c>
      <c r="B24" s="58" t="inlineStr">
        <is>
          <t>Compactación por pisoteo</t>
        </is>
      </c>
      <c r="C24" s="58" t="inlineStr">
        <is>
          <t>Sí</t>
        </is>
      </c>
      <c r="D24" s="58" t="inlineStr"/>
    </row>
    <row r="25">
      <c r="A25" s="57" t="inlineStr">
        <is>
          <t>4. Suelos y erosión (F-DT-02)</t>
        </is>
      </c>
      <c r="B25" s="57" t="inlineStr">
        <is>
          <t>Raíces expuestas</t>
        </is>
      </c>
      <c r="C25" s="57" t="inlineStr">
        <is>
          <t>Sí</t>
        </is>
      </c>
      <c r="D25" s="57" t="inlineStr"/>
    </row>
    <row r="26">
      <c r="A26" s="58" t="inlineStr">
        <is>
          <t>4. Suelos y erosión (F-DT-02)</t>
        </is>
      </c>
      <c r="B26" s="58" t="inlineStr">
        <is>
          <t>Longitud total de cárcavas (m)</t>
        </is>
      </c>
      <c r="C26" s="58" t="inlineStr">
        <is>
          <t>0</t>
        </is>
      </c>
      <c r="D26" s="58" t="inlineStr">
        <is>
          <t>m</t>
        </is>
      </c>
    </row>
    <row r="27">
      <c r="A27" s="57" t="inlineStr">
        <is>
          <t>4. Suelos y erosión (F-DT-02)</t>
        </is>
      </c>
      <c r="B27" s="57" t="inlineStr">
        <is>
          <t>% del bloque afectado por cárcavas</t>
        </is>
      </c>
      <c r="C27" s="57" t="inlineStr">
        <is>
          <t>0</t>
        </is>
      </c>
      <c r="D27" s="57" t="inlineStr">
        <is>
          <t>%</t>
        </is>
      </c>
    </row>
    <row r="28">
      <c r="A28" s="58" t="inlineStr">
        <is>
          <t>4. Suelos y erosión (F-DT-02)</t>
        </is>
      </c>
      <c r="B28" s="58" t="inlineStr">
        <is>
          <t>Erosión laminar (% del bloque)</t>
        </is>
      </c>
      <c r="C28" s="58" t="inlineStr">
        <is>
          <t>10</t>
        </is>
      </c>
      <c r="D28" s="58" t="inlineStr">
        <is>
          <t>%</t>
        </is>
      </c>
    </row>
    <row r="29">
      <c r="A29" s="57" t="inlineStr">
        <is>
          <t>4. Suelos y erosión (F-DT-02)</t>
        </is>
      </c>
      <c r="B29" s="57" t="inlineStr">
        <is>
          <t>Patrón de cárcavas</t>
        </is>
      </c>
      <c r="C29" s="57" t="inlineStr">
        <is>
          <t>Aislado</t>
        </is>
      </c>
      <c r="D29" s="57" t="inlineStr"/>
    </row>
    <row r="30">
      <c r="A30" s="58" t="inlineStr">
        <is>
          <t>4. Suelos y erosión (F-DT-02)</t>
        </is>
      </c>
      <c r="B30" s="58" t="inlineStr">
        <is>
          <t>Socavamiento de cauce</t>
        </is>
      </c>
      <c r="C30" s="58" t="inlineStr">
        <is>
          <t>Sí</t>
        </is>
      </c>
      <c r="D30" s="58" t="inlineStr"/>
    </row>
    <row r="31">
      <c r="A31" s="57" t="inlineStr">
        <is>
          <t>5. Ecosistema, cobertura y flora (F-DT-03)</t>
        </is>
      </c>
      <c r="B31" s="57" t="inlineStr">
        <is>
          <t>Cobertura del dosel (%)</t>
        </is>
      </c>
      <c r="C31" s="57" t="inlineStr">
        <is>
          <t>25</t>
        </is>
      </c>
      <c r="D31" s="57" t="inlineStr">
        <is>
          <t>%</t>
        </is>
      </c>
    </row>
    <row r="32">
      <c r="A32" s="58" t="inlineStr">
        <is>
          <t>5. Ecosistema, cobertura y flora (F-DT-03)</t>
        </is>
      </c>
      <c r="B32" s="58" t="inlineStr">
        <is>
          <t>Cobertura arbustiva (%)</t>
        </is>
      </c>
      <c r="C32" s="58" t="inlineStr">
        <is>
          <t>30</t>
        </is>
      </c>
      <c r="D32" s="58" t="inlineStr">
        <is>
          <t>%</t>
        </is>
      </c>
    </row>
    <row r="33">
      <c r="A33" s="57" t="inlineStr">
        <is>
          <t>5. Ecosistema, cobertura y flora (F-DT-03)</t>
        </is>
      </c>
      <c r="B33" s="57" t="inlineStr">
        <is>
          <t>Cobertura herbácea (%)</t>
        </is>
      </c>
      <c r="C33" s="57" t="inlineStr">
        <is>
          <t>30</t>
        </is>
      </c>
      <c r="D33" s="57" t="inlineStr">
        <is>
          <t>%</t>
        </is>
      </c>
    </row>
    <row r="34">
      <c r="A34" s="58" t="inlineStr">
        <is>
          <t>5. Ecosistema, cobertura y flora (F-DT-03)</t>
        </is>
      </c>
      <c r="B34" s="58" t="inlineStr">
        <is>
          <t>Cobertura de hojarasca (%)</t>
        </is>
      </c>
      <c r="C34" s="58" t="inlineStr">
        <is>
          <t>10</t>
        </is>
      </c>
      <c r="D34" s="58" t="inlineStr">
        <is>
          <t>%</t>
        </is>
      </c>
    </row>
    <row r="35">
      <c r="A35" s="57" t="inlineStr">
        <is>
          <t>5. Ecosistema, cobertura y flora (F-DT-03)</t>
        </is>
      </c>
      <c r="B35" s="57" t="inlineStr">
        <is>
          <t>Altura del estrato dominante (m)</t>
        </is>
      </c>
      <c r="C35" s="57" t="inlineStr">
        <is>
          <t>4</t>
        </is>
      </c>
      <c r="D35" s="57" t="inlineStr">
        <is>
          <t>m</t>
        </is>
      </c>
    </row>
    <row r="36">
      <c r="A36" s="58" t="inlineStr">
        <is>
          <t>5. Ecosistema, cobertura y flora (F-DT-03)</t>
        </is>
      </c>
      <c r="B36" s="58" t="inlineStr">
        <is>
          <t>Altura máxima registrada (m)</t>
        </is>
      </c>
      <c r="C36" s="58" t="inlineStr">
        <is>
          <t>8</t>
        </is>
      </c>
      <c r="D36" s="58" t="inlineStr">
        <is>
          <t>m</t>
        </is>
      </c>
    </row>
    <row r="37">
      <c r="A37" s="57" t="inlineStr">
        <is>
          <t>5. Ecosistema, cobertura y flora (F-DT-03)</t>
        </is>
      </c>
      <c r="B37" s="57" t="inlineStr">
        <is>
          <t>DAP promedio (cm)</t>
        </is>
      </c>
      <c r="C37" s="57" t="inlineStr">
        <is>
          <t>15-20</t>
        </is>
      </c>
      <c r="D37" s="57" t="inlineStr">
        <is>
          <t>cm</t>
        </is>
      </c>
    </row>
    <row r="38">
      <c r="A38" s="58" t="inlineStr">
        <is>
          <t>5. Ecosistema, cobertura y flora (F-DT-03)</t>
        </is>
      </c>
      <c r="B38" s="58" t="inlineStr">
        <is>
          <t>Presencia de epífitas</t>
        </is>
      </c>
      <c r="C38" s="58" t="inlineStr">
        <is>
          <t>Presencia ocasional de Tillandsia spp. (salvajinas) sobre árboles de Pasallo y Charán; cobertura epífita estimada &lt;5%.</t>
        </is>
      </c>
      <c r="D38" s="58" t="inlineStr"/>
    </row>
    <row r="39">
      <c r="A39" s="57" t="inlineStr">
        <is>
          <t>5. Ecosistema, cobertura y flora (F-DT-03)</t>
        </is>
      </c>
      <c r="B39" s="57" t="inlineStr">
        <is>
          <t>Fenología dominante</t>
        </is>
      </c>
      <c r="C39" s="57" t="inlineStr">
        <is>
          <t>Floración</t>
        </is>
      </c>
      <c r="D39" s="57" t="inlineStr"/>
    </row>
    <row r="40">
      <c r="A40" s="58" t="inlineStr">
        <is>
          <t>5. Ecosistema, cobertura y flora (F-DT-03)</t>
        </is>
      </c>
      <c r="B40" s="58" t="inlineStr">
        <is>
          <t>Especies clave georreferenciadas</t>
        </is>
      </c>
      <c r="C40" s="58" t="inlineStr">
        <is>
          <t>7</t>
        </is>
      </c>
      <c r="D40" s="58" t="inlineStr"/>
    </row>
    <row r="41">
      <c r="A41" s="57" t="inlineStr">
        <is>
          <t>6. Degradación, causas y urgencia (F-DT-04)</t>
        </is>
      </c>
      <c r="B41" s="57" t="inlineStr">
        <is>
          <t>Causas directas de la degradación</t>
        </is>
      </c>
      <c r="C41" s="57" t="inlineStr">
        <is>
          <t>Tala selectiva histórica de especies maderables (Hualtaco, Charán), sobrepastoreo extensivo de ganado caprino-vacuno con compactación moderada de suelos, quema esporádica para renovación de pastos, y fragmentación del hábitat por línea eléctrica rural y proximidad a vía nacional PE-02A. Sequía estacional crónica (5-6 meses) como condicionante climático estructural.</t>
        </is>
      </c>
      <c r="D41" s="57" t="inlineStr"/>
    </row>
    <row r="42">
      <c r="A42" s="58" t="inlineStr">
        <is>
          <t>6. Degradación, causas y urgencia (F-DT-04)</t>
        </is>
      </c>
      <c r="B42" s="58" t="inlineStr">
        <is>
          <t>N.° de causas activas en la matriz F-DT-04</t>
        </is>
      </c>
      <c r="C42" s="58" t="inlineStr">
        <is>
          <t>9</t>
        </is>
      </c>
      <c r="D42" s="58" t="inlineStr"/>
    </row>
    <row r="43">
      <c r="A43" s="57" t="inlineStr">
        <is>
          <t>7. Hidrología, acceso y logística (F-DT-05)</t>
        </is>
      </c>
      <c r="B43" s="57" t="inlineStr">
        <is>
          <t>Escorrentía concentrada</t>
        </is>
      </c>
      <c r="C43" s="57" t="inlineStr">
        <is>
          <t>No</t>
        </is>
      </c>
      <c r="D43" s="57" t="inlineStr"/>
    </row>
    <row r="44">
      <c r="A44" s="58" t="inlineStr">
        <is>
          <t>7. Hidrología, acceso y logística (F-DT-05)</t>
        </is>
      </c>
      <c r="B44" s="58" t="inlineStr">
        <is>
          <t>Fuentes de agua inventariadas</t>
        </is>
      </c>
      <c r="C44" s="58" t="inlineStr">
        <is>
          <t>5</t>
        </is>
      </c>
      <c r="D44" s="58" t="inlineStr"/>
    </row>
    <row r="45">
      <c r="A45" s="57" t="inlineStr">
        <is>
          <t>7. Hidrología, acceso y logística (F-DT-05)</t>
        </is>
      </c>
      <c r="B45" s="57" t="inlineStr">
        <is>
          <t>Distancia a captación (m)</t>
        </is>
      </c>
      <c r="C45" s="57" t="inlineStr">
        <is>
          <t>200</t>
        </is>
      </c>
      <c r="D45" s="57" t="inlineStr">
        <is>
          <t>m</t>
        </is>
      </c>
    </row>
    <row r="46">
      <c r="A46" s="58" t="inlineStr">
        <is>
          <t>7. Hidrología, acceso y logística (F-DT-05)</t>
        </is>
      </c>
      <c r="B46" s="58" t="inlineStr">
        <is>
          <t>Interferencia con riego</t>
        </is>
      </c>
      <c r="C46" s="58" t="inlineStr">
        <is>
          <t>No</t>
        </is>
      </c>
      <c r="D46" s="58" t="inlineStr"/>
    </row>
    <row r="47">
      <c r="A47" s="57" t="inlineStr">
        <is>
          <t>7. Hidrología, acceso y logística (F-DT-05)</t>
        </is>
      </c>
      <c r="B47" s="57" t="inlineStr">
        <is>
          <t>Vía principal de acceso</t>
        </is>
      </c>
      <c r="C47" s="57" t="inlineStr">
        <is>
          <t>PE-02A (Buenos Aires – Salitral); empalme con trocha de herradura al bloque</t>
        </is>
      </c>
      <c r="D47" s="57" t="inlineStr"/>
    </row>
    <row r="48">
      <c r="A48" s="58" t="inlineStr">
        <is>
          <t>7. Hidrología, acceso y logística (F-DT-05)</t>
        </is>
      </c>
      <c r="B48" s="58" t="inlineStr">
        <is>
          <t>Tipo de vía del tramo final</t>
        </is>
      </c>
      <c r="C48" s="58" t="inlineStr">
        <is>
          <t>Camino de herradura</t>
        </is>
      </c>
      <c r="D48" s="58" t="inlineStr"/>
    </row>
    <row r="49">
      <c r="A49" s="57" t="inlineStr">
        <is>
          <t>7. Hidrología, acceso y logística (F-DT-05)</t>
        </is>
      </c>
      <c r="B49" s="57" t="inlineStr">
        <is>
          <t>Transitabilidad en época seca</t>
        </is>
      </c>
      <c r="C49" s="57" t="inlineStr">
        <is>
          <t>Alto</t>
        </is>
      </c>
      <c r="D49" s="57" t="inlineStr"/>
    </row>
    <row r="50">
      <c r="A50" s="58" t="inlineStr">
        <is>
          <t>7. Hidrología, acceso y logística (F-DT-05)</t>
        </is>
      </c>
      <c r="B50" s="58" t="inlineStr">
        <is>
          <t>Transitabilidad en época lluviosa</t>
        </is>
      </c>
      <c r="C50" s="58" t="inlineStr">
        <is>
          <t>Medio</t>
        </is>
      </c>
      <c r="D50" s="58" t="inlineStr"/>
    </row>
    <row r="51">
      <c r="A51" s="57" t="inlineStr">
        <is>
          <t>7. Hidrología, acceso y logística (F-DT-05)</t>
        </is>
      </c>
      <c r="B51" s="57" t="inlineStr">
        <is>
          <t>Tiempo a la capital distrital (min)</t>
        </is>
      </c>
      <c r="C51" s="57" t="inlineStr">
        <is>
          <t>25</t>
        </is>
      </c>
      <c r="D51" s="57" t="inlineStr">
        <is>
          <t>min</t>
        </is>
      </c>
    </row>
    <row r="52">
      <c r="A52" s="58" t="inlineStr">
        <is>
          <t>7. Hidrología, acceso y logística (F-DT-05)</t>
        </is>
      </c>
      <c r="B52" s="58" t="inlineStr">
        <is>
          <t>Señal celular</t>
        </is>
      </c>
      <c r="C52" s="58" t="inlineStr">
        <is>
          <t>Parcial</t>
        </is>
      </c>
      <c r="D52" s="58" t="inlineStr"/>
    </row>
    <row r="53">
      <c r="A53" s="57" t="inlineStr">
        <is>
          <t>7. Hidrología, acceso y logística (F-DT-05)</t>
        </is>
      </c>
      <c r="B53" s="57" t="inlineStr">
        <is>
          <t>Operador con cobertura</t>
        </is>
      </c>
      <c r="C53" s="57" t="inlineStr">
        <is>
          <t>Claro (antena identificada en el sector — ver imagen satelital "Antena Operador Claro")</t>
        </is>
      </c>
      <c r="D53" s="57" t="inlineStr"/>
    </row>
    <row r="54">
      <c r="A54" s="58" t="inlineStr">
        <is>
          <t>7. Hidrología, acceso y logística (F-DT-05)</t>
        </is>
      </c>
      <c r="B54" s="58" t="inlineStr">
        <is>
          <t>Alojamiento disponible en la zona</t>
        </is>
      </c>
      <c r="C54" s="58" t="inlineStr">
        <is>
          <t>No (alojamiento disponible en Buenos Aires y Salitral)</t>
        </is>
      </c>
      <c r="D54" s="58" t="inlineStr"/>
    </row>
    <row r="55">
      <c r="A55" s="57" t="inlineStr">
        <is>
          <t>7. Hidrología, acceso y logística (F-DT-05)</t>
        </is>
      </c>
      <c r="B55" s="57" t="inlineStr">
        <is>
          <t>Requiere coordinación con ronda / comunidad</t>
        </is>
      </c>
      <c r="C55" s="57" t="inlineStr">
        <is>
          <t>Sí</t>
        </is>
      </c>
      <c r="D55" s="57" t="inlineStr"/>
    </row>
    <row r="56">
      <c r="A56" s="58" t="inlineStr">
        <is>
          <t>7. Hidrología, acceso y logística (F-DT-05)</t>
        </is>
      </c>
      <c r="B56" s="58" t="inlineStr">
        <is>
          <t>Contacto local de coordinación</t>
        </is>
      </c>
      <c r="C56" s="58" t="inlineStr">
        <is>
          <t>Renelmo Carhuapoma</t>
        </is>
      </c>
      <c r="D56" s="58" t="inlineStr"/>
    </row>
    <row r="58">
      <c r="A58" s="55" t="inlineStr">
        <is>
          <t>C. PROCEDENCIA DE LOS HECHOS DECLARADOS</t>
        </is>
      </c>
    </row>
    <row r="59">
      <c r="A59" s="56" t="inlineStr">
        <is>
          <t>Fuente</t>
        </is>
      </c>
      <c r="B59" s="56" t="inlineStr">
        <is>
          <t>Hechos</t>
        </is>
      </c>
      <c r="C59" s="56" t="inlineStr">
        <is>
          <t>Alcance de la fuente</t>
        </is>
      </c>
    </row>
    <row r="60">
      <c r="A60" s="57" t="inlineStr">
        <is>
          <t>Dato de campo</t>
        </is>
      </c>
      <c r="B60" s="57" t="n">
        <v>72</v>
      </c>
      <c r="C60" s="57" t="inlineStr">
        <is>
          <t>Verificación en campo. Fichas F-DT-01 a F-DT-05 de la Plantilla DT Campo Check Validada V5, suscritas por el evaluador.</t>
        </is>
      </c>
    </row>
    <row r="61">
      <c r="A61" s="58" t="inlineStr">
        <is>
          <t>Gabinete (GIS / teledetección)</t>
        </is>
      </c>
      <c r="B61" s="58" t="n">
        <v>23</v>
      </c>
      <c r="C61" s="58" t="inlineStr">
        <is>
          <t>Gabinete. Estadística zonal sobre el MDE y compuestos Sentinel-2 (NDVI mediana 2025, MSAVI 2024 por clase DN).</t>
        </is>
      </c>
    </row>
    <row r="62">
      <c r="A62" s="57" t="inlineStr">
        <is>
          <t>Fuente oficial</t>
        </is>
      </c>
      <c r="B62" s="57" t="n">
        <v>14</v>
      </c>
      <c r="C62" s="57" t="inlineStr">
        <is>
          <t>Fuente oficial. Catálogo maestro Bloques V5/V6, división política INEI y codificación de microcuencas de la ANA.</t>
        </is>
      </c>
    </row>
    <row r="64">
      <c r="A64" s="55" t="inlineStr">
        <is>
          <t>D. ESTADO DEL CRUCE ENTRE FUENTES</t>
        </is>
      </c>
    </row>
    <row r="65">
      <c r="A65" s="56" t="inlineStr">
        <is>
          <t>Estado</t>
        </is>
      </c>
      <c r="B65" s="56" t="inlineStr">
        <is>
          <t>Hechos</t>
        </is>
      </c>
      <c r="C65" s="56" t="inlineStr">
        <is>
          <t>Significado</t>
        </is>
      </c>
    </row>
    <row r="66">
      <c r="A66" s="57" t="inlineStr">
        <is>
          <t>CONFORME</t>
        </is>
      </c>
      <c r="B66" s="57" t="n">
        <v>105</v>
      </c>
      <c r="C66" s="57" t="inlineStr">
        <is>
          <t>Las dos fuentes declaran lo mismo, o solo la fuente que manda sobre el hecho lo declara.</t>
        </is>
      </c>
    </row>
    <row r="67">
      <c r="A67" s="58" t="inlineStr">
        <is>
          <t>COMPLEMENTADO</t>
        </is>
      </c>
      <c r="B67" s="58" t="n">
        <v>1</v>
      </c>
      <c r="C67" s="58" t="inlineStr">
        <is>
          <t>Solo una de las fuentes lo declara y se adopta ese valor.</t>
        </is>
      </c>
    </row>
    <row r="68">
      <c r="A68" s="57" t="inlineStr">
        <is>
          <t>ACTUALIZADO</t>
        </is>
      </c>
      <c r="B68" s="57" t="n">
        <v>3</v>
      </c>
      <c r="C68" s="57" t="inlineStr">
        <is>
          <t>La verificación de campo vigente corrige lo que traía el libro de resumen.</t>
        </is>
      </c>
    </row>
    <row r="69">
      <c r="A69" s="58" t="inlineStr">
        <is>
          <t>DISCREPANTE</t>
        </is>
      </c>
      <c r="B69" s="58" t="n">
        <v>0</v>
      </c>
      <c r="C69" s="58" t="inlineStr">
        <is>
          <t>Las fuentes se contradicen; prevalece la que manda sobre el hecho y la otra queda declarada.</t>
        </is>
      </c>
    </row>
    <row r="70">
      <c r="A70" s="57" t="inlineStr">
        <is>
          <t>PENDIENTE</t>
        </is>
      </c>
      <c r="B70" s="57" t="n">
        <v>5</v>
      </c>
      <c r="C70"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M18B1</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Charán</t>
        </is>
      </c>
      <c r="C13" s="57" t="inlineStr">
        <is>
          <t>Caesalpinia paipai</t>
        </is>
      </c>
      <c r="D13" s="57" t="inlineStr">
        <is>
          <t>Fabaceae</t>
        </is>
      </c>
      <c r="E13" s="57" t="inlineStr">
        <is>
          <t>Arbóreo bajo (4-8 m)</t>
        </is>
      </c>
      <c r="F13" s="57" t="inlineStr">
        <is>
          <t>Nativa</t>
        </is>
      </c>
      <c r="G13" s="57" t="inlineStr">
        <is>
          <t>Dominante (&gt;40%)</t>
        </is>
      </c>
      <c r="H13" s="57" t="n"/>
      <c r="I13" s="62" t="n">
        <v>4</v>
      </c>
    </row>
    <row r="14">
      <c r="A14" s="58" t="inlineStr">
        <is>
          <t>2</t>
        </is>
      </c>
      <c r="B14" s="58" t="inlineStr">
        <is>
          <t>Pasallo</t>
        </is>
      </c>
      <c r="C14" s="58" t="inlineStr">
        <is>
          <t>Eriotheca ruizii</t>
        </is>
      </c>
      <c r="D14" s="58" t="inlineStr">
        <is>
          <t>Malvaceae</t>
        </is>
      </c>
      <c r="E14" s="58" t="inlineStr">
        <is>
          <t>Arbóreo medio (8-15 m)</t>
        </is>
      </c>
      <c r="F14" s="58" t="inlineStr">
        <is>
          <t>Nativa</t>
        </is>
      </c>
      <c r="G14" s="58" t="inlineStr">
        <is>
          <t>Abundante (20-40%)</t>
        </is>
      </c>
      <c r="H14" s="63" t="n">
        <v>25</v>
      </c>
      <c r="I14" s="64" t="n">
        <v>8</v>
      </c>
    </row>
    <row r="15">
      <c r="A15" s="57" t="inlineStr">
        <is>
          <t>3</t>
        </is>
      </c>
      <c r="B15" s="57" t="inlineStr">
        <is>
          <t>Hualtaco</t>
        </is>
      </c>
      <c r="C15" s="57" t="inlineStr">
        <is>
          <t>Loxopterygium huasango</t>
        </is>
      </c>
      <c r="D15" s="57" t="inlineStr">
        <is>
          <t>Anacardiaceae</t>
        </is>
      </c>
      <c r="E15" s="57" t="inlineStr">
        <is>
          <t>Arbóreo bajo (4-8 m)</t>
        </is>
      </c>
      <c r="F15" s="57" t="inlineStr">
        <is>
          <t>Nativa</t>
        </is>
      </c>
      <c r="G15" s="57" t="inlineStr">
        <is>
          <t>Frecuente (5-20%)</t>
        </is>
      </c>
      <c r="H15" s="65" t="n">
        <v>20</v>
      </c>
      <c r="I15" s="62" t="n">
        <v>5</v>
      </c>
    </row>
    <row r="16">
      <c r="A16" s="58" t="inlineStr">
        <is>
          <t>4</t>
        </is>
      </c>
      <c r="B16" s="58" t="inlineStr">
        <is>
          <t>Algarrobo</t>
        </is>
      </c>
      <c r="C16" s="58" t="inlineStr">
        <is>
          <t>Prosopis pallida</t>
        </is>
      </c>
      <c r="D16" s="58" t="inlineStr">
        <is>
          <t>Fabaceae</t>
        </is>
      </c>
      <c r="E16" s="58" t="inlineStr">
        <is>
          <t>Arbóreo medio (8-15 m)</t>
        </is>
      </c>
      <c r="F16" s="58" t="inlineStr">
        <is>
          <t>Nativa</t>
        </is>
      </c>
      <c r="G16" s="58" t="inlineStr">
        <is>
          <t>Frecuente (5-20%)</t>
        </is>
      </c>
      <c r="H16" s="63" t="n">
        <v>30</v>
      </c>
      <c r="I16" s="64" t="n">
        <v>6</v>
      </c>
    </row>
    <row r="17">
      <c r="A17" s="57" t="inlineStr">
        <is>
          <t>5</t>
        </is>
      </c>
      <c r="B17" s="57" t="inlineStr">
        <is>
          <t>Faique / Espino amarillo</t>
        </is>
      </c>
      <c r="C17" s="57" t="inlineStr">
        <is>
          <t>Vachellia macracantha</t>
        </is>
      </c>
      <c r="D17" s="57" t="inlineStr">
        <is>
          <t>Fabaceae</t>
        </is>
      </c>
      <c r="E17" s="57" t="inlineStr">
        <is>
          <t>Arbóreo bajo (4-8 m)</t>
        </is>
      </c>
      <c r="F17" s="57" t="inlineStr">
        <is>
          <t>Nativa</t>
        </is>
      </c>
      <c r="G17" s="57" t="inlineStr">
        <is>
          <t>Frecuente (5-20%)</t>
        </is>
      </c>
      <c r="H17" s="65" t="n">
        <v>12</v>
      </c>
      <c r="I17" s="62" t="n">
        <v>3</v>
      </c>
    </row>
    <row r="18">
      <c r="A18" s="58" t="inlineStr">
        <is>
          <t>6</t>
        </is>
      </c>
      <c r="B18" s="58" t="inlineStr">
        <is>
          <t>Overo</t>
        </is>
      </c>
      <c r="C18" s="58" t="inlineStr">
        <is>
          <t>Cordia lutea</t>
        </is>
      </c>
      <c r="D18" s="58" t="inlineStr">
        <is>
          <t>Cordiaceae</t>
        </is>
      </c>
      <c r="E18" s="58" t="inlineStr">
        <is>
          <t>Arbustivo alto (1.5-4 m)</t>
        </is>
      </c>
      <c r="F18" s="58" t="inlineStr">
        <is>
          <t>Nativa</t>
        </is>
      </c>
      <c r="G18" s="58" t="inlineStr">
        <is>
          <t>Frecuente (5-20%)</t>
        </is>
      </c>
      <c r="H18" s="58" t="n"/>
      <c r="I18" s="64" t="n">
        <v>2</v>
      </c>
    </row>
    <row r="19">
      <c r="A19" s="57" t="inlineStr">
        <is>
          <t>7</t>
        </is>
      </c>
      <c r="B19" s="57" t="inlineStr">
        <is>
          <t>Cardo / Cactus columnar</t>
        </is>
      </c>
      <c r="C19" s="57" t="inlineStr">
        <is>
          <t>Armatocereus cartwrightianus</t>
        </is>
      </c>
      <c r="D19" s="57" t="inlineStr">
        <is>
          <t>Cactaceae</t>
        </is>
      </c>
      <c r="E19" s="57" t="inlineStr">
        <is>
          <t>Arbustivo alto (1.5-4 m)</t>
        </is>
      </c>
      <c r="F19" s="57" t="inlineStr">
        <is>
          <t>Nativa</t>
        </is>
      </c>
      <c r="G19" s="57" t="inlineStr">
        <is>
          <t>Frecuente (5-20%)</t>
        </is>
      </c>
      <c r="H19" s="57" t="n"/>
      <c r="I19" s="62" t="n">
        <v>3</v>
      </c>
    </row>
    <row r="20">
      <c r="A20" s="58" t="inlineStr">
        <is>
          <t>8</t>
        </is>
      </c>
      <c r="B20" s="58" t="inlineStr">
        <is>
          <t>Bejuco / Campanilla</t>
        </is>
      </c>
      <c r="C20" s="58" t="inlineStr">
        <is>
          <t>Ipomoea carnea</t>
        </is>
      </c>
      <c r="D20" s="58" t="inlineStr">
        <is>
          <t>Convolvulaceae</t>
        </is>
      </c>
      <c r="E20" s="58" t="inlineStr">
        <is>
          <t>Trepador</t>
        </is>
      </c>
      <c r="F20" s="58" t="inlineStr">
        <is>
          <t>Nativa</t>
        </is>
      </c>
      <c r="G20" s="58" t="inlineStr">
        <is>
          <t>Frecuente (5-20%)</t>
        </is>
      </c>
      <c r="H20" s="58" t="n"/>
      <c r="I20" s="58" t="n"/>
    </row>
    <row r="21">
      <c r="A21" s="57" t="inlineStr">
        <is>
          <t>9</t>
        </is>
      </c>
      <c r="B21" s="57" t="inlineStr">
        <is>
          <t>Salvajina</t>
        </is>
      </c>
      <c r="C21" s="57" t="inlineStr">
        <is>
          <t>Tillandsia usneoides</t>
        </is>
      </c>
      <c r="D21" s="57" t="inlineStr">
        <is>
          <t>Bromeliaceae</t>
        </is>
      </c>
      <c r="E21" s="57" t="inlineStr">
        <is>
          <t>Epífito</t>
        </is>
      </c>
      <c r="F21" s="57" t="inlineStr">
        <is>
          <t>Nativa</t>
        </is>
      </c>
      <c r="G21" s="57" t="inlineStr">
        <is>
          <t>Ocasional (1-5%)</t>
        </is>
      </c>
      <c r="H21" s="57" t="n"/>
      <c r="I21" s="57" t="n"/>
    </row>
    <row r="22">
      <c r="A22" s="58" t="inlineStr">
        <is>
          <t>10</t>
        </is>
      </c>
      <c r="B22" s="58" t="inlineStr">
        <is>
          <t>Pasto natural / Aerea</t>
        </is>
      </c>
      <c r="C22" s="58" t="inlineStr">
        <is>
          <t>Eragrostis sp.</t>
        </is>
      </c>
      <c r="D22" s="58" t="inlineStr">
        <is>
          <t>Poaceae</t>
        </is>
      </c>
      <c r="E22" s="58" t="inlineStr">
        <is>
          <t>Herbáceo (&lt;0.5 m)</t>
        </is>
      </c>
      <c r="F22" s="58" t="inlineStr">
        <is>
          <t>Nativa</t>
        </is>
      </c>
      <c r="G22" s="58" t="inlineStr">
        <is>
          <t>Abundante (20-40%)</t>
        </is>
      </c>
      <c r="H22" s="58" t="n"/>
      <c r="I22" s="64" t="n">
        <v>0.5</v>
      </c>
    </row>
    <row r="23">
      <c r="A23" s="57" t="inlineStr">
        <is>
          <t>11</t>
        </is>
      </c>
      <c r="B23" s="57" t="inlineStr">
        <is>
          <t>Verbena</t>
        </is>
      </c>
      <c r="C23" s="57" t="inlineStr">
        <is>
          <t>Lantana camara</t>
        </is>
      </c>
      <c r="D23" s="57" t="inlineStr">
        <is>
          <t>Verbenaceae</t>
        </is>
      </c>
      <c r="E23" s="57" t="inlineStr">
        <is>
          <t>Arbustivo bajo (0.5-1.5 m)</t>
        </is>
      </c>
      <c r="F23" s="57" t="inlineStr">
        <is>
          <t>Nativa</t>
        </is>
      </c>
      <c r="G23" s="57" t="inlineStr">
        <is>
          <t>Ocasional (1-5%)</t>
        </is>
      </c>
      <c r="H23" s="57" t="n"/>
      <c r="I23" s="62" t="n">
        <v>0.8</v>
      </c>
    </row>
    <row r="24">
      <c r="A24" s="58" t="inlineStr">
        <is>
          <t>N°</t>
        </is>
      </c>
      <c r="B24" s="58" t="inlineStr">
        <is>
          <t>Nombre científico o común</t>
        </is>
      </c>
      <c r="C24" s="58" t="inlineStr">
        <is>
          <t>Categoría</t>
        </is>
      </c>
      <c r="D24" s="58" t="inlineStr">
        <is>
          <t>Estado UICN / D.S. 043</t>
        </is>
      </c>
      <c r="E24" s="58" t="inlineStr">
        <is>
          <t>UTM ESTE</t>
        </is>
      </c>
      <c r="F24" s="58" t="inlineStr">
        <is>
          <t>UTM NORTE</t>
        </is>
      </c>
      <c r="G24" s="58" t="inlineStr">
        <is>
          <t>N° indiv.</t>
        </is>
      </c>
      <c r="H24" s="58" t="n"/>
      <c r="I24" s="58" t="n"/>
    </row>
    <row r="25">
      <c r="A25" s="57" t="inlineStr">
        <is>
          <t>1</t>
        </is>
      </c>
      <c r="B25" s="57" t="inlineStr">
        <is>
          <t>Loxopterygium huasango (Hualtaco)</t>
        </is>
      </c>
      <c r="C25" s="57" t="inlineStr">
        <is>
          <t>Amenazada (D.S. 043-2006-AG)</t>
        </is>
      </c>
      <c r="D25" s="57" t="inlineStr">
        <is>
          <t>VU — Vulnerable</t>
        </is>
      </c>
      <c r="E25" s="57" t="inlineStr">
        <is>
          <t>621384</t>
        </is>
      </c>
      <c r="F25" s="57" t="inlineStr">
        <is>
          <t>9410649</t>
        </is>
      </c>
      <c r="G25" s="57" t="inlineStr">
        <is>
          <t>5+ tocones</t>
        </is>
      </c>
      <c r="H25" s="62" t="n">
        <v>1</v>
      </c>
      <c r="I25" s="57" t="n"/>
    </row>
    <row r="27">
      <c r="A27" s="55" t="inlineStr">
        <is>
          <t>F-DT-03 · ESPECIES CLAVE GEORREFERENCIADAS</t>
        </is>
      </c>
    </row>
    <row r="28">
      <c r="A28" s="56" t="inlineStr">
        <is>
          <t>N.o</t>
        </is>
      </c>
      <c r="B28" s="56" t="inlineStr">
        <is>
          <t>Especie</t>
        </is>
      </c>
      <c r="C28" s="56" t="inlineStr">
        <is>
          <t>Categoría</t>
        </is>
      </c>
      <c r="D28" s="56" t="inlineStr">
        <is>
          <t>Estado UICN</t>
        </is>
      </c>
      <c r="E28" s="56" t="inlineStr">
        <is>
          <t>UTM ESTE</t>
        </is>
      </c>
      <c r="F28" s="56" t="inlineStr">
        <is>
          <t>UTM NORTE</t>
        </is>
      </c>
      <c r="G28" s="56" t="inlineStr">
        <is>
          <t>N.° individuos</t>
        </is>
      </c>
      <c r="H28" s="56" t="inlineStr">
        <is>
          <t>Observación</t>
        </is>
      </c>
    </row>
    <row r="29">
      <c r="A29" s="57" t="inlineStr">
        <is>
          <t>1</t>
        </is>
      </c>
      <c r="B29" s="57" t="inlineStr">
        <is>
          <t>Loxopterygium huasango (Hualtaco)</t>
        </is>
      </c>
      <c r="C29" s="57" t="inlineStr">
        <is>
          <t>Amenazada (D.S. 043-2006-AG)</t>
        </is>
      </c>
      <c r="D29" s="57" t="inlineStr">
        <is>
          <t>VU — Vulnerable</t>
        </is>
      </c>
      <c r="E29" s="65" t="n">
        <v>621384</v>
      </c>
      <c r="F29" s="65" t="n">
        <v>9410649</v>
      </c>
      <c r="G29" s="62" t="n">
        <v>5</v>
      </c>
      <c r="H29" s="57" t="inlineStr">
        <is>
          <t>Evidencia de tala selectiva intensa; presencia residual mediante tocones secos</t>
        </is>
      </c>
    </row>
    <row r="30">
      <c r="A30" s="58" t="inlineStr">
        <is>
          <t>2</t>
        </is>
      </c>
      <c r="B30" s="58" t="inlineStr">
        <is>
          <t>Eriotheca ruizii (Pasallo)</t>
        </is>
      </c>
      <c r="C30" s="58" t="inlineStr">
        <is>
          <t>Indicadora de buen estado</t>
        </is>
      </c>
      <c r="D30" s="58" t="inlineStr">
        <is>
          <t>LC — Preocupación Menor</t>
        </is>
      </c>
      <c r="E30" s="63" t="n">
        <v>621207</v>
      </c>
      <c r="F30" s="63" t="n">
        <v>9410724</v>
      </c>
      <c r="G30" s="64" t="n">
        <v>8</v>
      </c>
      <c r="H30" s="58" t="inlineStr">
        <is>
          <t>Especie clave del Bes-cm; individuos adultos con buena estructura</t>
        </is>
      </c>
    </row>
    <row r="31">
      <c r="A31" s="57" t="inlineStr">
        <is>
          <t>3</t>
        </is>
      </c>
      <c r="B31" s="57" t="inlineStr">
        <is>
          <t>Caesalpinia paipai (Charán)</t>
        </is>
      </c>
      <c r="C31" s="57" t="inlineStr">
        <is>
          <t>Indicadora de buen estado</t>
        </is>
      </c>
      <c r="D31" s="57" t="inlineStr">
        <is>
          <t>LC — Preocupación Menor</t>
        </is>
      </c>
      <c r="E31" s="65" t="n">
        <v>621383</v>
      </c>
      <c r="F31" s="65" t="n">
        <v>9410646</v>
      </c>
      <c r="G31" s="65" t="n">
        <v>15</v>
      </c>
      <c r="H31" s="57" t="inlineStr">
        <is>
          <t>Especie dominante; árboles en floración con inflorescencias rojas</t>
        </is>
      </c>
    </row>
    <row r="32">
      <c r="A32" s="58" t="inlineStr">
        <is>
          <t>4</t>
        </is>
      </c>
      <c r="B32" s="58" t="inlineStr">
        <is>
          <t>Prosopis pallida (Algarrobo)</t>
        </is>
      </c>
      <c r="C32" s="58" t="inlineStr">
        <is>
          <t>Clave cultural</t>
        </is>
      </c>
      <c r="D32" s="58" t="inlineStr">
        <is>
          <t>LC — Preocupación Menor</t>
        </is>
      </c>
      <c r="E32" s="63" t="n">
        <v>621245</v>
      </c>
      <c r="F32" s="63" t="n">
        <v>9410734</v>
      </c>
      <c r="G32" s="64" t="n">
        <v>3</v>
      </c>
      <c r="H32" s="58" t="inlineStr">
        <is>
          <t>Importancia económico-cultural local (sombra, leña, forraje)</t>
        </is>
      </c>
    </row>
    <row r="33">
      <c r="A33" s="57" t="inlineStr">
        <is>
          <t>5</t>
        </is>
      </c>
      <c r="B33" s="57" t="inlineStr">
        <is>
          <t>Vachellia macracantha (Faique)</t>
        </is>
      </c>
      <c r="C33" s="57" t="inlineStr">
        <is>
          <t>Indicadora de perturbación</t>
        </is>
      </c>
      <c r="D33" s="57" t="inlineStr">
        <is>
          <t>LC — Preocupación Menor</t>
        </is>
      </c>
      <c r="E33" s="65" t="n">
        <v>621256</v>
      </c>
      <c r="F33" s="65" t="n">
        <v>9410755</v>
      </c>
      <c r="G33" s="62" t="n">
        <v>2</v>
      </c>
      <c r="H33" s="57" t="inlineStr">
        <is>
          <t>Asociado a zonas de mayor disturbio cerca de captación de agua</t>
        </is>
      </c>
    </row>
    <row r="34">
      <c r="A34" s="58" t="inlineStr">
        <is>
          <t>6</t>
        </is>
      </c>
      <c r="B34" s="58" t="inlineStr">
        <is>
          <t>Erythrina velutina (Pajul)</t>
        </is>
      </c>
      <c r="C34" s="58" t="inlineStr">
        <is>
          <t>Endémica norte / Piura</t>
        </is>
      </c>
      <c r="D34" s="58" t="inlineStr">
        <is>
          <t>LC — Preocupación Menor</t>
        </is>
      </c>
      <c r="E34" s="63" t="n">
        <v>621383</v>
      </c>
      <c r="F34" s="63" t="n">
        <v>9410646</v>
      </c>
      <c r="G34" s="64" t="n">
        <v>1</v>
      </c>
      <c r="H34" s="58" t="inlineStr">
        <is>
          <t>Individuo con flores rojas tubulares en floración; ejemplar singular</t>
        </is>
      </c>
    </row>
    <row r="35">
      <c r="A35" s="57" t="inlineStr">
        <is>
          <t>7</t>
        </is>
      </c>
      <c r="B35" s="57" t="inlineStr">
        <is>
          <t>Armatocereus cartwrightianus (Cardo)</t>
        </is>
      </c>
      <c r="C35" s="57" t="inlineStr">
        <is>
          <t>Endémica del Perú</t>
        </is>
      </c>
      <c r="D35" s="57" t="inlineStr">
        <is>
          <t>LC — Preocupación Menor</t>
        </is>
      </c>
      <c r="E35" s="65" t="n">
        <v>621235</v>
      </c>
      <c r="F35" s="65" t="n">
        <v>9410729</v>
      </c>
      <c r="G35" s="62" t="n">
        <v>6</v>
      </c>
      <c r="H35" s="57" t="inlineStr">
        <is>
          <t>Cactácea columnar característica del Bes-cm; en cimas y crestas</t>
        </is>
      </c>
    </row>
    <row r="37">
      <c r="A37" s="55" t="inlineStr">
        <is>
          <t>F-DT-04 · MATRIZ DE CAUSAS DE DEGRADACIÓN</t>
        </is>
      </c>
    </row>
    <row r="38">
      <c r="A38" s="56" t="inlineStr">
        <is>
          <t>N.o</t>
        </is>
      </c>
      <c r="B38" s="56" t="inlineStr">
        <is>
          <t>Causa</t>
        </is>
      </c>
      <c r="C38" s="56" t="inlineStr">
        <is>
          <t>Presencia</t>
        </is>
      </c>
      <c r="D38" s="56" t="inlineStr">
        <is>
          <t>Intensidad</t>
        </is>
      </c>
      <c r="E38" s="56" t="inlineStr">
        <is>
          <t>Extensión</t>
        </is>
      </c>
      <c r="F38" s="56" t="inlineStr">
        <is>
          <t>Antigüedad</t>
        </is>
      </c>
      <c r="G38" s="56" t="inlineStr">
        <is>
          <t>Evidencia</t>
        </is>
      </c>
    </row>
    <row r="39">
      <c r="A39" s="57" t="inlineStr">
        <is>
          <t>1</t>
        </is>
      </c>
      <c r="B39" s="57" t="inlineStr">
        <is>
          <t>Sobrepastoreo (caprino/vacuno)</t>
        </is>
      </c>
      <c r="C39" s="57" t="inlineStr">
        <is>
          <t>Sí</t>
        </is>
      </c>
      <c r="D39" s="57" t="inlineStr">
        <is>
          <t>Moderada</t>
        </is>
      </c>
      <c r="E39" s="57" t="inlineStr">
        <is>
          <t>40</t>
        </is>
      </c>
      <c r="F39" s="57" t="inlineStr">
        <is>
          <t>10+</t>
        </is>
      </c>
      <c r="G39" s="57" t="inlineStr">
        <is>
          <t>Huellas de ganado caprino-vacuno, ramoneo en regeneración, compactación de suelos en senderos</t>
        </is>
      </c>
    </row>
    <row r="40">
      <c r="A40" s="58" t="inlineStr">
        <is>
          <t>2</t>
        </is>
      </c>
      <c r="B40" s="58" t="inlineStr">
        <is>
          <t>Tala para leña</t>
        </is>
      </c>
      <c r="C40" s="58" t="inlineStr">
        <is>
          <t>Sí</t>
        </is>
      </c>
      <c r="D40" s="58" t="inlineStr">
        <is>
          <t>Moderada</t>
        </is>
      </c>
      <c r="E40" s="58" t="inlineStr">
        <is>
          <t>30</t>
        </is>
      </c>
      <c r="F40" s="58" t="inlineStr">
        <is>
          <t>15+</t>
        </is>
      </c>
      <c r="G40" s="58" t="inlineStr">
        <is>
          <t>Tocones observados (621384E/9410649N, imagen 1); ramas de árboles secos retiradas</t>
        </is>
      </c>
    </row>
    <row r="41">
      <c r="A41" s="57" t="inlineStr">
        <is>
          <t>3</t>
        </is>
      </c>
      <c r="B41" s="57" t="inlineStr">
        <is>
          <t>Tala para carbón</t>
        </is>
      </c>
      <c r="C41" s="57" t="inlineStr">
        <is>
          <t>No</t>
        </is>
      </c>
      <c r="D41" s="57" t="inlineStr">
        <is>
          <t>Nula</t>
        </is>
      </c>
      <c r="E41" s="57" t="inlineStr"/>
      <c r="F41" s="57" t="inlineStr"/>
      <c r="G41" s="57" t="inlineStr"/>
    </row>
    <row r="42">
      <c r="A42" s="58" t="inlineStr">
        <is>
          <t>4</t>
        </is>
      </c>
      <c r="B42" s="58" t="inlineStr">
        <is>
          <t>Tala para madera</t>
        </is>
      </c>
      <c r="C42" s="58" t="inlineStr">
        <is>
          <t>Sí</t>
        </is>
      </c>
      <c r="D42" s="58" t="inlineStr">
        <is>
          <t>Moderada</t>
        </is>
      </c>
      <c r="E42" s="58" t="inlineStr">
        <is>
          <t>25</t>
        </is>
      </c>
      <c r="F42" s="58" t="inlineStr">
        <is>
          <t>15+</t>
        </is>
      </c>
      <c r="G42" s="58" t="inlineStr">
        <is>
          <t>Tocones de Hualtaco (Loxopterygium huasango) — especie maderable amenazada</t>
        </is>
      </c>
    </row>
    <row r="43">
      <c r="A43" s="57" t="inlineStr">
        <is>
          <t>5</t>
        </is>
      </c>
      <c r="B43" s="57" t="inlineStr">
        <is>
          <t>Quema (renovación de pastos)</t>
        </is>
      </c>
      <c r="C43" s="57" t="inlineStr">
        <is>
          <t>Sí</t>
        </is>
      </c>
      <c r="D43" s="57" t="inlineStr">
        <is>
          <t>Ligera</t>
        </is>
      </c>
      <c r="E43" s="57" t="inlineStr">
        <is>
          <t>10</t>
        </is>
      </c>
      <c r="F43" s="57" t="inlineStr">
        <is>
          <t>5</t>
        </is>
      </c>
      <c r="G43" s="57" t="inlineStr">
        <is>
          <t>Áreas con vegetación de rebrote; presencia de tallos chamuscados en herbazales</t>
        </is>
      </c>
    </row>
    <row r="44">
      <c r="A44" s="58" t="inlineStr">
        <is>
          <t>6</t>
        </is>
      </c>
      <c r="B44" s="58" t="inlineStr">
        <is>
          <t>Quema accidental / Incendio</t>
        </is>
      </c>
      <c r="C44" s="58" t="inlineStr">
        <is>
          <t>No</t>
        </is>
      </c>
      <c r="D44" s="58" t="inlineStr">
        <is>
          <t>Nula</t>
        </is>
      </c>
      <c r="E44" s="58" t="inlineStr">
        <is>
          <t>0</t>
        </is>
      </c>
      <c r="F44" s="58" t="inlineStr"/>
      <c r="G44" s="58" t="inlineStr">
        <is>
          <t>No se observaron evidencias de incendios accidentales recientes</t>
        </is>
      </c>
    </row>
    <row r="45">
      <c r="A45" s="57" t="inlineStr">
        <is>
          <t>7</t>
        </is>
      </c>
      <c r="B45" s="57" t="inlineStr">
        <is>
          <t>Cambio de uso a agricultura</t>
        </is>
      </c>
      <c r="C45" s="57" t="inlineStr">
        <is>
          <t>No</t>
        </is>
      </c>
      <c r="D45" s="57" t="inlineStr">
        <is>
          <t>Nula</t>
        </is>
      </c>
      <c r="E45" s="57" t="inlineStr">
        <is>
          <t>0</t>
        </is>
      </c>
      <c r="F45" s="57" t="inlineStr"/>
      <c r="G45" s="57" t="inlineStr">
        <is>
          <t>Sin avance agrícola dentro del bloque; cultivos confinados al valle bajo de la PE-02A</t>
        </is>
      </c>
    </row>
    <row r="46">
      <c r="A46" s="58" t="inlineStr">
        <is>
          <t>8</t>
        </is>
      </c>
      <c r="B46" s="58" t="inlineStr">
        <is>
          <t>Cambio de uso a pastoreo</t>
        </is>
      </c>
      <c r="C46" s="58" t="inlineStr">
        <is>
          <t>Sí</t>
        </is>
      </c>
      <c r="D46" s="58" t="inlineStr">
        <is>
          <t>Ligera</t>
        </is>
      </c>
      <c r="E46" s="58" t="inlineStr">
        <is>
          <t>15</t>
        </is>
      </c>
      <c r="F46" s="58" t="inlineStr">
        <is>
          <t>10+</t>
        </is>
      </c>
      <c r="G46" s="58" t="inlineStr">
        <is>
          <t>Áreas degradadas con dominio de gramíneas en cimas y crestas</t>
        </is>
      </c>
    </row>
    <row r="47">
      <c r="A47" s="57" t="inlineStr">
        <is>
          <t>9</t>
        </is>
      </c>
      <c r="B47" s="57" t="inlineStr">
        <is>
          <t>Expansión urbana / vial</t>
        </is>
      </c>
      <c r="C47" s="57" t="inlineStr">
        <is>
          <t>Sí</t>
        </is>
      </c>
      <c r="D47" s="57" t="inlineStr">
        <is>
          <t>Ligera</t>
        </is>
      </c>
      <c r="E47" s="57" t="inlineStr">
        <is>
          <t>5</t>
        </is>
      </c>
      <c r="F47" s="57" t="inlineStr">
        <is>
          <t>5+</t>
        </is>
      </c>
      <c r="G47" s="57" t="inlineStr">
        <is>
          <t>Línea eléctrica rural cruza el bloque (621081E/9410592N); vía PE-02A en límite norte</t>
        </is>
      </c>
    </row>
    <row r="48">
      <c r="A48" s="58" t="inlineStr">
        <is>
          <t>10</t>
        </is>
      </c>
      <c r="B48" s="58" t="inlineStr">
        <is>
          <t>Minería informal</t>
        </is>
      </c>
      <c r="C48" s="58" t="inlineStr">
        <is>
          <t>No</t>
        </is>
      </c>
      <c r="D48" s="58" t="inlineStr">
        <is>
          <t>Nula</t>
        </is>
      </c>
      <c r="E48" s="58" t="inlineStr">
        <is>
          <t>0</t>
        </is>
      </c>
      <c r="F48" s="58" t="inlineStr"/>
      <c r="G48" s="58" t="inlineStr">
        <is>
          <t>No se observan actividades mineras dentro o adyacentes al bloque</t>
        </is>
      </c>
    </row>
    <row r="49">
      <c r="A49" s="57" t="inlineStr">
        <is>
          <t>11</t>
        </is>
      </c>
      <c r="B49" s="57" t="inlineStr">
        <is>
          <t>Extracción de áridos (cauces)</t>
        </is>
      </c>
      <c r="C49" s="57" t="inlineStr">
        <is>
          <t>No</t>
        </is>
      </c>
      <c r="D49" s="57" t="inlineStr">
        <is>
          <t>Nula</t>
        </is>
      </c>
      <c r="E49" s="57" t="inlineStr">
        <is>
          <t>0</t>
        </is>
      </c>
      <c r="F49" s="57" t="inlineStr"/>
      <c r="G49" s="57" t="inlineStr">
        <is>
          <t>Extracción de áridos restringida al cauce del río Piura, fuera del bloque</t>
        </is>
      </c>
    </row>
    <row r="50">
      <c r="A50" s="58" t="inlineStr">
        <is>
          <t>12</t>
        </is>
      </c>
      <c r="B50" s="58" t="inlineStr">
        <is>
          <t>Especies invasoras</t>
        </is>
      </c>
      <c r="C50" s="58" t="inlineStr">
        <is>
          <t>No</t>
        </is>
      </c>
      <c r="D50" s="58" t="inlineStr">
        <is>
          <t>Nula</t>
        </is>
      </c>
      <c r="E50" s="58" t="inlineStr">
        <is>
          <t>0</t>
        </is>
      </c>
      <c r="F50" s="58" t="inlineStr"/>
      <c r="G50" s="58" t="inlineStr">
        <is>
          <t>No se observaron especies invasoras de importancia (e.g. Eucalyptus, Schinus molle)</t>
        </is>
      </c>
    </row>
    <row r="51">
      <c r="A51" s="57" t="inlineStr">
        <is>
          <t>13</t>
        </is>
      </c>
      <c r="B51" s="57" t="inlineStr">
        <is>
          <t>Erosión natural severa</t>
        </is>
      </c>
      <c r="C51" s="57" t="inlineStr">
        <is>
          <t>Sí</t>
        </is>
      </c>
      <c r="D51" s="57" t="inlineStr">
        <is>
          <t>Ligera</t>
        </is>
      </c>
      <c r="E51" s="57" t="inlineStr">
        <is>
          <t>10</t>
        </is>
      </c>
      <c r="F51" s="57" t="inlineStr"/>
      <c r="G51" s="57" t="inlineStr">
        <is>
          <t>Afloramientos rocosos y socavamiento incipiente en cabecera de Qbda. Hualas</t>
        </is>
      </c>
    </row>
    <row r="52">
      <c r="A52" s="58" t="inlineStr">
        <is>
          <t>14</t>
        </is>
      </c>
      <c r="B52" s="58" t="inlineStr">
        <is>
          <t>Sequía prolongada / CC</t>
        </is>
      </c>
      <c r="C52" s="58" t="inlineStr">
        <is>
          <t>Sí</t>
        </is>
      </c>
      <c r="D52" s="58" t="inlineStr">
        <is>
          <t>Moderada</t>
        </is>
      </c>
      <c r="E52" s="58" t="inlineStr">
        <is>
          <t>100</t>
        </is>
      </c>
      <c r="F52" s="58" t="inlineStr"/>
      <c r="G52" s="58" t="inlineStr">
        <is>
          <t>Bosque seco estacional: 5-6 meses sin precipitaciones; estrés hídrico estructural</t>
        </is>
      </c>
    </row>
    <row r="53">
      <c r="A53" s="57" t="inlineStr">
        <is>
          <t>15</t>
        </is>
      </c>
      <c r="B53" s="57" t="inlineStr">
        <is>
          <t>Plagas o enfermedades forestales</t>
        </is>
      </c>
      <c r="C53" s="57" t="inlineStr">
        <is>
          <t>No</t>
        </is>
      </c>
      <c r="D53" s="57" t="inlineStr">
        <is>
          <t>Nula</t>
        </is>
      </c>
      <c r="E53" s="57" t="inlineStr">
        <is>
          <t>0</t>
        </is>
      </c>
      <c r="F53" s="57" t="inlineStr"/>
      <c r="G53" s="57" t="inlineStr">
        <is>
          <t>No se observaron síntomas de plagas o enfermedades en el dosel</t>
        </is>
      </c>
    </row>
    <row r="54">
      <c r="A54" s="58" t="inlineStr">
        <is>
          <t>16</t>
        </is>
      </c>
      <c r="B54" s="58" t="inlineStr">
        <is>
          <t>Otro</t>
        </is>
      </c>
      <c r="C54" s="58" t="inlineStr">
        <is>
          <t>Sí</t>
        </is>
      </c>
      <c r="D54" s="58" t="inlineStr">
        <is>
          <t>Moderada</t>
        </is>
      </c>
      <c r="E54" s="58" t="inlineStr">
        <is>
          <t>20</t>
        </is>
      </c>
      <c r="F54" s="58" t="inlineStr">
        <is>
          <t>10+</t>
        </is>
      </c>
      <c r="G54" s="58" t="inlineStr">
        <is>
          <t>Otro: Fragmentación por faja de desbosque (servidumbre eléctrica); pérdida de conectividad</t>
        </is>
      </c>
    </row>
    <row r="56">
      <c r="A56" s="55" t="inlineStr">
        <is>
          <t>F-DT-04 · INDICADORES CUANTITATIVOS</t>
        </is>
      </c>
    </row>
    <row r="57">
      <c r="A57" s="56" t="inlineStr">
        <is>
          <t>N.o</t>
        </is>
      </c>
      <c r="B57" s="56" t="inlineStr">
        <is>
          <t>Indicador</t>
        </is>
      </c>
      <c r="C57" s="56" t="inlineStr">
        <is>
          <t>Unidad</t>
        </is>
      </c>
      <c r="D57" s="56" t="inlineStr">
        <is>
          <t>Valor</t>
        </is>
      </c>
      <c r="E57" s="56" t="inlineStr">
        <is>
          <t>Fuente</t>
        </is>
      </c>
      <c r="F57" s="56" t="inlineStr">
        <is>
          <t>Umbral</t>
        </is>
      </c>
      <c r="G57" s="56" t="inlineStr">
        <is>
          <t>Nivel</t>
        </is>
      </c>
    </row>
    <row r="58">
      <c r="A58" s="57" t="inlineStr">
        <is>
          <t>1</t>
        </is>
      </c>
      <c r="B58" s="57" t="inlineStr">
        <is>
          <t>Cobertura vegetal total</t>
        </is>
      </c>
      <c r="C58" s="57" t="inlineStr">
        <is>
          <t>%</t>
        </is>
      </c>
      <c r="D58" s="57" t="inlineStr">
        <is>
          <t>60</t>
        </is>
      </c>
      <c r="E58" s="57" t="inlineStr">
        <is>
          <t>Observación de campo + MSAVI Sentinel-2 (2024) = 0.334</t>
        </is>
      </c>
      <c r="F58" s="57" t="inlineStr">
        <is>
          <t>&gt;60% bueno; 30-60% medio; &lt;30% malo</t>
        </is>
      </c>
      <c r="G58" s="57" t="inlineStr">
        <is>
          <t>Medio</t>
        </is>
      </c>
    </row>
    <row r="59">
      <c r="A59" s="58" t="inlineStr">
        <is>
          <t>2</t>
        </is>
      </c>
      <c r="B59" s="58" t="inlineStr">
        <is>
          <t>Porcentaje de suelo desnudo</t>
        </is>
      </c>
      <c r="C59" s="58" t="inlineStr">
        <is>
          <t>%</t>
        </is>
      </c>
      <c r="D59" s="58" t="inlineStr">
        <is>
          <t>15</t>
        </is>
      </c>
      <c r="E59" s="58" t="inlineStr">
        <is>
          <t>Observación de campo (estimación visual)</t>
        </is>
      </c>
      <c r="F59" s="58" t="inlineStr">
        <is>
          <t>&lt;10% bueno; 10-30% medio; &gt;30% malo</t>
        </is>
      </c>
      <c r="G59" s="58" t="inlineStr">
        <is>
          <t>Medio</t>
        </is>
      </c>
    </row>
    <row r="60">
      <c r="A60" s="57" t="inlineStr">
        <is>
          <t>3</t>
        </is>
      </c>
      <c r="B60" s="57" t="inlineStr">
        <is>
          <t>Densidad de cárcavas</t>
        </is>
      </c>
      <c r="C60" s="57" t="inlineStr">
        <is>
          <t>N°/ha</t>
        </is>
      </c>
      <c r="D60" s="57" t="inlineStr">
        <is>
          <t>0</t>
        </is>
      </c>
      <c r="E60" s="57" t="inlineStr">
        <is>
          <t>Inventario de campo (track GPS 14-may-2026)</t>
        </is>
      </c>
      <c r="F60" s="57" t="inlineStr">
        <is>
          <t>0 nulo; 1-3 medio; &gt;3 alto</t>
        </is>
      </c>
      <c r="G60" s="57" t="inlineStr">
        <is>
          <t>Bajo</t>
        </is>
      </c>
    </row>
    <row r="61">
      <c r="A61" s="58" t="inlineStr">
        <is>
          <t>4</t>
        </is>
      </c>
      <c r="B61" s="58" t="inlineStr">
        <is>
          <t>Presencia de especies invasoras</t>
        </is>
      </c>
      <c r="C61" s="58" t="inlineStr">
        <is>
          <t>% área</t>
        </is>
      </c>
      <c r="D61" s="58" t="inlineStr">
        <is>
          <t>&lt;1</t>
        </is>
      </c>
      <c r="E61" s="58" t="inlineStr">
        <is>
          <t>Observación de campo</t>
        </is>
      </c>
      <c r="F61" s="58" t="inlineStr">
        <is>
          <t>&lt;5% bueno; 5-20% medio; &gt;20% alto</t>
        </is>
      </c>
      <c r="G61" s="58" t="inlineStr">
        <is>
          <t>Bajo</t>
        </is>
      </c>
    </row>
    <row r="62">
      <c r="A62" s="57" t="inlineStr">
        <is>
          <t>5</t>
        </is>
      </c>
      <c r="B62" s="57" t="inlineStr">
        <is>
          <t>Carga ganadera estimada</t>
        </is>
      </c>
      <c r="C62" s="57" t="inlineStr">
        <is>
          <t>UA/ha</t>
        </is>
      </c>
      <c r="D62" s="57" t="inlineStr">
        <is>
          <t>0.4-0.6</t>
        </is>
      </c>
      <c r="E62" s="57" t="inlineStr">
        <is>
          <t>Estimación a partir de huellas y ramoneo observados</t>
        </is>
      </c>
      <c r="F62" s="57" t="inlineStr">
        <is>
          <t>Según tipo de ecosistema</t>
        </is>
      </c>
      <c r="G62" s="57" t="inlineStr">
        <is>
          <t>Medio</t>
        </is>
      </c>
    </row>
    <row r="63">
      <c r="A63" s="58" t="inlineStr">
        <is>
          <t>6</t>
        </is>
      </c>
      <c r="B63" s="58" t="inlineStr">
        <is>
          <t>Frecuencia de quemas últimos 5 años</t>
        </is>
      </c>
      <c r="C63" s="58" t="inlineStr">
        <is>
          <t>N°</t>
        </is>
      </c>
      <c r="D63" s="58" t="inlineStr">
        <is>
          <t>1-2</t>
        </is>
      </c>
      <c r="E63" s="58" t="inlineStr">
        <is>
          <t>Inferida de evidencia campo y consulta local preliminar</t>
        </is>
      </c>
      <c r="F63" s="58" t="inlineStr">
        <is>
          <t>0 nulo; 1-2 medio; &gt;2 alto</t>
        </is>
      </c>
      <c r="G63" s="58" t="inlineStr">
        <is>
          <t>Medio</t>
        </is>
      </c>
    </row>
    <row r="64">
      <c r="A64" s="57" t="inlineStr">
        <is>
          <t>7</t>
        </is>
      </c>
      <c r="B64" s="57" t="inlineStr">
        <is>
          <t>% área con pendiente &gt;50%</t>
        </is>
      </c>
      <c r="C64" s="57" t="inlineStr">
        <is>
          <t>%</t>
        </is>
      </c>
      <c r="D64" s="57" t="inlineStr">
        <is>
          <t>15</t>
        </is>
      </c>
      <c r="E64" s="57" t="inlineStr">
        <is>
          <t>DEM ALOS PALSAR + perfiles topográficos (Google Earth)</t>
        </is>
      </c>
      <c r="F64" s="57" t="inlineStr">
        <is>
          <t>Factor de susceptibilidad</t>
        </is>
      </c>
      <c r="G64" s="57" t="inlineStr">
        <is>
          <t>Medio</t>
        </is>
      </c>
    </row>
    <row r="65">
      <c r="A65" s="58" t="inlineStr">
        <is>
          <t>8</t>
        </is>
      </c>
      <c r="B65" s="58" t="inlineStr">
        <is>
          <t>Distancia a vía vecinal más cercana</t>
        </is>
      </c>
      <c r="C65" s="58" t="inlineStr">
        <is>
          <t>m</t>
        </is>
      </c>
      <c r="D65" s="58" t="inlineStr">
        <is>
          <t>50</t>
        </is>
      </c>
      <c r="E65" s="58" t="inlineStr">
        <is>
          <t>Medición en Google Earth desde vía PE-02A</t>
        </is>
      </c>
      <c r="F65" s="58" t="inlineStr">
        <is>
          <t>A menor distancia → mayor presión</t>
        </is>
      </c>
      <c r="G65" s="58" t="inlineStr">
        <is>
          <t>Alto</t>
        </is>
      </c>
    </row>
    <row r="67">
      <c r="A67" s="55" t="inlineStr">
        <is>
          <t>F-DT-05 · FUENTES DE AGUA INVENTARIADAS</t>
        </is>
      </c>
    </row>
    <row r="68">
      <c r="A68" s="56" t="inlineStr">
        <is>
          <t>N.o</t>
        </is>
      </c>
      <c r="B68" s="56" t="inlineStr">
        <is>
          <t>Tipo de fuente</t>
        </is>
      </c>
      <c r="C68" s="56" t="inlineStr">
        <is>
          <t>UTM ESTE</t>
        </is>
      </c>
      <c r="D68" s="56" t="inlineStr">
        <is>
          <t>UTM NORTE</t>
        </is>
      </c>
      <c r="E68" s="56" t="inlineStr">
        <is>
          <t>Régimen</t>
        </is>
      </c>
      <c r="F68" s="56" t="inlineStr">
        <is>
          <t>Calidad</t>
        </is>
      </c>
      <c r="G68" s="56" t="inlineStr">
        <is>
          <t>Distancia (m)</t>
        </is>
      </c>
      <c r="H68" s="56" t="inlineStr">
        <is>
          <t>Uso / observación</t>
        </is>
      </c>
    </row>
    <row r="69">
      <c r="A69" s="57" t="inlineStr">
        <is>
          <t>1</t>
        </is>
      </c>
      <c r="B69" s="57" t="inlineStr">
        <is>
          <t>Quebrada estacional</t>
        </is>
      </c>
      <c r="C69" s="65" t="n">
        <v>621317</v>
      </c>
      <c r="D69" s="65" t="n">
        <v>9410690</v>
      </c>
      <c r="E69" s="57" t="inlineStr">
        <is>
          <t>Estacional (lluvias)</t>
        </is>
      </c>
      <c r="F69" s="57" t="inlineStr">
        <is>
          <t>Regular (ligeramente turbia o con sedimentos)</t>
        </is>
      </c>
      <c r="G69" s="62" t="n">
        <v>0</v>
      </c>
      <c r="H69" s="57" t="inlineStr">
        <is>
          <t>Qbda. Hualas — drena el bloque hacia el río Piura</t>
        </is>
      </c>
    </row>
    <row r="70">
      <c r="A70" s="58" t="inlineStr">
        <is>
          <t>2</t>
        </is>
      </c>
      <c r="B70" s="58" t="inlineStr">
        <is>
          <t>Río</t>
        </is>
      </c>
      <c r="C70" s="63" t="n">
        <v>621442</v>
      </c>
      <c r="D70" s="63" t="n">
        <v>9411300</v>
      </c>
      <c r="E70" s="58" t="inlineStr">
        <is>
          <t>Permanente</t>
        </is>
      </c>
      <c r="F70" s="58" t="inlineStr">
        <is>
          <t>Regular (ligeramente turbia o con sedimentos)</t>
        </is>
      </c>
      <c r="G70" s="63" t="n">
        <v>250</v>
      </c>
      <c r="H70" s="58" t="inlineStr">
        <is>
          <t>Río Piura — receptor de la escorrentía del bloque</t>
        </is>
      </c>
    </row>
    <row r="71">
      <c r="A71" s="57" t="inlineStr">
        <is>
          <t>3</t>
        </is>
      </c>
      <c r="B71" s="57" t="inlineStr">
        <is>
          <t>Quebrada estacional</t>
        </is>
      </c>
      <c r="C71" s="65" t="n">
        <v>621158</v>
      </c>
      <c r="D71" s="65" t="n">
        <v>9410869</v>
      </c>
      <c r="E71" s="57" t="inlineStr">
        <is>
          <t>Estacional (lluvias)</t>
        </is>
      </c>
      <c r="F71" s="57" t="inlineStr">
        <is>
          <t>No evaluable</t>
        </is>
      </c>
      <c r="G71" s="65" t="n">
        <v>800</v>
      </c>
      <c r="H71" s="57" t="inlineStr">
        <is>
          <t>Río Seco — cauce de quebrada seca en límite SW</t>
        </is>
      </c>
    </row>
    <row r="72">
      <c r="A72" s="58" t="inlineStr">
        <is>
          <t>4</t>
        </is>
      </c>
      <c r="B72" s="58" t="inlineStr">
        <is>
          <t>Quebrada estacional</t>
        </is>
      </c>
      <c r="C72" s="63" t="n">
        <v>621501</v>
      </c>
      <c r="D72" s="63" t="n">
        <v>9410664</v>
      </c>
      <c r="E72" s="58" t="inlineStr">
        <is>
          <t>Estacional (lluvias)</t>
        </is>
      </c>
      <c r="F72" s="58" t="inlineStr">
        <is>
          <t>No evaluable</t>
        </is>
      </c>
      <c r="G72" s="64" t="n">
        <v>0</v>
      </c>
      <c r="H72" s="58" t="inlineStr">
        <is>
          <t>Qbda. Mayor — drenaje secundario interno del bloque</t>
        </is>
      </c>
    </row>
    <row r="73">
      <c r="A73" s="57" t="inlineStr">
        <is>
          <t>5</t>
        </is>
      </c>
      <c r="B73" s="57" t="inlineStr">
        <is>
          <t>Pozo / Galería filtrante</t>
        </is>
      </c>
      <c r="C73" s="65" t="n">
        <v>621256</v>
      </c>
      <c r="D73" s="65" t="n">
        <v>9410755</v>
      </c>
      <c r="E73" s="57" t="inlineStr">
        <is>
          <t>Permanente</t>
        </is>
      </c>
      <c r="F73" s="57" t="inlineStr">
        <is>
          <t>Buena (clara, sin olor, sin sedimentos)</t>
        </is>
      </c>
      <c r="G73" s="65" t="n">
        <v>30</v>
      </c>
      <c r="H73" s="57" t="inlineStr">
        <is>
          <t>Captación con tanque elevado para uso doméstico — JASS Hualas (imagen 18)</t>
        </is>
      </c>
    </row>
    <row r="76">
      <c r="A76" s="55" t="inlineStr">
        <is>
          <t>OBSERVACIONES DEL EVALUADOR POR FICHA</t>
        </is>
      </c>
    </row>
    <row r="77">
      <c r="A77" s="56" t="inlineStr">
        <is>
          <t>Ficha</t>
        </is>
      </c>
      <c r="B77" s="56" t="inlineStr">
        <is>
          <t>Observación registrada en campo</t>
        </is>
      </c>
    </row>
    <row r="78">
      <c r="A78" s="57" t="inlineStr">
        <is>
          <t>F-DT-01</t>
        </is>
      </c>
      <c r="B78" s="57" t="inlineStr">
        <is>
          <t>Bloque accesible desde CP Hualas por trocha de herradura ascendente. El sector NE limita con la vía nacional PE-02A (Buenos Aires–Salitral) que constituye el principal eje de presión antrópica. Afloramientos rocosos masivos observados en cabecera de Qbda. Hualas (coord. 621118E/9410535N, imagen 8), correspondientes a rocas metamórficas-ígneas del complejo basal. La pendiente máxima puntual alcanza 46% en los flancos de la Qbda. Mayor, con pendiente media de 17-25% en la mayor parte del área del bloque. No se identificaron evidencias de movimientos en masa actuales ni pasados.</t>
        </is>
      </c>
    </row>
    <row r="79">
      <c r="A79" s="58" t="inlineStr">
        <is>
          <t>F-DT-02</t>
        </is>
      </c>
      <c r="B79" s="58" t="inlineStr">
        <is>
          <t>Durante el recorrido del 14-may-2026 (track GPS Garmin sr66) no se identificaron cárcavas desarrolladas (≥30 cm de profundidad) dentro del bloque M18B1. Los procesos erosivos dominantes son: (i) erosión laminar moderada en ~25% del área, evidenciada por pedregosidad superficial; (ii) compactación del suelo por pisoteo de ganado caprino-vacuno, particularmente en caminos y senderos de tránsito; (iii) socavamiento incipiente del cauce de la Qbda. Hualas (coord. 621118E/9410535N) con exposición de matriz rocosa. La ausencia de cárcavas y deslizamientos sugiere una estabilidad geomorfológica relativamente buena, aunque la cobertura vegetal degradada y la pendiente fuerte demandan medidas preventivas (zanjas de infiltración, revegetación).</t>
        </is>
      </c>
    </row>
    <row r="80">
      <c r="A80" s="57" t="inlineStr">
        <is>
          <t>F-DT-03</t>
        </is>
      </c>
      <c r="B80" s="57" t="inlineStr">
        <is>
          <t>El bloque M18B1 conserva una estructura típica del Bosque Estacionalmente Seco de Colina y Montaña (Bes-cm) en estado medianamente alterado. La cobertura vegetal estimada de 65% (consistente con MSAVI 2024 = 0.334) refleja un ecosistema en transición entre el rango "medio" y "bajo" de los umbrales MINAM. Las especies características del bosque seco norperuano (Charán, Pasallo, Hualtaco, Algarrobo, Faique) están presentes, con dominancia clara de Charán en el estrato arbóreo bajo. La presencia de tocones de Hualtaco evidencia tala selectiva. La regeneración natural es regular, con rebrotes activos en charán y faique. Cactáceas columnares (Armatocereus) caracterizan las posiciones altas del bloque. La fenología de floración observada (mayo) es propia del período post-lluvias del bosque seco.</t>
        </is>
      </c>
    </row>
    <row r="81">
      <c r="A81" s="58" t="inlineStr">
        <is>
          <t>F-DT-04</t>
        </is>
      </c>
      <c r="B81" s="58" t="inlineStr">
        <is>
          <t>La degradación del bloque M18B1 corresponde a un patrón típico del bosque seco sometido a presión antrópica de larga data. A pesar de la pérdida de cobertura por tala selectiva y extracción de leña, el ecosistema mantiene capacidad de resiliencia evidenciada por la regeneración natural regular (rebrotes vigorosos de Charán y Faique) y la presencia de individuos adultos de especies clave. Las MRR-CCC apropiadas combinarían: (i) revegetación enriquecedora con especies nativas dominantes (Charán, Pasallo, Hualtaco, Algarrobo); (ii) protección de regeneración natural mediante cercos vivos; (iii) zanjas de infiltración en pendientes 15-25%; (iv) clausura temporal coordinada con titulares y JASS Hualas; y (v) sistema de alerta y vigilancia comunitaria.</t>
        </is>
      </c>
    </row>
    <row r="82">
      <c r="A82" s="57" t="inlineStr">
        <is>
          <t>F-DT-05</t>
        </is>
      </c>
      <c r="B82" s="57" t="inlineStr">
        <is>
          <t>El bloque M18B1 presenta condiciones de acceso favorables por su proximidad a la vía nacional PE-02A (Buenos Aires – Salitral) en su límite norte, lo cual reduce significativamente los costos logísticos de implementación de las MRR-CCC. La presencia de una captación poblacional (Hualas) inmediatamente adyacente al bloque constituye un activo relevante: la protección del bloque tiene beneficio directo para la regulación de riesgos naturales. Esta condición debe incorporarse en la formulación de instrumentos de retribución por servicios ecosistémicos (MERESE) y en la estrategia de gobernanza local. La autorización formal de la Ronda Campesina y coordinación con el teniente gobernador son requisitos previos a la ejecución de actividades de campo extendidas.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M18B1</t>
        </is>
      </c>
    </row>
    <row r="7">
      <c r="A7" s="55" t="inlineStr">
        <is>
          <t>Hechos declarados por fuente</t>
        </is>
      </c>
    </row>
    <row r="8">
      <c r="A8" s="56" t="inlineStr">
        <is>
          <t>Fuente</t>
        </is>
      </c>
      <c r="B8" s="56" t="inlineStr">
        <is>
          <t>Hechos</t>
        </is>
      </c>
    </row>
    <row r="9">
      <c r="A9" s="57" t="inlineStr">
        <is>
          <t>Dato de campo</t>
        </is>
      </c>
      <c r="B9" s="57" t="n">
        <v>72</v>
      </c>
    </row>
    <row r="10">
      <c r="A10" s="58" t="inlineStr">
        <is>
          <t>Gabinete (GIS / teledetección)</t>
        </is>
      </c>
      <c r="B10" s="58" t="n">
        <v>23</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105</v>
      </c>
    </row>
    <row r="31">
      <c r="A31" s="58" t="inlineStr">
        <is>
          <t>COMPLEMENTADO</t>
        </is>
      </c>
      <c r="B31" s="58" t="n">
        <v>1</v>
      </c>
    </row>
    <row r="32">
      <c r="A32" s="57" t="inlineStr">
        <is>
          <t>ACTUALIZADO</t>
        </is>
      </c>
      <c r="B32" s="57" t="n">
        <v>3</v>
      </c>
    </row>
    <row r="33">
      <c r="A33" s="58" t="inlineStr">
        <is>
          <t>DISCREPANTE</t>
        </is>
      </c>
      <c r="B33" s="58" t="n">
        <v>0</v>
      </c>
    </row>
    <row r="34">
      <c r="A34" s="57" t="inlineStr">
        <is>
          <t>PENDIENTE</t>
        </is>
      </c>
      <c r="B34" s="57" t="n">
        <v>5</v>
      </c>
    </row>
    <row r="51">
      <c r="A51" s="55" t="inlineStr">
        <is>
          <t>Cobertura por estrato — campo (%)</t>
        </is>
      </c>
    </row>
    <row r="52">
      <c r="A52" s="56" t="inlineStr">
        <is>
          <t>Estrato</t>
        </is>
      </c>
      <c r="B52" s="56" t="inlineStr">
        <is>
          <t>% del área</t>
        </is>
      </c>
    </row>
    <row r="53">
      <c r="A53" s="57" t="inlineStr">
        <is>
          <t>Dosel</t>
        </is>
      </c>
      <c r="B53" s="65" t="n">
        <v>25</v>
      </c>
    </row>
    <row r="54">
      <c r="A54" s="58" t="inlineStr">
        <is>
          <t>Arbustiva</t>
        </is>
      </c>
      <c r="B54" s="63" t="n">
        <v>30</v>
      </c>
    </row>
    <row r="55">
      <c r="A55" s="57" t="inlineStr">
        <is>
          <t>Herbácea</t>
        </is>
      </c>
      <c r="B55" s="65" t="n">
        <v>30</v>
      </c>
    </row>
    <row r="56">
      <c r="A56" s="58" t="inlineStr">
        <is>
          <t>Hojarasca</t>
        </is>
      </c>
      <c r="B56" s="63" t="n">
        <v>10</v>
      </c>
    </row>
    <row r="57">
      <c r="A57" s="57" t="inlineStr">
        <is>
          <t>Suelo desnudo</t>
        </is>
      </c>
      <c r="B57" s="65" t="n">
        <v>40</v>
      </c>
    </row>
    <row r="74">
      <c r="A74" s="55" t="inlineStr">
        <is>
          <t>Causas activas de degradación (F-DT-04)</t>
        </is>
      </c>
    </row>
    <row r="75">
      <c r="A75" s="56" t="inlineStr">
        <is>
          <t>Causa</t>
        </is>
      </c>
      <c r="B75" s="56" t="inlineStr">
        <is>
          <t>Intensidad (1 ligera - 4 muy fuerte)</t>
        </is>
      </c>
    </row>
    <row r="76">
      <c r="A76" s="57" t="inlineStr">
        <is>
          <t>Otro</t>
        </is>
      </c>
      <c r="B76" s="57" t="n">
        <v>2</v>
      </c>
    </row>
    <row r="77">
      <c r="A77" s="58" t="inlineStr">
        <is>
          <t>Sequía prolongada / CC</t>
        </is>
      </c>
      <c r="B77" s="58" t="n">
        <v>2</v>
      </c>
    </row>
    <row r="78">
      <c r="A78" s="57" t="inlineStr">
        <is>
          <t>Sobrepastoreo (caprino/vacuno)</t>
        </is>
      </c>
      <c r="B78" s="57" t="n">
        <v>2</v>
      </c>
    </row>
    <row r="79">
      <c r="A79" s="58" t="inlineStr">
        <is>
          <t>Tala para leña</t>
        </is>
      </c>
      <c r="B79" s="58" t="n">
        <v>2</v>
      </c>
    </row>
    <row r="80">
      <c r="A80" s="57" t="inlineStr">
        <is>
          <t>Tala para madera</t>
        </is>
      </c>
      <c r="B80" s="57" t="n">
        <v>2</v>
      </c>
    </row>
    <row r="81">
      <c r="A81" s="58" t="inlineStr">
        <is>
          <t>Cambio de uso a pastoreo</t>
        </is>
      </c>
      <c r="B81" s="58" t="n">
        <v>1</v>
      </c>
    </row>
    <row r="82">
      <c r="A82" s="57" t="inlineStr">
        <is>
          <t>Erosión natural severa</t>
        </is>
      </c>
      <c r="B82" s="57" t="n">
        <v>1</v>
      </c>
    </row>
    <row r="83">
      <c r="A83" s="58" t="inlineStr">
        <is>
          <t>Expansión urbana / vial</t>
        </is>
      </c>
      <c r="B83" s="58" t="n">
        <v>1</v>
      </c>
    </row>
    <row r="84">
      <c r="A84" s="57" t="inlineStr">
        <is>
          <t>Quema (renovación de pastos)</t>
        </is>
      </c>
      <c r="B84" s="57" t="n">
        <v>1</v>
      </c>
    </row>
    <row r="101">
      <c r="A101" s="55" t="inlineStr">
        <is>
          <t>Control de consistencia por calificación</t>
        </is>
      </c>
    </row>
    <row r="102">
      <c r="A102" s="56" t="inlineStr">
        <is>
          <t>Calificación</t>
        </is>
      </c>
      <c r="B102" s="56" t="inlineStr">
        <is>
          <t>Verificaciones</t>
        </is>
      </c>
    </row>
    <row r="103">
      <c r="A103" s="57" t="inlineStr">
        <is>
          <t>SUSTANTIVA</t>
        </is>
      </c>
      <c r="B103" s="57" t="n">
        <v>5</v>
      </c>
    </row>
    <row r="104">
      <c r="A104" s="58" t="inlineStr">
        <is>
          <t>NO SUSTANTIVA</t>
        </is>
      </c>
      <c r="B104" s="58" t="n">
        <v>1</v>
      </c>
    </row>
    <row r="105">
      <c r="A105" s="57" t="inlineStr">
        <is>
          <t>CORREGIDO</t>
        </is>
      </c>
      <c r="B105" s="57" t="n">
        <v>4</v>
      </c>
    </row>
    <row r="106">
      <c r="A106" s="58" t="inlineStr">
        <is>
          <t>CONFORME</t>
        </is>
      </c>
      <c r="B106"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M18B1 — IN Piura</dc:title>
  <dc:subject>Diagnóstico Territorial por bloque de intervención</dc:subject>
  <dcterms:created xsi:type="dcterms:W3CDTF">2026-09-08T03:39:57Z</dcterms:created>
  <dcterms:modified xsi:type="dcterms:W3CDTF">2026-09-11T20:22:36Z</dcterms:modified>
</cp:coreProperties>
</file>