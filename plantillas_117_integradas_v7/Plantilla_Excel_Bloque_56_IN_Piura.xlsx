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integración'!B74</f>
            </strRef>
          </tx>
          <spPr>
            <a:ln>
              <a:prstDash val="solid"/>
            </a:ln>
          </spPr>
          <cat>
            <numRef>
              <f>'Gráficos de integración'!$A$75:$A$78</f>
            </numRef>
          </cat>
          <val>
            <numRef>
              <f>'Gráficos de integración'!$B$75:$B$78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56</t>
        </is>
      </c>
    </row>
    <row r="6" ht="24" customHeight="1">
      <c r="A6" s="4" t="inlineStr">
        <is>
          <t>Diagnóstico Territorial — Plantilla DT Campo Check Validada V5 | Sistema de referencia: UTM WGS 84 Zona 17S (EPSG:32717) · Integrado con la ficha de campo F-DT vigente (Plantilla_DT_Campo_Check_Validada_V5_Bloque56.xlsx) — V7 - resumen V6 + campo F-DT integrado</t>
        </is>
      </c>
    </row>
    <row r="7"/>
    <row r="8" ht="18" customHeight="1">
      <c r="A8" s="5" t="inlineStr">
        <is>
          <t>1. IDENTIFICACIÓN Y LOCALIZACIÓN</t>
        </is>
      </c>
    </row>
    <row r="9">
      <c r="A9" s="6" t="inlineStr">
        <is>
          <t>Código del bloque</t>
        </is>
      </c>
      <c r="B9" s="7" t="inlineStr">
        <is>
          <t>56</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Putagas (620 357 E · 9 451 508 N; 300 hab.) — referida en ficha; también Banda de la Cruz (75 hab.)</t>
        </is>
      </c>
      <c r="C13" s="6" t="inlineStr">
        <is>
          <t>Comunidad campesina</t>
        </is>
      </c>
      <c r="D13" s="7" t="inlineStr">
        <is>
          <t>Por verificar</t>
        </is>
      </c>
      <c r="E13" s="8" t="n"/>
      <c r="F13" s="8" t="n"/>
    </row>
    <row r="14">
      <c r="A14" s="6" t="inlineStr">
        <is>
          <t>Superficie de catálogo (V5/V6), ha</t>
        </is>
      </c>
      <c r="B14" s="7" t="n">
        <v>77.67</v>
      </c>
      <c r="C14" s="6" t="inlineStr">
        <is>
          <t>Fuente de superficie</t>
        </is>
      </c>
      <c r="D14" s="7" t="inlineStr">
        <is>
          <t>Catálogo maestro Bloques V5/V6</t>
        </is>
      </c>
      <c r="E14" s="8" t="n"/>
      <c r="F14" s="8" t="n"/>
    </row>
    <row r="15">
      <c r="A15" s="6" t="inlineStr">
        <is>
          <t>Centroide UTM ESTE (m)</t>
        </is>
      </c>
      <c r="B15" s="7" t="n">
        <v>631723</v>
      </c>
      <c r="C15" s="6" t="inlineStr">
        <is>
          <t>Centroide UTM NORTE (m)</t>
        </is>
      </c>
      <c r="D15" s="7" t="n">
        <v>9439702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2342</v>
      </c>
      <c r="C19" s="6" t="inlineStr">
        <is>
          <t>Altitud máxima (msnm)</t>
        </is>
      </c>
      <c r="D19" s="7" t="n">
        <v>2770</v>
      </c>
      <c r="E19" s="8" t="n"/>
      <c r="F19" s="8" t="n"/>
    </row>
    <row r="20">
      <c r="A20" s="6" t="inlineStr">
        <is>
          <t>Amplitud altitudinal (m)</t>
        </is>
      </c>
      <c r="B20" s="7" t="n">
        <v>428</v>
      </c>
      <c r="C20" s="6" t="inlineStr">
        <is>
          <t>Piso altitudinal dominante</t>
        </is>
      </c>
      <c r="D20" s="7" t="inlineStr">
        <is>
          <t>2500-3000 m (Suni)</t>
        </is>
      </c>
      <c r="E20" s="8" t="n"/>
      <c r="F20" s="8" t="n"/>
    </row>
    <row r="21">
      <c r="A21" s="6" t="inlineStr">
        <is>
          <t>Pendiente promedio (%)</t>
        </is>
      </c>
      <c r="B21" s="7" t="n">
        <v>27.27</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49" t="inlineStr">
        <is>
          <t>No evaluado (sin acceso interno)</t>
        </is>
      </c>
      <c r="E24" s="8" t="n"/>
      <c r="F24" s="8" t="n"/>
    </row>
    <row r="25">
      <c r="A25" s="6" t="inlineStr">
        <is>
          <t>Escarpes activos</t>
        </is>
      </c>
      <c r="B25" s="7" t="inlineStr">
        <is>
          <t>Sí</t>
        </is>
      </c>
      <c r="C25" s="6" t="inlineStr">
        <is>
          <t>Remociones en masa activas</t>
        </is>
      </c>
      <c r="D25" s="49" t="inlineStr">
        <is>
          <t>No observadas desde el exterior; por verificar en el interior</t>
        </is>
      </c>
      <c r="E25" s="8" t="n"/>
      <c r="F25" s="8" t="n"/>
    </row>
    <row r="26"/>
    <row r="27" ht="18" customHeight="1">
      <c r="A27" s="5" t="inlineStr">
        <is>
          <t>3. ÍNDICES DE VEGETACIÓN (SENTINEL-2)</t>
        </is>
      </c>
    </row>
    <row r="28">
      <c r="A28" s="6" t="inlineStr">
        <is>
          <t>MSAVI 2024 — media del bloque</t>
        </is>
      </c>
      <c r="B28" s="7" t="n">
        <v>0.6777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(94.90 %)</t>
        </is>
      </c>
      <c r="E29" s="8" t="n"/>
      <c r="F29" s="8" t="n"/>
    </row>
    <row r="30">
      <c r="A30" s="6" t="inlineStr">
        <is>
          <t>Superficie clasificada NDVI 2025 (ha)</t>
        </is>
      </c>
      <c r="B30" s="7" t="n">
        <v>77.699</v>
      </c>
      <c r="C30" s="6" t="inlineStr">
        <is>
          <t>Desviación frente al catálogo (%)</t>
        </is>
      </c>
      <c r="D30" s="7" t="n">
        <v>0.04</v>
      </c>
      <c r="E30" s="8" t="n"/>
      <c r="F30" s="8" t="n"/>
    </row>
    <row r="31">
      <c r="A31" s="6" t="inlineStr">
        <is>
          <t>Superficie clasificada MSAVI 2024 (ha)</t>
        </is>
      </c>
      <c r="B31" s="37" t="n">
        <v>77.666</v>
      </c>
      <c r="C31" s="6" t="inlineStr">
        <is>
          <t>Desviación MSAVI frente al catálogo (%)</t>
        </is>
      </c>
      <c r="D31" s="38" t="n">
        <v>-0.01</v>
      </c>
      <c r="E31" s="8" t="n"/>
      <c r="F31" s="8" t="n"/>
    </row>
    <row r="32">
      <c r="A32" s="6" t="inlineStr">
        <is>
          <t>Superficie bajo umbral MSAVI 0.4976 (ha)</t>
        </is>
      </c>
      <c r="B32" s="37" t="n">
        <v>2.171</v>
      </c>
      <c r="C32" s="6" t="inlineStr">
        <is>
          <t>% del bloque bajo umbral (brecha espectral)</t>
        </is>
      </c>
      <c r="D32" s="38" t="n">
        <v>2.8</v>
      </c>
      <c r="E32" s="8" t="n"/>
      <c r="F32" s="8" t="n"/>
    </row>
    <row r="33">
      <c r="A33" s="6" t="inlineStr">
        <is>
          <t>Clase DN dominante (MSAVI 2024)</t>
        </is>
      </c>
      <c r="B33" s="7" t="inlineStr">
        <is>
          <t>DN 5 · &gt; 0.6139 (Vigor alto)</t>
        </is>
      </c>
      <c r="C33" s="6" t="inlineStr">
        <is>
          <t>N.° de polígonos MSAVI del bloque</t>
        </is>
      </c>
      <c r="D33" s="39" t="n">
        <v>124</v>
      </c>
      <c r="E33" s="8" t="n"/>
      <c r="F33" s="8" t="n"/>
    </row>
    <row r="34"/>
    <row r="35" ht="18" customHeight="1">
      <c r="A35" s="5" t="inlineStr">
        <is>
          <t>4. ECOSISTEMA Y ESTADO DE CONSERVACIÓN</t>
        </is>
      </c>
    </row>
    <row r="36">
      <c r="A36" s="6" t="inlineStr">
        <is>
          <t>Tipo de ecosistema (UP)</t>
        </is>
      </c>
      <c r="B36" s="7" t="inlineStr">
        <is>
          <t>Bosque Relicto Montano de Vertiente Occidental (BMVO)</t>
        </is>
      </c>
      <c r="C36" s="6" t="inlineStr">
        <is>
          <t>Superficie de ecosistema (ha)</t>
        </is>
      </c>
      <c r="D36" s="7" t="inlineStr">
        <is>
          <t>77.67 ha totales — Br-mvoc 41.85 ha (53.9%); Zona agrícola 35.82 ha (46.1%)</t>
        </is>
      </c>
      <c r="E36" s="8" t="n"/>
      <c r="F36" s="8" t="n"/>
    </row>
    <row r="37">
      <c r="A37" s="6" t="inlineStr">
        <is>
          <t>Estado de conservación</t>
        </is>
      </c>
      <c r="B37" s="7" t="inlineStr">
        <is>
          <t>Levemente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Severa (cárcavas activas) — franja de aproximación</t>
        </is>
      </c>
      <c r="C40" s="6" t="inlineStr">
        <is>
          <t>N.° de cárcavas registradas</t>
        </is>
      </c>
      <c r="D40" s="7" t="n">
        <v>4</v>
      </c>
      <c r="E40" s="8" t="n"/>
      <c r="F40" s="8" t="n"/>
    </row>
    <row r="41">
      <c r="A41" s="6" t="inlineStr">
        <is>
          <t>Elenco florístico (n.° de taxones)</t>
        </is>
      </c>
      <c r="B41" s="49" t="inlineStr">
        <is>
          <t>5</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Héctor Cahuas y Juan Domínguez — SESDI/DIME/ANIN</t>
        </is>
      </c>
      <c r="C44" s="6" t="inlineStr">
        <is>
          <t>Fecha de evaluación</t>
        </is>
      </c>
      <c r="D44" s="7" t="inlineStr">
        <is>
          <t>2026-06-24</t>
        </is>
      </c>
      <c r="E44" s="8" t="n"/>
      <c r="F44" s="8" t="n"/>
    </row>
    <row r="45">
      <c r="A45" s="6" t="inlineStr">
        <is>
          <t>Hora de registro</t>
        </is>
      </c>
      <c r="B45" s="49" t="inlineStr">
        <is>
          <t>09:41–10:05 a. m.</t>
        </is>
      </c>
      <c r="C45" s="6" t="inlineStr">
        <is>
          <t>Correlativo de ficha</t>
        </is>
      </c>
      <c r="D45" s="49" t="inlineStr">
        <is>
          <t>F-DT-01..05/B56/2026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caracterización referencial de gabinete (sin acceso al interior)</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y desestabilización asociada a la trocha de acceso</t>
        </is>
      </c>
      <c r="C51" s="6" t="inlineStr">
        <is>
          <t>Velocidad de degradación</t>
        </is>
      </c>
      <c r="D51" s="7" t="inlineStr">
        <is>
          <t>Moderada</t>
        </is>
      </c>
      <c r="E51" s="8" t="n"/>
      <c r="F51" s="8" t="n"/>
    </row>
    <row r="52">
      <c r="A52" s="6" t="inlineStr">
        <is>
          <t>Reversibilidad técnica</t>
        </is>
      </c>
      <c r="B52" s="7" t="inlineStr">
        <is>
          <t>Por determinar</t>
        </is>
      </c>
      <c r="C52" s="6" t="inlineStr">
        <is>
          <t>Urgencia de intervención</t>
        </is>
      </c>
      <c r="D52" s="7" t="inlineStr">
        <is>
          <t>Por determinar</t>
        </is>
      </c>
      <c r="E52" s="8" t="n"/>
      <c r="F52" s="8" t="n"/>
    </row>
    <row r="53">
      <c r="A53" s="6" t="inlineStr">
        <is>
          <t>Urgencia de control de erosión</t>
        </is>
      </c>
      <c r="B53" s="7" t="inlineStr">
        <is>
          <t>Por determinar</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61.3158</v>
      </c>
      <c r="C10" s="30">
        <f>ROUND(B10/$B$15*100,2)</f>
        <v/>
      </c>
      <c r="D10" s="12" t="inlineStr">
        <is>
          <t>Vigor alto</t>
        </is>
      </c>
      <c r="E10" s="12" t="inlineStr">
        <is>
          <t>Sobre umbral</t>
        </is>
      </c>
    </row>
    <row r="11">
      <c r="A11" s="13" t="inlineStr">
        <is>
          <t>0.4976 - 0.6139 · DN 4</t>
        </is>
      </c>
      <c r="B11" s="20" t="n">
        <v>14.1789</v>
      </c>
      <c r="C11" s="21">
        <f>ROUND(B11/$B$15*100,2)</f>
        <v/>
      </c>
      <c r="D11" s="14" t="inlineStr">
        <is>
          <t>Vigor moderado</t>
        </is>
      </c>
      <c r="E11" s="14" t="inlineStr">
        <is>
          <t>Sobre umbral</t>
        </is>
      </c>
    </row>
    <row r="12">
      <c r="A12" s="7" t="inlineStr">
        <is>
          <t>0.3813 - 0.4976 · DN 3</t>
        </is>
      </c>
      <c r="B12" s="18" t="n">
        <v>2.1511</v>
      </c>
      <c r="C12" s="19">
        <f>ROUND(B12/$B$15*100,2)</f>
        <v/>
      </c>
      <c r="D12" s="15" t="inlineStr">
        <is>
          <t>Vigor bajo</t>
        </is>
      </c>
      <c r="E12" s="15" t="inlineStr">
        <is>
          <t>BAJO umbral 0.4976</t>
        </is>
      </c>
    </row>
    <row r="13">
      <c r="A13" s="13" t="inlineStr">
        <is>
          <t>0.2650 - 0.3813 · DN 2</t>
        </is>
      </c>
      <c r="B13" s="20" t="n">
        <v>0.0198</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2" t="inlineStr">
        <is>
          <t>TOTAL CLASIFICADO MSAVI 2024</t>
        </is>
      </c>
      <c r="B15" s="43">
        <f>SUM(B10:B14)</f>
        <v/>
      </c>
      <c r="C15" s="44">
        <f>SUM(C10:C14)</f>
        <v/>
      </c>
      <c r="D15" s="42" t="inlineStr">
        <is>
          <t>Suma de la distribución areal · 124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77.67</v>
      </c>
      <c r="C18" s="48" t="inlineStr">
        <is>
          <t>—</t>
        </is>
      </c>
      <c r="D18" s="45" t="inlineStr">
        <is>
          <t>Desviación planimétrica frente al catálogo</t>
        </is>
      </c>
      <c r="E18" s="45" t="inlineStr">
        <is>
          <t>-0.01 %</t>
        </is>
      </c>
    </row>
    <row r="19">
      <c r="A19" s="16" t="inlineStr">
        <is>
          <t>MSAVI 2024 — MEDIA DEL BLOQUE</t>
        </is>
      </c>
      <c r="B19" s="17" t="n">
        <v>0.677658</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(0.6777)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73.7362</v>
      </c>
      <c r="C25" s="19" t="n">
        <v>94.90000000000001</v>
      </c>
      <c r="D25" s="15" t="inlineStr">
        <is>
          <t>Dosel continuo, matorral denso o mosaico agroforestal</t>
        </is>
      </c>
      <c r="E25" s="15" t="inlineStr"/>
    </row>
    <row r="26">
      <c r="A26" s="13" t="inlineStr">
        <is>
          <t>Vegetación mediana</t>
        </is>
      </c>
      <c r="B26" s="20" t="n">
        <v>3.9235</v>
      </c>
      <c r="C26" s="21" t="n">
        <v>5.05</v>
      </c>
      <c r="D26" s="14" t="inlineStr">
        <is>
          <t>Pastizal cultivado, matorral ralo, parcelas agrícolas</t>
        </is>
      </c>
      <c r="E26" s="14" t="inlineStr"/>
    </row>
    <row r="27">
      <c r="A27" s="7" t="inlineStr">
        <is>
          <t>Vegetación ligera</t>
        </is>
      </c>
      <c r="B27" s="18" t="n">
        <v>0.0396</v>
      </c>
      <c r="C27" s="19" t="n">
        <v>0.05</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77.67</v>
      </c>
      <c r="C29" s="25" t="inlineStr">
        <is>
          <t>—</t>
        </is>
      </c>
      <c r="D29" s="25" t="inlineStr">
        <is>
          <t>Desviación planimétrica frente al catálogo</t>
        </is>
      </c>
      <c r="E29" s="25" t="inlineStr">
        <is>
          <t>+0.04 %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56</t>
        </is>
      </c>
    </row>
    <row r="6" ht="24" customHeight="1">
      <c r="A6" s="4" t="inlineStr">
        <is>
          <t>Levantamiento del 2026-06-24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48233.8</v>
      </c>
      <c r="F10" s="15" t="inlineStr"/>
      <c r="G10" s="15" t="inlineStr">
        <is>
          <t>Coordenada consignada en F-DT-01</t>
        </is>
      </c>
    </row>
    <row r="11">
      <c r="A11" s="13" t="inlineStr">
        <is>
          <t>E-01</t>
        </is>
      </c>
      <c r="B11" s="14" t="inlineStr">
        <is>
          <t>Rasgo erosivo — Por determinar</t>
        </is>
      </c>
      <c r="C11" s="27" t="n">
        <v>620598</v>
      </c>
      <c r="D11" s="27" t="n">
        <v>9451513</v>
      </c>
      <c r="E11" s="14" t="n">
        <v>16225.5</v>
      </c>
      <c r="F11" s="14" t="inlineStr">
        <is>
          <t>Activa</t>
        </is>
      </c>
      <c r="G11" s="14" t="inlineStr">
        <is>
          <t>Concentración natural de escorrentía</t>
        </is>
      </c>
    </row>
    <row r="12">
      <c r="A12" s="7" t="inlineStr">
        <is>
          <t>E-02</t>
        </is>
      </c>
      <c r="B12" s="15" t="inlineStr">
        <is>
          <t>Rasgo erosivo — Surco (&lt;30 cm)</t>
        </is>
      </c>
      <c r="C12" s="26" t="n">
        <v>620593</v>
      </c>
      <c r="D12" s="26" t="n">
        <v>9451503</v>
      </c>
      <c r="E12" s="15" t="n">
        <v>16221.6</v>
      </c>
      <c r="F12" s="15" t="inlineStr">
        <is>
          <t>Activa</t>
        </is>
      </c>
      <c r="G12" s="15" t="inlineStr">
        <is>
          <t>Concentración natural de escorrentía</t>
        </is>
      </c>
    </row>
    <row r="13">
      <c r="A13" s="13" t="inlineStr">
        <is>
          <t>E-03</t>
        </is>
      </c>
      <c r="B13" s="14" t="inlineStr">
        <is>
          <t>Rasgo erosivo — Por determinar</t>
        </is>
      </c>
      <c r="C13" s="27" t="n">
        <v>620600</v>
      </c>
      <c r="D13" s="27" t="n">
        <v>9451512</v>
      </c>
      <c r="E13" s="14" t="n">
        <v>16223.4</v>
      </c>
      <c r="F13" s="14" t="inlineStr">
        <is>
          <t>Activa</t>
        </is>
      </c>
      <c r="G13" s="14" t="inlineStr">
        <is>
          <t>Otro (talud de corte de vía)</t>
        </is>
      </c>
    </row>
    <row r="14">
      <c r="A14" s="7" t="inlineStr">
        <is>
          <t>E-04</t>
        </is>
      </c>
      <c r="B14" s="15" t="inlineStr">
        <is>
          <t>Rasgo erosivo — Surco (&lt;30 cm)</t>
        </is>
      </c>
      <c r="C14" s="26" t="n">
        <v>620588</v>
      </c>
      <c r="D14" s="26" t="n">
        <v>9451502</v>
      </c>
      <c r="E14" s="15" t="n">
        <v>16224.3</v>
      </c>
      <c r="F14" s="15" t="inlineStr">
        <is>
          <t>Activa</t>
        </is>
      </c>
      <c r="G14" s="15" t="inlineStr">
        <is>
          <t>Concentración natural de escorrentía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631723</v>
      </c>
      <c r="C17" s="6" t="inlineStr">
        <is>
          <t>Centroide del bloque — UTM NORTE (m)</t>
        </is>
      </c>
      <c r="D17" s="7" t="n">
        <v>9439702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5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CARACTERIZACIÓN EXTERNA/PERIMETRAL desde el entorno del C.P. Putagas; NO se accedió al interior del bloque el 24/06/2026 (mal estado de la trocha y fuerte pendiente). Escarpes activos en taludes de corte de la trocha de aproximación. Antecedente referido: reubicación de un centro poblado por deslizamientos en temporada de lluvias (CP y fecha por precisar). ATENCIÓN: la ficha consigna UTM del punto de muestreo 645 575 E · 9 393 500 N, valor por defecto de la plantilla, incompatible con el centroide de catálogo (631 723 E · 9 439 702 N). El texto de la ficha declara además un centroide 621 613 E · 9 452 884 N (Centroides_V5), que tampoco coincide con el catálogo maestro: TRES georreferencias divergentes por conciliar. Pendiente media del acceso 32.5% (máx. 61.7%); rango altitudinal del acceso 2374-2746 msnm. MSAVI 2024 = 0.678 (vigor alto).</t>
        </is>
      </c>
      <c r="B20" s="40" t="n"/>
      <c r="C20" s="40" t="n"/>
      <c r="D20" s="40" t="n"/>
      <c r="E20" s="40" t="n"/>
      <c r="F20" s="40" t="n"/>
      <c r="G20" s="41"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56</t>
        </is>
      </c>
    </row>
    <row r="6" ht="24" customHeight="1">
      <c r="A6" s="4" t="inlineStr">
        <is>
          <t>Distrito de Frias · Provincia de Ayabaca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13</t>
        </is>
      </c>
      <c r="B10" s="28" t="n">
        <v>100.51</v>
      </c>
      <c r="C10" s="19" t="n">
        <v>40.73</v>
      </c>
      <c r="D10" s="15" t="inlineStr">
        <is>
          <t>1649 – 2267</t>
        </is>
      </c>
      <c r="E10" s="15" t="n">
        <v>618</v>
      </c>
      <c r="F10" s="15" t="n">
        <v>28.99</v>
      </c>
      <c r="G10" s="18" t="n">
        <v>0.6711</v>
      </c>
      <c r="H10" s="19" t="n">
        <v>89.59</v>
      </c>
      <c r="I10" s="19" t="n">
        <v>5.21</v>
      </c>
    </row>
    <row r="11">
      <c r="A11" s="11" t="inlineStr">
        <is>
          <t>► 56</t>
        </is>
      </c>
      <c r="B11" s="29" t="n">
        <v>77.67</v>
      </c>
      <c r="C11" s="30" t="n">
        <v>31.48</v>
      </c>
      <c r="D11" s="12" t="inlineStr">
        <is>
          <t>2342 – 2770</t>
        </is>
      </c>
      <c r="E11" s="12" t="n">
        <v>428</v>
      </c>
      <c r="F11" s="12" t="n">
        <v>27.27</v>
      </c>
      <c r="G11" s="31" t="n">
        <v>0.6777</v>
      </c>
      <c r="H11" s="30" t="n">
        <v>94.90000000000001</v>
      </c>
      <c r="I11" s="30" t="n">
        <v>2.8</v>
      </c>
    </row>
    <row r="12">
      <c r="A12" s="7" t="inlineStr">
        <is>
          <t>39</t>
        </is>
      </c>
      <c r="B12" s="28" t="n">
        <v>68.56999999999999</v>
      </c>
      <c r="C12" s="19" t="n">
        <v>27.79</v>
      </c>
      <c r="D12" s="15" t="inlineStr">
        <is>
          <t>1729 – 2088</t>
        </is>
      </c>
      <c r="E12" s="15" t="n">
        <v>359</v>
      </c>
      <c r="F12" s="15" t="n">
        <v>22.51</v>
      </c>
      <c r="G12" s="18" t="n">
        <v>0.7016</v>
      </c>
      <c r="H12" s="19" t="n">
        <v>94.05</v>
      </c>
      <c r="I12" s="19" t="n">
        <v>3.84</v>
      </c>
    </row>
    <row r="13">
      <c r="A13" s="16" t="inlineStr">
        <is>
          <t>TOTAL / PROMEDIO</t>
        </is>
      </c>
      <c r="B13" s="32">
        <f>SUM(B10:B12)</f>
        <v/>
      </c>
      <c r="C13" s="23">
        <f>SUM(C10:C12)</f>
        <v/>
      </c>
      <c r="D13" s="17" t="inlineStr">
        <is>
          <t>1649 – 2770</t>
        </is>
      </c>
      <c r="E13" s="17" t="inlineStr"/>
      <c r="F13" s="17">
        <f>ROUND(AVERAGE(F10:F12),2)</f>
        <v/>
      </c>
      <c r="G13" s="22">
        <f>ROUND(AVERAGE(G10:G12),4)</f>
        <v/>
      </c>
      <c r="H13" s="23">
        <f>ROUND(AVERAGE(H10:H12),2)</f>
        <v/>
      </c>
      <c r="I13" s="23">
        <f>ROUND(AVERAGE(I10:I12),2)</f>
        <v/>
      </c>
    </row>
    <row r="15" ht="84" customHeight="1">
      <c r="A15" s="9" t="inlineStr">
        <is>
          <t>LECTURA INTRAMICROCUENCA. El bloque 56 ocupa el puesto 2 de 3 por superficie dentro de la microcuenca C1096-Q9564 (31.48 % de las 246.75 ha preliminares de la microcuenca). Su pendiente promedio (27.27 %, clase «25-50% (Mod. escarpado)») es la 2.ª más baja de 3 y se sitúa por encima del promedio de la microcuenca (26.26 %). Su MSAVI 2024 (0.6777) es el 2.º de 3 y queda por debajo del promedio local (0.6835). Amplitud altitudinal del bloque: 428 m (2342–2770 msnm). El cuadro conserva todos los bloques catalogados en la microcuenca, incluidos los descartados en el tamizaje, para referencia del conjunto. Los bloques sin ficha DT figuran con sus parámetros de gabinete. BRECHA ESPECTRAL. El 2.80 % de la superficie del bloque (2.171 ha de 77.666 ha) se sitúa bajo el umbral MSAVI 0.4976, por debajo del promedio local de la microcuenca (3.95 %) calculado sobre los bloques con dato MSAVI disponible.</t>
        </is>
      </c>
      <c r="B15" s="40" t="n"/>
      <c r="C15" s="40" t="n"/>
      <c r="D15" s="40" t="n"/>
      <c r="E15" s="40" t="n"/>
      <c r="F15" s="40" t="n"/>
      <c r="G15" s="40" t="n"/>
      <c r="H15" s="40" t="n"/>
      <c r="I15" s="41"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0" t="n"/>
      <c r="I17" s="41" t="n"/>
    </row>
  </sheetData>
  <mergeCells count="9">
    <mergeCell ref="A15:I15"/>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56</t>
        </is>
      </c>
    </row>
    <row r="6">
      <c r="A6" s="51" t="inlineStr">
        <is>
          <t>Cruce de la ficha de campo F-DT vigente con la ficha de resumen de gabinete y el catálogo maestro. Integración 2026-09-11 20:22:30.</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«C1096-Q9564».</t>
        </is>
      </c>
      <c r="D9" s="55" t="inlineStr">
        <is>
          <t>CONFORME</t>
        </is>
      </c>
      <c r="E9" s="55" t="inlineStr">
        <is>
          <t>Sin acción.</t>
        </is>
      </c>
    </row>
    <row r="10">
      <c r="A10" s="56" t="inlineStr">
        <is>
          <t>G-02</t>
        </is>
      </c>
      <c r="B10" s="56" t="inlineStr">
        <is>
          <t>UTM del punto de muestreo</t>
        </is>
      </c>
      <c r="C10" s="56" t="inlineStr">
        <is>
          <t>El punto de muestreo declarado dista 16403.4 m del centroide del bloque, por encima del radio de control de 1500 m.</t>
        </is>
      </c>
      <c r="D10" s="56" t="inlineStr">
        <is>
          <t>NO SUSTANTIVA</t>
        </is>
      </c>
      <c r="E10" s="56" t="inlineStr">
        <is>
          <t>Se verifica en gabinete si la estación cae dentro del polígono; el dato de campo se conserva como referencia de acceso.</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(77.699 ha) se desvía 0.04 % de la superficie de catálogo (77.67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(77.666 ha) se desvía -0.01 % de la superficie de catálogo (77.67 ha).</t>
        </is>
      </c>
      <c r="D14" s="56" t="inlineStr">
        <is>
          <t>CONFORME</t>
        </is>
      </c>
      <c r="E14" s="56" t="inlineStr">
        <is>
          <t>Sin acción: la segmentación valida la geometría del bloque.</t>
        </is>
      </c>
    </row>
    <row r="15">
      <c r="A15" s="55" t="inlineStr">
        <is>
          <t>G-07</t>
        </is>
      </c>
      <c r="B15" s="55" t="inlineStr">
        <is>
          <t>Brecha espectral MSAVI</t>
        </is>
      </c>
      <c r="C15" s="55" t="inlineStr">
        <is>
          <t>El 2.80 % del bloque queda bajo el umbral 0.4976; superficie de brecha 2.1709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77.67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(0.6777)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Hora de registro</t>
        </is>
      </c>
      <c r="C19" s="55" t="inlineStr">
        <is>
          <t>El libro de resumen V6 consignaba «09:41 - 10:05 h»; la ficha de campo vigente declara «09:41–10:05 a. m.».</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71.4 % de los campos esperados).</t>
        </is>
      </c>
      <c r="D20" s="56" t="inlineStr">
        <is>
          <t>CONFORME</t>
        </is>
      </c>
      <c r="E20" s="56" t="inlineStr">
        <is>
          <t>Sin acción.</t>
        </is>
      </c>
    </row>
    <row r="21">
      <c r="A21" s="55" t="inlineStr">
        <is>
          <t>F-02</t>
        </is>
      </c>
      <c r="B21" s="55" t="inlineStr">
        <is>
          <t>Hechos críticos sin declarar</t>
        </is>
      </c>
      <c r="C21" s="55" t="inlineStr">
        <is>
          <t>No hay dato en ninguna de las dos fuentes para: Urgencia de intervención.</t>
        </is>
      </c>
      <c r="D21" s="55" t="inlineStr">
        <is>
          <t>SUSTANTIVA</t>
        </is>
      </c>
      <c r="E21" s="55" t="inlineStr">
        <is>
          <t>Debe completarse antes de elevar el bloque a microlocalización.</t>
        </is>
      </c>
    </row>
    <row r="22">
      <c r="A22" s="56" t="inlineStr">
        <is>
          <t>F-03</t>
        </is>
      </c>
      <c r="B22" s="56" t="inlineStr">
        <is>
          <t>Tablas del formulario sin filas leídas</t>
        </is>
      </c>
      <c r="C22" s="56" t="inlineStr">
        <is>
          <t>La plantilla de campo no entrego filas en: F-DT-03 · elenco florístico.</t>
        </is>
      </c>
      <c r="D22" s="56" t="inlineStr">
        <is>
          <t>NO SUSTANTIVA</t>
        </is>
      </c>
      <c r="E22" s="56" t="inlineStr">
        <is>
          <t>Se conserva lo que declara la ficha de resumen y no se sustituye por un conteo en cero. Debe revisarse la maqueta de esas tablas en la plantilla de campo.</t>
        </is>
      </c>
    </row>
    <row r="23">
      <c r="A23" s="55" t="inlineStr">
        <is>
          <t>F-04</t>
        </is>
      </c>
      <c r="B23" s="55" t="inlineStr">
        <is>
          <t>Cobertura de la integración</t>
        </is>
      </c>
      <c r="C23" s="55" t="inlineStr">
        <is>
          <t>Se declararon 73 de 114 hechos integrados (64.0 %); 41 quedan sin dato en ninguna fuente.</t>
        </is>
      </c>
      <c r="D23" s="55" t="inlineStr">
        <is>
          <t>NO SUSTANTIVA</t>
        </is>
      </c>
      <c r="E23" s="55" t="inlineStr">
        <is>
          <t>Se prioriza el completado de los campos faltantes en la próxima salida de campo.</t>
        </is>
      </c>
    </row>
    <row r="24">
      <c r="A24" s="56" t="inlineStr">
        <is>
          <t>H-01</t>
        </is>
      </c>
      <c r="B24" s="56" t="inlineStr">
        <is>
          <t>Dimensiones del inventario de cárcavas</t>
        </is>
      </c>
      <c r="C24" s="56" t="inlineStr">
        <is>
          <t>Se registran 4 rasgos erosivos, pero longitud, profundidad y ancho no fueron medidos instrumentalmente</t>
        </is>
      </c>
      <c r="D24" s="56" t="inlineStr">
        <is>
          <t>NO SUSTANTIVA</t>
        </is>
      </c>
      <c r="E24" s="56" t="inlineStr">
        <is>
          <t>El conteo registrado no debe usarse para calcular densidad de cárcavas por hectárea. Pendiente de levantamiento con GPS submétrico. (Verificación heredada de la ficha de resumen V6.)</t>
        </is>
      </c>
    </row>
    <row r="25">
      <c r="A25" s="55" t="inlineStr">
        <is>
          <t>H-02</t>
        </is>
      </c>
      <c r="B25" s="55" t="inlineStr">
        <is>
          <t>Elenco florístico</t>
        </is>
      </c>
      <c r="C25" s="55" t="inlineStr">
        <is>
          <t>La ficha registra 5 taxones, por debajo del mínimo de 15 que exige el formato V5</t>
        </is>
      </c>
      <c r="D25" s="55" t="inlineStr">
        <is>
          <t>SUSTANTIVA</t>
        </is>
      </c>
      <c r="E25" s="55" t="inlineStr">
        <is>
          <t>Registro florístico preliminar, sin colecta ni determinación botánica formal. Debe cerrarse con colecta botánica en la siguiente campaña. (Verificación heredada de la ficha de resumen V6.)</t>
        </is>
      </c>
    </row>
    <row r="26">
      <c r="A26" s="56" t="inlineStr">
        <is>
          <t>H-03</t>
        </is>
      </c>
      <c r="B26" s="56" t="inlineStr">
        <is>
          <t>Representatividad del levantamiento</t>
        </is>
      </c>
      <c r="C26" s="56" t="inlineStr">
        <is>
          <t>Ninguna de las estaciones fotográficas georreferenciadas se localiza dentro del polígono del bloque</t>
        </is>
      </c>
      <c r="D26" s="56" t="inlineStr">
        <is>
          <t>SUSTANTIVA</t>
        </is>
      </c>
      <c r="E26" s="56" t="inlineStr">
        <is>
          <t>La verificación documenta el perímetro y la vista panorámica del bloque, no su interior. Los parámetros que exigen recorrido interno se consignan «Por determinar». (Verificación heredada de la ficha de resumen V6.)</t>
        </is>
      </c>
    </row>
    <row r="27">
      <c r="A27" s="55" t="inlineStr">
        <is>
          <t>H-04</t>
        </is>
      </c>
      <c r="B27" s="55" t="inlineStr">
        <is>
          <t>Centro poblado asociado</t>
        </is>
      </c>
      <c r="C27" s="55" t="inlineStr">
        <is>
          <t>La ficha DT declara «Putagas (620 357 E · 9 451 508 N; 300 hab.) — referida en ficha; también Banda de la Cruz (75 hab.)»; el cruce INEI-Bloques V5 identifica 2 centro(s) poblado(s) en el bloque: BANDA DE LA CRUZ, PUTAGAS</t>
        </is>
      </c>
      <c r="D27" s="55" t="inlineStr">
        <is>
          <t>CONFORME</t>
        </is>
      </c>
      <c r="E27" s="55" t="inlineStr">
        <is>
          <t>Se conserva el registro de campo como referencia y se adopta el listado INEI para el diagnóstico social y el cálculo de población beneficiaria. (Verificación heredada de la ficha de resumen V6.)</t>
        </is>
      </c>
    </row>
    <row r="28">
      <c r="A28" s="56" t="inlineStr">
        <is>
          <t>H-05</t>
        </is>
      </c>
      <c r="B28" s="56" t="inlineStr">
        <is>
          <t>F-DT-01</t>
        </is>
      </c>
      <c r="C28" s="56" t="inlineStr">
        <is>
          <t>UTM del punto de muestreo 645 575 E · 9 393 500 N corresponde al valor por defecto de la plantilla; incompatible con el centroide de catálogo (631 723 E · 9 439 702 N)</t>
        </is>
      </c>
      <c r="D28" s="56" t="inlineStr">
        <is>
          <t>SUSTANTIVA</t>
        </is>
      </c>
      <c r="E28" s="56" t="inlineStr">
        <is>
          <t>Se conserva el registro de la ficha y se declara la inconsistencia; georreferencia por reponer en campo (Verificación heredada de la ficha de resumen V6.)</t>
        </is>
      </c>
    </row>
    <row r="29">
      <c r="A29" s="55" t="inlineStr">
        <is>
          <t>H-06</t>
        </is>
      </c>
      <c r="B29" s="55" t="inlineStr">
        <is>
          <t>F-DT-02</t>
        </is>
      </c>
      <c r="C29" s="55" t="inlineStr">
        <is>
          <t>Los 4 rasgos erosivos se ubican en la franja de aproximación (≈620 590 E · 9 451 505 N), fuera del polígono del bloque</t>
        </is>
      </c>
      <c r="D29" s="55" t="inlineStr">
        <is>
          <t>SUSTANTIVA</t>
        </is>
      </c>
      <c r="E29" s="55" t="inlineStr">
        <is>
          <t>Se reportan como inventario perimetral, no interno (Verificación heredada de la ficha de resumen V6.)</t>
        </is>
      </c>
    </row>
    <row r="30">
      <c r="A30" s="56" t="inlineStr">
        <is>
          <t>H-07</t>
        </is>
      </c>
      <c r="B30" s="56" t="inlineStr">
        <is>
          <t>Plan de Ingreso</t>
        </is>
      </c>
      <c r="C30" s="56" t="inlineStr">
        <is>
          <t>Altitud = 0 msnm (captura por defecto del aplicativo)</t>
        </is>
      </c>
      <c r="D30" s="56" t="inlineStr">
        <is>
          <t>NO SUSTANTIVA</t>
        </is>
      </c>
      <c r="E30" s="56" t="inlineStr">
        <is>
          <t>Se sustituye por el rango del MDE 2342-2770 msnm (Verificación heredada de la ficha de resumen V6.)</t>
        </is>
      </c>
    </row>
    <row r="32">
      <c r="A32" s="57" t="inlineStr">
        <is>
          <t>RESUMEN</t>
        </is>
      </c>
      <c r="B32" s="58" t="inlineStr">
        <is>
          <t>22 verificaciones</t>
        </is>
      </c>
      <c r="C32" s="58" t="inlineStr">
        <is>
          <t>SUSTANTIVA: 6 · NO SUSTANTIVA: 6 · CORREGIDO: 1 · CONFORME: 9</t>
        </is>
      </c>
    </row>
    <row r="34">
      <c r="A34"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56</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8. Responsable y modalidad de la evaluación</t>
        </is>
      </c>
      <c r="B9" s="55" t="inlineStr">
        <is>
          <t>Hora de registro</t>
        </is>
      </c>
      <c r="C9" s="55" t="inlineStr">
        <is>
          <t>09:41 - 10:05 h</t>
        </is>
      </c>
      <c r="D9" s="55" t="inlineStr">
        <is>
          <t>09:41–10:05 a. m.</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620561</t>
        </is>
      </c>
      <c r="D13" s="55" t="inlineStr">
        <is>
          <t>m</t>
        </is>
      </c>
    </row>
    <row r="14">
      <c r="A14" s="56" t="inlineStr">
        <is>
          <t>1. Identificación y localización</t>
        </is>
      </c>
      <c r="B14" s="56" t="inlineStr">
        <is>
          <t>UTM NORTE del punto de muestreo (m)</t>
        </is>
      </c>
      <c r="C14" s="56" t="inlineStr">
        <is>
          <t>9451722</t>
        </is>
      </c>
      <c r="D14" s="56" t="inlineStr">
        <is>
          <t>m</t>
        </is>
      </c>
    </row>
    <row r="15">
      <c r="A15" s="55" t="inlineStr">
        <is>
          <t>2. Parámetros físicos del terreno</t>
        </is>
      </c>
      <c r="B15" s="55" t="inlineStr">
        <is>
          <t>Piso altitudinal del punto de muestreo</t>
        </is>
      </c>
      <c r="C15" s="55" t="inlineStr">
        <is>
          <t>2500-3000 m (Suni)</t>
        </is>
      </c>
      <c r="D15" s="55" t="inlineStr"/>
    </row>
    <row r="16">
      <c r="A16" s="56" t="inlineStr">
        <is>
          <t>2. Parámetros físicos del terreno</t>
        </is>
      </c>
      <c r="B16" s="56" t="inlineStr">
        <is>
          <t>Paisaje dominante descrito en campo</t>
        </is>
      </c>
      <c r="C16" s="56" t="inlineStr">
        <is>
          <t>Mosaico de ladera de montaña: bosque relicto montano en las partes altas del cerro tutelar y zona agrícola/pastizal en la franja media-baja próxima al C.P. Putagas. Cerro tutelar prominente con estructura (cruz/hito) en la cima.</t>
        </is>
      </c>
      <c r="D16" s="56" t="inlineStr"/>
    </row>
    <row r="17">
      <c r="A17" s="55" t="inlineStr">
        <is>
          <t>5. Ecosistema, cobertura y flora (F-DT-03)</t>
        </is>
      </c>
      <c r="B17" s="55" t="inlineStr">
        <is>
          <t>Presencia de epífitas</t>
        </is>
      </c>
      <c r="C17" s="55" t="inlineStr">
        <is>
          <t>Sí</t>
        </is>
      </c>
      <c r="D17" s="55" t="inlineStr"/>
    </row>
    <row r="18">
      <c r="A18" s="56" t="inlineStr">
        <is>
          <t>5. Ecosistema, cobertura y flora (F-DT-03)</t>
        </is>
      </c>
      <c r="B18" s="56" t="inlineStr">
        <is>
          <t>Especies clave georreferenciadas</t>
        </is>
      </c>
      <c r="C18" s="56" t="inlineStr">
        <is>
          <t>5</t>
        </is>
      </c>
      <c r="D18" s="56" t="inlineStr"/>
    </row>
    <row r="19">
      <c r="A19" s="55" t="inlineStr">
        <is>
          <t>6. Degradación, causas y urgencia (F-DT-04)</t>
        </is>
      </c>
      <c r="B19" s="55" t="inlineStr">
        <is>
          <t>Causas directas de la degradación</t>
        </is>
      </c>
      <c r="C19" s="55" t="inlineStr">
        <is>
          <t>Cambio de uso a zona agrícola (parcelas de maíz, 46,1 % del bloque); sobrepastoreo en laderas; expansión vial con taludes de corte inestables; erosión hídrica concentrada (cárcavas y surcos) en la franja vial. Antecedente de movimientos en masa: reubicación de un centro poblado por deslizamientos en temporada de lluvias (referido; CP y fecha por precisar).</t>
        </is>
      </c>
      <c r="D19" s="55" t="inlineStr"/>
    </row>
    <row r="20">
      <c r="A20" s="56" t="inlineStr">
        <is>
          <t>6. Degradación, causas y urgencia (F-DT-04)</t>
        </is>
      </c>
      <c r="B20" s="56" t="inlineStr">
        <is>
          <t>N.° de causas activas en la matriz F-DT-04</t>
        </is>
      </c>
      <c r="C20" s="56" t="inlineStr">
        <is>
          <t>4</t>
        </is>
      </c>
      <c r="D20" s="56" t="inlineStr"/>
    </row>
    <row r="21">
      <c r="A21" s="55" t="inlineStr">
        <is>
          <t>7. Hidrología, acceso y logística (F-DT-05)</t>
        </is>
      </c>
      <c r="B21" s="55" t="inlineStr">
        <is>
          <t>Escorrentía concentrada</t>
        </is>
      </c>
      <c r="C21" s="55" t="inlineStr">
        <is>
          <t>Sí</t>
        </is>
      </c>
      <c r="D21" s="55" t="inlineStr"/>
    </row>
    <row r="22">
      <c r="A22" s="56" t="inlineStr">
        <is>
          <t>7. Hidrología, acceso y logística (F-DT-05)</t>
        </is>
      </c>
      <c r="B22" s="56" t="inlineStr">
        <is>
          <t>Vía principal de acceso</t>
        </is>
      </c>
      <c r="C22" s="56" t="inlineStr">
        <is>
          <t>Frías → C.P. Putagas (trocha carrozable) → ascenso por ladera ≈ 1 km</t>
        </is>
      </c>
      <c r="D22" s="56" t="inlineStr"/>
    </row>
    <row r="23">
      <c r="A23" s="55" t="inlineStr">
        <is>
          <t>7. Hidrología, acceso y logística (F-DT-05)</t>
        </is>
      </c>
      <c r="B23" s="55" t="inlineStr">
        <is>
          <t>Tipo de vía del tramo final</t>
        </is>
      </c>
      <c r="C23" s="55" t="inlineStr">
        <is>
          <t>Trocha carrozable</t>
        </is>
      </c>
      <c r="D23" s="55" t="inlineStr"/>
    </row>
    <row r="24">
      <c r="A24" s="56" t="inlineStr">
        <is>
          <t>7. Hidrología, acceso y logística (F-DT-05)</t>
        </is>
      </c>
      <c r="B24" s="56" t="inlineStr">
        <is>
          <t>Transitabilidad en época seca</t>
        </is>
      </c>
      <c r="C24" s="56" t="inlineStr">
        <is>
          <t>Bajo</t>
        </is>
      </c>
      <c r="D24" s="56" t="inlineStr"/>
    </row>
    <row r="25">
      <c r="A25" s="55" t="inlineStr">
        <is>
          <t>7. Hidrología, acceso y logística (F-DT-05)</t>
        </is>
      </c>
      <c r="B25" s="55" t="inlineStr">
        <is>
          <t>Transitabilidad en época lluviosa</t>
        </is>
      </c>
      <c r="C25" s="55" t="inlineStr">
        <is>
          <t>Bajo</t>
        </is>
      </c>
      <c r="D25" s="55" t="inlineStr"/>
    </row>
    <row r="27">
      <c r="A27" s="53" t="inlineStr">
        <is>
          <t>C. PROCEDENCIA DE LOS HECHOS DECLARADOS</t>
        </is>
      </c>
    </row>
    <row r="28">
      <c r="A28" s="54" t="inlineStr">
        <is>
          <t>Fuente</t>
        </is>
      </c>
      <c r="B28" s="54" t="inlineStr">
        <is>
          <t>Hechos</t>
        </is>
      </c>
      <c r="C28" s="54" t="inlineStr">
        <is>
          <t>Alcance de la fuente</t>
        </is>
      </c>
    </row>
    <row r="29">
      <c r="A29" s="55" t="inlineStr">
        <is>
          <t>Dato de campo</t>
        </is>
      </c>
      <c r="B29" s="55" t="n">
        <v>31</v>
      </c>
      <c r="C29" s="55" t="inlineStr">
        <is>
          <t>Verificación en campo. Fichas F-DT-01 a F-DT-05 de la Plantilla DT Campo Check Validada V5, suscritas por el evaluador.</t>
        </is>
      </c>
    </row>
    <row r="30">
      <c r="A30" s="56" t="inlineStr">
        <is>
          <t>Gabinete (GIS / teledetección)</t>
        </is>
      </c>
      <c r="B30" s="56" t="n">
        <v>28</v>
      </c>
      <c r="C30" s="56" t="inlineStr">
        <is>
          <t>Gabinete. Estadística zonal sobre el MDE y compuestos Sentinel-2 (NDVI mediana 2025, MSAVI 2024 por clase DN).</t>
        </is>
      </c>
    </row>
    <row r="31">
      <c r="A31" s="55" t="inlineStr">
        <is>
          <t>Fuente oficial</t>
        </is>
      </c>
      <c r="B31" s="55" t="n">
        <v>14</v>
      </c>
      <c r="C31" s="55" t="inlineStr">
        <is>
          <t>Fuente oficial. Catálogo maestro Bloques V5/V6, división política INEI y codificación de microcuencas de la ANA.</t>
        </is>
      </c>
    </row>
    <row r="33">
      <c r="A33" s="53" t="inlineStr">
        <is>
          <t>D. ESTADO DEL CRUCE ENTRE FUENTES</t>
        </is>
      </c>
    </row>
    <row r="34">
      <c r="A34" s="54" t="inlineStr">
        <is>
          <t>Estado</t>
        </is>
      </c>
      <c r="B34" s="54" t="inlineStr">
        <is>
          <t>Hechos</t>
        </is>
      </c>
      <c r="C34" s="54" t="inlineStr">
        <is>
          <t>Significado</t>
        </is>
      </c>
    </row>
    <row r="35">
      <c r="A35" s="55" t="inlineStr">
        <is>
          <t>CONFORME</t>
        </is>
      </c>
      <c r="B35" s="55" t="n">
        <v>68</v>
      </c>
      <c r="C35" s="55" t="inlineStr">
        <is>
          <t>Las dos fuentes declaran lo mismo, o solo la fuente que manda sobre el hecho lo declara.</t>
        </is>
      </c>
    </row>
    <row r="36">
      <c r="A36" s="56" t="inlineStr">
        <is>
          <t>COMPLEMENTADO</t>
        </is>
      </c>
      <c r="B36" s="56" t="n">
        <v>4</v>
      </c>
      <c r="C36" s="56" t="inlineStr">
        <is>
          <t>Solo una de las fuentes lo declara y se adopta ese valor.</t>
        </is>
      </c>
    </row>
    <row r="37">
      <c r="A37" s="55" t="inlineStr">
        <is>
          <t>ACTUALIZADO</t>
        </is>
      </c>
      <c r="B37" s="55" t="n">
        <v>1</v>
      </c>
      <c r="C37" s="55" t="inlineStr">
        <is>
          <t>La verificación de campo vigente corrige lo que traía el libro de resumen.</t>
        </is>
      </c>
    </row>
    <row r="38">
      <c r="A38" s="56" t="inlineStr">
        <is>
          <t>DISCREPANTE</t>
        </is>
      </c>
      <c r="B38" s="56" t="n">
        <v>0</v>
      </c>
      <c r="C38" s="56" t="inlineStr">
        <is>
          <t>Las fuentes se contradicen; prevalece la que manda sobre el hecho y la otra queda declarada.</t>
        </is>
      </c>
    </row>
    <row r="39">
      <c r="A39" s="55" t="inlineStr">
        <is>
          <t>PENDIENTE</t>
        </is>
      </c>
      <c r="B39" s="55" t="n">
        <v>41</v>
      </c>
      <c r="C39"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56</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E-01</t>
        </is>
      </c>
      <c r="B9" s="55" t="inlineStr"/>
      <c r="C9" s="60" t="n">
        <v>620598</v>
      </c>
      <c r="D9" s="60" t="n">
        <v>9451513</v>
      </c>
      <c r="E9" s="55" t="n"/>
      <c r="F9" s="55" t="n"/>
      <c r="G9" s="55" t="n"/>
      <c r="H9" s="55" t="inlineStr">
        <is>
          <t>Activa</t>
        </is>
      </c>
      <c r="I9" s="55" t="inlineStr">
        <is>
          <t>Concentración natural de escorrentía</t>
        </is>
      </c>
    </row>
    <row r="10">
      <c r="A10" s="56" t="inlineStr">
        <is>
          <t>E-02</t>
        </is>
      </c>
      <c r="B10" s="56" t="inlineStr">
        <is>
          <t>Surco (&lt;30 cm)</t>
        </is>
      </c>
      <c r="C10" s="61" t="n">
        <v>620593</v>
      </c>
      <c r="D10" s="61" t="n">
        <v>9451503</v>
      </c>
      <c r="E10" s="56" t="n"/>
      <c r="F10" s="56" t="n"/>
      <c r="G10" s="56" t="n"/>
      <c r="H10" s="56" t="inlineStr">
        <is>
          <t>Activa</t>
        </is>
      </c>
      <c r="I10" s="56" t="inlineStr">
        <is>
          <t>Concentración natural de escorrentía</t>
        </is>
      </c>
    </row>
    <row r="11">
      <c r="A11" s="55" t="inlineStr">
        <is>
          <t>E-03</t>
        </is>
      </c>
      <c r="B11" s="55" t="inlineStr"/>
      <c r="C11" s="60" t="n">
        <v>620600</v>
      </c>
      <c r="D11" s="60" t="n">
        <v>9451512</v>
      </c>
      <c r="E11" s="55" t="n"/>
      <c r="F11" s="55" t="n"/>
      <c r="G11" s="55" t="n"/>
      <c r="H11" s="55" t="inlineStr">
        <is>
          <t>Activa</t>
        </is>
      </c>
      <c r="I11" s="55" t="inlineStr">
        <is>
          <t>Otro</t>
        </is>
      </c>
    </row>
    <row r="12">
      <c r="A12" s="56" t="inlineStr">
        <is>
          <t>E-04</t>
        </is>
      </c>
      <c r="B12" s="56" t="inlineStr">
        <is>
          <t>Surco (&lt;30 cm)</t>
        </is>
      </c>
      <c r="C12" s="61" t="n">
        <v>620588</v>
      </c>
      <c r="D12" s="61" t="n">
        <v>9451502</v>
      </c>
      <c r="E12" s="56" t="n"/>
      <c r="F12" s="56" t="n"/>
      <c r="G12" s="56" t="n"/>
      <c r="H12" s="56" t="inlineStr">
        <is>
          <t>Activa</t>
        </is>
      </c>
      <c r="I12" s="56" t="inlineStr">
        <is>
          <t>Concentración natural de escorrentía</t>
        </is>
      </c>
    </row>
    <row r="14">
      <c r="A14" s="53" t="inlineStr">
        <is>
          <t>F-DT-03 · ELENCO FLORÍSTICO</t>
        </is>
      </c>
    </row>
    <row r="15">
      <c r="A15" s="54" t="inlineStr">
        <is>
          <t>N.o</t>
        </is>
      </c>
      <c r="B15" s="54" t="inlineStr">
        <is>
          <t>Nombre común</t>
        </is>
      </c>
      <c r="C15" s="54" t="inlineStr">
        <is>
          <t>Nombre científico</t>
        </is>
      </c>
      <c r="D15" s="54" t="inlineStr">
        <is>
          <t>Familia</t>
        </is>
      </c>
      <c r="E15" s="54" t="inlineStr">
        <is>
          <t>Estrato</t>
        </is>
      </c>
      <c r="F15" s="54" t="inlineStr">
        <is>
          <t>Origen</t>
        </is>
      </c>
      <c r="G15" s="54" t="inlineStr">
        <is>
          <t>Abundancia</t>
        </is>
      </c>
      <c r="H15" s="54" t="inlineStr">
        <is>
          <t>DAP (cm)</t>
        </is>
      </c>
      <c r="I15" s="54" t="inlineStr">
        <is>
          <t>Altura (m)</t>
        </is>
      </c>
    </row>
    <row r="17">
      <c r="A17" s="53" t="inlineStr">
        <is>
          <t>F-DT-03 · ESPECIES CLAVE GEORREFERENCIADAS</t>
        </is>
      </c>
    </row>
    <row r="18">
      <c r="A18" s="54" t="inlineStr">
        <is>
          <t>N.o</t>
        </is>
      </c>
      <c r="B18" s="54" t="inlineStr">
        <is>
          <t>Especie</t>
        </is>
      </c>
      <c r="C18" s="54" t="inlineStr">
        <is>
          <t>Categoría</t>
        </is>
      </c>
      <c r="D18" s="54" t="inlineStr">
        <is>
          <t>Estado UICN</t>
        </is>
      </c>
      <c r="E18" s="54" t="inlineStr">
        <is>
          <t>UTM ESTE</t>
        </is>
      </c>
      <c r="F18" s="54" t="inlineStr">
        <is>
          <t>UTM NORTE</t>
        </is>
      </c>
      <c r="G18" s="54" t="inlineStr">
        <is>
          <t>N.° individuos</t>
        </is>
      </c>
      <c r="H18" s="54" t="inlineStr">
        <is>
          <t>Observación</t>
        </is>
      </c>
    </row>
    <row r="19">
      <c r="A19" s="55" t="inlineStr">
        <is>
          <t>1</t>
        </is>
      </c>
      <c r="B19" s="55" t="inlineStr">
        <is>
          <t>Cinchona sp. (Cascarilla / Quina)</t>
        </is>
      </c>
      <c r="C19" s="55" t="inlineStr">
        <is>
          <t>Clave cultural</t>
        </is>
      </c>
      <c r="D19" s="55" t="inlineStr"/>
      <c r="E19" s="55" t="n"/>
      <c r="F19" s="55" t="n"/>
      <c r="G19" s="55" t="n"/>
      <c r="H19" s="55" t="inlineStr">
        <is>
          <t>Indicadora de bosque montano; emblemática nacional (quina). Presencia esperada, por confirmar por colección botánica.</t>
        </is>
      </c>
    </row>
    <row r="20">
      <c r="A20" s="56" t="inlineStr">
        <is>
          <t>2</t>
        </is>
      </c>
      <c r="B20" s="56" t="inlineStr">
        <is>
          <t>Podocarpus sp. (Romerillo)</t>
        </is>
      </c>
      <c r="C20" s="56" t="inlineStr">
        <is>
          <t>Amenazada (D.S. 043-2006-AG)</t>
        </is>
      </c>
      <c r="D20" s="56" t="inlineStr">
        <is>
          <t>VU — Vulnerable</t>
        </is>
      </c>
      <c r="E20" s="56" t="n"/>
      <c r="F20" s="56" t="n"/>
      <c r="G20" s="56" t="n"/>
      <c r="H20" s="56" t="inlineStr">
        <is>
          <t>Género protegido (D.S. 043-2006-AG); presencia esperada, por confirmar.</t>
        </is>
      </c>
    </row>
    <row r="21">
      <c r="A21" s="55" t="inlineStr">
        <is>
          <t>3</t>
        </is>
      </c>
      <c r="B21" s="55" t="inlineStr">
        <is>
          <t>Ceroxylon sp. (palma de cera)</t>
        </is>
      </c>
      <c r="C21" s="55" t="inlineStr">
        <is>
          <t>Indicadora de buen estado</t>
        </is>
      </c>
      <c r="D21" s="55" t="inlineStr"/>
      <c r="E21" s="55" t="n"/>
      <c r="F21" s="55" t="n"/>
      <c r="G21" s="55" t="n"/>
      <c r="H21" s="55" t="inlineStr">
        <is>
          <t>Alto valor ecológico; indicadora de bosque montano húmedo; por confirmar.</t>
        </is>
      </c>
    </row>
    <row r="22">
      <c r="A22" s="56" t="inlineStr">
        <is>
          <t>4</t>
        </is>
      </c>
      <c r="B22" s="56" t="inlineStr">
        <is>
          <t>Weinmannia sp. / Ficus sp.</t>
        </is>
      </c>
      <c r="C22" s="56" t="inlineStr">
        <is>
          <t>Indicadora de buen estado</t>
        </is>
      </c>
      <c r="D22" s="56" t="inlineStr"/>
      <c r="E22" s="56" t="n"/>
      <c r="F22" s="56" t="n"/>
      <c r="G22" s="56" t="n"/>
      <c r="H22" s="56" t="inlineStr">
        <is>
          <t>Componentes estructurales de relictos montanos; indicadoras de buen estado.</t>
        </is>
      </c>
    </row>
    <row r="23">
      <c r="A23" s="55" t="inlineStr">
        <is>
          <t>5</t>
        </is>
      </c>
      <c r="B23" s="55" t="inlineStr">
        <is>
          <t>Bromeliáceas / Orquídeas (epífitas)</t>
        </is>
      </c>
      <c r="C23" s="55" t="inlineStr">
        <is>
          <t>Indicadora de buen estado</t>
        </is>
      </c>
      <c r="D23" s="55" t="inlineStr"/>
      <c r="E23" s="55" t="n"/>
      <c r="F23" s="55" t="n"/>
      <c r="G23" s="55" t="n"/>
      <c r="H23" s="55" t="inlineStr">
        <is>
          <t>Indicadoras de humedad; bromelia epífita observada en el entorno del bloque.</t>
        </is>
      </c>
    </row>
    <row r="25">
      <c r="A25" s="53" t="inlineStr">
        <is>
          <t>F-DT-04 · MATRIZ DE CAUSAS DE DEGRADACIÓN</t>
        </is>
      </c>
    </row>
    <row r="26">
      <c r="A26" s="54" t="inlineStr">
        <is>
          <t>N.o</t>
        </is>
      </c>
      <c r="B26" s="54" t="inlineStr">
        <is>
          <t>Causa</t>
        </is>
      </c>
      <c r="C26" s="54" t="inlineStr">
        <is>
          <t>Presencia</t>
        </is>
      </c>
      <c r="D26" s="54" t="inlineStr">
        <is>
          <t>Intensidad</t>
        </is>
      </c>
      <c r="E26" s="54" t="inlineStr">
        <is>
          <t>Extensión</t>
        </is>
      </c>
      <c r="F26" s="54" t="inlineStr">
        <is>
          <t>Antigüedad</t>
        </is>
      </c>
      <c r="G26" s="54" t="inlineStr">
        <is>
          <t>Evidencia</t>
        </is>
      </c>
    </row>
    <row r="27">
      <c r="A27" s="55" t="inlineStr">
        <is>
          <t>1</t>
        </is>
      </c>
      <c r="B27" s="55" t="inlineStr">
        <is>
          <t>Sobrepastoreo (caprino/vacuno)</t>
        </is>
      </c>
      <c r="C27" s="55" t="inlineStr">
        <is>
          <t>Sí</t>
        </is>
      </c>
      <c r="D27" s="55" t="inlineStr"/>
      <c r="E27" s="55" t="inlineStr"/>
      <c r="F27" s="55" t="inlineStr"/>
      <c r="G27" s="55" t="inlineStr">
        <is>
          <t>Pastizales en laderas (Índ. 218); carga ganadera por verificar. Intensidad por verificar.</t>
        </is>
      </c>
    </row>
    <row r="28">
      <c r="A28" s="56" t="inlineStr">
        <is>
          <t>2</t>
        </is>
      </c>
      <c r="B28" s="56" t="inlineStr">
        <is>
          <t>Tala para leña</t>
        </is>
      </c>
      <c r="C28" s="56" t="inlineStr"/>
      <c r="D28" s="56" t="inlineStr"/>
      <c r="E28" s="56" t="inlineStr"/>
      <c r="F28" s="56" t="inlineStr"/>
      <c r="G28" s="56" t="inlineStr"/>
    </row>
    <row r="29">
      <c r="A29" s="55" t="inlineStr">
        <is>
          <t>3</t>
        </is>
      </c>
      <c r="B29" s="55" t="inlineStr">
        <is>
          <t>Tala para carbón</t>
        </is>
      </c>
      <c r="C29" s="55" t="inlineStr"/>
      <c r="D29" s="55" t="inlineStr"/>
      <c r="E29" s="55" t="inlineStr"/>
      <c r="F29" s="55" t="inlineStr"/>
      <c r="G29" s="55" t="inlineStr"/>
    </row>
    <row r="30">
      <c r="A30" s="56" t="inlineStr">
        <is>
          <t>4</t>
        </is>
      </c>
      <c r="B30" s="56" t="inlineStr">
        <is>
          <t>Tala para madera</t>
        </is>
      </c>
      <c r="C30" s="56" t="inlineStr"/>
      <c r="D30" s="56" t="inlineStr"/>
      <c r="E30" s="56" t="inlineStr"/>
      <c r="F30" s="56" t="inlineStr"/>
      <c r="G30" s="56" t="inlineStr"/>
    </row>
    <row r="31">
      <c r="A31" s="55" t="inlineStr">
        <is>
          <t>5</t>
        </is>
      </c>
      <c r="B31" s="55" t="inlineStr">
        <is>
          <t>Quema (renovación de pastos)</t>
        </is>
      </c>
      <c r="C31" s="55" t="inlineStr"/>
      <c r="D31" s="55" t="inlineStr"/>
      <c r="E31" s="55" t="inlineStr"/>
      <c r="F31" s="55" t="inlineStr"/>
      <c r="G31" s="55" t="inlineStr"/>
    </row>
    <row r="32">
      <c r="A32" s="56" t="inlineStr">
        <is>
          <t>6</t>
        </is>
      </c>
      <c r="B32" s="56" t="inlineStr">
        <is>
          <t>Quema accidental / Incendio</t>
        </is>
      </c>
      <c r="C32" s="56" t="inlineStr"/>
      <c r="D32" s="56" t="inlineStr"/>
      <c r="E32" s="56" t="inlineStr"/>
      <c r="F32" s="56" t="inlineStr"/>
      <c r="G32" s="56" t="inlineStr"/>
    </row>
    <row r="33">
      <c r="A33" s="55" t="inlineStr">
        <is>
          <t>7</t>
        </is>
      </c>
      <c r="B33" s="55" t="inlineStr">
        <is>
          <t>Cambio de uso a agricultura</t>
        </is>
      </c>
      <c r="C33" s="55" t="inlineStr">
        <is>
          <t>Sí</t>
        </is>
      </c>
      <c r="D33" s="55" t="inlineStr">
        <is>
          <t>Moderada</t>
        </is>
      </c>
      <c r="E33" s="55" t="inlineStr">
        <is>
          <t>46</t>
        </is>
      </c>
      <c r="F33" s="55" t="inlineStr"/>
      <c r="G33" s="55" t="inlineStr">
        <is>
          <t>Parcelas de maíz protegidas con malla junto al poblado (Índ. 207); zona agrícola 35,82 ha (46,1 % del bloque).</t>
        </is>
      </c>
    </row>
    <row r="34">
      <c r="A34" s="56" t="inlineStr">
        <is>
          <t>8</t>
        </is>
      </c>
      <c r="B34" s="56" t="inlineStr">
        <is>
          <t>Cambio de uso a pastoreo</t>
        </is>
      </c>
      <c r="C34" s="56" t="inlineStr"/>
      <c r="D34" s="56" t="inlineStr"/>
      <c r="E34" s="56" t="inlineStr"/>
      <c r="F34" s="56" t="inlineStr"/>
      <c r="G34" s="56" t="inlineStr"/>
    </row>
    <row r="35">
      <c r="A35" s="55" t="inlineStr">
        <is>
          <t>9</t>
        </is>
      </c>
      <c r="B35" s="55" t="inlineStr">
        <is>
          <t>Expansión urbana / vial</t>
        </is>
      </c>
      <c r="C35" s="55" t="inlineStr">
        <is>
          <t>Sí</t>
        </is>
      </c>
      <c r="D35" s="55" t="inlineStr">
        <is>
          <t>Moderada</t>
        </is>
      </c>
      <c r="E35" s="55" t="inlineStr"/>
      <c r="F35" s="55" t="inlineStr"/>
      <c r="G35" s="55" t="inlineStr">
        <is>
          <t>Expansión vial: taludes de corte inestables y desprendimientos en la trocha de acceso (Índ. 223, 224).</t>
        </is>
      </c>
    </row>
    <row r="36">
      <c r="A36" s="56" t="inlineStr">
        <is>
          <t>10</t>
        </is>
      </c>
      <c r="B36" s="56" t="inlineStr">
        <is>
          <t>Minería informal</t>
        </is>
      </c>
      <c r="C36" s="56" t="inlineStr"/>
      <c r="D36" s="56" t="inlineStr"/>
      <c r="E36" s="56" t="inlineStr"/>
      <c r="F36" s="56" t="inlineStr"/>
      <c r="G36" s="56" t="inlineStr"/>
    </row>
    <row r="37">
      <c r="A37" s="55" t="inlineStr">
        <is>
          <t>11</t>
        </is>
      </c>
      <c r="B37" s="55" t="inlineStr">
        <is>
          <t>Extracción de áridos (cauces)</t>
        </is>
      </c>
      <c r="C37" s="55" t="inlineStr"/>
      <c r="D37" s="55" t="inlineStr"/>
      <c r="E37" s="55" t="inlineStr"/>
      <c r="F37" s="55" t="inlineStr"/>
      <c r="G37" s="55" t="inlineStr"/>
    </row>
    <row r="38">
      <c r="A38" s="56" t="inlineStr">
        <is>
          <t>12</t>
        </is>
      </c>
      <c r="B38" s="56" t="inlineStr">
        <is>
          <t>Especies invasoras</t>
        </is>
      </c>
      <c r="C38" s="56" t="inlineStr"/>
      <c r="D38" s="56" t="inlineStr"/>
      <c r="E38" s="56" t="inlineStr"/>
      <c r="F38" s="56" t="inlineStr"/>
      <c r="G38" s="56" t="inlineStr"/>
    </row>
    <row r="39">
      <c r="A39" s="55" t="inlineStr">
        <is>
          <t>13</t>
        </is>
      </c>
      <c r="B39" s="55" t="inlineStr">
        <is>
          <t>Erosión natural severa</t>
        </is>
      </c>
      <c r="C39" s="55" t="inlineStr">
        <is>
          <t>Sí</t>
        </is>
      </c>
      <c r="D39" s="55" t="inlineStr">
        <is>
          <t>Moderada</t>
        </is>
      </c>
      <c r="E39" s="55" t="inlineStr"/>
      <c r="F39" s="55" t="inlineStr"/>
      <c r="G39" s="55" t="inlineStr">
        <is>
          <t>Erosión hídrica concentrada (Moderada-Alta): cárcava activa con incisión profunda y surcos en la franja vial (Índ. 220, 219); material residual expuesto y disponible al arrastre. Interior por verificar.</t>
        </is>
      </c>
    </row>
    <row r="40">
      <c r="A40" s="56" t="inlineStr">
        <is>
          <t>14</t>
        </is>
      </c>
      <c r="B40" s="56" t="inlineStr">
        <is>
          <t>Sequía prolongada / CC</t>
        </is>
      </c>
      <c r="C40" s="56" t="inlineStr"/>
      <c r="D40" s="56" t="inlineStr"/>
      <c r="E40" s="56" t="inlineStr"/>
      <c r="F40" s="56" t="inlineStr"/>
      <c r="G40" s="56" t="inlineStr"/>
    </row>
    <row r="41">
      <c r="A41" s="55" t="inlineStr">
        <is>
          <t>15</t>
        </is>
      </c>
      <c r="B41" s="55" t="inlineStr">
        <is>
          <t>Plagas o enfermedades forestales</t>
        </is>
      </c>
      <c r="C41" s="55" t="inlineStr"/>
      <c r="D41" s="55" t="inlineStr"/>
      <c r="E41" s="55" t="inlineStr"/>
      <c r="F41" s="55" t="inlineStr"/>
      <c r="G41" s="55" t="inlineStr"/>
    </row>
    <row r="42">
      <c r="A42" s="56" t="inlineStr">
        <is>
          <t>16</t>
        </is>
      </c>
      <c r="B42" s="56" t="inlineStr">
        <is>
          <t>Otro</t>
        </is>
      </c>
      <c r="C42" s="56" t="inlineStr"/>
      <c r="D42" s="56" t="inlineStr"/>
      <c r="E42" s="56" t="inlineStr"/>
      <c r="F42" s="56" t="inlineStr"/>
      <c r="G42" s="56" t="inlineStr"/>
    </row>
    <row r="44">
      <c r="A44" s="53" t="inlineStr">
        <is>
          <t>F-DT-04 · INDICADORES CUANTITATIVOS</t>
        </is>
      </c>
    </row>
    <row r="45">
      <c r="A45" s="54" t="inlineStr">
        <is>
          <t>N.o</t>
        </is>
      </c>
      <c r="B45" s="54" t="inlineStr">
        <is>
          <t>Indicador</t>
        </is>
      </c>
      <c r="C45" s="54" t="inlineStr">
        <is>
          <t>Unidad</t>
        </is>
      </c>
      <c r="D45" s="54" t="inlineStr">
        <is>
          <t>Valor</t>
        </is>
      </c>
      <c r="E45" s="54" t="inlineStr">
        <is>
          <t>Fuente</t>
        </is>
      </c>
      <c r="F45" s="54" t="inlineStr">
        <is>
          <t>Umbral</t>
        </is>
      </c>
      <c r="G45" s="54" t="inlineStr">
        <is>
          <t>Nivel</t>
        </is>
      </c>
    </row>
    <row r="46">
      <c r="A46" s="55" t="inlineStr">
        <is>
          <t>1</t>
        </is>
      </c>
      <c r="B46" s="55" t="inlineStr">
        <is>
          <t>Cobertura vegetal total</t>
        </is>
      </c>
      <c r="C46" s="55" t="inlineStr">
        <is>
          <t>%</t>
        </is>
      </c>
      <c r="D46" s="55" t="inlineStr"/>
      <c r="E46" s="55" t="inlineStr">
        <is>
          <t>MSAVI 2024 (Sentinel-2) / Reporte Ecosistemas_V5</t>
        </is>
      </c>
      <c r="F46" s="55" t="inlineStr">
        <is>
          <t>&gt;60% bueno; 30-60% medio; &lt;30% malo</t>
        </is>
      </c>
      <c r="G46" s="55" t="inlineStr">
        <is>
          <t>Alto</t>
        </is>
      </c>
    </row>
    <row r="47">
      <c r="A47" s="56" t="inlineStr">
        <is>
          <t>2</t>
        </is>
      </c>
      <c r="B47" s="56" t="inlineStr">
        <is>
          <t>Porcentaje de suelo desnudo</t>
        </is>
      </c>
      <c r="C47" s="56" t="inlineStr">
        <is>
          <t>%</t>
        </is>
      </c>
      <c r="D47" s="56" t="inlineStr"/>
      <c r="E47" s="56" t="inlineStr"/>
      <c r="F47" s="56" t="inlineStr">
        <is>
          <t>&lt;10% bueno; 10-30% medio; &gt;30% malo</t>
        </is>
      </c>
      <c r="G47" s="56" t="inlineStr"/>
    </row>
    <row r="48">
      <c r="A48" s="55" t="inlineStr">
        <is>
          <t>3</t>
        </is>
      </c>
      <c r="B48" s="55" t="inlineStr">
        <is>
          <t>Densidad de cárcavas</t>
        </is>
      </c>
      <c r="C48" s="55" t="inlineStr">
        <is>
          <t>N°/ha</t>
        </is>
      </c>
      <c r="D48" s="55" t="inlineStr">
        <is>
          <t>Por determinar</t>
        </is>
      </c>
      <c r="E48" s="55" t="inlineStr">
        <is>
          <t>Pendiente de levantamiento interno</t>
        </is>
      </c>
      <c r="F48" s="55" t="inlineStr">
        <is>
          <t>0 nulo; 1-3 medio; &gt;3 alto</t>
        </is>
      </c>
      <c r="G48" s="55" t="inlineStr"/>
    </row>
    <row r="49">
      <c r="A49" s="56" t="inlineStr">
        <is>
          <t>4</t>
        </is>
      </c>
      <c r="B49" s="56" t="inlineStr">
        <is>
          <t>Presencia de especies invasoras</t>
        </is>
      </c>
      <c r="C49" s="56" t="inlineStr">
        <is>
          <t>% área</t>
        </is>
      </c>
      <c r="D49" s="56" t="inlineStr"/>
      <c r="E49" s="56" t="inlineStr"/>
      <c r="F49" s="56" t="inlineStr">
        <is>
          <t>&lt;5% bueno; 5-20% medio; &gt;20% alto</t>
        </is>
      </c>
      <c r="G49" s="56" t="inlineStr"/>
    </row>
    <row r="50">
      <c r="A50" s="55" t="inlineStr">
        <is>
          <t>5</t>
        </is>
      </c>
      <c r="B50" s="55" t="inlineStr">
        <is>
          <t>Carga ganadera estimada</t>
        </is>
      </c>
      <c r="C50" s="55" t="inlineStr">
        <is>
          <t>UA/ha</t>
        </is>
      </c>
      <c r="D50" s="55" t="inlineStr">
        <is>
          <t>Por verificar</t>
        </is>
      </c>
      <c r="E50" s="55" t="inlineStr"/>
      <c r="F50" s="55" t="inlineStr">
        <is>
          <t>Según tipo de ecosistema</t>
        </is>
      </c>
      <c r="G50" s="55" t="inlineStr"/>
    </row>
    <row r="51">
      <c r="A51" s="56" t="inlineStr">
        <is>
          <t>6</t>
        </is>
      </c>
      <c r="B51" s="56" t="inlineStr">
        <is>
          <t>Frecuencia de quemas últimos 5 años</t>
        </is>
      </c>
      <c r="C51" s="56" t="inlineStr">
        <is>
          <t>N°</t>
        </is>
      </c>
      <c r="D51" s="56" t="inlineStr">
        <is>
          <t>Por verificar</t>
        </is>
      </c>
      <c r="E51" s="56" t="inlineStr"/>
      <c r="F51" s="56" t="inlineStr">
        <is>
          <t>0 nulo; 1-2 medio; &gt;2 alto</t>
        </is>
      </c>
      <c r="G51" s="56" t="inlineStr"/>
    </row>
    <row r="52">
      <c r="A52" s="55" t="inlineStr">
        <is>
          <t>7</t>
        </is>
      </c>
      <c r="B52" s="55" t="inlineStr">
        <is>
          <t>% área con pendiente &gt;50%</t>
        </is>
      </c>
      <c r="C52" s="55" t="inlineStr">
        <is>
          <t>%</t>
        </is>
      </c>
      <c r="D52" s="55" t="inlineStr">
        <is>
          <t>Por determinar</t>
        </is>
      </c>
      <c r="E52" s="55" t="inlineStr">
        <is>
          <t>Perfil Google Earth (media 32,5 %, máx. 61,7 %)</t>
        </is>
      </c>
      <c r="F52" s="55" t="inlineStr">
        <is>
          <t>Factor de susceptibilidad</t>
        </is>
      </c>
      <c r="G52" s="55" t="inlineStr"/>
    </row>
    <row r="53">
      <c r="A53" s="56" t="inlineStr">
        <is>
          <t>8</t>
        </is>
      </c>
      <c r="B53" s="56" t="inlineStr">
        <is>
          <t>Distancia a vía vecinal más cercana</t>
        </is>
      </c>
      <c r="C53" s="56" t="inlineStr">
        <is>
          <t>m</t>
        </is>
      </c>
      <c r="D53" s="56" t="inlineStr"/>
      <c r="E53" s="56" t="inlineStr"/>
      <c r="F53" s="56" t="inlineStr">
        <is>
          <t>A menor distancia → mayor presión</t>
        </is>
      </c>
      <c r="G53" s="56" t="inlineStr"/>
    </row>
    <row r="55">
      <c r="A55" s="53" t="inlineStr">
        <is>
          <t>F-DT-05 · FUENTES DE AGUA INVENTARIADAS</t>
        </is>
      </c>
    </row>
    <row r="56">
      <c r="A56" s="54" t="inlineStr">
        <is>
          <t>N.o</t>
        </is>
      </c>
      <c r="B56" s="54" t="inlineStr">
        <is>
          <t>Tipo de fuente</t>
        </is>
      </c>
      <c r="C56" s="54" t="inlineStr">
        <is>
          <t>UTM ESTE</t>
        </is>
      </c>
      <c r="D56" s="54" t="inlineStr">
        <is>
          <t>UTM NORTE</t>
        </is>
      </c>
      <c r="E56" s="54" t="inlineStr">
        <is>
          <t>Régimen</t>
        </is>
      </c>
      <c r="F56" s="54" t="inlineStr">
        <is>
          <t>Calidad</t>
        </is>
      </c>
      <c r="G56" s="54" t="inlineStr">
        <is>
          <t>Distancia (m)</t>
        </is>
      </c>
      <c r="H56" s="54" t="inlineStr">
        <is>
          <t>Uso / observación</t>
        </is>
      </c>
    </row>
    <row r="59">
      <c r="A59" s="53" t="inlineStr">
        <is>
          <t>OBSERVACIONES DEL EVALUADOR POR FICHA</t>
        </is>
      </c>
    </row>
    <row r="60">
      <c r="A60" s="54" t="inlineStr">
        <is>
          <t>Ficha</t>
        </is>
      </c>
      <c r="B60" s="54" t="inlineStr">
        <is>
          <t>Observación registrada en campo</t>
        </is>
      </c>
    </row>
    <row r="61">
      <c r="A61" s="55" t="inlineStr">
        <is>
          <t>F-DT-02</t>
        </is>
      </c>
      <c r="B61" s="55" t="inlineStr">
        <is>
          <t>Inventario de rasgos erosivos levantado en la franja de aproximación (trocha carrozable y entorno del C.P. Putagas); no se accedió al interior del bloque (24/06/2026). Dimensiones instrumentales (longitud, profundidad, ancho), longitud total acumulada, % del bloque afectado y densidad de cárcavas por hectárea PENDIENTES de levantamiento en el interior. Erosión severa observada en la franja vial: cárcava activa con incisión profunda (Índ. 220), surcos/regueros (Índ. 219), taludes de corte con desprendimiento (Índ. 223, 224). Nivel de erosión interno del bloque por verificar (susceptibilidad estimada moderada a alta). Patrón de cárcavas, socavamiento de cauce y urgencia de control por determinar.</t>
        </is>
      </c>
    </row>
    <row r="62">
      <c r="A62" s="56" t="inlineStr">
        <is>
          <t>F-DT-03</t>
        </is>
      </c>
      <c r="B62" s="56" t="inlineStr">
        <is>
          <t>Caracterización ecológica REFERENCIAL de gabinete (Reporte de Ecosistemas por Bloques_V5 — MINAM, MSAVI 2024 Sentinel-2 y observación externa); no se accedió al interior el 24/06/2026, por lo que NO se instaló parcela de muestreo (composición florística de la Sección 4 no levantada). Composición por ecosistema: Bosque relicto montano de vertiente occidental (Br-mvoc) 41,85 ha (53,9 %) y Zona agrícola (Agri) 35,82 ha (46,1 %); total 77,67 ha. MSAVI 2024 del bloque = 0,678 (vigor alto), coherente con cobertura densa y bosque en buen estado. Composición florística referencial del bosque montano (familia/género): Lauráceas (Persea/Ocotea/Nectandra), Cunoniáceas (Weinmannia), Podocarpáceas (Podocarpus), Cecropiáceas (Cecropia), Mirtáceas (Myrcianthes), Moráceas (Ficus), Rubiáceas (Cinchona), Bignoniáceas (Tabebuia), Arecáceas (Ceroxylon — palma de cera), helechos arborescentes (Nephelea); estrato arbustivo (Miconia, Munnozia, Baccharis, Senna, Colignonia, Gaiadendron, Oreopanax); epífitas y lianas (Bromeliaceae, Orchidaceae, Heliconia, Araceae, musgos). Determinación a nivel de especie y categorías de conservación por colección botánica formal. Erythrina sp. en floración observada (Fig. 7).</t>
        </is>
      </c>
    </row>
    <row r="63">
      <c r="A63" s="55" t="inlineStr">
        <is>
          <t>F-DT-04</t>
        </is>
      </c>
      <c r="B63" s="55" t="inlineStr">
        <is>
          <t>Matriz de causas levantada por observación externa/perimetral y gabinete (24/06/2026; sin acceso al interior). Indicadores cuantitativos (densidad de cárcavas N°/ha, carga ganadera UA/ha, frecuencia de quemas, % de área con pendiente &gt;50 %) PENDIENTES de cuantificación en levantamiento detallado. Indicadores de estado documentados (Cuadro 9): MSAVI 2024 = 0,678 (Alto); cobertura de bosque montano relicto 41,85 ha / 53,9 % (Alto); superficie agrícola/pastizal 35,82 ha / 46,1 % (Medio); pendiente media del acceso 32,5 % máx. 61,7 % (Alto); erosión en franja vial activa (Medio-Alto). Antecedente crítico: reubicación de un centro poblado por deslizamientos en temporada de lluvias (referido; CP y fecha por precisar). Peligro integrado preliminar Medio-Alto (PMM Medio-Alto, EPH Medio-Alto, PGI Medio). Reversibilidad técnica y urgencia de intervención por determinar en la priorización.</t>
        </is>
      </c>
    </row>
    <row r="64">
      <c r="A64" s="56" t="inlineStr">
        <is>
          <t>F-DT-05</t>
        </is>
      </c>
      <c r="B64" s="56" t="inlineStr">
        <is>
          <t>Bloque en zona de origen y recarga de la microcuenca C1096-Q9564. Condiciones de bosque montano de neblina (epífitas, helechos, alto MSAVI) indican régimen de humedad favorable a la regulación hídrica. Referencia de la Catarata Putagas (SO del bloque) confirma presencia de cursos de agua; quebradas de la microcuenca C1096-Q9564. No se identificaron desde el exterior manantiales ni captaciones internas (sin acceso al interior, 24/06/2026). Distancia a captación poblacional, nombre de la JASS y restricción/contacto de la Ronda Campesina: por verificar. Acceso al interior NO logrado el 24/06/2026 (trocha en mal estado + fuerte pendiente); caracterización desde el entorno del C.P. Putagas. Ruta: Frías → C.P. Putagas (trocha carrozable) → ascenso por ladera ≈ 1 km. Transitabilidad: época seca Baja-Media (trocha erosionada), época lluviosa Baja (riesgo de deslizamientos y cárcavas).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56</t>
        </is>
      </c>
    </row>
    <row r="7">
      <c r="A7" s="53" t="inlineStr">
        <is>
          <t>Hechos declarados por fuente</t>
        </is>
      </c>
    </row>
    <row r="8">
      <c r="A8" s="54" t="inlineStr">
        <is>
          <t>Fuente</t>
        </is>
      </c>
      <c r="B8" s="54" t="inlineStr">
        <is>
          <t>Hechos</t>
        </is>
      </c>
    </row>
    <row r="9">
      <c r="A9" s="55" t="inlineStr">
        <is>
          <t>Dato de campo</t>
        </is>
      </c>
      <c r="B9" s="55" t="n">
        <v>31</v>
      </c>
    </row>
    <row r="10">
      <c r="A10" s="56" t="inlineStr">
        <is>
          <t>Gabinete (GIS / teledetección)</t>
        </is>
      </c>
      <c r="B10" s="56" t="n">
        <v>28</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68</v>
      </c>
    </row>
    <row r="31">
      <c r="A31" s="56" t="inlineStr">
        <is>
          <t>COMPLEMENTADO</t>
        </is>
      </c>
      <c r="B31" s="56" t="n">
        <v>4</v>
      </c>
    </row>
    <row r="32">
      <c r="A32" s="55" t="inlineStr">
        <is>
          <t>ACTUALIZADO</t>
        </is>
      </c>
      <c r="B32" s="55" t="n">
        <v>1</v>
      </c>
    </row>
    <row r="33">
      <c r="A33" s="56" t="inlineStr">
        <is>
          <t>DISCREPANTE</t>
        </is>
      </c>
      <c r="B33" s="56" t="n">
        <v>0</v>
      </c>
    </row>
    <row r="34">
      <c r="A34" s="55" t="inlineStr">
        <is>
          <t>PENDIENTE</t>
        </is>
      </c>
      <c r="B34" s="55" t="n">
        <v>41</v>
      </c>
    </row>
    <row r="51">
      <c r="A51" s="53" t="inlineStr">
        <is>
          <t>Causas activas de degradación (F-DT-04)</t>
        </is>
      </c>
    </row>
    <row r="52">
      <c r="A52" s="54" t="inlineStr">
        <is>
          <t>Causa</t>
        </is>
      </c>
      <c r="B52" s="54" t="inlineStr">
        <is>
          <t>Intensidad (1 ligera - 4 muy fuerte)</t>
        </is>
      </c>
    </row>
    <row r="53">
      <c r="A53" s="55" t="inlineStr">
        <is>
          <t>Cambio de uso a agricultura</t>
        </is>
      </c>
      <c r="B53" s="55" t="n">
        <v>2</v>
      </c>
    </row>
    <row r="54">
      <c r="A54" s="56" t="inlineStr">
        <is>
          <t>Erosión natural severa</t>
        </is>
      </c>
      <c r="B54" s="56" t="n">
        <v>2</v>
      </c>
    </row>
    <row r="55">
      <c r="A55" s="55" t="inlineStr">
        <is>
          <t>Expansión urbana / vial</t>
        </is>
      </c>
      <c r="B55" s="55" t="n">
        <v>2</v>
      </c>
    </row>
    <row r="56">
      <c r="A56" s="56" t="inlineStr">
        <is>
          <t>Sobrepastoreo (caprino/vacuno)</t>
        </is>
      </c>
      <c r="B56" s="56" t="n">
        <v>1</v>
      </c>
    </row>
    <row r="73">
      <c r="A73" s="53" t="inlineStr">
        <is>
          <t>Control de consistencia por calificación</t>
        </is>
      </c>
    </row>
    <row r="74">
      <c r="A74" s="54" t="inlineStr">
        <is>
          <t>Calificación</t>
        </is>
      </c>
      <c r="B74" s="54" t="inlineStr">
        <is>
          <t>Verificaciones</t>
        </is>
      </c>
    </row>
    <row r="75">
      <c r="A75" s="55" t="inlineStr">
        <is>
          <t>SUSTANTIVA</t>
        </is>
      </c>
      <c r="B75" s="55" t="n">
        <v>6</v>
      </c>
    </row>
    <row r="76">
      <c r="A76" s="56" t="inlineStr">
        <is>
          <t>NO SUSTANTIVA</t>
        </is>
      </c>
      <c r="B76" s="56" t="n">
        <v>6</v>
      </c>
    </row>
    <row r="77">
      <c r="A77" s="55" t="inlineStr">
        <is>
          <t>CORREGIDO</t>
        </is>
      </c>
      <c r="B77" s="55" t="n">
        <v>1</v>
      </c>
    </row>
    <row r="78">
      <c r="A78" s="56" t="inlineStr">
        <is>
          <t>CONFORME</t>
        </is>
      </c>
      <c r="B78" s="56" t="n">
        <v>9</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56 — IN Piura</dc:title>
  <dc:subject>Diagnóstico Territorial por bloque de intervención</dc:subject>
  <dcterms:created xsi:type="dcterms:W3CDTF">2026-09-08T03:39:56Z</dcterms:created>
  <dcterms:modified xsi:type="dcterms:W3CDTF">2026-09-11T20:22:30Z</dcterms:modified>
</cp:coreProperties>
</file>