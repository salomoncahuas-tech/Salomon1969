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integración'!$A$66:$A$71</f>
            </numRef>
          </cat>
          <val>
            <numRef>
              <f>'Gráficos de integración'!$B$66:$B$71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t>
        </is>
      </c>
    </row>
    <row r="6" ht="24" customHeight="1">
      <c r="A6" s="4" t="inlineStr">
        <is>
          <t>Diagnóstico Territorial — Plantilla DT Campo Check Validada V5 | Sistema de referencia: UTM WGS 84 Zona 17S (EPSG:32717) · Integrado con la ficha de campo F-DT vigente (Plantilla_DT_Campo_Bloque3_IN_Piura.xlsx) — V7 - resumen V6 + campo F-DT integrado</t>
        </is>
      </c>
    </row>
    <row r="7"/>
    <row r="8" ht="18" customHeight="1">
      <c r="A8" s="5" t="inlineStr">
        <is>
          <t>1. IDENTIFICACIÓN Y LOCALIZACIÓN</t>
        </is>
      </c>
    </row>
    <row r="9">
      <c r="A9" s="6" t="inlineStr">
        <is>
          <t>Código del bloque</t>
        </is>
      </c>
      <c r="B9" s="7" t="inlineStr">
        <is>
          <t>3</t>
        </is>
      </c>
      <c r="C9" s="6" t="inlineStr">
        <is>
          <t>Microcuenca (catálogo)</t>
        </is>
      </c>
      <c r="D9" s="7" t="inlineStr">
        <is>
          <t>C1096-Q9545</t>
        </is>
      </c>
      <c r="E9" s="8" t="n"/>
      <c r="F9" s="8" t="n"/>
    </row>
    <row r="10">
      <c r="A10" s="6" t="inlineStr">
        <is>
          <t>Zona de planificación</t>
        </is>
      </c>
      <c r="B10" s="7" t="inlineStr">
        <is>
          <t>Z02</t>
        </is>
      </c>
      <c r="C10" s="6" t="inlineStr">
        <is>
          <t>Microcuenca declarada en ficha DT</t>
        </is>
      </c>
      <c r="D10" s="7" t="inlineStr">
        <is>
          <t>C1096-Q9545</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Huayabal</t>
        </is>
      </c>
      <c r="C13" s="6" t="inlineStr">
        <is>
          <t>Comunidad campesina</t>
        </is>
      </c>
      <c r="D13" s="7" t="inlineStr">
        <is>
          <t>Por verificar</t>
        </is>
      </c>
      <c r="E13" s="8" t="n"/>
      <c r="F13" s="8" t="n"/>
    </row>
    <row r="14">
      <c r="A14" s="6" t="inlineStr">
        <is>
          <t>Superficie de catálogo (V5/V6), ha</t>
        </is>
      </c>
      <c r="B14" s="7" t="n">
        <v>459.29</v>
      </c>
      <c r="C14" s="6" t="inlineStr">
        <is>
          <t>Fuente de superficie</t>
        </is>
      </c>
      <c r="D14" s="7" t="inlineStr">
        <is>
          <t>Catálogo maestro Bloques V5/V6</t>
        </is>
      </c>
      <c r="E14" s="8" t="n"/>
      <c r="F14" s="8" t="n"/>
    </row>
    <row r="15">
      <c r="A15" s="6" t="inlineStr">
        <is>
          <t>Centroide UTM ESTE (m)</t>
        </is>
      </c>
      <c r="B15" s="7" t="n">
        <v>606816</v>
      </c>
      <c r="C15" s="6" t="inlineStr">
        <is>
          <t>Centroide UTM NORTE (m)</t>
        </is>
      </c>
      <c r="D15" s="7" t="n">
        <v>9458469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951</v>
      </c>
      <c r="C19" s="6" t="inlineStr">
        <is>
          <t>Altitud máxima (msnm)</t>
        </is>
      </c>
      <c r="D19" s="7" t="n">
        <v>2173</v>
      </c>
      <c r="E19" s="8" t="n"/>
      <c r="F19" s="8" t="n"/>
    </row>
    <row r="20">
      <c r="A20" s="6" t="inlineStr">
        <is>
          <t>Amplitud altitudinal (m)</t>
        </is>
      </c>
      <c r="B20" s="7" t="n">
        <v>1222</v>
      </c>
      <c r="C20" s="6" t="inlineStr">
        <is>
          <t>Piso altitudinal dominante</t>
        </is>
      </c>
      <c r="D20" s="7" t="inlineStr">
        <is>
          <t>1500-2000 m (Quechua media)</t>
        </is>
      </c>
      <c r="E20" s="8" t="n"/>
      <c r="F20" s="8" t="n"/>
    </row>
    <row r="21">
      <c r="A21" s="6" t="inlineStr">
        <is>
          <t>Pendiente promedio (%)</t>
        </is>
      </c>
      <c r="B21" s="7" t="n">
        <v>29.52</v>
      </c>
      <c r="C21" s="6" t="inlineStr">
        <is>
          <t>Pendiente promedio (grados)</t>
        </is>
      </c>
      <c r="D21" s="7" t="n">
        <v>16.4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0.5677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(57.21 %)</t>
        </is>
      </c>
      <c r="E29" s="8" t="n"/>
      <c r="F29" s="8" t="n"/>
    </row>
    <row r="30">
      <c r="A30" s="6" t="inlineStr">
        <is>
          <t>Superficie clasificada NDVI 2025 (ha)</t>
        </is>
      </c>
      <c r="B30" s="7" t="n">
        <v>459.532</v>
      </c>
      <c r="C30" s="6" t="inlineStr">
        <is>
          <t>Desviación frente al catálogo (%)</t>
        </is>
      </c>
      <c r="D30" s="7" t="n">
        <v>0.05</v>
      </c>
      <c r="E30" s="8" t="n"/>
      <c r="F30" s="8" t="n"/>
    </row>
    <row r="31">
      <c r="A31" s="6" t="inlineStr">
        <is>
          <t>Superficie clasificada MSAVI 2024 (ha)</t>
        </is>
      </c>
      <c r="B31" s="37" t="n">
        <v>459.295</v>
      </c>
      <c r="C31" s="6" t="inlineStr">
        <is>
          <t>Desviación MSAVI frente al catálogo (%)</t>
        </is>
      </c>
      <c r="D31" s="38" t="n">
        <v>0</v>
      </c>
      <c r="E31" s="8" t="n"/>
      <c r="F31" s="8" t="n"/>
    </row>
    <row r="32">
      <c r="A32" s="6" t="inlineStr">
        <is>
          <t>Superficie bajo umbral MSAVI 0.4976 (ha)</t>
        </is>
      </c>
      <c r="B32" s="37" t="n">
        <v>133.481</v>
      </c>
      <c r="C32" s="6" t="inlineStr">
        <is>
          <t>% del bloque bajo umbral (brecha espectral)</t>
        </is>
      </c>
      <c r="D32" s="38" t="n">
        <v>29.06</v>
      </c>
      <c r="E32" s="8" t="n"/>
      <c r="F32" s="8" t="n"/>
    </row>
    <row r="33">
      <c r="A33" s="6" t="inlineStr">
        <is>
          <t>Clase DN dominante (MSAVI 2024)</t>
        </is>
      </c>
      <c r="B33" s="7" t="inlineStr">
        <is>
          <t>DN 4 · 0.4976 - 0.6139 (Vigor moderado)</t>
        </is>
      </c>
      <c r="C33" s="6" t="inlineStr">
        <is>
          <t>N.° de polígonos MSAVI del bloque</t>
        </is>
      </c>
      <c r="D33" s="39" t="n">
        <v>1561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49" t="inlineStr">
        <is>
          <t>434,20 (Zona agrícola; total bloque 459,29)</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≈85</t>
        </is>
      </c>
      <c r="E38" s="8" t="n"/>
      <c r="F38" s="8" t="n"/>
    </row>
    <row r="39">
      <c r="A39" s="6" t="inlineStr">
        <is>
          <t>Suelo desnudo — campo (%)</t>
        </is>
      </c>
      <c r="B39" s="7" t="inlineStr">
        <is>
          <t>≈10</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2026-06-26</t>
        </is>
      </c>
      <c r="E44" s="8" t="n"/>
      <c r="F44" s="8" t="n"/>
    </row>
    <row r="45">
      <c r="A45" s="6" t="inlineStr">
        <is>
          <t>Hora de registro</t>
        </is>
      </c>
      <c r="B45" s="7" t="inlineStr">
        <is>
          <t>11:15 a.m. - 1:34 p.m.</t>
        </is>
      </c>
      <c r="C45" s="6" t="inlineStr">
        <is>
          <t>Correlativo de ficha</t>
        </is>
      </c>
      <c r="D45" s="7" t="inlineStr">
        <is>
          <t>DT-B3-2026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Recorrido de reconocimiento</t>
        </is>
      </c>
      <c r="E47" s="8" t="n"/>
      <c r="F47" s="8" t="n"/>
    </row>
    <row r="48">
      <c r="A48" s="6" t="inlineStr">
        <is>
          <t>Estaciones fotográficas georreferenciadas</t>
        </is>
      </c>
      <c r="B48" s="7" t="n">
        <v>15</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150.8762</v>
      </c>
      <c r="C10" s="19">
        <f>ROUND(B10/$B$15*100,2)</f>
        <v/>
      </c>
      <c r="D10" s="11" t="inlineStr">
        <is>
          <t>Vigor alto</t>
        </is>
      </c>
      <c r="E10" s="11" t="inlineStr">
        <is>
          <t>Sobre umbral</t>
        </is>
      </c>
    </row>
    <row r="11">
      <c r="A11" s="12" t="inlineStr">
        <is>
          <t>0.4976 - 0.6139 · DN 4</t>
        </is>
      </c>
      <c r="B11" s="30" t="n">
        <v>174.9372</v>
      </c>
      <c r="C11" s="29">
        <f>ROUND(B11/$B$15*100,2)</f>
        <v/>
      </c>
      <c r="D11" s="13" t="inlineStr">
        <is>
          <t>Vigor moderado</t>
        </is>
      </c>
      <c r="E11" s="13" t="inlineStr">
        <is>
          <t>Sobre umbral</t>
        </is>
      </c>
    </row>
    <row r="12">
      <c r="A12" s="7" t="inlineStr">
        <is>
          <t>0.3813 - 0.4976 · DN 3</t>
        </is>
      </c>
      <c r="B12" s="18" t="n">
        <v>127.8584</v>
      </c>
      <c r="C12" s="19">
        <f>ROUND(B12/$B$15*100,2)</f>
        <v/>
      </c>
      <c r="D12" s="11" t="inlineStr">
        <is>
          <t>Vigor bajo</t>
        </is>
      </c>
      <c r="E12" s="11" t="inlineStr">
        <is>
          <t>BAJO umbral 0.4976</t>
        </is>
      </c>
    </row>
    <row r="13">
      <c r="A13" s="14" t="inlineStr">
        <is>
          <t>0.2650 - 0.3813 · DN 2</t>
        </is>
      </c>
      <c r="B13" s="20" t="n">
        <v>5.6207</v>
      </c>
      <c r="C13" s="21">
        <f>ROUND(B13/$B$15*100,2)</f>
        <v/>
      </c>
      <c r="D13" s="15" t="inlineStr">
        <is>
          <t>Vigor muy bajo</t>
        </is>
      </c>
      <c r="E13" s="15" t="inlineStr">
        <is>
          <t>BAJO umbral 0.4976</t>
        </is>
      </c>
    </row>
    <row r="14">
      <c r="A14" s="7" t="inlineStr">
        <is>
          <t>&lt;= 0.2650 · DN 1</t>
        </is>
      </c>
      <c r="B14" s="18" t="n">
        <v>0.0022</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1 561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459.29</v>
      </c>
      <c r="C18" s="48" t="inlineStr">
        <is>
          <t>—</t>
        </is>
      </c>
      <c r="D18" s="45" t="inlineStr">
        <is>
          <t>Desviación planimétrica frente al catálogo</t>
        </is>
      </c>
      <c r="E18" s="45" t="inlineStr">
        <is>
          <t>+0.00 %</t>
        </is>
      </c>
    </row>
    <row r="19">
      <c r="A19" s="16" t="inlineStr">
        <is>
          <t>MSAVI 2024 — MEDIA DEL BLOQUE</t>
        </is>
      </c>
      <c r="B19" s="17" t="n">
        <v>0.567707</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1 561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(0.5677)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262.8806</v>
      </c>
      <c r="C25" s="19" t="n">
        <v>57.21</v>
      </c>
      <c r="D25" s="11" t="inlineStr">
        <is>
          <t>Dosel continuo, matorral denso o mosaico agroforestal</t>
        </is>
      </c>
      <c r="E25" s="11" t="inlineStr"/>
    </row>
    <row r="26">
      <c r="A26" s="14" t="inlineStr">
        <is>
          <t>Vegetación mediana</t>
        </is>
      </c>
      <c r="B26" s="20" t="n">
        <v>189.5765</v>
      </c>
      <c r="C26" s="21" t="n">
        <v>41.25</v>
      </c>
      <c r="D26" s="15" t="inlineStr">
        <is>
          <t>Pastizal cultivado, matorral ralo, parcelas agrícolas</t>
        </is>
      </c>
      <c r="E26" s="15" t="inlineStr"/>
    </row>
    <row r="27">
      <c r="A27" s="7" t="inlineStr">
        <is>
          <t>Vegetación ligera</t>
        </is>
      </c>
      <c r="B27" s="18" t="n">
        <v>7.0266</v>
      </c>
      <c r="C27" s="19" t="n">
        <v>1.53</v>
      </c>
      <c r="D27" s="11" t="inlineStr">
        <is>
          <t>Cobertura discontinua, suelo parcialmente expuesto</t>
        </is>
      </c>
      <c r="E27" s="11" t="inlineStr"/>
    </row>
    <row r="28">
      <c r="A28" s="14" t="inlineStr">
        <is>
          <t>Tierra desnuda</t>
        </is>
      </c>
      <c r="B28" s="20" t="n">
        <v>0.0486</v>
      </c>
      <c r="C28" s="21" t="n">
        <v>0.01</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459.29</v>
      </c>
      <c r="C30" s="25" t="inlineStr">
        <is>
          <t>—</t>
        </is>
      </c>
      <c r="D30" s="25" t="inlineStr">
        <is>
          <t>Desviación planimétrica frente al catálogo</t>
        </is>
      </c>
      <c r="E30" s="25" t="inlineStr">
        <is>
          <t>+0.05 %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t>
        </is>
      </c>
    </row>
    <row r="6" ht="24" customHeight="1">
      <c r="A6" s="4" t="inlineStr">
        <is>
          <t>Levantamiento del 2026-06-26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605299</v>
      </c>
      <c r="D10" s="26" t="n">
        <v>9458681</v>
      </c>
      <c r="E10" s="11" t="n">
        <v>1531.7</v>
      </c>
      <c r="F10" s="11" t="inlineStr"/>
      <c r="G10" s="11" t="inlineStr">
        <is>
          <t>Coordenada consignada en F-DT-01</t>
        </is>
      </c>
    </row>
    <row r="11">
      <c r="A11" s="14" t="inlineStr">
        <is>
          <t>C-01</t>
        </is>
      </c>
      <c r="B11" s="15" t="inlineStr">
        <is>
          <t>Rasgo erosivo — Cárcava incipiente (30-50 cm)</t>
        </is>
      </c>
      <c r="C11" s="27" t="n">
        <v>607136</v>
      </c>
      <c r="D11" s="27" t="n">
        <v>9459234</v>
      </c>
      <c r="E11" s="15" t="n">
        <v>829.2</v>
      </c>
      <c r="F11" s="15" t="inlineStr">
        <is>
          <t>Activa</t>
        </is>
      </c>
      <c r="G11" s="15" t="inlineStr">
        <is>
          <t>Caminos / huellas de ganado</t>
        </is>
      </c>
    </row>
    <row r="12">
      <c r="A12" s="7" t="inlineStr">
        <is>
          <t>C-02</t>
        </is>
      </c>
      <c r="B12" s="11" t="inlineStr">
        <is>
          <t>Rasgo erosivo — Surco (&lt;30 cm)</t>
        </is>
      </c>
      <c r="C12" s="26" t="n">
        <v>607148</v>
      </c>
      <c r="D12" s="26" t="n">
        <v>9459234</v>
      </c>
      <c r="E12" s="11" t="n">
        <v>833.9</v>
      </c>
      <c r="F12" s="11" t="inlineStr">
        <is>
          <t>Activa</t>
        </is>
      </c>
      <c r="G12" s="11" t="inlineStr">
        <is>
          <t>Caminos / huellas de ganado</t>
        </is>
      </c>
    </row>
    <row r="13">
      <c r="A13" s="14" t="inlineStr">
        <is>
          <t>H-01</t>
        </is>
      </c>
      <c r="B13" s="15" t="inlineStr">
        <is>
          <t>Fuente de agua — Quebrada estacional</t>
        </is>
      </c>
      <c r="C13" s="27" t="n">
        <v>606000</v>
      </c>
      <c r="D13" s="27" t="n">
        <v>9459000</v>
      </c>
      <c r="E13" s="15" t="n">
        <v>973.6</v>
      </c>
      <c r="F13" s="15" t="inlineStr">
        <is>
          <t>Estacional (lluvias)</t>
        </is>
      </c>
      <c r="G13" s="15" t="inlineStr">
        <is>
          <t>Quebrada tributaria</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606816</v>
      </c>
      <c r="C16" s="6" t="inlineStr">
        <is>
          <t>Centroide del bloque — UTM NORTE (m)</t>
        </is>
      </c>
      <c r="D16" s="7" t="n">
        <v>9458469</v>
      </c>
      <c r="E16" s="8" t="n"/>
      <c r="F16" s="8" t="n"/>
      <c r="G16" s="8" t="n"/>
      <c r="H16" s="8" t="n"/>
    </row>
    <row r="17">
      <c r="A17" s="6" t="inlineStr">
        <is>
          <t>N.° de estaciones fotográficas declaradas</t>
        </is>
      </c>
      <c r="B17" s="7" t="n">
        <v>15</v>
      </c>
      <c r="C17" s="6" t="inlineStr">
        <is>
          <t>Estaciones dentro del polígono</t>
        </is>
      </c>
      <c r="D17" s="7" t="inlineStr">
        <is>
          <t>Por determinar</t>
        </is>
      </c>
      <c r="E17" s="8" t="n"/>
      <c r="F17" s="8" t="n"/>
      <c r="G17" s="8" t="n"/>
      <c r="H17" s="8" t="n"/>
    </row>
    <row r="19" ht="108"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Rango altitudinal observado 1328-1803 msnm (perfil Google Earth, 1.47 km; pendiente media 31.9%, máx 46.4%). La app fotográfica no registró altitud GPS. Un registro presentó coordenada anómala (17M 539535 9428686), descartada. Escarpes/erosión localizados en taludes de camino y sendas de ganado, no en superficie natural.</t>
        </is>
      </c>
      <c r="B19" s="40" t="n"/>
      <c r="C19" s="40" t="n"/>
      <c r="D19" s="40" t="n"/>
      <c r="E19" s="40" t="n"/>
      <c r="F19" s="40" t="n"/>
      <c r="G19" s="41"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C1096-Q9545 — BLOQUE 3</t>
        </is>
      </c>
    </row>
    <row r="6" ht="24" customHeight="1">
      <c r="A6" s="4" t="inlineStr">
        <is>
          <t>Distrito de Frias · Provincia de Ayabaca · Comparación de los bloques preliminares de intervención de la misma microcuenca</t>
        </is>
      </c>
    </row>
    <row r="8" ht="18" customHeight="1">
      <c r="A8" s="5" t="inlineStr">
        <is>
          <t>BLOQUES DE LA MICROCUENCA C1096-Q9545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3</t>
        </is>
      </c>
      <c r="B10" s="28" t="n">
        <v>459.29</v>
      </c>
      <c r="C10" s="29" t="n">
        <v>56.38</v>
      </c>
      <c r="D10" s="13" t="inlineStr">
        <is>
          <t>951 – 2173</t>
        </is>
      </c>
      <c r="E10" s="13" t="n">
        <v>1222</v>
      </c>
      <c r="F10" s="13" t="n">
        <v>29.52</v>
      </c>
      <c r="G10" s="30" t="n">
        <v>0.5677</v>
      </c>
      <c r="H10" s="29" t="n">
        <v>57.21</v>
      </c>
      <c r="I10" s="29" t="n">
        <v>29.06</v>
      </c>
    </row>
    <row r="11">
      <c r="A11" s="14" t="inlineStr">
        <is>
          <t>M9B1</t>
        </is>
      </c>
      <c r="B11" s="31" t="n">
        <v>355.36</v>
      </c>
      <c r="C11" s="21" t="n">
        <v>43.62</v>
      </c>
      <c r="D11" s="15" t="inlineStr">
        <is>
          <t>147 – 265</t>
        </is>
      </c>
      <c r="E11" s="15" t="n">
        <v>118</v>
      </c>
      <c r="F11" s="15" t="n">
        <v>10.17</v>
      </c>
      <c r="G11" s="20" t="n">
        <v>0.3143</v>
      </c>
      <c r="H11" s="21" t="n">
        <v>0.15</v>
      </c>
      <c r="I11" s="21" t="n">
        <v>99.33</v>
      </c>
    </row>
    <row r="12">
      <c r="A12" s="16" t="inlineStr">
        <is>
          <t>TOTAL / PROMEDIO</t>
        </is>
      </c>
      <c r="B12" s="32">
        <f>SUM(B10:B11)</f>
        <v/>
      </c>
      <c r="C12" s="23">
        <f>SUM(C10:C11)</f>
        <v/>
      </c>
      <c r="D12" s="17" t="inlineStr">
        <is>
          <t>147 – 2173</t>
        </is>
      </c>
      <c r="E12" s="17" t="inlineStr"/>
      <c r="F12" s="17">
        <f>ROUND(AVERAGE(F10:F11),2)</f>
        <v/>
      </c>
      <c r="G12" s="22">
        <f>ROUND(AVERAGE(G10:G11),4)</f>
        <v/>
      </c>
      <c r="H12" s="23">
        <f>ROUND(AVERAGE(H10:H11),2)</f>
        <v/>
      </c>
      <c r="I12" s="23">
        <f>ROUND(AVERAGE(I10:I11),2)</f>
        <v/>
      </c>
    </row>
    <row r="14" ht="84" customHeight="1">
      <c r="A14" s="9" t="inlineStr">
        <is>
          <t>LECTURA INTRAMICROCUENCA. El bloque 3 ocupa el puesto 1 de 2 por superficie dentro de la microcuenca C1096-Q9545 (56.38 % de las 814.65 ha preliminares de la microcuenca). Su pendiente promedio (29.52 %, clase «25-50% (Mod. escarpado)») es la 2.ª más baja de 2 y se sitúa por encima del promedio de la microcuenca (19.84 %). Su MSAVI 2024 (0.5677) es el 1.º de 2 y queda por encima del promedio local (0.4410). Amplitud altitudinal del bloque: 1222 m (951–2173 msnm). El cuadro conserva todos los bloques catalogados en la microcuenca, incluidos los descartados en el tamizaje, para referencia del conjunto. Los bloques sin ficha DT figuran con sus parámetros de gabinete. BRECHA ESPECTRAL. El 29.06 % de la superficie del bloque (133.481 ha de 459.295 ha) se sitúa bajo el umbral MSAVI 0.4976, por debajo del promedio local de la microcuenca (64.20 %) calculado sobre los bloques con dato MSAVI disponible.</t>
        </is>
      </c>
      <c r="B14" s="40" t="n"/>
      <c r="C14" s="40" t="n"/>
      <c r="D14" s="40" t="n"/>
      <c r="E14" s="40" t="n"/>
      <c r="F14" s="40" t="n"/>
      <c r="G14" s="40" t="n"/>
      <c r="H14" s="40" t="n"/>
      <c r="I14" s="41"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0" t="n"/>
      <c r="I16" s="41"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3</t>
        </is>
      </c>
    </row>
    <row r="6">
      <c r="A6" s="51" t="inlineStr">
        <is>
          <t>Cruce de la ficha de campo F-DT vigente con la ficha de resumen de gabinete y el catálogo maestro. Integración 2026-09-11 21:26:25.</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«C1096-Q9545».</t>
        </is>
      </c>
      <c r="D9" s="55" t="inlineStr">
        <is>
          <t>CONFORME</t>
        </is>
      </c>
      <c r="E9" s="55" t="inlineStr">
        <is>
          <t>Sin acción.</t>
        </is>
      </c>
    </row>
    <row r="10">
      <c r="A10" s="56" t="inlineStr">
        <is>
          <t>G-02</t>
        </is>
      </c>
      <c r="B10" s="56" t="inlineStr">
        <is>
          <t>UTM del punto de muestreo</t>
        </is>
      </c>
      <c r="C10" s="56" t="inlineStr">
        <is>
          <t>El punto de muestreo declarado dista 1531.7 m del centroide del bloque, por encima del radio de control de 1500 m.</t>
        </is>
      </c>
      <c r="D10" s="56" t="inlineStr">
        <is>
          <t>NO SUSTANTIVA</t>
        </is>
      </c>
      <c r="E10" s="56" t="inlineStr">
        <is>
          <t>Se verifica en gabinete si la estación cae dentro del polígono; el dato de campo se conserva como referencia de acceso.</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(459.532 ha) se desvía 0.05 % de la superficie de catálogo (459.29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(459.295 ha) se desvía 0.00 % de la superficie de catálogo (459.29 ha).</t>
        </is>
      </c>
      <c r="D14" s="56" t="inlineStr">
        <is>
          <t>CONFORME</t>
        </is>
      </c>
      <c r="E14" s="56" t="inlineStr">
        <is>
          <t>Sin acción: la segmentación valida la geometría del bloque.</t>
        </is>
      </c>
    </row>
    <row r="15">
      <c r="A15" s="55" t="inlineStr">
        <is>
          <t>G-07</t>
        </is>
      </c>
      <c r="B15" s="55" t="inlineStr">
        <is>
          <t>Brecha espectral MSAVI</t>
        </is>
      </c>
      <c r="C15" s="55" t="inlineStr">
        <is>
          <t>El 29.06 % del bloque queda bajo el umbral 0.4976; superficie de brecha 133.48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459.29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(0.5677) cae en la clase «0.4976 - 0.6139 (Vigor moderado)» y la clase DN dominante por superficie es «DN 4 · 0.4976 - 0.6139 (Vigor moderado)».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Superficie de ecosistema (ha)</t>
        </is>
      </c>
      <c r="C19" s="55" t="inlineStr">
        <is>
          <t>El libro de resumen V6 consignaba «434.20 ha Zona agrícola (total bloque 459.29 ha)»; la ficha de campo vigente declara «434,20 (Zona agrícola; total bloque 459,29)».</t>
        </is>
      </c>
      <c r="D19" s="55" t="inlineStr">
        <is>
          <t>CORREGIDO</t>
        </is>
      </c>
      <c r="E19" s="55" t="inlineStr">
        <is>
          <t>Se adopta el valor de campo por ser la fuente que manda sobre el dato y la más reciente. El valor anterior queda declarado para trazabilidad.</t>
        </is>
      </c>
    </row>
    <row r="20">
      <c r="A20" s="56" t="inlineStr">
        <is>
          <t>F-01</t>
        </is>
      </c>
      <c r="B20" s="56" t="inlineStr">
        <is>
          <t>Fichas F-DT levantadas</t>
        </is>
      </c>
      <c r="C20" s="56" t="inlineStr">
        <is>
          <t>La plantilla de campo trae las cinco fichas F-DT-01 a F-DT-05 (completitud 92.9 % de los campos esperados).</t>
        </is>
      </c>
      <c r="D20" s="56" t="inlineStr">
        <is>
          <t>CONFORME</t>
        </is>
      </c>
      <c r="E20" s="56" t="inlineStr">
        <is>
          <t>Sin acción.</t>
        </is>
      </c>
    </row>
    <row r="21">
      <c r="A21" s="55" t="inlineStr">
        <is>
          <t>F-02</t>
        </is>
      </c>
      <c r="B21" s="55" t="inlineStr">
        <is>
          <t>Cobertura de la integración</t>
        </is>
      </c>
      <c r="C21" s="55" t="inlineStr">
        <is>
          <t>Se declararon 96 de 114 hechos integrados (84.2 %); 18 quedan sin dato en ninguna fuente.</t>
        </is>
      </c>
      <c r="D21" s="55" t="inlineStr">
        <is>
          <t>CONFORME</t>
        </is>
      </c>
      <c r="E21" s="55" t="inlineStr">
        <is>
          <t>Sin acción.</t>
        </is>
      </c>
    </row>
    <row r="22">
      <c r="A22" s="56" t="inlineStr">
        <is>
          <t>H-01</t>
        </is>
      </c>
      <c r="B22" s="56" t="inlineStr">
        <is>
          <t>Dimensiones del inventario de cárcavas</t>
        </is>
      </c>
      <c r="C22" s="56" t="inlineStr">
        <is>
          <t>Se registran 2 rasgos erosivos, pero longitud, profundidad y ancho no fueron medidos instrumentalmente</t>
        </is>
      </c>
      <c r="D22" s="56" t="inlineStr">
        <is>
          <t>NO SUSTANTIVA</t>
        </is>
      </c>
      <c r="E22" s="56" t="inlineStr">
        <is>
          <t>El conteo registrado no debe usarse para calcular densidad de cárcavas por hectárea. Pendiente de levantamiento con GPS submétrico. (Verificación heredada de la ficha de resumen V6.)</t>
        </is>
      </c>
    </row>
    <row r="23">
      <c r="A23" s="55" t="inlineStr">
        <is>
          <t>H-02</t>
        </is>
      </c>
      <c r="B23" s="55" t="inlineStr">
        <is>
          <t>Elenco florístico</t>
        </is>
      </c>
      <c r="C23" s="55" t="inlineStr">
        <is>
          <t>La ficha registra 11 taxones, por debajo del mínimo de 15 que exige el formato V5</t>
        </is>
      </c>
      <c r="D23" s="55" t="inlineStr">
        <is>
          <t>SUSTANTIVA</t>
        </is>
      </c>
      <c r="E23" s="55" t="inlineStr">
        <is>
          <t>Registro florístico preliminar, sin colecta ni determinación botánica formal. Debe cerrarse con colecta botánica en la siguiente campaña. (Verificación heredada de la ficha de resumen V6.)</t>
        </is>
      </c>
    </row>
    <row r="24">
      <c r="A24" s="56" t="inlineStr">
        <is>
          <t>H-03</t>
        </is>
      </c>
      <c r="B24" s="56" t="inlineStr">
        <is>
          <t>Centro poblado asociado</t>
        </is>
      </c>
      <c r="C24" s="56" t="inlineStr">
        <is>
          <t>La ficha DT declara «Huayabal»; el cruce INEI-Bloques V5 identifica 5 centro(s) poblado(s) en el bloque: EL MIRADOR, HUASIPE DE GERALDO, HUAYABAL, LOS CHECCHES, RINCON DE GERALDO</t>
        </is>
      </c>
      <c r="D24" s="56" t="inlineStr">
        <is>
          <t>CONFORME</t>
        </is>
      </c>
      <c r="E24" s="56" t="inlineStr">
        <is>
          <t>Se conserva el registro de campo como referencia y se adopta el listado INEI para el diagnóstico social y el cálculo de población beneficiaria. (Verificación heredada de la ficha de resumen V6.)</t>
        </is>
      </c>
    </row>
    <row r="26">
      <c r="A26" s="57" t="inlineStr">
        <is>
          <t>RESUMEN</t>
        </is>
      </c>
      <c r="B26" s="58" t="inlineStr">
        <is>
          <t>16 verificaciones</t>
        </is>
      </c>
      <c r="C26" s="58" t="inlineStr">
        <is>
          <t>SUSTANTIVA: 2 · NO SUSTANTIVA: 3 · CORREGIDO: 1 · CONFORME: 10</t>
        </is>
      </c>
    </row>
    <row r="28">
      <c r="A28"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3</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5. Ecosistema, cobertura y flora (F-DT-03)</t>
        </is>
      </c>
      <c r="B9" s="55" t="inlineStr">
        <is>
          <t>Superficie de ecosistema (ha)</t>
        </is>
      </c>
      <c r="C9" s="55" t="inlineStr">
        <is>
          <t>434.20 ha Zona agrícola (total bloque 459.29 ha)</t>
        </is>
      </c>
      <c r="D9" s="55" t="inlineStr">
        <is>
          <t>434,20 (Zona agrícola; total bloque 459,29)</t>
        </is>
      </c>
      <c r="E9" s="55" t="inlineStr">
        <is>
          <t>Dato de campo</t>
        </is>
      </c>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605299</t>
        </is>
      </c>
      <c r="D13" s="55" t="inlineStr">
        <is>
          <t>m</t>
        </is>
      </c>
    </row>
    <row r="14">
      <c r="A14" s="56" t="inlineStr">
        <is>
          <t>1. Identificación y localización</t>
        </is>
      </c>
      <c r="B14" s="56" t="inlineStr">
        <is>
          <t>UTM NORTE del punto de muestreo (m)</t>
        </is>
      </c>
      <c r="C14" s="56" t="inlineStr">
        <is>
          <t>9458681</t>
        </is>
      </c>
      <c r="D14" s="56" t="inlineStr">
        <is>
          <t>m</t>
        </is>
      </c>
    </row>
    <row r="15">
      <c r="A15" s="55" t="inlineStr">
        <is>
          <t>2. Parámetros físicos del terreno</t>
        </is>
      </c>
      <c r="B15" s="55" t="inlineStr">
        <is>
          <t>Piso altitudinal del punto de muestreo</t>
        </is>
      </c>
      <c r="C15" s="55" t="inlineStr">
        <is>
          <t>1500-2000 m (Quechua media)</t>
        </is>
      </c>
      <c r="D15" s="55" t="inlineStr"/>
    </row>
    <row r="16">
      <c r="A16" s="56" t="inlineStr">
        <is>
          <t>2. Parámetros físicos del terreno</t>
        </is>
      </c>
      <c r="B16" s="56" t="inlineStr">
        <is>
          <t>Paisaje dominante descrito en campo</t>
        </is>
      </c>
      <c r="C16" s="56" t="inlineStr">
        <is>
          <t>Mosaico agropecuario de ladera montañosa con neblina frecuente; relictos de bosque, cañaverales de Guadua y árboles con abundantes epífitas; pastos cultivados, maíz y viviendas rurales dispersas.</t>
        </is>
      </c>
      <c r="D16" s="56" t="inlineStr"/>
    </row>
    <row r="17">
      <c r="A17" s="55" t="inlineStr">
        <is>
          <t>2. Parámetros físicos del terreno</t>
        </is>
      </c>
      <c r="B17" s="55" t="inlineStr">
        <is>
          <t>Reptación de suelo</t>
        </is>
      </c>
      <c r="C17" s="55" t="inlineStr">
        <is>
          <t>No</t>
        </is>
      </c>
      <c r="D17" s="55" t="inlineStr"/>
    </row>
    <row r="18">
      <c r="A18" s="56" t="inlineStr">
        <is>
          <t>2. Parámetros físicos del terreno</t>
        </is>
      </c>
      <c r="B18" s="56" t="inlineStr">
        <is>
          <t>Deslizamientos antiguos</t>
        </is>
      </c>
      <c r="C18" s="56" t="inlineStr">
        <is>
          <t>No</t>
        </is>
      </c>
      <c r="D18" s="56" t="inlineStr"/>
    </row>
    <row r="19">
      <c r="A19" s="55" t="inlineStr">
        <is>
          <t>4. Suelos y erosión (F-DT-02)</t>
        </is>
      </c>
      <c r="B19" s="55" t="inlineStr">
        <is>
          <t>Nivel de erosión - síntesis de campo</t>
        </is>
      </c>
      <c r="C19" s="55" t="inlineStr">
        <is>
          <t>Moderada (surcos)</t>
        </is>
      </c>
      <c r="D19" s="55" t="inlineStr"/>
    </row>
    <row r="20">
      <c r="A20" s="56" t="inlineStr">
        <is>
          <t>4. Suelos y erosión (F-DT-02)</t>
        </is>
      </c>
      <c r="B20" s="56" t="inlineStr">
        <is>
          <t>Sellamiento / costra superficial</t>
        </is>
      </c>
      <c r="C20" s="56" t="inlineStr">
        <is>
          <t>No</t>
        </is>
      </c>
      <c r="D20" s="56" t="inlineStr"/>
    </row>
    <row r="21">
      <c r="A21" s="55" t="inlineStr">
        <is>
          <t>4. Suelos y erosión (F-DT-02)</t>
        </is>
      </c>
      <c r="B21" s="55" t="inlineStr">
        <is>
          <t>Compactación por pisoteo</t>
        </is>
      </c>
      <c r="C21" s="55" t="inlineStr">
        <is>
          <t>Sí</t>
        </is>
      </c>
      <c r="D21" s="55" t="inlineStr"/>
    </row>
    <row r="22">
      <c r="A22" s="56" t="inlineStr">
        <is>
          <t>4. Suelos y erosión (F-DT-02)</t>
        </is>
      </c>
      <c r="B22" s="56" t="inlineStr">
        <is>
          <t>Raíces expuestas</t>
        </is>
      </c>
      <c r="C22" s="56" t="inlineStr">
        <is>
          <t>Sí</t>
        </is>
      </c>
      <c r="D22" s="56" t="inlineStr"/>
    </row>
    <row r="23">
      <c r="A23" s="55" t="inlineStr">
        <is>
          <t>4. Suelos y erosión (F-DT-02)</t>
        </is>
      </c>
      <c r="B23" s="55" t="inlineStr">
        <is>
          <t>Erosión laminar (% del bloque)</t>
        </is>
      </c>
      <c r="C23" s="55" t="inlineStr">
        <is>
          <t>≈10 (ocular)</t>
        </is>
      </c>
      <c r="D23" s="55" t="inlineStr">
        <is>
          <t>%</t>
        </is>
      </c>
    </row>
    <row r="24">
      <c r="A24" s="56" t="inlineStr">
        <is>
          <t>4. Suelos y erosión (F-DT-02)</t>
        </is>
      </c>
      <c r="B24" s="56" t="inlineStr">
        <is>
          <t>Patrón de cárcavas</t>
        </is>
      </c>
      <c r="C24" s="56" t="inlineStr">
        <is>
          <t>Aislado</t>
        </is>
      </c>
      <c r="D24" s="56" t="inlineStr"/>
    </row>
    <row r="25">
      <c r="A25" s="55" t="inlineStr">
        <is>
          <t>4. Suelos y erosión (F-DT-02)</t>
        </is>
      </c>
      <c r="B25" s="55" t="inlineStr">
        <is>
          <t>Socavamiento de cauce</t>
        </is>
      </c>
      <c r="C25" s="55" t="inlineStr">
        <is>
          <t>No</t>
        </is>
      </c>
      <c r="D25" s="55" t="inlineStr"/>
    </row>
    <row r="26">
      <c r="A26" s="56" t="inlineStr">
        <is>
          <t>5. Ecosistema, cobertura y flora (F-DT-03)</t>
        </is>
      </c>
      <c r="B26" s="56" t="inlineStr">
        <is>
          <t>Cobertura del dosel (%)</t>
        </is>
      </c>
      <c r="C26" s="56" t="inlineStr">
        <is>
          <t>≈30</t>
        </is>
      </c>
      <c r="D26" s="56" t="inlineStr">
        <is>
          <t>%</t>
        </is>
      </c>
    </row>
    <row r="27">
      <c r="A27" s="55" t="inlineStr">
        <is>
          <t>5. Ecosistema, cobertura y flora (F-DT-03)</t>
        </is>
      </c>
      <c r="B27" s="55" t="inlineStr">
        <is>
          <t>Cobertura arbustiva (%)</t>
        </is>
      </c>
      <c r="C27" s="55" t="inlineStr">
        <is>
          <t>≈20</t>
        </is>
      </c>
      <c r="D27" s="55" t="inlineStr">
        <is>
          <t>%</t>
        </is>
      </c>
    </row>
    <row r="28">
      <c r="A28" s="56" t="inlineStr">
        <is>
          <t>5. Ecosistema, cobertura y flora (F-DT-03)</t>
        </is>
      </c>
      <c r="B28" s="56" t="inlineStr">
        <is>
          <t>Cobertura herbácea (%)</t>
        </is>
      </c>
      <c r="C28" s="56" t="inlineStr">
        <is>
          <t>≈40</t>
        </is>
      </c>
      <c r="D28" s="56" t="inlineStr">
        <is>
          <t>%</t>
        </is>
      </c>
    </row>
    <row r="29">
      <c r="A29" s="55" t="inlineStr">
        <is>
          <t>5. Ecosistema, cobertura y flora (F-DT-03)</t>
        </is>
      </c>
      <c r="B29" s="55" t="inlineStr">
        <is>
          <t>Cobertura de hojarasca (%)</t>
        </is>
      </c>
      <c r="C29" s="55" t="inlineStr">
        <is>
          <t>≈10</t>
        </is>
      </c>
      <c r="D29" s="55" t="inlineStr">
        <is>
          <t>%</t>
        </is>
      </c>
    </row>
    <row r="30">
      <c r="A30" s="56" t="inlineStr">
        <is>
          <t>5. Ecosistema, cobertura y flora (F-DT-03)</t>
        </is>
      </c>
      <c r="B30" s="56" t="inlineStr">
        <is>
          <t>Presencia de epífitas</t>
        </is>
      </c>
      <c r="C30" s="56" t="inlineStr">
        <is>
          <t>Sí</t>
        </is>
      </c>
      <c r="D30" s="56" t="inlineStr"/>
    </row>
    <row r="31">
      <c r="A31" s="55" t="inlineStr">
        <is>
          <t>5. Ecosistema, cobertura y flora (F-DT-03)</t>
        </is>
      </c>
      <c r="B31" s="55" t="inlineStr">
        <is>
          <t>Fenología dominante</t>
        </is>
      </c>
      <c r="C31" s="55" t="inlineStr">
        <is>
          <t>Vegetativo</t>
        </is>
      </c>
      <c r="D31" s="55" t="inlineStr"/>
    </row>
    <row r="32">
      <c r="A32" s="56" t="inlineStr">
        <is>
          <t>5. Ecosistema, cobertura y flora (F-DT-03)</t>
        </is>
      </c>
      <c r="B32" s="56" t="inlineStr">
        <is>
          <t>Especies clave georreferenciadas</t>
        </is>
      </c>
      <c r="C32" s="56" t="inlineStr">
        <is>
          <t>5</t>
        </is>
      </c>
      <c r="D32" s="56" t="inlineStr"/>
    </row>
    <row r="33">
      <c r="A33" s="55" t="inlineStr">
        <is>
          <t>6. Degradación, causas y urgencia (F-DT-04)</t>
        </is>
      </c>
      <c r="B33" s="55" t="inlineStr">
        <is>
          <t>Causas directas de la degradación</t>
        </is>
      </c>
      <c r="C33" s="55" t="inlineStr">
        <is>
          <t>Sobrepastoreo y conversión de cobertura a pastos cultivados y parcelas de maíz en ladera; presión menor por caminos de herradura, viviendas rurales y plantación de eucalipto.</t>
        </is>
      </c>
      <c r="D33" s="55" t="inlineStr"/>
    </row>
    <row r="34">
      <c r="A34" s="56" t="inlineStr">
        <is>
          <t>6. Degradación, causas y urgencia (F-DT-04)</t>
        </is>
      </c>
      <c r="B34" s="56" t="inlineStr">
        <is>
          <t>N.° de causas activas en la matriz F-DT-04</t>
        </is>
      </c>
      <c r="C34" s="56" t="inlineStr">
        <is>
          <t>6</t>
        </is>
      </c>
      <c r="D34" s="56" t="inlineStr"/>
    </row>
    <row r="35">
      <c r="A35" s="55" t="inlineStr">
        <is>
          <t>7. Hidrología, acceso y logística (F-DT-05)</t>
        </is>
      </c>
      <c r="B35" s="55" t="inlineStr">
        <is>
          <t>Escorrentía concentrada</t>
        </is>
      </c>
      <c r="C35" s="55" t="inlineStr">
        <is>
          <t>Sí</t>
        </is>
      </c>
      <c r="D35" s="55" t="inlineStr"/>
    </row>
    <row r="36">
      <c r="A36" s="56" t="inlineStr">
        <is>
          <t>7. Hidrología, acceso y logística (F-DT-05)</t>
        </is>
      </c>
      <c r="B36" s="56" t="inlineStr">
        <is>
          <t>Fuentes de agua inventariadas</t>
        </is>
      </c>
      <c r="C36" s="56" t="inlineStr">
        <is>
          <t>1</t>
        </is>
      </c>
      <c r="D36" s="56" t="inlineStr"/>
    </row>
    <row r="37">
      <c r="A37" s="55" t="inlineStr">
        <is>
          <t>7. Hidrología, acceso y logística (F-DT-05)</t>
        </is>
      </c>
      <c r="B37" s="55" t="inlineStr">
        <is>
          <t>Interferencia con riego</t>
        </is>
      </c>
      <c r="C37" s="55" t="inlineStr">
        <is>
          <t>No</t>
        </is>
      </c>
      <c r="D37" s="55" t="inlineStr"/>
    </row>
    <row r="38">
      <c r="A38" s="56" t="inlineStr">
        <is>
          <t>7. Hidrología, acceso y logística (F-DT-05)</t>
        </is>
      </c>
      <c r="B38" s="56" t="inlineStr">
        <is>
          <t>Vía principal de acceso</t>
        </is>
      </c>
      <c r="C38" s="56" t="inlineStr">
        <is>
          <t>Trocha carrozable (desde Frías hacia CC.PP. Huayabal / Los Checches) + camino de herradura</t>
        </is>
      </c>
      <c r="D38" s="56" t="inlineStr"/>
    </row>
    <row r="39">
      <c r="A39" s="55" t="inlineStr">
        <is>
          <t>7. Hidrología, acceso y logística (F-DT-05)</t>
        </is>
      </c>
      <c r="B39" s="55" t="inlineStr">
        <is>
          <t>Tipo de vía del tramo final</t>
        </is>
      </c>
      <c r="C39" s="55" t="inlineStr">
        <is>
          <t>Camino de herradura</t>
        </is>
      </c>
      <c r="D39" s="55" t="inlineStr"/>
    </row>
    <row r="40">
      <c r="A40" s="56" t="inlineStr">
        <is>
          <t>7. Hidrología, acceso y logística (F-DT-05)</t>
        </is>
      </c>
      <c r="B40" s="56" t="inlineStr">
        <is>
          <t>Transitabilidad en época seca</t>
        </is>
      </c>
      <c r="C40" s="56" t="inlineStr">
        <is>
          <t>Medio</t>
        </is>
      </c>
      <c r="D40" s="56" t="inlineStr"/>
    </row>
    <row r="41">
      <c r="A41" s="55" t="inlineStr">
        <is>
          <t>7. Hidrología, acceso y logística (F-DT-05)</t>
        </is>
      </c>
      <c r="B41" s="55" t="inlineStr">
        <is>
          <t>Transitabilidad en época lluviosa</t>
        </is>
      </c>
      <c r="C41" s="55" t="inlineStr">
        <is>
          <t>Bajo</t>
        </is>
      </c>
      <c r="D41" s="55" t="inlineStr"/>
    </row>
    <row r="42">
      <c r="A42" s="56" t="inlineStr">
        <is>
          <t>7. Hidrología, acceso y logística (F-DT-05)</t>
        </is>
      </c>
      <c r="B42" s="56" t="inlineStr">
        <is>
          <t>Requiere coordinación con ronda / comunidad</t>
        </is>
      </c>
      <c r="C42" s="56" t="inlineStr">
        <is>
          <t>No</t>
        </is>
      </c>
      <c r="D42" s="56" t="inlineStr"/>
    </row>
    <row r="44">
      <c r="A44" s="53" t="inlineStr">
        <is>
          <t>C. PROCEDENCIA DE LOS HECHOS DECLARADOS</t>
        </is>
      </c>
    </row>
    <row r="45">
      <c r="A45" s="54" t="inlineStr">
        <is>
          <t>Fuente</t>
        </is>
      </c>
      <c r="B45" s="54" t="inlineStr">
        <is>
          <t>Hechos</t>
        </is>
      </c>
      <c r="C45" s="54" t="inlineStr">
        <is>
          <t>Alcance de la fuente</t>
        </is>
      </c>
    </row>
    <row r="46">
      <c r="A46" s="55" t="inlineStr">
        <is>
          <t>Dato de campo</t>
        </is>
      </c>
      <c r="B46" s="55" t="n">
        <v>61</v>
      </c>
      <c r="C46" s="55" t="inlineStr">
        <is>
          <t>Verificación en campo. Fichas F-DT-01 a F-DT-05 de la Plantilla DT Campo Check Validada V5, suscritas por el evaluador.</t>
        </is>
      </c>
    </row>
    <row r="47">
      <c r="A47" s="56" t="inlineStr">
        <is>
          <t>Gabinete (GIS / teledetección)</t>
        </is>
      </c>
      <c r="B47" s="56" t="n">
        <v>21</v>
      </c>
      <c r="C47" s="56" t="inlineStr">
        <is>
          <t>Gabinete. Estadística zonal sobre el MDE y compuestos Sentinel-2 (NDVI mediana 2025, MSAVI 2024 por clase DN).</t>
        </is>
      </c>
    </row>
    <row r="48">
      <c r="A48" s="55" t="inlineStr">
        <is>
          <t>Fuente oficial</t>
        </is>
      </c>
      <c r="B48" s="55" t="n">
        <v>14</v>
      </c>
      <c r="C48" s="55" t="inlineStr">
        <is>
          <t>Fuente oficial. Catálogo maestro Bloques V5/V6, división política INEI y codificación de microcuencas de la ANA.</t>
        </is>
      </c>
    </row>
    <row r="50">
      <c r="A50" s="53" t="inlineStr">
        <is>
          <t>D. ESTADO DEL CRUCE ENTRE FUENTES</t>
        </is>
      </c>
    </row>
    <row r="51">
      <c r="A51" s="54" t="inlineStr">
        <is>
          <t>Estado</t>
        </is>
      </c>
      <c r="B51" s="54" t="inlineStr">
        <is>
          <t>Hechos</t>
        </is>
      </c>
      <c r="C51" s="54" t="inlineStr">
        <is>
          <t>Significado</t>
        </is>
      </c>
    </row>
    <row r="52">
      <c r="A52" s="55" t="inlineStr">
        <is>
          <t>CONFORME</t>
        </is>
      </c>
      <c r="B52" s="55" t="n">
        <v>94</v>
      </c>
      <c r="C52" s="55" t="inlineStr">
        <is>
          <t>Las dos fuentes declaran lo mismo, o solo la fuente que manda sobre el hecho lo declara.</t>
        </is>
      </c>
    </row>
    <row r="53">
      <c r="A53" s="56" t="inlineStr">
        <is>
          <t>COMPLEMENTADO</t>
        </is>
      </c>
      <c r="B53" s="56" t="n">
        <v>1</v>
      </c>
      <c r="C53" s="56" t="inlineStr">
        <is>
          <t>Solo una de las fuentes lo declara y se adopta ese valor.</t>
        </is>
      </c>
    </row>
    <row r="54">
      <c r="A54" s="55" t="inlineStr">
        <is>
          <t>ACTUALIZADO</t>
        </is>
      </c>
      <c r="B54" s="55" t="n">
        <v>1</v>
      </c>
      <c r="C54" s="55" t="inlineStr">
        <is>
          <t>La verificación de campo vigente corrige lo que traía el libro de resumen.</t>
        </is>
      </c>
    </row>
    <row r="55">
      <c r="A55" s="56" t="inlineStr">
        <is>
          <t>DISCREPANTE</t>
        </is>
      </c>
      <c r="B55" s="56" t="n">
        <v>0</v>
      </c>
      <c r="C55" s="56" t="inlineStr">
        <is>
          <t>Las fuentes se contradicen; prevalece la que manda sobre el hecho y la otra queda declarada.</t>
        </is>
      </c>
    </row>
    <row r="56">
      <c r="A56" s="55" t="inlineStr">
        <is>
          <t>PENDIENTE</t>
        </is>
      </c>
      <c r="B56" s="55" t="n">
        <v>18</v>
      </c>
      <c r="C56"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3</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C-01</t>
        </is>
      </c>
      <c r="B9" s="55" t="inlineStr">
        <is>
          <t>Cárcava incipiente (30-50 cm)</t>
        </is>
      </c>
      <c r="C9" s="60" t="n">
        <v>607136</v>
      </c>
      <c r="D9" s="60" t="n">
        <v>9459234</v>
      </c>
      <c r="E9" s="55" t="n"/>
      <c r="F9" s="55" t="n"/>
      <c r="G9" s="55" t="n"/>
      <c r="H9" s="55" t="inlineStr">
        <is>
          <t>Activa</t>
        </is>
      </c>
      <c r="I9" s="55" t="inlineStr">
        <is>
          <t>Caminos / huellas de ganado</t>
        </is>
      </c>
    </row>
    <row r="10">
      <c r="A10" s="56" t="inlineStr">
        <is>
          <t>C-02</t>
        </is>
      </c>
      <c r="B10" s="56" t="inlineStr">
        <is>
          <t>Surco (&lt;30 cm)</t>
        </is>
      </c>
      <c r="C10" s="61" t="n">
        <v>607148</v>
      </c>
      <c r="D10" s="61" t="n">
        <v>9459234</v>
      </c>
      <c r="E10" s="56" t="n"/>
      <c r="F10" s="56" t="n"/>
      <c r="G10" s="56" t="n"/>
      <c r="H10" s="56" t="inlineStr">
        <is>
          <t>Activa</t>
        </is>
      </c>
      <c r="I10" s="56" t="inlineStr">
        <is>
          <t>Caminos / huellas de ganado</t>
        </is>
      </c>
    </row>
    <row r="12">
      <c r="A12" s="53" t="inlineStr">
        <is>
          <t>F-DT-03 · ELENCO FLORÍSTICO</t>
        </is>
      </c>
    </row>
    <row r="13">
      <c r="A13" s="54" t="inlineStr">
        <is>
          <t>N.o</t>
        </is>
      </c>
      <c r="B13" s="54" t="inlineStr">
        <is>
          <t>Nombre común</t>
        </is>
      </c>
      <c r="C13" s="54" t="inlineStr">
        <is>
          <t>Nombre científico</t>
        </is>
      </c>
      <c r="D13" s="54" t="inlineStr">
        <is>
          <t>Familia</t>
        </is>
      </c>
      <c r="E13" s="54" t="inlineStr">
        <is>
          <t>Estrato</t>
        </is>
      </c>
      <c r="F13" s="54" t="inlineStr">
        <is>
          <t>Origen</t>
        </is>
      </c>
      <c r="G13" s="54" t="inlineStr">
        <is>
          <t>Abundancia</t>
        </is>
      </c>
      <c r="H13" s="54" t="inlineStr">
        <is>
          <t>DAP (cm)</t>
        </is>
      </c>
      <c r="I13" s="54" t="inlineStr">
        <is>
          <t>Altura (m)</t>
        </is>
      </c>
    </row>
    <row r="14">
      <c r="A14" s="55" t="inlineStr">
        <is>
          <t>1</t>
        </is>
      </c>
      <c r="B14" s="55" t="inlineStr">
        <is>
          <t>Caña Guayaquil / Bambú</t>
        </is>
      </c>
      <c r="C14" s="55" t="inlineStr">
        <is>
          <t>Guadua angustifolia</t>
        </is>
      </c>
      <c r="D14" s="55" t="inlineStr">
        <is>
          <t>Poaceae (Bambusoideae)</t>
        </is>
      </c>
      <c r="E14" s="55" t="inlineStr">
        <is>
          <t>Arbustivo alto (1.5-4 m)</t>
        </is>
      </c>
      <c r="F14" s="55" t="inlineStr">
        <is>
          <t>Nativa</t>
        </is>
      </c>
      <c r="G14" s="55" t="inlineStr">
        <is>
          <t>Frecuente (5-20%)</t>
        </is>
      </c>
      <c r="H14" s="55" t="n"/>
      <c r="I14" s="55" t="n"/>
    </row>
    <row r="15">
      <c r="A15" s="56" t="inlineStr">
        <is>
          <t>2</t>
        </is>
      </c>
      <c r="B15" s="56" t="inlineStr">
        <is>
          <t>Eucalipto</t>
        </is>
      </c>
      <c r="C15" s="56" t="inlineStr">
        <is>
          <t>Eucalyptus sp.</t>
        </is>
      </c>
      <c r="D15" s="56" t="inlineStr">
        <is>
          <t>Myrtaceae</t>
        </is>
      </c>
      <c r="E15" s="56" t="inlineStr">
        <is>
          <t>Arbóreo superior (&gt;15 m)</t>
        </is>
      </c>
      <c r="F15" s="56" t="inlineStr">
        <is>
          <t>Introducida</t>
        </is>
      </c>
      <c r="G15" s="56" t="inlineStr">
        <is>
          <t>Frecuente (5-20%)</t>
        </is>
      </c>
      <c r="H15" s="56" t="n"/>
      <c r="I15" s="56" t="n"/>
    </row>
    <row r="16">
      <c r="A16" s="55" t="inlineStr">
        <is>
          <t>3</t>
        </is>
      </c>
      <c r="B16" s="55" t="inlineStr">
        <is>
          <t>Faique</t>
        </is>
      </c>
      <c r="C16" s="55" t="inlineStr">
        <is>
          <t>Vachellia macracantha</t>
        </is>
      </c>
      <c r="D16" s="55" t="inlineStr">
        <is>
          <t>Fabaceae</t>
        </is>
      </c>
      <c r="E16" s="55" t="inlineStr">
        <is>
          <t>Arbóreo bajo (4-8 m)</t>
        </is>
      </c>
      <c r="F16" s="55" t="inlineStr">
        <is>
          <t>Nativa</t>
        </is>
      </c>
      <c r="G16" s="55" t="inlineStr">
        <is>
          <t>Frecuente (5-20%)</t>
        </is>
      </c>
      <c r="H16" s="55" t="n"/>
      <c r="I16" s="55" t="n"/>
    </row>
    <row r="17">
      <c r="A17" s="56" t="inlineStr">
        <is>
          <t>4</t>
        </is>
      </c>
      <c r="B17" s="56" t="inlineStr">
        <is>
          <t>Pacae</t>
        </is>
      </c>
      <c r="C17" s="56" t="inlineStr">
        <is>
          <t>Inga sp.</t>
        </is>
      </c>
      <c r="D17" s="56" t="inlineStr">
        <is>
          <t>Fabaceae</t>
        </is>
      </c>
      <c r="E17" s="56" t="inlineStr">
        <is>
          <t>Arbóreo medio (8-15 m)</t>
        </is>
      </c>
      <c r="F17" s="56" t="inlineStr">
        <is>
          <t>Nativa</t>
        </is>
      </c>
      <c r="G17" s="56" t="inlineStr">
        <is>
          <t>Ocasional (1-5%)</t>
        </is>
      </c>
      <c r="H17" s="56" t="n"/>
      <c r="I17" s="56" t="n"/>
    </row>
    <row r="18">
      <c r="A18" s="55" t="inlineStr">
        <is>
          <t>5</t>
        </is>
      </c>
      <c r="B18" s="55" t="inlineStr">
        <is>
          <t>Higuerón</t>
        </is>
      </c>
      <c r="C18" s="55" t="inlineStr">
        <is>
          <t>Ficus sp.</t>
        </is>
      </c>
      <c r="D18" s="55" t="inlineStr">
        <is>
          <t>Moraceae</t>
        </is>
      </c>
      <c r="E18" s="55" t="inlineStr">
        <is>
          <t>Arbóreo superior (&gt;15 m)</t>
        </is>
      </c>
      <c r="F18" s="55" t="inlineStr">
        <is>
          <t>Nativa</t>
        </is>
      </c>
      <c r="G18" s="55" t="inlineStr">
        <is>
          <t>Ocasional (1-5%)</t>
        </is>
      </c>
      <c r="H18" s="55" t="n"/>
      <c r="I18" s="55" t="n"/>
    </row>
    <row r="19">
      <c r="A19" s="56" t="inlineStr">
        <is>
          <t>6</t>
        </is>
      </c>
      <c r="B19" s="56" t="inlineStr">
        <is>
          <t>Falsa yuca</t>
        </is>
      </c>
      <c r="C19" s="56" t="inlineStr">
        <is>
          <t>Apodanthera biflora (cf.; por confirmar)</t>
        </is>
      </c>
      <c r="D19" s="56" t="inlineStr">
        <is>
          <t>Cucurbitaceae</t>
        </is>
      </c>
      <c r="E19" s="56" t="inlineStr">
        <is>
          <t>Trepador</t>
        </is>
      </c>
      <c r="F19" s="56" t="inlineStr">
        <is>
          <t>Nativa</t>
        </is>
      </c>
      <c r="G19" s="56" t="inlineStr">
        <is>
          <t>Ocasional (1-5%)</t>
        </is>
      </c>
      <c r="H19" s="56" t="n"/>
      <c r="I19" s="56" t="n"/>
    </row>
    <row r="20">
      <c r="A20" s="55" t="inlineStr">
        <is>
          <t>7</t>
        </is>
      </c>
      <c r="B20" s="55" t="inlineStr">
        <is>
          <t>Pata de vaca</t>
        </is>
      </c>
      <c r="C20" s="55" t="inlineStr">
        <is>
          <t>Bauhinia sp.</t>
        </is>
      </c>
      <c r="D20" s="55" t="inlineStr">
        <is>
          <t>Fabaceae</t>
        </is>
      </c>
      <c r="E20" s="55" t="inlineStr">
        <is>
          <t>Arbóreo bajo (4-8 m)</t>
        </is>
      </c>
      <c r="F20" s="55" t="inlineStr">
        <is>
          <t>Nativa</t>
        </is>
      </c>
      <c r="G20" s="55" t="inlineStr">
        <is>
          <t>Ocasional (1-5%)</t>
        </is>
      </c>
      <c r="H20" s="55" t="n"/>
      <c r="I20" s="55" t="n"/>
    </row>
    <row r="21">
      <c r="A21" s="56" t="inlineStr">
        <is>
          <t>8</t>
        </is>
      </c>
      <c r="B21" s="56" t="inlineStr">
        <is>
          <t>Bromelias epífitas</t>
        </is>
      </c>
      <c r="C21" s="56" t="inlineStr">
        <is>
          <t>Bromeliaceae (indet.)</t>
        </is>
      </c>
      <c r="D21" s="56" t="inlineStr">
        <is>
          <t>Bromeliaceae</t>
        </is>
      </c>
      <c r="E21" s="56" t="inlineStr">
        <is>
          <t>Epífito</t>
        </is>
      </c>
      <c r="F21" s="56" t="inlineStr">
        <is>
          <t>Nativa</t>
        </is>
      </c>
      <c r="G21" s="56" t="inlineStr">
        <is>
          <t>Frecuente (5-20%)</t>
        </is>
      </c>
      <c r="H21" s="56" t="n"/>
      <c r="I21" s="56" t="n"/>
    </row>
    <row r="22">
      <c r="A22" s="55" t="inlineStr">
        <is>
          <t>9</t>
        </is>
      </c>
      <c r="B22" s="55" t="inlineStr">
        <is>
          <t>Palo blanco</t>
        </is>
      </c>
      <c r="C22" s="55" t="inlineStr">
        <is>
          <t>Indet. (por confirmar)</t>
        </is>
      </c>
      <c r="D22" s="55" t="inlineStr">
        <is>
          <t>Indet.</t>
        </is>
      </c>
      <c r="E22" s="55" t="inlineStr">
        <is>
          <t>Arbóreo medio (8-15 m)</t>
        </is>
      </c>
      <c r="F22" s="55" t="inlineStr">
        <is>
          <t>Nativa</t>
        </is>
      </c>
      <c r="G22" s="55" t="inlineStr">
        <is>
          <t>Ocasional (1-5%)</t>
        </is>
      </c>
      <c r="H22" s="55" t="n"/>
      <c r="I22" s="55" t="n"/>
    </row>
    <row r="23">
      <c r="A23" s="56" t="inlineStr">
        <is>
          <t>10</t>
        </is>
      </c>
      <c r="B23" s="56" t="inlineStr">
        <is>
          <t>Maíz</t>
        </is>
      </c>
      <c r="C23" s="56" t="inlineStr">
        <is>
          <t>Zea mays</t>
        </is>
      </c>
      <c r="D23" s="56" t="inlineStr">
        <is>
          <t>Poaceae</t>
        </is>
      </c>
      <c r="E23" s="56" t="inlineStr">
        <is>
          <t>Arbustivo bajo (0.5-1.5 m)</t>
        </is>
      </c>
      <c r="F23" s="56" t="inlineStr">
        <is>
          <t>Introducida</t>
        </is>
      </c>
      <c r="G23" s="56" t="inlineStr">
        <is>
          <t>Frecuente (5-20%)</t>
        </is>
      </c>
      <c r="H23" s="56" t="n"/>
      <c r="I23" s="56" t="n"/>
    </row>
    <row r="24">
      <c r="A24" s="55" t="inlineStr">
        <is>
          <t>11</t>
        </is>
      </c>
      <c r="B24" s="55" t="inlineStr">
        <is>
          <t>Pastos cultivados</t>
        </is>
      </c>
      <c r="C24" s="55" t="inlineStr">
        <is>
          <t>Poaceae (indet.)</t>
        </is>
      </c>
      <c r="D24" s="55" t="inlineStr">
        <is>
          <t>Poaceae</t>
        </is>
      </c>
      <c r="E24" s="55" t="inlineStr">
        <is>
          <t>Herbáceo (&lt;0.5 m)</t>
        </is>
      </c>
      <c r="F24" s="55" t="inlineStr">
        <is>
          <t>Introducida</t>
        </is>
      </c>
      <c r="G24" s="55" t="inlineStr">
        <is>
          <t>Dominante (&gt;40%)</t>
        </is>
      </c>
      <c r="H24" s="55" t="n"/>
      <c r="I24" s="55" t="n"/>
    </row>
    <row r="26">
      <c r="A26" s="53" t="inlineStr">
        <is>
          <t>F-DT-03 · ESPECIES CLAVE GEORREFERENCIADAS</t>
        </is>
      </c>
    </row>
    <row r="27">
      <c r="A27" s="54" t="inlineStr">
        <is>
          <t>N.o</t>
        </is>
      </c>
      <c r="B27" s="54" t="inlineStr">
        <is>
          <t>Especie</t>
        </is>
      </c>
      <c r="C27" s="54" t="inlineStr">
        <is>
          <t>Categoría</t>
        </is>
      </c>
      <c r="D27" s="54" t="inlineStr">
        <is>
          <t>Estado UICN</t>
        </is>
      </c>
      <c r="E27" s="54" t="inlineStr">
        <is>
          <t>UTM ESTE</t>
        </is>
      </c>
      <c r="F27" s="54" t="inlineStr">
        <is>
          <t>UTM NORTE</t>
        </is>
      </c>
      <c r="G27" s="54" t="inlineStr">
        <is>
          <t>N.° individuos</t>
        </is>
      </c>
      <c r="H27" s="54" t="inlineStr">
        <is>
          <t>Observación</t>
        </is>
      </c>
    </row>
    <row r="28">
      <c r="A28" s="55" t="inlineStr">
        <is>
          <t>1</t>
        </is>
      </c>
      <c r="B28" s="55" t="inlineStr">
        <is>
          <t>Higuerón (Ficus sp.)</t>
        </is>
      </c>
      <c r="C28" s="55" t="inlineStr">
        <is>
          <t>Indicadora de buen estado</t>
        </is>
      </c>
      <c r="D28" s="55" t="inlineStr">
        <is>
          <t>No aplica</t>
        </is>
      </c>
      <c r="E28" s="55" t="n"/>
      <c r="F28" s="55" t="n"/>
      <c r="G28" s="55" t="n"/>
      <c r="H28" s="55" t="inlineStr">
        <is>
          <t>Nativo emergente de relictos; por confirmar</t>
        </is>
      </c>
    </row>
    <row r="29">
      <c r="A29" s="56" t="inlineStr">
        <is>
          <t>2</t>
        </is>
      </c>
      <c r="B29" s="56" t="inlineStr">
        <is>
          <t>Pacae (Inga sp.)</t>
        </is>
      </c>
      <c r="C29" s="56" t="inlineStr">
        <is>
          <t>Indicadora de buen estado</t>
        </is>
      </c>
      <c r="D29" s="56" t="inlineStr">
        <is>
          <t>NE — No Evaluado</t>
        </is>
      </c>
      <c r="E29" s="56" t="n"/>
      <c r="F29" s="56" t="n"/>
      <c r="G29" s="56" t="n"/>
      <c r="H29" s="56" t="inlineStr">
        <is>
          <t>Indicador de humedad; nativo</t>
        </is>
      </c>
    </row>
    <row r="30">
      <c r="A30" s="55" t="inlineStr">
        <is>
          <t>3</t>
        </is>
      </c>
      <c r="B30" s="55" t="inlineStr">
        <is>
          <t>Bromelias epífitas (Bromeliaceae)</t>
        </is>
      </c>
      <c r="C30" s="55" t="inlineStr">
        <is>
          <t>Indicadora de buen estado</t>
        </is>
      </c>
      <c r="D30" s="55" t="inlineStr">
        <is>
          <t>NE — No Evaluado</t>
        </is>
      </c>
      <c r="E30" s="60" t="n">
        <v>605299</v>
      </c>
      <c r="F30" s="60" t="n">
        <v>9458681</v>
      </c>
      <c r="G30" s="55" t="n"/>
      <c r="H30" s="55" t="inlineStr">
        <is>
          <t>Abundantes; indicadoras de humedad ambiental</t>
        </is>
      </c>
    </row>
    <row r="31">
      <c r="A31" s="56" t="inlineStr">
        <is>
          <t>4</t>
        </is>
      </c>
      <c r="B31" s="56" t="inlineStr">
        <is>
          <t>Faique (Vachellia macracantha)</t>
        </is>
      </c>
      <c r="C31" s="56" t="inlineStr">
        <is>
          <t>Clave cultural</t>
        </is>
      </c>
      <c r="D31" s="56" t="inlineStr">
        <is>
          <t>LC — Preocupación Menor</t>
        </is>
      </c>
      <c r="E31" s="61" t="n">
        <v>605079</v>
      </c>
      <c r="F31" s="61" t="n">
        <v>9458456</v>
      </c>
      <c r="G31" s="56" t="n"/>
      <c r="H31" s="56" t="inlineStr">
        <is>
          <t>Especie clave del bosque seco</t>
        </is>
      </c>
    </row>
    <row r="32">
      <c r="A32" s="55" t="inlineStr">
        <is>
          <t>5</t>
        </is>
      </c>
      <c r="B32" s="55" t="inlineStr">
        <is>
          <t>Caña Guayaquil (Guadua angustifolia)</t>
        </is>
      </c>
      <c r="C32" s="55" t="inlineStr">
        <is>
          <t>Clave cultural</t>
        </is>
      </c>
      <c r="D32" s="55" t="inlineStr">
        <is>
          <t>NE — No Evaluado</t>
        </is>
      </c>
      <c r="E32" s="60" t="n">
        <v>604835</v>
      </c>
      <c r="F32" s="60" t="n">
        <v>9458502</v>
      </c>
      <c r="G32" s="55" t="n"/>
      <c r="H32" s="55" t="inlineStr">
        <is>
          <t>Uso local; ubic. aprox. (foto con GPS anómalo); por verificar</t>
        </is>
      </c>
    </row>
    <row r="34">
      <c r="A34" s="53" t="inlineStr">
        <is>
          <t>F-DT-04 · MATRIZ DE CAUSAS DE DEGRADACIÓN</t>
        </is>
      </c>
    </row>
    <row r="35">
      <c r="A35" s="54" t="inlineStr">
        <is>
          <t>N.o</t>
        </is>
      </c>
      <c r="B35" s="54" t="inlineStr">
        <is>
          <t>Causa</t>
        </is>
      </c>
      <c r="C35" s="54" t="inlineStr">
        <is>
          <t>Presencia</t>
        </is>
      </c>
      <c r="D35" s="54" t="inlineStr">
        <is>
          <t>Intensidad</t>
        </is>
      </c>
      <c r="E35" s="54" t="inlineStr">
        <is>
          <t>Extensión</t>
        </is>
      </c>
      <c r="F35" s="54" t="inlineStr">
        <is>
          <t>Antigüedad</t>
        </is>
      </c>
      <c r="G35" s="54" t="inlineStr">
        <is>
          <t>Evidencia</t>
        </is>
      </c>
    </row>
    <row r="36">
      <c r="A36" s="55" t="inlineStr">
        <is>
          <t>1</t>
        </is>
      </c>
      <c r="B36" s="55" t="inlineStr">
        <is>
          <t>Sobrepastoreo (caprino/vacuno)</t>
        </is>
      </c>
      <c r="C36" s="55" t="inlineStr">
        <is>
          <t>Sí</t>
        </is>
      </c>
      <c r="D36" s="55" t="inlineStr">
        <is>
          <t>Moderada</t>
        </is>
      </c>
      <c r="E36" s="55" t="inlineStr">
        <is>
          <t>≈35%</t>
        </is>
      </c>
      <c r="F36" s="55" t="inlineStr">
        <is>
          <t>Por verificar</t>
        </is>
      </c>
      <c r="G36" s="55" t="inlineStr">
        <is>
          <t>Pastos cultivados y ganado; cercos y postes vivos (F07, F11)</t>
        </is>
      </c>
    </row>
    <row r="37">
      <c r="A37" s="56" t="inlineStr">
        <is>
          <t>2</t>
        </is>
      </c>
      <c r="B37" s="56" t="inlineStr">
        <is>
          <t>Tala para leña</t>
        </is>
      </c>
      <c r="C37" s="56" t="inlineStr">
        <is>
          <t>Sí</t>
        </is>
      </c>
      <c r="D37" s="56" t="inlineStr">
        <is>
          <t>Ligera</t>
        </is>
      </c>
      <c r="E37" s="56" t="inlineStr">
        <is>
          <t>—</t>
        </is>
      </c>
      <c r="F37" s="56" t="inlineStr">
        <is>
          <t>Por verificar</t>
        </is>
      </c>
      <c r="G37" s="56" t="inlineStr">
        <is>
          <t>Extracción puntual; tocones (F06)</t>
        </is>
      </c>
    </row>
    <row r="38">
      <c r="A38" s="55" t="inlineStr">
        <is>
          <t>3</t>
        </is>
      </c>
      <c r="B38" s="55" t="inlineStr">
        <is>
          <t>Tala para carbón</t>
        </is>
      </c>
      <c r="C38" s="55" t="inlineStr">
        <is>
          <t>No</t>
        </is>
      </c>
      <c r="D38" s="55" t="inlineStr"/>
      <c r="E38" s="55" t="inlineStr"/>
      <c r="F38" s="55" t="inlineStr"/>
      <c r="G38" s="55" t="inlineStr"/>
    </row>
    <row r="39">
      <c r="A39" s="56" t="inlineStr">
        <is>
          <t>4</t>
        </is>
      </c>
      <c r="B39" s="56" t="inlineStr">
        <is>
          <t>Tala para madera</t>
        </is>
      </c>
      <c r="C39" s="56" t="inlineStr">
        <is>
          <t>No</t>
        </is>
      </c>
      <c r="D39" s="56" t="inlineStr"/>
      <c r="E39" s="56" t="inlineStr"/>
      <c r="F39" s="56" t="inlineStr"/>
      <c r="G39" s="56" t="inlineStr"/>
    </row>
    <row r="40">
      <c r="A40" s="55" t="inlineStr">
        <is>
          <t>5</t>
        </is>
      </c>
      <c r="B40" s="55" t="inlineStr">
        <is>
          <t>Quema (renovación de pastos)</t>
        </is>
      </c>
      <c r="C40" s="55" t="inlineStr">
        <is>
          <t>No</t>
        </is>
      </c>
      <c r="D40" s="55" t="inlineStr"/>
      <c r="E40" s="55" t="inlineStr"/>
      <c r="F40" s="55" t="inlineStr"/>
      <c r="G40" s="55" t="inlineStr">
        <is>
          <t>Sin evidencia clara de quema en el recorrido; por verificar</t>
        </is>
      </c>
    </row>
    <row r="41">
      <c r="A41" s="56" t="inlineStr">
        <is>
          <t>6</t>
        </is>
      </c>
      <c r="B41" s="56" t="inlineStr">
        <is>
          <t>Quema accidental / Incendio</t>
        </is>
      </c>
      <c r="C41" s="56" t="inlineStr">
        <is>
          <t>No</t>
        </is>
      </c>
      <c r="D41" s="56" t="inlineStr"/>
      <c r="E41" s="56" t="inlineStr"/>
      <c r="F41" s="56" t="inlineStr"/>
      <c r="G41" s="56" t="inlineStr"/>
    </row>
    <row r="42">
      <c r="A42" s="55" t="inlineStr">
        <is>
          <t>7</t>
        </is>
      </c>
      <c r="B42" s="55" t="inlineStr">
        <is>
          <t>Cambio de uso a agricultura</t>
        </is>
      </c>
      <c r="C42" s="55" t="inlineStr">
        <is>
          <t>Sí</t>
        </is>
      </c>
      <c r="D42" s="55" t="inlineStr">
        <is>
          <t>Moderada</t>
        </is>
      </c>
      <c r="E42" s="55" t="inlineStr">
        <is>
          <t>≈25%</t>
        </is>
      </c>
      <c r="F42" s="55" t="inlineStr">
        <is>
          <t>Por verificar</t>
        </is>
      </c>
      <c r="G42" s="55" t="inlineStr">
        <is>
          <t>Parcelas de maíz en ladera (F06, F07)</t>
        </is>
      </c>
    </row>
    <row r="43">
      <c r="A43" s="56" t="inlineStr">
        <is>
          <t>8</t>
        </is>
      </c>
      <c r="B43" s="56" t="inlineStr">
        <is>
          <t>Cambio de uso a pastoreo</t>
        </is>
      </c>
      <c r="C43" s="56" t="inlineStr">
        <is>
          <t>Sí</t>
        </is>
      </c>
      <c r="D43" s="56" t="inlineStr">
        <is>
          <t>Moderada</t>
        </is>
      </c>
      <c r="E43" s="56" t="inlineStr">
        <is>
          <t>≈35%</t>
        </is>
      </c>
      <c r="F43" s="56" t="inlineStr">
        <is>
          <t>Por verificar</t>
        </is>
      </c>
      <c r="G43" s="56" t="inlineStr">
        <is>
          <t>Pastos cultivados dominantes (F11)</t>
        </is>
      </c>
    </row>
    <row r="44">
      <c r="A44" s="55" t="inlineStr">
        <is>
          <t>9</t>
        </is>
      </c>
      <c r="B44" s="55" t="inlineStr">
        <is>
          <t>Expansión urbana / vial</t>
        </is>
      </c>
      <c r="C44" s="55" t="inlineStr">
        <is>
          <t>Sí</t>
        </is>
      </c>
      <c r="D44" s="55" t="inlineStr">
        <is>
          <t>Ligera</t>
        </is>
      </c>
      <c r="E44" s="55" t="inlineStr">
        <is>
          <t>≈5%</t>
        </is>
      </c>
      <c r="F44" s="55" t="inlineStr">
        <is>
          <t>Por verificar</t>
        </is>
      </c>
      <c r="G44" s="55" t="inlineStr">
        <is>
          <t>Viviendas rurales, caminos de herradura y cercos (F08, F16)</t>
        </is>
      </c>
    </row>
    <row r="45">
      <c r="A45" s="56" t="inlineStr">
        <is>
          <t>10</t>
        </is>
      </c>
      <c r="B45" s="56" t="inlineStr">
        <is>
          <t>Minería informal</t>
        </is>
      </c>
      <c r="C45" s="56" t="inlineStr">
        <is>
          <t>No</t>
        </is>
      </c>
      <c r="D45" s="56" t="inlineStr"/>
      <c r="E45" s="56" t="inlineStr"/>
      <c r="F45" s="56" t="inlineStr"/>
      <c r="G45" s="56" t="inlineStr"/>
    </row>
    <row r="46">
      <c r="A46" s="55" t="inlineStr">
        <is>
          <t>11</t>
        </is>
      </c>
      <c r="B46" s="55" t="inlineStr">
        <is>
          <t>Extracción de áridos (cauces)</t>
        </is>
      </c>
      <c r="C46" s="55" t="inlineStr">
        <is>
          <t>No</t>
        </is>
      </c>
      <c r="D46" s="55" t="inlineStr"/>
      <c r="E46" s="55" t="inlineStr"/>
      <c r="F46" s="55" t="inlineStr"/>
      <c r="G46" s="55" t="inlineStr"/>
    </row>
    <row r="47">
      <c r="A47" s="56" t="inlineStr">
        <is>
          <t>12</t>
        </is>
      </c>
      <c r="B47" s="56" t="inlineStr">
        <is>
          <t>Especies invasoras</t>
        </is>
      </c>
      <c r="C47" s="56" t="inlineStr">
        <is>
          <t>Sí</t>
        </is>
      </c>
      <c r="D47" s="56" t="inlineStr">
        <is>
          <t>Ligera</t>
        </is>
      </c>
      <c r="E47" s="56" t="inlineStr">
        <is>
          <t>—</t>
        </is>
      </c>
      <c r="F47" s="56" t="inlineStr">
        <is>
          <t>Por verificar</t>
        </is>
      </c>
      <c r="G47" s="56" t="inlineStr">
        <is>
          <t>Eucalipto plantado en ladera (F03, F04)</t>
        </is>
      </c>
    </row>
    <row r="48">
      <c r="A48" s="55" t="inlineStr">
        <is>
          <t>13</t>
        </is>
      </c>
      <c r="B48" s="55" t="inlineStr">
        <is>
          <t>Erosión natural severa</t>
        </is>
      </c>
      <c r="C48" s="55" t="inlineStr">
        <is>
          <t>No</t>
        </is>
      </c>
      <c r="D48" s="55" t="inlineStr"/>
      <c r="E48" s="55" t="inlineStr"/>
      <c r="F48" s="55" t="inlineStr"/>
      <c r="G48" s="55" t="inlineStr">
        <is>
          <t>Erosión localizada en sendas; no severa</t>
        </is>
      </c>
    </row>
    <row r="49">
      <c r="A49" s="56" t="inlineStr">
        <is>
          <t>14</t>
        </is>
      </c>
      <c r="B49" s="56" t="inlineStr">
        <is>
          <t>Sequía prolongada / CC</t>
        </is>
      </c>
      <c r="C49" s="56" t="inlineStr">
        <is>
          <t>No</t>
        </is>
      </c>
      <c r="D49" s="56" t="inlineStr"/>
      <c r="E49" s="56" t="inlineStr"/>
      <c r="F49" s="56" t="inlineStr"/>
      <c r="G49" s="56" t="inlineStr"/>
    </row>
    <row r="50">
      <c r="A50" s="55" t="inlineStr">
        <is>
          <t>15</t>
        </is>
      </c>
      <c r="B50" s="55" t="inlineStr">
        <is>
          <t>Plagas o enfermedades forestales</t>
        </is>
      </c>
      <c r="C50" s="55" t="inlineStr">
        <is>
          <t>No</t>
        </is>
      </c>
      <c r="D50" s="55" t="inlineStr"/>
      <c r="E50" s="55" t="inlineStr"/>
      <c r="F50" s="55" t="inlineStr"/>
      <c r="G50" s="55" t="inlineStr"/>
    </row>
    <row r="51">
      <c r="A51" s="56" t="inlineStr">
        <is>
          <t>16</t>
        </is>
      </c>
      <c r="B51" s="56" t="inlineStr">
        <is>
          <t>Otro</t>
        </is>
      </c>
      <c r="C51" s="56" t="inlineStr">
        <is>
          <t>No</t>
        </is>
      </c>
      <c r="D51" s="56" t="inlineStr"/>
      <c r="E51" s="56" t="inlineStr"/>
      <c r="F51" s="56" t="inlineStr"/>
      <c r="G51" s="56" t="inlineStr"/>
    </row>
    <row r="53">
      <c r="A53" s="53" t="inlineStr">
        <is>
          <t>F-DT-04 · INDICADORES CUANTITATIVOS</t>
        </is>
      </c>
    </row>
    <row r="54">
      <c r="A54" s="54" t="inlineStr">
        <is>
          <t>N.o</t>
        </is>
      </c>
      <c r="B54" s="54" t="inlineStr">
        <is>
          <t>Indicador</t>
        </is>
      </c>
      <c r="C54" s="54" t="inlineStr">
        <is>
          <t>Unidad</t>
        </is>
      </c>
      <c r="D54" s="54" t="inlineStr">
        <is>
          <t>Valor</t>
        </is>
      </c>
      <c r="E54" s="54" t="inlineStr">
        <is>
          <t>Fuente</t>
        </is>
      </c>
      <c r="F54" s="54" t="inlineStr">
        <is>
          <t>Umbral</t>
        </is>
      </c>
      <c r="G54" s="54" t="inlineStr">
        <is>
          <t>Nivel</t>
        </is>
      </c>
    </row>
    <row r="55">
      <c r="A55" s="55" t="inlineStr">
        <is>
          <t>1</t>
        </is>
      </c>
      <c r="B55" s="55" t="inlineStr">
        <is>
          <t>Cobertura vegetal total</t>
        </is>
      </c>
      <c r="C55" s="55" t="inlineStr">
        <is>
          <t>%</t>
        </is>
      </c>
      <c r="D55" s="55" t="inlineStr">
        <is>
          <t>≈85</t>
        </is>
      </c>
      <c r="E55" s="55" t="inlineStr">
        <is>
          <t>MSAVI 2024 (0,568) + ocular</t>
        </is>
      </c>
      <c r="F55" s="55" t="inlineStr">
        <is>
          <t>&gt;60% bueno; 30-60% medio; &lt;30% malo</t>
        </is>
      </c>
      <c r="G55" s="55" t="inlineStr">
        <is>
          <t>Alto</t>
        </is>
      </c>
    </row>
    <row r="56">
      <c r="A56" s="56" t="inlineStr">
        <is>
          <t>2</t>
        </is>
      </c>
      <c r="B56" s="56" t="inlineStr">
        <is>
          <t>Porcentaje de suelo desnudo</t>
        </is>
      </c>
      <c r="C56" s="56" t="inlineStr">
        <is>
          <t>%</t>
        </is>
      </c>
      <c r="D56" s="56" t="inlineStr">
        <is>
          <t>≈10</t>
        </is>
      </c>
      <c r="E56" s="56" t="inlineStr">
        <is>
          <t>Estimación ocular</t>
        </is>
      </c>
      <c r="F56" s="56" t="inlineStr">
        <is>
          <t>&lt;10% bueno; 10-30% medio; &gt;30% malo</t>
        </is>
      </c>
      <c r="G56" s="56" t="inlineStr">
        <is>
          <t>Bajo</t>
        </is>
      </c>
    </row>
    <row r="57">
      <c r="A57" s="55" t="inlineStr">
        <is>
          <t>3</t>
        </is>
      </c>
      <c r="B57" s="55" t="inlineStr">
        <is>
          <t>Densidad de cárcavas</t>
        </is>
      </c>
      <c r="C57" s="55" t="inlineStr">
        <is>
          <t>N°/ha</t>
        </is>
      </c>
      <c r="D57" s="55" t="inlineStr">
        <is>
          <t>Por determinar</t>
        </is>
      </c>
      <c r="E57" s="55" t="inlineStr">
        <is>
          <t>Pendiente (levantamiento instrumental)</t>
        </is>
      </c>
      <c r="F57" s="55" t="inlineStr">
        <is>
          <t>0 nulo; 1-3 medio; &gt;3 alto</t>
        </is>
      </c>
      <c r="G57" s="55" t="inlineStr"/>
    </row>
    <row r="58">
      <c r="A58" s="56" t="inlineStr">
        <is>
          <t>4</t>
        </is>
      </c>
      <c r="B58" s="56" t="inlineStr">
        <is>
          <t>Presencia de especies invasoras</t>
        </is>
      </c>
      <c r="C58" s="56" t="inlineStr">
        <is>
          <t>% área</t>
        </is>
      </c>
      <c r="D58" s="56" t="inlineStr">
        <is>
          <t>≈10</t>
        </is>
      </c>
      <c r="E58" s="56" t="inlineStr">
        <is>
          <t>Estimación ocular</t>
        </is>
      </c>
      <c r="F58" s="56" t="inlineStr">
        <is>
          <t>&lt;5% bueno; 5-20% medio; &gt;20% alto</t>
        </is>
      </c>
      <c r="G58" s="56" t="inlineStr">
        <is>
          <t>Medio</t>
        </is>
      </c>
    </row>
    <row r="59">
      <c r="A59" s="55" t="inlineStr">
        <is>
          <t>5</t>
        </is>
      </c>
      <c r="B59" s="55" t="inlineStr">
        <is>
          <t>Carga ganadera estimada</t>
        </is>
      </c>
      <c r="C59" s="55" t="inlineStr">
        <is>
          <t>UA/ha</t>
        </is>
      </c>
      <c r="D59" s="55" t="inlineStr">
        <is>
          <t>Por determinar</t>
        </is>
      </c>
      <c r="E59" s="55" t="inlineStr">
        <is>
          <t>Pendiente</t>
        </is>
      </c>
      <c r="F59" s="55" t="inlineStr">
        <is>
          <t>Según tipo de ecosistema</t>
        </is>
      </c>
      <c r="G59" s="55" t="inlineStr"/>
    </row>
    <row r="60">
      <c r="A60" s="56" t="inlineStr">
        <is>
          <t>6</t>
        </is>
      </c>
      <c r="B60" s="56" t="inlineStr">
        <is>
          <t>Frecuencia de quemas últimos 5 años</t>
        </is>
      </c>
      <c r="C60" s="56" t="inlineStr">
        <is>
          <t>N°</t>
        </is>
      </c>
      <c r="D60" s="56" t="inlineStr">
        <is>
          <t>Por determinar</t>
        </is>
      </c>
      <c r="E60" s="56" t="inlineStr">
        <is>
          <t>Pendiente</t>
        </is>
      </c>
      <c r="F60" s="56" t="inlineStr">
        <is>
          <t>0 nulo; 1-2 medio; &gt;2 alto</t>
        </is>
      </c>
      <c r="G60" s="56" t="inlineStr"/>
    </row>
    <row r="61">
      <c r="A61" s="55" t="inlineStr">
        <is>
          <t>7</t>
        </is>
      </c>
      <c r="B61" s="55" t="inlineStr">
        <is>
          <t>% área con pendiente &gt;50%</t>
        </is>
      </c>
      <c r="C61" s="55" t="inlineStr">
        <is>
          <t>%</t>
        </is>
      </c>
      <c r="D61" s="55" t="inlineStr">
        <is>
          <t>Por determinar (perfil: máx 46,4 %)</t>
        </is>
      </c>
      <c r="E61" s="55" t="inlineStr">
        <is>
          <t>Perfil elevación Google Earth</t>
        </is>
      </c>
      <c r="F61" s="55" t="inlineStr">
        <is>
          <t>Factor de susceptibilidad</t>
        </is>
      </c>
      <c r="G61" s="55" t="inlineStr"/>
    </row>
    <row r="62">
      <c r="A62" s="56" t="inlineStr">
        <is>
          <t>8</t>
        </is>
      </c>
      <c r="B62" s="56" t="inlineStr">
        <is>
          <t>Distancia a vía vecinal más cercana</t>
        </is>
      </c>
      <c r="C62" s="56" t="inlineStr">
        <is>
          <t>m</t>
        </is>
      </c>
      <c r="D62" s="56" t="inlineStr">
        <is>
          <t>≈0</t>
        </is>
      </c>
      <c r="E62" s="56" t="inlineStr">
        <is>
          <t>Camino de herradura atraviesa el bloque</t>
        </is>
      </c>
      <c r="F62" s="56" t="inlineStr">
        <is>
          <t>A menor distancia → mayor presión</t>
        </is>
      </c>
      <c r="G62" s="56" t="inlineStr">
        <is>
          <t>Alto</t>
        </is>
      </c>
    </row>
    <row r="64">
      <c r="A64" s="53" t="inlineStr">
        <is>
          <t>F-DT-05 · FUENTES DE AGUA INVENTARIADAS</t>
        </is>
      </c>
    </row>
    <row r="65">
      <c r="A65" s="54" t="inlineStr">
        <is>
          <t>N.o</t>
        </is>
      </c>
      <c r="B65" s="54" t="inlineStr">
        <is>
          <t>Tipo de fuente</t>
        </is>
      </c>
      <c r="C65" s="54" t="inlineStr">
        <is>
          <t>UTM ESTE</t>
        </is>
      </c>
      <c r="D65" s="54" t="inlineStr">
        <is>
          <t>UTM NORTE</t>
        </is>
      </c>
      <c r="E65" s="54" t="inlineStr">
        <is>
          <t>Régimen</t>
        </is>
      </c>
      <c r="F65" s="54" t="inlineStr">
        <is>
          <t>Calidad</t>
        </is>
      </c>
      <c r="G65" s="54" t="inlineStr">
        <is>
          <t>Distancia (m)</t>
        </is>
      </c>
      <c r="H65" s="54" t="inlineStr">
        <is>
          <t>Uso / observación</t>
        </is>
      </c>
    </row>
    <row r="66">
      <c r="A66" s="55" t="inlineStr">
        <is>
          <t>1</t>
        </is>
      </c>
      <c r="B66" s="55" t="inlineStr">
        <is>
          <t>Quebrada estacional</t>
        </is>
      </c>
      <c r="C66" s="60" t="n">
        <v>606000</v>
      </c>
      <c r="D66" s="60" t="n">
        <v>9459000</v>
      </c>
      <c r="E66" s="55" t="inlineStr">
        <is>
          <t>Estacional (lluvias)</t>
        </is>
      </c>
      <c r="F66" s="55" t="inlineStr">
        <is>
          <t>No evaluable</t>
        </is>
      </c>
      <c r="G66" s="62" t="n">
        <v>0</v>
      </c>
      <c r="H66" s="55" t="inlineStr">
        <is>
          <t>Quebrada tributaria del sector (línea azul GE hacia Los Checches); ubic. aprox., régimen por verificar</t>
        </is>
      </c>
    </row>
    <row r="69">
      <c r="A69" s="53" t="inlineStr">
        <is>
          <t>OBSERVACIONES DEL EVALUADOR POR FICHA</t>
        </is>
      </c>
    </row>
    <row r="70">
      <c r="A70" s="54" t="inlineStr">
        <is>
          <t>Ficha</t>
        </is>
      </c>
      <c r="B70" s="54" t="inlineStr">
        <is>
          <t>Observación registrada en campo</t>
        </is>
      </c>
    </row>
    <row r="71">
      <c r="A71" s="55" t="inlineStr">
        <is>
          <t>F-DT-01</t>
        </is>
      </c>
      <c r="B71" s="55" t="inlineStr">
        <is>
          <t>Rango altitudinal observado 1 328–1 803 msnm (perfil Google Earth, recorrido 1,47 km; pendiente media 31,9 %, máx 46,4 %). Centroide referencial 606 816 E · 9 458 469 N (catálogo). La app fotográfica no registró altitud GPS. Un registro presentó coordenada anómala (17M 539535 9428686), descartada por verificar. Escarpes/erosión localizados en taludes de camino y sendas de ganado, no en superficie natural.</t>
        </is>
      </c>
    </row>
    <row r="72">
      <c r="A72" s="56" t="inlineStr">
        <is>
          <t>F-DT-02</t>
        </is>
      </c>
      <c r="B72" s="56" t="inlineStr">
        <is>
          <t>Erosión concentrada en sendas de ganado y taludes de camino (raíces expuestas, subsuelo rojizo expuesto). Dimensiones (long., prof., ancho), longitud total, densidad por hectárea y % exacto afectado: Por determinar por levantamiento instrumental (especialista de Infraestructura Marrón).</t>
        </is>
      </c>
    </row>
    <row r="73">
      <c r="A73" s="55" t="inlineStr">
        <is>
          <t>F-DT-05</t>
        </is>
      </c>
      <c r="B73" s="55" t="inlineStr">
        <is>
          <t>Señal/operador celular, tiempos de viaje y alojamiento no registrados en campo (Por verificar). Autorización de Ronda Campesina por confirmar con autoridades del C.P. Huayabal. Se observaron cercos de predios de propiedad privada. Bloque en zona de origen y recarga de la microcuenca C1096-Q9545.</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3</t>
        </is>
      </c>
    </row>
    <row r="7">
      <c r="A7" s="53" t="inlineStr">
        <is>
          <t>Hechos declarados por fuente</t>
        </is>
      </c>
    </row>
    <row r="8">
      <c r="A8" s="54" t="inlineStr">
        <is>
          <t>Fuente</t>
        </is>
      </c>
      <c r="B8" s="54" t="inlineStr">
        <is>
          <t>Hechos</t>
        </is>
      </c>
    </row>
    <row r="9">
      <c r="A9" s="55" t="inlineStr">
        <is>
          <t>Dato de campo</t>
        </is>
      </c>
      <c r="B9" s="55" t="n">
        <v>61</v>
      </c>
    </row>
    <row r="10">
      <c r="A10" s="56" t="inlineStr">
        <is>
          <t>Gabinete (GIS / teledetección)</t>
        </is>
      </c>
      <c r="B10" s="56" t="n">
        <v>21</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94</v>
      </c>
    </row>
    <row r="29">
      <c r="A29" s="56" t="inlineStr">
        <is>
          <t>COMPLEMENTADO</t>
        </is>
      </c>
      <c r="B29" s="56" t="n">
        <v>1</v>
      </c>
    </row>
    <row r="30">
      <c r="A30" s="55" t="inlineStr">
        <is>
          <t>ACTUALIZADO</t>
        </is>
      </c>
      <c r="B30" s="55" t="n">
        <v>1</v>
      </c>
    </row>
    <row r="31">
      <c r="A31" s="56" t="inlineStr">
        <is>
          <t>DISCREPANTE</t>
        </is>
      </c>
      <c r="B31" s="56" t="n">
        <v>0</v>
      </c>
    </row>
    <row r="32">
      <c r="A32" s="55" t="inlineStr">
        <is>
          <t>PENDIENTE</t>
        </is>
      </c>
      <c r="B32" s="55" t="n">
        <v>18</v>
      </c>
    </row>
    <row r="45">
      <c r="A45" s="53" t="inlineStr">
        <is>
          <t>Cobertura por estrato — campo (%)</t>
        </is>
      </c>
    </row>
    <row r="46">
      <c r="A46" s="54" t="inlineStr">
        <is>
          <t>Estrato</t>
        </is>
      </c>
      <c r="B46" s="54" t="inlineStr">
        <is>
          <t>% del área</t>
        </is>
      </c>
    </row>
    <row r="47">
      <c r="A47" s="55" t="inlineStr">
        <is>
          <t>Dosel</t>
        </is>
      </c>
      <c r="B47" s="60" t="n">
        <v>30</v>
      </c>
    </row>
    <row r="48">
      <c r="A48" s="56" t="inlineStr">
        <is>
          <t>Arbustiva</t>
        </is>
      </c>
      <c r="B48" s="61" t="n">
        <v>20</v>
      </c>
    </row>
    <row r="49">
      <c r="A49" s="55" t="inlineStr">
        <is>
          <t>Herbácea</t>
        </is>
      </c>
      <c r="B49" s="60" t="n">
        <v>40</v>
      </c>
    </row>
    <row r="50">
      <c r="A50" s="56" t="inlineStr">
        <is>
          <t>Hojarasca</t>
        </is>
      </c>
      <c r="B50" s="61" t="n">
        <v>10</v>
      </c>
    </row>
    <row r="51">
      <c r="A51" s="55" t="inlineStr">
        <is>
          <t>Suelo desnudo</t>
        </is>
      </c>
      <c r="B51" s="60" t="n">
        <v>10</v>
      </c>
    </row>
    <row r="64">
      <c r="A64" s="53" t="inlineStr">
        <is>
          <t>Causas activas de degradación (F-DT-04)</t>
        </is>
      </c>
    </row>
    <row r="65">
      <c r="A65" s="54" t="inlineStr">
        <is>
          <t>Causa</t>
        </is>
      </c>
      <c r="B65" s="54" t="inlineStr">
        <is>
          <t>Intensidad (1 ligera - 4 muy fuerte)</t>
        </is>
      </c>
    </row>
    <row r="66">
      <c r="A66" s="55" t="inlineStr">
        <is>
          <t>Cambio de uso a agricultura</t>
        </is>
      </c>
      <c r="B66" s="55" t="n">
        <v>2</v>
      </c>
    </row>
    <row r="67">
      <c r="A67" s="56" t="inlineStr">
        <is>
          <t>Cambio de uso a pastoreo</t>
        </is>
      </c>
      <c r="B67" s="56" t="n">
        <v>2</v>
      </c>
    </row>
    <row r="68">
      <c r="A68" s="55" t="inlineStr">
        <is>
          <t>Sobrepastoreo (caprino/vacuno)</t>
        </is>
      </c>
      <c r="B68" s="55" t="n">
        <v>2</v>
      </c>
    </row>
    <row r="69">
      <c r="A69" s="56" t="inlineStr">
        <is>
          <t>Especies invasoras</t>
        </is>
      </c>
      <c r="B69" s="56" t="n">
        <v>1</v>
      </c>
    </row>
    <row r="70">
      <c r="A70" s="55" t="inlineStr">
        <is>
          <t>Expansión urbana / vial</t>
        </is>
      </c>
      <c r="B70" s="55" t="n">
        <v>1</v>
      </c>
    </row>
    <row r="71">
      <c r="A71" s="56" t="inlineStr">
        <is>
          <t>Tala para leña</t>
        </is>
      </c>
      <c r="B71" s="56" t="n">
        <v>1</v>
      </c>
    </row>
    <row r="83">
      <c r="A83" s="53" t="inlineStr">
        <is>
          <t>Control de consistencia por calificación</t>
        </is>
      </c>
    </row>
    <row r="84">
      <c r="A84" s="54" t="inlineStr">
        <is>
          <t>Calificación</t>
        </is>
      </c>
      <c r="B84" s="54" t="inlineStr">
        <is>
          <t>Verificaciones</t>
        </is>
      </c>
    </row>
    <row r="85">
      <c r="A85" s="55" t="inlineStr">
        <is>
          <t>SUSTANTIVA</t>
        </is>
      </c>
      <c r="B85" s="55" t="n">
        <v>2</v>
      </c>
    </row>
    <row r="86">
      <c r="A86" s="56" t="inlineStr">
        <is>
          <t>NO SUSTANTIVA</t>
        </is>
      </c>
      <c r="B86" s="56" t="n">
        <v>3</v>
      </c>
    </row>
    <row r="87">
      <c r="A87" s="55" t="inlineStr">
        <is>
          <t>CORREGIDO</t>
        </is>
      </c>
      <c r="B87" s="55" t="n">
        <v>1</v>
      </c>
    </row>
    <row r="88">
      <c r="A88" s="56" t="inlineStr">
        <is>
          <t>CONFORME</t>
        </is>
      </c>
      <c r="B88" s="56"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 — IN Piura</dc:title>
  <dc:subject>Diagnóstico Territorial por bloque de intervención</dc:subject>
  <dcterms:created xsi:type="dcterms:W3CDTF">2026-09-08T03:39:53Z</dcterms:created>
  <dcterms:modified xsi:type="dcterms:W3CDTF">2026-09-11T21:26:26Z</dcterms:modified>
</cp:coreProperties>
</file>