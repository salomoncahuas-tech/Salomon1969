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integración'!$A$76:$A$80</f>
            </numRef>
          </cat>
          <val>
            <numRef>
              <f>'Gráficos de integración'!$B$76:$B$80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integración'!B98</f>
            </strRef>
          </tx>
          <spPr>
            <a:ln>
              <a:prstDash val="solid"/>
            </a:ln>
          </spPr>
          <cat>
            <numRef>
              <f>'Gráficos de integración'!$A$99:$A$102</f>
            </numRef>
          </cat>
          <val>
            <numRef>
              <f>'Gráficos de integración'!$B$99:$B$102</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97</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M7B1</t>
        </is>
      </c>
    </row>
    <row r="6" ht="24" customHeight="1">
      <c r="A6" s="4" t="inlineStr">
        <is>
          <t>Diagnóstico Territorial — Plantilla DT Campo Check Validada V5 | Sistema de referencia: UTM WGS 84 Zona 17S (EPSG:32717) · Integrado con la ficha de campo F-DT vigente (FDT_M7B1_IN_Piura.xlsx) — V7 - resumen V6 + campo F-DT integrado</t>
        </is>
      </c>
    </row>
    <row r="7"/>
    <row r="8" ht="18" customHeight="1">
      <c r="A8" s="5" t="inlineStr">
        <is>
          <t>1. IDENTIFICACIÓN Y LOCALIZACIÓN</t>
        </is>
      </c>
    </row>
    <row r="9">
      <c r="A9" s="6" t="inlineStr">
        <is>
          <t>Código del bloque</t>
        </is>
      </c>
      <c r="B9" s="7" t="inlineStr">
        <is>
          <t>M7B1</t>
        </is>
      </c>
      <c r="C9" s="6" t="inlineStr">
        <is>
          <t>Microcuenca (catálogo)</t>
        </is>
      </c>
      <c r="D9" s="7" t="inlineStr">
        <is>
          <t>C1076-Q9581</t>
        </is>
      </c>
      <c r="E9" s="8" t="n"/>
      <c r="F9" s="8" t="n"/>
    </row>
    <row r="10">
      <c r="A10" s="6" t="inlineStr">
        <is>
          <t>Zona de planificación</t>
        </is>
      </c>
      <c r="B10" s="7" t="inlineStr">
        <is>
          <t>Z07</t>
        </is>
      </c>
      <c r="C10" s="6" t="inlineStr">
        <is>
          <t>Microcuenca declarada en ficha DT</t>
        </is>
      </c>
      <c r="D10" s="7" t="inlineStr">
        <is>
          <t>C1076-Q9581</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Salitral</t>
        </is>
      </c>
      <c r="C12" s="6" t="inlineStr">
        <is>
          <t>Capital distrital</t>
        </is>
      </c>
      <c r="D12" s="7" t="inlineStr">
        <is>
          <t>Salitral</t>
        </is>
      </c>
      <c r="E12" s="8" t="n"/>
      <c r="F12" s="8" t="n"/>
    </row>
    <row r="13">
      <c r="A13" s="6" t="inlineStr">
        <is>
          <t>Centro poblado asociado</t>
        </is>
      </c>
      <c r="B13" s="7" t="inlineStr">
        <is>
          <t>Víctor Raúl</t>
        </is>
      </c>
      <c r="C13" s="6" t="inlineStr">
        <is>
          <t>Comunidad campesina</t>
        </is>
      </c>
      <c r="D13" s="51" t="inlineStr">
        <is>
          <t>Sin registro en ficha</t>
        </is>
      </c>
      <c r="E13" s="8" t="n"/>
      <c r="F13" s="8" t="n"/>
    </row>
    <row r="14">
      <c r="A14" s="6" t="inlineStr">
        <is>
          <t>Superficie de catálogo (V5/V6), ha</t>
        </is>
      </c>
      <c r="B14" s="7" t="n">
        <v>130.43</v>
      </c>
      <c r="C14" s="6" t="inlineStr">
        <is>
          <t>Fuente de superficie</t>
        </is>
      </c>
      <c r="D14" s="7" t="inlineStr">
        <is>
          <t>Catálogo maestro Bloques V5/V6</t>
        </is>
      </c>
      <c r="E14" s="8" t="n"/>
      <c r="F14" s="8" t="n"/>
    </row>
    <row r="15">
      <c r="A15" s="6" t="inlineStr">
        <is>
          <t>Centroide UTM ESTE (m)</t>
        </is>
      </c>
      <c r="B15" s="7" t="n">
        <v>629006</v>
      </c>
      <c r="C15" s="6" t="inlineStr">
        <is>
          <t>Centroide UTM NORTE (m)</t>
        </is>
      </c>
      <c r="D15" s="7" t="n">
        <v>9407536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183</v>
      </c>
      <c r="C19" s="6" t="inlineStr">
        <is>
          <t>Altitud máxima (msnm)</t>
        </is>
      </c>
      <c r="D19" s="7" t="n">
        <v>357</v>
      </c>
      <c r="E19" s="8" t="n"/>
      <c r="F19" s="8" t="n"/>
    </row>
    <row r="20">
      <c r="A20" s="6" t="inlineStr">
        <is>
          <t>Amplitud altitudinal (m)</t>
        </is>
      </c>
      <c r="B20" s="7" t="n">
        <v>174</v>
      </c>
      <c r="C20" s="6" t="inlineStr">
        <is>
          <t>Piso altitudinal dominante</t>
        </is>
      </c>
      <c r="D20" s="7" t="inlineStr">
        <is>
          <t>&lt;1000 m (Yunga)</t>
        </is>
      </c>
      <c r="E20" s="8" t="n"/>
      <c r="F20" s="8" t="n"/>
    </row>
    <row r="21">
      <c r="A21" s="6" t="inlineStr">
        <is>
          <t>Pendiente promedio (%)</t>
        </is>
      </c>
      <c r="B21" s="7" t="n">
        <v>17.35</v>
      </c>
      <c r="C21" s="6" t="inlineStr">
        <is>
          <t>Pendiente promedio (grados)</t>
        </is>
      </c>
      <c r="D21" s="7" t="n">
        <v>9.800000000000001</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0.3136</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(60.13 %)</t>
        </is>
      </c>
      <c r="E29" s="8" t="n"/>
      <c r="F29" s="8" t="n"/>
    </row>
    <row r="30">
      <c r="A30" s="6" t="inlineStr">
        <is>
          <t>Superficie clasificada NDVI 2025 (ha)</t>
        </is>
      </c>
      <c r="B30" s="7" t="n">
        <v>130.476</v>
      </c>
      <c r="C30" s="6" t="inlineStr">
        <is>
          <t>Desviación frente al catálogo (%)</t>
        </is>
      </c>
      <c r="D30" s="7" t="n">
        <v>0.04</v>
      </c>
      <c r="E30" s="8" t="n"/>
      <c r="F30" s="8" t="n"/>
    </row>
    <row r="31">
      <c r="A31" s="6" t="inlineStr">
        <is>
          <t>Superficie clasificada MSAVI 2024 (ha)</t>
        </is>
      </c>
      <c r="B31" s="39" t="n">
        <v>130.425</v>
      </c>
      <c r="C31" s="6" t="inlineStr">
        <is>
          <t>Desviación MSAVI frente al catálogo (%)</t>
        </is>
      </c>
      <c r="D31" s="40" t="n">
        <v>0</v>
      </c>
      <c r="E31" s="8" t="n"/>
      <c r="F31" s="8" t="n"/>
    </row>
    <row r="32">
      <c r="A32" s="6" t="inlineStr">
        <is>
          <t>Superficie bajo umbral MSAVI 0.4976 (ha)</t>
        </is>
      </c>
      <c r="B32" s="39" t="n">
        <v>130.133</v>
      </c>
      <c r="C32" s="6" t="inlineStr">
        <is>
          <t>% del bloque bajo umbral (brecha espectral)</t>
        </is>
      </c>
      <c r="D32" s="40" t="n">
        <v>99.78</v>
      </c>
      <c r="E32" s="8" t="n"/>
      <c r="F32" s="8" t="n"/>
    </row>
    <row r="33">
      <c r="A33" s="6" t="inlineStr">
        <is>
          <t>Clase DN dominante (MSAVI 2024)</t>
        </is>
      </c>
      <c r="B33" s="7" t="inlineStr">
        <is>
          <t>DN 2 · 0.2650 - 0.3813 (Vigor muy bajo)</t>
        </is>
      </c>
      <c r="C33" s="6" t="inlineStr">
        <is>
          <t>N.° de polígonos MSAVI del bloque</t>
        </is>
      </c>
      <c r="D33" s="41" t="n">
        <v>414</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130.43 ha (100% del bloque)</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Bosque ralo (30-70%)</t>
        </is>
      </c>
      <c r="C38" s="6" t="inlineStr">
        <is>
          <t>Cobertura vegetal total — campo (%)</t>
        </is>
      </c>
      <c r="D38" s="7" t="n">
        <v>30</v>
      </c>
      <c r="E38" s="8" t="n"/>
      <c r="F38" s="8" t="n"/>
    </row>
    <row r="39">
      <c r="A39" s="6" t="inlineStr">
        <is>
          <t>Suelo desnudo — campo (%)</t>
        </is>
      </c>
      <c r="B39" s="7" t="n">
        <v>70</v>
      </c>
      <c r="C39" s="6" t="inlineStr">
        <is>
          <t>Regeneración natural</t>
        </is>
      </c>
      <c r="D39" s="7" t="inlineStr">
        <is>
          <t>Escasa (&lt;10 pl./100m²)</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7" t="n">
        <v>6</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Salomón Cahuas Miller</t>
        </is>
      </c>
      <c r="C44" s="6" t="inlineStr">
        <is>
          <t>Fecha de evaluación</t>
        </is>
      </c>
      <c r="D44" s="7" t="inlineStr">
        <is>
          <t>2026-05-05</t>
        </is>
      </c>
      <c r="E44" s="8" t="n"/>
      <c r="F44" s="8" t="n"/>
    </row>
    <row r="45">
      <c r="A45" s="6" t="inlineStr">
        <is>
          <t>Hora de registro</t>
        </is>
      </c>
      <c r="B45" s="7" t="inlineStr">
        <is>
          <t>09:00 h</t>
        </is>
      </c>
      <c r="C45" s="6" t="inlineStr">
        <is>
          <t>Correlativo de ficha</t>
        </is>
      </c>
      <c r="D45" s="7" t="inlineStr">
        <is>
          <t>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1" t="inlineStr">
        <is>
          <t>Transecto central corredor (sector Nuevo Progreso)</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51" t="inlineStr">
        <is>
          <t>Crecimiento poblacional — proximidad de 5 CP a lo largo del corredor PE-02A.</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Baja</t>
        </is>
      </c>
      <c r="E52" s="8" t="n"/>
      <c r="F52" s="8" t="n"/>
    </row>
    <row r="53">
      <c r="A53" s="6" t="inlineStr">
        <is>
          <t>Urgencia de control de erosión</t>
        </is>
      </c>
      <c r="B53" s="7" t="inlineStr">
        <is>
          <t>Baja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M7B1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0.2925</v>
      </c>
      <c r="C11" s="21">
        <f>ROUND(B11/$B$15*100,2)</f>
        <v/>
      </c>
      <c r="D11" s="13" t="inlineStr">
        <is>
          <t>Vigor moderado</t>
        </is>
      </c>
      <c r="E11" s="13" t="inlineStr">
        <is>
          <t>Sobre umbral</t>
        </is>
      </c>
    </row>
    <row r="12">
      <c r="A12" s="7" t="inlineStr">
        <is>
          <t>0.3813 - 0.4976 · DN 3</t>
        </is>
      </c>
      <c r="B12" s="18" t="n">
        <v>11.1016</v>
      </c>
      <c r="C12" s="19">
        <f>ROUND(B12/$B$15*100,2)</f>
        <v/>
      </c>
      <c r="D12" s="11" t="inlineStr">
        <is>
          <t>Vigor bajo</t>
        </is>
      </c>
      <c r="E12" s="11" t="inlineStr">
        <is>
          <t>BAJO umbral 0.4976</t>
        </is>
      </c>
    </row>
    <row r="13">
      <c r="A13" s="14" t="inlineStr">
        <is>
          <t>0.2650 - 0.3813 · DN 2</t>
        </is>
      </c>
      <c r="B13" s="30" t="n">
        <v>97.9795</v>
      </c>
      <c r="C13" s="29">
        <f>ROUND(B13/$B$15*100,2)</f>
        <v/>
      </c>
      <c r="D13" s="15" t="inlineStr">
        <is>
          <t>Vigor muy bajo</t>
        </is>
      </c>
      <c r="E13" s="15" t="inlineStr">
        <is>
          <t>BAJO umbral 0.4976</t>
        </is>
      </c>
    </row>
    <row r="14">
      <c r="A14" s="7" t="inlineStr">
        <is>
          <t>&lt;= 0.2650 · DN 1</t>
        </is>
      </c>
      <c r="B14" s="18" t="n">
        <v>21.0515</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414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130.43</v>
      </c>
      <c r="C18" s="50" t="inlineStr">
        <is>
          <t>—</t>
        </is>
      </c>
      <c r="D18" s="47" t="inlineStr">
        <is>
          <t>Desviación planimétrica frente al catálogo</t>
        </is>
      </c>
      <c r="E18" s="47" t="inlineStr">
        <is>
          <t>+0.00 %</t>
        </is>
      </c>
    </row>
    <row r="19">
      <c r="A19" s="16" t="inlineStr">
        <is>
          <t>MSAVI 2024 — MEDIA DEL BLOQUE</t>
        </is>
      </c>
      <c r="B19" s="17" t="n">
        <v>0.313647</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414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(0.3136) se conserva del catálogo maestro y es dato oficial; la fila resaltada indica la clase en la que cae dicha media. Los totales y porcentajes se calculan con fórmulas sobre las filas del cuadro.</t>
        </is>
      </c>
      <c r="B21" s="42" t="n"/>
      <c r="C21" s="42" t="n"/>
      <c r="D21" s="42" t="n"/>
      <c r="E21" s="43"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5.5888</v>
      </c>
      <c r="C25" s="19" t="n">
        <v>4.28</v>
      </c>
      <c r="D25" s="11" t="inlineStr">
        <is>
          <t>Dosel continuo, matorral denso o mosaico agroforestal</t>
        </is>
      </c>
      <c r="E25" s="11" t="inlineStr"/>
    </row>
    <row r="26">
      <c r="A26" s="12" t="inlineStr">
        <is>
          <t>Vegetación mediana</t>
        </is>
      </c>
      <c r="B26" s="20" t="n">
        <v>78.459</v>
      </c>
      <c r="C26" s="21" t="n">
        <v>60.13</v>
      </c>
      <c r="D26" s="13" t="inlineStr">
        <is>
          <t>Pastizal cultivado, matorral ralo, parcelas agrícolas</t>
        </is>
      </c>
      <c r="E26" s="13" t="inlineStr"/>
    </row>
    <row r="27">
      <c r="A27" s="7" t="inlineStr">
        <is>
          <t>Vegetación ligera</t>
        </is>
      </c>
      <c r="B27" s="18" t="n">
        <v>45.8987</v>
      </c>
      <c r="C27" s="19" t="n">
        <v>35.18</v>
      </c>
      <c r="D27" s="11" t="inlineStr">
        <is>
          <t>Cobertura discontinua, suelo parcialmente expuesto</t>
        </is>
      </c>
      <c r="E27" s="11" t="inlineStr"/>
    </row>
    <row r="28">
      <c r="A28" s="12" t="inlineStr">
        <is>
          <t>Tierra desnuda</t>
        </is>
      </c>
      <c r="B28" s="20" t="n">
        <v>0.5292</v>
      </c>
      <c r="C28" s="21" t="n">
        <v>0.41</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130.43</v>
      </c>
      <c r="C30" s="25" t="inlineStr">
        <is>
          <t>—</t>
        </is>
      </c>
      <c r="D30" s="25" t="inlineStr">
        <is>
          <t>Desviación planimétrica frente al catálogo</t>
        </is>
      </c>
      <c r="E30" s="25" t="inlineStr">
        <is>
          <t>+0.04 %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30 % frente a un 4.28 % del polígono clasificado como «Vegetación alta» por el NDVI 2025; la observación de campo corresponde a una parcela o recorrido puntual y no es estadísticamente representativa de las 130.430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M7B1</t>
        </is>
      </c>
    </row>
    <row r="6" ht="24" customHeight="1">
      <c r="A6" s="4" t="inlineStr">
        <is>
          <t>Levantamiento del 2026-05-05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629006</v>
      </c>
      <c r="D10" s="26" t="n">
        <v>9407540</v>
      </c>
      <c r="E10" s="11" t="n">
        <v>4</v>
      </c>
      <c r="F10" s="11" t="inlineStr"/>
      <c r="G10" s="11" t="inlineStr">
        <is>
          <t>Coordenada consignada en F-DT-01</t>
        </is>
      </c>
    </row>
    <row r="11">
      <c r="A11" s="12" t="inlineStr">
        <is>
          <t>H-01</t>
        </is>
      </c>
      <c r="B11" s="13" t="inlineStr">
        <is>
          <t>Fuente de agua — Reservorio / Represa</t>
        </is>
      </c>
      <c r="C11" s="27" t="n">
        <v>628636</v>
      </c>
      <c r="D11" s="27" t="n">
        <v>9408472</v>
      </c>
      <c r="E11" s="13" t="n">
        <v>1006.5</v>
      </c>
      <c r="F11" s="13" t="inlineStr">
        <is>
          <t>Permanente</t>
        </is>
      </c>
      <c r="G11" s="13" t="inlineStr">
        <is>
          <t>Reservorio JASS Nuevo Progreso</t>
        </is>
      </c>
    </row>
    <row r="12">
      <c r="A12" s="7" t="inlineStr">
        <is>
          <t>H-02</t>
        </is>
      </c>
      <c r="B12" s="11" t="inlineStr">
        <is>
          <t>Fuente de agua — Reservorio / Represa</t>
        </is>
      </c>
      <c r="C12" s="26" t="n">
        <v>628707</v>
      </c>
      <c r="D12" s="26" t="n">
        <v>9408442</v>
      </c>
      <c r="E12" s="11" t="n">
        <v>954.1</v>
      </c>
      <c r="F12" s="11" t="inlineStr">
        <is>
          <t>Permanente</t>
        </is>
      </c>
      <c r="G12" s="11" t="inlineStr">
        <is>
          <t>Reservorio JASS Nuevo Progreso (2)</t>
        </is>
      </c>
    </row>
    <row r="13">
      <c r="A13" s="12" t="inlineStr">
        <is>
          <t>H-03</t>
        </is>
      </c>
      <c r="B13" s="13" t="inlineStr">
        <is>
          <t>Fuente de agua — Manantial / Puquio</t>
        </is>
      </c>
      <c r="C13" s="27" t="n">
        <v>628485</v>
      </c>
      <c r="D13" s="27" t="n">
        <v>9408678</v>
      </c>
      <c r="E13" s="13" t="n">
        <v>1255.2</v>
      </c>
      <c r="F13" s="13" t="inlineStr">
        <is>
          <t>Intermitente</t>
        </is>
      </c>
      <c r="G13" s="13" t="inlineStr">
        <is>
          <t>Fuente intermitente</t>
        </is>
      </c>
    </row>
    <row r="14">
      <c r="A14" s="7" t="inlineStr">
        <is>
          <t>H-04</t>
        </is>
      </c>
      <c r="B14" s="11" t="inlineStr">
        <is>
          <t>Fuente de agua — Quebrada estacional</t>
        </is>
      </c>
      <c r="C14" s="26" t="n">
        <v>628900</v>
      </c>
      <c r="D14" s="26" t="n">
        <v>9408100</v>
      </c>
      <c r="E14" s="11" t="n">
        <v>573.9</v>
      </c>
      <c r="F14" s="11" t="inlineStr">
        <is>
          <t>Estacional</t>
        </is>
      </c>
      <c r="G14" s="11" t="inlineStr">
        <is>
          <t>Quebrada estacional 1</t>
        </is>
      </c>
    </row>
    <row r="15">
      <c r="A15" s="12" t="inlineStr">
        <is>
          <t>H-05</t>
        </is>
      </c>
      <c r="B15" s="13" t="inlineStr">
        <is>
          <t>Fuente de agua — Quebrada estacional</t>
        </is>
      </c>
      <c r="C15" s="27" t="n">
        <v>628950</v>
      </c>
      <c r="D15" s="27" t="n">
        <v>9407900</v>
      </c>
      <c r="E15" s="13" t="n">
        <v>368.3</v>
      </c>
      <c r="F15" s="13" t="inlineStr">
        <is>
          <t>Estacional</t>
        </is>
      </c>
      <c r="G15" s="13" t="inlineStr">
        <is>
          <t>Quebrada estacional 2</t>
        </is>
      </c>
    </row>
    <row r="16">
      <c r="A16" s="7" t="inlineStr">
        <is>
          <t>H-06</t>
        </is>
      </c>
      <c r="B16" s="11" t="inlineStr">
        <is>
          <t>Fuente de agua — Quebrada estacional</t>
        </is>
      </c>
      <c r="C16" s="26" t="n">
        <v>629050</v>
      </c>
      <c r="D16" s="26" t="n">
        <v>9407700</v>
      </c>
      <c r="E16" s="11" t="n">
        <v>169.8</v>
      </c>
      <c r="F16" s="11" t="inlineStr">
        <is>
          <t>Estacional</t>
        </is>
      </c>
      <c r="G16" s="11" t="inlineStr">
        <is>
          <t>Quebrada estacional 3</t>
        </is>
      </c>
    </row>
    <row r="17">
      <c r="A17" s="12" t="inlineStr">
        <is>
          <t>H-07</t>
        </is>
      </c>
      <c r="B17" s="13" t="inlineStr">
        <is>
          <t>Fuente de agua — Quebrada estacional</t>
        </is>
      </c>
      <c r="C17" s="27" t="n">
        <v>629100</v>
      </c>
      <c r="D17" s="27" t="n">
        <v>9407500</v>
      </c>
      <c r="E17" s="13" t="n">
        <v>100.7</v>
      </c>
      <c r="F17" s="13" t="inlineStr">
        <is>
          <t>Estacional</t>
        </is>
      </c>
      <c r="G17" s="13" t="inlineStr">
        <is>
          <t>Quebrada estacional 4</t>
        </is>
      </c>
    </row>
    <row r="18">
      <c r="A18" s="7" t="inlineStr">
        <is>
          <t>H-08</t>
        </is>
      </c>
      <c r="B18" s="11" t="inlineStr">
        <is>
          <t>Fuente de agua — Río</t>
        </is>
      </c>
      <c r="C18" s="26" t="n">
        <v>629200</v>
      </c>
      <c r="D18" s="26" t="n">
        <v>9407400</v>
      </c>
      <c r="E18" s="11" t="n">
        <v>236.9</v>
      </c>
      <c r="F18" s="11" t="inlineStr">
        <is>
          <t>Permanente</t>
        </is>
      </c>
      <c r="G18" s="11" t="inlineStr">
        <is>
          <t>Río Piura — borde oriental</t>
        </is>
      </c>
    </row>
    <row r="19">
      <c r="A19" s="16" t="inlineStr">
        <is>
          <t>TOTAL: 9 puntos</t>
        </is>
      </c>
      <c r="B19" s="17" t="inlineStr"/>
      <c r="C19" s="17" t="inlineStr"/>
      <c r="D19" s="17" t="inlineStr"/>
      <c r="E19" s="17" t="inlineStr"/>
      <c r="F19" s="17" t="inlineStr"/>
      <c r="G19" s="17" t="inlineStr"/>
    </row>
    <row r="21">
      <c r="A21" s="6" t="inlineStr">
        <is>
          <t>Centroide del bloque — UTM ESTE (m)</t>
        </is>
      </c>
      <c r="B21" s="7" t="n">
        <v>629006</v>
      </c>
      <c r="C21" s="6" t="inlineStr">
        <is>
          <t>Centroide del bloque — UTM NORTE (m)</t>
        </is>
      </c>
      <c r="D21" s="7" t="n">
        <v>9407536</v>
      </c>
      <c r="E21" s="8" t="n"/>
      <c r="F21" s="8" t="n"/>
      <c r="G21" s="8" t="n"/>
      <c r="H21" s="8" t="n"/>
    </row>
    <row r="22">
      <c r="A22" s="6" t="inlineStr">
        <is>
          <t>N.° de estaciones fotográficas declaradas</t>
        </is>
      </c>
      <c r="B22" s="7" t="n">
        <v>0</v>
      </c>
      <c r="C22" s="6" t="inlineStr">
        <is>
          <t>Estaciones dentro del polígono</t>
        </is>
      </c>
      <c r="D22" s="7" t="n">
        <v>0</v>
      </c>
      <c r="E22" s="8" t="n"/>
      <c r="F22" s="8" t="n"/>
      <c r="G22" s="8" t="n"/>
      <c r="H22" s="8" t="n"/>
    </row>
    <row r="24" ht="108" customHeight="1">
      <c r="A24"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DE GEOMETRÍA LINEAL: corredor de ≈4.2 km sobre la ladera derecha del valle del río Piura, PARALELO A LA VÍA DEPARTAMENTAL PE-02A. La ficha F-DT-01 no consigna observaciones adicionales. NOTA: la geometría alargada del polígono y su contigüidad con la vía condicionan tanto la exposición del ecosistema como la logística de intervención.</t>
        </is>
      </c>
      <c r="B24" s="42" t="n"/>
      <c r="C24" s="42" t="n"/>
      <c r="D24" s="42" t="n"/>
      <c r="E24" s="42" t="n"/>
      <c r="F24" s="42" t="n"/>
      <c r="G24" s="43" t="n"/>
    </row>
  </sheetData>
  <mergeCells count="8">
    <mergeCell ref="A1:G1"/>
    <mergeCell ref="A8:G8"/>
    <mergeCell ref="A3:G3"/>
    <mergeCell ref="A6:G6"/>
    <mergeCell ref="A4:G4"/>
    <mergeCell ref="A24:G2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C1076-Q9581 — BLOQUE M7B1</t>
        </is>
      </c>
    </row>
    <row r="6" ht="24" customHeight="1">
      <c r="A6" s="4" t="inlineStr">
        <is>
          <t>Distrito de Salitral · Provincia de Morropon · Comparación de los bloques preliminares de intervención de la misma microcuenca</t>
        </is>
      </c>
    </row>
    <row r="8" ht="18" customHeight="1">
      <c r="A8" s="5" t="inlineStr">
        <is>
          <t>BLOQUES DE LA MICROCUENCA C1076-Q9581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4" t="inlineStr">
        <is>
          <t>► M7B1</t>
        </is>
      </c>
      <c r="B10" s="28" t="n">
        <v>130.43</v>
      </c>
      <c r="C10" s="29" t="n">
        <v>32.38</v>
      </c>
      <c r="D10" s="15" t="inlineStr">
        <is>
          <t>183 – 357</t>
        </is>
      </c>
      <c r="E10" s="15" t="n">
        <v>174</v>
      </c>
      <c r="F10" s="15" t="n">
        <v>17.35</v>
      </c>
      <c r="G10" s="30" t="n">
        <v>0.3136</v>
      </c>
      <c r="H10" s="29" t="n">
        <v>4.28</v>
      </c>
      <c r="I10" s="29" t="n">
        <v>99.78</v>
      </c>
    </row>
    <row r="11">
      <c r="A11" s="12" t="inlineStr">
        <is>
          <t>M7B2</t>
        </is>
      </c>
      <c r="B11" s="31" t="n">
        <v>115.38</v>
      </c>
      <c r="C11" s="21" t="n">
        <v>28.64</v>
      </c>
      <c r="D11" s="13" t="inlineStr">
        <is>
          <t>204 – 362</t>
        </is>
      </c>
      <c r="E11" s="13" t="n">
        <v>158</v>
      </c>
      <c r="F11" s="13" t="n">
        <v>14.01</v>
      </c>
      <c r="G11" s="20" t="n">
        <v>0.2877</v>
      </c>
      <c r="H11" s="21" t="n">
        <v>0.91</v>
      </c>
      <c r="I11" s="21" t="n">
        <v>99.58</v>
      </c>
    </row>
    <row r="12">
      <c r="A12" s="7" t="inlineStr">
        <is>
          <t>M7B6</t>
        </is>
      </c>
      <c r="B12" s="32" t="n">
        <v>91.29000000000001</v>
      </c>
      <c r="C12" s="19" t="n">
        <v>22.66</v>
      </c>
      <c r="D12" s="11" t="inlineStr">
        <is>
          <t>228 – 453</t>
        </is>
      </c>
      <c r="E12" s="11" t="n">
        <v>225</v>
      </c>
      <c r="F12" s="11" t="n">
        <v>16.87</v>
      </c>
      <c r="G12" s="18" t="n">
        <v>0.2878</v>
      </c>
      <c r="H12" s="19" t="n">
        <v>0.73</v>
      </c>
      <c r="I12" s="19" t="n">
        <v>99.95999999999999</v>
      </c>
    </row>
    <row r="13">
      <c r="A13" s="12" t="inlineStr">
        <is>
          <t>M7B3</t>
        </is>
      </c>
      <c r="B13" s="31" t="n">
        <v>65.73999999999999</v>
      </c>
      <c r="C13" s="21" t="n">
        <v>16.32</v>
      </c>
      <c r="D13" s="13" t="inlineStr">
        <is>
          <t>209 – 372</t>
        </is>
      </c>
      <c r="E13" s="13" t="n">
        <v>163</v>
      </c>
      <c r="F13" s="13" t="n">
        <v>19.61</v>
      </c>
      <c r="G13" s="20" t="n">
        <v>0.298</v>
      </c>
      <c r="H13" s="21" t="n">
        <v>1.32</v>
      </c>
      <c r="I13" s="21" t="n">
        <v>99.84999999999999</v>
      </c>
    </row>
    <row r="14">
      <c r="A14" s="16" t="inlineStr">
        <is>
          <t>TOTAL / PROMEDIO</t>
        </is>
      </c>
      <c r="B14" s="33">
        <f>SUM(B10:B13)</f>
        <v/>
      </c>
      <c r="C14" s="23">
        <f>SUM(C10:C13)</f>
        <v/>
      </c>
      <c r="D14" s="17" t="inlineStr">
        <is>
          <t>183 – 453</t>
        </is>
      </c>
      <c r="E14" s="17" t="inlineStr"/>
      <c r="F14" s="17">
        <f>ROUND(AVERAGE(F10:F13),2)</f>
        <v/>
      </c>
      <c r="G14" s="22">
        <f>ROUND(AVERAGE(G10:G13),4)</f>
        <v/>
      </c>
      <c r="H14" s="23">
        <f>ROUND(AVERAGE(H10:H13),2)</f>
        <v/>
      </c>
      <c r="I14" s="23">
        <f>ROUND(AVERAGE(I10:I13),2)</f>
        <v/>
      </c>
    </row>
    <row r="16" ht="84" customHeight="1">
      <c r="A16" s="9" t="inlineStr">
        <is>
          <t>LECTURA INTRAMICROCUENCA. El bloque M7B1 ocupa el puesto 1 de 4 por superficie dentro de la microcuenca C1076-Q9581 (32.38 % de las 402.84 ha preliminares de la microcuenca). Su pendiente promedio (17.35 %, clase «15-25% (Fuert. inclinado)») es la 3.ª más baja de 4 y se sitúa por encima del promedio de la microcuenca (16.96 %). Su MSAVI 2024 (0.3136) es el 1.º de 4 y queda por encima del promedio local (0.2968). Amplitud altitudinal del bloque: 174 m (183–357 msnm). El cuadro conserva todos los bloques catalogados en la microcuenca, incluidos los descartados en el tamizaje, para referencia del conjunto. Los bloques sin ficha DT figuran con sus parámetros de gabinete. BRECHA ESPECTRAL. El 99.78 % de la superficie del bloque (130.133 ha de 130.425 ha) se sitúa bajo el umbral MSAVI 0.4976, por debajo del promedio local de la microcuenca (99.79 %) calculado sobre los bloques con dato MSAVI disponible.</t>
        </is>
      </c>
      <c r="B16" s="42" t="n"/>
      <c r="C16" s="42" t="n"/>
      <c r="D16" s="42" t="n"/>
      <c r="E16" s="42" t="n"/>
      <c r="F16" s="42" t="n"/>
      <c r="G16" s="42" t="n"/>
      <c r="H16" s="42" t="n"/>
      <c r="I16" s="43" t="n"/>
    </row>
    <row r="18" ht="60" customHeight="1">
      <c r="A18"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8" s="42" t="n"/>
      <c r="C18" s="42" t="n"/>
      <c r="D18" s="42" t="n"/>
      <c r="E18" s="42" t="n"/>
      <c r="F18" s="42" t="n"/>
      <c r="G18" s="42" t="n"/>
      <c r="H18" s="42" t="n"/>
      <c r="I18" s="43" t="n"/>
    </row>
  </sheetData>
  <mergeCells count="9">
    <mergeCell ref="A2:I2"/>
    <mergeCell ref="A5:I5"/>
    <mergeCell ref="A1:I1"/>
    <mergeCell ref="A18:I18"/>
    <mergeCell ref="A8:I8"/>
    <mergeCell ref="A3:I3"/>
    <mergeCell ref="A6:I6"/>
    <mergeCell ref="A4:I4"/>
    <mergeCell ref="A16:I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5"/>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CONTROL DE CONSISTENCIA — BLOQUE M7B1</t>
        </is>
      </c>
    </row>
    <row r="6">
      <c r="A6" s="53" t="inlineStr">
        <is>
          <t>Cruce de la ficha de campo F-DT vigente con la ficha de resumen de gabinete y el catálogo maestro. Integración 2026-09-11 20:22:40.</t>
        </is>
      </c>
    </row>
    <row r="7">
      <c r="A7" s="55" t="inlineStr">
        <is>
          <t>DISCREPANCIAS Y VERIFICACIONES</t>
        </is>
      </c>
    </row>
    <row r="8">
      <c r="A8" s="56" t="inlineStr">
        <is>
          <t>Cod.</t>
        </is>
      </c>
      <c r="B8" s="56" t="inlineStr">
        <is>
          <t>Campo afectado</t>
        </is>
      </c>
      <c r="C8" s="56" t="inlineStr">
        <is>
          <t>Discrepancia observada</t>
        </is>
      </c>
      <c r="D8" s="56" t="inlineStr">
        <is>
          <t>Calificación</t>
        </is>
      </c>
      <c r="E8" s="56" t="inlineStr">
        <is>
          <t>Tratamiento adoptado</t>
        </is>
      </c>
    </row>
    <row r="9">
      <c r="A9" s="57" t="inlineStr">
        <is>
          <t>G-01</t>
        </is>
      </c>
      <c r="B9" s="57" t="inlineStr">
        <is>
          <t>Código de microcuenca</t>
        </is>
      </c>
      <c r="C9" s="57" t="inlineStr">
        <is>
          <t>Ficha DT y catálogo maestro coinciden en «C1076-Q9581».</t>
        </is>
      </c>
      <c r="D9" s="57" t="inlineStr">
        <is>
          <t>CONFORME</t>
        </is>
      </c>
      <c r="E9" s="57" t="inlineStr">
        <is>
          <t>Sin acción.</t>
        </is>
      </c>
    </row>
    <row r="10">
      <c r="A10" s="58" t="inlineStr">
        <is>
          <t>G-02</t>
        </is>
      </c>
      <c r="B10" s="58" t="inlineStr">
        <is>
          <t>UTM del punto de muestreo</t>
        </is>
      </c>
      <c r="C10" s="58" t="inlineStr">
        <is>
          <t>El punto de muestreo declarado dista 4.0 m del centroide, dentro del radio de control.</t>
        </is>
      </c>
      <c r="D10" s="58" t="inlineStr">
        <is>
          <t>CONFORME</t>
        </is>
      </c>
      <c r="E10" s="58" t="inlineStr">
        <is>
          <t>Sin acción.</t>
        </is>
      </c>
    </row>
    <row r="11">
      <c r="A11" s="57" t="inlineStr">
        <is>
          <t>G-03</t>
        </is>
      </c>
      <c r="B11" s="57" t="inlineStr">
        <is>
          <t>Sistema de referencia UTM 17S</t>
        </is>
      </c>
      <c r="C11" s="57" t="inlineStr">
        <is>
          <t>Verificación de rango para EPSG:32717: Conforme.</t>
        </is>
      </c>
      <c r="D11" s="57" t="inlineStr">
        <is>
          <t>CONFORME</t>
        </is>
      </c>
      <c r="E11" s="57" t="inlineStr">
        <is>
          <t>Sin acción.</t>
        </is>
      </c>
    </row>
    <row r="12">
      <c r="A12" s="58" t="inlineStr">
        <is>
          <t>G-04</t>
        </is>
      </c>
      <c r="B12" s="58" t="inlineStr">
        <is>
          <t>Altitud del punto de muestreo</t>
        </is>
      </c>
      <c r="C12" s="58" t="inlineStr">
        <is>
          <t>La altitud GPS (196 msnm) cae dentro del rango altitudinal del bloque (183 - 357 msnm).</t>
        </is>
      </c>
      <c r="D12" s="58" t="inlineStr">
        <is>
          <t>CONFORME</t>
        </is>
      </c>
      <c r="E12" s="58" t="inlineStr">
        <is>
          <t>Sin acción.</t>
        </is>
      </c>
    </row>
    <row r="13">
      <c r="A13" s="57" t="inlineStr">
        <is>
          <t>G-05</t>
        </is>
      </c>
      <c r="B13" s="57" t="inlineStr">
        <is>
          <t>Superficie NDVI vs. catálogo</t>
        </is>
      </c>
      <c r="C13" s="57" t="inlineStr">
        <is>
          <t>La superficie clasificada por el NDVI mediana 2025 (130.476 ha) se desvía 0.04 % de la superficie de catálogo (130.43 ha).</t>
        </is>
      </c>
      <c r="D13" s="57" t="inlineStr">
        <is>
          <t>CONFORME</t>
        </is>
      </c>
      <c r="E13" s="57" t="inlineStr">
        <is>
          <t>Sin acción: la segmentación valida la geometría del bloque.</t>
        </is>
      </c>
    </row>
    <row r="14">
      <c r="A14" s="58" t="inlineStr">
        <is>
          <t>G-06</t>
        </is>
      </c>
      <c r="B14" s="58" t="inlineStr">
        <is>
          <t>Superficie MSAVI vs. catálogo</t>
        </is>
      </c>
      <c r="C14" s="58" t="inlineStr">
        <is>
          <t>La superficie clasificada por el MSAVI 2024 (130.425 ha) se desvía -0.00 % de la superficie de catálogo (130.43 ha).</t>
        </is>
      </c>
      <c r="D14" s="58" t="inlineStr">
        <is>
          <t>CONFORME</t>
        </is>
      </c>
      <c r="E14" s="58" t="inlineStr">
        <is>
          <t>Sin acción: la segmentación valida la geometría del bloque.</t>
        </is>
      </c>
    </row>
    <row r="15">
      <c r="A15" s="57" t="inlineStr">
        <is>
          <t>G-07</t>
        </is>
      </c>
      <c r="B15" s="57" t="inlineStr">
        <is>
          <t>Brecha espectral MSAVI</t>
        </is>
      </c>
      <c r="C15" s="57" t="inlineStr">
        <is>
          <t>El 99.78 % del bloque queda bajo el umbral 0.4976; superficie de brecha 130.13 ha.</t>
        </is>
      </c>
      <c r="D15" s="57" t="inlineStr">
        <is>
          <t>CONFORME</t>
        </is>
      </c>
      <c r="E15" s="57" t="inlineStr">
        <is>
          <t>Sin acción: alimenta el indicador de brecha del proyecto.</t>
        </is>
      </c>
    </row>
    <row r="16">
      <c r="A16" s="58" t="inlineStr">
        <is>
          <t>G-08</t>
        </is>
      </c>
      <c r="B16" s="58" t="inlineStr">
        <is>
          <t>Distribución areal MSAVI 2024</t>
        </is>
      </c>
      <c r="C16" s="58" t="inlineStr">
        <is>
          <t>La hoja de cobertura declara 5 clases DN con superficie, 130.43 ha clasificadas en total.</t>
        </is>
      </c>
      <c r="D16" s="58" t="inlineStr">
        <is>
          <t>CONFORME</t>
        </is>
      </c>
      <c r="E16" s="58" t="inlineStr">
        <is>
          <t>Sin acción: procede de la estadística zonal del raster MSAVI 2024 clasificado.</t>
        </is>
      </c>
    </row>
    <row r="17">
      <c r="A17" s="57" t="inlineStr">
        <is>
          <t>G-09</t>
        </is>
      </c>
      <c r="B17" s="57" t="inlineStr">
        <is>
          <t>Media MSAVI vs. clase DN dominante</t>
        </is>
      </c>
      <c r="C17" s="57" t="inlineStr">
        <is>
          <t>La media del bloque (0.3136) cae en la clase «0.2650 - 0.3813 (Vigor muy bajo)» y la clase DN dominante por superficie es «DN 2 · 0.2650 - 0.3813 (Vigor muy bajo)».</t>
        </is>
      </c>
      <c r="D17" s="57" t="inlineStr">
        <is>
          <t>CONFORME</t>
        </is>
      </c>
      <c r="E17" s="57" t="inlineStr">
        <is>
          <t>Sin acción: media y clase dominante son coherentes.</t>
        </is>
      </c>
    </row>
    <row r="18">
      <c r="A18" s="58" t="inlineStr">
        <is>
          <t>G-10</t>
        </is>
      </c>
      <c r="B18" s="58" t="inlineStr">
        <is>
          <t>Peligro integrado (MCA-AHP)</t>
        </is>
      </c>
      <c r="C18" s="58" t="inlineStr">
        <is>
          <t>El nivel de peligro integrado no está disponible en los insumos de este entregable.</t>
        </is>
      </c>
      <c r="D18" s="58" t="inlineStr">
        <is>
          <t>SUSTANTIVA</t>
        </is>
      </c>
      <c r="E18" s="58" t="inlineStr">
        <is>
          <t>Debe tomarse del modelamiento de mesolocalización (MCA-AHP de PMM, EPH y PGI) antes de cerrar el perfil.</t>
        </is>
      </c>
    </row>
    <row r="19">
      <c r="A19" s="57" t="inlineStr">
        <is>
          <t>I-01</t>
        </is>
      </c>
      <c r="B19" s="57" t="inlineStr">
        <is>
          <t>Parcela de muestreo</t>
        </is>
      </c>
      <c r="C19" s="57" t="inlineStr">
        <is>
          <t>El libro de resumen V6 consignaba «Sin registro en ficha»; la ficha de campo vigente declara «Transecto central corredor (sector Nuevo Progreso)».</t>
        </is>
      </c>
      <c r="D19" s="57" t="inlineStr">
        <is>
          <t>CORREGIDO</t>
        </is>
      </c>
      <c r="E19" s="57" t="inlineStr">
        <is>
          <t>Se adopta el valor de campo por ser la fuente que manda sobre el dato y la más reciente. El valor anterior queda declarado para trazabilidad.</t>
        </is>
      </c>
    </row>
    <row r="20">
      <c r="A20" s="58" t="inlineStr">
        <is>
          <t>I-02</t>
        </is>
      </c>
      <c r="B20" s="58" t="inlineStr">
        <is>
          <t>Causa subyacente principal</t>
        </is>
      </c>
      <c r="C20" s="58" t="inlineStr">
        <is>
          <t>El libro de resumen V6 consignaba «Crecimiento poblacional — proximidad de 5 centros poblados a lo largo del corredor PE-02A»; la ficha de campo vigente declara «Crecimiento poblacional — proximidad de 5 CP a lo largo del corredor PE-02A.».</t>
        </is>
      </c>
      <c r="D20" s="58" t="inlineStr">
        <is>
          <t>CORREGIDO</t>
        </is>
      </c>
      <c r="E20" s="58" t="inlineStr">
        <is>
          <t>Se adopta el valor de campo por ser la fuente que manda sobre el dato y la más reciente. El valor anterior queda declarado para trazabilidad.</t>
        </is>
      </c>
    </row>
    <row r="21">
      <c r="A21" s="57" t="inlineStr">
        <is>
          <t>F-01</t>
        </is>
      </c>
      <c r="B21" s="57" t="inlineStr">
        <is>
          <t>Fichas F-DT levantadas</t>
        </is>
      </c>
      <c r="C21" s="57" t="inlineStr">
        <is>
          <t>La plantilla de campo trae las cinco fichas F-DT-01 a F-DT-05 (completitud 100.0 % de los campos esperados).</t>
        </is>
      </c>
      <c r="D21" s="57" t="inlineStr">
        <is>
          <t>CONFORME</t>
        </is>
      </c>
      <c r="E21" s="57" t="inlineStr">
        <is>
          <t>Sin acción.</t>
        </is>
      </c>
    </row>
    <row r="22">
      <c r="A22" s="58" t="inlineStr">
        <is>
          <t>F-02</t>
        </is>
      </c>
      <c r="B22" s="58" t="inlineStr">
        <is>
          <t>Cobertura de la integración</t>
        </is>
      </c>
      <c r="C22" s="58" t="inlineStr">
        <is>
          <t>Se declararon 109 de 114 hechos integrados (95.6 %); 5 quedan sin dato en ninguna fuente.</t>
        </is>
      </c>
      <c r="D22" s="58" t="inlineStr">
        <is>
          <t>CONFORME</t>
        </is>
      </c>
      <c r="E22" s="58" t="inlineStr">
        <is>
          <t>Sin acción.</t>
        </is>
      </c>
    </row>
    <row r="23">
      <c r="A23" s="57" t="inlineStr">
        <is>
          <t>H-01</t>
        </is>
      </c>
      <c r="B23" s="57" t="inlineStr">
        <is>
          <t>Rango de pendiente dominante</t>
        </is>
      </c>
      <c r="C23" s="57" t="inlineStr">
        <is>
          <t>La ficha DT declara «25-50% (Mod. escarpado)»; la estadística zonal sobre el MDE arroja una pendiente promedio de 17.35 %, que corresponde a la clase «15-25% (Fuert. inclinado)»</t>
        </is>
      </c>
      <c r="D23" s="57" t="inlineStr">
        <is>
          <t>NO SUSTANTIVA</t>
        </is>
      </c>
      <c r="E23" s="5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4">
      <c r="A24" s="58" t="inlineStr">
        <is>
          <t>H-02</t>
        </is>
      </c>
      <c r="B24" s="58" t="inlineStr">
        <is>
          <t>Cobertura vegetal total</t>
        </is>
      </c>
      <c r="C24" s="58" t="inlineStr">
        <is>
          <t>La ficha DT estima 30 % de cobertura vegetal en campo; el NDVI mediana 2025 clasifica 99.59 % del polígono en clases de vegetación</t>
        </is>
      </c>
      <c r="D24" s="58" t="inlineStr">
        <is>
          <t>NO SUSTANTIVA</t>
        </is>
      </c>
      <c r="E24" s="58"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5">
      <c r="A25" s="57" t="inlineStr">
        <is>
          <t>H-03</t>
        </is>
      </c>
      <c r="B25" s="57" t="inlineStr">
        <is>
          <t>Elenco florístico</t>
        </is>
      </c>
      <c r="C25" s="57" t="inlineStr">
        <is>
          <t>La ficha registra 6 taxones, por debajo del mínimo de 15 que exige el formato V5</t>
        </is>
      </c>
      <c r="D25" s="57" t="inlineStr">
        <is>
          <t>SUSTANTIVA</t>
        </is>
      </c>
      <c r="E25" s="57" t="inlineStr">
        <is>
          <t>Registro florístico preliminar, sin colecta ni determinación botánica formal. Debe cerrarse con colecta botánica en la siguiente campaña. (Verificación heredada de la ficha de resumen V6.)</t>
        </is>
      </c>
    </row>
    <row r="26">
      <c r="A26" s="58" t="inlineStr">
        <is>
          <t>H-04</t>
        </is>
      </c>
      <c r="B26" s="58" t="inlineStr">
        <is>
          <t>Representatividad del levantamiento</t>
        </is>
      </c>
      <c r="C26" s="58" t="inlineStr">
        <is>
          <t>Ninguna de las estaciones fotográficas georreferenciadas se localiza dentro del polígono del bloque</t>
        </is>
      </c>
      <c r="D26" s="58" t="inlineStr">
        <is>
          <t>SUSTANTIVA</t>
        </is>
      </c>
      <c r="E26" s="58" t="inlineStr">
        <is>
          <t>La verificación documenta el perímetro y la vista panorámica del bloque, no su interior. Los parámetros que exigen recorrido interno se consignan «Por determinar». (Verificación heredada de la ficha de resumen V6.)</t>
        </is>
      </c>
    </row>
    <row r="27">
      <c r="A27" s="57" t="inlineStr">
        <is>
          <t>H-05</t>
        </is>
      </c>
      <c r="B27" s="57" t="inlineStr">
        <is>
          <t>Centro poblado asociado</t>
        </is>
      </c>
      <c r="C27" s="57" t="inlineStr">
        <is>
          <t>La ficha DT declara «Víctor Raúl»; el cruce INEI-Bloques V5 identifica 3 centro(s) poblado(s) en el bloque: LA ALBERCA, NUEVO PROGRESO, VICTOR RAUL</t>
        </is>
      </c>
      <c r="D27" s="57" t="inlineStr">
        <is>
          <t>NO SUSTANTIVA</t>
        </is>
      </c>
      <c r="E27" s="57" t="inlineStr">
        <is>
          <t>Se conserva el registro de campo como referencia y se adopta el listado INEI para el diagnóstico social y el cálculo de población beneficiaria. (Verificación heredada de la ficha de resumen V6.)</t>
        </is>
      </c>
    </row>
    <row r="28">
      <c r="A28" s="58" t="inlineStr">
        <is>
          <t>H-06</t>
        </is>
      </c>
      <c r="B28" s="58" t="inlineStr">
        <is>
          <t>Plan de Ingreso</t>
        </is>
      </c>
      <c r="C28" s="58" t="inlineStr">
        <is>
          <t>Altitud = 0 msnm (captura por defecto del aplicativo)</t>
        </is>
      </c>
      <c r="D28" s="58" t="inlineStr">
        <is>
          <t>CORREGIDO</t>
        </is>
      </c>
      <c r="E28" s="58" t="inlineStr">
        <is>
          <t>Se reemplaza por la altitud GPS de campo (196 msnm) (Verificación heredada de la ficha de resumen V6.)</t>
        </is>
      </c>
    </row>
    <row r="29">
      <c r="A29" s="57" t="inlineStr">
        <is>
          <t>H-07</t>
        </is>
      </c>
      <c r="B29" s="57" t="inlineStr">
        <is>
          <t>F-DT-02 / F-DT-03</t>
        </is>
      </c>
      <c r="C29" s="57" t="inlineStr">
        <is>
          <t>Erosión «Ligera (laminar)» y urgencia «Baja» frente a un suelo desnudo del 70%</t>
        </is>
      </c>
      <c r="D29" s="57" t="inlineStr">
        <is>
          <t>SUSTANTIVA</t>
        </is>
      </c>
      <c r="E29" s="57" t="inlineStr">
        <is>
          <t>Inconsistencia interna a resolver (Verificación heredada de la ficha de resumen V6.)</t>
        </is>
      </c>
    </row>
    <row r="30">
      <c r="A30" s="58" t="inlineStr">
        <is>
          <t>H-08</t>
        </is>
      </c>
      <c r="B30" s="58" t="inlineStr">
        <is>
          <t>F-DT-04</t>
        </is>
      </c>
      <c r="C30" s="58" t="inlineStr">
        <is>
          <t>Urgencia de intervención BAJA pese a 70% de suelo desnudo y 25% de área con especie invasora</t>
        </is>
      </c>
      <c r="D30" s="58" t="inlineStr">
        <is>
          <t>SUSTANTIVA</t>
        </is>
      </c>
      <c r="E30" s="58" t="inlineStr">
        <is>
          <t>Revisar calificación (Verificación heredada de la ficha de resumen V6.)</t>
        </is>
      </c>
    </row>
    <row r="31">
      <c r="A31" s="57" t="inlineStr">
        <is>
          <t>H-09</t>
        </is>
      </c>
      <c r="B31" s="57" t="inlineStr">
        <is>
          <t>F-DT-05</t>
        </is>
      </c>
      <c r="C31" s="57" t="inlineStr">
        <is>
          <t>Dos reservorios de la JASS Nuevo Progreso dentro del polígono</t>
        </is>
      </c>
      <c r="D31" s="57" t="inlineStr">
        <is>
          <t>SUSTANTIVA</t>
        </is>
      </c>
      <c r="E31" s="57" t="inlineStr">
        <is>
          <t>Coordinación obligatoria con la JASS; oportunidad MERESE (Verificación heredada de la ficha de resumen V6.)</t>
        </is>
      </c>
    </row>
    <row r="33">
      <c r="A33" s="59" t="inlineStr">
        <is>
          <t>RESUMEN</t>
        </is>
      </c>
      <c r="B33" s="60" t="inlineStr">
        <is>
          <t>23 verificaciones</t>
        </is>
      </c>
      <c r="C33" s="60" t="inlineStr">
        <is>
          <t>SUSTANTIVA: 6 · NO SUSTANTIVA: 3 · CORREGIDO: 3 · CONFORME: 11</t>
        </is>
      </c>
    </row>
    <row r="35">
      <c r="A35" s="61"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5:E35"/>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INTEGRACIÓN DE LA FICHA DE CAMPO — BLOQUE M7B1</t>
        </is>
      </c>
    </row>
    <row r="7">
      <c r="A7" s="55" t="inlineStr">
        <is>
          <t>A. HECHOS ACTUALIZADOS POR LA VERIFICACIÓN DE CAMPO</t>
        </is>
      </c>
    </row>
    <row r="8">
      <c r="A8" s="56" t="inlineStr">
        <is>
          <t>Sección</t>
        </is>
      </c>
      <c r="B8" s="56" t="inlineStr">
        <is>
          <t>Hecho</t>
        </is>
      </c>
      <c r="C8" s="56" t="inlineStr">
        <is>
          <t>Valor en la ficha V6</t>
        </is>
      </c>
      <c r="D8" s="56" t="inlineStr">
        <is>
          <t>Valor de campo vigente</t>
        </is>
      </c>
      <c r="E8" s="56" t="inlineStr">
        <is>
          <t>Fuente que manda</t>
        </is>
      </c>
    </row>
    <row r="9">
      <c r="A9" s="57" t="inlineStr">
        <is>
          <t>5. Ecosistema, cobertura y flora (F-DT-03)</t>
        </is>
      </c>
      <c r="B9" s="57" t="inlineStr">
        <is>
          <t>Parcela de muestreo</t>
        </is>
      </c>
      <c r="C9" s="57" t="inlineStr">
        <is>
          <t>Sin registro en ficha</t>
        </is>
      </c>
      <c r="D9" s="57" t="inlineStr">
        <is>
          <t>Transecto central corredor (sector Nuevo Progreso)</t>
        </is>
      </c>
      <c r="E9" s="57" t="inlineStr">
        <is>
          <t>Dato de campo</t>
        </is>
      </c>
    </row>
    <row r="10">
      <c r="A10" s="58" t="inlineStr">
        <is>
          <t>6. Degradación, causas y urgencia (F-DT-04)</t>
        </is>
      </c>
      <c r="B10" s="58" t="inlineStr">
        <is>
          <t>Causa subyacente principal</t>
        </is>
      </c>
      <c r="C10" s="58" t="inlineStr">
        <is>
          <t>Crecimiento poblacional — proximidad de 5 centros poblados a lo largo del corredor PE-02A</t>
        </is>
      </c>
      <c r="D10" s="58" t="inlineStr">
        <is>
          <t>Crecimiento poblacional — proximidad de 5 CP a lo largo del corredor PE-02A.</t>
        </is>
      </c>
      <c r="E10" s="58" t="inlineStr">
        <is>
          <t>Dato de campo</t>
        </is>
      </c>
    </row>
    <row r="12">
      <c r="A12" s="55" t="inlineStr">
        <is>
          <t>B. HECHOS APORTADOS ÚNICAMENTE POR LA FICHA DE CAMPO</t>
        </is>
      </c>
    </row>
    <row r="13">
      <c r="A13" s="56" t="inlineStr">
        <is>
          <t>Sección</t>
        </is>
      </c>
      <c r="B13" s="56" t="inlineStr">
        <is>
          <t>Hecho</t>
        </is>
      </c>
      <c r="C13" s="56" t="inlineStr">
        <is>
          <t>Valor</t>
        </is>
      </c>
      <c r="D13" s="56" t="inlineStr">
        <is>
          <t>Unidad</t>
        </is>
      </c>
    </row>
    <row r="14">
      <c r="A14" s="57" t="inlineStr">
        <is>
          <t>1. Identificación y localización</t>
        </is>
      </c>
      <c r="B14" s="57" t="inlineStr">
        <is>
          <t>UTM ESTE del punto de muestreo (m)</t>
        </is>
      </c>
      <c r="C14" s="57" t="inlineStr">
        <is>
          <t>629006</t>
        </is>
      </c>
      <c r="D14" s="57" t="inlineStr">
        <is>
          <t>m</t>
        </is>
      </c>
    </row>
    <row r="15">
      <c r="A15" s="58" t="inlineStr">
        <is>
          <t>1. Identificación y localización</t>
        </is>
      </c>
      <c r="B15" s="58" t="inlineStr">
        <is>
          <t>UTM NORTE del punto de muestreo (m)</t>
        </is>
      </c>
      <c r="C15" s="58" t="inlineStr">
        <is>
          <t>9407540</t>
        </is>
      </c>
      <c r="D15" s="58" t="inlineStr">
        <is>
          <t>m</t>
        </is>
      </c>
    </row>
    <row r="16">
      <c r="A16" s="57" t="inlineStr">
        <is>
          <t>2. Parámetros físicos del terreno</t>
        </is>
      </c>
      <c r="B16" s="57" t="inlineStr">
        <is>
          <t>Altitud GPS del punto de muestreo (msnm)</t>
        </is>
      </c>
      <c r="C16" s="57" t="inlineStr">
        <is>
          <t>196</t>
        </is>
      </c>
      <c r="D16" s="57" t="inlineStr">
        <is>
          <t>msnm</t>
        </is>
      </c>
    </row>
    <row r="17">
      <c r="A17" s="58" t="inlineStr">
        <is>
          <t>2. Parámetros físicos del terreno</t>
        </is>
      </c>
      <c r="B17" s="58" t="inlineStr">
        <is>
          <t>Piso altitudinal del punto de muestreo</t>
        </is>
      </c>
      <c r="C17" s="58" t="inlineStr">
        <is>
          <t>&lt;1000 m (Yunga)</t>
        </is>
      </c>
      <c r="D17" s="58" t="inlineStr"/>
    </row>
    <row r="18">
      <c r="A18" s="57" t="inlineStr">
        <is>
          <t>2. Parámetros físicos del terreno</t>
        </is>
      </c>
      <c r="B18" s="57" t="inlineStr">
        <is>
          <t>Paisaje dominante descrito en campo</t>
        </is>
      </c>
      <c r="C18" s="57" t="inlineStr">
        <is>
          <t>Corredor lineal de ~4.2 km sobre ladera derecha del valle del río Piura, paralelo a la vía departamental PE-02A. Morfología convexa con disecciones por 4 quebradas estacionales. Paisaje de colinas bajas con bosque seco ralo y parches mejor conservados en cumbres. Continuidad ecológica con ACR Bosque Seco Salitral al oeste.</t>
        </is>
      </c>
      <c r="D18" s="57" t="inlineStr"/>
    </row>
    <row r="19">
      <c r="A19" s="58" t="inlineStr">
        <is>
          <t>2. Parámetros físicos del terreno</t>
        </is>
      </c>
      <c r="B19" s="58" t="inlineStr">
        <is>
          <t>Reptación de suelo</t>
        </is>
      </c>
      <c r="C19" s="58" t="inlineStr">
        <is>
          <t>No</t>
        </is>
      </c>
      <c r="D19" s="58" t="inlineStr"/>
    </row>
    <row r="20">
      <c r="A20" s="57" t="inlineStr">
        <is>
          <t>2. Parámetros físicos del terreno</t>
        </is>
      </c>
      <c r="B20" s="57" t="inlineStr">
        <is>
          <t>Deslizamientos antiguos</t>
        </is>
      </c>
      <c r="C20" s="57" t="inlineStr">
        <is>
          <t>No</t>
        </is>
      </c>
      <c r="D20" s="57" t="inlineStr"/>
    </row>
    <row r="21">
      <c r="A21" s="58" t="inlineStr">
        <is>
          <t>4. Suelos y erosión (F-DT-02)</t>
        </is>
      </c>
      <c r="B21" s="58" t="inlineStr">
        <is>
          <t>Nivel de erosión - síntesis de campo</t>
        </is>
      </c>
      <c r="C21" s="58" t="inlineStr">
        <is>
          <t>Ligera (laminar)</t>
        </is>
      </c>
      <c r="D21" s="58" t="inlineStr"/>
    </row>
    <row r="22">
      <c r="A22" s="57" t="inlineStr">
        <is>
          <t>4. Suelos y erosión (F-DT-02)</t>
        </is>
      </c>
      <c r="B22" s="57" t="inlineStr">
        <is>
          <t>Sellamiento / costra superficial</t>
        </is>
      </c>
      <c r="C22" s="57" t="inlineStr">
        <is>
          <t>No</t>
        </is>
      </c>
      <c r="D22" s="57" t="inlineStr"/>
    </row>
    <row r="23">
      <c r="A23" s="58" t="inlineStr">
        <is>
          <t>4. Suelos y erosión (F-DT-02)</t>
        </is>
      </c>
      <c r="B23" s="58" t="inlineStr">
        <is>
          <t>Compactación por pisoteo</t>
        </is>
      </c>
      <c r="C23" s="58" t="inlineStr">
        <is>
          <t>No</t>
        </is>
      </c>
      <c r="D23" s="58" t="inlineStr"/>
    </row>
    <row r="24">
      <c r="A24" s="57" t="inlineStr">
        <is>
          <t>4. Suelos y erosión (F-DT-02)</t>
        </is>
      </c>
      <c r="B24" s="57" t="inlineStr">
        <is>
          <t>Raíces expuestas</t>
        </is>
      </c>
      <c r="C24" s="57" t="inlineStr">
        <is>
          <t>No</t>
        </is>
      </c>
      <c r="D24" s="57" t="inlineStr"/>
    </row>
    <row r="25">
      <c r="A25" s="58" t="inlineStr">
        <is>
          <t>4. Suelos y erosión (F-DT-02)</t>
        </is>
      </c>
      <c r="B25" s="58" t="inlineStr">
        <is>
          <t>% del bloque afectado por cárcavas</t>
        </is>
      </c>
      <c r="C25" s="58" t="inlineStr">
        <is>
          <t>0</t>
        </is>
      </c>
      <c r="D25" s="58" t="inlineStr">
        <is>
          <t>%</t>
        </is>
      </c>
    </row>
    <row r="26">
      <c r="A26" s="57" t="inlineStr">
        <is>
          <t>4. Suelos y erosión (F-DT-02)</t>
        </is>
      </c>
      <c r="B26" s="57" t="inlineStr">
        <is>
          <t>Patrón de cárcavas</t>
        </is>
      </c>
      <c r="C26" s="57" t="inlineStr">
        <is>
          <t>Aislado</t>
        </is>
      </c>
      <c r="D26" s="57" t="inlineStr"/>
    </row>
    <row r="27">
      <c r="A27" s="58" t="inlineStr">
        <is>
          <t>4. Suelos y erosión (F-DT-02)</t>
        </is>
      </c>
      <c r="B27" s="58" t="inlineStr">
        <is>
          <t>Socavamiento de cauce</t>
        </is>
      </c>
      <c r="C27" s="58" t="inlineStr">
        <is>
          <t>Sí</t>
        </is>
      </c>
      <c r="D27" s="58" t="inlineStr"/>
    </row>
    <row r="28">
      <c r="A28" s="57" t="inlineStr">
        <is>
          <t>5. Ecosistema, cobertura y flora (F-DT-03)</t>
        </is>
      </c>
      <c r="B28" s="57" t="inlineStr">
        <is>
          <t>Cobertura del dosel (%)</t>
        </is>
      </c>
      <c r="C28" s="57" t="inlineStr">
        <is>
          <t>20</t>
        </is>
      </c>
      <c r="D28" s="57" t="inlineStr">
        <is>
          <t>%</t>
        </is>
      </c>
    </row>
    <row r="29">
      <c r="A29" s="58" t="inlineStr">
        <is>
          <t>5. Ecosistema, cobertura y flora (F-DT-03)</t>
        </is>
      </c>
      <c r="B29" s="58" t="inlineStr">
        <is>
          <t>Cobertura arbustiva (%)</t>
        </is>
      </c>
      <c r="C29" s="58" t="inlineStr">
        <is>
          <t>10</t>
        </is>
      </c>
      <c r="D29" s="58" t="inlineStr">
        <is>
          <t>%</t>
        </is>
      </c>
    </row>
    <row r="30">
      <c r="A30" s="57" t="inlineStr">
        <is>
          <t>5. Ecosistema, cobertura y flora (F-DT-03)</t>
        </is>
      </c>
      <c r="B30" s="57" t="inlineStr">
        <is>
          <t>Cobertura herbácea (%)</t>
        </is>
      </c>
      <c r="C30" s="57" t="inlineStr">
        <is>
          <t>5</t>
        </is>
      </c>
      <c r="D30" s="57" t="inlineStr">
        <is>
          <t>%</t>
        </is>
      </c>
    </row>
    <row r="31">
      <c r="A31" s="58" t="inlineStr">
        <is>
          <t>5. Ecosistema, cobertura y flora (F-DT-03)</t>
        </is>
      </c>
      <c r="B31" s="58" t="inlineStr">
        <is>
          <t>Cobertura de hojarasca (%)</t>
        </is>
      </c>
      <c r="C31" s="58" t="inlineStr">
        <is>
          <t>15</t>
        </is>
      </c>
      <c r="D31" s="58" t="inlineStr">
        <is>
          <t>%</t>
        </is>
      </c>
    </row>
    <row r="32">
      <c r="A32" s="57" t="inlineStr">
        <is>
          <t>5. Ecosistema, cobertura y flora (F-DT-03)</t>
        </is>
      </c>
      <c r="B32" s="57" t="inlineStr">
        <is>
          <t>Altura del estrato dominante (m)</t>
        </is>
      </c>
      <c r="C32" s="57" t="inlineStr">
        <is>
          <t>6</t>
        </is>
      </c>
      <c r="D32" s="57" t="inlineStr">
        <is>
          <t>m</t>
        </is>
      </c>
    </row>
    <row r="33">
      <c r="A33" s="58" t="inlineStr">
        <is>
          <t>5. Ecosistema, cobertura y flora (F-DT-03)</t>
        </is>
      </c>
      <c r="B33" s="58" t="inlineStr">
        <is>
          <t>Altura máxima registrada (m)</t>
        </is>
      </c>
      <c r="C33" s="58" t="inlineStr">
        <is>
          <t>6</t>
        </is>
      </c>
      <c r="D33" s="58" t="inlineStr">
        <is>
          <t>m</t>
        </is>
      </c>
    </row>
    <row r="34">
      <c r="A34" s="57" t="inlineStr">
        <is>
          <t>5. Ecosistema, cobertura y flora (F-DT-03)</t>
        </is>
      </c>
      <c r="B34" s="57" t="inlineStr">
        <is>
          <t>DAP promedio (cm)</t>
        </is>
      </c>
      <c r="C34" s="57" t="inlineStr">
        <is>
          <t>22</t>
        </is>
      </c>
      <c r="D34" s="57" t="inlineStr">
        <is>
          <t>cm</t>
        </is>
      </c>
    </row>
    <row r="35">
      <c r="A35" s="58" t="inlineStr">
        <is>
          <t>5. Ecosistema, cobertura y flora (F-DT-03)</t>
        </is>
      </c>
      <c r="B35" s="58" t="inlineStr">
        <is>
          <t>Presencia de epífitas</t>
        </is>
      </c>
      <c r="C35" s="58" t="inlineStr">
        <is>
          <t>No</t>
        </is>
      </c>
      <c r="D35" s="58" t="inlineStr"/>
    </row>
    <row r="36">
      <c r="A36" s="57" t="inlineStr">
        <is>
          <t>5. Ecosistema, cobertura y flora (F-DT-03)</t>
        </is>
      </c>
      <c r="B36" s="57" t="inlineStr">
        <is>
          <t>Fenología dominante</t>
        </is>
      </c>
      <c r="C36" s="57" t="inlineStr">
        <is>
          <t>Floración</t>
        </is>
      </c>
      <c r="D36" s="57" t="inlineStr"/>
    </row>
    <row r="37">
      <c r="A37" s="58" t="inlineStr">
        <is>
          <t>5. Ecosistema, cobertura y flora (F-DT-03)</t>
        </is>
      </c>
      <c r="B37" s="58" t="inlineStr">
        <is>
          <t>Dimensiones de la parcela (m)</t>
        </is>
      </c>
      <c r="C37" s="58" t="inlineStr">
        <is>
          <t>20 x 50</t>
        </is>
      </c>
      <c r="D37" s="58" t="inlineStr"/>
    </row>
    <row r="38">
      <c r="A38" s="57" t="inlineStr">
        <is>
          <t>5. Ecosistema, cobertura y flora (F-DT-03)</t>
        </is>
      </c>
      <c r="B38" s="57" t="inlineStr">
        <is>
          <t>Pendiente de la parcela (%)</t>
        </is>
      </c>
      <c r="C38" s="57" t="inlineStr">
        <is>
          <t>13.2</t>
        </is>
      </c>
      <c r="D38" s="57" t="inlineStr">
        <is>
          <t>%</t>
        </is>
      </c>
    </row>
    <row r="39">
      <c r="A39" s="58" t="inlineStr">
        <is>
          <t>5. Ecosistema, cobertura y flora (F-DT-03)</t>
        </is>
      </c>
      <c r="B39" s="58" t="inlineStr">
        <is>
          <t>Especies clave georreferenciadas</t>
        </is>
      </c>
      <c r="C39" s="58" t="inlineStr">
        <is>
          <t>4</t>
        </is>
      </c>
      <c r="D39" s="58" t="inlineStr"/>
    </row>
    <row r="40">
      <c r="A40" s="57" t="inlineStr">
        <is>
          <t>6. Degradación, causas y urgencia (F-DT-04)</t>
        </is>
      </c>
      <c r="B40" s="57" t="inlineStr">
        <is>
          <t>Causas directas de la degradación</t>
        </is>
      </c>
      <c r="C40" s="57" t="inlineStr">
        <is>
          <t>Expansión urbana/vial (área lotizada sector noroeste), especies invasoras (Ipomoea carnea ~25% área), sequía prolongada/cambio climático y plagas forestales (hongos puntuales).</t>
        </is>
      </c>
      <c r="D40" s="57" t="inlineStr"/>
    </row>
    <row r="41">
      <c r="A41" s="58" t="inlineStr">
        <is>
          <t>6. Degradación, causas y urgencia (F-DT-04)</t>
        </is>
      </c>
      <c r="B41" s="58" t="inlineStr">
        <is>
          <t>N.° de causas activas en la matriz F-DT-04</t>
        </is>
      </c>
      <c r="C41" s="58" t="inlineStr">
        <is>
          <t>5</t>
        </is>
      </c>
      <c r="D41" s="58" t="inlineStr"/>
    </row>
    <row r="42">
      <c r="A42" s="57" t="inlineStr">
        <is>
          <t>7. Hidrología, acceso y logística (F-DT-05)</t>
        </is>
      </c>
      <c r="B42" s="57" t="inlineStr">
        <is>
          <t>Escorrentía concentrada</t>
        </is>
      </c>
      <c r="C42" s="57" t="inlineStr">
        <is>
          <t>Sí</t>
        </is>
      </c>
      <c r="D42" s="57" t="inlineStr"/>
    </row>
    <row r="43">
      <c r="A43" s="58" t="inlineStr">
        <is>
          <t>7. Hidrología, acceso y logística (F-DT-05)</t>
        </is>
      </c>
      <c r="B43" s="58" t="inlineStr">
        <is>
          <t>Fuentes de agua inventariadas</t>
        </is>
      </c>
      <c r="C43" s="58" t="inlineStr">
        <is>
          <t>8</t>
        </is>
      </c>
      <c r="D43" s="58" t="inlineStr"/>
    </row>
    <row r="44">
      <c r="A44" s="57" t="inlineStr">
        <is>
          <t>7. Hidrología, acceso y logística (F-DT-05)</t>
        </is>
      </c>
      <c r="B44" s="57" t="inlineStr">
        <is>
          <t>Distancia a captación (m)</t>
        </is>
      </c>
      <c r="C44" s="57" t="inlineStr">
        <is>
          <t>0</t>
        </is>
      </c>
      <c r="D44" s="57" t="inlineStr">
        <is>
          <t>m</t>
        </is>
      </c>
    </row>
    <row r="45">
      <c r="A45" s="58" t="inlineStr">
        <is>
          <t>7. Hidrología, acceso y logística (F-DT-05)</t>
        </is>
      </c>
      <c r="B45" s="58" t="inlineStr">
        <is>
          <t>Interferencia con riego</t>
        </is>
      </c>
      <c r="C45" s="58" t="inlineStr">
        <is>
          <t>No</t>
        </is>
      </c>
      <c r="D45" s="58" t="inlineStr"/>
    </row>
    <row r="46">
      <c r="A46" s="57" t="inlineStr">
        <is>
          <t>7. Hidrología, acceso y logística (F-DT-05)</t>
        </is>
      </c>
      <c r="B46" s="57" t="inlineStr">
        <is>
          <t>Vía principal de acceso</t>
        </is>
      </c>
      <c r="C46" s="57" t="inlineStr">
        <is>
          <t>PE-02A</t>
        </is>
      </c>
      <c r="D46" s="57" t="inlineStr"/>
    </row>
    <row r="47">
      <c r="A47" s="58" t="inlineStr">
        <is>
          <t>7. Hidrología, acceso y logística (F-DT-05)</t>
        </is>
      </c>
      <c r="B47" s="58" t="inlineStr">
        <is>
          <t>Tipo de vía del tramo final</t>
        </is>
      </c>
      <c r="C47" s="58" t="inlineStr">
        <is>
          <t>Departamental asfaltada</t>
        </is>
      </c>
      <c r="D47" s="58" t="inlineStr"/>
    </row>
    <row r="48">
      <c r="A48" s="57" t="inlineStr">
        <is>
          <t>7. Hidrología, acceso y logística (F-DT-05)</t>
        </is>
      </c>
      <c r="B48" s="57" t="inlineStr">
        <is>
          <t>Transitabilidad en época seca</t>
        </is>
      </c>
      <c r="C48" s="57" t="inlineStr">
        <is>
          <t>Alto</t>
        </is>
      </c>
      <c r="D48" s="57" t="inlineStr"/>
    </row>
    <row r="49">
      <c r="A49" s="58" t="inlineStr">
        <is>
          <t>7. Hidrología, acceso y logística (F-DT-05)</t>
        </is>
      </c>
      <c r="B49" s="58" t="inlineStr">
        <is>
          <t>Transitabilidad en época lluviosa</t>
        </is>
      </c>
      <c r="C49" s="58" t="inlineStr">
        <is>
          <t>Medio</t>
        </is>
      </c>
      <c r="D49" s="58" t="inlineStr"/>
    </row>
    <row r="50">
      <c r="A50" s="57" t="inlineStr">
        <is>
          <t>7. Hidrología, acceso y logística (F-DT-05)</t>
        </is>
      </c>
      <c r="B50" s="57" t="inlineStr">
        <is>
          <t>Tiempo a la capital distrital (min)</t>
        </is>
      </c>
      <c r="C50" s="57" t="inlineStr">
        <is>
          <t>10</t>
        </is>
      </c>
      <c r="D50" s="57" t="inlineStr">
        <is>
          <t>min</t>
        </is>
      </c>
    </row>
    <row r="51">
      <c r="A51" s="58" t="inlineStr">
        <is>
          <t>7. Hidrología, acceso y logística (F-DT-05)</t>
        </is>
      </c>
      <c r="B51" s="58" t="inlineStr">
        <is>
          <t>Señal celular</t>
        </is>
      </c>
      <c r="C51" s="58" t="inlineStr">
        <is>
          <t>Completa</t>
        </is>
      </c>
      <c r="D51" s="58" t="inlineStr"/>
    </row>
    <row r="52">
      <c r="A52" s="57" t="inlineStr">
        <is>
          <t>7. Hidrología, acceso y logística (F-DT-05)</t>
        </is>
      </c>
      <c r="B52" s="57" t="inlineStr">
        <is>
          <t>Operador con cobertura</t>
        </is>
      </c>
      <c r="C52" s="57" t="inlineStr">
        <is>
          <t>Movistar</t>
        </is>
      </c>
      <c r="D52" s="57" t="inlineStr"/>
    </row>
    <row r="53">
      <c r="A53" s="58" t="inlineStr">
        <is>
          <t>7. Hidrología, acceso y logística (F-DT-05)</t>
        </is>
      </c>
      <c r="B53" s="58" t="inlineStr">
        <is>
          <t>Alojamiento disponible en la zona</t>
        </is>
      </c>
      <c r="C53" s="58" t="inlineStr">
        <is>
          <t>Sí</t>
        </is>
      </c>
      <c r="D53" s="58" t="inlineStr"/>
    </row>
    <row r="54">
      <c r="A54" s="57" t="inlineStr">
        <is>
          <t>7. Hidrología, acceso y logística (F-DT-05)</t>
        </is>
      </c>
      <c r="B54" s="57" t="inlineStr">
        <is>
          <t>Requiere coordinación con ronda / comunidad</t>
        </is>
      </c>
      <c r="C54" s="57" t="inlineStr">
        <is>
          <t>Sí</t>
        </is>
      </c>
      <c r="D54" s="57" t="inlineStr"/>
    </row>
    <row r="55">
      <c r="A55" s="58" t="inlineStr">
        <is>
          <t>7. Hidrología, acceso y logística (F-DT-05)</t>
        </is>
      </c>
      <c r="B55" s="58" t="inlineStr">
        <is>
          <t>Contacto local de coordinación</t>
        </is>
      </c>
      <c r="C55" s="58" t="inlineStr">
        <is>
          <t>Sr. Anelio Togas García — Rondas Campesinas Salitral (número por verificar)</t>
        </is>
      </c>
      <c r="D55" s="58" t="inlineStr"/>
    </row>
    <row r="57">
      <c r="A57" s="55" t="inlineStr">
        <is>
          <t>C. PROCEDENCIA DE LOS HECHOS DECLARADOS</t>
        </is>
      </c>
    </row>
    <row r="58">
      <c r="A58" s="56" t="inlineStr">
        <is>
          <t>Fuente</t>
        </is>
      </c>
      <c r="B58" s="56" t="inlineStr">
        <is>
          <t>Hechos</t>
        </is>
      </c>
      <c r="C58" s="56" t="inlineStr">
        <is>
          <t>Alcance de la fuente</t>
        </is>
      </c>
    </row>
    <row r="59">
      <c r="A59" s="57" t="inlineStr">
        <is>
          <t>Dato de campo</t>
        </is>
      </c>
      <c r="B59" s="57" t="n">
        <v>72</v>
      </c>
      <c r="C59" s="57" t="inlineStr">
        <is>
          <t>Verificación en campo. Fichas F-DT-01 a F-DT-05 de la Plantilla DT Campo Check Validada V5, suscritas por el evaluador.</t>
        </is>
      </c>
    </row>
    <row r="60">
      <c r="A60" s="58" t="inlineStr">
        <is>
          <t>Gabinete (GIS / teledetección)</t>
        </is>
      </c>
      <c r="B60" s="58" t="n">
        <v>23</v>
      </c>
      <c r="C60" s="58" t="inlineStr">
        <is>
          <t>Gabinete. Estadística zonal sobre el MDE y compuestos Sentinel-2 (NDVI mediana 2025, MSAVI 2024 por clase DN).</t>
        </is>
      </c>
    </row>
    <row r="61">
      <c r="A61" s="57" t="inlineStr">
        <is>
          <t>Fuente oficial</t>
        </is>
      </c>
      <c r="B61" s="57" t="n">
        <v>14</v>
      </c>
      <c r="C61" s="57" t="inlineStr">
        <is>
          <t>Fuente oficial. Catálogo maestro Bloques V5/V6, división política INEI y codificación de microcuencas de la ANA.</t>
        </is>
      </c>
    </row>
    <row r="63">
      <c r="A63" s="55" t="inlineStr">
        <is>
          <t>D. ESTADO DEL CRUCE ENTRE FUENTES</t>
        </is>
      </c>
    </row>
    <row r="64">
      <c r="A64" s="56" t="inlineStr">
        <is>
          <t>Estado</t>
        </is>
      </c>
      <c r="B64" s="56" t="inlineStr">
        <is>
          <t>Hechos</t>
        </is>
      </c>
      <c r="C64" s="56" t="inlineStr">
        <is>
          <t>Significado</t>
        </is>
      </c>
    </row>
    <row r="65">
      <c r="A65" s="57" t="inlineStr">
        <is>
          <t>CONFORME</t>
        </is>
      </c>
      <c r="B65" s="57" t="n">
        <v>106</v>
      </c>
      <c r="C65" s="57" t="inlineStr">
        <is>
          <t>Las dos fuentes declaran lo mismo, o solo la fuente que manda sobre el hecho lo declara.</t>
        </is>
      </c>
    </row>
    <row r="66">
      <c r="A66" s="58" t="inlineStr">
        <is>
          <t>COMPLEMENTADO</t>
        </is>
      </c>
      <c r="B66" s="58" t="n">
        <v>1</v>
      </c>
      <c r="C66" s="58" t="inlineStr">
        <is>
          <t>Solo una de las fuentes lo declara y se adopta ese valor.</t>
        </is>
      </c>
    </row>
    <row r="67">
      <c r="A67" s="57" t="inlineStr">
        <is>
          <t>ACTUALIZADO</t>
        </is>
      </c>
      <c r="B67" s="57" t="n">
        <v>2</v>
      </c>
      <c r="C67" s="57" t="inlineStr">
        <is>
          <t>La verificación de campo vigente corrige lo que traía el libro de resumen.</t>
        </is>
      </c>
    </row>
    <row r="68">
      <c r="A68" s="58" t="inlineStr">
        <is>
          <t>DISCREPANTE</t>
        </is>
      </c>
      <c r="B68" s="58" t="n">
        <v>0</v>
      </c>
      <c r="C68" s="58" t="inlineStr">
        <is>
          <t>Las fuentes se contradicen; prevalece la que manda sobre el hecho y la otra queda declarada.</t>
        </is>
      </c>
    </row>
    <row r="69">
      <c r="A69" s="57" t="inlineStr">
        <is>
          <t>PENDIENTE</t>
        </is>
      </c>
      <c r="B69" s="57" t="n">
        <v>5</v>
      </c>
      <c r="C69" s="57"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REGISTRO DE CAMPO F-DT-01 A F-DT-05 — BLOQUE M7B1</t>
        </is>
      </c>
    </row>
    <row r="7">
      <c r="A7" s="55" t="inlineStr">
        <is>
          <t>F-DT-02 · INVENTARIO DE CÁRCAVAS</t>
        </is>
      </c>
    </row>
    <row r="8">
      <c r="A8" s="56" t="inlineStr">
        <is>
          <t>Código</t>
        </is>
      </c>
      <c r="B8" s="56" t="inlineStr">
        <is>
          <t>Tipo</t>
        </is>
      </c>
      <c r="C8" s="56" t="inlineStr">
        <is>
          <t>UTM E ini.</t>
        </is>
      </c>
      <c r="D8" s="56" t="inlineStr">
        <is>
          <t>UTM N ini.</t>
        </is>
      </c>
      <c r="E8" s="56" t="inlineStr">
        <is>
          <t>Longitud (m)</t>
        </is>
      </c>
      <c r="F8" s="56" t="inlineStr">
        <is>
          <t>Prof. (m)</t>
        </is>
      </c>
      <c r="G8" s="56" t="inlineStr">
        <is>
          <t>Ancho (m)</t>
        </is>
      </c>
      <c r="H8" s="56" t="inlineStr">
        <is>
          <t>Estado</t>
        </is>
      </c>
      <c r="I8" s="56" t="inlineStr">
        <is>
          <t>Causa</t>
        </is>
      </c>
    </row>
    <row r="9">
      <c r="A9" s="57" t="inlineStr">
        <is>
          <t>Sin cárcavas inventariadas en el tramo verificado</t>
        </is>
      </c>
      <c r="B9" s="57" t="inlineStr"/>
      <c r="C9" s="57" t="inlineStr"/>
      <c r="D9" s="57" t="inlineStr"/>
      <c r="E9" s="57" t="inlineStr"/>
      <c r="F9" s="57" t="inlineStr"/>
      <c r="G9" s="57" t="inlineStr"/>
      <c r="H9" s="57" t="inlineStr"/>
      <c r="I9" s="57" t="inlineStr"/>
    </row>
    <row r="11">
      <c r="A11" s="55" t="inlineStr">
        <is>
          <t>F-DT-03 · ELENCO FLORÍSTICO</t>
        </is>
      </c>
    </row>
    <row r="12">
      <c r="A12" s="56" t="inlineStr">
        <is>
          <t>N.o</t>
        </is>
      </c>
      <c r="B12" s="56" t="inlineStr">
        <is>
          <t>Nombre común</t>
        </is>
      </c>
      <c r="C12" s="56" t="inlineStr">
        <is>
          <t>Nombre científico</t>
        </is>
      </c>
      <c r="D12" s="56" t="inlineStr">
        <is>
          <t>Familia</t>
        </is>
      </c>
      <c r="E12" s="56" t="inlineStr">
        <is>
          <t>Estrato</t>
        </is>
      </c>
      <c r="F12" s="56" t="inlineStr">
        <is>
          <t>Origen</t>
        </is>
      </c>
      <c r="G12" s="56" t="inlineStr">
        <is>
          <t>Abundancia</t>
        </is>
      </c>
      <c r="H12" s="56" t="inlineStr">
        <is>
          <t>DAP (cm)</t>
        </is>
      </c>
      <c r="I12" s="56" t="inlineStr">
        <is>
          <t>Altura (m)</t>
        </is>
      </c>
    </row>
    <row r="13">
      <c r="A13" s="57" t="inlineStr">
        <is>
          <t>1</t>
        </is>
      </c>
      <c r="B13" s="57" t="inlineStr">
        <is>
          <t>Hualtaco</t>
        </is>
      </c>
      <c r="C13" s="57" t="inlineStr">
        <is>
          <t>Loxopterygium huasango</t>
        </is>
      </c>
      <c r="D13" s="57" t="inlineStr">
        <is>
          <t>Anacardiaceae</t>
        </is>
      </c>
      <c r="E13" s="57" t="inlineStr">
        <is>
          <t>Arbóreo bajo (4-8 m)</t>
        </is>
      </c>
      <c r="F13" s="57" t="inlineStr">
        <is>
          <t>Nativa</t>
        </is>
      </c>
      <c r="G13" s="57" t="inlineStr">
        <is>
          <t>Ocasional (1-5%)</t>
        </is>
      </c>
      <c r="H13" s="62" t="n">
        <v>25</v>
      </c>
      <c r="I13" s="63" t="n">
        <v>6</v>
      </c>
    </row>
    <row r="14">
      <c r="A14" s="58" t="inlineStr">
        <is>
          <t>2</t>
        </is>
      </c>
      <c r="B14" s="58" t="inlineStr">
        <is>
          <t>Charán</t>
        </is>
      </c>
      <c r="C14" s="58" t="inlineStr">
        <is>
          <t>Caesalpinia paipai</t>
        </is>
      </c>
      <c r="D14" s="58" t="inlineStr">
        <is>
          <t>Fabaceae</t>
        </is>
      </c>
      <c r="E14" s="58" t="inlineStr">
        <is>
          <t>Arbóreo bajo (4-8 m)</t>
        </is>
      </c>
      <c r="F14" s="58" t="inlineStr">
        <is>
          <t>Nativa</t>
        </is>
      </c>
      <c r="G14" s="58" t="inlineStr">
        <is>
          <t>Ocasional (1-5%)</t>
        </is>
      </c>
      <c r="H14" s="64" t="n">
        <v>20</v>
      </c>
      <c r="I14" s="65" t="n">
        <v>6</v>
      </c>
    </row>
    <row r="15">
      <c r="A15" s="57" t="inlineStr">
        <is>
          <t>3</t>
        </is>
      </c>
      <c r="B15" s="57" t="inlineStr">
        <is>
          <t>Palo Santo</t>
        </is>
      </c>
      <c r="C15" s="57" t="inlineStr">
        <is>
          <t>Bursera graveolens</t>
        </is>
      </c>
      <c r="D15" s="57" t="inlineStr">
        <is>
          <t>Burseraceae</t>
        </is>
      </c>
      <c r="E15" s="57" t="inlineStr">
        <is>
          <t>Arbóreo bajo (4-8 m)</t>
        </is>
      </c>
      <c r="F15" s="57" t="inlineStr">
        <is>
          <t>Nativa</t>
        </is>
      </c>
      <c r="G15" s="57" t="inlineStr">
        <is>
          <t>Rara (&lt;1%)</t>
        </is>
      </c>
      <c r="H15" s="62" t="n">
        <v>22</v>
      </c>
      <c r="I15" s="63" t="n">
        <v>5</v>
      </c>
    </row>
    <row r="16">
      <c r="A16" s="58" t="inlineStr">
        <is>
          <t>4</t>
        </is>
      </c>
      <c r="B16" s="58" t="inlineStr">
        <is>
          <t>Faique</t>
        </is>
      </c>
      <c r="C16" s="58" t="inlineStr">
        <is>
          <t>Acacia macracantha</t>
        </is>
      </c>
      <c r="D16" s="58" t="inlineStr">
        <is>
          <t>Fabaceae</t>
        </is>
      </c>
      <c r="E16" s="58" t="inlineStr">
        <is>
          <t>Arbóreo bajo (4-8 m)</t>
        </is>
      </c>
      <c r="F16" s="58" t="inlineStr">
        <is>
          <t>Nativa</t>
        </is>
      </c>
      <c r="G16" s="58" t="inlineStr">
        <is>
          <t>Frecuente (5-20%)</t>
        </is>
      </c>
      <c r="H16" s="64" t="n">
        <v>25</v>
      </c>
      <c r="I16" s="65" t="n">
        <v>5</v>
      </c>
    </row>
    <row r="17">
      <c r="A17" s="57" t="inlineStr">
        <is>
          <t>5</t>
        </is>
      </c>
      <c r="B17" s="57" t="inlineStr">
        <is>
          <t>Overo</t>
        </is>
      </c>
      <c r="C17" s="57" t="inlineStr">
        <is>
          <t>Cordia lutea</t>
        </is>
      </c>
      <c r="D17" s="57" t="inlineStr">
        <is>
          <t>Boraginaceae</t>
        </is>
      </c>
      <c r="E17" s="57" t="inlineStr">
        <is>
          <t>Arbustivo alto (1.5-4 m)</t>
        </is>
      </c>
      <c r="F17" s="57" t="inlineStr">
        <is>
          <t>Nativa</t>
        </is>
      </c>
      <c r="G17" s="57" t="inlineStr">
        <is>
          <t>Abundante (20-40%)</t>
        </is>
      </c>
      <c r="H17" s="62" t="n">
        <v>13</v>
      </c>
      <c r="I17" s="63" t="n">
        <v>4</v>
      </c>
    </row>
    <row r="18">
      <c r="A18" s="58" t="inlineStr">
        <is>
          <t>6</t>
        </is>
      </c>
      <c r="B18" s="58" t="inlineStr">
        <is>
          <t>Borrachera</t>
        </is>
      </c>
      <c r="C18" s="58" t="inlineStr">
        <is>
          <t>Ipomoea carnea</t>
        </is>
      </c>
      <c r="D18" s="58" t="inlineStr">
        <is>
          <t>Convolvulaceae</t>
        </is>
      </c>
      <c r="E18" s="58" t="inlineStr">
        <is>
          <t>Arbustivo alto (1.5-4 m)</t>
        </is>
      </c>
      <c r="F18" s="58" t="inlineStr">
        <is>
          <t>Invasora</t>
        </is>
      </c>
      <c r="G18" s="58" t="inlineStr">
        <is>
          <t>Dominante (&gt;40%)</t>
        </is>
      </c>
      <c r="H18" s="58" t="n"/>
      <c r="I18" s="65" t="n">
        <v>2</v>
      </c>
    </row>
    <row r="20">
      <c r="A20" s="55" t="inlineStr">
        <is>
          <t>F-DT-03 · ESPECIES CLAVE GEORREFERENCIADAS</t>
        </is>
      </c>
    </row>
    <row r="21">
      <c r="A21" s="56" t="inlineStr">
        <is>
          <t>N.o</t>
        </is>
      </c>
      <c r="B21" s="56" t="inlineStr">
        <is>
          <t>Especie</t>
        </is>
      </c>
      <c r="C21" s="56" t="inlineStr">
        <is>
          <t>Categoría</t>
        </is>
      </c>
      <c r="D21" s="56" t="inlineStr">
        <is>
          <t>Estado UICN</t>
        </is>
      </c>
      <c r="E21" s="56" t="inlineStr">
        <is>
          <t>UTM ESTE</t>
        </is>
      </c>
      <c r="F21" s="56" t="inlineStr">
        <is>
          <t>UTM NORTE</t>
        </is>
      </c>
      <c r="G21" s="56" t="inlineStr">
        <is>
          <t>N.° individuos</t>
        </is>
      </c>
      <c r="H21" s="56" t="inlineStr">
        <is>
          <t>Observación</t>
        </is>
      </c>
    </row>
    <row r="22">
      <c r="A22" s="57" t="inlineStr">
        <is>
          <t>1</t>
        </is>
      </c>
      <c r="B22" s="57" t="inlineStr">
        <is>
          <t>Loxopterygium huasango</t>
        </is>
      </c>
      <c r="C22" s="57" t="inlineStr">
        <is>
          <t>Amenazada (D.S. 043-2006-AG)</t>
        </is>
      </c>
      <c r="D22" s="57" t="inlineStr">
        <is>
          <t>VU — Vulnerable</t>
        </is>
      </c>
      <c r="E22" s="62" t="n">
        <v>629006</v>
      </c>
      <c r="F22" s="62" t="n">
        <v>9407540</v>
      </c>
      <c r="G22" s="63" t="n">
        <v>3</v>
      </c>
      <c r="H22" s="57" t="inlineStr">
        <is>
          <t>Hualtaco. DAP 25 cm, h 5-6 m. Estado sano. Especie del bosque seco.</t>
        </is>
      </c>
    </row>
    <row r="23">
      <c r="A23" s="58" t="inlineStr">
        <is>
          <t>2</t>
        </is>
      </c>
      <c r="B23" s="58" t="inlineStr">
        <is>
          <t>Bursera graveolens</t>
        </is>
      </c>
      <c r="C23" s="58" t="inlineStr">
        <is>
          <t>Indicadora de buen estado</t>
        </is>
      </c>
      <c r="D23" s="58" t="inlineStr">
        <is>
          <t>LC — Preocupación Menor</t>
        </is>
      </c>
      <c r="E23" s="64" t="n">
        <v>629100</v>
      </c>
      <c r="F23" s="64" t="n">
        <v>9407600</v>
      </c>
      <c r="G23" s="65" t="n">
        <v>5</v>
      </c>
      <c r="H23" s="58" t="inlineStr">
        <is>
          <t>Palo santo sano. Indicador de funcionalidad ecológica del bosque seco.</t>
        </is>
      </c>
    </row>
    <row r="24">
      <c r="A24" s="57" t="inlineStr">
        <is>
          <t>3</t>
        </is>
      </c>
      <c r="B24" s="57" t="inlineStr">
        <is>
          <t>Ipomoea carnea</t>
        </is>
      </c>
      <c r="C24" s="57" t="inlineStr">
        <is>
          <t>Indicadora de perturbación</t>
        </is>
      </c>
      <c r="D24" s="57" t="inlineStr">
        <is>
          <t>NE — No Evaluado</t>
        </is>
      </c>
      <c r="E24" s="62" t="n">
        <v>629200</v>
      </c>
      <c r="F24" s="62" t="n">
        <v>9407700</v>
      </c>
      <c r="G24" s="57" t="n"/>
      <c r="H24" s="57" t="inlineStr">
        <is>
          <t>Especie invasora. Abundante (~25% del área). Requiere mapeo detallado en F-EE.</t>
        </is>
      </c>
    </row>
    <row r="25">
      <c r="A25" s="58" t="inlineStr">
        <is>
          <t>4</t>
        </is>
      </c>
      <c r="B25" s="58" t="inlineStr">
        <is>
          <t>Caesalpinia paipai</t>
        </is>
      </c>
      <c r="C25" s="58" t="inlineStr">
        <is>
          <t>Indicadora de buen estado</t>
        </is>
      </c>
      <c r="D25" s="58" t="inlineStr">
        <is>
          <t>LC — Preocupación Menor</t>
        </is>
      </c>
      <c r="E25" s="64" t="n">
        <v>629050</v>
      </c>
      <c r="F25" s="64" t="n">
        <v>9407580</v>
      </c>
      <c r="G25" s="65" t="n">
        <v>4</v>
      </c>
      <c r="H25" s="58" t="inlineStr">
        <is>
          <t>Charán. DAP 20 cm. Estado sano. Especie del bosque seco.</t>
        </is>
      </c>
    </row>
    <row r="27">
      <c r="A27" s="55" t="inlineStr">
        <is>
          <t>F-DT-04 · MATRIZ DE CAUSAS DE DEGRADACIÓN</t>
        </is>
      </c>
    </row>
    <row r="28">
      <c r="A28" s="56" t="inlineStr">
        <is>
          <t>N.o</t>
        </is>
      </c>
      <c r="B28" s="56" t="inlineStr">
        <is>
          <t>Causa</t>
        </is>
      </c>
      <c r="C28" s="56" t="inlineStr">
        <is>
          <t>Presencia</t>
        </is>
      </c>
      <c r="D28" s="56" t="inlineStr">
        <is>
          <t>Intensidad</t>
        </is>
      </c>
      <c r="E28" s="56" t="inlineStr">
        <is>
          <t>Extensión</t>
        </is>
      </c>
      <c r="F28" s="56" t="inlineStr">
        <is>
          <t>Antigüedad</t>
        </is>
      </c>
      <c r="G28" s="56" t="inlineStr">
        <is>
          <t>Evidencia</t>
        </is>
      </c>
    </row>
    <row r="29">
      <c r="A29" s="57" t="inlineStr">
        <is>
          <t>1</t>
        </is>
      </c>
      <c r="B29" s="57" t="inlineStr">
        <is>
          <t>Sobrepastoreo (caprino/vacuno)</t>
        </is>
      </c>
      <c r="C29" s="57" t="inlineStr">
        <is>
          <t>Sí</t>
        </is>
      </c>
      <c r="D29" s="57" t="inlineStr">
        <is>
          <t>Ligera</t>
        </is>
      </c>
      <c r="E29" s="57" t="inlineStr">
        <is>
          <t>25</t>
        </is>
      </c>
      <c r="F29" s="57" t="inlineStr"/>
      <c r="G29" s="57" t="inlineStr"/>
    </row>
    <row r="30">
      <c r="A30" s="58" t="inlineStr">
        <is>
          <t>2</t>
        </is>
      </c>
      <c r="B30" s="58" t="inlineStr">
        <is>
          <t>Tala para leña</t>
        </is>
      </c>
      <c r="C30" s="58" t="inlineStr">
        <is>
          <t>No</t>
        </is>
      </c>
      <c r="D30" s="58" t="inlineStr">
        <is>
          <t>Nula</t>
        </is>
      </c>
      <c r="E30" s="58" t="inlineStr">
        <is>
          <t>0</t>
        </is>
      </c>
      <c r="F30" s="58" t="inlineStr"/>
      <c r="G30" s="58" t="inlineStr">
        <is>
          <t>Sin evidencia de tala para leña.</t>
        </is>
      </c>
    </row>
    <row r="31">
      <c r="A31" s="57" t="inlineStr">
        <is>
          <t>3</t>
        </is>
      </c>
      <c r="B31" s="57" t="inlineStr">
        <is>
          <t>Tala para carbón</t>
        </is>
      </c>
      <c r="C31" s="57" t="inlineStr">
        <is>
          <t>No</t>
        </is>
      </c>
      <c r="D31" s="57" t="inlineStr">
        <is>
          <t>Nula</t>
        </is>
      </c>
      <c r="E31" s="57" t="inlineStr">
        <is>
          <t>0</t>
        </is>
      </c>
      <c r="F31" s="57" t="inlineStr"/>
      <c r="G31" s="57" t="inlineStr">
        <is>
          <t>Sin evidencia de extracción para carbón.</t>
        </is>
      </c>
    </row>
    <row r="32">
      <c r="A32" s="58" t="inlineStr">
        <is>
          <t>4</t>
        </is>
      </c>
      <c r="B32" s="58" t="inlineStr">
        <is>
          <t>Tala para madera</t>
        </is>
      </c>
      <c r="C32" s="58" t="inlineStr">
        <is>
          <t>No</t>
        </is>
      </c>
      <c r="D32" s="58" t="inlineStr">
        <is>
          <t>Nula</t>
        </is>
      </c>
      <c r="E32" s="58" t="inlineStr">
        <is>
          <t>0</t>
        </is>
      </c>
      <c r="F32" s="58" t="inlineStr"/>
      <c r="G32" s="58" t="inlineStr">
        <is>
          <t>Sin evidencia de tala para madera.</t>
        </is>
      </c>
    </row>
    <row r="33">
      <c r="A33" s="57" t="inlineStr">
        <is>
          <t>5</t>
        </is>
      </c>
      <c r="B33" s="57" t="inlineStr">
        <is>
          <t>Quema (renovación de pastos)</t>
        </is>
      </c>
      <c r="C33" s="57" t="inlineStr">
        <is>
          <t>No</t>
        </is>
      </c>
      <c r="D33" s="57" t="inlineStr">
        <is>
          <t>Nula</t>
        </is>
      </c>
      <c r="E33" s="57" t="inlineStr">
        <is>
          <t>0</t>
        </is>
      </c>
      <c r="F33" s="57" t="inlineStr"/>
      <c r="G33" s="57" t="inlineStr">
        <is>
          <t>Sin evidencia de quema. Frecuencia 5 años: 0.</t>
        </is>
      </c>
    </row>
    <row r="34">
      <c r="A34" s="58" t="inlineStr">
        <is>
          <t>6</t>
        </is>
      </c>
      <c r="B34" s="58" t="inlineStr">
        <is>
          <t>Quema accidental / Incendio</t>
        </is>
      </c>
      <c r="C34" s="58" t="inlineStr">
        <is>
          <t>No</t>
        </is>
      </c>
      <c r="D34" s="58" t="inlineStr">
        <is>
          <t>Nula</t>
        </is>
      </c>
      <c r="E34" s="58" t="inlineStr">
        <is>
          <t>0</t>
        </is>
      </c>
      <c r="F34" s="58" t="inlineStr"/>
      <c r="G34" s="58" t="inlineStr">
        <is>
          <t>Sin evidencia de incendio forestal.</t>
        </is>
      </c>
    </row>
    <row r="35">
      <c r="A35" s="57" t="inlineStr">
        <is>
          <t>7</t>
        </is>
      </c>
      <c r="B35" s="57" t="inlineStr">
        <is>
          <t>Cambio de uso a agricultura</t>
        </is>
      </c>
      <c r="C35" s="57" t="inlineStr">
        <is>
          <t>No</t>
        </is>
      </c>
      <c r="D35" s="57" t="inlineStr">
        <is>
          <t>Nula</t>
        </is>
      </c>
      <c r="E35" s="57" t="inlineStr">
        <is>
          <t>0</t>
        </is>
      </c>
      <c r="F35" s="57" t="inlineStr"/>
      <c r="G35" s="57" t="inlineStr">
        <is>
          <t>Sin cambio de uso a agricultura en el bloque.</t>
        </is>
      </c>
    </row>
    <row r="36">
      <c r="A36" s="58" t="inlineStr">
        <is>
          <t>8</t>
        </is>
      </c>
      <c r="B36" s="58" t="inlineStr">
        <is>
          <t>Cambio de uso a pastoreo</t>
        </is>
      </c>
      <c r="C36" s="58" t="inlineStr">
        <is>
          <t>No</t>
        </is>
      </c>
      <c r="D36" s="58" t="inlineStr">
        <is>
          <t>Nula</t>
        </is>
      </c>
      <c r="E36" s="58" t="inlineStr">
        <is>
          <t>0</t>
        </is>
      </c>
      <c r="F36" s="58" t="inlineStr"/>
      <c r="G36" s="58" t="inlineStr">
        <is>
          <t>Carga ganadera baja estimada.</t>
        </is>
      </c>
    </row>
    <row r="37">
      <c r="A37" s="57" t="inlineStr">
        <is>
          <t>9</t>
        </is>
      </c>
      <c r="B37" s="57" t="inlineStr">
        <is>
          <t>Expansión urbana / vial</t>
        </is>
      </c>
      <c r="C37" s="57" t="inlineStr">
        <is>
          <t>Sí</t>
        </is>
      </c>
      <c r="D37" s="57" t="inlineStr">
        <is>
          <t>Moderada</t>
        </is>
      </c>
      <c r="E37" s="57" t="inlineStr">
        <is>
          <t>10</t>
        </is>
      </c>
      <c r="F37" s="57" t="inlineStr">
        <is>
          <t>5</t>
        </is>
      </c>
      <c r="G37" s="57" t="inlineStr">
        <is>
          <t>Área lotizada con linderos definidos en sector noroeste (CP Víctor Raúl). Requiere exclusión y coordinación con SBN/COFOPRI.</t>
        </is>
      </c>
    </row>
    <row r="38">
      <c r="A38" s="58" t="inlineStr">
        <is>
          <t>10</t>
        </is>
      </c>
      <c r="B38" s="58" t="inlineStr">
        <is>
          <t>Minería informal</t>
        </is>
      </c>
      <c r="C38" s="58" t="inlineStr">
        <is>
          <t>No</t>
        </is>
      </c>
      <c r="D38" s="58" t="inlineStr">
        <is>
          <t>Nula</t>
        </is>
      </c>
      <c r="E38" s="58" t="inlineStr">
        <is>
          <t>0</t>
        </is>
      </c>
      <c r="F38" s="58" t="inlineStr"/>
      <c r="G38" s="58" t="inlineStr">
        <is>
          <t>Sin evidencia de actividad minera.</t>
        </is>
      </c>
    </row>
    <row r="39">
      <c r="A39" s="57" t="inlineStr">
        <is>
          <t>11</t>
        </is>
      </c>
      <c r="B39" s="57" t="inlineStr">
        <is>
          <t>Extracción de áridos (cauces)</t>
        </is>
      </c>
      <c r="C39" s="57" t="inlineStr">
        <is>
          <t>No</t>
        </is>
      </c>
      <c r="D39" s="57" t="inlineStr">
        <is>
          <t>Nula</t>
        </is>
      </c>
      <c r="E39" s="57" t="inlineStr">
        <is>
          <t>0</t>
        </is>
      </c>
      <c r="F39" s="57" t="inlineStr"/>
      <c r="G39" s="57" t="inlineStr">
        <is>
          <t>Sin extracción de áridos documentada.</t>
        </is>
      </c>
    </row>
    <row r="40">
      <c r="A40" s="58" t="inlineStr">
        <is>
          <t>12</t>
        </is>
      </c>
      <c r="B40" s="58" t="inlineStr">
        <is>
          <t>Especies invasoras</t>
        </is>
      </c>
      <c r="C40" s="58" t="inlineStr">
        <is>
          <t>Sí</t>
        </is>
      </c>
      <c r="D40" s="58" t="inlineStr">
        <is>
          <t>Moderada</t>
        </is>
      </c>
      <c r="E40" s="58" t="inlineStr">
        <is>
          <t>25</t>
        </is>
      </c>
      <c r="F40" s="58" t="inlineStr">
        <is>
          <t>10</t>
        </is>
      </c>
      <c r="G40" s="58" t="inlineStr">
        <is>
          <t>Ipomoea carnea (Borrachera) abundante (~25% del área). Compite con regeneración de especies nativas.</t>
        </is>
      </c>
    </row>
    <row r="41">
      <c r="A41" s="57" t="inlineStr">
        <is>
          <t>13</t>
        </is>
      </c>
      <c r="B41" s="57" t="inlineStr">
        <is>
          <t>Erosión natural severa</t>
        </is>
      </c>
      <c r="C41" s="57" t="inlineStr">
        <is>
          <t>No</t>
        </is>
      </c>
      <c r="D41" s="57" t="inlineStr">
        <is>
          <t>Nula</t>
        </is>
      </c>
      <c r="E41" s="57" t="inlineStr">
        <is>
          <t>0</t>
        </is>
      </c>
      <c r="F41" s="57" t="inlineStr"/>
      <c r="G41" s="57" t="inlineStr">
        <is>
          <t>Sin erosión natural severa activa.</t>
        </is>
      </c>
    </row>
    <row r="42">
      <c r="A42" s="58" t="inlineStr">
        <is>
          <t>14</t>
        </is>
      </c>
      <c r="B42" s="58" t="inlineStr">
        <is>
          <t>Sequía prolongada / CC</t>
        </is>
      </c>
      <c r="C42" s="58" t="inlineStr">
        <is>
          <t>Sí</t>
        </is>
      </c>
      <c r="D42" s="58" t="inlineStr">
        <is>
          <t>Ligera</t>
        </is>
      </c>
      <c r="E42" s="58" t="inlineStr">
        <is>
          <t>100</t>
        </is>
      </c>
      <c r="F42" s="58" t="inlineStr">
        <is>
          <t>20</t>
        </is>
      </c>
      <c r="G42" s="58" t="inlineStr">
        <is>
          <t>Referencia de entrevistados. Suelo desnudo 70%. MSAVI bajo-medio (0.314).</t>
        </is>
      </c>
    </row>
    <row r="43">
      <c r="A43" s="57" t="inlineStr">
        <is>
          <t>15</t>
        </is>
      </c>
      <c r="B43" s="57" t="inlineStr">
        <is>
          <t>Plagas o enfermedades forestales</t>
        </is>
      </c>
      <c r="C43" s="57" t="inlineStr">
        <is>
          <t>Sí</t>
        </is>
      </c>
      <c r="D43" s="57" t="inlineStr">
        <is>
          <t>Ligera</t>
        </is>
      </c>
      <c r="E43" s="57" t="inlineStr">
        <is>
          <t>5</t>
        </is>
      </c>
      <c r="F43" s="57" t="inlineStr"/>
      <c r="G43" s="57" t="inlineStr">
        <is>
          <t>Hongos observados puntualmente. Incidencia baja.</t>
        </is>
      </c>
    </row>
    <row r="44">
      <c r="A44" s="58" t="inlineStr">
        <is>
          <t>16</t>
        </is>
      </c>
      <c r="B44" s="58" t="inlineStr">
        <is>
          <t>Otro</t>
        </is>
      </c>
      <c r="C44" s="58" t="inlineStr">
        <is>
          <t>No</t>
        </is>
      </c>
      <c r="D44" s="58" t="inlineStr">
        <is>
          <t>Nula</t>
        </is>
      </c>
      <c r="E44" s="58" t="inlineStr">
        <is>
          <t>0</t>
        </is>
      </c>
      <c r="F44" s="58" t="inlineStr"/>
      <c r="G44" s="58" t="inlineStr"/>
    </row>
    <row r="46">
      <c r="A46" s="55" t="inlineStr">
        <is>
          <t>F-DT-04 · INDICADORES CUANTITATIVOS</t>
        </is>
      </c>
    </row>
    <row r="47">
      <c r="A47" s="56" t="inlineStr">
        <is>
          <t>N.o</t>
        </is>
      </c>
      <c r="B47" s="56" t="inlineStr">
        <is>
          <t>Indicador</t>
        </is>
      </c>
      <c r="C47" s="56" t="inlineStr">
        <is>
          <t>Unidad</t>
        </is>
      </c>
      <c r="D47" s="56" t="inlineStr">
        <is>
          <t>Valor</t>
        </is>
      </c>
      <c r="E47" s="56" t="inlineStr">
        <is>
          <t>Fuente</t>
        </is>
      </c>
      <c r="F47" s="56" t="inlineStr">
        <is>
          <t>Umbral</t>
        </is>
      </c>
      <c r="G47" s="56" t="inlineStr">
        <is>
          <t>Nivel</t>
        </is>
      </c>
    </row>
    <row r="48">
      <c r="A48" s="57" t="inlineStr">
        <is>
          <t>1</t>
        </is>
      </c>
      <c r="B48" s="57" t="inlineStr">
        <is>
          <t>Cobertura vegetal total</t>
        </is>
      </c>
      <c r="C48" s="57" t="inlineStr">
        <is>
          <t>%</t>
        </is>
      </c>
      <c r="D48" s="57" t="inlineStr">
        <is>
          <t>30</t>
        </is>
      </c>
      <c r="E48" s="57" t="inlineStr">
        <is>
          <t>Campo (05/05/2026)</t>
        </is>
      </c>
      <c r="F48" s="57" t="inlineStr">
        <is>
          <t>&gt;60% bueno; 30-60% medio; &lt;30% malo</t>
        </is>
      </c>
      <c r="G48" s="57" t="inlineStr">
        <is>
          <t>Bajo</t>
        </is>
      </c>
    </row>
    <row r="49">
      <c r="A49" s="58" t="inlineStr">
        <is>
          <t>2</t>
        </is>
      </c>
      <c r="B49" s="58" t="inlineStr">
        <is>
          <t>Porcentaje de suelo desnudo</t>
        </is>
      </c>
      <c r="C49" s="58" t="inlineStr">
        <is>
          <t>%</t>
        </is>
      </c>
      <c r="D49" s="58" t="inlineStr">
        <is>
          <t>70</t>
        </is>
      </c>
      <c r="E49" s="58" t="inlineStr">
        <is>
          <t>Campo (05/05/2026)</t>
        </is>
      </c>
      <c r="F49" s="58" t="inlineStr">
        <is>
          <t>&lt;10% bueno; 10-30% medio; &gt;30% malo</t>
        </is>
      </c>
      <c r="G49" s="58" t="inlineStr">
        <is>
          <t>Alto</t>
        </is>
      </c>
    </row>
    <row r="50">
      <c r="A50" s="57" t="inlineStr">
        <is>
          <t>3</t>
        </is>
      </c>
      <c r="B50" s="57" t="inlineStr">
        <is>
          <t>Densidad de cárcavas</t>
        </is>
      </c>
      <c r="C50" s="57" t="inlineStr">
        <is>
          <t>N°/ha</t>
        </is>
      </c>
      <c r="D50" s="57" t="inlineStr">
        <is>
          <t>0</t>
        </is>
      </c>
      <c r="E50" s="57" t="inlineStr">
        <is>
          <t>Campo (05/05/2026)</t>
        </is>
      </c>
      <c r="F50" s="57" t="inlineStr">
        <is>
          <t>0 nulo; 1-3 medio; &gt;3 alto</t>
        </is>
      </c>
      <c r="G50" s="57" t="inlineStr">
        <is>
          <t>Bajo</t>
        </is>
      </c>
    </row>
    <row r="51">
      <c r="A51" s="58" t="inlineStr">
        <is>
          <t>4</t>
        </is>
      </c>
      <c r="B51" s="58" t="inlineStr">
        <is>
          <t>Presencia de especies invasoras</t>
        </is>
      </c>
      <c r="C51" s="58" t="inlineStr">
        <is>
          <t>% área</t>
        </is>
      </c>
      <c r="D51" s="58" t="inlineStr">
        <is>
          <t>25</t>
        </is>
      </c>
      <c r="E51" s="58" t="inlineStr">
        <is>
          <t>Campo — Ipomoea carnea</t>
        </is>
      </c>
      <c r="F51" s="58" t="inlineStr">
        <is>
          <t>&lt;5% bueno; 5-20% medio; &gt;20% alto</t>
        </is>
      </c>
      <c r="G51" s="58" t="inlineStr">
        <is>
          <t>Alto</t>
        </is>
      </c>
    </row>
    <row r="52">
      <c r="A52" s="57" t="inlineStr">
        <is>
          <t>5</t>
        </is>
      </c>
      <c r="B52" s="57" t="inlineStr">
        <is>
          <t>Carga ganadera estimada</t>
        </is>
      </c>
      <c r="C52" s="57" t="inlineStr">
        <is>
          <t>UA/ha</t>
        </is>
      </c>
      <c r="D52" s="57" t="inlineStr">
        <is>
          <t>Bajo</t>
        </is>
      </c>
      <c r="E52" s="57" t="inlineStr">
        <is>
          <t>Campo (referencia)</t>
        </is>
      </c>
      <c r="F52" s="57" t="inlineStr">
        <is>
          <t>Según tipo de ecosistema</t>
        </is>
      </c>
      <c r="G52" s="57" t="inlineStr">
        <is>
          <t>Bajo</t>
        </is>
      </c>
    </row>
    <row r="53">
      <c r="A53" s="58" t="inlineStr">
        <is>
          <t>6</t>
        </is>
      </c>
      <c r="B53" s="58" t="inlineStr">
        <is>
          <t>Frecuencia de quemas últimos 5 años</t>
        </is>
      </c>
      <c r="C53" s="58" t="inlineStr">
        <is>
          <t>N°</t>
        </is>
      </c>
      <c r="D53" s="58" t="inlineStr">
        <is>
          <t>0</t>
        </is>
      </c>
      <c r="E53" s="58" t="inlineStr">
        <is>
          <t>Campo (informantes locales)</t>
        </is>
      </c>
      <c r="F53" s="58" t="inlineStr">
        <is>
          <t>0 nulo; 1-2 medio; &gt;2 alto</t>
        </is>
      </c>
      <c r="G53" s="58" t="inlineStr">
        <is>
          <t>Bajo</t>
        </is>
      </c>
    </row>
    <row r="54">
      <c r="A54" s="57" t="inlineStr">
        <is>
          <t>7</t>
        </is>
      </c>
      <c r="B54" s="57" t="inlineStr">
        <is>
          <t>% área con pendiente &gt;50%</t>
        </is>
      </c>
      <c r="C54" s="57" t="inlineStr">
        <is>
          <t>%</t>
        </is>
      </c>
      <c r="D54" s="57" t="inlineStr">
        <is>
          <t>15</t>
        </is>
      </c>
      <c r="E54" s="57" t="inlineStr">
        <is>
          <t>Perfiles GE (pendiente máx. 48.8%)</t>
        </is>
      </c>
      <c r="F54" s="57" t="inlineStr">
        <is>
          <t>Factor de susceptibilidad</t>
        </is>
      </c>
      <c r="G54" s="57" t="inlineStr">
        <is>
          <t>Medio</t>
        </is>
      </c>
    </row>
    <row r="55">
      <c r="A55" s="58" t="inlineStr">
        <is>
          <t>8</t>
        </is>
      </c>
      <c r="B55" s="58" t="inlineStr">
        <is>
          <t>Distancia a vía vecinal más cercana</t>
        </is>
      </c>
      <c r="C55" s="58" t="inlineStr">
        <is>
          <t>m</t>
        </is>
      </c>
      <c r="D55" s="58" t="inlineStr">
        <is>
          <t>100</t>
        </is>
      </c>
      <c r="E55" s="58" t="inlineStr">
        <is>
          <t>Campo — PE-02A paralela</t>
        </is>
      </c>
      <c r="F55" s="58" t="inlineStr">
        <is>
          <t>A menor distancia → mayor presión</t>
        </is>
      </c>
      <c r="G55" s="58" t="inlineStr">
        <is>
          <t>Alto</t>
        </is>
      </c>
    </row>
    <row r="57">
      <c r="A57" s="55" t="inlineStr">
        <is>
          <t>F-DT-05 · FUENTES DE AGUA INVENTARIADAS</t>
        </is>
      </c>
    </row>
    <row r="58">
      <c r="A58" s="56" t="inlineStr">
        <is>
          <t>N.o</t>
        </is>
      </c>
      <c r="B58" s="56" t="inlineStr">
        <is>
          <t>Tipo de fuente</t>
        </is>
      </c>
      <c r="C58" s="56" t="inlineStr">
        <is>
          <t>UTM ESTE</t>
        </is>
      </c>
      <c r="D58" s="56" t="inlineStr">
        <is>
          <t>UTM NORTE</t>
        </is>
      </c>
      <c r="E58" s="56" t="inlineStr">
        <is>
          <t>Régimen</t>
        </is>
      </c>
      <c r="F58" s="56" t="inlineStr">
        <is>
          <t>Calidad</t>
        </is>
      </c>
      <c r="G58" s="56" t="inlineStr">
        <is>
          <t>Distancia (m)</t>
        </is>
      </c>
      <c r="H58" s="56" t="inlineStr">
        <is>
          <t>Uso / observación</t>
        </is>
      </c>
    </row>
    <row r="59">
      <c r="A59" s="57" t="inlineStr">
        <is>
          <t>1</t>
        </is>
      </c>
      <c r="B59" s="57" t="inlineStr">
        <is>
          <t>Reservorio / Represa</t>
        </is>
      </c>
      <c r="C59" s="62" t="n">
        <v>628636</v>
      </c>
      <c r="D59" s="62" t="n">
        <v>9408472</v>
      </c>
      <c r="E59" s="57" t="inlineStr">
        <is>
          <t>Permanente</t>
        </is>
      </c>
      <c r="F59" s="57" t="inlineStr">
        <is>
          <t>Buena (clara, sin olor, sin sedimentos)</t>
        </is>
      </c>
      <c r="G59" s="63" t="n">
        <v>0</v>
      </c>
      <c r="H59" s="57" t="inlineStr">
        <is>
          <t>Reservorio JASS Nuevo Progreso N°1. Tanque elevado ~25 m³. Abastece CP Nuevo Progreso.</t>
        </is>
      </c>
    </row>
    <row r="60">
      <c r="A60" s="58" t="inlineStr">
        <is>
          <t>2</t>
        </is>
      </c>
      <c r="B60" s="58" t="inlineStr">
        <is>
          <t>Reservorio / Represa</t>
        </is>
      </c>
      <c r="C60" s="64" t="n">
        <v>628707</v>
      </c>
      <c r="D60" s="64" t="n">
        <v>9408442</v>
      </c>
      <c r="E60" s="58" t="inlineStr">
        <is>
          <t>Permanente</t>
        </is>
      </c>
      <c r="F60" s="58" t="inlineStr">
        <is>
          <t>Buena (clara, sin olor, sin sedimentos)</t>
        </is>
      </c>
      <c r="G60" s="65" t="n">
        <v>0</v>
      </c>
      <c r="H60" s="58" t="inlineStr">
        <is>
          <t>Reservorio JASS Nuevo Progreso N°2. Geomembrana, Vol. 225 m³, 35 usuarios. Activo crítico.</t>
        </is>
      </c>
    </row>
    <row r="61">
      <c r="A61" s="57" t="inlineStr">
        <is>
          <t>3</t>
        </is>
      </c>
      <c r="B61" s="57" t="inlineStr">
        <is>
          <t>Manantial / Puquio</t>
        </is>
      </c>
      <c r="C61" s="62" t="n">
        <v>628485</v>
      </c>
      <c r="D61" s="62" t="n">
        <v>9408678</v>
      </c>
      <c r="E61" s="57" t="inlineStr">
        <is>
          <t>Intermitente</t>
        </is>
      </c>
      <c r="F61" s="57" t="inlineStr">
        <is>
          <t>Regular (ligeramente turbia o con sedimentos)</t>
        </is>
      </c>
      <c r="G61" s="63" t="n">
        <v>0</v>
      </c>
      <c r="H61" s="57" t="inlineStr">
        <is>
          <t>Fuente intermitente. Coords. por verificar con GPS de precisión.</t>
        </is>
      </c>
    </row>
    <row r="62">
      <c r="A62" s="58" t="inlineStr">
        <is>
          <t>4</t>
        </is>
      </c>
      <c r="B62" s="58" t="inlineStr">
        <is>
          <t>Quebrada estacional</t>
        </is>
      </c>
      <c r="C62" s="64" t="n">
        <v>628900</v>
      </c>
      <c r="D62" s="64" t="n">
        <v>9408100</v>
      </c>
      <c r="E62" s="58" t="inlineStr">
        <is>
          <t>Estacional (lluvias)</t>
        </is>
      </c>
      <c r="F62" s="58" t="inlineStr">
        <is>
          <t>Regular (ligeramente turbia o con sedimentos)</t>
        </is>
      </c>
      <c r="G62" s="65" t="n">
        <v>0</v>
      </c>
      <c r="H62" s="58" t="inlineStr">
        <is>
          <t>Quebrada estacional 1 — descarga sobre planicie aluvial (CP Víctor Raúl). Dinámica torrencial.</t>
        </is>
      </c>
    </row>
    <row r="63">
      <c r="A63" s="57" t="inlineStr">
        <is>
          <t>5</t>
        </is>
      </c>
      <c r="B63" s="57" t="inlineStr">
        <is>
          <t>Quebrada estacional</t>
        </is>
      </c>
      <c r="C63" s="62" t="n">
        <v>628950</v>
      </c>
      <c r="D63" s="62" t="n">
        <v>9407900</v>
      </c>
      <c r="E63" s="57" t="inlineStr">
        <is>
          <t>Estacional (lluvias)</t>
        </is>
      </c>
      <c r="F63" s="57" t="inlineStr">
        <is>
          <t>Regular (ligeramente turbia o con sedimentos)</t>
        </is>
      </c>
      <c r="G63" s="63" t="n">
        <v>0</v>
      </c>
      <c r="H63" s="57" t="inlineStr">
        <is>
          <t>Quebrada estacional 2. Sedimentos gruesos en cauce.</t>
        </is>
      </c>
    </row>
    <row r="64">
      <c r="A64" s="58" t="inlineStr">
        <is>
          <t>6</t>
        </is>
      </c>
      <c r="B64" s="58" t="inlineStr">
        <is>
          <t>Quebrada estacional</t>
        </is>
      </c>
      <c r="C64" s="64" t="n">
        <v>629050</v>
      </c>
      <c r="D64" s="64" t="n">
        <v>9407700</v>
      </c>
      <c r="E64" s="58" t="inlineStr">
        <is>
          <t>Estacional (lluvias)</t>
        </is>
      </c>
      <c r="F64" s="58" t="inlineStr">
        <is>
          <t>Regular (ligeramente turbia o con sedimentos)</t>
        </is>
      </c>
      <c r="G64" s="65" t="n">
        <v>0</v>
      </c>
      <c r="H64" s="58" t="inlineStr">
        <is>
          <t>Quebrada estacional 3.</t>
        </is>
      </c>
    </row>
    <row r="65">
      <c r="A65" s="57" t="inlineStr">
        <is>
          <t>7</t>
        </is>
      </c>
      <c r="B65" s="57" t="inlineStr">
        <is>
          <t>Quebrada estacional</t>
        </is>
      </c>
      <c r="C65" s="62" t="n">
        <v>629100</v>
      </c>
      <c r="D65" s="62" t="n">
        <v>9407500</v>
      </c>
      <c r="E65" s="57" t="inlineStr">
        <is>
          <t>Estacional (lluvias)</t>
        </is>
      </c>
      <c r="F65" s="57" t="inlineStr">
        <is>
          <t>Regular (ligeramente turbia o con sedimentos)</t>
        </is>
      </c>
      <c r="G65" s="63" t="n">
        <v>0</v>
      </c>
      <c r="H65" s="57" t="inlineStr">
        <is>
          <t>Quebrada estacional 4.</t>
        </is>
      </c>
    </row>
    <row r="66">
      <c r="A66" s="58" t="inlineStr">
        <is>
          <t>8</t>
        </is>
      </c>
      <c r="B66" s="58" t="inlineStr">
        <is>
          <t>Río</t>
        </is>
      </c>
      <c r="C66" s="64" t="n">
        <v>629200</v>
      </c>
      <c r="D66" s="64" t="n">
        <v>9407400</v>
      </c>
      <c r="E66" s="58" t="inlineStr">
        <is>
          <t>Permanente</t>
        </is>
      </c>
      <c r="F66" s="58" t="inlineStr">
        <is>
          <t>Regular (ligeramente turbia o con sedimentos)</t>
        </is>
      </c>
      <c r="G66" s="64" t="n">
        <v>50</v>
      </c>
      <c r="H66" s="58" t="inlineStr">
        <is>
          <t>Río Piura — borde oriental del bloque. Principal eje fluvial de la cuenca.</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2"/>
  <sheetViews>
    <sheetView workbookViewId="0">
      <selection activeCell="A1" sqref="A1"/>
    </sheetView>
  </sheetViews>
  <sheetFormatPr baseColWidth="8" defaultRowHeight="15"/>
  <cols>
    <col width="44" customWidth="1" min="1" max="1"/>
    <col width="18" customWidth="1" min="2" max="2"/>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GRÁFICOS DE LA INTEGRACIÓN — BLOQUE M7B1</t>
        </is>
      </c>
    </row>
    <row r="7">
      <c r="A7" s="55" t="inlineStr">
        <is>
          <t>Hechos declarados por fuente</t>
        </is>
      </c>
    </row>
    <row r="8">
      <c r="A8" s="56" t="inlineStr">
        <is>
          <t>Fuente</t>
        </is>
      </c>
      <c r="B8" s="56" t="inlineStr">
        <is>
          <t>Hechos</t>
        </is>
      </c>
    </row>
    <row r="9">
      <c r="A9" s="57" t="inlineStr">
        <is>
          <t>Dato de campo</t>
        </is>
      </c>
      <c r="B9" s="57" t="n">
        <v>72</v>
      </c>
    </row>
    <row r="10">
      <c r="A10" s="58" t="inlineStr">
        <is>
          <t>Gabinete (GIS / teledetección)</t>
        </is>
      </c>
      <c r="B10" s="58" t="n">
        <v>23</v>
      </c>
    </row>
    <row r="11">
      <c r="A11" s="57" t="inlineStr">
        <is>
          <t>Fuente oficial</t>
        </is>
      </c>
      <c r="B11" s="57" t="n">
        <v>14</v>
      </c>
    </row>
    <row r="28">
      <c r="A28" s="55" t="inlineStr">
        <is>
          <t>Estado del cruce entre fuentes</t>
        </is>
      </c>
    </row>
    <row r="29">
      <c r="A29" s="56" t="inlineStr">
        <is>
          <t>Estado</t>
        </is>
      </c>
      <c r="B29" s="56" t="inlineStr">
        <is>
          <t>Hechos</t>
        </is>
      </c>
    </row>
    <row r="30">
      <c r="A30" s="57" t="inlineStr">
        <is>
          <t>CONFORME</t>
        </is>
      </c>
      <c r="B30" s="57" t="n">
        <v>106</v>
      </c>
    </row>
    <row r="31">
      <c r="A31" s="58" t="inlineStr">
        <is>
          <t>COMPLEMENTADO</t>
        </is>
      </c>
      <c r="B31" s="58" t="n">
        <v>1</v>
      </c>
    </row>
    <row r="32">
      <c r="A32" s="57" t="inlineStr">
        <is>
          <t>ACTUALIZADO</t>
        </is>
      </c>
      <c r="B32" s="57" t="n">
        <v>2</v>
      </c>
    </row>
    <row r="33">
      <c r="A33" s="58" t="inlineStr">
        <is>
          <t>DISCREPANTE</t>
        </is>
      </c>
      <c r="B33" s="58" t="n">
        <v>0</v>
      </c>
    </row>
    <row r="34">
      <c r="A34" s="57" t="inlineStr">
        <is>
          <t>PENDIENTE</t>
        </is>
      </c>
      <c r="B34" s="57" t="n">
        <v>5</v>
      </c>
    </row>
    <row r="51">
      <c r="A51" s="55" t="inlineStr">
        <is>
          <t>Cobertura por estrato — campo (%)</t>
        </is>
      </c>
    </row>
    <row r="52">
      <c r="A52" s="56" t="inlineStr">
        <is>
          <t>Estrato</t>
        </is>
      </c>
      <c r="B52" s="56" t="inlineStr">
        <is>
          <t>% del área</t>
        </is>
      </c>
    </row>
    <row r="53">
      <c r="A53" s="57" t="inlineStr">
        <is>
          <t>Dosel</t>
        </is>
      </c>
      <c r="B53" s="62" t="n">
        <v>20</v>
      </c>
    </row>
    <row r="54">
      <c r="A54" s="58" t="inlineStr">
        <is>
          <t>Arbustiva</t>
        </is>
      </c>
      <c r="B54" s="64" t="n">
        <v>10</v>
      </c>
    </row>
    <row r="55">
      <c r="A55" s="57" t="inlineStr">
        <is>
          <t>Herbácea</t>
        </is>
      </c>
      <c r="B55" s="63" t="n">
        <v>5</v>
      </c>
    </row>
    <row r="56">
      <c r="A56" s="58" t="inlineStr">
        <is>
          <t>Hojarasca</t>
        </is>
      </c>
      <c r="B56" s="64" t="n">
        <v>15</v>
      </c>
    </row>
    <row r="57">
      <c r="A57" s="57" t="inlineStr">
        <is>
          <t>Suelo desnudo</t>
        </is>
      </c>
      <c r="B57" s="62" t="n">
        <v>70</v>
      </c>
    </row>
    <row r="74">
      <c r="A74" s="55" t="inlineStr">
        <is>
          <t>Causas activas de degradación (F-DT-04)</t>
        </is>
      </c>
    </row>
    <row r="75">
      <c r="A75" s="56" t="inlineStr">
        <is>
          <t>Causa</t>
        </is>
      </c>
      <c r="B75" s="56" t="inlineStr">
        <is>
          <t>Intensidad (1 ligera - 4 muy fuerte)</t>
        </is>
      </c>
    </row>
    <row r="76">
      <c r="A76" s="57" t="inlineStr">
        <is>
          <t>Especies invasoras</t>
        </is>
      </c>
      <c r="B76" s="57" t="n">
        <v>2</v>
      </c>
    </row>
    <row r="77">
      <c r="A77" s="58" t="inlineStr">
        <is>
          <t>Expansión urbana / vial</t>
        </is>
      </c>
      <c r="B77" s="58" t="n">
        <v>2</v>
      </c>
    </row>
    <row r="78">
      <c r="A78" s="57" t="inlineStr">
        <is>
          <t>Plagas o enfermedades forestales</t>
        </is>
      </c>
      <c r="B78" s="57" t="n">
        <v>1</v>
      </c>
    </row>
    <row r="79">
      <c r="A79" s="58" t="inlineStr">
        <is>
          <t>Sequía prolongada / CC</t>
        </is>
      </c>
      <c r="B79" s="58" t="n">
        <v>1</v>
      </c>
    </row>
    <row r="80">
      <c r="A80" s="57" t="inlineStr">
        <is>
          <t>Sobrepastoreo (caprino/vacuno)</t>
        </is>
      </c>
      <c r="B80" s="57" t="n">
        <v>1</v>
      </c>
    </row>
    <row r="97">
      <c r="A97" s="55" t="inlineStr">
        <is>
          <t>Control de consistencia por calificación</t>
        </is>
      </c>
    </row>
    <row r="98">
      <c r="A98" s="56" t="inlineStr">
        <is>
          <t>Calificación</t>
        </is>
      </c>
      <c r="B98" s="56" t="inlineStr">
        <is>
          <t>Verificaciones</t>
        </is>
      </c>
    </row>
    <row r="99">
      <c r="A99" s="57" t="inlineStr">
        <is>
          <t>SUSTANTIVA</t>
        </is>
      </c>
      <c r="B99" s="57" t="n">
        <v>6</v>
      </c>
    </row>
    <row r="100">
      <c r="A100" s="58" t="inlineStr">
        <is>
          <t>NO SUSTANTIVA</t>
        </is>
      </c>
      <c r="B100" s="58" t="n">
        <v>3</v>
      </c>
    </row>
    <row r="101">
      <c r="A101" s="57" t="inlineStr">
        <is>
          <t>CORREGIDO</t>
        </is>
      </c>
      <c r="B101" s="57" t="n">
        <v>3</v>
      </c>
    </row>
    <row r="102">
      <c r="A102" s="58" t="inlineStr">
        <is>
          <t>CONFORME</t>
        </is>
      </c>
      <c r="B102" s="58"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M7B1 — IN Piura</dc:title>
  <dc:subject>Diagnóstico Territorial por bloque de intervención</dc:subject>
  <dcterms:created xsi:type="dcterms:W3CDTF">2026-09-08T03:39:59Z</dcterms:created>
  <dcterms:modified xsi:type="dcterms:W3CDTF">2026-09-11T20:22:40Z</dcterms:modified>
</cp:coreProperties>
</file>