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integración'!B74</f>
            </strRef>
          </tx>
          <spPr>
            <a:ln>
              <a:prstDash val="solid"/>
            </a:ln>
          </spPr>
          <cat>
            <numRef>
              <f>'Gráficos de integración'!$A$75:$A$78</f>
            </numRef>
          </cat>
          <val>
            <numRef>
              <f>'Gráficos de integración'!$B$75:$B$78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79</t>
        </is>
      </c>
    </row>
    <row r="6" ht="24" customHeight="1">
      <c r="A6" s="4" t="inlineStr">
        <is>
          <t>Diagnóstico Territorial — Plantilla DT Campo Check Validada V5 | Sistema de referencia: UTM WGS 84 Zona 17S (EPSG:32717) · Integrado con la ficha de campo F-DT vigente (Plantilla_DT_Campo_Bloque79_IN_Piura_rev_hscm.xlsx) — V7 - resumen V6 + campo F-DT integrado</t>
        </is>
      </c>
    </row>
    <row r="7"/>
    <row r="8" ht="18" customHeight="1">
      <c r="A8" s="5" t="inlineStr">
        <is>
          <t>1. IDENTIFICACIÓN Y LOCALIZACIÓN</t>
        </is>
      </c>
    </row>
    <row r="9">
      <c r="A9" s="6" t="inlineStr">
        <is>
          <t>Código del bloque</t>
        </is>
      </c>
      <c r="B9" s="7" t="inlineStr">
        <is>
          <t>79</t>
        </is>
      </c>
      <c r="C9" s="6" t="inlineStr">
        <is>
          <t>Microcuenca (catálogo)</t>
        </is>
      </c>
      <c r="D9" s="7" t="inlineStr">
        <is>
          <t>C1076-Q9587</t>
        </is>
      </c>
      <c r="E9" s="8" t="n"/>
      <c r="F9" s="8" t="n"/>
    </row>
    <row r="10">
      <c r="A10" s="6" t="inlineStr">
        <is>
          <t>Zona de planificación</t>
        </is>
      </c>
      <c r="B10" s="7" t="inlineStr">
        <is>
          <t>Z11</t>
        </is>
      </c>
      <c r="C10" s="6" t="inlineStr">
        <is>
          <t>Microcuenca declarada en ficha DT</t>
        </is>
      </c>
      <c r="D10" s="7" t="inlineStr">
        <is>
          <t>C1076-Q9587</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Almirante Miguel Grau (también Huabal)</t>
        </is>
      </c>
      <c r="C13" s="6" t="inlineStr">
        <is>
          <t>Comunidad campesina</t>
        </is>
      </c>
      <c r="D13" s="7" t="inlineStr">
        <is>
          <t>Por verificar</t>
        </is>
      </c>
      <c r="E13" s="8" t="n"/>
      <c r="F13" s="8" t="n"/>
    </row>
    <row r="14">
      <c r="A14" s="6" t="inlineStr">
        <is>
          <t>Superficie de catálogo (V5/V6), ha</t>
        </is>
      </c>
      <c r="B14" s="7" t="n">
        <v>94.81</v>
      </c>
      <c r="C14" s="6" t="inlineStr">
        <is>
          <t>Fuente de superficie</t>
        </is>
      </c>
      <c r="D14" s="7" t="inlineStr">
        <is>
          <t>Catálogo maestro Bloques V5/V6</t>
        </is>
      </c>
      <c r="E14" s="8" t="n"/>
      <c r="F14" s="8" t="n"/>
    </row>
    <row r="15">
      <c r="A15" s="6" t="inlineStr">
        <is>
          <t>Centroide UTM ESTE (m)</t>
        </is>
      </c>
      <c r="B15" s="7" t="n">
        <v>650305</v>
      </c>
      <c r="C15" s="6" t="inlineStr">
        <is>
          <t>Centroide UTM NORTE (m)</t>
        </is>
      </c>
      <c r="D15" s="7" t="n">
        <v>9402785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681</v>
      </c>
      <c r="C19" s="6" t="inlineStr">
        <is>
          <t>Altitud máxima (msnm)</t>
        </is>
      </c>
      <c r="D19" s="7" t="n">
        <v>1114</v>
      </c>
      <c r="E19" s="8" t="n"/>
      <c r="F19" s="8" t="n"/>
    </row>
    <row r="20">
      <c r="A20" s="6" t="inlineStr">
        <is>
          <t>Amplitud altitudinal (m)</t>
        </is>
      </c>
      <c r="B20" s="7" t="n">
        <v>433</v>
      </c>
      <c r="C20" s="6" t="inlineStr">
        <is>
          <t>Piso altitudinal dominante</t>
        </is>
      </c>
      <c r="D20" s="7" t="inlineStr">
        <is>
          <t>&lt;1000 m (Yunga)</t>
        </is>
      </c>
      <c r="E20" s="8" t="n"/>
      <c r="F20" s="8" t="n"/>
    </row>
    <row r="21">
      <c r="A21" s="6" t="inlineStr">
        <is>
          <t>Pendiente promedio (%)</t>
        </is>
      </c>
      <c r="B21" s="7" t="n">
        <v>17.59</v>
      </c>
      <c r="C21" s="6" t="inlineStr">
        <is>
          <t>Pendiente promedio (grados)</t>
        </is>
      </c>
      <c r="D21" s="7" t="n">
        <v>10</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49" t="inlineStr">
        <is>
          <t>Sin registro en ficha</t>
        </is>
      </c>
      <c r="E24" s="8" t="n"/>
      <c r="F24" s="8" t="n"/>
    </row>
    <row r="25">
      <c r="A25" s="6" t="inlineStr">
        <is>
          <t>Escarpes activos</t>
        </is>
      </c>
      <c r="B25" s="49" t="inlineStr">
        <is>
          <t>Sin registro en ficha</t>
        </is>
      </c>
      <c r="C25" s="6" t="inlineStr">
        <is>
          <t>Remociones en masa activas</t>
        </is>
      </c>
      <c r="D25" s="49" t="inlineStr">
        <is>
          <t>Sin registro en ficha</t>
        </is>
      </c>
      <c r="E25" s="8" t="n"/>
      <c r="F25" s="8" t="n"/>
    </row>
    <row r="26"/>
    <row r="27" ht="18" customHeight="1">
      <c r="A27" s="5" t="inlineStr">
        <is>
          <t>3. ÍNDICES DE VEGETACIÓN (SENTINEL-2)</t>
        </is>
      </c>
    </row>
    <row r="28">
      <c r="A28" s="6" t="inlineStr">
        <is>
          <t>MSAVI 2024 — media del bloque</t>
        </is>
      </c>
      <c r="B28" s="7" t="n">
        <v>0.5479000000000001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(82.36 %)</t>
        </is>
      </c>
      <c r="E29" s="8" t="n"/>
      <c r="F29" s="8" t="n"/>
    </row>
    <row r="30">
      <c r="A30" s="6" t="inlineStr">
        <is>
          <t>Superficie clasificada NDVI 2025 (ha)</t>
        </is>
      </c>
      <c r="B30" s="7" t="n">
        <v>94.83499999999999</v>
      </c>
      <c r="C30" s="6" t="inlineStr">
        <is>
          <t>Desviación frente al catálogo (%)</t>
        </is>
      </c>
      <c r="D30" s="7" t="n">
        <v>0.03</v>
      </c>
      <c r="E30" s="8" t="n"/>
      <c r="F30" s="8" t="n"/>
    </row>
    <row r="31">
      <c r="A31" s="6" t="inlineStr">
        <is>
          <t>Superficie clasificada MSAVI 2024 (ha)</t>
        </is>
      </c>
      <c r="B31" s="37" t="n">
        <v>94.812</v>
      </c>
      <c r="C31" s="6" t="inlineStr">
        <is>
          <t>Desviación MSAVI frente al catálogo (%)</t>
        </is>
      </c>
      <c r="D31" s="38" t="n">
        <v>0</v>
      </c>
      <c r="E31" s="8" t="n"/>
      <c r="F31" s="8" t="n"/>
    </row>
    <row r="32">
      <c r="A32" s="6" t="inlineStr">
        <is>
          <t>Superficie bajo umbral MSAVI 0.4976 (ha)</t>
        </is>
      </c>
      <c r="B32" s="37" t="n">
        <v>28.152</v>
      </c>
      <c r="C32" s="6" t="inlineStr">
        <is>
          <t>% del bloque bajo umbral (brecha espectral)</t>
        </is>
      </c>
      <c r="D32" s="38" t="n">
        <v>29.69</v>
      </c>
      <c r="E32" s="8" t="n"/>
      <c r="F32" s="8" t="n"/>
    </row>
    <row r="33">
      <c r="A33" s="6" t="inlineStr">
        <is>
          <t>Clase DN dominante (MSAVI 2024)</t>
        </is>
      </c>
      <c r="B33" s="7" t="inlineStr">
        <is>
          <t>DN 4 · 0.4976 - 0.6139 (Vigor moderado)</t>
        </is>
      </c>
      <c r="C33" s="6" t="inlineStr">
        <is>
          <t>N.° de polígonos MSAVI del bloque</t>
        </is>
      </c>
      <c r="D33" s="39" t="n">
        <v>264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49" t="inlineStr">
        <is>
          <t>Sin registro en ficha</t>
        </is>
      </c>
      <c r="C40" s="6" t="inlineStr">
        <is>
          <t>N.° de cárcavas registradas</t>
        </is>
      </c>
      <c r="D40" s="7" t="inlineStr">
        <is>
          <t>0 = no inventariadas</t>
        </is>
      </c>
      <c r="E40" s="8" t="n"/>
      <c r="F40" s="8" t="n"/>
    </row>
    <row r="41">
      <c r="A41" s="6" t="inlineStr">
        <is>
          <t>Elenco florístico (n.° de taxones)</t>
        </is>
      </c>
      <c r="B41" s="7" t="n">
        <v>10</v>
      </c>
      <c r="C41" s="6" t="inlineStr">
        <is>
          <t>Estado sanitario</t>
        </is>
      </c>
      <c r="D41" s="49"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2026-07-20</t>
        </is>
      </c>
      <c r="E44" s="8" t="n"/>
      <c r="F44" s="8" t="n"/>
    </row>
    <row r="45">
      <c r="A45" s="6" t="inlineStr">
        <is>
          <t>Hora de registro</t>
        </is>
      </c>
      <c r="B45" s="49" t="inlineStr">
        <is>
          <t>Sin registro en ficha</t>
        </is>
      </c>
      <c r="C45" s="6" t="inlineStr">
        <is>
          <t>Correlativo de ficha</t>
        </is>
      </c>
      <c r="D45" s="7" t="inlineStr">
        <is>
          <t>F-DT-01-79</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No consignada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21.7397</v>
      </c>
      <c r="C10" s="19">
        <f>ROUND(B10/$B$15*100,2)</f>
        <v/>
      </c>
      <c r="D10" s="11" t="inlineStr">
        <is>
          <t>Vigor alto</t>
        </is>
      </c>
      <c r="E10" s="11" t="inlineStr">
        <is>
          <t>Sobre umbral</t>
        </is>
      </c>
    </row>
    <row r="11">
      <c r="A11" s="12" t="inlineStr">
        <is>
          <t>0.4976 - 0.6139 · DN 4</t>
        </is>
      </c>
      <c r="B11" s="30" t="n">
        <v>44.9202</v>
      </c>
      <c r="C11" s="29">
        <f>ROUND(B11/$B$15*100,2)</f>
        <v/>
      </c>
      <c r="D11" s="13" t="inlineStr">
        <is>
          <t>Vigor moderado</t>
        </is>
      </c>
      <c r="E11" s="13" t="inlineStr">
        <is>
          <t>Sobre umbral</t>
        </is>
      </c>
    </row>
    <row r="12">
      <c r="A12" s="7" t="inlineStr">
        <is>
          <t>0.3813 - 0.4976 · DN 3</t>
        </is>
      </c>
      <c r="B12" s="18" t="n">
        <v>27.8275</v>
      </c>
      <c r="C12" s="19">
        <f>ROUND(B12/$B$15*100,2)</f>
        <v/>
      </c>
      <c r="D12" s="11" t="inlineStr">
        <is>
          <t>Vigor bajo</t>
        </is>
      </c>
      <c r="E12" s="11" t="inlineStr">
        <is>
          <t>BAJO umbral 0.4976</t>
        </is>
      </c>
    </row>
    <row r="13">
      <c r="A13" s="14" t="inlineStr">
        <is>
          <t>0.2650 - 0.3813 · DN 2</t>
        </is>
      </c>
      <c r="B13" s="20" t="n">
        <v>0.3243</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264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94.81</v>
      </c>
      <c r="C18" s="48" t="inlineStr">
        <is>
          <t>—</t>
        </is>
      </c>
      <c r="D18" s="45" t="inlineStr">
        <is>
          <t>Desviación planimétrica frente al catálogo</t>
        </is>
      </c>
      <c r="E18" s="45" t="inlineStr">
        <is>
          <t>+0.00 %</t>
        </is>
      </c>
    </row>
    <row r="19">
      <c r="A19" s="16" t="inlineStr">
        <is>
          <t>MSAVI 2024 — MEDIA DEL BLOQUE</t>
        </is>
      </c>
      <c r="B19" s="17" t="n">
        <v>0.547879</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264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(0.5479)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78.1103</v>
      </c>
      <c r="C25" s="19" t="n">
        <v>82.36</v>
      </c>
      <c r="D25" s="11" t="inlineStr">
        <is>
          <t>Dosel continuo, matorral denso o mosaico agroforestal</t>
        </is>
      </c>
      <c r="E25" s="11" t="inlineStr"/>
    </row>
    <row r="26">
      <c r="A26" s="14" t="inlineStr">
        <is>
          <t>Vegetación mediana</t>
        </is>
      </c>
      <c r="B26" s="20" t="n">
        <v>16.7133</v>
      </c>
      <c r="C26" s="21" t="n">
        <v>17.62</v>
      </c>
      <c r="D26" s="15" t="inlineStr">
        <is>
          <t>Pastizal cultivado, matorral ralo, parcelas agrícolas</t>
        </is>
      </c>
      <c r="E26" s="15" t="inlineStr"/>
    </row>
    <row r="27">
      <c r="A27" s="7" t="inlineStr">
        <is>
          <t>Vegetación ligera</t>
        </is>
      </c>
      <c r="B27" s="18" t="n">
        <v>0.0109</v>
      </c>
      <c r="C27" s="19" t="n">
        <v>0.01</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94.81</v>
      </c>
      <c r="C29" s="25" t="inlineStr">
        <is>
          <t>—</t>
        </is>
      </c>
      <c r="D29" s="25" t="inlineStr">
        <is>
          <t>Desviación planimétrica frente al catálogo</t>
        </is>
      </c>
      <c r="E29" s="25" t="inlineStr">
        <is>
          <t>+0.03 %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79</t>
        </is>
      </c>
    </row>
    <row r="6" ht="24" customHeight="1">
      <c r="A6" s="4" t="inlineStr">
        <is>
          <t>Levantamiento del 2026-07-20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650305</v>
      </c>
      <c r="D10" s="26" t="n">
        <v>9402785</v>
      </c>
      <c r="E10" s="11" t="n">
        <v>0</v>
      </c>
      <c r="F10" s="11" t="inlineStr"/>
      <c r="G10" s="11" t="inlineStr">
        <is>
          <t>Coordenada consignada en F-DT-01</t>
        </is>
      </c>
    </row>
    <row r="11">
      <c r="A11" s="14" t="inlineStr">
        <is>
          <t>H-01</t>
        </is>
      </c>
      <c r="B11" s="15" t="inlineStr">
        <is>
          <t>Fuente de agua — Río</t>
        </is>
      </c>
      <c r="C11" s="27" t="inlineStr">
        <is>
          <t>Por determinar</t>
        </is>
      </c>
      <c r="D11" s="27" t="inlineStr">
        <is>
          <t>Por determinar</t>
        </is>
      </c>
      <c r="E11" s="15" t="inlineStr"/>
      <c r="F11" s="15" t="inlineStr">
        <is>
          <t>Permanente</t>
        </is>
      </c>
      <c r="G11" s="15" t="inlineStr">
        <is>
          <t>Río Pusmalca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650305</v>
      </c>
      <c r="C14" s="6" t="inlineStr">
        <is>
          <t>Centroide del bloque — UTM NORTE (m)</t>
        </is>
      </c>
      <c r="D14" s="7" t="n">
        <v>9402785</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20"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de campo. Altitud consignada: COTA MEDIA DE GABINETE 898 msnm (sin registro GPS de campo). Rango altitudinal según MDE: 681-1 114 msnm (amplitud 433 m); pendiente promedio 17.59%. Centros poblados asociados: Almirante Miguel Grau y Huabal. Acceso: vía nacional asfaltada Piura – Canchaque, margen izquierda del río Pusmalca.</t>
        </is>
      </c>
      <c r="B17" s="40" t="n"/>
      <c r="C17" s="40" t="n"/>
      <c r="D17" s="40" t="n"/>
      <c r="E17" s="40" t="n"/>
      <c r="F17" s="40" t="n"/>
      <c r="G17" s="41"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C1076-Q9587 — BLOQUE 79</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C1076-Q9587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79</t>
        </is>
      </c>
      <c r="B10" s="28" t="n">
        <v>94.81</v>
      </c>
      <c r="C10" s="29" t="n">
        <v>86.2</v>
      </c>
      <c r="D10" s="13" t="inlineStr">
        <is>
          <t>681 – 1114</t>
        </is>
      </c>
      <c r="E10" s="13" t="n">
        <v>433</v>
      </c>
      <c r="F10" s="13" t="n">
        <v>17.59</v>
      </c>
      <c r="G10" s="30" t="n">
        <v>0.5479000000000001</v>
      </c>
      <c r="H10" s="29" t="n">
        <v>82.36</v>
      </c>
      <c r="I10" s="29" t="n">
        <v>29.69</v>
      </c>
    </row>
    <row r="11">
      <c r="A11" s="14" t="inlineStr">
        <is>
          <t>75</t>
        </is>
      </c>
      <c r="B11" s="31" t="n">
        <v>15.18</v>
      </c>
      <c r="C11" s="21" t="n">
        <v>13.8</v>
      </c>
      <c r="D11" s="15" t="inlineStr">
        <is>
          <t>1912 – 2237</t>
        </is>
      </c>
      <c r="E11" s="15" t="n">
        <v>325</v>
      </c>
      <c r="F11" s="15" t="n">
        <v>39.19</v>
      </c>
      <c r="G11" s="20" t="n">
        <v>0.6309</v>
      </c>
      <c r="H11" s="21" t="n">
        <v>88.88</v>
      </c>
      <c r="I11" s="21" t="n">
        <v>3.53</v>
      </c>
    </row>
    <row r="12">
      <c r="A12" s="16" t="inlineStr">
        <is>
          <t>TOTAL / PROMEDIO</t>
        </is>
      </c>
      <c r="B12" s="32">
        <f>SUM(B10:B11)</f>
        <v/>
      </c>
      <c r="C12" s="23">
        <f>SUM(C10:C11)</f>
        <v/>
      </c>
      <c r="D12" s="17" t="inlineStr">
        <is>
          <t>681 – 2237</t>
        </is>
      </c>
      <c r="E12" s="17" t="inlineStr"/>
      <c r="F12" s="17">
        <f>ROUND(AVERAGE(F10:F11),2)</f>
        <v/>
      </c>
      <c r="G12" s="22">
        <f>ROUND(AVERAGE(G10:G11),4)</f>
        <v/>
      </c>
      <c r="H12" s="23">
        <f>ROUND(AVERAGE(H10:H11),2)</f>
        <v/>
      </c>
      <c r="I12" s="23">
        <f>ROUND(AVERAGE(I10:I11),2)</f>
        <v/>
      </c>
    </row>
    <row r="14" ht="84" customHeight="1">
      <c r="A14" s="9" t="inlineStr">
        <is>
          <t>LECTURA INTRAMICROCUENCA. El bloque 79 ocupa el puesto 1 de 2 por superficie dentro de la microcuenca C1076-Q9587 (86.20 % de las 109.99 ha preliminares de la microcuenca). Su pendiente promedio (17.59 %, clase «15-25% (Fuert. inclinado)») es la 1.ª más baja de 2 y se sitúa por debajo del promedio de la microcuenca (28.39 %). Su MSAVI 2024 (0.5479) es el 2.º de 2 y queda por debajo del promedio local (0.5894). Amplitud altitudinal del bloque: 433 m (681–1114 msnm). El cuadro conserva todos los bloques catalogados en la microcuenca, incluidos los descartados en el tamizaje, para referencia del conjunto. Los bloques sin ficha DT figuran con sus parámetros de gabinete. BRECHA ESPECTRAL. El 29.69 % de la superficie del bloque (28.152 ha de 94.812 ha) se sitúa bajo el umbral MSAVI 0.4976, por encima del promedio local de la microcuenca (16.61 %)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79</t>
        </is>
      </c>
    </row>
    <row r="6">
      <c r="A6" s="51" t="inlineStr">
        <is>
          <t>Cruce de la ficha de campo F-DT vigente con la ficha de resumen de gabinete y el catálogo maestro. Integración 2026-09-11 20:22:33.</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«C1076-Q9587».</t>
        </is>
      </c>
      <c r="D9" s="55" t="inlineStr">
        <is>
          <t>CONFORME</t>
        </is>
      </c>
      <c r="E9" s="55" t="inlineStr">
        <is>
          <t>Sin acción.</t>
        </is>
      </c>
    </row>
    <row r="10">
      <c r="A10" s="56" t="inlineStr">
        <is>
          <t>G-02</t>
        </is>
      </c>
      <c r="B10" s="56" t="inlineStr">
        <is>
          <t>UTM del punto de muestreo</t>
        </is>
      </c>
      <c r="C10" s="56" t="inlineStr">
        <is>
          <t>El punto de muestreo declarado dista 0.0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(898 msnm) cae dentro del rango altitudinal del bloque (681 - 1114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(94.835 ha) se desvía 0.03 % de la superficie de catálogo (94.81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(94.812 ha) se desvía 0.00 % de la superficie de catálogo (94.81 ha).</t>
        </is>
      </c>
      <c r="D14" s="56" t="inlineStr">
        <is>
          <t>CONFORME</t>
        </is>
      </c>
      <c r="E14" s="56" t="inlineStr">
        <is>
          <t>Sin acción: la segmentación valida la geometría del bloque.</t>
        </is>
      </c>
    </row>
    <row r="15">
      <c r="A15" s="55" t="inlineStr">
        <is>
          <t>G-07</t>
        </is>
      </c>
      <c r="B15" s="55" t="inlineStr">
        <is>
          <t>Brecha espectral MSAVI</t>
        </is>
      </c>
      <c r="C15" s="55" t="inlineStr">
        <is>
          <t>El 29.69 % del bloque queda bajo el umbral 0.4976; superficie de brecha 28.15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94.81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(0.5479)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82.1 % de los campos esperados).</t>
        </is>
      </c>
      <c r="D19" s="55" t="inlineStr">
        <is>
          <t>CONFORME</t>
        </is>
      </c>
      <c r="E19" s="55" t="inlineStr">
        <is>
          <t>Sin acción.</t>
        </is>
      </c>
    </row>
    <row r="20">
      <c r="A20" s="56" t="inlineStr">
        <is>
          <t>F-02</t>
        </is>
      </c>
      <c r="B20" s="56" t="inlineStr">
        <is>
          <t>Cobertura de la integración</t>
        </is>
      </c>
      <c r="C20" s="56" t="inlineStr">
        <is>
          <t>Se declararon 83 de 114 hechos integrados (72.8 %); 31 quedan sin dato en ninguna fuente.</t>
        </is>
      </c>
      <c r="D20" s="56" t="inlineStr">
        <is>
          <t>CONFORME</t>
        </is>
      </c>
      <c r="E20" s="56" t="inlineStr">
        <is>
          <t>Sin acción.</t>
        </is>
      </c>
    </row>
    <row r="21">
      <c r="A21" s="55" t="inlineStr">
        <is>
          <t>H-01</t>
        </is>
      </c>
      <c r="B21" s="55" t="inlineStr">
        <is>
          <t>Elenco florístico</t>
        </is>
      </c>
      <c r="C21" s="55" t="inlineStr">
        <is>
          <t>La ficha registra 10 taxones, por debajo del mínimo de 15 que exige el formato V5</t>
        </is>
      </c>
      <c r="D21" s="55" t="inlineStr">
        <is>
          <t>SUSTANTIVA</t>
        </is>
      </c>
      <c r="E21" s="55" t="inlineStr">
        <is>
          <t>Registro florístico preliminar, sin colecta ni determinación botánica formal. Debe cerrarse con colecta botánica en la siguiente campaña. (Verificación heredada de la ficha de resumen V6.)</t>
        </is>
      </c>
    </row>
    <row r="22">
      <c r="A22" s="56" t="inlineStr">
        <is>
          <t>H-02</t>
        </is>
      </c>
      <c r="B22" s="56" t="inlineStr">
        <is>
          <t>Representatividad del levantamiento</t>
        </is>
      </c>
      <c r="C22" s="56" t="inlineStr">
        <is>
          <t>Ninguna de las estaciones fotográficas georreferenciadas se localiza dentro del polígono del bloque</t>
        </is>
      </c>
      <c r="D22" s="56" t="inlineStr">
        <is>
          <t>SUSTANTIVA</t>
        </is>
      </c>
      <c r="E22" s="56" t="inlineStr">
        <is>
          <t>La verificación documenta el perímetro y la vista panorámica del bloque, no su interior. Los parámetros que exigen recorrido interno se consignan «Por determinar». (Verificación heredada de la ficha de resumen V6.)</t>
        </is>
      </c>
    </row>
    <row r="23">
      <c r="A23" s="55" t="inlineStr">
        <is>
          <t>H-03</t>
        </is>
      </c>
      <c r="B23" s="55" t="inlineStr">
        <is>
          <t>Centro poblado asociado</t>
        </is>
      </c>
      <c r="C23" s="55" t="inlineStr">
        <is>
          <t>La ficha DT declara «Almirante Miguel Grau (también Huabal)»; el cruce INEI-Bloques V5 identifica 2 centro(s) poblado(s) en el bloque: ALMIRANTE MIGUEL GRAU, HUABAL</t>
        </is>
      </c>
      <c r="D23" s="55" t="inlineStr">
        <is>
          <t>CONFORME</t>
        </is>
      </c>
      <c r="E23" s="55" t="inlineStr">
        <is>
          <t>Se conserva el registro de campo como referencia y se adopta el listado INEI para el diagnóstico social y el cálculo de población beneficiaria. (Verificación heredada de la ficha de resumen V6.)</t>
        </is>
      </c>
    </row>
    <row r="24">
      <c r="A24" s="56" t="inlineStr">
        <is>
          <t>H-04</t>
        </is>
      </c>
      <c r="B24" s="56" t="inlineStr">
        <is>
          <t>F-DT-02</t>
        </is>
      </c>
      <c r="C24" s="56" t="inlineStr">
        <is>
          <t>La descripción física y de procesos erosivos NO fue transcrita en el Segundo Entregable (acápite 4.1.3.1.1 incompleto)</t>
        </is>
      </c>
      <c r="D24" s="56" t="inlineStr">
        <is>
          <t>SUSTANTIVA</t>
        </is>
      </c>
      <c r="E24" s="56" t="inlineStr">
        <is>
          <t>Completar con el formato de campo original del ANEXO 01 (Verificación heredada de la ficha de resumen V6.)</t>
        </is>
      </c>
    </row>
    <row r="25">
      <c r="A25" s="55" t="inlineStr">
        <is>
          <t>H-05</t>
        </is>
      </c>
      <c r="B25" s="55" t="inlineStr">
        <is>
          <t>F-DT-01</t>
        </is>
      </c>
      <c r="C25" s="55" t="inlineStr">
        <is>
          <t>Coordenadas = centroide del polígono; altitud = cota media de gabinete, sin registro GPS de campo</t>
        </is>
      </c>
      <c r="D25" s="55" t="inlineStr">
        <is>
          <t>NO SUSTANTIVA</t>
        </is>
      </c>
      <c r="E25" s="55" t="inlineStr">
        <is>
          <t>Declarado en la propia ficha (Verificación heredada de la ficha de resumen V6.)</t>
        </is>
      </c>
    </row>
    <row r="26">
      <c r="A26" s="56" t="inlineStr">
        <is>
          <t>H-06</t>
        </is>
      </c>
      <c r="B26" s="56" t="inlineStr">
        <is>
          <t>F-DT-03</t>
        </is>
      </c>
      <c r="C26" s="56" t="inlineStr">
        <is>
          <t>Sin registro florístico transcrito; 10 entradas, varias sin nombre científico ni familia</t>
        </is>
      </c>
      <c r="D26" s="56" t="inlineStr">
        <is>
          <t>SUSTANTIVA</t>
        </is>
      </c>
      <c r="E26" s="56" t="inlineStr">
        <is>
          <t>Colecta botánica pendiente (Verificación heredada de la ficha de resumen V6.)</t>
        </is>
      </c>
    </row>
    <row r="27">
      <c r="A27" s="55" t="inlineStr">
        <is>
          <t>H-07</t>
        </is>
      </c>
      <c r="B27" s="55" t="inlineStr">
        <is>
          <t>F-DT-04</t>
        </is>
      </c>
      <c r="C27" s="55" t="inlineStr">
        <is>
          <t>Indicadores 3 a 7 sin cuantificar</t>
        </is>
      </c>
      <c r="D27" s="55" t="inlineStr">
        <is>
          <t>NO SUSTANTIVA</t>
        </is>
      </c>
      <c r="E27" s="55" t="inlineStr">
        <is>
          <t>No fueron estimados ni inferidos (Verificación heredada de la ficha de resumen V6.)</t>
        </is>
      </c>
    </row>
    <row r="29">
      <c r="A29" s="57" t="inlineStr">
        <is>
          <t>RESUMEN</t>
        </is>
      </c>
      <c r="B29" s="58" t="inlineStr">
        <is>
          <t>19 verificaciones</t>
        </is>
      </c>
      <c r="C29" s="58" t="inlineStr">
        <is>
          <t>SUSTANTIVA: 5 · NO SUSTANTIVA: 2 · CONFORME: 12</t>
        </is>
      </c>
    </row>
    <row r="31">
      <c r="A31"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1:E31"/>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79</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650305</t>
        </is>
      </c>
      <c r="D13" s="55" t="inlineStr">
        <is>
          <t>m</t>
        </is>
      </c>
    </row>
    <row r="14">
      <c r="A14" s="56" t="inlineStr">
        <is>
          <t>1. Identificación y localización</t>
        </is>
      </c>
      <c r="B14" s="56" t="inlineStr">
        <is>
          <t>UTM NORTE del punto de muestreo (m)</t>
        </is>
      </c>
      <c r="C14" s="56" t="inlineStr">
        <is>
          <t>9402785</t>
        </is>
      </c>
      <c r="D14" s="56" t="inlineStr">
        <is>
          <t>m</t>
        </is>
      </c>
    </row>
    <row r="15">
      <c r="A15" s="55" t="inlineStr">
        <is>
          <t>2. Parámetros físicos del terreno</t>
        </is>
      </c>
      <c r="B15" s="55" t="inlineStr">
        <is>
          <t>Altitud GPS del punto de muestreo (msnm)</t>
        </is>
      </c>
      <c r="C15" s="55" t="inlineStr">
        <is>
          <t>898</t>
        </is>
      </c>
      <c r="D15" s="55" t="inlineStr">
        <is>
          <t>msnm</t>
        </is>
      </c>
    </row>
    <row r="16">
      <c r="A16" s="56" t="inlineStr">
        <is>
          <t>2. Parámetros físicos del terreno</t>
        </is>
      </c>
      <c r="B16" s="56" t="inlineStr">
        <is>
          <t>Piso altitudinal del punto de muestreo</t>
        </is>
      </c>
      <c r="C16" s="56" t="inlineStr">
        <is>
          <t>&lt;1000 m (Yunga)</t>
        </is>
      </c>
      <c r="D16" s="56" t="inlineStr"/>
    </row>
    <row r="17">
      <c r="A17" s="55" t="inlineStr">
        <is>
          <t>2. Parámetros físicos del terreno</t>
        </is>
      </c>
      <c r="B17" s="55" t="inlineStr">
        <is>
          <t>Paisaje dominante descrito en campo</t>
        </is>
      </c>
      <c r="C17" s="55" t="inlineStr">
        <is>
          <t>Sistema de laderas convexo-cóncavas de colina media sobre la margen izquierda del río Pusmalca, dominado por bosque estacionalmente seco de colina y montaña, con un lóbulo meridional de cobertura degradada contiguo al caserío Huabal.</t>
        </is>
      </c>
      <c r="D17" s="55" t="inlineStr"/>
    </row>
    <row r="18">
      <c r="A18" s="56" t="inlineStr">
        <is>
          <t>4. Suelos y erosión (F-DT-02)</t>
        </is>
      </c>
      <c r="B18" s="56" t="inlineStr">
        <is>
          <t>Sellamiento / costra superficial</t>
        </is>
      </c>
      <c r="C18" s="56" t="inlineStr">
        <is>
          <t>No</t>
        </is>
      </c>
      <c r="D18" s="56" t="inlineStr"/>
    </row>
    <row r="19">
      <c r="A19" s="55" t="inlineStr">
        <is>
          <t>4. Suelos y erosión (F-DT-02)</t>
        </is>
      </c>
      <c r="B19" s="55" t="inlineStr">
        <is>
          <t>Compactación por pisoteo</t>
        </is>
      </c>
      <c r="C19" s="55" t="inlineStr">
        <is>
          <t>Sí</t>
        </is>
      </c>
      <c r="D19" s="55" t="inlineStr"/>
    </row>
    <row r="20">
      <c r="A20" s="56" t="inlineStr">
        <is>
          <t>4. Suelos y erosión (F-DT-02)</t>
        </is>
      </c>
      <c r="B20" s="56" t="inlineStr">
        <is>
          <t>Longitud total de cárcavas (m)</t>
        </is>
      </c>
      <c r="C20" s="56" t="inlineStr">
        <is>
          <t>0</t>
        </is>
      </c>
      <c r="D20" s="56" t="inlineStr">
        <is>
          <t>m</t>
        </is>
      </c>
    </row>
    <row r="21">
      <c r="A21" s="55" t="inlineStr">
        <is>
          <t>4. Suelos y erosión (F-DT-02)</t>
        </is>
      </c>
      <c r="B21" s="55" t="inlineStr">
        <is>
          <t>% del bloque afectado por cárcavas</t>
        </is>
      </c>
      <c r="C21" s="55" t="inlineStr">
        <is>
          <t>0</t>
        </is>
      </c>
      <c r="D21" s="55" t="inlineStr">
        <is>
          <t>%</t>
        </is>
      </c>
    </row>
    <row r="22">
      <c r="A22" s="56" t="inlineStr">
        <is>
          <t>4. Suelos y erosión (F-DT-02)</t>
        </is>
      </c>
      <c r="B22" s="56" t="inlineStr">
        <is>
          <t>Patrón de cárcavas</t>
        </is>
      </c>
      <c r="C22" s="56" t="inlineStr">
        <is>
          <t>Aislado</t>
        </is>
      </c>
      <c r="D22" s="56" t="inlineStr"/>
    </row>
    <row r="23">
      <c r="A23" s="55" t="inlineStr">
        <is>
          <t>5. Ecosistema, cobertura y flora (F-DT-03)</t>
        </is>
      </c>
      <c r="B23" s="55" t="inlineStr">
        <is>
          <t>Fenología dominante</t>
        </is>
      </c>
      <c r="C23" s="55" t="inlineStr">
        <is>
          <t>Caducifolio (hojas caídas)</t>
        </is>
      </c>
      <c r="D23" s="55" t="inlineStr"/>
    </row>
    <row r="24">
      <c r="A24" s="56" t="inlineStr">
        <is>
          <t>5. Ecosistema, cobertura y flora (F-DT-03)</t>
        </is>
      </c>
      <c r="B24" s="56" t="inlineStr">
        <is>
          <t>Pendiente de la parcela (%)</t>
        </is>
      </c>
      <c r="C24" s="56" t="inlineStr">
        <is>
          <t>17.59</t>
        </is>
      </c>
      <c r="D24" s="56" t="inlineStr">
        <is>
          <t>%</t>
        </is>
      </c>
    </row>
    <row r="25">
      <c r="A25" s="55" t="inlineStr">
        <is>
          <t>6. Degradación, causas y urgencia (F-DT-04)</t>
        </is>
      </c>
      <c r="B25" s="55" t="inlineStr">
        <is>
          <t>Causas directas de la degradación</t>
        </is>
      </c>
      <c r="C25" s="55" t="inlineStr">
        <is>
          <t>Cambio de uso a pastoreo (Moderada); Sobrepastoreo (caprino/vacuno) (Moderada); Cambio de uso a agricultura (Moderada); Tala para leña (Por verificar); Expansión urbana / vial (Ligera)</t>
        </is>
      </c>
      <c r="D25" s="55" t="inlineStr"/>
    </row>
    <row r="26">
      <c r="A26" s="56" t="inlineStr">
        <is>
          <t>6. Degradación, causas y urgencia (F-DT-04)</t>
        </is>
      </c>
      <c r="B26" s="56" t="inlineStr">
        <is>
          <t>N.° de causas activas en la matriz F-DT-04</t>
        </is>
      </c>
      <c r="C26" s="56" t="inlineStr">
        <is>
          <t>4</t>
        </is>
      </c>
      <c r="D26" s="56" t="inlineStr"/>
    </row>
    <row r="27">
      <c r="A27" s="55" t="inlineStr">
        <is>
          <t>7. Hidrología, acceso y logística (F-DT-05)</t>
        </is>
      </c>
      <c r="B27" s="55" t="inlineStr">
        <is>
          <t>Escorrentía concentrada</t>
        </is>
      </c>
      <c r="C27" s="55" t="inlineStr">
        <is>
          <t>Sí</t>
        </is>
      </c>
      <c r="D27" s="55" t="inlineStr"/>
    </row>
    <row r="28">
      <c r="A28" s="56" t="inlineStr">
        <is>
          <t>7. Hidrología, acceso y logística (F-DT-05)</t>
        </is>
      </c>
      <c r="B28" s="56" t="inlineStr">
        <is>
          <t>Fuentes de agua inventariadas</t>
        </is>
      </c>
      <c r="C28" s="56" t="inlineStr">
        <is>
          <t>1</t>
        </is>
      </c>
      <c r="D28" s="56" t="inlineStr"/>
    </row>
    <row r="29">
      <c r="A29" s="55" t="inlineStr">
        <is>
          <t>7. Hidrología, acceso y logística (F-DT-05)</t>
        </is>
      </c>
      <c r="B29" s="55" t="inlineStr">
        <is>
          <t>Vía principal de acceso</t>
        </is>
      </c>
      <c r="C29" s="55" t="inlineStr">
        <is>
          <t>PE-02B Piura – Canchaque</t>
        </is>
      </c>
      <c r="D29" s="55" t="inlineStr"/>
    </row>
    <row r="30">
      <c r="A30" s="56" t="inlineStr">
        <is>
          <t>7. Hidrología, acceso y logística (F-DT-05)</t>
        </is>
      </c>
      <c r="B30" s="56" t="inlineStr">
        <is>
          <t>Tipo de vía del tramo final</t>
        </is>
      </c>
      <c r="C30" s="56" t="inlineStr">
        <is>
          <t>Nacional asfaltada</t>
        </is>
      </c>
      <c r="D30" s="56" t="inlineStr"/>
    </row>
    <row r="31">
      <c r="A31" s="55" t="inlineStr">
        <is>
          <t>7. Hidrología, acceso y logística (F-DT-05)</t>
        </is>
      </c>
      <c r="B31" s="55" t="inlineStr">
        <is>
          <t>Transitabilidad en época seca</t>
        </is>
      </c>
      <c r="C31" s="55" t="inlineStr">
        <is>
          <t>Medio</t>
        </is>
      </c>
      <c r="D31" s="55" t="inlineStr"/>
    </row>
    <row r="32">
      <c r="A32" s="56" t="inlineStr">
        <is>
          <t>7. Hidrología, acceso y logística (F-DT-05)</t>
        </is>
      </c>
      <c r="B32" s="56" t="inlineStr">
        <is>
          <t>Transitabilidad en época lluviosa</t>
        </is>
      </c>
      <c r="C32" s="56" t="inlineStr">
        <is>
          <t>Bajo</t>
        </is>
      </c>
      <c r="D32" s="56" t="inlineStr"/>
    </row>
    <row r="33">
      <c r="A33" s="55" t="inlineStr">
        <is>
          <t>7. Hidrología, acceso y logística (F-DT-05)</t>
        </is>
      </c>
      <c r="B33" s="55" t="inlineStr">
        <is>
          <t>Requiere coordinación con ronda / comunidad</t>
        </is>
      </c>
      <c r="C33" s="55" t="inlineStr">
        <is>
          <t>Sí</t>
        </is>
      </c>
      <c r="D33" s="55" t="inlineStr"/>
    </row>
    <row r="35">
      <c r="A35" s="53" t="inlineStr">
        <is>
          <t>C. PROCEDENCIA DE LOS HECHOS DECLARADOS</t>
        </is>
      </c>
    </row>
    <row r="36">
      <c r="A36" s="54" t="inlineStr">
        <is>
          <t>Fuente</t>
        </is>
      </c>
      <c r="B36" s="54" t="inlineStr">
        <is>
          <t>Hechos</t>
        </is>
      </c>
      <c r="C36" s="54" t="inlineStr">
        <is>
          <t>Alcance de la fuente</t>
        </is>
      </c>
    </row>
    <row r="37">
      <c r="A37" s="55" t="inlineStr">
        <is>
          <t>Dato de campo</t>
        </is>
      </c>
      <c r="B37" s="55" t="n">
        <v>41</v>
      </c>
      <c r="C37" s="55" t="inlineStr">
        <is>
          <t>Verificación en campo. Fichas F-DT-01 a F-DT-05 de la Plantilla DT Campo Check Validada V5, suscritas por el evaluador.</t>
        </is>
      </c>
    </row>
    <row r="38">
      <c r="A38" s="56" t="inlineStr">
        <is>
          <t>Gabinete (GIS / teledetección)</t>
        </is>
      </c>
      <c r="B38" s="56" t="n">
        <v>28</v>
      </c>
      <c r="C38" s="56" t="inlineStr">
        <is>
          <t>Gabinete. Estadística zonal sobre el MDE y compuestos Sentinel-2 (NDVI mediana 2025, MSAVI 2024 por clase DN).</t>
        </is>
      </c>
    </row>
    <row r="39">
      <c r="A39" s="55" t="inlineStr">
        <is>
          <t>Fuente oficial</t>
        </is>
      </c>
      <c r="B39" s="55" t="n">
        <v>14</v>
      </c>
      <c r="C39" s="55" t="inlineStr">
        <is>
          <t>Fuente oficial. Catálogo maestro Bloques V5/V6, división política INEI y codificación de microcuencas de la ANA.</t>
        </is>
      </c>
    </row>
    <row r="41">
      <c r="A41" s="53" t="inlineStr">
        <is>
          <t>D. ESTADO DEL CRUCE ENTRE FUENTES</t>
        </is>
      </c>
    </row>
    <row r="42">
      <c r="A42" s="54" t="inlineStr">
        <is>
          <t>Estado</t>
        </is>
      </c>
      <c r="B42" s="54" t="inlineStr">
        <is>
          <t>Hechos</t>
        </is>
      </c>
      <c r="C42" s="54" t="inlineStr">
        <is>
          <t>Significado</t>
        </is>
      </c>
    </row>
    <row r="43">
      <c r="A43" s="55" t="inlineStr">
        <is>
          <t>CONFORME</t>
        </is>
      </c>
      <c r="B43" s="55" t="n">
        <v>76</v>
      </c>
      <c r="C43" s="55" t="inlineStr">
        <is>
          <t>Las dos fuentes declaran lo mismo, o solo la fuente que manda sobre el hecho lo declara.</t>
        </is>
      </c>
    </row>
    <row r="44">
      <c r="A44" s="56" t="inlineStr">
        <is>
          <t>COMPLEMENTADO</t>
        </is>
      </c>
      <c r="B44" s="56" t="n">
        <v>7</v>
      </c>
      <c r="C44" s="56" t="inlineStr">
        <is>
          <t>Solo una de las fuentes lo declara y se adopta ese valor.</t>
        </is>
      </c>
    </row>
    <row r="45">
      <c r="A45" s="55" t="inlineStr">
        <is>
          <t>ACTUALIZADO</t>
        </is>
      </c>
      <c r="B45" s="55" t="n">
        <v>0</v>
      </c>
      <c r="C45" s="55" t="inlineStr">
        <is>
          <t>La verificación de campo vigente corrige lo que traía el libro de resumen.</t>
        </is>
      </c>
    </row>
    <row r="46">
      <c r="A46" s="56" t="inlineStr">
        <is>
          <t>DISCREPANTE</t>
        </is>
      </c>
      <c r="B46" s="56" t="n">
        <v>0</v>
      </c>
      <c r="C46" s="56" t="inlineStr">
        <is>
          <t>Las fuentes se contradicen; prevalece la que manda sobre el hecho y la otra queda declarada.</t>
        </is>
      </c>
    </row>
    <row r="47">
      <c r="A47" s="55" t="inlineStr">
        <is>
          <t>PENDIENTE</t>
        </is>
      </c>
      <c r="B47" s="55" t="n">
        <v>31</v>
      </c>
      <c r="C47"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79</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Ceibo</t>
        </is>
      </c>
      <c r="C13" s="55" t="inlineStr">
        <is>
          <t>Ceiba pentandra</t>
        </is>
      </c>
      <c r="D13" s="55" t="inlineStr">
        <is>
          <t>Bombacaceae</t>
        </is>
      </c>
      <c r="E13" s="55" t="inlineStr">
        <is>
          <t>Arbóreo medio (8-15 m)</t>
        </is>
      </c>
      <c r="F13" s="55" t="inlineStr">
        <is>
          <t>Nativa</t>
        </is>
      </c>
      <c r="G13" s="55" t="inlineStr">
        <is>
          <t>Ocasional (1-5%)</t>
        </is>
      </c>
      <c r="H13" s="55" t="n"/>
      <c r="I13" s="55" t="n"/>
    </row>
    <row r="14">
      <c r="A14" s="56" t="inlineStr">
        <is>
          <t>2</t>
        </is>
      </c>
      <c r="B14" s="56" t="inlineStr">
        <is>
          <t>Pasallo</t>
        </is>
      </c>
      <c r="C14" s="56" t="inlineStr">
        <is>
          <t>Eriotheca ruizii</t>
        </is>
      </c>
      <c r="D14" s="56" t="inlineStr">
        <is>
          <t>Malvaceae</t>
        </is>
      </c>
      <c r="E14" s="56" t="inlineStr">
        <is>
          <t>Arbóreo bajo (4-8 m)</t>
        </is>
      </c>
      <c r="F14" s="56" t="inlineStr">
        <is>
          <t>Nativa</t>
        </is>
      </c>
      <c r="G14" s="56" t="inlineStr">
        <is>
          <t>Ocasional (1-5%)</t>
        </is>
      </c>
      <c r="H14" s="56" t="n"/>
      <c r="I14" s="56" t="n"/>
    </row>
    <row r="15">
      <c r="A15" s="55" t="inlineStr">
        <is>
          <t>3</t>
        </is>
      </c>
      <c r="B15" s="55" t="inlineStr">
        <is>
          <t>Charán</t>
        </is>
      </c>
      <c r="C15" s="55" t="inlineStr">
        <is>
          <t>Caesalpinea paipai</t>
        </is>
      </c>
      <c r="D15" s="55" t="inlineStr">
        <is>
          <t>Fabaceae</t>
        </is>
      </c>
      <c r="E15" s="55" t="inlineStr">
        <is>
          <t>Arbóreo bajo (4-8 m)</t>
        </is>
      </c>
      <c r="F15" s="55" t="inlineStr">
        <is>
          <t>Nativa</t>
        </is>
      </c>
      <c r="G15" s="55" t="inlineStr">
        <is>
          <t>Ocasional (1-5%)</t>
        </is>
      </c>
      <c r="H15" s="55" t="n"/>
      <c r="I15" s="55" t="n"/>
    </row>
    <row r="16">
      <c r="A16" s="56" t="inlineStr">
        <is>
          <t>4</t>
        </is>
      </c>
      <c r="B16" s="56" t="inlineStr">
        <is>
          <t>Roble</t>
        </is>
      </c>
      <c r="C16" s="56" t="inlineStr">
        <is>
          <t>Grevilea robusta</t>
        </is>
      </c>
      <c r="D16" s="56" t="inlineStr"/>
      <c r="E16" s="56" t="inlineStr">
        <is>
          <t>Arbóreo superior (&gt;15 m)</t>
        </is>
      </c>
      <c r="F16" s="56" t="inlineStr">
        <is>
          <t>Introducida</t>
        </is>
      </c>
      <c r="G16" s="56" t="inlineStr">
        <is>
          <t>Ocasional (1-5%)</t>
        </is>
      </c>
      <c r="H16" s="56" t="n"/>
      <c r="I16" s="56" t="n"/>
    </row>
    <row r="17">
      <c r="A17" s="55" t="inlineStr">
        <is>
          <t>5</t>
        </is>
      </c>
      <c r="B17" s="55" t="inlineStr">
        <is>
          <t>Nogal</t>
        </is>
      </c>
      <c r="C17" s="55" t="inlineStr">
        <is>
          <t>Juglans neotropica</t>
        </is>
      </c>
      <c r="D17" s="55" t="inlineStr">
        <is>
          <t>Juglandaceae</t>
        </is>
      </c>
      <c r="E17" s="55" t="inlineStr">
        <is>
          <t>Arbóreo superior (&gt;15 m)</t>
        </is>
      </c>
      <c r="F17" s="55" t="inlineStr">
        <is>
          <t>Nativa</t>
        </is>
      </c>
      <c r="G17" s="55" t="inlineStr">
        <is>
          <t>Ocasional (1-5%)</t>
        </is>
      </c>
      <c r="H17" s="55" t="n"/>
      <c r="I17" s="55" t="n"/>
    </row>
    <row r="18">
      <c r="A18" s="56" t="inlineStr">
        <is>
          <t>6</t>
        </is>
      </c>
      <c r="B18" s="56" t="inlineStr">
        <is>
          <t>Guaba/Pacae</t>
        </is>
      </c>
      <c r="C18" s="56" t="inlineStr">
        <is>
          <t>Inga spp.</t>
        </is>
      </c>
      <c r="D18" s="56" t="inlineStr">
        <is>
          <t>Fabaceae</t>
        </is>
      </c>
      <c r="E18" s="56" t="inlineStr">
        <is>
          <t>Arbóreo medio (8-15 m)</t>
        </is>
      </c>
      <c r="F18" s="56" t="inlineStr">
        <is>
          <t>Nativa</t>
        </is>
      </c>
      <c r="G18" s="56" t="inlineStr">
        <is>
          <t>Ocasional (1-5%)</t>
        </is>
      </c>
      <c r="H18" s="56" t="n"/>
      <c r="I18" s="56" t="n"/>
    </row>
    <row r="19">
      <c r="A19" s="55" t="inlineStr">
        <is>
          <t>7</t>
        </is>
      </c>
      <c r="B19" s="55" t="inlineStr">
        <is>
          <t>Café</t>
        </is>
      </c>
      <c r="C19" s="55" t="inlineStr"/>
      <c r="D19" s="55" t="inlineStr"/>
      <c r="E19" s="55" t="inlineStr"/>
      <c r="F19" s="55" t="inlineStr"/>
      <c r="G19" s="55" t="inlineStr">
        <is>
          <t>Ocasional (1-5%)</t>
        </is>
      </c>
      <c r="H19" s="55" t="n"/>
      <c r="I19" s="55" t="n"/>
    </row>
    <row r="20">
      <c r="A20" s="56" t="inlineStr">
        <is>
          <t>8</t>
        </is>
      </c>
      <c r="B20" s="56" t="inlineStr">
        <is>
          <t>Cítricos</t>
        </is>
      </c>
      <c r="C20" s="56" t="inlineStr"/>
      <c r="D20" s="56" t="inlineStr"/>
      <c r="E20" s="56" t="inlineStr"/>
      <c r="F20" s="56" t="inlineStr"/>
      <c r="G20" s="56" t="inlineStr">
        <is>
          <t>Ocasional (1-5%)</t>
        </is>
      </c>
      <c r="H20" s="56" t="n"/>
      <c r="I20" s="56" t="n"/>
    </row>
    <row r="21">
      <c r="A21" s="55" t="inlineStr">
        <is>
          <t>9</t>
        </is>
      </c>
      <c r="B21" s="55" t="inlineStr">
        <is>
          <t>Pastos cultivados</t>
        </is>
      </c>
      <c r="C21" s="55" t="inlineStr">
        <is>
          <t>Brachiaria / Pennisetum spp.</t>
        </is>
      </c>
      <c r="D21" s="55" t="inlineStr">
        <is>
          <t>Poaceae</t>
        </is>
      </c>
      <c r="E21" s="55" t="inlineStr">
        <is>
          <t>Herbáceo (&lt;0.5 m)</t>
        </is>
      </c>
      <c r="F21" s="55" t="inlineStr">
        <is>
          <t>Introducida</t>
        </is>
      </c>
      <c r="G21" s="55" t="inlineStr">
        <is>
          <t>Abundante (20-40%)</t>
        </is>
      </c>
      <c r="H21" s="55" t="n"/>
      <c r="I21" s="55" t="n"/>
    </row>
    <row r="22">
      <c r="A22" s="56" t="inlineStr">
        <is>
          <t>10</t>
        </is>
      </c>
      <c r="B22" s="56" t="inlineStr">
        <is>
          <t>Maíz</t>
        </is>
      </c>
      <c r="C22" s="56" t="inlineStr"/>
      <c r="D22" s="56" t="inlineStr"/>
      <c r="E22" s="56" t="inlineStr">
        <is>
          <t>Herbáceo (&lt;0.5 m)</t>
        </is>
      </c>
      <c r="F22" s="56" t="inlineStr"/>
      <c r="G22" s="56" t="inlineStr"/>
      <c r="H22" s="56" t="n"/>
      <c r="I22" s="56" t="n"/>
    </row>
    <row r="24">
      <c r="A24" s="53" t="inlineStr">
        <is>
          <t>F-DT-03 · ESPECIES CLAVE GEORREFERENCIADAS</t>
        </is>
      </c>
    </row>
    <row r="25">
      <c r="A25" s="54" t="inlineStr">
        <is>
          <t>N.o</t>
        </is>
      </c>
      <c r="B25" s="54" t="inlineStr">
        <is>
          <t>Especie</t>
        </is>
      </c>
      <c r="C25" s="54" t="inlineStr">
        <is>
          <t>Categoría</t>
        </is>
      </c>
      <c r="D25" s="54" t="inlineStr">
        <is>
          <t>Estado UICN</t>
        </is>
      </c>
      <c r="E25" s="54" t="inlineStr">
        <is>
          <t>UTM ESTE</t>
        </is>
      </c>
      <c r="F25" s="54" t="inlineStr">
        <is>
          <t>UTM NORTE</t>
        </is>
      </c>
      <c r="G25" s="54" t="inlineStr">
        <is>
          <t>N.° individuos</t>
        </is>
      </c>
      <c r="H25" s="54" t="inlineStr">
        <is>
          <t>Observación</t>
        </is>
      </c>
    </row>
    <row r="27">
      <c r="A27" s="53" t="inlineStr">
        <is>
          <t>F-DT-04 · MATRIZ DE CAUSAS DE DEGRADACIÓN</t>
        </is>
      </c>
    </row>
    <row r="28">
      <c r="A28" s="54" t="inlineStr">
        <is>
          <t>N.o</t>
        </is>
      </c>
      <c r="B28" s="54" t="inlineStr">
        <is>
          <t>Causa</t>
        </is>
      </c>
      <c r="C28" s="54" t="inlineStr">
        <is>
          <t>Presencia</t>
        </is>
      </c>
      <c r="D28" s="54" t="inlineStr">
        <is>
          <t>Intensidad</t>
        </is>
      </c>
      <c r="E28" s="54" t="inlineStr">
        <is>
          <t>Extensión</t>
        </is>
      </c>
      <c r="F28" s="54" t="inlineStr">
        <is>
          <t>Antigüedad</t>
        </is>
      </c>
      <c r="G28" s="54" t="inlineStr">
        <is>
          <t>Evidencia</t>
        </is>
      </c>
    </row>
    <row r="29">
      <c r="A29" s="55" t="inlineStr">
        <is>
          <t>1</t>
        </is>
      </c>
      <c r="B29" s="55" t="inlineStr">
        <is>
          <t>Sobrepastoreo (caprino/vacuno)</t>
        </is>
      </c>
      <c r="C29" s="55" t="inlineStr">
        <is>
          <t>Sí</t>
        </is>
      </c>
      <c r="D29" s="55" t="inlineStr">
        <is>
          <t>Moderada</t>
        </is>
      </c>
      <c r="E29" s="55" t="inlineStr">
        <is>
          <t>20</t>
        </is>
      </c>
      <c r="F29" s="55" t="inlineStr"/>
      <c r="G29" s="55" t="inlineStr">
        <is>
          <t>Régimen de pastoreo por confirmar en campo</t>
        </is>
      </c>
    </row>
    <row r="30">
      <c r="A30" s="56" t="inlineStr">
        <is>
          <t>2</t>
        </is>
      </c>
      <c r="B30" s="56" t="inlineStr">
        <is>
          <t>Tala para leña</t>
        </is>
      </c>
      <c r="C30" s="56" t="inlineStr"/>
      <c r="D30" s="56" t="inlineStr"/>
      <c r="E30" s="56" t="inlineStr"/>
      <c r="F30" s="56" t="inlineStr"/>
      <c r="G30" s="56" t="inlineStr">
        <is>
          <t>[Por verificar] Práctica recurrente en bosque seco del ámbito; no verificada</t>
        </is>
      </c>
    </row>
    <row r="31">
      <c r="A31" s="55" t="inlineStr">
        <is>
          <t>3</t>
        </is>
      </c>
      <c r="B31" s="55" t="inlineStr">
        <is>
          <t>Tala para carbón</t>
        </is>
      </c>
      <c r="C31" s="55" t="inlineStr"/>
      <c r="D31" s="55" t="inlineStr"/>
      <c r="E31" s="55" t="inlineStr"/>
      <c r="F31" s="55" t="inlineStr"/>
      <c r="G31" s="55" t="inlineStr"/>
    </row>
    <row r="32">
      <c r="A32" s="56" t="inlineStr">
        <is>
          <t>4</t>
        </is>
      </c>
      <c r="B32" s="56" t="inlineStr">
        <is>
          <t>Tala para madera</t>
        </is>
      </c>
      <c r="C32" s="56" t="inlineStr"/>
      <c r="D32" s="56" t="inlineStr"/>
      <c r="E32" s="56" t="inlineStr"/>
      <c r="F32" s="56" t="inlineStr"/>
      <c r="G32" s="56" t="inlineStr"/>
    </row>
    <row r="33">
      <c r="A33" s="55" t="inlineStr">
        <is>
          <t>5</t>
        </is>
      </c>
      <c r="B33" s="55" t="inlineStr">
        <is>
          <t>Quema (renovación de pastos)</t>
        </is>
      </c>
      <c r="C33" s="55" t="inlineStr"/>
      <c r="D33" s="55" t="inlineStr"/>
      <c r="E33" s="55" t="inlineStr"/>
      <c r="F33" s="55" t="inlineStr"/>
      <c r="G33" s="55" t="inlineStr"/>
    </row>
    <row r="34">
      <c r="A34" s="56" t="inlineStr">
        <is>
          <t>6</t>
        </is>
      </c>
      <c r="B34" s="56" t="inlineStr">
        <is>
          <t>Quema accidental / Incendio</t>
        </is>
      </c>
      <c r="C34" s="56" t="inlineStr"/>
      <c r="D34" s="56" t="inlineStr"/>
      <c r="E34" s="56" t="inlineStr"/>
      <c r="F34" s="56" t="inlineStr"/>
      <c r="G34" s="56" t="inlineStr"/>
    </row>
    <row r="35">
      <c r="A35" s="55" t="inlineStr">
        <is>
          <t>7</t>
        </is>
      </c>
      <c r="B35" s="55" t="inlineStr">
        <is>
          <t>Cambio de uso a agricultura</t>
        </is>
      </c>
      <c r="C35" s="55" t="inlineStr">
        <is>
          <t>Sí</t>
        </is>
      </c>
      <c r="D35" s="55" t="inlineStr">
        <is>
          <t>Moderada</t>
        </is>
      </c>
      <c r="E35" s="55" t="inlineStr">
        <is>
          <t>15</t>
        </is>
      </c>
      <c r="F35" s="55" t="inlineStr"/>
      <c r="G35" s="55" t="inlineStr">
        <is>
          <t>Parcelas y vivienda dispersa al oeste del bloque (imagen satelital)</t>
        </is>
      </c>
    </row>
    <row r="36">
      <c r="A36" s="56" t="inlineStr">
        <is>
          <t>8</t>
        </is>
      </c>
      <c r="B36" s="56" t="inlineStr">
        <is>
          <t>Cambio de uso a pastoreo</t>
        </is>
      </c>
      <c r="C36" s="56" t="inlineStr">
        <is>
          <t>Sí</t>
        </is>
      </c>
      <c r="D36" s="56" t="inlineStr">
        <is>
          <t>Moderada</t>
        </is>
      </c>
      <c r="E36" s="56" t="inlineStr">
        <is>
          <t>20</t>
        </is>
      </c>
      <c r="F36" s="56" t="inlineStr"/>
      <c r="G36" s="56" t="inlineStr">
        <is>
          <t>Lóbulo meridional con cobertura rala contigua a Huabal</t>
        </is>
      </c>
    </row>
    <row r="37">
      <c r="A37" s="55" t="inlineStr">
        <is>
          <t>9</t>
        </is>
      </c>
      <c r="B37" s="55" t="inlineStr">
        <is>
          <t>Expansión urbana / vial</t>
        </is>
      </c>
      <c r="C37" s="55" t="inlineStr">
        <is>
          <t>Sí</t>
        </is>
      </c>
      <c r="D37" s="55" t="inlineStr">
        <is>
          <t>Ligera</t>
        </is>
      </c>
      <c r="E37" s="55" t="inlineStr">
        <is>
          <t>5</t>
        </is>
      </c>
      <c r="F37" s="55" t="inlineStr"/>
      <c r="G37" s="55" t="inlineStr">
        <is>
          <t>Vía nacional asfaltada colindante por el flanco occidental</t>
        </is>
      </c>
    </row>
    <row r="38">
      <c r="A38" s="56" t="inlineStr">
        <is>
          <t>10</t>
        </is>
      </c>
      <c r="B38" s="56" t="inlineStr">
        <is>
          <t>Minería informal</t>
        </is>
      </c>
      <c r="C38" s="56" t="inlineStr"/>
      <c r="D38" s="56" t="inlineStr"/>
      <c r="E38" s="56" t="inlineStr"/>
      <c r="F38" s="56" t="inlineStr"/>
      <c r="G38" s="56" t="inlineStr"/>
    </row>
    <row r="39">
      <c r="A39" s="55" t="inlineStr">
        <is>
          <t>11</t>
        </is>
      </c>
      <c r="B39" s="55" t="inlineStr">
        <is>
          <t>Extracción de áridos (cauces)</t>
        </is>
      </c>
      <c r="C39" s="55" t="inlineStr"/>
      <c r="D39" s="55" t="inlineStr"/>
      <c r="E39" s="55" t="inlineStr"/>
      <c r="F39" s="55" t="inlineStr"/>
      <c r="G39" s="55" t="inlineStr"/>
    </row>
    <row r="40">
      <c r="A40" s="56" t="inlineStr">
        <is>
          <t>12</t>
        </is>
      </c>
      <c r="B40" s="56" t="inlineStr">
        <is>
          <t>Especies invasoras</t>
        </is>
      </c>
      <c r="C40" s="56" t="inlineStr"/>
      <c r="D40" s="56" t="inlineStr"/>
      <c r="E40" s="56" t="inlineStr"/>
      <c r="F40" s="56" t="inlineStr"/>
      <c r="G40" s="56" t="inlineStr"/>
    </row>
    <row r="41">
      <c r="A41" s="55" t="inlineStr">
        <is>
          <t>13</t>
        </is>
      </c>
      <c r="B41" s="55" t="inlineStr">
        <is>
          <t>Erosión natural severa</t>
        </is>
      </c>
      <c r="C41" s="55" t="inlineStr"/>
      <c r="D41" s="55" t="inlineStr"/>
      <c r="E41" s="55" t="inlineStr"/>
      <c r="F41" s="55" t="inlineStr"/>
      <c r="G41" s="55" t="inlineStr"/>
    </row>
    <row r="42">
      <c r="A42" s="56" t="inlineStr">
        <is>
          <t>14</t>
        </is>
      </c>
      <c r="B42" s="56" t="inlineStr">
        <is>
          <t>Sequía prolongada / CC</t>
        </is>
      </c>
      <c r="C42" s="56" t="inlineStr"/>
      <c r="D42" s="56" t="inlineStr"/>
      <c r="E42" s="56" t="inlineStr"/>
      <c r="F42" s="56" t="inlineStr"/>
      <c r="G42" s="56" t="inlineStr"/>
    </row>
    <row r="43">
      <c r="A43" s="55" t="inlineStr">
        <is>
          <t>15</t>
        </is>
      </c>
      <c r="B43" s="55" t="inlineStr">
        <is>
          <t>Plagas o enfermedades forestales</t>
        </is>
      </c>
      <c r="C43" s="55" t="inlineStr"/>
      <c r="D43" s="55" t="inlineStr"/>
      <c r="E43" s="55" t="inlineStr"/>
      <c r="F43" s="55" t="inlineStr"/>
      <c r="G43" s="55" t="inlineStr"/>
    </row>
    <row r="44">
      <c r="A44" s="56" t="inlineStr">
        <is>
          <t>16</t>
        </is>
      </c>
      <c r="B44" s="56" t="inlineStr">
        <is>
          <t>Otro</t>
        </is>
      </c>
      <c r="C44" s="56" t="inlineStr"/>
      <c r="D44" s="56" t="inlineStr"/>
      <c r="E44" s="56" t="inlineStr"/>
      <c r="F44" s="56" t="inlineStr"/>
      <c r="G44" s="56" t="inlineStr"/>
    </row>
    <row r="46">
      <c r="A46" s="53" t="inlineStr">
        <is>
          <t>F-DT-04 · INDICADORES CUANTITATIVOS</t>
        </is>
      </c>
    </row>
    <row r="47">
      <c r="A47" s="54" t="inlineStr">
        <is>
          <t>N.o</t>
        </is>
      </c>
      <c r="B47" s="54" t="inlineStr">
        <is>
          <t>Indicador</t>
        </is>
      </c>
      <c r="C47" s="54" t="inlineStr">
        <is>
          <t>Unidad</t>
        </is>
      </c>
      <c r="D47" s="54" t="inlineStr">
        <is>
          <t>Valor</t>
        </is>
      </c>
      <c r="E47" s="54" t="inlineStr">
        <is>
          <t>Fuente</t>
        </is>
      </c>
      <c r="F47" s="54" t="inlineStr">
        <is>
          <t>Umbral</t>
        </is>
      </c>
      <c r="G47" s="54" t="inlineStr">
        <is>
          <t>Nivel</t>
        </is>
      </c>
    </row>
    <row r="48">
      <c r="A48" s="55" t="inlineStr">
        <is>
          <t>1</t>
        </is>
      </c>
      <c r="B48" s="55" t="inlineStr">
        <is>
          <t>Cobertura vegetal total</t>
        </is>
      </c>
      <c r="C48" s="55" t="inlineStr">
        <is>
          <t>%</t>
        </is>
      </c>
      <c r="D48" s="55" t="inlineStr">
        <is>
          <t>70.36</t>
        </is>
      </c>
      <c r="E48" s="55" t="inlineStr">
        <is>
          <t>MSAVI 2024 (clases &gt; 0.4976), conteo de píxeles</t>
        </is>
      </c>
      <c r="F48" s="55" t="inlineStr">
        <is>
          <t>&gt;60% bueno; 30-60% medio; &lt;30% malo</t>
        </is>
      </c>
      <c r="G48" s="55" t="inlineStr">
        <is>
          <t>Alto</t>
        </is>
      </c>
    </row>
    <row r="49">
      <c r="A49" s="56" t="inlineStr">
        <is>
          <t>2</t>
        </is>
      </c>
      <c r="B49" s="56" t="inlineStr">
        <is>
          <t>Porcentaje de suelo desnudo</t>
        </is>
      </c>
      <c r="C49" s="56" t="inlineStr">
        <is>
          <t>%</t>
        </is>
      </c>
      <c r="D49" s="56" t="inlineStr">
        <is>
          <t>0</t>
        </is>
      </c>
      <c r="E49" s="56" t="inlineStr">
        <is>
          <t>MSAVI 2024 (clase &lt;= 0.2650)</t>
        </is>
      </c>
      <c r="F49" s="56" t="inlineStr">
        <is>
          <t>&lt;10% bueno; 10-30% medio; &gt;30% malo</t>
        </is>
      </c>
      <c r="G49" s="56" t="inlineStr">
        <is>
          <t>Bajo</t>
        </is>
      </c>
    </row>
    <row r="50">
      <c r="A50" s="55" t="inlineStr">
        <is>
          <t>3</t>
        </is>
      </c>
      <c r="B50" s="55" t="inlineStr">
        <is>
          <t>Densidad de cárcavas</t>
        </is>
      </c>
      <c r="C50" s="55" t="inlineStr">
        <is>
          <t>N°/ha</t>
        </is>
      </c>
      <c r="D50" s="55" t="inlineStr">
        <is>
          <t>Por determinar</t>
        </is>
      </c>
      <c r="E50" s="55" t="inlineStr">
        <is>
          <t>Inventario de cárcavas no ejecutado</t>
        </is>
      </c>
      <c r="F50" s="55" t="inlineStr">
        <is>
          <t>0 nulo; 1-3 medio; &gt;3 alto</t>
        </is>
      </c>
      <c r="G50" s="55" t="inlineStr"/>
    </row>
    <row r="51">
      <c r="A51" s="56" t="inlineStr">
        <is>
          <t>4</t>
        </is>
      </c>
      <c r="B51" s="56" t="inlineStr">
        <is>
          <t>Presencia de especies invasoras</t>
        </is>
      </c>
      <c r="C51" s="56" t="inlineStr">
        <is>
          <t>% área</t>
        </is>
      </c>
      <c r="D51" s="56" t="inlineStr">
        <is>
          <t>Por determinar</t>
        </is>
      </c>
      <c r="E51" s="56" t="inlineStr">
        <is>
          <t>Sin verificación botánica</t>
        </is>
      </c>
      <c r="F51" s="56" t="inlineStr">
        <is>
          <t>&lt;5% bueno; 5-20% medio; &gt;20% alto</t>
        </is>
      </c>
      <c r="G51" s="56" t="inlineStr"/>
    </row>
    <row r="52">
      <c r="A52" s="55" t="inlineStr">
        <is>
          <t>5</t>
        </is>
      </c>
      <c r="B52" s="55" t="inlineStr">
        <is>
          <t>Carga ganadera estimada</t>
        </is>
      </c>
      <c r="C52" s="55" t="inlineStr">
        <is>
          <t>UA/ha</t>
        </is>
      </c>
      <c r="D52" s="55" t="inlineStr">
        <is>
          <t>Por determinar</t>
        </is>
      </c>
      <c r="E52" s="55" t="inlineStr">
        <is>
          <t>Sin conteo de unidades animales</t>
        </is>
      </c>
      <c r="F52" s="55" t="inlineStr">
        <is>
          <t>Según tipo de ecosistema</t>
        </is>
      </c>
      <c r="G52" s="55" t="inlineStr"/>
    </row>
    <row r="53">
      <c r="A53" s="56" t="inlineStr">
        <is>
          <t>6</t>
        </is>
      </c>
      <c r="B53" s="56" t="inlineStr">
        <is>
          <t>Frecuencia de quemas últimos 5 años</t>
        </is>
      </c>
      <c r="C53" s="56" t="inlineStr">
        <is>
          <t>N°</t>
        </is>
      </c>
      <c r="D53" s="56" t="inlineStr">
        <is>
          <t>Por determinar</t>
        </is>
      </c>
      <c r="E53" s="56" t="inlineStr">
        <is>
          <t>Sin serie de focos de calor</t>
        </is>
      </c>
      <c r="F53" s="56" t="inlineStr">
        <is>
          <t>0 nulo; 1-2 medio; &gt;2 alto</t>
        </is>
      </c>
      <c r="G53" s="56" t="inlineStr"/>
    </row>
    <row r="54">
      <c r="A54" s="55" t="inlineStr">
        <is>
          <t>7</t>
        </is>
      </c>
      <c r="B54" s="55" t="inlineStr">
        <is>
          <t>% área con pendiente &gt;50%</t>
        </is>
      </c>
      <c r="C54" s="55" t="inlineStr">
        <is>
          <t>%</t>
        </is>
      </c>
      <c r="D54" s="55" t="inlineStr">
        <is>
          <t>Por determinar</t>
        </is>
      </c>
      <c r="E54" s="55" t="inlineStr">
        <is>
          <t>Requiere reclasificación del MDE</t>
        </is>
      </c>
      <c r="F54" s="55" t="inlineStr">
        <is>
          <t>Factor de susceptibilidad</t>
        </is>
      </c>
      <c r="G54" s="55" t="inlineStr"/>
    </row>
    <row r="55">
      <c r="A55" s="56" t="inlineStr">
        <is>
          <t>8</t>
        </is>
      </c>
      <c r="B55" s="56" t="inlineStr">
        <is>
          <t>Distancia a vía vecinal más cercana</t>
        </is>
      </c>
      <c r="C55" s="56" t="inlineStr">
        <is>
          <t>m</t>
        </is>
      </c>
      <c r="D55" s="56" t="inlineStr">
        <is>
          <t>0</t>
        </is>
      </c>
      <c r="E55" s="56" t="inlineStr">
        <is>
          <t>Vía de acceso colindante al bloque</t>
        </is>
      </c>
      <c r="F55" s="56" t="inlineStr">
        <is>
          <t>A menor distancia → mayor presión</t>
        </is>
      </c>
      <c r="G55" s="56" t="inlineStr">
        <is>
          <t>Alto</t>
        </is>
      </c>
    </row>
    <row r="57">
      <c r="A57" s="53" t="inlineStr">
        <is>
          <t>F-DT-05 · FUENTES DE AGUA INVENTARIADAS</t>
        </is>
      </c>
    </row>
    <row r="58">
      <c r="A58" s="54" t="inlineStr">
        <is>
          <t>N.o</t>
        </is>
      </c>
      <c r="B58" s="54" t="inlineStr">
        <is>
          <t>Tipo de fuente</t>
        </is>
      </c>
      <c r="C58" s="54" t="inlineStr">
        <is>
          <t>UTM ESTE</t>
        </is>
      </c>
      <c r="D58" s="54" t="inlineStr">
        <is>
          <t>UTM NORTE</t>
        </is>
      </c>
      <c r="E58" s="54" t="inlineStr">
        <is>
          <t>Régimen</t>
        </is>
      </c>
      <c r="F58" s="54" t="inlineStr">
        <is>
          <t>Calidad</t>
        </is>
      </c>
      <c r="G58" s="54" t="inlineStr">
        <is>
          <t>Distancia (m)</t>
        </is>
      </c>
      <c r="H58" s="54" t="inlineStr">
        <is>
          <t>Uso / observación</t>
        </is>
      </c>
    </row>
    <row r="59">
      <c r="A59" s="55" t="inlineStr">
        <is>
          <t>1</t>
        </is>
      </c>
      <c r="B59" s="55" t="inlineStr">
        <is>
          <t>Río</t>
        </is>
      </c>
      <c r="C59" s="55" t="n"/>
      <c r="D59" s="55" t="n"/>
      <c r="E59" s="55" t="inlineStr">
        <is>
          <t>Permanente</t>
        </is>
      </c>
      <c r="F59" s="55" t="inlineStr">
        <is>
          <t>Buena (clara, sin olor, sin sedimentos)</t>
        </is>
      </c>
      <c r="G59" s="60" t="n">
        <v>0</v>
      </c>
      <c r="H59" s="55" t="inlineStr">
        <is>
          <t>Río Pusmalca, colindante al flanco occidental del bloque</t>
        </is>
      </c>
    </row>
    <row r="62">
      <c r="A62" s="53" t="inlineStr">
        <is>
          <t>OBSERVACIONES DEL EVALUADOR POR FICHA</t>
        </is>
      </c>
    </row>
    <row r="63">
      <c r="A63" s="54" t="inlineStr">
        <is>
          <t>Ficha</t>
        </is>
      </c>
      <c r="B63" s="54" t="inlineStr">
        <is>
          <t>Observación registrada en campo</t>
        </is>
      </c>
    </row>
    <row r="64">
      <c r="A64" s="55" t="inlineStr">
        <is>
          <t>F-DT-01</t>
        </is>
      </c>
      <c r="B64" s="55" t="inlineStr">
        <is>
          <t>Coordenadas correspondientes al CENTROIDE del polígono (Bloques V4/V5); no a un punto de muestreo GPS de campo. Altitud consignada: cota media de gabinete 898 msnm (sin registro GPS de campo). Rango altitudinal del bloque según MDE: 681–1114 msnm (amplitud 433 m); pendiente promedio 17.59 %. Centro(s) poblado(s) asociado(s): Almirante Miguel Grau y Huabal. Acceso: Vía nacional asfaltada Piura – Canchaque, margen izquierda del río Pusmalca.</t>
        </is>
      </c>
    </row>
    <row r="65">
      <c r="A65" s="56" t="inlineStr">
        <is>
          <t>F-DT-02</t>
        </is>
      </c>
      <c r="B65" s="56" t="inlineStr">
        <is>
          <t>La descripción física y de procesos erosivos del Bloque 79 no fue transcrita en la versión resumida del Segundo Entregable (acápite 4.1.3.1.1 incompleto). La caracterización que sigue procede exclusivamente de gabinete (MDE, MSAVI 2024, NDVI 2025 y cartografía temática) y debe completarse con el formato de campo original del ANEXO 01.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is>
      </c>
    </row>
    <row r="66">
      <c r="A66" s="55" t="inlineStr">
        <is>
          <t>F-DT-03</t>
        </is>
      </c>
      <c r="B66" s="55" t="inlineStr">
        <is>
          <t>Ecosistema declarado en campo: Bosque estacionalmente seco de colina y montaña (Bes-cm). Sin registro florístico transcrito para el bloque. Por su piso altitudinal (681–1 114 msnm) y tipo de ecosistema corresponde a bosque estacionalmente seco, cuyo elenco típico en el ámbito del proyecto incluye hualtaco (Loxopterygium huasango), sapote (Capparis scabrida) y cardos (Armatocereus cartwrightianus); su verificación queda supeditada a colecta botánica. Coberturas por estrato, alturas y DAP no medidos instrumentalmente en esta evaluación. No se confirmaron especies amenazadas del D.S. 043-2006-AG. La superficie ocupada por cultivos debe excluirse del área efectiva en el tamizaje predial.</t>
        </is>
      </c>
    </row>
    <row r="67">
      <c r="A67" s="56" t="inlineStr">
        <is>
          <t>F-DT-04</t>
        </is>
      </c>
      <c r="B67" s="56" t="inlineStr">
        <is>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is>
      </c>
    </row>
    <row r="68">
      <c r="A68" s="55" t="inlineStr">
        <is>
          <t>F-DT-05</t>
        </is>
      </c>
      <c r="B68" s="55" t="inlineStr">
        <is>
          <t>Acceso: Vía nacional asfaltada Piura – Canchaque, margen izquierda del río Pusmalca.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79</t>
        </is>
      </c>
    </row>
    <row r="7">
      <c r="A7" s="53" t="inlineStr">
        <is>
          <t>Hechos declarados por fuente</t>
        </is>
      </c>
    </row>
    <row r="8">
      <c r="A8" s="54" t="inlineStr">
        <is>
          <t>Fuente</t>
        </is>
      </c>
      <c r="B8" s="54" t="inlineStr">
        <is>
          <t>Hechos</t>
        </is>
      </c>
    </row>
    <row r="9">
      <c r="A9" s="55" t="inlineStr">
        <is>
          <t>Dato de campo</t>
        </is>
      </c>
      <c r="B9" s="55" t="n">
        <v>41</v>
      </c>
    </row>
    <row r="10">
      <c r="A10" s="56" t="inlineStr">
        <is>
          <t>Gabinete (GIS / teledetección)</t>
        </is>
      </c>
      <c r="B10" s="56" t="n">
        <v>28</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76</v>
      </c>
    </row>
    <row r="31">
      <c r="A31" s="56" t="inlineStr">
        <is>
          <t>COMPLEMENTADO</t>
        </is>
      </c>
      <c r="B31" s="56" t="n">
        <v>7</v>
      </c>
    </row>
    <row r="32">
      <c r="A32" s="55" t="inlineStr">
        <is>
          <t>ACTUALIZADO</t>
        </is>
      </c>
      <c r="B32" s="55" t="n">
        <v>0</v>
      </c>
    </row>
    <row r="33">
      <c r="A33" s="56" t="inlineStr">
        <is>
          <t>DISCREPANTE</t>
        </is>
      </c>
      <c r="B33" s="56" t="n">
        <v>0</v>
      </c>
    </row>
    <row r="34">
      <c r="A34" s="55" t="inlineStr">
        <is>
          <t>PENDIENTE</t>
        </is>
      </c>
      <c r="B34" s="55" t="n">
        <v>31</v>
      </c>
    </row>
    <row r="51">
      <c r="A51" s="53" t="inlineStr">
        <is>
          <t>Causas activas de degradación (F-DT-04)</t>
        </is>
      </c>
    </row>
    <row r="52">
      <c r="A52" s="54" t="inlineStr">
        <is>
          <t>Causa</t>
        </is>
      </c>
      <c r="B52" s="54" t="inlineStr">
        <is>
          <t>Intensidad (1 ligera - 4 muy fuerte)</t>
        </is>
      </c>
    </row>
    <row r="53">
      <c r="A53" s="55" t="inlineStr">
        <is>
          <t>Cambio de uso a agricultura</t>
        </is>
      </c>
      <c r="B53" s="55" t="n">
        <v>2</v>
      </c>
    </row>
    <row r="54">
      <c r="A54" s="56" t="inlineStr">
        <is>
          <t>Cambio de uso a pastoreo</t>
        </is>
      </c>
      <c r="B54" s="56" t="n">
        <v>2</v>
      </c>
    </row>
    <row r="55">
      <c r="A55" s="55" t="inlineStr">
        <is>
          <t>Sobrepastoreo (caprino/vacuno)</t>
        </is>
      </c>
      <c r="B55" s="55" t="n">
        <v>2</v>
      </c>
    </row>
    <row r="56">
      <c r="A56" s="56" t="inlineStr">
        <is>
          <t>Expansión urbana / vial</t>
        </is>
      </c>
      <c r="B56" s="56" t="n">
        <v>1</v>
      </c>
    </row>
    <row r="73">
      <c r="A73" s="53" t="inlineStr">
        <is>
          <t>Control de consistencia por calificación</t>
        </is>
      </c>
    </row>
    <row r="74">
      <c r="A74" s="54" t="inlineStr">
        <is>
          <t>Calificación</t>
        </is>
      </c>
      <c r="B74" s="54" t="inlineStr">
        <is>
          <t>Verificaciones</t>
        </is>
      </c>
    </row>
    <row r="75">
      <c r="A75" s="55" t="inlineStr">
        <is>
          <t>SUSTANTIVA</t>
        </is>
      </c>
      <c r="B75" s="55" t="n">
        <v>5</v>
      </c>
    </row>
    <row r="76">
      <c r="A76" s="56" t="inlineStr">
        <is>
          <t>NO SUSTANTIVA</t>
        </is>
      </c>
      <c r="B76" s="56" t="n">
        <v>2</v>
      </c>
    </row>
    <row r="77">
      <c r="A77" s="55" t="inlineStr">
        <is>
          <t>CORREGIDO</t>
        </is>
      </c>
      <c r="B77" s="55" t="n">
        <v>0</v>
      </c>
    </row>
    <row r="78">
      <c r="A78" s="56" t="inlineStr">
        <is>
          <t>CONFORME</t>
        </is>
      </c>
      <c r="B78"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79 — IN Piura</dc:title>
  <dc:subject>Diagnóstico Territorial por bloque de intervención</dc:subject>
  <dcterms:created xsi:type="dcterms:W3CDTF">2026-09-08T03:39:54Z</dcterms:created>
  <dcterms:modified xsi:type="dcterms:W3CDTF">2026-09-11T20:22:33Z</dcterms:modified>
</cp:coreProperties>
</file>