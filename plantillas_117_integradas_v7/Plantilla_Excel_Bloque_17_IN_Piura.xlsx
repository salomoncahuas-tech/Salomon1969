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integración'!$A$72:$A$77</f>
            </numRef>
          </cat>
          <val>
            <numRef>
              <f>'Gráficos de integración'!$B$72:$B$77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17</t>
        </is>
      </c>
    </row>
    <row r="6" ht="24" customHeight="1">
      <c r="A6" s="4" t="inlineStr">
        <is>
          <t>Diagnóstico Territorial — Plantilla DT Campo Check Validada V5 | Sistema de referencia: UTM WGS 84 Zona 17S (EPSG:32717) · Integrado con la ficha de campo F-DT vigente (FDT_B17_Diagnostico_Territorial.xlsx) — V7 - resumen V6 + campo F-DT integrado</t>
        </is>
      </c>
    </row>
    <row r="7"/>
    <row r="8" ht="18" customHeight="1">
      <c r="A8" s="5" t="inlineStr">
        <is>
          <t>1. IDENTIFICACIÓN Y LOCALIZACIÓN</t>
        </is>
      </c>
    </row>
    <row r="9">
      <c r="A9" s="6" t="inlineStr">
        <is>
          <t>Código del bloque</t>
        </is>
      </c>
      <c r="B9" s="7" t="inlineStr">
        <is>
          <t>17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Checo (titular del bloque); Jacanacas (próximo)</t>
        </is>
      </c>
      <c r="C13" s="6" t="inlineStr">
        <is>
          <t>Comunidad campesina</t>
        </is>
      </c>
      <c r="D13" s="7" t="inlineStr">
        <is>
          <t>Predios de propiedad privada (pastoreo, ganadería y cultivos de secano)</t>
        </is>
      </c>
      <c r="E13" s="8" t="n"/>
      <c r="F13" s="8" t="n"/>
    </row>
    <row r="14">
      <c r="A14" s="6" t="inlineStr">
        <is>
          <t>Superficie de catálogo (V5/V6), ha</t>
        </is>
      </c>
      <c r="B14" s="7" t="n">
        <v>96.08</v>
      </c>
      <c r="C14" s="6" t="inlineStr">
        <is>
          <t>Fuente de superficie</t>
        </is>
      </c>
      <c r="D14" s="7" t="inlineStr">
        <is>
          <t>Catálogo maestro Bloques V5/V6</t>
        </is>
      </c>
      <c r="E14" s="8" t="n"/>
      <c r="F14" s="8" t="n"/>
    </row>
    <row r="15">
      <c r="A15" s="6" t="inlineStr">
        <is>
          <t>Centroide UTM ESTE (m)</t>
        </is>
      </c>
      <c r="B15" s="7" t="n">
        <v>618661</v>
      </c>
      <c r="C15" s="6" t="inlineStr">
        <is>
          <t>Centroide UTM NORTE (m)</t>
        </is>
      </c>
      <c r="D15" s="7" t="n">
        <v>9438267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1253</v>
      </c>
      <c r="C19" s="6" t="inlineStr">
        <is>
          <t>Altitud máxima (msnm)</t>
        </is>
      </c>
      <c r="D19" s="7" t="n">
        <v>1880</v>
      </c>
      <c r="E19" s="8" t="n"/>
      <c r="F19" s="8" t="n"/>
    </row>
    <row r="20">
      <c r="A20" s="6" t="inlineStr">
        <is>
          <t>Amplitud altitudinal (m)</t>
        </is>
      </c>
      <c r="B20" s="7" t="n">
        <v>627</v>
      </c>
      <c r="C20" s="6" t="inlineStr">
        <is>
          <t>Piso altitudinal dominante</t>
        </is>
      </c>
      <c r="D20" s="7" t="inlineStr">
        <is>
          <t>1500-2000 m (Quechua media)</t>
        </is>
      </c>
      <c r="E20" s="8" t="n"/>
      <c r="F20" s="8" t="n"/>
    </row>
    <row r="21">
      <c r="A21" s="6" t="inlineStr">
        <is>
          <t>Pendiente promedio (%)</t>
        </is>
      </c>
      <c r="B21" s="7" t="n">
        <v>35.56</v>
      </c>
      <c r="C21" s="6" t="inlineStr">
        <is>
          <t>Pendiente promedio (grados)</t>
        </is>
      </c>
      <c r="D21" s="7" t="n">
        <v>19.6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0.6479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(88.68 %)</t>
        </is>
      </c>
      <c r="E29" s="8" t="n"/>
      <c r="F29" s="8" t="n"/>
    </row>
    <row r="30">
      <c r="A30" s="6" t="inlineStr">
        <is>
          <t>Superficie clasificada NDVI 2025 (ha)</t>
        </is>
      </c>
      <c r="B30" s="7" t="n">
        <v>96.123</v>
      </c>
      <c r="C30" s="6" t="inlineStr">
        <is>
          <t>Desviación frente al catálogo (%)</t>
        </is>
      </c>
      <c r="D30" s="7" t="n">
        <v>0.04</v>
      </c>
      <c r="E30" s="8" t="n"/>
      <c r="F30" s="8" t="n"/>
    </row>
    <row r="31">
      <c r="A31" s="6" t="inlineStr">
        <is>
          <t>Superficie clasificada MSAVI 2024 (ha)</t>
        </is>
      </c>
      <c r="B31" s="38" t="n">
        <v>96.07899999999999</v>
      </c>
      <c r="C31" s="6" t="inlineStr">
        <is>
          <t>Desviación MSAVI frente al catálogo (%)</t>
        </is>
      </c>
      <c r="D31" s="39" t="n">
        <v>0</v>
      </c>
      <c r="E31" s="8" t="n"/>
      <c r="F31" s="8" t="n"/>
    </row>
    <row r="32">
      <c r="A32" s="6" t="inlineStr">
        <is>
          <t>Superficie bajo umbral MSAVI 0.4976 (ha)</t>
        </is>
      </c>
      <c r="B32" s="38" t="n">
        <v>2.008</v>
      </c>
      <c r="C32" s="6" t="inlineStr">
        <is>
          <t>% del bloque bajo umbral (brecha espectral)</t>
        </is>
      </c>
      <c r="D32" s="39" t="n">
        <v>2.09</v>
      </c>
      <c r="E32" s="8" t="n"/>
      <c r="F32" s="8" t="n"/>
    </row>
    <row r="33">
      <c r="A33" s="6" t="inlineStr">
        <is>
          <t>Clase DN dominante (MSAVI 2024)</t>
        </is>
      </c>
      <c r="B33" s="7" t="inlineStr">
        <is>
          <t>DN 5 · &gt; 0.6139 (Vigor alto)</t>
        </is>
      </c>
      <c r="C33" s="6" t="inlineStr">
        <is>
          <t>N.° de polígonos MSAVI del bloque</t>
        </is>
      </c>
      <c r="D33" s="40" t="n">
        <v>181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96.08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72</v>
      </c>
      <c r="E38" s="8" t="n"/>
      <c r="F38" s="8" t="n"/>
    </row>
    <row r="39">
      <c r="A39" s="6" t="inlineStr">
        <is>
          <t>Suelo desnudo — campo (%)</t>
        </is>
      </c>
      <c r="B39" s="50" t="inlineStr">
        <is>
          <t>12</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Miller (ANIN-DIME-SESDI); Ing. Pedro Talledo Hernández; Ing. Juan Carlos Domínguez Varas</t>
        </is>
      </c>
      <c r="C44" s="6" t="inlineStr">
        <is>
          <t>Fecha de evaluación</t>
        </is>
      </c>
      <c r="D44" s="7" t="inlineStr">
        <is>
          <t>2026-06-16</t>
        </is>
      </c>
      <c r="E44" s="8" t="n"/>
      <c r="F44" s="8" t="n"/>
    </row>
    <row r="45">
      <c r="A45" s="6" t="inlineStr">
        <is>
          <t>Hora de registro</t>
        </is>
      </c>
      <c r="B45" s="7" t="inlineStr">
        <is>
          <t>03:43-03:44 p.m. (aprox.)</t>
        </is>
      </c>
      <c r="C45" s="6" t="inlineStr">
        <is>
          <t>Correlativo de ficha</t>
        </is>
      </c>
      <c r="D45" s="7" t="inlineStr">
        <is>
          <t>DT-B17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a pie del sector de acceso (observación rápida)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familiar (ganadería + agricultura de secano: maíz, trigo, arveja) sobre laderas frágiles de fuerte pendiente</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66.35120000000001</v>
      </c>
      <c r="C10" s="31">
        <f>ROUND(B10/$B$15*100,2)</f>
        <v/>
      </c>
      <c r="D10" s="12" t="inlineStr">
        <is>
          <t>Vigor alto</t>
        </is>
      </c>
      <c r="E10" s="12" t="inlineStr">
        <is>
          <t>Sobre umbral</t>
        </is>
      </c>
    </row>
    <row r="11">
      <c r="A11" s="13" t="inlineStr">
        <is>
          <t>0.4976 - 0.6139 · DN 4</t>
        </is>
      </c>
      <c r="B11" s="20" t="n">
        <v>27.7205</v>
      </c>
      <c r="C11" s="21">
        <f>ROUND(B11/$B$15*100,2)</f>
        <v/>
      </c>
      <c r="D11" s="14" t="inlineStr">
        <is>
          <t>Vigor moderado</t>
        </is>
      </c>
      <c r="E11" s="14" t="inlineStr">
        <is>
          <t>Sobre umbral</t>
        </is>
      </c>
    </row>
    <row r="12">
      <c r="A12" s="7" t="inlineStr">
        <is>
          <t>0.3813 - 0.4976 · DN 3</t>
        </is>
      </c>
      <c r="B12" s="18" t="n">
        <v>2.0078</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181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96.08</v>
      </c>
      <c r="C18" s="49" t="inlineStr">
        <is>
          <t>—</t>
        </is>
      </c>
      <c r="D18" s="46" t="inlineStr">
        <is>
          <t>Desviación planimétrica frente al catálogo</t>
        </is>
      </c>
      <c r="E18" s="46" t="inlineStr">
        <is>
          <t>+0.00 %</t>
        </is>
      </c>
    </row>
    <row r="19">
      <c r="A19" s="16" t="inlineStr">
        <is>
          <t>MSAVI 2024 — MEDIA DEL BLOQUE</t>
        </is>
      </c>
      <c r="B19" s="17" t="n">
        <v>0.647895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(0.6479)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85.2435</v>
      </c>
      <c r="C25" s="19" t="n">
        <v>88.68000000000001</v>
      </c>
      <c r="D25" s="15" t="inlineStr">
        <is>
          <t>Dosel continuo, matorral denso o mosaico agroforestal</t>
        </is>
      </c>
      <c r="E25" s="15" t="inlineStr"/>
    </row>
    <row r="26">
      <c r="A26" s="13" t="inlineStr">
        <is>
          <t>Vegetación mediana</t>
        </is>
      </c>
      <c r="B26" s="20" t="n">
        <v>10.1683</v>
      </c>
      <c r="C26" s="21" t="n">
        <v>10.58</v>
      </c>
      <c r="D26" s="14" t="inlineStr">
        <is>
          <t>Pastizal cultivado, matorral ralo, parcelas agrícolas</t>
        </is>
      </c>
      <c r="E26" s="14" t="inlineStr"/>
    </row>
    <row r="27">
      <c r="A27" s="7" t="inlineStr">
        <is>
          <t>Vegetación ligera</t>
        </is>
      </c>
      <c r="B27" s="18" t="n">
        <v>0.711</v>
      </c>
      <c r="C27" s="19" t="n">
        <v>0.74</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96.08</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72 % frente a un 88.68 % del polígono clasificado como «Vegetación alta» por el NDVI 2025; la observación de campo corresponde a una parcela o recorrido puntual y no es estadísticamente representativa de las 96.080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17</t>
        </is>
      </c>
    </row>
    <row r="6" ht="24" customHeight="1">
      <c r="A6" s="4" t="inlineStr">
        <is>
          <t>Levantamiento del 2026-06-16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618890</v>
      </c>
      <c r="D10" s="26" t="n">
        <v>9438092</v>
      </c>
      <c r="E10" s="15" t="n">
        <v>288.2</v>
      </c>
      <c r="F10" s="15" t="inlineStr"/>
      <c r="G10" s="15" t="inlineStr">
        <is>
          <t>Coordenada consignada en F-DT-01</t>
        </is>
      </c>
    </row>
    <row r="11">
      <c r="A11" s="13" t="inlineStr">
        <is>
          <t>C-01</t>
        </is>
      </c>
      <c r="B11" s="14" t="inlineStr">
        <is>
          <t>Rasgo erosivo — Cárcava somera (0.5-2 m)</t>
        </is>
      </c>
      <c r="C11" s="27" t="n">
        <v>618889</v>
      </c>
      <c r="D11" s="27" t="n">
        <v>9438088</v>
      </c>
      <c r="E11" s="14" t="n">
        <v>289.9</v>
      </c>
      <c r="F11" s="14" t="inlineStr">
        <is>
          <t>Activa</t>
        </is>
      </c>
      <c r="G11" s="14" t="inlineStr">
        <is>
          <t>Concentración natural de escorrentía</t>
        </is>
      </c>
    </row>
    <row r="12">
      <c r="A12" s="7" t="inlineStr">
        <is>
          <t>H-01</t>
        </is>
      </c>
      <c r="B12" s="15" t="inlineStr">
        <is>
          <t>Fuente de agua — Quebrada permanente</t>
        </is>
      </c>
      <c r="C12" s="26" t="n">
        <v>618905</v>
      </c>
      <c r="D12" s="26" t="n">
        <v>9438102</v>
      </c>
      <c r="E12" s="15" t="n">
        <v>294.6</v>
      </c>
      <c r="F12" s="15" t="inlineStr">
        <is>
          <t>Permanente</t>
        </is>
      </c>
      <c r="G12" s="15" t="inlineStr">
        <is>
          <t>Quebrada El Checo (eje del bloque)</t>
        </is>
      </c>
    </row>
    <row r="13">
      <c r="A13" s="13" t="inlineStr">
        <is>
          <t>B-01</t>
        </is>
      </c>
      <c r="B13" s="14" t="inlineStr">
        <is>
          <t>Especie clave — Vachellia macracantha (Faique)</t>
        </is>
      </c>
      <c r="C13" s="27" t="n">
        <v>618890</v>
      </c>
      <c r="D13" s="27" t="n">
        <v>9438092</v>
      </c>
      <c r="E13" s="14" t="n">
        <v>288.2</v>
      </c>
      <c r="F13" s="14" t="inlineStr">
        <is>
          <t>Amenazada D.S. 043</t>
        </is>
      </c>
      <c r="G13" s="14" t="inlineStr">
        <is>
          <t>NT — Casi Amenazado</t>
        </is>
      </c>
    </row>
    <row r="14">
      <c r="A14" s="7" t="inlineStr">
        <is>
          <t>B-02</t>
        </is>
      </c>
      <c r="B14" s="15" t="inlineStr">
        <is>
          <t>Especie clave — Annona sp. (Chirimoyo silvestre)</t>
        </is>
      </c>
      <c r="C14" s="26" t="n">
        <v>618889</v>
      </c>
      <c r="D14" s="26" t="n">
        <v>9438088</v>
      </c>
      <c r="E14" s="15" t="n">
        <v>289.9</v>
      </c>
      <c r="F14" s="15" t="inlineStr">
        <is>
          <t>Indicadora de buen estado</t>
        </is>
      </c>
      <c r="G14" s="15" t="inlineStr">
        <is>
          <t>NE</t>
        </is>
      </c>
    </row>
    <row r="15">
      <c r="A15" s="13" t="inlineStr">
        <is>
          <t>B-05</t>
        </is>
      </c>
      <c r="B15" s="14" t="inlineStr">
        <is>
          <t>Especie clave — Bromeliaceae epífitas (Tillandsia)</t>
        </is>
      </c>
      <c r="C15" s="27" t="n">
        <v>618889</v>
      </c>
      <c r="D15" s="27" t="n">
        <v>9438088</v>
      </c>
      <c r="E15" s="14" t="n">
        <v>289.9</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618661</v>
      </c>
      <c r="C18" s="6" t="inlineStr">
        <is>
          <t>Centroide del bloque — UTM NORTE (m)</t>
        </is>
      </c>
      <c r="D18" s="7" t="n">
        <v>9438267</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vecinal PI-799. El punto de muestreo corresponde al sector de acceso S/SE, sobre la quebrada El Checo; la altitud promedio del bloque es ~1400 msnm y su rango ~1050-1850 msnm. Perfil de elevación: 1263-1765 m, desnivel +502 m, pendiente media 52.7% y máxima 73.9%. REMOCIÓN EN MASA ACTIVA localizada: caída de bloques rocosos sobre el talud de corte de la PI-799 y canalón de escorrentía con depósito coluvial al pie de ladera. Caracterización geológica POR VERIFICAR con la carta INGEMMET.</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17</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11" t="inlineStr">
        <is>
          <t>► 17</t>
        </is>
      </c>
      <c r="B12" s="30" t="n">
        <v>96.08</v>
      </c>
      <c r="C12" s="31" t="n">
        <v>11.25</v>
      </c>
      <c r="D12" s="12" t="inlineStr">
        <is>
          <t>1253 – 1880</t>
        </is>
      </c>
      <c r="E12" s="12" t="n">
        <v>627</v>
      </c>
      <c r="F12" s="12" t="n">
        <v>35.56</v>
      </c>
      <c r="G12" s="32" t="n">
        <v>0.6479</v>
      </c>
      <c r="H12" s="31" t="n">
        <v>88.68000000000001</v>
      </c>
      <c r="I12" s="31"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17 ocupa el puesto 3 de 12 por superficie dentro de la microcuenca C1086-Q9570 (11.25 % de las 853.87 ha preliminares de la microcuenca). Su pendiente promedio (35.56 %, clase «25-50% (Mod. escarpado)») es la 12.ª más baja de 12 y se sitúa por encima del promedio de la microcuenca (28.51 %). Su MSAVI 2024 (0.6479) es el 3.º de 12 y queda por encima del promedio local (0.5993). Amplitud altitudinal del bloque: 627 m (1253–1880 msnm). El cuadro conserva todos los bloques catalogados en la microcuenca, incluidos los descartados en el tamizaje, para referencia del conjunto. Los bloques sin ficha DT figuran con sus parámetros de gabinete. BRECHA ESPECTRAL. El 2.09 % de la superficie del bloque (2.008 ha de 96.079 ha) se sitúa bajo el umbral MSAVI 0.4976, por debajo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17</t>
        </is>
      </c>
    </row>
    <row r="6">
      <c r="A6" s="52" t="inlineStr">
        <is>
          <t>Cruce de la ficha de campo F-DT vigente con la ficha de resumen de gabinete y el catálogo maestro. Integración 2026-09-11 20:22:25.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288.2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(1300 msnm) cae dentro del rango altitudinal del bloque (1253 - 1880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(96.123 ha) se desvía 0.04 % de la superficie de catálogo (96.08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(96.079 ha) se desvía -0.00 % de la superficie de catálogo (96.08 ha).</t>
        </is>
      </c>
      <c r="D14" s="57" t="inlineStr">
        <is>
          <t>CONFORME</t>
        </is>
      </c>
      <c r="E14" s="57" t="inlineStr">
        <is>
          <t>Sin acción: la segmentación valida la geometría del bloque.</t>
        </is>
      </c>
    </row>
    <row r="15">
      <c r="A15" s="56" t="inlineStr">
        <is>
          <t>G-07</t>
        </is>
      </c>
      <c r="B15" s="56" t="inlineStr">
        <is>
          <t>Brecha espectral MSAVI</t>
        </is>
      </c>
      <c r="C15" s="56" t="inlineStr">
        <is>
          <t>El 2.09 % del bloque queda bajo el umbral 0.4976; superficie de brecha 2.0078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96.08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(0.6479)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 Cahuas Miller; Ing. Pedro Talledo Hernández; Ing. Juan Carlos Domínguez Varas (ANIN-DIME-SESDI)»; la ficha de campo vigente declara «Ing. Héctor S. Cahuas Miller (ANIN-DIME-SESDI); Ing. Pedro Talledo Hernández; Ing. Juan Carlos Domínguez Varas».</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92.9 % de los campos esperados).</t>
        </is>
      </c>
      <c r="D20" s="57" t="inlineStr">
        <is>
          <t>CONFORME</t>
        </is>
      </c>
      <c r="E20" s="57" t="inlineStr">
        <is>
          <t>Sin acción.</t>
        </is>
      </c>
    </row>
    <row r="21">
      <c r="A21" s="56" t="inlineStr">
        <is>
          <t>F-02</t>
        </is>
      </c>
      <c r="B21" s="56" t="inlineStr">
        <is>
          <t>Cobertura de la integración</t>
        </is>
      </c>
      <c r="C21" s="56" t="inlineStr">
        <is>
          <t>Se declararon 96 de 114 hechos integrados (84.2 %); 18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«50-75% (Escarpado)»; la estadística zonal sobre el MDE arroja una pendiente promedio de 35.56 %, que corresponde a la clase «25-50% (Mod. escarpado)»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Rango altitudinal / piso ecológico</t>
        </is>
      </c>
      <c r="C23" s="56" t="inlineStr">
        <is>
          <t>La ficha DT declara «1000-1500 m (Quechua baja)»; el MDE sitúa el bloque entre 1253 y 1880 msnm, cuyo punto medio corresponde a «1500-2000 m (Quechua media)»</t>
        </is>
      </c>
      <c r="D23" s="56" t="inlineStr">
        <is>
          <t>NO SUSTANTIVA</t>
        </is>
      </c>
      <c r="E23" s="56" t="inlineStr">
        <is>
          <t>Se declara la divergencia. El bloque abarca más de un piso altitudinal cuando la amplitud supera el ancho de la clase; el registro de campo corresponde al sector recorrido. (Verificación heredada de la ficha de resumen V6.)</t>
        </is>
      </c>
    </row>
    <row r="24">
      <c r="A24" s="57" t="inlineStr">
        <is>
          <t>H-03</t>
        </is>
      </c>
      <c r="B24" s="57" t="inlineStr">
        <is>
          <t>Cobertura vegetal total</t>
        </is>
      </c>
      <c r="C24" s="57" t="inlineStr">
        <is>
          <t>La ficha DT estima 72 % de cobertura vegetal en campo; el NDVI mediana 2025 clasifica 100.00 % del polígono en clases de vegetación</t>
        </is>
      </c>
      <c r="D24" s="57" t="inlineStr">
        <is>
          <t>NO SUSTANTIVA</t>
        </is>
      </c>
      <c r="E24"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6" t="inlineStr">
        <is>
          <t>H-04</t>
        </is>
      </c>
      <c r="B25" s="56" t="inlineStr">
        <is>
          <t>Dimensiones del inventario de cárcavas</t>
        </is>
      </c>
      <c r="C25" s="56" t="inlineStr">
        <is>
          <t>Se registran 1 rasgos erosivos, pero longitud, profundidad y ancho no fueron medidos instrumentalmente</t>
        </is>
      </c>
      <c r="D25" s="56" t="inlineStr">
        <is>
          <t>NO SUSTANTIVA</t>
        </is>
      </c>
      <c r="E25" s="56" t="inlineStr">
        <is>
          <t>El conteo registrado no debe usarse para calcular densidad de cárcavas por hectárea. Pendiente de levantamiento con GPS submétrico. (Verificación heredada de la ficha de resumen V6.)</t>
        </is>
      </c>
    </row>
    <row r="26">
      <c r="A26" s="57" t="inlineStr">
        <is>
          <t>H-05</t>
        </is>
      </c>
      <c r="B26" s="57" t="inlineStr">
        <is>
          <t>Centro poblado asociado</t>
        </is>
      </c>
      <c r="C26" s="57" t="inlineStr">
        <is>
          <t>La ficha DT declara «El Checo (titular del bloque); Jacanacas (próximo)»; el cruce INEI-Bloques V5 identifica 1 centro(s) poblado(s) en el bloque: EL CHECO</t>
        </is>
      </c>
      <c r="D26" s="57" t="inlineStr">
        <is>
          <t>CONFORME</t>
        </is>
      </c>
      <c r="E26" s="57" t="inlineStr">
        <is>
          <t>Se conserva el registro de campo como referencia y se adopta el listado INEI para el diagnóstico social y el cálculo de población beneficiaria. (Verificación heredada de la ficha de resumen V6.)</t>
        </is>
      </c>
    </row>
    <row r="28">
      <c r="A28" s="58" t="inlineStr">
        <is>
          <t>RESUMEN</t>
        </is>
      </c>
      <c r="B28" s="59" t="inlineStr">
        <is>
          <t>18 verificaciones</t>
        </is>
      </c>
      <c r="C28" s="59" t="inlineStr">
        <is>
          <t>SUSTANTIVA: 1 · NO SUSTANTIVA: 4 · CORREGIDO: 1 · CONFORME: 12</t>
        </is>
      </c>
    </row>
    <row r="30">
      <c r="A30"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0:E30"/>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17</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 Cahuas Miller; Ing. Pedro Talledo Hernández; Ing. Juan Carlos Domínguez Varas (ANIN-DIME-SESDI)</t>
        </is>
      </c>
      <c r="D9" s="56" t="inlineStr">
        <is>
          <t>Ing. Héctor S. Cahuas Miller (ANIN-DIME-SESDI); Ing. Pedro Talledo Hernández; Ing. Juan Carlos Domínguez Varas</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618890</t>
        </is>
      </c>
      <c r="D13" s="56" t="inlineStr">
        <is>
          <t>m</t>
        </is>
      </c>
    </row>
    <row r="14">
      <c r="A14" s="57" t="inlineStr">
        <is>
          <t>1. Identificación y localización</t>
        </is>
      </c>
      <c r="B14" s="57" t="inlineStr">
        <is>
          <t>UTM NORTE del punto de muestreo (m)</t>
        </is>
      </c>
      <c r="C14" s="57" t="inlineStr">
        <is>
          <t>9438092</t>
        </is>
      </c>
      <c r="D14" s="57" t="inlineStr">
        <is>
          <t>m</t>
        </is>
      </c>
    </row>
    <row r="15">
      <c r="A15" s="56" t="inlineStr">
        <is>
          <t>2. Parámetros físicos del terreno</t>
        </is>
      </c>
      <c r="B15" s="56" t="inlineStr">
        <is>
          <t>Altitud GPS del punto de muestreo (msnm)</t>
        </is>
      </c>
      <c r="C15" s="56" t="inlineStr">
        <is>
          <t>1300</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Laderas de colina y montaña del flanco occidental andino, sobre la microcuenca C1086-Q9570 (eje quebrada El Checo / tributario del río Piura). Mosaico de matorral andino y remanentes densos de vegetación arbórea en el núcleo NW (alto vigor MSAVI), con zonas agrícolas de secano (maíz, trigo, arveja) y pastizales en los bordes y sectores bajos. Relieve fuertemente disectado, con afloramientos rocosos y escarpes en la divisoria, drenado por quebrada de régimen permanente.</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Patrón de cárcavas</t>
        </is>
      </c>
      <c r="C24" s="57" t="inlineStr">
        <is>
          <t>Aislado</t>
        </is>
      </c>
      <c r="D24" s="57" t="inlineStr"/>
    </row>
    <row r="25">
      <c r="A25" s="56" t="inlineStr">
        <is>
          <t>4. Suelos y erosión (F-DT-02)</t>
        </is>
      </c>
      <c r="B25" s="56" t="inlineStr">
        <is>
          <t>Socavamiento de cauce</t>
        </is>
      </c>
      <c r="C25" s="56" t="inlineStr">
        <is>
          <t>No</t>
        </is>
      </c>
      <c r="D25" s="56" t="inlineStr"/>
    </row>
    <row r="26">
      <c r="A26" s="57" t="inlineStr">
        <is>
          <t>5. Ecosistema, cobertura y flora (F-DT-03)</t>
        </is>
      </c>
      <c r="B26" s="57" t="inlineStr">
        <is>
          <t>Altura del estrato dominante (m)</t>
        </is>
      </c>
      <c r="C26" s="57" t="inlineStr">
        <is>
          <t>6</t>
        </is>
      </c>
      <c r="D26" s="57" t="inlineStr">
        <is>
          <t>m</t>
        </is>
      </c>
    </row>
    <row r="27">
      <c r="A27" s="56" t="inlineStr">
        <is>
          <t>5. Ecosistema, cobertura y flora (F-DT-03)</t>
        </is>
      </c>
      <c r="B27" s="56" t="inlineStr">
        <is>
          <t>Altura máxima registrada (m)</t>
        </is>
      </c>
      <c r="C27" s="56" t="inlineStr">
        <is>
          <t>18</t>
        </is>
      </c>
      <c r="D27" s="56" t="inlineStr">
        <is>
          <t>m</t>
        </is>
      </c>
    </row>
    <row r="28">
      <c r="A28" s="57" t="inlineStr">
        <is>
          <t>5. Ecosistema, cobertura y flora (F-DT-03)</t>
        </is>
      </c>
      <c r="B28" s="57" t="inlineStr">
        <is>
          <t>Presencia de epífitas</t>
        </is>
      </c>
      <c r="C28" s="57" t="inlineStr">
        <is>
          <t>Sí</t>
        </is>
      </c>
      <c r="D28" s="57" t="inlineStr"/>
    </row>
    <row r="29">
      <c r="A29" s="56" t="inlineStr">
        <is>
          <t>5. Ecosistema, cobertura y flora (F-DT-03)</t>
        </is>
      </c>
      <c r="B29" s="56" t="inlineStr">
        <is>
          <t>Fenología dominante</t>
        </is>
      </c>
      <c r="C29" s="56" t="inlineStr">
        <is>
          <t>Vegetativo</t>
        </is>
      </c>
      <c r="D29" s="56" t="inlineStr"/>
    </row>
    <row r="30">
      <c r="A30" s="57" t="inlineStr">
        <is>
          <t>5. Ecosistema, cobertura y flora (F-DT-03)</t>
        </is>
      </c>
      <c r="B30" s="57" t="inlineStr">
        <is>
          <t>Dimensiones de la parcela (m)</t>
        </is>
      </c>
      <c r="C30" s="57" t="inlineStr">
        <is>
          <t>Recorrido / observación rápida (sin parcela delimitada)</t>
        </is>
      </c>
      <c r="D30" s="57" t="inlineStr"/>
    </row>
    <row r="31">
      <c r="A31" s="56" t="inlineStr">
        <is>
          <t>5. Ecosistema, cobertura y flora (F-DT-03)</t>
        </is>
      </c>
      <c r="B31" s="56" t="inlineStr">
        <is>
          <t>Especies clave georreferenciadas</t>
        </is>
      </c>
      <c r="C31" s="56" t="inlineStr">
        <is>
          <t>5</t>
        </is>
      </c>
      <c r="D31" s="56" t="inlineStr"/>
    </row>
    <row r="32">
      <c r="A32" s="57" t="inlineStr">
        <is>
          <t>6. Degradación, causas y urgencia (F-DT-04)</t>
        </is>
      </c>
      <c r="B32" s="57" t="inlineStr">
        <is>
          <t>Causas directas de la degradación</t>
        </is>
      </c>
      <c r="C32" s="57" t="inlineStr">
        <is>
          <t>Conversión a agricultura de secano y pastoreo extensivo sobre laderas de fuerte pendiente; apertura de vía vecinal (PI-799) con taludes inestables; remoción en masa y erosión natural sobre sustrato rocoso fracturado; presión sobre remanentes de matorral/bosque.</t>
        </is>
      </c>
      <c r="D32" s="57" t="inlineStr"/>
    </row>
    <row r="33">
      <c r="A33" s="56" t="inlineStr">
        <is>
          <t>6. Degradación, causas y urgencia (F-DT-04)</t>
        </is>
      </c>
      <c r="B33" s="56" t="inlineStr">
        <is>
          <t>N.° de causas activas en la matriz F-DT-04</t>
        </is>
      </c>
      <c r="C33" s="56" t="inlineStr">
        <is>
          <t>6</t>
        </is>
      </c>
      <c r="D33" s="56" t="inlineStr"/>
    </row>
    <row r="34">
      <c r="A34" s="57" t="inlineStr">
        <is>
          <t>7. Hidrología, acceso y logística (F-DT-05)</t>
        </is>
      </c>
      <c r="B34" s="57" t="inlineStr">
        <is>
          <t>Escorrentía concentrada</t>
        </is>
      </c>
      <c r="C34" s="57" t="inlineStr">
        <is>
          <t>Sí</t>
        </is>
      </c>
      <c r="D34" s="57" t="inlineStr"/>
    </row>
    <row r="35">
      <c r="A35" s="56" t="inlineStr">
        <is>
          <t>7. Hidrología, acceso y logística (F-DT-05)</t>
        </is>
      </c>
      <c r="B35" s="56" t="inlineStr">
        <is>
          <t>Fuentes de agua inventariadas</t>
        </is>
      </c>
      <c r="C35" s="56" t="inlineStr">
        <is>
          <t>1</t>
        </is>
      </c>
      <c r="D35" s="56" t="inlineStr"/>
    </row>
    <row r="36">
      <c r="A36" s="57" t="inlineStr">
        <is>
          <t>7. Hidrología, acceso y logística (F-DT-05)</t>
        </is>
      </c>
      <c r="B36" s="57" t="inlineStr">
        <is>
          <t>Interferencia con riego</t>
        </is>
      </c>
      <c r="C36" s="57" t="inlineStr">
        <is>
          <t>No</t>
        </is>
      </c>
      <c r="D36" s="57" t="inlineStr"/>
    </row>
    <row r="37">
      <c r="A37" s="56" t="inlineStr">
        <is>
          <t>7. Hidrología, acceso y logística (F-DT-05)</t>
        </is>
      </c>
      <c r="B37" s="56" t="inlineStr">
        <is>
          <t>Vía principal de acceso</t>
        </is>
      </c>
      <c r="C37" s="56" t="inlineStr">
        <is>
          <t>PI-799 (vía vecinal) desde Santo Domingo / El Checo</t>
        </is>
      </c>
      <c r="D37" s="56" t="inlineStr"/>
    </row>
    <row r="38">
      <c r="A38" s="57" t="inlineStr">
        <is>
          <t>7. Hidrología, acceso y logística (F-DT-05)</t>
        </is>
      </c>
      <c r="B38" s="57" t="inlineStr">
        <is>
          <t>Tipo de vía del tramo final</t>
        </is>
      </c>
      <c r="C38" s="57" t="inlineStr">
        <is>
          <t>Vecinal afirmada</t>
        </is>
      </c>
      <c r="D38" s="57" t="inlineStr"/>
    </row>
    <row r="39">
      <c r="A39" s="56" t="inlineStr">
        <is>
          <t>7. Hidrología, acceso y logística (F-DT-05)</t>
        </is>
      </c>
      <c r="B39" s="56" t="inlineStr">
        <is>
          <t>Transitabilidad en época seca</t>
        </is>
      </c>
      <c r="C39" s="56" t="inlineStr">
        <is>
          <t>Medio</t>
        </is>
      </c>
      <c r="D39" s="56" t="inlineStr"/>
    </row>
    <row r="40">
      <c r="A40" s="57" t="inlineStr">
        <is>
          <t>7. Hidrología, acceso y logística (F-DT-05)</t>
        </is>
      </c>
      <c r="B40" s="57" t="inlineStr">
        <is>
          <t>Transitabilidad en época lluviosa</t>
        </is>
      </c>
      <c r="C40" s="57" t="inlineStr">
        <is>
          <t>Bajo</t>
        </is>
      </c>
      <c r="D40" s="57" t="inlineStr"/>
    </row>
    <row r="41">
      <c r="A41" s="56" t="inlineStr">
        <is>
          <t>7. Hidrología, acceso y logística (F-DT-05)</t>
        </is>
      </c>
      <c r="B41" s="56" t="inlineStr">
        <is>
          <t>Requiere coordinación con ronda / comunidad</t>
        </is>
      </c>
      <c r="C41" s="56" t="inlineStr">
        <is>
          <t>No</t>
        </is>
      </c>
      <c r="D41" s="56"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60</v>
      </c>
      <c r="C45" s="56" t="inlineStr">
        <is>
          <t>Verificación en campo. Fichas F-DT-01 a F-DT-05 de la Plantilla DT Campo Check Validada V5, suscritas por el evaluador.</t>
        </is>
      </c>
    </row>
    <row r="46">
      <c r="A46" s="57" t="inlineStr">
        <is>
          <t>Gabinete (GIS / teledetección)</t>
        </is>
      </c>
      <c r="B46" s="57" t="n">
        <v>22</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94</v>
      </c>
      <c r="C51" s="56" t="inlineStr">
        <is>
          <t>Las dos fuentes declaran lo mismo, o solo la fuente que manda sobre el hecho lo declara.</t>
        </is>
      </c>
    </row>
    <row r="52">
      <c r="A52" s="57" t="inlineStr">
        <is>
          <t>COMPLEMENTADO</t>
        </is>
      </c>
      <c r="B52" s="57" t="n">
        <v>1</v>
      </c>
      <c r="C52" s="57" t="inlineStr">
        <is>
          <t>Solo una de las fuentes lo declara y se adopta ese valor.</t>
        </is>
      </c>
    </row>
    <row r="53">
      <c r="A53" s="56" t="inlineStr">
        <is>
          <t>ACTUALIZADO</t>
        </is>
      </c>
      <c r="B53" s="56" t="n">
        <v>1</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18</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17</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somera (0.5-2 m)</t>
        </is>
      </c>
      <c r="C9" s="61" t="n">
        <v>618889</v>
      </c>
      <c r="D9" s="61" t="n">
        <v>9438088</v>
      </c>
      <c r="E9" s="56" t="n"/>
      <c r="F9" s="56" t="n"/>
      <c r="G9" s="56" t="n"/>
      <c r="H9" s="56" t="inlineStr">
        <is>
          <t>Activa</t>
        </is>
      </c>
      <c r="I9" s="56" t="inlineStr">
        <is>
          <t>Concentración natural de escorrentía</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 (prelim.)</t>
        </is>
      </c>
      <c r="D13" s="56" t="inlineStr">
        <is>
          <t>Fabaceae</t>
        </is>
      </c>
      <c r="E13" s="56" t="inlineStr">
        <is>
          <t>Arbóreo bajo (4-8 m)</t>
        </is>
      </c>
      <c r="F13" s="56" t="inlineStr">
        <is>
          <t>Nativa</t>
        </is>
      </c>
      <c r="G13" s="56" t="inlineStr">
        <is>
          <t>Frecuente (5-20%)</t>
        </is>
      </c>
      <c r="H13" s="56" t="n"/>
      <c r="I13" s="56" t="n"/>
    </row>
    <row r="14">
      <c r="A14" s="57" t="inlineStr">
        <is>
          <t>2</t>
        </is>
      </c>
      <c r="B14" s="57" t="inlineStr">
        <is>
          <t>Chirimoyo silvestre</t>
        </is>
      </c>
      <c r="C14" s="57" t="inlineStr">
        <is>
          <t>Annona sp. (prelim.)</t>
        </is>
      </c>
      <c r="D14" s="57" t="inlineStr">
        <is>
          <t>Annonaceae</t>
        </is>
      </c>
      <c r="E14" s="57" t="inlineStr">
        <is>
          <t>Arbóreo bajo (4-8 m)</t>
        </is>
      </c>
      <c r="F14" s="57" t="inlineStr">
        <is>
          <t>Nativa</t>
        </is>
      </c>
      <c r="G14" s="57" t="inlineStr">
        <is>
          <t>Ocasional (1-5%)</t>
        </is>
      </c>
      <c r="H14" s="57" t="n"/>
      <c r="I14" s="57" t="n"/>
    </row>
    <row r="15">
      <c r="A15" s="56" t="inlineStr">
        <is>
          <t>3</t>
        </is>
      </c>
      <c r="B15" s="56" t="inlineStr">
        <is>
          <t>Pacae</t>
        </is>
      </c>
      <c r="C15" s="56" t="inlineStr">
        <is>
          <t>Inga sp. (prelim.)</t>
        </is>
      </c>
      <c r="D15" s="56" t="inlineStr">
        <is>
          <t>Fabaceae</t>
        </is>
      </c>
      <c r="E15" s="56" t="inlineStr">
        <is>
          <t>Arbóreo medio (8-15 m)</t>
        </is>
      </c>
      <c r="F15" s="56" t="inlineStr">
        <is>
          <t>Nativa</t>
        </is>
      </c>
      <c r="G15" s="56" t="inlineStr">
        <is>
          <t>Ocasional (1-5%)</t>
        </is>
      </c>
      <c r="H15" s="56" t="n"/>
      <c r="I15" s="56" t="n"/>
    </row>
    <row r="16">
      <c r="A16" s="57" t="inlineStr">
        <is>
          <t>4</t>
        </is>
      </c>
      <c r="B16" s="57" t="inlineStr">
        <is>
          <t>Chachacomo</t>
        </is>
      </c>
      <c r="C16" s="57" t="inlineStr">
        <is>
          <t>Escallonia sp. (prelim.)</t>
        </is>
      </c>
      <c r="D16" s="57" t="inlineStr">
        <is>
          <t>Escalloniaceae</t>
        </is>
      </c>
      <c r="E16" s="57" t="inlineStr">
        <is>
          <t>Arbóreo bajo (4-8 m)</t>
        </is>
      </c>
      <c r="F16" s="57" t="inlineStr">
        <is>
          <t>Nativa</t>
        </is>
      </c>
      <c r="G16" s="57" t="inlineStr">
        <is>
          <t>Ocasional (1-5%)</t>
        </is>
      </c>
      <c r="H16" s="57" t="n"/>
      <c r="I16" s="57" t="n"/>
    </row>
    <row r="17">
      <c r="A17" s="56" t="inlineStr">
        <is>
          <t>5</t>
        </is>
      </c>
      <c r="B17" s="56" t="inlineStr">
        <is>
          <t>Guayacán</t>
        </is>
      </c>
      <c r="C17" s="56" t="inlineStr">
        <is>
          <t>Handroanthus / Tabebuia sp. (prelim.)</t>
        </is>
      </c>
      <c r="D17" s="56" t="inlineStr">
        <is>
          <t>Bignoniaceae</t>
        </is>
      </c>
      <c r="E17" s="56" t="inlineStr">
        <is>
          <t>Arbóreo medio (8-15 m)</t>
        </is>
      </c>
      <c r="F17" s="56" t="inlineStr">
        <is>
          <t>Nativa</t>
        </is>
      </c>
      <c r="G17" s="56" t="inlineStr">
        <is>
          <t>Ocasional (1-5%)</t>
        </is>
      </c>
      <c r="H17" s="56" t="n"/>
      <c r="I17" s="56" t="n"/>
    </row>
    <row r="18">
      <c r="A18" s="57" t="inlineStr">
        <is>
          <t>6</t>
        </is>
      </c>
      <c r="B18" s="57" t="inlineStr">
        <is>
          <t>Yuca de monte</t>
        </is>
      </c>
      <c r="C18" s="57" t="inlineStr">
        <is>
          <t>Apodanthera biflora (prelim.)</t>
        </is>
      </c>
      <c r="D18" s="57" t="inlineStr">
        <is>
          <t>Cucurbitaceae</t>
        </is>
      </c>
      <c r="E18" s="57" t="inlineStr">
        <is>
          <t>Trepador</t>
        </is>
      </c>
      <c r="F18" s="57" t="inlineStr">
        <is>
          <t>Nativa</t>
        </is>
      </c>
      <c r="G18" s="57" t="inlineStr">
        <is>
          <t>Ocasional (1-5%)</t>
        </is>
      </c>
      <c r="H18" s="57" t="n"/>
      <c r="I18" s="57" t="n"/>
    </row>
    <row r="19">
      <c r="A19" s="56" t="inlineStr">
        <is>
          <t>7</t>
        </is>
      </c>
      <c r="B19" s="56" t="inlineStr">
        <is>
          <t>Bromeliáceas epífitas</t>
        </is>
      </c>
      <c r="C19" s="56" t="inlineStr">
        <is>
          <t>Tillandsia sp. / Bromeliaceae (prelim.)</t>
        </is>
      </c>
      <c r="D19" s="56" t="inlineStr">
        <is>
          <t>Bromeliaceae</t>
        </is>
      </c>
      <c r="E19" s="56" t="inlineStr">
        <is>
          <t>Epífito</t>
        </is>
      </c>
      <c r="F19" s="56" t="inlineStr">
        <is>
          <t>Nativa</t>
        </is>
      </c>
      <c r="G19" s="56" t="inlineStr">
        <is>
          <t>Frecuente (5-20%)</t>
        </is>
      </c>
      <c r="H19" s="56" t="n"/>
      <c r="I19" s="56" t="n"/>
    </row>
    <row r="20">
      <c r="A20" s="57" t="inlineStr">
        <is>
          <t>8</t>
        </is>
      </c>
      <c r="B20" s="57" t="inlineStr">
        <is>
          <t>Helechos</t>
        </is>
      </c>
      <c r="C20" s="57" t="inlineStr">
        <is>
          <t>Pteridophyta (varios, prelim.)</t>
        </is>
      </c>
      <c r="D20" s="57" t="inlineStr">
        <is>
          <t>Polypodiaceae</t>
        </is>
      </c>
      <c r="E20" s="57" t="inlineStr">
        <is>
          <t>Herbáceo (&lt;0.5 m)</t>
        </is>
      </c>
      <c r="F20" s="57" t="inlineStr">
        <is>
          <t>Nativa</t>
        </is>
      </c>
      <c r="G20" s="57" t="inlineStr">
        <is>
          <t>Frecuente (5-20%)</t>
        </is>
      </c>
      <c r="H20" s="57" t="n"/>
      <c r="I20" s="57" t="n"/>
    </row>
    <row r="21">
      <c r="A21" s="56" t="inlineStr">
        <is>
          <t>9</t>
        </is>
      </c>
      <c r="B21" s="56" t="inlineStr">
        <is>
          <t>Caña de Guayaquil</t>
        </is>
      </c>
      <c r="C21" s="56" t="inlineStr">
        <is>
          <t>Guadua angustifolia (prelim.)</t>
        </is>
      </c>
      <c r="D21" s="56" t="inlineStr">
        <is>
          <t>Poaceae</t>
        </is>
      </c>
      <c r="E21" s="56" t="inlineStr">
        <is>
          <t>Arbustivo alto (1.5-4 m)</t>
        </is>
      </c>
      <c r="F21" s="56" t="inlineStr">
        <is>
          <t>Nativa</t>
        </is>
      </c>
      <c r="G21" s="56" t="inlineStr">
        <is>
          <t>Ocasional (1-5%)</t>
        </is>
      </c>
      <c r="H21" s="56" t="n"/>
      <c r="I21" s="56" t="n"/>
    </row>
    <row r="22">
      <c r="A22" s="57" t="inlineStr">
        <is>
          <t>10</t>
        </is>
      </c>
      <c r="B22" s="57" t="inlineStr">
        <is>
          <t>Agave / Penca</t>
        </is>
      </c>
      <c r="C22" s="57" t="inlineStr">
        <is>
          <t>Agave americana (prelim.)</t>
        </is>
      </c>
      <c r="D22" s="57" t="inlineStr">
        <is>
          <t>Asparagaceae</t>
        </is>
      </c>
      <c r="E22" s="57" t="inlineStr">
        <is>
          <t>Arbustivo alto (1.5-4 m)</t>
        </is>
      </c>
      <c r="F22" s="57" t="inlineStr">
        <is>
          <t>Introducida</t>
        </is>
      </c>
      <c r="G22" s="57" t="inlineStr">
        <is>
          <t>Frecuente (5-20%)</t>
        </is>
      </c>
      <c r="H22" s="57" t="n"/>
      <c r="I22" s="57" t="n"/>
    </row>
    <row r="23">
      <c r="A23" s="56" t="inlineStr">
        <is>
          <t>11</t>
        </is>
      </c>
      <c r="B23" s="56" t="inlineStr">
        <is>
          <t>Pino</t>
        </is>
      </c>
      <c r="C23" s="56" t="inlineStr">
        <is>
          <t>Pinus sp. (prelim.)</t>
        </is>
      </c>
      <c r="D23" s="56" t="inlineStr">
        <is>
          <t>Pinaceae</t>
        </is>
      </c>
      <c r="E23" s="56" t="inlineStr">
        <is>
          <t>Arbóreo medio (8-15 m)</t>
        </is>
      </c>
      <c r="F23" s="56" t="inlineStr">
        <is>
          <t>Introducida</t>
        </is>
      </c>
      <c r="G23" s="56" t="inlineStr">
        <is>
          <t>Ocasional (1-5%)</t>
        </is>
      </c>
      <c r="H23" s="56" t="n"/>
      <c r="I23" s="56" t="n"/>
    </row>
    <row r="24">
      <c r="A24" s="57" t="inlineStr">
        <is>
          <t>12</t>
        </is>
      </c>
      <c r="B24" s="57" t="inlineStr">
        <is>
          <t>Eucalipto</t>
        </is>
      </c>
      <c r="C24" s="57" t="inlineStr">
        <is>
          <t>Eucalyptus sp. (prelim.)</t>
        </is>
      </c>
      <c r="D24" s="57" t="inlineStr">
        <is>
          <t>Myrtaceae</t>
        </is>
      </c>
      <c r="E24" s="57" t="inlineStr">
        <is>
          <t>Arbóreo superior (&gt;15 m)</t>
        </is>
      </c>
      <c r="F24" s="57" t="inlineStr">
        <is>
          <t>Introducida</t>
        </is>
      </c>
      <c r="G24" s="57" t="inlineStr">
        <is>
          <t>Ocasional (1-5%)</t>
        </is>
      </c>
      <c r="H24" s="57" t="n"/>
      <c r="I24" s="57" t="n"/>
    </row>
    <row r="25">
      <c r="A25" s="56" t="inlineStr">
        <is>
          <t>13</t>
        </is>
      </c>
      <c r="B25" s="56" t="inlineStr">
        <is>
          <t>Pastos cultivados</t>
        </is>
      </c>
      <c r="C25" s="56" t="inlineStr">
        <is>
          <t>Poaceae (varios, prelim.)</t>
        </is>
      </c>
      <c r="D25" s="56" t="inlineStr">
        <is>
          <t>Poaceae</t>
        </is>
      </c>
      <c r="E25" s="56" t="inlineStr">
        <is>
          <t>Herbáceo (&lt;0.5 m)</t>
        </is>
      </c>
      <c r="F25" s="56" t="inlineStr">
        <is>
          <t>Introducida</t>
        </is>
      </c>
      <c r="G25" s="56" t="inlineStr">
        <is>
          <t>Abundante (20-40%)</t>
        </is>
      </c>
      <c r="H25" s="56" t="n"/>
      <c r="I25" s="56" t="n"/>
    </row>
    <row r="26">
      <c r="A26" s="57" t="inlineStr">
        <is>
          <t>14</t>
        </is>
      </c>
      <c r="B26" s="57" t="inlineStr">
        <is>
          <t>Maíz (cultivo)</t>
        </is>
      </c>
      <c r="C26" s="57" t="inlineStr">
        <is>
          <t>Zea mays</t>
        </is>
      </c>
      <c r="D26" s="57" t="inlineStr">
        <is>
          <t>Poaceae</t>
        </is>
      </c>
      <c r="E26" s="57" t="inlineStr">
        <is>
          <t>Herbáceo (&lt;0.5 m)</t>
        </is>
      </c>
      <c r="F26" s="57" t="inlineStr">
        <is>
          <t>Introducida</t>
        </is>
      </c>
      <c r="G26" s="57" t="inlineStr">
        <is>
          <t>Frecuente (5-20%)</t>
        </is>
      </c>
      <c r="H26" s="57" t="n"/>
      <c r="I26" s="57" t="n"/>
    </row>
    <row r="27">
      <c r="A27" s="56" t="inlineStr">
        <is>
          <t>15</t>
        </is>
      </c>
      <c r="B27" s="56" t="inlineStr">
        <is>
          <t>Trigo (cultivo)</t>
        </is>
      </c>
      <c r="C27" s="56" t="inlineStr">
        <is>
          <t>Triticum aestivum</t>
        </is>
      </c>
      <c r="D27" s="56" t="inlineStr">
        <is>
          <t>Poaceae</t>
        </is>
      </c>
      <c r="E27" s="56" t="inlineStr">
        <is>
          <t>Herbáceo (&lt;0.5 m)</t>
        </is>
      </c>
      <c r="F27" s="56" t="inlineStr">
        <is>
          <t>Introducida</t>
        </is>
      </c>
      <c r="G27" s="56" t="inlineStr">
        <is>
          <t>Ocasional (1-5%)</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Vachellia macracantha (Faique)</t>
        </is>
      </c>
      <c r="C31" s="56" t="inlineStr">
        <is>
          <t>Amenazada (D.S. 043-2006-AG)</t>
        </is>
      </c>
      <c r="D31" s="56" t="inlineStr">
        <is>
          <t>NT — Casi Amenazado</t>
        </is>
      </c>
      <c r="E31" s="61" t="n">
        <v>618890</v>
      </c>
      <c r="F31" s="61" t="n">
        <v>9438092</v>
      </c>
      <c r="G31" s="56" t="n"/>
      <c r="H31" s="56" t="inlineStr">
        <is>
          <t>NT por D.S. 043-2006-AG (LC para IUCN). Asociada a sectores secos/agrícolas del bloque.</t>
        </is>
      </c>
    </row>
    <row r="32">
      <c r="A32" s="57" t="inlineStr">
        <is>
          <t>2</t>
        </is>
      </c>
      <c r="B32" s="57" t="inlineStr">
        <is>
          <t>Annona sp. (Chirimoyo silvestre)</t>
        </is>
      </c>
      <c r="C32" s="57" t="inlineStr">
        <is>
          <t>Indicadora de buen estado</t>
        </is>
      </c>
      <c r="D32" s="57" t="inlineStr">
        <is>
          <t>NE — No Evaluado</t>
        </is>
      </c>
      <c r="E32" s="62" t="n">
        <v>618889</v>
      </c>
      <c r="F32" s="62" t="n">
        <v>9438088</v>
      </c>
      <c r="G32" s="57" t="n"/>
      <c r="H32" s="57" t="inlineStr">
        <is>
          <t>Nativa indicadora de remanente de vegetación; determinación a nivel de especie pendiente.</t>
        </is>
      </c>
    </row>
    <row r="33">
      <c r="A33" s="56" t="inlineStr">
        <is>
          <t>3</t>
        </is>
      </c>
      <c r="B33" s="56" t="inlineStr">
        <is>
          <t>Escallonia sp. (Chachacomo)</t>
        </is>
      </c>
      <c r="C33" s="56" t="inlineStr">
        <is>
          <t>Indicadora de buen estado</t>
        </is>
      </c>
      <c r="D33" s="56" t="inlineStr">
        <is>
          <t>NE — No Evaluado</t>
        </is>
      </c>
      <c r="E33" s="56" t="n"/>
      <c r="F33" s="56" t="n"/>
      <c r="G33" s="56" t="n"/>
      <c r="H33" s="56" t="inlineStr">
        <is>
          <t>Árbol andino nativo asociado a remanentes conservados; ubicación por verificar.</t>
        </is>
      </c>
    </row>
    <row r="34">
      <c r="A34" s="57" t="inlineStr">
        <is>
          <t>4</t>
        </is>
      </c>
      <c r="B34" s="57" t="inlineStr">
        <is>
          <t>Handroanthus / Tabebuia sp. (Guayacán)</t>
        </is>
      </c>
      <c r="C34" s="57" t="inlineStr">
        <is>
          <t>Endémica del Perú</t>
        </is>
      </c>
      <c r="D34" s="57" t="inlineStr">
        <is>
          <t>DD — Datos Insuficientes</t>
        </is>
      </c>
      <c r="E34" s="57" t="n"/>
      <c r="F34" s="57" t="n"/>
      <c r="G34" s="57" t="n"/>
      <c r="H34" s="57" t="inlineStr">
        <is>
          <t>Reportado por el equipo de campo; categoría y determinación POR VERIFICAR.</t>
        </is>
      </c>
    </row>
    <row r="35">
      <c r="A35" s="56" t="inlineStr">
        <is>
          <t>5</t>
        </is>
      </c>
      <c r="B35" s="56" t="inlineStr">
        <is>
          <t>Bromeliaceae epífitas (Tillandsia sp.)</t>
        </is>
      </c>
      <c r="C35" s="56" t="inlineStr">
        <is>
          <t>Indicadora de buen estado</t>
        </is>
      </c>
      <c r="D35" s="56" t="inlineStr">
        <is>
          <t>NE — No Evaluado</t>
        </is>
      </c>
      <c r="E35" s="61" t="n">
        <v>618889</v>
      </c>
      <c r="F35" s="61" t="n">
        <v>9438088</v>
      </c>
      <c r="G35" s="56" t="n"/>
      <c r="H35" s="56" t="inlineStr">
        <is>
          <t>Epífitas indicadoras de humedad y buen estado del dosel en el núcleo del bloque.</t>
        </is>
      </c>
    </row>
    <row r="37">
      <c r="A37" s="54" t="inlineStr">
        <is>
          <t>F-DT-04 · MATRIZ DE CAUSAS DE DEGRADACIÓN</t>
        </is>
      </c>
    </row>
    <row r="38">
      <c r="A38" s="55" t="inlineStr">
        <is>
          <t>N.o</t>
        </is>
      </c>
      <c r="B38" s="55" t="inlineStr">
        <is>
          <t>Causa</t>
        </is>
      </c>
      <c r="C38" s="55" t="inlineStr">
        <is>
          <t>Presencia</t>
        </is>
      </c>
      <c r="D38" s="55" t="inlineStr">
        <is>
          <t>Intensidad</t>
        </is>
      </c>
      <c r="E38" s="55" t="inlineStr">
        <is>
          <t>Extensión</t>
        </is>
      </c>
      <c r="F38" s="55" t="inlineStr">
        <is>
          <t>Antigüedad</t>
        </is>
      </c>
      <c r="G38" s="55" t="inlineStr">
        <is>
          <t>Evidencia</t>
        </is>
      </c>
    </row>
    <row r="39">
      <c r="A39" s="56" t="inlineStr">
        <is>
          <t>1</t>
        </is>
      </c>
      <c r="B39" s="56" t="inlineStr">
        <is>
          <t>Sobrepastoreo (caprino/vacuno)</t>
        </is>
      </c>
      <c r="C39" s="56" t="inlineStr">
        <is>
          <t>Sí</t>
        </is>
      </c>
      <c r="D39" s="56" t="inlineStr">
        <is>
          <t>Moderada</t>
        </is>
      </c>
      <c r="E39" s="56" t="inlineStr"/>
      <c r="F39" s="56" t="inlineStr"/>
      <c r="G39" s="56" t="inlineStr">
        <is>
          <t>Pastoreo extensivo (vacuno/caprino) y pisoteo de ganado en laderas y áreas abiertas del mosaico (Foto 03).</t>
        </is>
      </c>
    </row>
    <row r="40">
      <c r="A40" s="57" t="inlineStr">
        <is>
          <t>2</t>
        </is>
      </c>
      <c r="B40" s="57" t="inlineStr">
        <is>
          <t>Tala para leña</t>
        </is>
      </c>
      <c r="C40" s="57" t="inlineStr">
        <is>
          <t>No</t>
        </is>
      </c>
      <c r="D40" s="57" t="inlineStr">
        <is>
          <t>Nula</t>
        </is>
      </c>
      <c r="E40" s="57" t="inlineStr"/>
      <c r="F40" s="57" t="inlineStr"/>
      <c r="G40" s="57" t="inlineStr">
        <is>
          <t>Sin evidencia directa de tala para leña al momento de la visita.</t>
        </is>
      </c>
    </row>
    <row r="41">
      <c r="A41" s="56" t="inlineStr">
        <is>
          <t>3</t>
        </is>
      </c>
      <c r="B41" s="56" t="inlineStr">
        <is>
          <t>Tala para carbón</t>
        </is>
      </c>
      <c r="C41" s="56" t="inlineStr">
        <is>
          <t>No</t>
        </is>
      </c>
      <c r="D41" s="56" t="inlineStr">
        <is>
          <t>Nula</t>
        </is>
      </c>
      <c r="E41" s="56" t="inlineStr"/>
      <c r="F41" s="56" t="inlineStr"/>
      <c r="G41" s="56" t="inlineStr">
        <is>
          <t>Sin evidencia de tala para carbón.</t>
        </is>
      </c>
    </row>
    <row r="42">
      <c r="A42" s="57" t="inlineStr">
        <is>
          <t>4</t>
        </is>
      </c>
      <c r="B42" s="57" t="inlineStr">
        <is>
          <t>Tala para madera</t>
        </is>
      </c>
      <c r="C42" s="57" t="inlineStr">
        <is>
          <t>No</t>
        </is>
      </c>
      <c r="D42" s="57" t="inlineStr">
        <is>
          <t>Nula</t>
        </is>
      </c>
      <c r="E42" s="57" t="inlineStr"/>
      <c r="F42" s="57" t="inlineStr"/>
      <c r="G42" s="57" t="inlineStr">
        <is>
          <t>Sin evidencia de tala comercial de madera.</t>
        </is>
      </c>
    </row>
    <row r="43">
      <c r="A43" s="56" t="inlineStr">
        <is>
          <t>5</t>
        </is>
      </c>
      <c r="B43" s="56" t="inlineStr">
        <is>
          <t>Quema (renovación de pastos)</t>
        </is>
      </c>
      <c r="C43" s="56" t="inlineStr">
        <is>
          <t>No</t>
        </is>
      </c>
      <c r="D43" s="56" t="inlineStr">
        <is>
          <t>Nula</t>
        </is>
      </c>
      <c r="E43" s="56" t="inlineStr"/>
      <c r="F43" s="56" t="inlineStr"/>
      <c r="G43" s="56" t="inlineStr">
        <is>
          <t>Sin evidencia de quemas recientes.</t>
        </is>
      </c>
    </row>
    <row r="44">
      <c r="A44" s="57" t="inlineStr">
        <is>
          <t>6</t>
        </is>
      </c>
      <c r="B44" s="57" t="inlineStr">
        <is>
          <t>Quema accidental / Incendio</t>
        </is>
      </c>
      <c r="C44" s="57" t="inlineStr">
        <is>
          <t>No</t>
        </is>
      </c>
      <c r="D44" s="57" t="inlineStr">
        <is>
          <t>Nula</t>
        </is>
      </c>
      <c r="E44" s="57" t="inlineStr"/>
      <c r="F44" s="57" t="inlineStr"/>
      <c r="G44" s="57" t="inlineStr">
        <is>
          <t>Sin evidencia de incendios.</t>
        </is>
      </c>
    </row>
    <row r="45">
      <c r="A45" s="56" t="inlineStr">
        <is>
          <t>7</t>
        </is>
      </c>
      <c r="B45" s="56" t="inlineStr">
        <is>
          <t>Cambio de uso a agricultura</t>
        </is>
      </c>
      <c r="C45" s="56" t="inlineStr">
        <is>
          <t>Sí</t>
        </is>
      </c>
      <c r="D45" s="56" t="inlineStr">
        <is>
          <t>Moderada</t>
        </is>
      </c>
      <c r="E45" s="56" t="inlineStr"/>
      <c r="F45" s="56" t="inlineStr"/>
      <c r="G45" s="56" t="inlineStr">
        <is>
          <t>Cultivos de secano (maíz, trigo, arveja); la cartografía MINAM consigna 93.74 ha como Zona agrícola (97.6% del bloque).</t>
        </is>
      </c>
    </row>
    <row r="46">
      <c r="A46" s="57" t="inlineStr">
        <is>
          <t>8</t>
        </is>
      </c>
      <c r="B46" s="57" t="inlineStr">
        <is>
          <t>Cambio de uso a pastoreo</t>
        </is>
      </c>
      <c r="C46" s="57" t="inlineStr">
        <is>
          <t>Sí</t>
        </is>
      </c>
      <c r="D46" s="57" t="inlineStr">
        <is>
          <t>Ligera</t>
        </is>
      </c>
      <c r="E46" s="57" t="inlineStr"/>
      <c r="F46" s="57" t="inlineStr"/>
      <c r="G46" s="57" t="inlineStr">
        <is>
          <t>Pastos cultivados intercalados con matorral; ganadería de subsistencia.</t>
        </is>
      </c>
    </row>
    <row r="47">
      <c r="A47" s="56" t="inlineStr">
        <is>
          <t>9</t>
        </is>
      </c>
      <c r="B47" s="56" t="inlineStr">
        <is>
          <t>Expansión urbana / vial</t>
        </is>
      </c>
      <c r="C47" s="56" t="inlineStr">
        <is>
          <t>Sí</t>
        </is>
      </c>
      <c r="D47" s="56" t="inlineStr">
        <is>
          <t>Ligera</t>
        </is>
      </c>
      <c r="E47" s="56" t="inlineStr"/>
      <c r="F47" s="56" t="inlineStr"/>
      <c r="G47" s="56" t="inlineStr">
        <is>
          <t>Apertura/mantenimiento de la vía vecinal PI-799 con taludes de corte inestables (Fotos 02 y 04).</t>
        </is>
      </c>
    </row>
    <row r="48">
      <c r="A48" s="57" t="inlineStr">
        <is>
          <t>10</t>
        </is>
      </c>
      <c r="B48" s="57" t="inlineStr">
        <is>
          <t>Minería informal</t>
        </is>
      </c>
      <c r="C48" s="57" t="inlineStr">
        <is>
          <t>No</t>
        </is>
      </c>
      <c r="D48" s="57" t="inlineStr">
        <is>
          <t>Nula</t>
        </is>
      </c>
      <c r="E48" s="57" t="inlineStr"/>
      <c r="F48" s="57" t="inlineStr"/>
      <c r="G48" s="57" t="inlineStr">
        <is>
          <t>No observada.</t>
        </is>
      </c>
    </row>
    <row r="49">
      <c r="A49" s="56" t="inlineStr">
        <is>
          <t>11</t>
        </is>
      </c>
      <c r="B49" s="56" t="inlineStr">
        <is>
          <t>Extracción de áridos (cauces)</t>
        </is>
      </c>
      <c r="C49" s="56" t="inlineStr">
        <is>
          <t>No</t>
        </is>
      </c>
      <c r="D49" s="56" t="inlineStr">
        <is>
          <t>Nula</t>
        </is>
      </c>
      <c r="E49" s="56" t="inlineStr"/>
      <c r="F49" s="56" t="inlineStr"/>
      <c r="G49" s="56" t="inlineStr">
        <is>
          <t>No observada.</t>
        </is>
      </c>
    </row>
    <row r="50">
      <c r="A50" s="57" t="inlineStr">
        <is>
          <t>12</t>
        </is>
      </c>
      <c r="B50" s="57" t="inlineStr">
        <is>
          <t>Especies invasoras</t>
        </is>
      </c>
      <c r="C50" s="57" t="inlineStr">
        <is>
          <t>No</t>
        </is>
      </c>
      <c r="D50" s="57" t="inlineStr">
        <is>
          <t>Nula</t>
        </is>
      </c>
      <c r="E50" s="57" t="inlineStr"/>
      <c r="F50" s="57" t="inlineStr"/>
      <c r="G50" s="57" t="inlineStr">
        <is>
          <t>Sin dominancia de invasoras; presencia de exóticas plantadas (pino, ciprés, eucalipto) en rodales puntuales.</t>
        </is>
      </c>
    </row>
    <row r="51">
      <c r="A51" s="56" t="inlineStr">
        <is>
          <t>13</t>
        </is>
      </c>
      <c r="B51" s="56" t="inlineStr">
        <is>
          <t>Erosión natural severa</t>
        </is>
      </c>
      <c r="C51" s="56" t="inlineStr">
        <is>
          <t>Sí</t>
        </is>
      </c>
      <c r="D51" s="56" t="inlineStr">
        <is>
          <t>Moderada</t>
        </is>
      </c>
      <c r="E51" s="56" t="inlineStr"/>
      <c r="F51" s="56" t="inlineStr"/>
      <c r="G51" s="56" t="inlineStr">
        <is>
          <t>Remoción en masa activa (caída de bloques/derrumbe en talud de vía, Fotos 02 y 04) y afloramientos/escarpes rocosos (Foto 05) sobre sustrato competente fracturado.</t>
        </is>
      </c>
    </row>
    <row r="52">
      <c r="A52" s="57" t="inlineStr">
        <is>
          <t>14</t>
        </is>
      </c>
      <c r="B52" s="57" t="inlineStr">
        <is>
          <t>Sequía prolongada / CC</t>
        </is>
      </c>
      <c r="C52" s="57" t="inlineStr">
        <is>
          <t>Sí</t>
        </is>
      </c>
      <c r="D52" s="57" t="inlineStr">
        <is>
          <t>Ligera</t>
        </is>
      </c>
      <c r="E52" s="57" t="inlineStr"/>
      <c r="F52" s="57" t="inlineStr"/>
      <c r="G52" s="57" t="inlineStr">
        <is>
          <t>Estrés hídrico estacional (época seca) en el marco de cambio climático del proyecto.</t>
        </is>
      </c>
    </row>
    <row r="53">
      <c r="A53" s="56" t="inlineStr">
        <is>
          <t>15</t>
        </is>
      </c>
      <c r="B53" s="56" t="inlineStr">
        <is>
          <t>Plagas o enfermedades forestales</t>
        </is>
      </c>
      <c r="C53" s="56" t="inlineStr">
        <is>
          <t>No</t>
        </is>
      </c>
      <c r="D53" s="56" t="inlineStr">
        <is>
          <t>Nula</t>
        </is>
      </c>
      <c r="E53" s="56" t="inlineStr"/>
      <c r="F53" s="56" t="inlineStr"/>
      <c r="G53" s="56" t="inlineStr">
        <is>
          <t>Sin evidencia de plagas/enfermedades forestales.</t>
        </is>
      </c>
    </row>
    <row r="54">
      <c r="A54" s="57" t="inlineStr">
        <is>
          <t>16</t>
        </is>
      </c>
      <c r="B54" s="57" t="inlineStr">
        <is>
          <t>Otro</t>
        </is>
      </c>
      <c r="C54" s="57" t="inlineStr">
        <is>
          <t>No</t>
        </is>
      </c>
      <c r="D54" s="57" t="inlineStr">
        <is>
          <t>Nula</t>
        </is>
      </c>
      <c r="E54" s="57" t="inlineStr"/>
      <c r="F54" s="57" t="inlineStr"/>
      <c r="G54" s="57" t="inlineStr">
        <is>
          <t>—</t>
        </is>
      </c>
    </row>
    <row r="56">
      <c r="A56" s="54" t="inlineStr">
        <is>
          <t>F-DT-04 · INDICADORES CUANTITATIVOS</t>
        </is>
      </c>
    </row>
    <row r="57">
      <c r="A57" s="55" t="inlineStr">
        <is>
          <t>N.o</t>
        </is>
      </c>
      <c r="B57" s="55" t="inlineStr">
        <is>
          <t>Indicador</t>
        </is>
      </c>
      <c r="C57" s="55" t="inlineStr">
        <is>
          <t>Unidad</t>
        </is>
      </c>
      <c r="D57" s="55" t="inlineStr">
        <is>
          <t>Valor</t>
        </is>
      </c>
      <c r="E57" s="55" t="inlineStr">
        <is>
          <t>Fuente</t>
        </is>
      </c>
      <c r="F57" s="55" t="inlineStr">
        <is>
          <t>Umbral</t>
        </is>
      </c>
      <c r="G57" s="55" t="inlineStr">
        <is>
          <t>Nivel</t>
        </is>
      </c>
    </row>
    <row r="58">
      <c r="A58" s="56" t="inlineStr">
        <is>
          <t>1</t>
        </is>
      </c>
      <c r="B58" s="56" t="inlineStr">
        <is>
          <t>Cobertura vegetal total</t>
        </is>
      </c>
      <c r="C58" s="56" t="inlineStr">
        <is>
          <t>%</t>
        </is>
      </c>
      <c r="D58" s="56" t="inlineStr">
        <is>
          <t>72</t>
        </is>
      </c>
      <c r="E58" s="56" t="inlineStr">
        <is>
          <t>MSAVI_Piura_2024 + estimación de campo</t>
        </is>
      </c>
      <c r="F58" s="56" t="inlineStr">
        <is>
          <t>&gt;60% bueno; 30-60% medio; &lt;30% malo</t>
        </is>
      </c>
      <c r="G58" s="56" t="inlineStr">
        <is>
          <t>Bajo</t>
        </is>
      </c>
    </row>
    <row r="59">
      <c r="A59" s="57" t="inlineStr">
        <is>
          <t>2</t>
        </is>
      </c>
      <c r="B59" s="57" t="inlineStr">
        <is>
          <t>Porcentaje de suelo desnudo</t>
        </is>
      </c>
      <c r="C59" s="57" t="inlineStr">
        <is>
          <t>%</t>
        </is>
      </c>
      <c r="D59" s="57" t="inlineStr">
        <is>
          <t>12</t>
        </is>
      </c>
      <c r="E59" s="57" t="inlineStr">
        <is>
          <t>Estimación visual de campo</t>
        </is>
      </c>
      <c r="F59" s="57" t="inlineStr">
        <is>
          <t>&lt;10% bueno; 10-30% medio; &gt;30% malo</t>
        </is>
      </c>
      <c r="G59" s="57" t="inlineStr">
        <is>
          <t>Medio</t>
        </is>
      </c>
    </row>
    <row r="60">
      <c r="A60" s="56" t="inlineStr">
        <is>
          <t>3</t>
        </is>
      </c>
      <c r="B60" s="56" t="inlineStr">
        <is>
          <t>Densidad de cárcavas</t>
        </is>
      </c>
      <c r="C60" s="56" t="inlineStr">
        <is>
          <t>N°/ha</t>
        </is>
      </c>
      <c r="D60" s="56" t="inlineStr"/>
      <c r="E60" s="56" t="inlineStr">
        <is>
          <t>Inventario submétrico pendiente</t>
        </is>
      </c>
      <c r="F60" s="56" t="inlineStr">
        <is>
          <t>0 nulo; 1-3 medio; &gt;3 alto</t>
        </is>
      </c>
      <c r="G60" s="56" t="inlineStr"/>
    </row>
    <row r="61">
      <c r="A61" s="57" t="inlineStr">
        <is>
          <t>4</t>
        </is>
      </c>
      <c r="B61" s="57" t="inlineStr">
        <is>
          <t>Presencia de especies invasoras</t>
        </is>
      </c>
      <c r="C61" s="57" t="inlineStr">
        <is>
          <t>% área</t>
        </is>
      </c>
      <c r="D61" s="57" t="inlineStr">
        <is>
          <t>&lt;5</t>
        </is>
      </c>
      <c r="E61" s="57" t="inlineStr">
        <is>
          <t>Estimación de campo</t>
        </is>
      </c>
      <c r="F61" s="57" t="inlineStr">
        <is>
          <t>&lt;5% bueno; 5-20% medio; &gt;20% alto</t>
        </is>
      </c>
      <c r="G61" s="57" t="inlineStr">
        <is>
          <t>Bajo</t>
        </is>
      </c>
    </row>
    <row r="62">
      <c r="A62" s="56" t="inlineStr">
        <is>
          <t>5</t>
        </is>
      </c>
      <c r="B62" s="56" t="inlineStr">
        <is>
          <t>Carga ganadera estimada</t>
        </is>
      </c>
      <c r="C62" s="56" t="inlineStr">
        <is>
          <t>UA/ha</t>
        </is>
      </c>
      <c r="D62" s="56" t="inlineStr"/>
      <c r="E62" s="56" t="inlineStr">
        <is>
          <t>Por verificar (encuesta a titulares)</t>
        </is>
      </c>
      <c r="F62" s="56" t="inlineStr">
        <is>
          <t>Según tipo de ecosistema</t>
        </is>
      </c>
      <c r="G62" s="56" t="inlineStr"/>
    </row>
    <row r="63">
      <c r="A63" s="57" t="inlineStr">
        <is>
          <t>6</t>
        </is>
      </c>
      <c r="B63" s="57" t="inlineStr">
        <is>
          <t>Frecuencia de quemas últimos 5 años</t>
        </is>
      </c>
      <c r="C63" s="57" t="inlineStr">
        <is>
          <t>N°</t>
        </is>
      </c>
      <c r="D63" s="57" t="inlineStr">
        <is>
          <t>0</t>
        </is>
      </c>
      <c r="E63" s="57" t="inlineStr">
        <is>
          <t>Observación de campo (sin evidencia de quema reciente)</t>
        </is>
      </c>
      <c r="F63" s="57" t="inlineStr">
        <is>
          <t>0 nulo; 1-2 medio; &gt;2 alto</t>
        </is>
      </c>
      <c r="G63" s="57" t="inlineStr">
        <is>
          <t>Bajo</t>
        </is>
      </c>
    </row>
    <row r="64">
      <c r="A64" s="56" t="inlineStr">
        <is>
          <t>7</t>
        </is>
      </c>
      <c r="B64" s="56" t="inlineStr">
        <is>
          <t>% área con pendiente &gt;50%</t>
        </is>
      </c>
      <c r="C64" s="56" t="inlineStr">
        <is>
          <t>%</t>
        </is>
      </c>
      <c r="D64" s="56" t="inlineStr"/>
      <c r="E64" s="56" t="inlineStr">
        <is>
          <t>Perfil de elevación Google Earth (pend. media 52.7%, máx 73.9%)</t>
        </is>
      </c>
      <c r="F64" s="56" t="inlineStr">
        <is>
          <t>Factor de susceptibilidad</t>
        </is>
      </c>
      <c r="G64" s="56" t="inlineStr">
        <is>
          <t>Alto</t>
        </is>
      </c>
    </row>
    <row r="65">
      <c r="A65" s="57" t="inlineStr">
        <is>
          <t>8</t>
        </is>
      </c>
      <c r="B65" s="57" t="inlineStr">
        <is>
          <t>Distancia a vía vecinal más cercana</t>
        </is>
      </c>
      <c r="C65" s="57" t="inlineStr">
        <is>
          <t>m</t>
        </is>
      </c>
      <c r="D65" s="57" t="inlineStr">
        <is>
          <t>Adyacente / ≤200</t>
        </is>
      </c>
      <c r="E65" s="57" t="inlineStr">
        <is>
          <t>Google Earth + red vial (PI-799)</t>
        </is>
      </c>
      <c r="F65" s="57" t="inlineStr">
        <is>
          <t>A menor distancia → mayor presión</t>
        </is>
      </c>
      <c r="G65" s="57" t="inlineStr">
        <is>
          <t>Alto</t>
        </is>
      </c>
    </row>
    <row r="67">
      <c r="A67" s="54" t="inlineStr">
        <is>
          <t>F-DT-05 · FUENTES DE AGUA INVENTARIADAS</t>
        </is>
      </c>
    </row>
    <row r="68">
      <c r="A68" s="55" t="inlineStr">
        <is>
          <t>N.o</t>
        </is>
      </c>
      <c r="B68" s="55" t="inlineStr">
        <is>
          <t>Tipo de fuente</t>
        </is>
      </c>
      <c r="C68" s="55" t="inlineStr">
        <is>
          <t>UTM ESTE</t>
        </is>
      </c>
      <c r="D68" s="55" t="inlineStr">
        <is>
          <t>UTM NORTE</t>
        </is>
      </c>
      <c r="E68" s="55" t="inlineStr">
        <is>
          <t>Régimen</t>
        </is>
      </c>
      <c r="F68" s="55" t="inlineStr">
        <is>
          <t>Calidad</t>
        </is>
      </c>
      <c r="G68" s="55" t="inlineStr">
        <is>
          <t>Distancia (m)</t>
        </is>
      </c>
      <c r="H68" s="55" t="inlineStr">
        <is>
          <t>Uso / observación</t>
        </is>
      </c>
    </row>
    <row r="69">
      <c r="A69" s="56" t="inlineStr">
        <is>
          <t>1</t>
        </is>
      </c>
      <c r="B69" s="56" t="inlineStr">
        <is>
          <t>Quebrada permanente</t>
        </is>
      </c>
      <c r="C69" s="61" t="n">
        <v>618905</v>
      </c>
      <c r="D69" s="61" t="n">
        <v>9438102</v>
      </c>
      <c r="E69" s="56" t="inlineStr">
        <is>
          <t>Permanente</t>
        </is>
      </c>
      <c r="F69" s="56" t="inlineStr">
        <is>
          <t>Regular (ligeramente turbia o con sedimentos)</t>
        </is>
      </c>
      <c r="G69" s="56" t="n"/>
      <c r="H69" s="56" t="inlineStr">
        <is>
          <t>Quebrada El Checo (eje de la microcuenca C1086-Q9570), lecho rocoso con flujo activo en época seca (Foto 01). Presencia de estructura rústica de concreto (posible badén o captación); función y caudal POR VERIFICAR (aforo pendiente).</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Bloque verificado el 16/06/2026 (Ing. H. Cahuas, Ing. P. Talledo, Ing. J.C. Domínguez). Ingreso por la vía vecinal PI-799. El punto de muestreo (618890 E / 9438092 N, ~1300 msnm) corresponde al sector de acceso S/SE del bloque, sobre la quebrada El Checo; la altitud promedio del bloque es ~1400 msnm y su rango altitudinal abarca ~1050–1850 msnm (extendiéndose a la franja Quechua media 1500–2000 m en la cabecera). Perfil de elevación (Google Earth, transecto 707–936 m): elevación 1263–1765 m, desnivel +502 m, pendiente media 52.7% y máxima 73.9% — relieve montañoso escarpado. Remoción en masa ACTIVA localizada: caída/derrumbe de bloques rocosos sobre el talud de corte de la PI-799 (Fotos 02 y 04) y canalón de escorrentía con depósito coluvial al pie de ladera (Foto 04). Afloramiento rocoso/escarpe competente en la cima (Foto 05). Litología: bloques de roca competente de tonalidad gris (posible sustrato metamórfico/intrusivo del flanco occidental); caracterización geológica POR VERIFICAR con la carta INGEMMET (cuadrángulo Morropón). Exposición consignada "Suroeste" como dominante (la ladera principal desciende hacia el S/SW), pero es variable por envolver el cerro.</t>
        </is>
      </c>
    </row>
    <row r="75">
      <c r="A75" s="57" t="inlineStr">
        <is>
          <t>F-DT-03</t>
        </is>
      </c>
      <c r="B75" s="57" t="inlineStr">
        <is>
          <t>Inventario florístico PRELIMINAR (registro rápido durante recorrido a pie; sin parcela delimitada). Nombres científicos a nivel de género/especie PRELIMINARES; determinación botánica formal y depósito en herbario PENDIENTES. La cobertura vegetal total (72%) se estima a partir del índice MSAVI_Piura_2024 (núcleo NW con valores &gt;0.6139) y observación de campo; los porcentajes finos por estrato (dosel, arbustiva, herbácea, hojarasca, suelo desnudo), el DAP promedio y la densidad de regeneración POR VERIFICAR con muestreo en parcelas. Otras especies registradas en campo no incluidas en las 15 filas: Ciprés (Cupressus sp., introducida, plantada) y Arveja (Pisum sativum, cultivo). DISCREPANCIA CARTOGRÁFICA RELEVANTE: la cartografía MINAM 2018 clasifica el 97.6% del bloque como "Zona agrícola", mientras el campo y el MSAVI evidencian un núcleo densamente vegetado (posible bosque secundario y/o remanente de bosque relicto montano de vertiente occidental) no representado como unidad ecosistémica diferenciada para este bloque; se consigna como observación de campo no verificada, no como unidad cartografiada.</t>
        </is>
      </c>
    </row>
    <row r="76">
      <c r="A76" s="56" t="inlineStr">
        <is>
          <t>F-DT-04</t>
        </is>
      </c>
      <c r="B76" s="56" t="inlineStr">
        <is>
          <t>La extensión (% del bloque) y la antigüedad de cada causa no se cuantificaron en campo; se prioriza la presencia e intensidad observada. El bloque presenta un núcleo NW relativamente conservado (alto MSAVI) y bordes/sectores bajos con mayor presión agropecuaria y geodinámica activa, por lo que las MRR-CCC deben combinar protección/consolidación del remanente con estabilización de taludes de la vía y control de escorrentía. Carga ganadera, densidad de cárcavas y % de área con pendiente &gt;50% (modelo DEM) POR VERIFICAR.</t>
        </is>
      </c>
    </row>
    <row r="77">
      <c r="A77" s="57" t="inlineStr">
        <is>
          <t>F-DT-05</t>
        </is>
      </c>
      <c r="B77" s="57" t="inlineStr">
        <is>
          <t>Inventario hídrico rápido en época seca: la fuente relevante es la quebrada permanente El Checo (618905 E / 9438102 N, Foto 01), con estructura rústica de concreto cuya función (badén/captación) y caudal están POR VERIFICAR (aforo pendiente). El bloque es cabecera/zona de recarga con humedad persistente (neblina, Foto 03) y escorrentía concentrada (canalón, Foto 04). Distancia a captación poblacional, nombre de JASS, tiempos de viaje desde capital distrital/provincial, señal celular y alojamiento rural POR VERIFICAR. Transitabilidad en época lluviosa comprometida por caída de bloques/derrumbes en los taludes de la PI-799 (Fotos 02 y 04). Coordinación con Ronda Campesina/JASS local por confirmar.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17</t>
        </is>
      </c>
    </row>
    <row r="7">
      <c r="A7" s="54" t="inlineStr">
        <is>
          <t>Hechos declarados por fuente</t>
        </is>
      </c>
    </row>
    <row r="8">
      <c r="A8" s="55" t="inlineStr">
        <is>
          <t>Fuente</t>
        </is>
      </c>
      <c r="B8" s="55" t="inlineStr">
        <is>
          <t>Hechos</t>
        </is>
      </c>
    </row>
    <row r="9">
      <c r="A9" s="56" t="inlineStr">
        <is>
          <t>Dato de campo</t>
        </is>
      </c>
      <c r="B9" s="56" t="n">
        <v>60</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94</v>
      </c>
    </row>
    <row r="31">
      <c r="A31" s="57" t="inlineStr">
        <is>
          <t>COMPLEMENTADO</t>
        </is>
      </c>
      <c r="B31" s="57" t="n">
        <v>1</v>
      </c>
    </row>
    <row r="32">
      <c r="A32" s="56" t="inlineStr">
        <is>
          <t>ACTUALIZADO</t>
        </is>
      </c>
      <c r="B32" s="56" t="n">
        <v>1</v>
      </c>
    </row>
    <row r="33">
      <c r="A33" s="57" t="inlineStr">
        <is>
          <t>DISCREPANTE</t>
        </is>
      </c>
      <c r="B33" s="57" t="n">
        <v>0</v>
      </c>
    </row>
    <row r="34">
      <c r="A34" s="56" t="inlineStr">
        <is>
          <t>PENDIENTE</t>
        </is>
      </c>
      <c r="B34" s="56" t="n">
        <v>18</v>
      </c>
    </row>
    <row r="51">
      <c r="A51" s="54" t="inlineStr">
        <is>
          <t>Cobertura por estrato — campo (%)</t>
        </is>
      </c>
    </row>
    <row r="52">
      <c r="A52" s="55" t="inlineStr">
        <is>
          <t>Estrato</t>
        </is>
      </c>
      <c r="B52" s="55" t="inlineStr">
        <is>
          <t>% del área</t>
        </is>
      </c>
    </row>
    <row r="53">
      <c r="A53" s="56" t="inlineStr">
        <is>
          <t>Suelo desnudo</t>
        </is>
      </c>
      <c r="B53" s="61" t="n">
        <v>12</v>
      </c>
    </row>
    <row r="70">
      <c r="A70" s="54" t="inlineStr">
        <is>
          <t>Causas activas de degradación (F-DT-04)</t>
        </is>
      </c>
    </row>
    <row r="71">
      <c r="A71" s="55" t="inlineStr">
        <is>
          <t>Causa</t>
        </is>
      </c>
      <c r="B71" s="55" t="inlineStr">
        <is>
          <t>Intensidad (1 ligera - 4 muy fuerte)</t>
        </is>
      </c>
    </row>
    <row r="72">
      <c r="A72" s="56" t="inlineStr">
        <is>
          <t>Cambio de uso a agricultura</t>
        </is>
      </c>
      <c r="B72" s="56" t="n">
        <v>2</v>
      </c>
    </row>
    <row r="73">
      <c r="A73" s="57" t="inlineStr">
        <is>
          <t>Erosión natural severa</t>
        </is>
      </c>
      <c r="B73" s="57" t="n">
        <v>2</v>
      </c>
    </row>
    <row r="74">
      <c r="A74" s="56" t="inlineStr">
        <is>
          <t>Sobrepastoreo (caprino/vacuno)</t>
        </is>
      </c>
      <c r="B74" s="56" t="n">
        <v>2</v>
      </c>
    </row>
    <row r="75">
      <c r="A75" s="57" t="inlineStr">
        <is>
          <t>Cambio de uso a pastoreo</t>
        </is>
      </c>
      <c r="B75" s="57" t="n">
        <v>1</v>
      </c>
    </row>
    <row r="76">
      <c r="A76" s="56" t="inlineStr">
        <is>
          <t>Expansión urbana / vial</t>
        </is>
      </c>
      <c r="B76" s="56" t="n">
        <v>1</v>
      </c>
    </row>
    <row r="77">
      <c r="A77" s="57" t="inlineStr">
        <is>
          <t>Sequía prolongada / CC</t>
        </is>
      </c>
      <c r="B77" s="57" t="n">
        <v>1</v>
      </c>
    </row>
    <row r="94">
      <c r="A94" s="54" t="inlineStr">
        <is>
          <t>Control de consistencia por calificación</t>
        </is>
      </c>
    </row>
    <row r="95">
      <c r="A95" s="55" t="inlineStr">
        <is>
          <t>Calificación</t>
        </is>
      </c>
      <c r="B95" s="55" t="inlineStr">
        <is>
          <t>Verificaciones</t>
        </is>
      </c>
    </row>
    <row r="96">
      <c r="A96" s="56" t="inlineStr">
        <is>
          <t>SUSTANTIVA</t>
        </is>
      </c>
      <c r="B96" s="56" t="n">
        <v>1</v>
      </c>
    </row>
    <row r="97">
      <c r="A97" s="57" t="inlineStr">
        <is>
          <t>NO SUSTANTIVA</t>
        </is>
      </c>
      <c r="B97" s="57" t="n">
        <v>4</v>
      </c>
    </row>
    <row r="98">
      <c r="A98" s="56" t="inlineStr">
        <is>
          <t>CORREGIDO</t>
        </is>
      </c>
      <c r="B98" s="56" t="n">
        <v>1</v>
      </c>
    </row>
    <row r="99">
      <c r="A99" s="57" t="inlineStr">
        <is>
          <t>CONFORME</t>
        </is>
      </c>
      <c r="B9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17 — IN Piura</dc:title>
  <dc:subject>Diagnóstico Territorial por bloque de intervención</dc:subject>
  <dcterms:created xsi:type="dcterms:W3CDTF">2026-09-08T03:39:55Z</dcterms:created>
  <dcterms:modified xsi:type="dcterms:W3CDTF">2026-09-11T20:22:25Z</dcterms:modified>
</cp:coreProperties>
</file>