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f>
            </numRef>
          </cat>
          <val>
            <numRef>
              <f>'Gráficos de integración'!$B$76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M32B3</t>
        </is>
      </c>
    </row>
    <row r="6" ht="24" customHeight="1">
      <c r="A6" s="4" t="inlineStr">
        <is>
          <t>Diagnóstico Territorial — Plantilla DT Campo Check Validada V5 | Sistema de referencia: UTM WGS 84 Zona 17S (EPSG:32717) · Integrado con la ficha de campo F-DT vigente (FDT_M32B3_IN_Piura.xlsx) — V7 - resumen V6 + campo F-DT integrado</t>
        </is>
      </c>
    </row>
    <row r="7"/>
    <row r="8" ht="18" customHeight="1">
      <c r="A8" s="5" t="inlineStr">
        <is>
          <t>1. IDENTIFICACIÓN Y LOCALIZACIÓN</t>
        </is>
      </c>
    </row>
    <row r="9">
      <c r="A9" s="6" t="inlineStr">
        <is>
          <t>Código del bloque</t>
        </is>
      </c>
      <c r="B9" s="7" t="inlineStr">
        <is>
          <t>M32B3</t>
        </is>
      </c>
      <c r="C9" s="6" t="inlineStr">
        <is>
          <t>Microcuenca (catálogo)</t>
        </is>
      </c>
      <c r="D9" s="7" t="inlineStr">
        <is>
          <t>C1086-Q9569</t>
        </is>
      </c>
      <c r="E9" s="8" t="n"/>
      <c r="F9" s="8" t="n"/>
    </row>
    <row r="10">
      <c r="A10" s="6" t="inlineStr">
        <is>
          <t>Zona de planificación</t>
        </is>
      </c>
      <c r="B10" s="7" t="inlineStr">
        <is>
          <t>Z05</t>
        </is>
      </c>
      <c r="C10" s="6" t="inlineStr">
        <is>
          <t>Microcuenca declarada en ficha DT</t>
        </is>
      </c>
      <c r="D10" s="7" t="inlineStr">
        <is>
          <t>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Maray</t>
        </is>
      </c>
      <c r="C13" s="6" t="inlineStr">
        <is>
          <t>Comunidad campesina</t>
        </is>
      </c>
      <c r="D13" s="7" t="inlineStr">
        <is>
          <t>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618248</v>
      </c>
      <c r="C15" s="6" t="inlineStr">
        <is>
          <t>Centroide UTM NORTE (m)</t>
        </is>
      </c>
      <c r="D15" s="7" t="n">
        <v>9426493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v>
      </c>
      <c r="C19" s="6" t="inlineStr">
        <is>
          <t>Altitud máxima (msnm)</t>
        </is>
      </c>
      <c r="D19" s="7" t="n">
        <v>438</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18.79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18.79% (clase 15-25%); el rango de campo corresponde a los sectores de ladera efectivamente recorridos, con pendiente predominante registrada de 45%</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0.3852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ligera (58.77 %)</t>
        </is>
      </c>
      <c r="E29" s="8" t="n"/>
      <c r="F29" s="8" t="n"/>
    </row>
    <row r="30">
      <c r="A30" s="6" t="inlineStr">
        <is>
          <t>Superficie clasificada NDVI 2025 (ha)</t>
        </is>
      </c>
      <c r="B30" s="7" t="n">
        <v>50.995</v>
      </c>
      <c r="C30" s="6" t="inlineStr">
        <is>
          <t>Desviación frente al catálogo (%)</t>
        </is>
      </c>
      <c r="D30" s="7" t="n">
        <v>0.05</v>
      </c>
      <c r="E30" s="8" t="n"/>
      <c r="F30" s="8" t="n"/>
    </row>
    <row r="31">
      <c r="A31" s="6" t="inlineStr">
        <is>
          <t>Superficie clasificada MSAVI 2024 (ha)</t>
        </is>
      </c>
      <c r="B31" s="38" t="n">
        <v>50.972</v>
      </c>
      <c r="C31" s="6" t="inlineStr">
        <is>
          <t>Desviación MSAVI frente al catálogo (%)</t>
        </is>
      </c>
      <c r="D31" s="39" t="n">
        <v>0</v>
      </c>
      <c r="E31" s="8" t="n"/>
      <c r="F31" s="8" t="n"/>
    </row>
    <row r="32">
      <c r="A32" s="6" t="inlineStr">
        <is>
          <t>Superficie bajo umbral MSAVI 0.4976 (ha)</t>
        </is>
      </c>
      <c r="B32" s="38" t="n">
        <v>47.851</v>
      </c>
      <c r="C32" s="6" t="inlineStr">
        <is>
          <t>% del bloque bajo umbral (brecha espectral)</t>
        </is>
      </c>
      <c r="D32" s="39" t="n">
        <v>93.88</v>
      </c>
      <c r="E32" s="8" t="n"/>
      <c r="F32" s="8" t="n"/>
    </row>
    <row r="33">
      <c r="A33" s="6" t="inlineStr">
        <is>
          <t>Clase DN dominante (MSAVI 2024)</t>
        </is>
      </c>
      <c r="B33" s="7" t="inlineStr">
        <is>
          <t>DN 3 · 0.3813 - 0.4976 (Vigor bajo)</t>
        </is>
      </c>
      <c r="C33" s="6" t="inlineStr">
        <is>
          <t>N.° de polígonos MSAVI del bloque</t>
        </is>
      </c>
      <c r="D33" s="40" t="n">
        <v>218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50.972 ha (100% del bloque)</t>
        </is>
      </c>
      <c r="E36" s="8" t="n"/>
      <c r="F36" s="8" t="n"/>
    </row>
    <row r="37">
      <c r="A37" s="6" t="inlineStr">
        <is>
          <t>Estado de conservación</t>
        </is>
      </c>
      <c r="B37" s="7" t="inlineStr">
        <is>
          <t>Levemente alterado</t>
        </is>
      </c>
      <c r="C37" s="6" t="inlineStr">
        <is>
          <t>Uso actual dominante del suelo</t>
        </is>
      </c>
      <c r="D37" s="50" t="inlineStr">
        <is>
          <t>Forestal protección</t>
        </is>
      </c>
      <c r="E37" s="8" t="n"/>
      <c r="F37" s="8" t="n"/>
    </row>
    <row r="38">
      <c r="A38" s="6" t="inlineStr">
        <is>
          <t>Tipo de cobertura dominante</t>
        </is>
      </c>
      <c r="B38" s="7" t="inlineStr">
        <is>
          <t>Bosque denso (&gt;70%)</t>
        </is>
      </c>
      <c r="C38" s="6" t="inlineStr">
        <is>
          <t>Cobertura vegetal total — campo (%)</t>
        </is>
      </c>
      <c r="D38" s="7" t="n">
        <v>80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 Ing. Héctor S. Cahuas Miller</t>
        </is>
      </c>
      <c r="C44" s="6" t="inlineStr">
        <is>
          <t>Fecha de evaluación</t>
        </is>
      </c>
      <c r="D44" s="7" t="inlineStr">
        <is>
          <t>2026-05-06</t>
        </is>
      </c>
      <c r="E44" s="8" t="n"/>
      <c r="F44" s="8" t="n"/>
    </row>
    <row r="45">
      <c r="A45" s="6" t="inlineStr">
        <is>
          <t>Hora de registro</t>
        </is>
      </c>
      <c r="B45" s="7" t="inlineStr">
        <is>
          <t>12:05 h</t>
        </is>
      </c>
      <c r="C45" s="6" t="inlineStr">
        <is>
          <t>Correlativo de ficha</t>
        </is>
      </c>
      <c r="D45" s="7" t="inlineStr">
        <is>
          <t>2</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El entregable [E1] la atribuye a la demanda de leña de la población de Maray</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M32B3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3.1211</v>
      </c>
      <c r="C11" s="21">
        <f>ROUND(B11/$B$15*100,2)</f>
        <v/>
      </c>
      <c r="D11" s="13" t="inlineStr">
        <is>
          <t>Vigor moderado</t>
        </is>
      </c>
      <c r="E11" s="13" t="inlineStr">
        <is>
          <t>Sobre umbral</t>
        </is>
      </c>
    </row>
    <row r="12">
      <c r="A12" s="14" t="inlineStr">
        <is>
          <t>0.3813 - 0.4976 · DN 3</t>
        </is>
      </c>
      <c r="B12" s="30" t="n">
        <v>23.374</v>
      </c>
      <c r="C12" s="29">
        <f>ROUND(B12/$B$15*100,2)</f>
        <v/>
      </c>
      <c r="D12" s="15" t="inlineStr">
        <is>
          <t>Vigor bajo</t>
        </is>
      </c>
      <c r="E12" s="15" t="inlineStr">
        <is>
          <t>BAJO umbral 0.4976</t>
        </is>
      </c>
    </row>
    <row r="13">
      <c r="A13" s="12" t="inlineStr">
        <is>
          <t>0.2650 - 0.3813 · DN 2</t>
        </is>
      </c>
      <c r="B13" s="20" t="n">
        <v>23.3136</v>
      </c>
      <c r="C13" s="21">
        <f>ROUND(B13/$B$15*100,2)</f>
        <v/>
      </c>
      <c r="D13" s="13" t="inlineStr">
        <is>
          <t>Vigor muy bajo</t>
        </is>
      </c>
      <c r="E13" s="13" t="inlineStr">
        <is>
          <t>BAJO umbral 0.4976</t>
        </is>
      </c>
    </row>
    <row r="14">
      <c r="A14" s="7" t="inlineStr">
        <is>
          <t>&lt;= 0.2650 · DN 1</t>
        </is>
      </c>
      <c r="B14" s="18" t="n">
        <v>1.1636</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218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50.97</v>
      </c>
      <c r="C18" s="49" t="inlineStr">
        <is>
          <t>—</t>
        </is>
      </c>
      <c r="D18" s="46" t="inlineStr">
        <is>
          <t>Desviación planimétrica frente al catálogo</t>
        </is>
      </c>
      <c r="E18" s="46" t="inlineStr">
        <is>
          <t>+0.00 %</t>
        </is>
      </c>
    </row>
    <row r="19">
      <c r="A19" s="16" t="inlineStr">
        <is>
          <t>MSAVI 2024 — MEDIA DEL BLOQUE</t>
        </is>
      </c>
      <c r="B19" s="17" t="n">
        <v>0.385213</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(0.3852)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0.2483</v>
      </c>
      <c r="C25" s="19" t="n">
        <v>0.49</v>
      </c>
      <c r="D25" s="11" t="inlineStr">
        <is>
          <t>Dosel continuo, matorral denso o mosaico agroforestal</t>
        </is>
      </c>
      <c r="E25" s="11" t="inlineStr"/>
    </row>
    <row r="26">
      <c r="A26" s="12" t="inlineStr">
        <is>
          <t>Vegetación mediana</t>
        </is>
      </c>
      <c r="B26" s="20" t="n">
        <v>19.8476</v>
      </c>
      <c r="C26" s="21" t="n">
        <v>38.92</v>
      </c>
      <c r="D26" s="13" t="inlineStr">
        <is>
          <t>Pastizal cultivado, matorral ralo, parcelas agrícolas</t>
        </is>
      </c>
      <c r="E26" s="13" t="inlineStr"/>
    </row>
    <row r="27">
      <c r="A27" s="7" t="inlineStr">
        <is>
          <t>Vegetación ligera</t>
        </is>
      </c>
      <c r="B27" s="18" t="n">
        <v>29.9724</v>
      </c>
      <c r="C27" s="19" t="n">
        <v>58.77</v>
      </c>
      <c r="D27" s="11" t="inlineStr">
        <is>
          <t>Cobertura discontinua, suelo parcialmente expuesto</t>
        </is>
      </c>
      <c r="E27" s="11" t="inlineStr"/>
    </row>
    <row r="28">
      <c r="A28" s="12" t="inlineStr">
        <is>
          <t>Tierra desnuda</t>
        </is>
      </c>
      <c r="B28" s="20" t="n">
        <v>0.9273</v>
      </c>
      <c r="C28" s="21" t="n">
        <v>1.82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50.97</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0.49 % del polígono clasificado como «Vegetación alta» por el NDVI 2025; la observación de campo corresponde a una parcela o recorrido puntual y no es estadísticamente representativa de las 50.970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M32B3</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618122</v>
      </c>
      <c r="D10" s="26" t="n">
        <v>9426329</v>
      </c>
      <c r="E10" s="11" t="n">
        <v>206.8</v>
      </c>
      <c r="F10" s="11" t="inlineStr"/>
      <c r="G10" s="11" t="inlineStr">
        <is>
          <t>Coordenada consignada en F-DT-01</t>
        </is>
      </c>
    </row>
    <row r="11">
      <c r="A11" s="12" t="inlineStr">
        <is>
          <t>H-01</t>
        </is>
      </c>
      <c r="B11" s="13" t="inlineStr">
        <is>
          <t>Fuente de agua — 1</t>
        </is>
      </c>
      <c r="C11" s="27" t="inlineStr">
        <is>
          <t>Quebrada estacional</t>
        </is>
      </c>
      <c r="D11" s="27" t="inlineStr">
        <is>
          <t>Sin coordenadas UTM consignadas</t>
        </is>
      </c>
      <c r="E11" s="13" t="inlineStr"/>
      <c r="F11" s="13" t="inlineStr"/>
      <c r="G11" s="13" t="inlineStr"/>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618248</v>
      </c>
      <c r="C14" s="6" t="inlineStr">
        <is>
          <t>Centroide del bloque — UTM NORTE (m)</t>
        </is>
      </c>
      <c r="D14" s="7" t="n">
        <v>9426493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22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HALLAZGO DE RIESGO: el bloque registra REMOCIÓN EN MASA ACTIVA como proceso puntual en una porción reducida del polígono, con pendiente alta — es el único de los cinco bloques del paquete con un proceso de remoción en masa activo verificado en campo. La ficha F-EE-05 lo consigna como peligro observado. La pendiente del 45% en sectores específicos requiere especial atención en el diseño de medidas de control de erosión, priorizando soluciones basadas en vegetación con especies de raíz profunda y anclaje efectivo. Existe una reducida área de pendiente alta que ha sufrido un DESLIZAMIENTO dejando el suelo expuesto; en algunos tramos existen quebradas por donde desfoga el agua de las laderas formando surcos, pero en un área FUERA del bloque. FACTORES LIMITANTES [E1]: (a) FACTOR ANTRÓPICO — la tala para leña por la población de Maray sugiere delimitar subáreas según el nivel de presión (baja para conservación, media para restauración activa); en caso de mayor presión podrían excluirse. (b) FACTOR EXTERNO TOPOGRÁFICO — pendientes mayores al 45%, en particular las superiores al 70%; se recomienda EXCLUIR del bloque las zonas con pendiente &gt;70% para evitar riesgos operativos. La quebrada estacional inactiva registrada dentro del bloque no constituye limitante; no se reportaron conflictos de tenencia; el acceso vehicular más caminata &lt;30 min no limita. PARÁMETROS GEOESPACIALES: rango 184-438 msnm, pendiente promedio 18.79%, MSAVI medio 2024 = 0.3852, área 50.97 ha, zona Z05, centroide E 618 248 / N 9 426 493.</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M32B3</t>
        </is>
      </c>
    </row>
    <row r="6" ht="24" customHeight="1">
      <c r="A6" s="4" t="inlineStr">
        <is>
          <t>Distrito de Morropon · Provincia de Morropon · Comparación de los bloques preliminares de intervención de la misma microcuenca</t>
        </is>
      </c>
    </row>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M32B3</t>
        </is>
      </c>
      <c r="B10" s="28" t="n">
        <v>50.97</v>
      </c>
      <c r="C10" s="29" t="n">
        <v>81.63</v>
      </c>
      <c r="D10" s="15" t="inlineStr">
        <is>
          <t>184 – 438</t>
        </is>
      </c>
      <c r="E10" s="15" t="n">
        <v>254</v>
      </c>
      <c r="F10" s="15" t="n">
        <v>18.79</v>
      </c>
      <c r="G10" s="30" t="n">
        <v>0.3852</v>
      </c>
      <c r="H10" s="29" t="n">
        <v>0.49</v>
      </c>
      <c r="I10" s="29" t="n">
        <v>93.88</v>
      </c>
    </row>
    <row r="11">
      <c r="A11" s="12" t="inlineStr">
        <is>
          <t>58</t>
        </is>
      </c>
      <c r="B11" s="31" t="n">
        <v>11.47</v>
      </c>
      <c r="C11" s="21" t="n">
        <v>18.37</v>
      </c>
      <c r="D11" s="13" t="inlineStr">
        <is>
          <t>209 – 288</t>
        </is>
      </c>
      <c r="E11" s="13" t="n">
        <v>79</v>
      </c>
      <c r="F11" s="13" t="n">
        <v>16.09</v>
      </c>
      <c r="G11" s="20" t="n">
        <v>0.4203</v>
      </c>
      <c r="H11" s="21" t="n">
        <v>0.09</v>
      </c>
      <c r="I11" s="21" t="n">
        <v>97.45</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c r="I12" s="23">
        <f>ROUND(AVERAGE(I10:I11),2)</f>
        <v/>
      </c>
    </row>
    <row r="14" ht="84" customHeight="1">
      <c r="A14" s="9" t="inlineStr">
        <is>
          <t>LECTURA INTRAMICROCUENCA. El bloque M32B3 ocupa el puesto 1 de 2 por superficie dentro de la microcuenca C1086-Q9569 (81.63 % de las 62.44 ha preliminares de la microcuenca). Su pendiente promedio (18.79 %, clase «15-25% (Fuert. inclinado)») es la 2.ª más baja de 2 y se sitúa por encima del promedio de la microcuenca (17.44 %). Su MSAVI 2024 (0.3852) es el 2.º de 2 y queda por debajo del promedio local (0.4028). Amplitud altitudinal del bloque: 254 m (184–438 msnm). El cuadro conserva todos los bloques catalogados en la microcuenca, incluidos los descartados en el tamizaje, para referencia del conjunto. Los bloques sin ficha DT figuran con sus parámetros de gabinete. BRECHA ESPECTRAL. El 93.88 % de la superficie del bloque (47.851 ha de 50.972 ha) se sitúa bajo el umbral MSAVI 0.4976, por debajo del promedio local de la microcuenca (95.66 %) calculado sobre los bloques con dato MSAVI disponible.</t>
        </is>
      </c>
      <c r="B14" s="41" t="n"/>
      <c r="C14" s="41" t="n"/>
      <c r="D14" s="41" t="n"/>
      <c r="E14" s="41" t="n"/>
      <c r="F14" s="41" t="n"/>
      <c r="G14" s="41" t="n"/>
      <c r="H14" s="41" t="n"/>
      <c r="I14" s="42"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1" t="n"/>
      <c r="I16" s="42"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M32B3</t>
        </is>
      </c>
    </row>
    <row r="6">
      <c r="A6" s="52" t="inlineStr">
        <is>
          <t>Cruce de la ficha de campo F-DT vigente con la ficha de resumen de gabinete y el catálogo maestro. Integración 2026-09-11 20:22:38.</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«C1086-Q9569».</t>
        </is>
      </c>
      <c r="D9" s="56" t="inlineStr">
        <is>
          <t>CONFORME</t>
        </is>
      </c>
      <c r="E9" s="56" t="inlineStr">
        <is>
          <t>Sin acción.</t>
        </is>
      </c>
    </row>
    <row r="10">
      <c r="A10" s="57" t="inlineStr">
        <is>
          <t>G-02</t>
        </is>
      </c>
      <c r="B10" s="57" t="inlineStr">
        <is>
          <t>UTM del punto de muestreo</t>
        </is>
      </c>
      <c r="C10" s="57" t="inlineStr">
        <is>
          <t>El punto de muestreo declarado dista 206.8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(215 msnm) cae dentro del rango altitudinal del bloque (184 - 438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(50.995 ha) se desvía 0.05 % de la superficie de catálogo (50.97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(50.972 ha) se desvía 0.00 % de la superficie de catálogo (50.97 ha).</t>
        </is>
      </c>
      <c r="D14" s="57" t="inlineStr">
        <is>
          <t>CONFORME</t>
        </is>
      </c>
      <c r="E14" s="57" t="inlineStr">
        <is>
          <t>Sin acción: la segmentación valida la geometría del bloque.</t>
        </is>
      </c>
    </row>
    <row r="15">
      <c r="A15" s="56" t="inlineStr">
        <is>
          <t>G-07</t>
        </is>
      </c>
      <c r="B15" s="56" t="inlineStr">
        <is>
          <t>Brecha espectral MSAVI</t>
        </is>
      </c>
      <c r="C15" s="56" t="inlineStr">
        <is>
          <t>El 93.88 % del bloque queda bajo el umbral 0.4976; superficie de brecha 47.85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50.97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(0.3852)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Uso actual dominante del suelo</t>
        </is>
      </c>
      <c r="C19" s="56" t="inlineStr">
        <is>
          <t>El libro de resumen V6 consignaba «Forestal de protección»; la ficha de campo vigente declara «Forestal protección».</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100.0 % de los campos esperados).</t>
        </is>
      </c>
      <c r="D20" s="57" t="inlineStr">
        <is>
          <t>CONFORME</t>
        </is>
      </c>
      <c r="E20" s="57" t="inlineStr">
        <is>
          <t>Sin acción.</t>
        </is>
      </c>
    </row>
    <row r="21">
      <c r="A21" s="56" t="inlineStr">
        <is>
          <t>F-02</t>
        </is>
      </c>
      <c r="B21" s="56" t="inlineStr">
        <is>
          <t>Cobertura de la integración</t>
        </is>
      </c>
      <c r="C21" s="56" t="inlineStr">
        <is>
          <t>Se declararon 106 de 114 hechos integrados (93.0 %); 8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«25-50% (Mod. escarpado) — pendiente promedio de gabinete 18.79% (clase 15-25%); el rango de campo corresponde a los sectores de ladera efectivamente recorridos, con pendiente predominante registrada de 45%»; la estadística zonal sobre el MDE arroja una pendiente promedio de 18.79 %, que corresponde a la clase «15-25% (Fuert. inclinado)»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Cobertura vegetal total</t>
        </is>
      </c>
      <c r="C23" s="56" t="inlineStr">
        <is>
          <t>La ficha DT estima 80 % de cobertura vegetal en campo; el NDVI mediana 2025 clasifica 98.18 %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H-03</t>
        </is>
      </c>
      <c r="B24" s="57" t="inlineStr">
        <is>
          <t>Elenco florístico</t>
        </is>
      </c>
      <c r="C24" s="57" t="inlineStr">
        <is>
          <t>La ficha registra 5 taxones, por debajo del mínimo de 15 que exige el formato V5</t>
        </is>
      </c>
      <c r="D24" s="57" t="inlineStr">
        <is>
          <t>SUSTANTIVA</t>
        </is>
      </c>
      <c r="E24" s="57" t="inlineStr">
        <is>
          <t>Registro florístico preliminar, sin colecta ni determinación botánica formal. Debe cerrarse con colecta botánica en la siguiente campaña. (Verificación heredada de la ficha de resumen V6.)</t>
        </is>
      </c>
    </row>
    <row r="25">
      <c r="A25" s="56" t="inlineStr">
        <is>
          <t>H-04</t>
        </is>
      </c>
      <c r="B25" s="56" t="inlineStr">
        <is>
          <t>Representatividad del levantamiento</t>
        </is>
      </c>
      <c r="C25" s="56" t="inlineStr">
        <is>
          <t>Ninguna de las estaciones fotográficas georreferenciadas se localiza dentro del polígono del bloque</t>
        </is>
      </c>
      <c r="D25" s="56" t="inlineStr">
        <is>
          <t>SUSTANTIVA</t>
        </is>
      </c>
      <c r="E25" s="56" t="inlineStr">
        <is>
          <t>La verificación documenta el perímetro y la vista panorámica del bloque, no su interior. Los parámetros que exigen recorrido interno se consignan «Por determinar». (Verificación heredada de la ficha de resumen V6.)</t>
        </is>
      </c>
    </row>
    <row r="26">
      <c r="A26" s="57" t="inlineStr">
        <is>
          <t>H-05</t>
        </is>
      </c>
      <c r="B26" s="57" t="inlineStr">
        <is>
          <t>Centro poblado asociado</t>
        </is>
      </c>
      <c r="C26" s="57" t="inlineStr">
        <is>
          <t>La ficha DT declara «Maray»; el cruce INEI-Bloques V5 identifica 1 centro(s) poblado(s) en el bloque: MARAY</t>
        </is>
      </c>
      <c r="D26" s="57" t="inlineStr">
        <is>
          <t>CONFORME</t>
        </is>
      </c>
      <c r="E26" s="57" t="inlineStr">
        <is>
          <t>Se conserva el registro de campo como referencia y se adopta el listado INEI para el diagnóstico social y el cálculo de población beneficiaria. (Verificación heredada de la ficha de resumen V6.)</t>
        </is>
      </c>
    </row>
    <row r="27">
      <c r="A27" s="56" t="inlineStr">
        <is>
          <t>H-06</t>
        </is>
      </c>
      <c r="B27" s="56" t="inlineStr">
        <is>
          <t>F-DT-01</t>
        </is>
      </c>
      <c r="C27" s="56" t="inlineStr">
        <is>
          <t>El campo "Altitud GPS" consignaba 50.9720, que corresponde al ÁREA del bloque en hectáreas y no a una altitud</t>
        </is>
      </c>
      <c r="D27" s="56" t="inlineStr">
        <is>
          <t>CORREGIDO</t>
        </is>
      </c>
      <c r="E27" s="56" t="inlineStr">
        <is>
          <t>Se consigna en su lugar la altitud de 215 msnm registrada en la ficha F-EE-05 del mismo punto y fecha (Verificación heredada de la ficha de resumen V6.)</t>
        </is>
      </c>
    </row>
    <row r="28">
      <c r="A28" s="57" t="inlineStr">
        <is>
          <t>H-07</t>
        </is>
      </c>
      <c r="B28" s="57" t="inlineStr">
        <is>
          <t>F-DT-02 / F-EE-05</t>
        </is>
      </c>
      <c r="C28" s="57" t="inlineStr">
        <is>
          <t>La F-DT-02 declara 0 cárcavas mientras la F-EE-05 consigna "Presencia de cárcavas/surcos: Sí"</t>
        </is>
      </c>
      <c r="D28" s="57" t="inlineStr">
        <is>
          <t>CORREGIDO</t>
        </is>
      </c>
      <c r="E28" s="57" t="inlineStr">
        <is>
          <t>La contradicción se resuelve por la ubicación: los surcos están al pie de la ladera, FUERA del polígono del bloque (Verificación heredada de la ficha de resumen V6.)</t>
        </is>
      </c>
    </row>
    <row r="29">
      <c r="A29" s="56" t="inlineStr">
        <is>
          <t>H-08</t>
        </is>
      </c>
      <c r="B29" s="56" t="inlineStr">
        <is>
          <t>F-DT-03</t>
        </is>
      </c>
      <c r="C29" s="56" t="inlineStr">
        <is>
          <t>DAP registrado como rango (25-30 cm) en un campo que espera valor único</t>
        </is>
      </c>
      <c r="D29" s="56" t="inlineStr">
        <is>
          <t>NO SUSTANTIVA</t>
        </is>
      </c>
      <c r="E29" s="56" t="inlineStr">
        <is>
          <t>Se consigna literalmente el rango; de requerirse un valor único debe definirse en campo (Verificación heredada de la ficha de resumen V6.)</t>
        </is>
      </c>
    </row>
    <row r="30">
      <c r="A30" s="57" t="inlineStr">
        <is>
          <t>H-09</t>
        </is>
      </c>
      <c r="B30" s="57" t="inlineStr">
        <is>
          <t>F-DT-04</t>
        </is>
      </c>
      <c r="C30" s="57" t="inlineStr">
        <is>
          <t>Para la única causa presente (tala para leña) no se consignaron intensidad, extensión ni antigüedad; indicadores 3-6 sin valorar e indicadores 1, 2, 7 y 8 sin calificación de nivel</t>
        </is>
      </c>
      <c r="D30" s="57" t="inlineStr">
        <is>
          <t>SUSTANTIVA</t>
        </is>
      </c>
      <c r="E30" s="57" t="inlineStr">
        <is>
          <t>POR COMPLETAR; la extensión de la tala para leña es el dato crítico para la delimitación de subáreas (Verificación heredada de la ficha de resumen V6.)</t>
        </is>
      </c>
    </row>
    <row r="31">
      <c r="A31" s="56" t="inlineStr">
        <is>
          <t>H-10</t>
        </is>
      </c>
      <c r="B31" s="56" t="inlineStr">
        <is>
          <t>F-DT-05</t>
        </is>
      </c>
      <c r="C31" s="56" t="inlineStr">
        <is>
          <t>La única fuente inventariada carece de coordenadas UTM, calidad y distancia</t>
        </is>
      </c>
      <c r="D31" s="56" t="inlineStr">
        <is>
          <t>SUSTANTIVA</t>
        </is>
      </c>
      <c r="E31" s="56" t="inlineStr">
        <is>
          <t>POR COMPLETAR con levantamiento georreferenciado; condiciona el dimensionamiento de los diques propuestos (Verificación heredada de la ficha de resumen V6.)</t>
        </is>
      </c>
    </row>
    <row r="33">
      <c r="A33" s="58" t="inlineStr">
        <is>
          <t>RESUMEN</t>
        </is>
      </c>
      <c r="B33" s="59" t="inlineStr">
        <is>
          <t>23 verificaciones</t>
        </is>
      </c>
      <c r="C33" s="59" t="inlineStr">
        <is>
          <t>SUSTANTIVA: 5 · NO SUSTANTIVA: 3 · CORREGIDO: 3 · CONFORME: 12</t>
        </is>
      </c>
    </row>
    <row r="35">
      <c r="A35"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M32B3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Uso actual dominante del suelo</t>
        </is>
      </c>
      <c r="C9" s="56" t="inlineStr">
        <is>
          <t>Forestal de protección</t>
        </is>
      </c>
      <c r="D9" s="56" t="inlineStr">
        <is>
          <t>Forestal protección</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618122</t>
        </is>
      </c>
      <c r="D13" s="56" t="inlineStr">
        <is>
          <t>m</t>
        </is>
      </c>
    </row>
    <row r="14">
      <c r="A14" s="57" t="inlineStr">
        <is>
          <t>1. Identificación y localización</t>
        </is>
      </c>
      <c r="B14" s="57" t="inlineStr">
        <is>
          <t>UTM NORTE del punto de muestreo (m)</t>
        </is>
      </c>
      <c r="C14" s="57" t="inlineStr">
        <is>
          <t>9426329</t>
        </is>
      </c>
      <c r="D14" s="57" t="inlineStr">
        <is>
          <t>m</t>
        </is>
      </c>
    </row>
    <row r="15">
      <c r="A15" s="56" t="inlineStr">
        <is>
          <t>2. Parámetros físicos del terreno</t>
        </is>
      </c>
      <c r="B15" s="56" t="inlineStr">
        <is>
          <t>Altitud GPS del punto de muestreo (msnm)</t>
        </is>
      </c>
      <c r="C15" s="56" t="inlineStr">
        <is>
          <t>215</t>
        </is>
      </c>
      <c r="D15" s="56" t="inlineStr">
        <is>
          <t>msnm</t>
        </is>
      </c>
    </row>
    <row r="16">
      <c r="A16" s="57" t="inlineStr">
        <is>
          <t>2. Parámetros físicos del terreno</t>
        </is>
      </c>
      <c r="B16" s="57" t="inlineStr">
        <is>
          <t>Piso altitudinal del punto de muestreo</t>
        </is>
      </c>
      <c r="C16" s="57" t="inlineStr">
        <is>
          <t>&lt;1000 m (Yunga)</t>
        </is>
      </c>
      <c r="D16" s="57" t="inlineStr"/>
    </row>
    <row r="17">
      <c r="A17" s="56" t="inlineStr">
        <is>
          <t>2. Parámetros físicos del terreno</t>
        </is>
      </c>
      <c r="B17" s="56" t="inlineStr">
        <is>
          <t>Paisaje dominante descrito en campo</t>
        </is>
      </c>
      <c r="C17" s="56" t="inlineStr">
        <is>
          <t>Colina media con vegetación arbórea y arbustiva levemente degradada, en el flanco suroriental del macizo del Cerro Maray, tributaria de la microcuenca C1086-Q9569 (margen derecha del río Corrales). Presencia de afloramientos rocosos dispersos. Pendiente predominante del 45% en las áreas de parcela evaluadas, con sectores superiores al 70%.</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Ligera (laminar)</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No</t>
        </is>
      </c>
      <c r="D22" s="57" t="inlineStr"/>
    </row>
    <row r="23">
      <c r="A23" s="56" t="inlineStr">
        <is>
          <t>4. Suelos y erosión (F-DT-02)</t>
        </is>
      </c>
      <c r="B23" s="56" t="inlineStr">
        <is>
          <t>Raíces expuestas</t>
        </is>
      </c>
      <c r="C23" s="56" t="inlineStr">
        <is>
          <t>No</t>
        </is>
      </c>
      <c r="D23" s="56" t="inlineStr"/>
    </row>
    <row r="24">
      <c r="A24" s="57" t="inlineStr">
        <is>
          <t>4. Suelos y erosión (F-DT-02)</t>
        </is>
      </c>
      <c r="B24" s="57" t="inlineStr">
        <is>
          <t>Erosión laminar (% del bloque)</t>
        </is>
      </c>
      <c r="C24" s="57" t="inlineStr">
        <is>
          <t>0</t>
        </is>
      </c>
      <c r="D24" s="57" t="inlineStr">
        <is>
          <t>%</t>
        </is>
      </c>
    </row>
    <row r="25">
      <c r="A25" s="56" t="inlineStr">
        <is>
          <t>4. Suelos y erosión (F-DT-02)</t>
        </is>
      </c>
      <c r="B25" s="56" t="inlineStr">
        <is>
          <t>Socavamiento de cauce</t>
        </is>
      </c>
      <c r="C25" s="56" t="inlineStr">
        <is>
          <t>No</t>
        </is>
      </c>
      <c r="D25" s="56" t="inlineStr"/>
    </row>
    <row r="26">
      <c r="A26" s="57" t="inlineStr">
        <is>
          <t>5. Ecosistema, cobertura y flora (F-DT-03)</t>
        </is>
      </c>
      <c r="B26" s="57" t="inlineStr">
        <is>
          <t>Cobertura del dosel (%)</t>
        </is>
      </c>
      <c r="C26" s="57" t="inlineStr">
        <is>
          <t>80</t>
        </is>
      </c>
      <c r="D26" s="57" t="inlineStr">
        <is>
          <t>%</t>
        </is>
      </c>
    </row>
    <row r="27">
      <c r="A27" s="56" t="inlineStr">
        <is>
          <t>5. Ecosistema, cobertura y flora (F-DT-03)</t>
        </is>
      </c>
      <c r="B27" s="56" t="inlineStr">
        <is>
          <t>Cobertura arbustiva (%)</t>
        </is>
      </c>
      <c r="C27" s="56" t="inlineStr">
        <is>
          <t>15</t>
        </is>
      </c>
      <c r="D27" s="56" t="inlineStr">
        <is>
          <t>%</t>
        </is>
      </c>
    </row>
    <row r="28">
      <c r="A28" s="57" t="inlineStr">
        <is>
          <t>5. Ecosistema, cobertura y flora (F-DT-03)</t>
        </is>
      </c>
      <c r="B28" s="57" t="inlineStr">
        <is>
          <t>Cobertura herbácea (%)</t>
        </is>
      </c>
      <c r="C28" s="57" t="inlineStr">
        <is>
          <t>20</t>
        </is>
      </c>
      <c r="D28" s="57" t="inlineStr">
        <is>
          <t>%</t>
        </is>
      </c>
    </row>
    <row r="29">
      <c r="A29" s="56" t="inlineStr">
        <is>
          <t>5. Ecosistema, cobertura y flora (F-DT-03)</t>
        </is>
      </c>
      <c r="B29" s="56" t="inlineStr">
        <is>
          <t>Cobertura de hojarasca (%)</t>
        </is>
      </c>
      <c r="C29" s="56" t="inlineStr">
        <is>
          <t>70</t>
        </is>
      </c>
      <c r="D29" s="56" t="inlineStr">
        <is>
          <t>%</t>
        </is>
      </c>
    </row>
    <row r="30">
      <c r="A30" s="57" t="inlineStr">
        <is>
          <t>5. Ecosistema, cobertura y flora (F-DT-03)</t>
        </is>
      </c>
      <c r="B30" s="57" t="inlineStr">
        <is>
          <t>Altura del estrato dominante (m)</t>
        </is>
      </c>
      <c r="C30" s="57" t="inlineStr">
        <is>
          <t>7</t>
        </is>
      </c>
      <c r="D30" s="57" t="inlineStr">
        <is>
          <t>m</t>
        </is>
      </c>
    </row>
    <row r="31">
      <c r="A31" s="56" t="inlineStr">
        <is>
          <t>5. Ecosistema, cobertura y flora (F-DT-03)</t>
        </is>
      </c>
      <c r="B31" s="56" t="inlineStr">
        <is>
          <t>Altura máxima registrada (m)</t>
        </is>
      </c>
      <c r="C31" s="56" t="inlineStr">
        <is>
          <t>10</t>
        </is>
      </c>
      <c r="D31" s="56" t="inlineStr">
        <is>
          <t>m</t>
        </is>
      </c>
    </row>
    <row r="32">
      <c r="A32" s="57" t="inlineStr">
        <is>
          <t>5. Ecosistema, cobertura y flora (F-DT-03)</t>
        </is>
      </c>
      <c r="B32" s="57" t="inlineStr">
        <is>
          <t>DAP promedio (cm)</t>
        </is>
      </c>
      <c r="C32" s="57" t="inlineStr">
        <is>
          <t>25-30</t>
        </is>
      </c>
      <c r="D32" s="57" t="inlineStr">
        <is>
          <t>cm</t>
        </is>
      </c>
    </row>
    <row r="33">
      <c r="A33" s="56" t="inlineStr">
        <is>
          <t>5. Ecosistema, cobertura y flora (F-DT-03)</t>
        </is>
      </c>
      <c r="B33" s="56" t="inlineStr">
        <is>
          <t>Presencia de epífitas</t>
        </is>
      </c>
      <c r="C33" s="56" t="inlineStr">
        <is>
          <t>No</t>
        </is>
      </c>
      <c r="D33" s="56" t="inlineStr"/>
    </row>
    <row r="34">
      <c r="A34" s="57" t="inlineStr">
        <is>
          <t>5. Ecosistema, cobertura y flora (F-DT-03)</t>
        </is>
      </c>
      <c r="B34" s="57" t="inlineStr">
        <is>
          <t>Fenología dominante</t>
        </is>
      </c>
      <c r="C34" s="57" t="inlineStr">
        <is>
          <t>Vegetativo</t>
        </is>
      </c>
      <c r="D34" s="57" t="inlineStr"/>
    </row>
    <row r="35">
      <c r="A35" s="56" t="inlineStr">
        <is>
          <t>5. Ecosistema, cobertura y flora (F-DT-03)</t>
        </is>
      </c>
      <c r="B35" s="56" t="inlineStr">
        <is>
          <t>Pendiente de la parcela (%)</t>
        </is>
      </c>
      <c r="C35" s="56" t="inlineStr">
        <is>
          <t>30</t>
        </is>
      </c>
      <c r="D35" s="56" t="inlineStr">
        <is>
          <t>%</t>
        </is>
      </c>
    </row>
    <row r="36">
      <c r="A36" s="57" t="inlineStr">
        <is>
          <t>5. Ecosistema, cobertura y flora (F-DT-03)</t>
        </is>
      </c>
      <c r="B36" s="57" t="inlineStr">
        <is>
          <t>Especies clave georreferenciadas</t>
        </is>
      </c>
      <c r="C36" s="57" t="inlineStr">
        <is>
          <t>3</t>
        </is>
      </c>
      <c r="D36" s="57" t="inlineStr"/>
    </row>
    <row r="37">
      <c r="A37" s="56" t="inlineStr">
        <is>
          <t>6. Degradación, causas y urgencia (F-DT-04)</t>
        </is>
      </c>
      <c r="B37" s="56" t="inlineStr">
        <is>
          <t>Causas directas de la degradación</t>
        </is>
      </c>
      <c r="C37" s="56" t="inlineStr">
        <is>
          <t>La población cercana requiere de leña para sus alimentos.</t>
        </is>
      </c>
      <c r="D37" s="56" t="inlineStr"/>
    </row>
    <row r="38">
      <c r="A38" s="57" t="inlineStr">
        <is>
          <t>6. Degradación, causas y urgencia (F-DT-04)</t>
        </is>
      </c>
      <c r="B38" s="57" t="inlineStr">
        <is>
          <t>N.° de causas activas en la matriz F-DT-04</t>
        </is>
      </c>
      <c r="C38" s="57" t="inlineStr">
        <is>
          <t>1</t>
        </is>
      </c>
      <c r="D38" s="57" t="inlineStr"/>
    </row>
    <row r="39">
      <c r="A39" s="56" t="inlineStr">
        <is>
          <t>7. Hidrología, acceso y logística (F-DT-05)</t>
        </is>
      </c>
      <c r="B39" s="56" t="inlineStr">
        <is>
          <t>Escorrentía concentrada</t>
        </is>
      </c>
      <c r="C39" s="56" t="inlineStr">
        <is>
          <t>No</t>
        </is>
      </c>
      <c r="D39" s="56" t="inlineStr"/>
    </row>
    <row r="40">
      <c r="A40" s="57" t="inlineStr">
        <is>
          <t>7. Hidrología, acceso y logística (F-DT-05)</t>
        </is>
      </c>
      <c r="B40" s="57" t="inlineStr">
        <is>
          <t>Fuentes de agua inventariadas</t>
        </is>
      </c>
      <c r="C40" s="57" t="inlineStr">
        <is>
          <t>1</t>
        </is>
      </c>
      <c r="D40" s="57" t="inlineStr"/>
    </row>
    <row r="41">
      <c r="A41" s="56" t="inlineStr">
        <is>
          <t>7. Hidrología, acceso y logística (F-DT-05)</t>
        </is>
      </c>
      <c r="B41" s="56" t="inlineStr">
        <is>
          <t>Distancia a captación (m)</t>
        </is>
      </c>
      <c r="C41" s="56" t="inlineStr">
        <is>
          <t>50</t>
        </is>
      </c>
      <c r="D41" s="56" t="inlineStr">
        <is>
          <t>m</t>
        </is>
      </c>
    </row>
    <row r="42">
      <c r="A42" s="57" t="inlineStr">
        <is>
          <t>7. Hidrología, acceso y logística (F-DT-05)</t>
        </is>
      </c>
      <c r="B42" s="57" t="inlineStr">
        <is>
          <t>Interferencia con riego</t>
        </is>
      </c>
      <c r="C42" s="57" t="inlineStr">
        <is>
          <t>No</t>
        </is>
      </c>
      <c r="D42" s="57" t="inlineStr"/>
    </row>
    <row r="43">
      <c r="A43" s="56" t="inlineStr">
        <is>
          <t>7. Hidrología, acceso y logística (F-DT-05)</t>
        </is>
      </c>
      <c r="B43" s="56" t="inlineStr">
        <is>
          <t>Vía principal de acceso</t>
        </is>
      </c>
      <c r="C43" s="56" t="inlineStr">
        <is>
          <t>Vía vecinal afirmada Morropón – Yamango (margen derecha del río Corrales)</t>
        </is>
      </c>
      <c r="D43" s="56" t="inlineStr"/>
    </row>
    <row r="44">
      <c r="A44" s="57" t="inlineStr">
        <is>
          <t>7. Hidrología, acceso y logística (F-DT-05)</t>
        </is>
      </c>
      <c r="B44" s="57" t="inlineStr">
        <is>
          <t>Tipo de vía del tramo final</t>
        </is>
      </c>
      <c r="C44" s="57" t="inlineStr">
        <is>
          <t>Departamental afirmada</t>
        </is>
      </c>
      <c r="D44" s="57" t="inlineStr"/>
    </row>
    <row r="45">
      <c r="A45" s="56" t="inlineStr">
        <is>
          <t>7. Hidrología, acceso y logística (F-DT-05)</t>
        </is>
      </c>
      <c r="B45" s="56" t="inlineStr">
        <is>
          <t>Transitabilidad en época seca</t>
        </is>
      </c>
      <c r="C45" s="56" t="inlineStr">
        <is>
          <t>Medio</t>
        </is>
      </c>
      <c r="D45" s="56" t="inlineStr"/>
    </row>
    <row r="46">
      <c r="A46" s="57" t="inlineStr">
        <is>
          <t>7. Hidrología, acceso y logística (F-DT-05)</t>
        </is>
      </c>
      <c r="B46" s="57" t="inlineStr">
        <is>
          <t>Transitabilidad en época lluviosa</t>
        </is>
      </c>
      <c r="C46" s="57" t="inlineStr">
        <is>
          <t>Bajo</t>
        </is>
      </c>
      <c r="D46" s="57" t="inlineStr"/>
    </row>
    <row r="47">
      <c r="A47" s="56" t="inlineStr">
        <is>
          <t>7. Hidrología, acceso y logística (F-DT-05)</t>
        </is>
      </c>
      <c r="B47" s="56" t="inlineStr">
        <is>
          <t>Tiempo a la capital distrital (min)</t>
        </is>
      </c>
      <c r="C47" s="56" t="inlineStr">
        <is>
          <t>20</t>
        </is>
      </c>
      <c r="D47" s="56" t="inlineStr">
        <is>
          <t>min</t>
        </is>
      </c>
    </row>
    <row r="48">
      <c r="A48" s="57" t="inlineStr">
        <is>
          <t>7. Hidrología, acceso y logística (F-DT-05)</t>
        </is>
      </c>
      <c r="B48" s="57" t="inlineStr">
        <is>
          <t>Señal celular</t>
        </is>
      </c>
      <c r="C48" s="57" t="inlineStr">
        <is>
          <t>Parcial</t>
        </is>
      </c>
      <c r="D48" s="57" t="inlineStr"/>
    </row>
    <row r="49">
      <c r="A49" s="56" t="inlineStr">
        <is>
          <t>7. Hidrología, acceso y logística (F-DT-05)</t>
        </is>
      </c>
      <c r="B49" s="56" t="inlineStr">
        <is>
          <t>Operador con cobertura</t>
        </is>
      </c>
      <c r="C49" s="56" t="inlineStr">
        <is>
          <t>Claro</t>
        </is>
      </c>
      <c r="D49" s="56" t="inlineStr"/>
    </row>
    <row r="50">
      <c r="A50" s="57" t="inlineStr">
        <is>
          <t>7. Hidrología, acceso y logística (F-DT-05)</t>
        </is>
      </c>
      <c r="B50" s="57" t="inlineStr">
        <is>
          <t>Alojamiento disponible en la zona</t>
        </is>
      </c>
      <c r="C50" s="57" t="inlineStr">
        <is>
          <t>Sí</t>
        </is>
      </c>
      <c r="D50" s="57" t="inlineStr"/>
    </row>
    <row r="51">
      <c r="A51" s="56" t="inlineStr">
        <is>
          <t>7. Hidrología, acceso y logística (F-DT-05)</t>
        </is>
      </c>
      <c r="B51" s="56" t="inlineStr">
        <is>
          <t>Requiere coordinación con ronda / comunidad</t>
        </is>
      </c>
      <c r="C51" s="56" t="inlineStr">
        <is>
          <t>No</t>
        </is>
      </c>
      <c r="D51" s="56" t="inlineStr"/>
    </row>
    <row r="53">
      <c r="A53" s="54" t="inlineStr">
        <is>
          <t>C. PROCEDENCIA DE LOS HECHOS DECLARADOS</t>
        </is>
      </c>
    </row>
    <row r="54">
      <c r="A54" s="55" t="inlineStr">
        <is>
          <t>Fuente</t>
        </is>
      </c>
      <c r="B54" s="55" t="inlineStr">
        <is>
          <t>Hechos</t>
        </is>
      </c>
      <c r="C54" s="55" t="inlineStr">
        <is>
          <t>Alcance de la fuente</t>
        </is>
      </c>
    </row>
    <row r="55">
      <c r="A55" s="56" t="inlineStr">
        <is>
          <t>Dato de campo</t>
        </is>
      </c>
      <c r="B55" s="56" t="n">
        <v>68</v>
      </c>
      <c r="C55" s="56" t="inlineStr">
        <is>
          <t>Verificación en campo. Fichas F-DT-01 a F-DT-05 de la Plantilla DT Campo Check Validada V5, suscritas por el evaluador.</t>
        </is>
      </c>
    </row>
    <row r="56">
      <c r="A56" s="57" t="inlineStr">
        <is>
          <t>Gabinete (GIS / teledetección)</t>
        </is>
      </c>
      <c r="B56" s="57" t="n">
        <v>24</v>
      </c>
      <c r="C56" s="57" t="inlineStr">
        <is>
          <t>Gabinete. Estadística zonal sobre el MDE y compuestos Sentinel-2 (NDVI mediana 2025, MSAVI 2024 por clase DN).</t>
        </is>
      </c>
    </row>
    <row r="57">
      <c r="A57" s="56" t="inlineStr">
        <is>
          <t>Fuente oficial</t>
        </is>
      </c>
      <c r="B57" s="56" t="n">
        <v>14</v>
      </c>
      <c r="C57" s="56" t="inlineStr">
        <is>
          <t>Fuente oficial. Catálogo maestro Bloques V5/V6, división política INEI y codificación de microcuencas de la ANA.</t>
        </is>
      </c>
    </row>
    <row r="59">
      <c r="A59" s="54" t="inlineStr">
        <is>
          <t>D. ESTADO DEL CRUCE ENTRE FUENTES</t>
        </is>
      </c>
    </row>
    <row r="60">
      <c r="A60" s="55" t="inlineStr">
        <is>
          <t>Estado</t>
        </is>
      </c>
      <c r="B60" s="55" t="inlineStr">
        <is>
          <t>Hechos</t>
        </is>
      </c>
      <c r="C60" s="55" t="inlineStr">
        <is>
          <t>Significado</t>
        </is>
      </c>
    </row>
    <row r="61">
      <c r="A61" s="56" t="inlineStr">
        <is>
          <t>CONFORME</t>
        </is>
      </c>
      <c r="B61" s="56" t="n">
        <v>104</v>
      </c>
      <c r="C61" s="56" t="inlineStr">
        <is>
          <t>Las dos fuentes declaran lo mismo, o solo la fuente que manda sobre el hecho lo declara.</t>
        </is>
      </c>
    </row>
    <row r="62">
      <c r="A62" s="57" t="inlineStr">
        <is>
          <t>COMPLEMENTADO</t>
        </is>
      </c>
      <c r="B62" s="57" t="n">
        <v>1</v>
      </c>
      <c r="C62" s="57" t="inlineStr">
        <is>
          <t>Solo una de las fuentes lo declara y se adopta ese valor.</t>
        </is>
      </c>
    </row>
    <row r="63">
      <c r="A63" s="56" t="inlineStr">
        <is>
          <t>ACTUALIZADO</t>
        </is>
      </c>
      <c r="B63" s="56" t="n">
        <v>1</v>
      </c>
      <c r="C63" s="56" t="inlineStr">
        <is>
          <t>La verificación de campo vigente corrige lo que traía el libro de resumen.</t>
        </is>
      </c>
    </row>
    <row r="64">
      <c r="A64" s="57" t="inlineStr">
        <is>
          <t>DISCREPANTE</t>
        </is>
      </c>
      <c r="B64" s="57" t="n">
        <v>0</v>
      </c>
      <c r="C64" s="57" t="inlineStr">
        <is>
          <t>Las fuentes se contradicen; prevalece la que manda sobre el hecho y la otra queda declarada.</t>
        </is>
      </c>
    </row>
    <row r="65">
      <c r="A65" s="56" t="inlineStr">
        <is>
          <t>PENDIENTE</t>
        </is>
      </c>
      <c r="B65" s="56" t="n">
        <v>8</v>
      </c>
      <c r="C6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M32B3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Charán</t>
        </is>
      </c>
      <c r="C13" s="56" t="inlineStr">
        <is>
          <t>Caesalpinia paipai</t>
        </is>
      </c>
      <c r="D13" s="56" t="inlineStr">
        <is>
          <t>Fabaceae</t>
        </is>
      </c>
      <c r="E13" s="56" t="inlineStr"/>
      <c r="F13" s="56" t="inlineStr">
        <is>
          <t>Nativa</t>
        </is>
      </c>
      <c r="G13" s="56" t="inlineStr"/>
      <c r="H13" s="56" t="n"/>
      <c r="I13" s="56" t="n"/>
    </row>
    <row r="14">
      <c r="A14" s="57" t="inlineStr">
        <is>
          <t>2</t>
        </is>
      </c>
      <c r="B14" s="57" t="inlineStr">
        <is>
          <t>Faique</t>
        </is>
      </c>
      <c r="C14" s="57" t="inlineStr">
        <is>
          <t>Vachellia macracantha</t>
        </is>
      </c>
      <c r="D14" s="57" t="inlineStr">
        <is>
          <t>Fabaceae</t>
        </is>
      </c>
      <c r="E14" s="57" t="inlineStr"/>
      <c r="F14" s="57" t="inlineStr">
        <is>
          <t>Nativa</t>
        </is>
      </c>
      <c r="G14" s="57" t="inlineStr"/>
      <c r="H14" s="57" t="n"/>
      <c r="I14" s="57" t="n"/>
    </row>
    <row r="15">
      <c r="A15" s="56" t="inlineStr">
        <is>
          <t>3</t>
        </is>
      </c>
      <c r="B15" s="56" t="inlineStr">
        <is>
          <t>Algarrobo</t>
        </is>
      </c>
      <c r="C15" s="56" t="inlineStr">
        <is>
          <t>Neltuma pallida</t>
        </is>
      </c>
      <c r="D15" s="56" t="inlineStr">
        <is>
          <t>Fabaceae</t>
        </is>
      </c>
      <c r="E15" s="56" t="inlineStr"/>
      <c r="F15" s="56" t="inlineStr">
        <is>
          <t>Nativa</t>
        </is>
      </c>
      <c r="G15" s="56" t="inlineStr"/>
      <c r="H15" s="56" t="n"/>
      <c r="I15" s="56" t="n"/>
    </row>
    <row r="16">
      <c r="A16" s="57" t="inlineStr">
        <is>
          <t>4</t>
        </is>
      </c>
      <c r="B16" s="57" t="inlineStr">
        <is>
          <t>Pate</t>
        </is>
      </c>
      <c r="C16" s="57" t="inlineStr">
        <is>
          <t>Eriotheca ruizii</t>
        </is>
      </c>
      <c r="D16" s="57" t="inlineStr">
        <is>
          <t>Malvaceae</t>
        </is>
      </c>
      <c r="E16" s="57" t="inlineStr"/>
      <c r="F16" s="57" t="inlineStr">
        <is>
          <t>Nativa</t>
        </is>
      </c>
      <c r="G16" s="57" t="inlineStr"/>
      <c r="H16" s="57" t="n"/>
      <c r="I16" s="57" t="n"/>
    </row>
    <row r="17">
      <c r="A17" s="56" t="inlineStr">
        <is>
          <t>5</t>
        </is>
      </c>
      <c r="B17" s="56" t="inlineStr">
        <is>
          <t>Palo santo</t>
        </is>
      </c>
      <c r="C17" s="56" t="inlineStr">
        <is>
          <t>Bursera graveolens</t>
        </is>
      </c>
      <c r="D17" s="56" t="inlineStr">
        <is>
          <t>Burseraceae</t>
        </is>
      </c>
      <c r="E17" s="56" t="inlineStr"/>
      <c r="F17" s="56" t="inlineStr">
        <is>
          <t>Nativa</t>
        </is>
      </c>
      <c r="G17" s="56" t="inlineStr"/>
      <c r="H17" s="56" t="n"/>
      <c r="I17" s="56" t="n"/>
    </row>
    <row r="19">
      <c r="A19" s="54" t="inlineStr">
        <is>
          <t>F-DT-03 · ESPECIES CLAVE GEORREFERENCIADAS</t>
        </is>
      </c>
    </row>
    <row r="20">
      <c r="A20" s="55" t="inlineStr">
        <is>
          <t>N.o</t>
        </is>
      </c>
      <c r="B20" s="55" t="inlineStr">
        <is>
          <t>Especie</t>
        </is>
      </c>
      <c r="C20" s="55" t="inlineStr">
        <is>
          <t>Categoría</t>
        </is>
      </c>
      <c r="D20" s="55" t="inlineStr">
        <is>
          <t>Estado UICN</t>
        </is>
      </c>
      <c r="E20" s="55" t="inlineStr">
        <is>
          <t>UTM ESTE</t>
        </is>
      </c>
      <c r="F20" s="55" t="inlineStr">
        <is>
          <t>UTM NORTE</t>
        </is>
      </c>
      <c r="G20" s="55" t="inlineStr">
        <is>
          <t>N.° individuos</t>
        </is>
      </c>
      <c r="H20" s="55" t="inlineStr">
        <is>
          <t>Observación</t>
        </is>
      </c>
    </row>
    <row r="21">
      <c r="A21" s="56" t="inlineStr">
        <is>
          <t>1</t>
        </is>
      </c>
      <c r="B21" s="56" t="inlineStr">
        <is>
          <t>Palo santo (Bursera graveolens)</t>
        </is>
      </c>
      <c r="C21" s="56" t="inlineStr">
        <is>
          <t>Amenazada (D.S. 043-2006-AG)</t>
        </is>
      </c>
      <c r="D21" s="56" t="inlineStr">
        <is>
          <t>NT — Casi Amenazado</t>
        </is>
      </c>
      <c r="E21" s="56" t="n"/>
      <c r="F21" s="56" t="n"/>
      <c r="G21" s="56" t="n"/>
      <c r="H21" s="56" t="inlineStr">
        <is>
          <t>Registrada entre las especies dominantes del bloque (ficha F-EE-05).</t>
        </is>
      </c>
    </row>
    <row r="22">
      <c r="A22" s="57" t="inlineStr">
        <is>
          <t>2</t>
        </is>
      </c>
      <c r="B22" s="57" t="inlineStr">
        <is>
          <t>Charán (Caesalpinia paipai)</t>
        </is>
      </c>
      <c r="C22" s="57" t="inlineStr">
        <is>
          <t>Indicadora de buen estado</t>
        </is>
      </c>
      <c r="D22" s="57" t="inlineStr">
        <is>
          <t>No aplica</t>
        </is>
      </c>
      <c r="E22" s="57" t="n"/>
      <c r="F22" s="57" t="n"/>
      <c r="G22" s="57" t="n"/>
      <c r="H22" s="57" t="inlineStr">
        <is>
          <t>Primera especie citada en el registro de campo; dominante del estrato arbóreo.</t>
        </is>
      </c>
    </row>
    <row r="23">
      <c r="A23" s="56" t="inlineStr">
        <is>
          <t>3</t>
        </is>
      </c>
      <c r="B23" s="56" t="inlineStr">
        <is>
          <t>Algarrobo (Neltuma pallida)</t>
        </is>
      </c>
      <c r="C23" s="56" t="inlineStr">
        <is>
          <t>Clave cultural</t>
        </is>
      </c>
      <c r="D23" s="56" t="inlineStr">
        <is>
          <t>No aplica</t>
        </is>
      </c>
      <c r="E23" s="56" t="n"/>
      <c r="F23" s="56" t="n"/>
      <c r="G23" s="56" t="n"/>
      <c r="H23" s="56" t="inlineStr">
        <is>
          <t>Especie prioritaria para la revegetación enriquecida propuesta.</t>
        </is>
      </c>
    </row>
    <row r="25">
      <c r="A25" s="54" t="inlineStr">
        <is>
          <t>F-DT-04 · MATRIZ DE CAUSAS DE DEGRADACIÓN</t>
        </is>
      </c>
    </row>
    <row r="26">
      <c r="A26" s="55" t="inlineStr">
        <is>
          <t>N.o</t>
        </is>
      </c>
      <c r="B26" s="55" t="inlineStr">
        <is>
          <t>Causa</t>
        </is>
      </c>
      <c r="C26" s="55" t="inlineStr">
        <is>
          <t>Presencia</t>
        </is>
      </c>
      <c r="D26" s="55" t="inlineStr">
        <is>
          <t>Intensidad</t>
        </is>
      </c>
      <c r="E26" s="55" t="inlineStr">
        <is>
          <t>Extensión</t>
        </is>
      </c>
      <c r="F26" s="55" t="inlineStr">
        <is>
          <t>Antigüedad</t>
        </is>
      </c>
      <c r="G26" s="55" t="inlineStr">
        <is>
          <t>Evidencia</t>
        </is>
      </c>
    </row>
    <row r="27">
      <c r="A27" s="56" t="inlineStr">
        <is>
          <t>1</t>
        </is>
      </c>
      <c r="B27" s="56" t="inlineStr">
        <is>
          <t>Sobrepastoreo (caprino/vacuno)</t>
        </is>
      </c>
      <c r="C27" s="56" t="inlineStr">
        <is>
          <t>No</t>
        </is>
      </c>
      <c r="D27" s="56" t="inlineStr"/>
      <c r="E27" s="56" t="inlineStr"/>
      <c r="F27" s="56" t="inlineStr"/>
      <c r="G27" s="56" t="inlineStr"/>
    </row>
    <row r="28">
      <c r="A28" s="57" t="inlineStr">
        <is>
          <t>2</t>
        </is>
      </c>
      <c r="B28" s="57" t="inlineStr">
        <is>
          <t>Tala para leña</t>
        </is>
      </c>
      <c r="C28" s="57" t="inlineStr">
        <is>
          <t>Sí</t>
        </is>
      </c>
      <c r="D28" s="57" t="inlineStr"/>
      <c r="E28" s="57" t="inlineStr"/>
      <c r="F28" s="57" t="inlineStr"/>
      <c r="G28" s="57" t="inlineStr">
        <is>
          <t>Extracción de leña por la población cercana de Maray para preparación de alimentos; intensidad baja según el entregable.</t>
        </is>
      </c>
    </row>
    <row r="29">
      <c r="A29" s="56" t="inlineStr">
        <is>
          <t>3</t>
        </is>
      </c>
      <c r="B29" s="56" t="inlineStr">
        <is>
          <t>Tala para carbón</t>
        </is>
      </c>
      <c r="C29" s="56" t="inlineStr">
        <is>
          <t>No</t>
        </is>
      </c>
      <c r="D29" s="56" t="inlineStr"/>
      <c r="E29" s="56" t="inlineStr"/>
      <c r="F29" s="56" t="inlineStr"/>
      <c r="G29" s="56" t="inlineStr"/>
    </row>
    <row r="30">
      <c r="A30" s="57" t="inlineStr">
        <is>
          <t>4</t>
        </is>
      </c>
      <c r="B30" s="57" t="inlineStr">
        <is>
          <t>Tala para madera</t>
        </is>
      </c>
      <c r="C30" s="57" t="inlineStr">
        <is>
          <t>No</t>
        </is>
      </c>
      <c r="D30" s="57" t="inlineStr"/>
      <c r="E30" s="57" t="inlineStr"/>
      <c r="F30" s="57" t="inlineStr"/>
      <c r="G30" s="57" t="inlineStr"/>
    </row>
    <row r="31">
      <c r="A31" s="56" t="inlineStr">
        <is>
          <t>5</t>
        </is>
      </c>
      <c r="B31" s="56" t="inlineStr">
        <is>
          <t>Quema (renovación de pastos)</t>
        </is>
      </c>
      <c r="C31" s="56" t="inlineStr">
        <is>
          <t>No</t>
        </is>
      </c>
      <c r="D31" s="56" t="inlineStr"/>
      <c r="E31" s="56" t="inlineStr"/>
      <c r="F31" s="56" t="inlineStr"/>
      <c r="G31" s="56" t="inlineStr"/>
    </row>
    <row r="32">
      <c r="A32" s="57" t="inlineStr">
        <is>
          <t>6</t>
        </is>
      </c>
      <c r="B32" s="57" t="inlineStr">
        <is>
          <t>Quema accidental / Incendio</t>
        </is>
      </c>
      <c r="C32" s="57" t="inlineStr">
        <is>
          <t>No</t>
        </is>
      </c>
      <c r="D32" s="57" t="inlineStr"/>
      <c r="E32" s="57" t="inlineStr"/>
      <c r="F32" s="57" t="inlineStr"/>
      <c r="G32" s="57" t="inlineStr"/>
    </row>
    <row r="33">
      <c r="A33" s="56" t="inlineStr">
        <is>
          <t>7</t>
        </is>
      </c>
      <c r="B33" s="56" t="inlineStr">
        <is>
          <t>Cambio de uso a agricultura</t>
        </is>
      </c>
      <c r="C33" s="56" t="inlineStr">
        <is>
          <t>No</t>
        </is>
      </c>
      <c r="D33" s="56" t="inlineStr"/>
      <c r="E33" s="56" t="inlineStr"/>
      <c r="F33" s="56" t="inlineStr"/>
      <c r="G33" s="56" t="inlineStr"/>
    </row>
    <row r="34">
      <c r="A34" s="57" t="inlineStr">
        <is>
          <t>8</t>
        </is>
      </c>
      <c r="B34" s="57" t="inlineStr">
        <is>
          <t>Cambio de uso a pastoreo</t>
        </is>
      </c>
      <c r="C34" s="57" t="inlineStr">
        <is>
          <t>No</t>
        </is>
      </c>
      <c r="D34" s="57" t="inlineStr"/>
      <c r="E34" s="57" t="inlineStr"/>
      <c r="F34" s="57" t="inlineStr"/>
      <c r="G34" s="57" t="inlineStr"/>
    </row>
    <row r="35">
      <c r="A35" s="56" t="inlineStr">
        <is>
          <t>9</t>
        </is>
      </c>
      <c r="B35" s="56" t="inlineStr">
        <is>
          <t>Expansión urbana / vial</t>
        </is>
      </c>
      <c r="C35" s="56" t="inlineStr">
        <is>
          <t>No</t>
        </is>
      </c>
      <c r="D35" s="56" t="inlineStr"/>
      <c r="E35" s="56" t="inlineStr"/>
      <c r="F35" s="56" t="inlineStr"/>
      <c r="G35" s="56" t="inlineStr"/>
    </row>
    <row r="36">
      <c r="A36" s="57" t="inlineStr">
        <is>
          <t>10</t>
        </is>
      </c>
      <c r="B36" s="57" t="inlineStr">
        <is>
          <t>Minería informal</t>
        </is>
      </c>
      <c r="C36" s="57" t="inlineStr">
        <is>
          <t>No</t>
        </is>
      </c>
      <c r="D36" s="57" t="inlineStr"/>
      <c r="E36" s="57" t="inlineStr"/>
      <c r="F36" s="57" t="inlineStr"/>
      <c r="G36" s="57" t="inlineStr"/>
    </row>
    <row r="37">
      <c r="A37" s="56" t="inlineStr">
        <is>
          <t>11</t>
        </is>
      </c>
      <c r="B37" s="56" t="inlineStr">
        <is>
          <t>Extracción de áridos (cauces)</t>
        </is>
      </c>
      <c r="C37" s="56" t="inlineStr">
        <is>
          <t>No</t>
        </is>
      </c>
      <c r="D37" s="56" t="inlineStr"/>
      <c r="E37" s="56" t="inlineStr"/>
      <c r="F37" s="56" t="inlineStr"/>
      <c r="G37" s="56" t="inlineStr"/>
    </row>
    <row r="38">
      <c r="A38" s="57" t="inlineStr">
        <is>
          <t>12</t>
        </is>
      </c>
      <c r="B38" s="57" t="inlineStr">
        <is>
          <t>Especies invasoras</t>
        </is>
      </c>
      <c r="C38" s="57" t="inlineStr">
        <is>
          <t>No</t>
        </is>
      </c>
      <c r="D38" s="57" t="inlineStr"/>
      <c r="E38" s="57" t="inlineStr"/>
      <c r="F38" s="57" t="inlineStr"/>
      <c r="G38" s="57" t="inlineStr"/>
    </row>
    <row r="39">
      <c r="A39" s="56" t="inlineStr">
        <is>
          <t>13</t>
        </is>
      </c>
      <c r="B39" s="56" t="inlineStr">
        <is>
          <t>Erosión natural severa</t>
        </is>
      </c>
      <c r="C39" s="56" t="inlineStr">
        <is>
          <t>No</t>
        </is>
      </c>
      <c r="D39" s="56" t="inlineStr"/>
      <c r="E39" s="56" t="inlineStr"/>
      <c r="F39" s="56" t="inlineStr"/>
      <c r="G39" s="56" t="inlineStr"/>
    </row>
    <row r="40">
      <c r="A40" s="57" t="inlineStr">
        <is>
          <t>14</t>
        </is>
      </c>
      <c r="B40" s="57" t="inlineStr">
        <is>
          <t>Sequía prolongada / CC</t>
        </is>
      </c>
      <c r="C40" s="57" t="inlineStr">
        <is>
          <t>No</t>
        </is>
      </c>
      <c r="D40" s="57" t="inlineStr"/>
      <c r="E40" s="57" t="inlineStr"/>
      <c r="F40" s="57" t="inlineStr"/>
      <c r="G40" s="57" t="inlineStr"/>
    </row>
    <row r="41">
      <c r="A41" s="56" t="inlineStr">
        <is>
          <t>15</t>
        </is>
      </c>
      <c r="B41" s="56" t="inlineStr">
        <is>
          <t>Plagas o enfermedades forestales</t>
        </is>
      </c>
      <c r="C41" s="56" t="inlineStr">
        <is>
          <t>No</t>
        </is>
      </c>
      <c r="D41" s="56" t="inlineStr"/>
      <c r="E41" s="56" t="inlineStr"/>
      <c r="F41" s="56" t="inlineStr"/>
      <c r="G41" s="56" t="inlineStr"/>
    </row>
    <row r="42">
      <c r="A42" s="57" t="inlineStr">
        <is>
          <t>16</t>
        </is>
      </c>
      <c r="B42" s="57" t="inlineStr">
        <is>
          <t>Otro</t>
        </is>
      </c>
      <c r="C42" s="57" t="inlineStr">
        <is>
          <t>No</t>
        </is>
      </c>
      <c r="D42" s="57" t="inlineStr"/>
      <c r="E42" s="57" t="inlineStr"/>
      <c r="F42" s="57" t="inlineStr"/>
      <c r="G42" s="57" t="inlineStr"/>
    </row>
    <row r="44">
      <c r="A44" s="54" t="inlineStr">
        <is>
          <t>F-DT-04 · INDICADORES CUANTITATIVOS</t>
        </is>
      </c>
    </row>
    <row r="45">
      <c r="A45" s="55" t="inlineStr">
        <is>
          <t>N.o</t>
        </is>
      </c>
      <c r="B45" s="55" t="inlineStr">
        <is>
          <t>Indicador</t>
        </is>
      </c>
      <c r="C45" s="55" t="inlineStr">
        <is>
          <t>Unidad</t>
        </is>
      </c>
      <c r="D45" s="55" t="inlineStr">
        <is>
          <t>Valor</t>
        </is>
      </c>
      <c r="E45" s="55" t="inlineStr">
        <is>
          <t>Fuente</t>
        </is>
      </c>
      <c r="F45" s="55" t="inlineStr">
        <is>
          <t>Umbral</t>
        </is>
      </c>
      <c r="G45" s="55" t="inlineStr">
        <is>
          <t>Nivel</t>
        </is>
      </c>
    </row>
    <row r="46">
      <c r="A46" s="56" t="inlineStr">
        <is>
          <t>1</t>
        </is>
      </c>
      <c r="B46" s="56" t="inlineStr">
        <is>
          <t>Cobertura vegetal total</t>
        </is>
      </c>
      <c r="C46" s="56" t="inlineStr">
        <is>
          <t>%</t>
        </is>
      </c>
      <c r="D46" s="56" t="inlineStr">
        <is>
          <t>90</t>
        </is>
      </c>
      <c r="E46" s="56" t="inlineStr">
        <is>
          <t>Estimación visual de campo</t>
        </is>
      </c>
      <c r="F46" s="56" t="inlineStr">
        <is>
          <t>&gt;60% bueno; 30-60% medio; &lt;30% malo</t>
        </is>
      </c>
      <c r="G46" s="56" t="inlineStr"/>
    </row>
    <row r="47">
      <c r="A47" s="57" t="inlineStr">
        <is>
          <t>2</t>
        </is>
      </c>
      <c r="B47" s="57" t="inlineStr">
        <is>
          <t>Porcentaje de suelo desnudo</t>
        </is>
      </c>
      <c r="C47" s="57" t="inlineStr">
        <is>
          <t>%</t>
        </is>
      </c>
      <c r="D47" s="57" t="inlineStr">
        <is>
          <t>5</t>
        </is>
      </c>
      <c r="E47" s="57" t="inlineStr">
        <is>
          <t>Estimación visual de campo</t>
        </is>
      </c>
      <c r="F47" s="57" t="inlineStr">
        <is>
          <t>&lt;10% bueno; 10-30% medio; &gt;30% malo</t>
        </is>
      </c>
      <c r="G47" s="57" t="inlineStr"/>
    </row>
    <row r="48">
      <c r="A48" s="56" t="inlineStr">
        <is>
          <t>3</t>
        </is>
      </c>
      <c r="B48" s="56" t="inlineStr">
        <is>
          <t>Densidad de cárcavas</t>
        </is>
      </c>
      <c r="C48" s="56" t="inlineStr">
        <is>
          <t>N°/ha</t>
        </is>
      </c>
      <c r="D48" s="56" t="inlineStr"/>
      <c r="E48" s="56" t="inlineStr"/>
      <c r="F48" s="56" t="inlineStr">
        <is>
          <t>0 nulo; 1-3 medio; &gt;3 alto</t>
        </is>
      </c>
      <c r="G48" s="56" t="inlineStr"/>
    </row>
    <row r="49">
      <c r="A49" s="57" t="inlineStr">
        <is>
          <t>4</t>
        </is>
      </c>
      <c r="B49" s="57" t="inlineStr">
        <is>
          <t>Presencia de especies invasoras</t>
        </is>
      </c>
      <c r="C49" s="57" t="inlineStr">
        <is>
          <t>% área</t>
        </is>
      </c>
      <c r="D49" s="57" t="inlineStr"/>
      <c r="E49" s="57" t="inlineStr"/>
      <c r="F49" s="57" t="inlineStr">
        <is>
          <t>&lt;5% bueno; 5-20% medio; &gt;20% alto</t>
        </is>
      </c>
      <c r="G49" s="57" t="inlineStr"/>
    </row>
    <row r="50">
      <c r="A50" s="56" t="inlineStr">
        <is>
          <t>5</t>
        </is>
      </c>
      <c r="B50" s="56" t="inlineStr">
        <is>
          <t>Carga ganadera estimada</t>
        </is>
      </c>
      <c r="C50" s="56" t="inlineStr">
        <is>
          <t>UA/ha</t>
        </is>
      </c>
      <c r="D50" s="56" t="inlineStr"/>
      <c r="E50" s="56" t="inlineStr"/>
      <c r="F50" s="56" t="inlineStr">
        <is>
          <t>Según tipo de ecosistema</t>
        </is>
      </c>
      <c r="G50" s="56" t="inlineStr"/>
    </row>
    <row r="51">
      <c r="A51" s="57" t="inlineStr">
        <is>
          <t>6</t>
        </is>
      </c>
      <c r="B51" s="57" t="inlineStr">
        <is>
          <t>Frecuencia de quemas últimos 5 años</t>
        </is>
      </c>
      <c r="C51" s="57" t="inlineStr">
        <is>
          <t>N°</t>
        </is>
      </c>
      <c r="D51" s="57" t="inlineStr"/>
      <c r="E51" s="57" t="inlineStr"/>
      <c r="F51" s="57" t="inlineStr">
        <is>
          <t>0 nulo; 1-2 medio; &gt;2 alto</t>
        </is>
      </c>
      <c r="G51" s="57" t="inlineStr"/>
    </row>
    <row r="52">
      <c r="A52" s="56" t="inlineStr">
        <is>
          <t>7</t>
        </is>
      </c>
      <c r="B52" s="56" t="inlineStr">
        <is>
          <t>% área con pendiente &gt;50%</t>
        </is>
      </c>
      <c r="C52" s="56" t="inlineStr">
        <is>
          <t>%</t>
        </is>
      </c>
      <c r="D52" s="56" t="inlineStr">
        <is>
          <t>15</t>
        </is>
      </c>
      <c r="E52" s="56" t="inlineStr">
        <is>
          <t>Estimación visual de campo</t>
        </is>
      </c>
      <c r="F52" s="56" t="inlineStr">
        <is>
          <t>Factor de susceptibilidad</t>
        </is>
      </c>
      <c r="G52" s="56" t="inlineStr"/>
    </row>
    <row r="53">
      <c r="A53" s="57" t="inlineStr">
        <is>
          <t>8</t>
        </is>
      </c>
      <c r="B53" s="57" t="inlineStr">
        <is>
          <t>Distancia a vía vecinal más cercana</t>
        </is>
      </c>
      <c r="C53" s="57" t="inlineStr">
        <is>
          <t>m</t>
        </is>
      </c>
      <c r="D53" s="57" t="inlineStr">
        <is>
          <t>50</t>
        </is>
      </c>
      <c r="E53" s="57" t="inlineStr">
        <is>
          <t>Estimación visual de campo</t>
        </is>
      </c>
      <c r="F53" s="57" t="inlineStr">
        <is>
          <t>A menor distancia → mayor presión</t>
        </is>
      </c>
      <c r="G53" s="57" t="inlineStr"/>
    </row>
    <row r="55">
      <c r="A55" s="54" t="inlineStr">
        <is>
          <t>F-DT-05 · FUENTES DE AGUA INVENTARIADAS</t>
        </is>
      </c>
    </row>
    <row r="56">
      <c r="A56" s="55" t="inlineStr">
        <is>
          <t>N.o</t>
        </is>
      </c>
      <c r="B56" s="55" t="inlineStr">
        <is>
          <t>Tipo de fuente</t>
        </is>
      </c>
      <c r="C56" s="55" t="inlineStr">
        <is>
          <t>UTM ESTE</t>
        </is>
      </c>
      <c r="D56" s="55" t="inlineStr">
        <is>
          <t>UTM NORTE</t>
        </is>
      </c>
      <c r="E56" s="55" t="inlineStr">
        <is>
          <t>Régimen</t>
        </is>
      </c>
      <c r="F56" s="55" t="inlineStr">
        <is>
          <t>Calidad</t>
        </is>
      </c>
      <c r="G56" s="55" t="inlineStr">
        <is>
          <t>Distancia (m)</t>
        </is>
      </c>
      <c r="H56" s="55" t="inlineStr">
        <is>
          <t>Uso / observación</t>
        </is>
      </c>
    </row>
    <row r="57">
      <c r="A57" s="56" t="inlineStr">
        <is>
          <t>1</t>
        </is>
      </c>
      <c r="B57" s="56" t="inlineStr">
        <is>
          <t>Quebrada estacional</t>
        </is>
      </c>
      <c r="C57" s="56" t="n"/>
      <c r="D57" s="56" t="n"/>
      <c r="E57" s="56" t="inlineStr">
        <is>
          <t>Estacional (lluvias)</t>
        </is>
      </c>
      <c r="F57" s="56" t="inlineStr"/>
      <c r="G57" s="56" t="n"/>
      <c r="H57" s="56" t="inlineStr">
        <is>
          <t>Quebrada estacional inactiva al momento de la visita; se activa en temporada de lluvias. Coordenadas no registradas.</t>
        </is>
      </c>
    </row>
    <row r="60">
      <c r="A60" s="54" t="inlineStr">
        <is>
          <t>OBSERVACIONES DEL EVALUADOR POR FICHA</t>
        </is>
      </c>
    </row>
    <row r="61">
      <c r="A61" s="55" t="inlineStr">
        <is>
          <t>Ficha</t>
        </is>
      </c>
      <c r="B61" s="55" t="inlineStr">
        <is>
          <t>Observación registrada en campo</t>
        </is>
      </c>
    </row>
    <row r="62">
      <c r="A62" s="56" t="inlineStr">
        <is>
          <t>F-DT-01</t>
        </is>
      </c>
      <c r="B62" s="56" t="inlineStr">
        <is>
          <t>Registro de campo (06-05-2026, 12:05 h, Ing. Juan Carlos Domínguez Varas e Ing. Héctor S. Cahuas Miller; condiciones climáticas despejadas, avance físico de la verificación COMPLETO, sin desviaciones al plan de trabajo; liberación social previa realizada): existe una reducida área en una zona con pendiente alta que ha sufrido un DESLIZAMIENTO Y HA DEJADO EL SUELO EXPUESTO; además, en algunos tramos existen quebradas por donde desfoga el agua de las laderas formando surcos, pero en un área FUERA del bloque. || HALLAZGO DE RIESGO: el bloque registra REMOCIÓN EN MASA ACTIVA como proceso puntual en una porción reducida del polígono, con pendiente alta. Es el único de los cinco bloques del paquete con un proceso de remoción en masa activo verificado en campo. La ficha F-EE-05 lo consigna como peligro observado: 'MM en una porción reducida del bloque'. La pendiente del 45% en sectores específicos requiere especial atención en el diseño de medidas de control de erosión, priorizando soluciones basadas en vegetación con especies de raíz profunda y anclaje efectivo. No se evidencian escarpes activos ni reptación de suelos. || GABINETE (DEM): rango altitudinal 184–438 msnm; pendiente promedio del bloque 18.79% (clase 15–25%). El rango de campo (25–50%) y la pendiente predominante registrada (45%) corresponden a los sectores de ladera efectivamente recorridos. || INCONSISTENCIAS DE REGISTRO: (1) el campo 'Altitud GPS' del formato consigna el valor 50.9720, que corresponde al área del bloque en hectáreas y no a una altitud; se consigna en su lugar la altitud de 215 msnm registrada en la ficha F-EE-05 del mismo punto y fecha. (2) El Segundo Entregable [E2] indica una altitud GPS de 180 m para el mismo bloque; diferencia de 35 m POR CONCILIAR. || FACTORES LIMITANTES [E1]: se identificaron DOS factores que condicionan la delimitación final. (a) FACTOR ANTRÓPICO — la tala para leña por parte de la población cercana de Maray sugiere la necesidad de delimitar subáreas según el nivel de presión (baja para conservación, media para restauración activa); en caso de mayor presión, esas áreas podrían excluirse. (b) FACTOR EXTERNO TOPOGRÁFICO — pendientes mayores al 45% en sectores, en particular las mayores al 70%; se recomienda EXCLUIR del bloque las zonas con pendientes superiores al 70% para evitar riesgos operativos y garantizar la viabilidad de las intervenciones. La quebrada estacional inactiva registrada dentro del bloque no constituye una limitante. No se reportaron conflictos de tenencia. Acceso vehicular más caminata menor a 30 minutos: no limita. || PARÁMETROS GEOESPACIALES DEL BLOQUE (gabinete): rango altitudinal 184–438 msnm; pendiente promedio 18.79%; MSAVI medio 2024 = 0.3852; área 50.97 ha; microcuenca C1086-Q9569; zona Z05; centroide E 618,248 / N 9,426,493 (UTM WGS84 17S).</t>
        </is>
      </c>
    </row>
    <row r="63">
      <c r="A63" s="57" t="inlineStr">
        <is>
          <t>F-DT-02</t>
        </is>
      </c>
      <c r="B63" s="57" t="inlineStr">
        <is>
          <t>Registro de campo [E1]: se evidenció la formación de surcos al pie de la ladera, en un área FUERA del bloque. DENTRO del bloque, la vegetación cumple una función amortiguadora que impide la formación de surcos o cárcavas, lo que demuestra el valor de la cobertura vegetal existente como INFRAESTRUCTURA NATURAL EN FUNCIONAMIENTO. El nivel general de erosión es ligero (laminar), sin sellamiento superficial, compactación por pisoteo ni raíces expuestas. No se registraron cárcavas en el área evaluada dentro del bloque; erosión laminar registrada en 0%. No se observa socavamiento de cauce. La urgencia de control se califica como baja. || No obstante, la ficha F-EE-05 del mismo bloque y fecha consigna 'Presencia de cárcavas/surcos: Sí', en referencia a los surcos observados al pie de la ladera, fuera del polígono. Se deja constancia de la aparente contradicción entre formatos, que se resuelve por la ubicación (dentro/fuera del bloque). || Los campos de longitud total, porcentaje del bloque afectado y patrón de cárcavas no fueron consignados por ser inaplicables (cero cárcavas dentro del bloque); se dejan vacíos. || POR VERIFICAR: caracterización y georreferenciación del área con remoción en masa activa (suelo expuesto), no levantada.</t>
        </is>
      </c>
    </row>
    <row r="64">
      <c r="A64" s="56" t="inlineStr">
        <is>
          <t>F-DT-04</t>
        </is>
      </c>
      <c r="B64" s="56" t="inlineStr">
        <is>
          <t>Registro de campo [E1]: 'A pesar de conservar su vegetación, el bloque sufre una presión mínima para leña'. La TALA PARA LEÑA es la única causa de degradación presente de las 16 evaluadas, con intensidad baja, siendo la principal presión antrópica sobre el bloque. La velocidad de degradación se clasifica como lenta, la reversibilidad técnica es total y la urgencia de intervención es baja. La ficha F-EE-05 registra evidencia de degradación: SÍ, de tipo DEFORESTACIÓN, con nivel 1 de 5. || VACÍOS DEL LEVANTAMIENTO: para la causa 2 (tala para leña) no se consignaron intensidad, extensión (% del bloque) ni antigüedad; los indicadores 3, 4, 5 y 6 no fueron valorados; los indicadores 1, 2, 7 y 8 fueron registrados con valor pero SIN CALIFICACIÓN DE NIVEL. POR COMPLETAR — la extensión de la tala para leña es el dato crítico para la delimitación de subáreas recomendada por el propio entregable. || OBSERVACIÓN TÉCNICA SESDI: el indicador 1 registra 90% de cobertura vegetal total, mientras que F-DT-03 consigna 80%; conciliar. El análisis MSAVI 2024 muestra que el tercio suroccidental del bloque, entre la cota 200 y la vía vecinal —coincidente con el sector de viviendas dispersas de Maray—, concentra píxeles de la clase ≤0.2650, lo que es consistente con la presión de extracción de leña de proximidad identificada en campo y sustenta espacialmente la recomendación de delimitar subáreas.</t>
        </is>
      </c>
    </row>
    <row r="65">
      <c r="A65" s="57" t="inlineStr">
        <is>
          <t>F-DT-05</t>
        </is>
      </c>
      <c r="B65" s="57" t="inlineStr">
        <is>
          <t>Registro de campo [E1]: se observan quebradas estacionales INACTIVAS al momento de la visita, que se activan solo en temporada de lluvias. No se identificaron zonas de recarga hídrica activa, humedad persistente ni escorrentía concentrada dentro del bloque. No hay interferencia con obras de riego. Distancia a la captación poblacional más cercana: 50 m — el valor más bajo de los cinco bloques del paquete, lo que exige verificar la naturaleza de esa captación y su relación funcional con el bloque. || Se registró una fuente en el inventario (quebrada estacional) SIN coordenadas UTM, calidad aparente ni distancia. POR COMPLETAR con levantamiento georreferenciado; el entregable propone diques de piedra rústicos aguas arriba del bloque para el manejo de esta quebrada, medida cuyo dimensionamiento depende directamente de este inventario. || No requiere autorización de Ronda Campesina. Se dispone de alojamiento rural. || NOTA DE PLANIFICACIÓN: por su contigüidad con M19B2 (aproximadamente 800 m entre centroides) y por haberse evaluado ambos en la misma jornada del 06-05-2026, las verificaciones pendientes de ambos bloques deben programarse en una misma salida.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M32B3</t>
        </is>
      </c>
    </row>
    <row r="7">
      <c r="A7" s="54" t="inlineStr">
        <is>
          <t>Hechos declarados por fuente</t>
        </is>
      </c>
    </row>
    <row r="8">
      <c r="A8" s="55" t="inlineStr">
        <is>
          <t>Fuente</t>
        </is>
      </c>
      <c r="B8" s="55" t="inlineStr">
        <is>
          <t>Hechos</t>
        </is>
      </c>
    </row>
    <row r="9">
      <c r="A9" s="56" t="inlineStr">
        <is>
          <t>Dato de campo</t>
        </is>
      </c>
      <c r="B9" s="56" t="n">
        <v>68</v>
      </c>
    </row>
    <row r="10">
      <c r="A10" s="57" t="inlineStr">
        <is>
          <t>Gabinete (GIS / teledetección)</t>
        </is>
      </c>
      <c r="B10" s="57" t="n">
        <v>24</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104</v>
      </c>
    </row>
    <row r="31">
      <c r="A31" s="57" t="inlineStr">
        <is>
          <t>COMPLEMENTADO</t>
        </is>
      </c>
      <c r="B31" s="57" t="n">
        <v>1</v>
      </c>
    </row>
    <row r="32">
      <c r="A32" s="56" t="inlineStr">
        <is>
          <t>ACTUALIZADO</t>
        </is>
      </c>
      <c r="B32" s="56" t="n">
        <v>1</v>
      </c>
    </row>
    <row r="33">
      <c r="A33" s="57" t="inlineStr">
        <is>
          <t>DISCREPANTE</t>
        </is>
      </c>
      <c r="B33" s="57" t="n">
        <v>0</v>
      </c>
    </row>
    <row r="34">
      <c r="A34" s="56" t="inlineStr">
        <is>
          <t>PENDIENTE</t>
        </is>
      </c>
      <c r="B34" s="56" t="n">
        <v>8</v>
      </c>
    </row>
    <row r="51">
      <c r="A51" s="54" t="inlineStr">
        <is>
          <t>Cobertura por estrato — campo (%)</t>
        </is>
      </c>
    </row>
    <row r="52">
      <c r="A52" s="55" t="inlineStr">
        <is>
          <t>Estrato</t>
        </is>
      </c>
      <c r="B52" s="55" t="inlineStr">
        <is>
          <t>% del área</t>
        </is>
      </c>
    </row>
    <row r="53">
      <c r="A53" s="56" t="inlineStr">
        <is>
          <t>Dosel</t>
        </is>
      </c>
      <c r="B53" s="61" t="n">
        <v>80</v>
      </c>
    </row>
    <row r="54">
      <c r="A54" s="57" t="inlineStr">
        <is>
          <t>Arbustiva</t>
        </is>
      </c>
      <c r="B54" s="62" t="n">
        <v>15</v>
      </c>
    </row>
    <row r="55">
      <c r="A55" s="56" t="inlineStr">
        <is>
          <t>Herbácea</t>
        </is>
      </c>
      <c r="B55" s="61" t="n">
        <v>20</v>
      </c>
    </row>
    <row r="56">
      <c r="A56" s="57" t="inlineStr">
        <is>
          <t>Hojarasca</t>
        </is>
      </c>
      <c r="B56" s="62" t="n">
        <v>70</v>
      </c>
    </row>
    <row r="57">
      <c r="A57" s="56" t="inlineStr">
        <is>
          <t>Suelo desnudo</t>
        </is>
      </c>
      <c r="B57" s="63" t="n">
        <v>5</v>
      </c>
    </row>
    <row r="74">
      <c r="A74" s="54" t="inlineStr">
        <is>
          <t>Causas activas de degradación (F-DT-04)</t>
        </is>
      </c>
    </row>
    <row r="75">
      <c r="A75" s="55" t="inlineStr">
        <is>
          <t>Causa</t>
        </is>
      </c>
      <c r="B75" s="55" t="inlineStr">
        <is>
          <t>Intensidad (1 ligera - 4 muy fuerte)</t>
        </is>
      </c>
    </row>
    <row r="76">
      <c r="A76" s="56" t="inlineStr">
        <is>
          <t>Tala para leña</t>
        </is>
      </c>
      <c r="B76" s="56" t="n">
        <v>1</v>
      </c>
    </row>
    <row r="93">
      <c r="A93" s="54" t="inlineStr">
        <is>
          <t>Control de consistencia por calificación</t>
        </is>
      </c>
    </row>
    <row r="94">
      <c r="A94" s="55" t="inlineStr">
        <is>
          <t>Calificación</t>
        </is>
      </c>
      <c r="B94" s="55" t="inlineStr">
        <is>
          <t>Verificaciones</t>
        </is>
      </c>
    </row>
    <row r="95">
      <c r="A95" s="56" t="inlineStr">
        <is>
          <t>SUSTANTIVA</t>
        </is>
      </c>
      <c r="B95" s="56" t="n">
        <v>5</v>
      </c>
    </row>
    <row r="96">
      <c r="A96" s="57" t="inlineStr">
        <is>
          <t>NO SUSTANTIVA</t>
        </is>
      </c>
      <c r="B96" s="57" t="n">
        <v>3</v>
      </c>
    </row>
    <row r="97">
      <c r="A97" s="56" t="inlineStr">
        <is>
          <t>CORREGIDO</t>
        </is>
      </c>
      <c r="B97" s="56" t="n">
        <v>3</v>
      </c>
    </row>
    <row r="98">
      <c r="A98" s="57" t="inlineStr">
        <is>
          <t>CONFORME</t>
        </is>
      </c>
      <c r="B98"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M32B3 — IN Piura</dc:title>
  <dc:subject>Diagnóstico Territorial por bloque de intervención</dc:subject>
  <dcterms:created xsi:type="dcterms:W3CDTF">2026-09-08T03:39:58Z</dcterms:created>
  <dcterms:modified xsi:type="dcterms:W3CDTF">2026-09-11T20:22:38Z</dcterms:modified>
</cp:coreProperties>
</file>