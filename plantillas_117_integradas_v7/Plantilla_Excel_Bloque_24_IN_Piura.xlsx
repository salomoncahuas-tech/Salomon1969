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24</t>
        </is>
      </c>
    </row>
    <row r="6" ht="24" customHeight="1">
      <c r="A6" s="4" t="inlineStr">
        <is>
          <t>Diagnóstico Territorial — Plantilla DT Campo Check Validada V5 | Sistema de referencia: UTM WGS 84 Zona 17S (EPSG:32717) · Integrado con la ficha de campo F-DT vigente (Plantilla_DT_Campo_Bloque24_IN_Piura.xlsx) — V7 - resumen V6 + campo F-DT integrado</t>
        </is>
      </c>
    </row>
    <row r="7"/>
    <row r="8" ht="18" customHeight="1">
      <c r="A8" s="5" t="inlineStr">
        <is>
          <t>1. IDENTIFICACIÓN Y LOCALIZACIÓN</t>
        </is>
      </c>
    </row>
    <row r="9">
      <c r="A9" s="6" t="inlineStr">
        <is>
          <t>Código del bloque</t>
        </is>
      </c>
      <c r="B9" s="7" t="inlineStr">
        <is>
          <t>24</t>
        </is>
      </c>
      <c r="C9" s="6" t="inlineStr">
        <is>
          <t>Microcuenca (catálogo)</t>
        </is>
      </c>
      <c r="D9" s="7" t="inlineStr">
        <is>
          <t>C1081-Q9583</t>
        </is>
      </c>
      <c r="E9" s="8" t="n"/>
      <c r="F9" s="8" t="n"/>
    </row>
    <row r="10">
      <c r="A10" s="6" t="inlineStr">
        <is>
          <t>Zona de planificación</t>
        </is>
      </c>
      <c r="B10" s="7" t="inlineStr">
        <is>
          <t>Z11</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Coyona</t>
        </is>
      </c>
      <c r="C13" s="6" t="inlineStr">
        <is>
          <t>Comunidad campesina</t>
        </is>
      </c>
      <c r="D13" s="7" t="inlineStr">
        <is>
          <t>Por verificar</t>
        </is>
      </c>
      <c r="E13" s="8" t="n"/>
      <c r="F13" s="8" t="n"/>
    </row>
    <row r="14">
      <c r="A14" s="6" t="inlineStr">
        <is>
          <t>Superficie de catálogo (V5/V6), ha</t>
        </is>
      </c>
      <c r="B14" s="7" t="n">
        <v>90.16</v>
      </c>
      <c r="C14" s="6" t="inlineStr">
        <is>
          <t>Fuente de superficie</t>
        </is>
      </c>
      <c r="D14" s="7" t="inlineStr">
        <is>
          <t>Catálogo maestro Bloques V5/V6</t>
        </is>
      </c>
      <c r="E14" s="8" t="n"/>
      <c r="F14" s="8" t="n"/>
    </row>
    <row r="15">
      <c r="A15" s="6" t="inlineStr">
        <is>
          <t>Centroide UTM ESTE (m)</t>
        </is>
      </c>
      <c r="B15" s="7" t="n">
        <v>652191</v>
      </c>
      <c r="C15" s="6" t="inlineStr">
        <is>
          <t>Centroide UTM NORTE (m)</t>
        </is>
      </c>
      <c r="D15" s="7" t="n">
        <v>9414358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1319</v>
      </c>
      <c r="C19" s="6" t="inlineStr">
        <is>
          <t>Altitud máxima (msnm)</t>
        </is>
      </c>
      <c r="D19" s="7" t="n">
        <v>1887</v>
      </c>
      <c r="E19" s="8" t="n"/>
      <c r="F19" s="8" t="n"/>
    </row>
    <row r="20">
      <c r="A20" s="6" t="inlineStr">
        <is>
          <t>Amplitud altitudinal (m)</t>
        </is>
      </c>
      <c r="B20" s="7" t="n">
        <v>568</v>
      </c>
      <c r="C20" s="6" t="inlineStr">
        <is>
          <t>Piso altitudinal dominante</t>
        </is>
      </c>
      <c r="D20" s="7" t="inlineStr">
        <is>
          <t>1500-2000 m (Quechua media)</t>
        </is>
      </c>
      <c r="E20" s="8" t="n"/>
      <c r="F20" s="8" t="n"/>
    </row>
    <row r="21">
      <c r="A21" s="6" t="inlineStr">
        <is>
          <t>Pendiente promedio (%)</t>
        </is>
      </c>
      <c r="B21" s="7" t="n">
        <v>32.98</v>
      </c>
      <c r="C21" s="6" t="inlineStr">
        <is>
          <t>Pendiente promedio (grados)</t>
        </is>
      </c>
      <c r="D21" s="7" t="n">
        <v>18.3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0.6748</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(98.51 %)</t>
        </is>
      </c>
      <c r="E29" s="8" t="n"/>
      <c r="F29" s="8" t="n"/>
    </row>
    <row r="30">
      <c r="A30" s="6" t="inlineStr">
        <is>
          <t>Superficie clasificada NDVI 2025 (ha)</t>
        </is>
      </c>
      <c r="B30" s="7" t="n">
        <v>90.18000000000001</v>
      </c>
      <c r="C30" s="6" t="inlineStr">
        <is>
          <t>Desviación frente al catálogo (%)</t>
        </is>
      </c>
      <c r="D30" s="7" t="n">
        <v>0.02</v>
      </c>
      <c r="E30" s="8" t="n"/>
      <c r="F30" s="8" t="n"/>
    </row>
    <row r="31">
      <c r="A31" s="6" t="inlineStr">
        <is>
          <t>Superficie clasificada MSAVI 2024 (ha)</t>
        </is>
      </c>
      <c r="B31" s="38" t="n">
        <v>90.16</v>
      </c>
      <c r="C31" s="6" t="inlineStr">
        <is>
          <t>Desviación MSAVI frente al catálogo (%)</t>
        </is>
      </c>
      <c r="D31" s="39" t="n">
        <v>0</v>
      </c>
      <c r="E31" s="8" t="n"/>
      <c r="F31" s="8" t="n"/>
    </row>
    <row r="32">
      <c r="A32" s="6" t="inlineStr">
        <is>
          <t>Superficie bajo umbral MSAVI 0.4976 (ha)</t>
        </is>
      </c>
      <c r="B32" s="38" t="n">
        <v>2.061</v>
      </c>
      <c r="C32" s="6" t="inlineStr">
        <is>
          <t>% del bloque bajo umbral (brecha espectral)</t>
        </is>
      </c>
      <c r="D32" s="39" t="n">
        <v>2.29</v>
      </c>
      <c r="E32" s="8" t="n"/>
      <c r="F32" s="8" t="n"/>
    </row>
    <row r="33">
      <c r="A33" s="6" t="inlineStr">
        <is>
          <t>Clase DN dominante (MSAVI 2024)</t>
        </is>
      </c>
      <c r="B33" s="7" t="inlineStr">
        <is>
          <t>DN 5 · &gt; 0.6139 (Vigor alto)</t>
        </is>
      </c>
      <c r="C33" s="6" t="inlineStr">
        <is>
          <t>N.° de polígonos MSAVI del bloque</t>
        </is>
      </c>
      <c r="D33" s="40" t="n">
        <v>175</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Matorral denso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y Blgo. Abel Aucasime</t>
        </is>
      </c>
      <c r="C44" s="6" t="inlineStr">
        <is>
          <t>Fecha de evaluación</t>
        </is>
      </c>
      <c r="D44" s="7" t="inlineStr">
        <is>
          <t>2026-07-21</t>
        </is>
      </c>
      <c r="E44" s="8" t="n"/>
      <c r="F44" s="8" t="n"/>
    </row>
    <row r="45">
      <c r="A45" s="6" t="inlineStr">
        <is>
          <t>Hora de registro</t>
        </is>
      </c>
      <c r="B45" s="50" t="inlineStr">
        <is>
          <t>Por registrar</t>
        </is>
      </c>
      <c r="C45" s="6" t="inlineStr">
        <is>
          <t>Correlativo de ficha</t>
        </is>
      </c>
      <c r="D45" s="7" t="inlineStr">
        <is>
          <t>F-DT-01-24</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 vial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1" t="n">
        <v>68.0839</v>
      </c>
      <c r="C10" s="30">
        <f>ROUND(B10/$B$15*100,2)</f>
        <v/>
      </c>
      <c r="D10" s="12" t="inlineStr">
        <is>
          <t>Vigor alto</t>
        </is>
      </c>
      <c r="E10" s="12" t="inlineStr">
        <is>
          <t>Sobre umbral</t>
        </is>
      </c>
    </row>
    <row r="11">
      <c r="A11" s="13" t="inlineStr">
        <is>
          <t>0.4976 - 0.6139 · DN 4</t>
        </is>
      </c>
      <c r="B11" s="20" t="n">
        <v>20.0145</v>
      </c>
      <c r="C11" s="21">
        <f>ROUND(B11/$B$15*100,2)</f>
        <v/>
      </c>
      <c r="D11" s="14" t="inlineStr">
        <is>
          <t>Vigor moderado</t>
        </is>
      </c>
      <c r="E11" s="14" t="inlineStr">
        <is>
          <t>Sobre umbral</t>
        </is>
      </c>
    </row>
    <row r="12">
      <c r="A12" s="7" t="inlineStr">
        <is>
          <t>0.3813 - 0.4976 · DN 3</t>
        </is>
      </c>
      <c r="B12" s="18" t="n">
        <v>2.0611</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175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90.16</v>
      </c>
      <c r="C18" s="49" t="inlineStr">
        <is>
          <t>—</t>
        </is>
      </c>
      <c r="D18" s="46" t="inlineStr">
        <is>
          <t>Desviación planimétrica frente al catálogo</t>
        </is>
      </c>
      <c r="E18" s="46" t="inlineStr">
        <is>
          <t>+0.00 %</t>
        </is>
      </c>
    </row>
    <row r="19">
      <c r="A19" s="16" t="inlineStr">
        <is>
          <t>MSAVI 2024 — MEDIA DEL BLOQUE</t>
        </is>
      </c>
      <c r="B19" s="17" t="n">
        <v>0.674839</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175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(0.6748)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88.8379</v>
      </c>
      <c r="C25" s="19" t="n">
        <v>98.51000000000001</v>
      </c>
      <c r="D25" s="15" t="inlineStr">
        <is>
          <t>Dosel continuo, matorral denso o mosaico agroforestal</t>
        </is>
      </c>
      <c r="E25" s="15" t="inlineStr"/>
    </row>
    <row r="26">
      <c r="A26" s="13" t="inlineStr">
        <is>
          <t>Vegetación mediana</t>
        </is>
      </c>
      <c r="B26" s="20" t="n">
        <v>1.3421</v>
      </c>
      <c r="C26" s="21" t="n">
        <v>1.49</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90.16</v>
      </c>
      <c r="C28" s="25" t="inlineStr">
        <is>
          <t>—</t>
        </is>
      </c>
      <c r="D28" s="25" t="inlineStr">
        <is>
          <t>Desviación planimétrica frente al catálogo</t>
        </is>
      </c>
      <c r="E28" s="25" t="inlineStr">
        <is>
          <t>+0.02 %</t>
        </is>
      </c>
    </row>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24</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652191</v>
      </c>
      <c r="D10" s="26" t="n">
        <v>9414358</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Efímero</t>
        </is>
      </c>
      <c r="G11" s="14" t="inlineStr">
        <is>
          <t>Quebradas secas identificadas</t>
        </is>
      </c>
    </row>
    <row r="12">
      <c r="A12" s="7" t="inlineStr">
        <is>
          <t>H-02</t>
        </is>
      </c>
      <c r="B12" s="15" t="inlineStr">
        <is>
          <t>Fuente de agua — Quebrada estacional</t>
        </is>
      </c>
      <c r="C12" s="26" t="inlineStr">
        <is>
          <t>Por determinar</t>
        </is>
      </c>
      <c r="D12" s="26" t="inlineStr">
        <is>
          <t>Por determinar</t>
        </is>
      </c>
      <c r="E12" s="15" t="inlineStr"/>
      <c r="F12" s="15" t="inlineStr">
        <is>
          <t>Estacional</t>
        </is>
      </c>
      <c r="G12" s="15" t="inlineStr">
        <is>
          <t>Quebrada s/n colindante</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652191</v>
      </c>
      <c r="C15" s="6" t="inlineStr">
        <is>
          <t>Centroide del bloque — UTM NORTE (m)</t>
        </is>
      </c>
      <c r="D15" s="7" t="n">
        <v>9414358</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1370 msnm. Rango altitudinal del bloque según MDE: 1319-1887 msnm (amplitud 568 m); pendiente promedio 32.98%. Acceso: vía afirmada Canchaque – Coyona, margen derecha de una quebrada s/n.</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24</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5" t="inlineStr">
        <is>
          <t>278 – 477</t>
        </is>
      </c>
      <c r="E10" s="15" t="n">
        <v>199</v>
      </c>
      <c r="F10" s="15" t="n">
        <v>18.11</v>
      </c>
      <c r="G10" s="18" t="n">
        <v>0.3956</v>
      </c>
      <c r="H10" s="19" t="n">
        <v>21.16</v>
      </c>
      <c r="I10" s="19" t="n">
        <v>88.87</v>
      </c>
    </row>
    <row r="11">
      <c r="A11" s="11" t="inlineStr">
        <is>
          <t>► 24</t>
        </is>
      </c>
      <c r="B11" s="29" t="n">
        <v>90.16</v>
      </c>
      <c r="C11" s="30" t="n">
        <v>22.65</v>
      </c>
      <c r="D11" s="12" t="inlineStr">
        <is>
          <t>1319 – 1887</t>
        </is>
      </c>
      <c r="E11" s="12" t="n">
        <v>568</v>
      </c>
      <c r="F11" s="12" t="n">
        <v>32.98</v>
      </c>
      <c r="G11" s="31" t="n">
        <v>0.6748</v>
      </c>
      <c r="H11" s="30" t="n">
        <v>98.51000000000001</v>
      </c>
      <c r="I11" s="30" t="n">
        <v>2.29</v>
      </c>
    </row>
    <row r="12">
      <c r="A12" s="7" t="inlineStr">
        <is>
          <t>87</t>
        </is>
      </c>
      <c r="B12" s="28" t="n">
        <v>62.219</v>
      </c>
      <c r="C12" s="19" t="n">
        <v>15.63</v>
      </c>
      <c r="D12" s="15" t="inlineStr">
        <is>
          <t>Por determinar</t>
        </is>
      </c>
      <c r="E12" s="15" t="inlineStr">
        <is>
          <t>Por determinar</t>
        </is>
      </c>
      <c r="F12" s="15" t="inlineStr">
        <is>
          <t>Por determinar</t>
        </is>
      </c>
      <c r="G12" s="18" t="n">
        <v>0.2487</v>
      </c>
      <c r="H12" s="19" t="n">
        <v>0.34</v>
      </c>
      <c r="I12" s="19" t="n">
        <v>99.72</v>
      </c>
    </row>
    <row r="13">
      <c r="A13" s="13" t="inlineStr">
        <is>
          <t>63</t>
        </is>
      </c>
      <c r="B13" s="32" t="n">
        <v>50.46</v>
      </c>
      <c r="C13" s="21" t="n">
        <v>12.68</v>
      </c>
      <c r="D13" s="14" t="inlineStr">
        <is>
          <t>1508 – 2080</t>
        </is>
      </c>
      <c r="E13" s="14" t="n">
        <v>572</v>
      </c>
      <c r="F13" s="14" t="n">
        <v>35.5</v>
      </c>
      <c r="G13" s="20" t="n">
        <v>0.6036</v>
      </c>
      <c r="H13" s="21" t="n">
        <v>99.2</v>
      </c>
      <c r="I13" s="21" t="n">
        <v>2.95</v>
      </c>
    </row>
    <row r="14">
      <c r="A14" s="7" t="inlineStr">
        <is>
          <t>86</t>
        </is>
      </c>
      <c r="B14" s="28" t="n">
        <v>30.001</v>
      </c>
      <c r="C14" s="19" t="n">
        <v>7.54</v>
      </c>
      <c r="D14" s="15" t="inlineStr">
        <is>
          <t>Por determinar</t>
        </is>
      </c>
      <c r="E14" s="15" t="inlineStr">
        <is>
          <t>Por determinar</t>
        </is>
      </c>
      <c r="F14" s="15" t="inlineStr">
        <is>
          <t>Por determinar</t>
        </is>
      </c>
      <c r="G14" s="18" t="n">
        <v>0.2735</v>
      </c>
      <c r="H14" s="19" t="n">
        <v>1.05</v>
      </c>
      <c r="I14" s="19" t="n">
        <v>99.62</v>
      </c>
    </row>
    <row r="15">
      <c r="A15" s="13" t="inlineStr">
        <is>
          <t>83</t>
        </is>
      </c>
      <c r="B15" s="32" t="n">
        <v>24.344</v>
      </c>
      <c r="C15" s="21" t="n">
        <v>6.12</v>
      </c>
      <c r="D15" s="14" t="inlineStr">
        <is>
          <t>Por determinar</t>
        </is>
      </c>
      <c r="E15" s="14" t="inlineStr">
        <is>
          <t>Por determinar</t>
        </is>
      </c>
      <c r="F15" s="14" t="inlineStr">
        <is>
          <t>Por determinar</t>
        </is>
      </c>
      <c r="G15" s="20" t="n">
        <v>0.3055</v>
      </c>
      <c r="H15" s="21" t="n">
        <v>2.88</v>
      </c>
      <c r="I15" s="21" t="n">
        <v>99.39</v>
      </c>
    </row>
    <row r="16">
      <c r="A16" s="7" t="inlineStr">
        <is>
          <t>77</t>
        </is>
      </c>
      <c r="B16" s="28" t="n">
        <v>17.82</v>
      </c>
      <c r="C16" s="19" t="n">
        <v>4.48</v>
      </c>
      <c r="D16" s="15" t="inlineStr">
        <is>
          <t>242 – 346</t>
        </is>
      </c>
      <c r="E16" s="15" t="n">
        <v>104</v>
      </c>
      <c r="F16" s="15" t="n">
        <v>13.71</v>
      </c>
      <c r="G16" s="18" t="n">
        <v>0.2725</v>
      </c>
      <c r="H16" s="19" t="n">
        <v>0.11</v>
      </c>
      <c r="I16" s="19" t="n">
        <v>99.78</v>
      </c>
    </row>
    <row r="17">
      <c r="A17" s="13" t="inlineStr">
        <is>
          <t>85</t>
        </is>
      </c>
      <c r="B17" s="32" t="n">
        <v>11.906</v>
      </c>
      <c r="C17" s="21" t="n">
        <v>2.99</v>
      </c>
      <c r="D17" s="14" t="inlineStr">
        <is>
          <t>Por determinar</t>
        </is>
      </c>
      <c r="E17" s="14" t="inlineStr">
        <is>
          <t>Por determinar</t>
        </is>
      </c>
      <c r="F17" s="14" t="inlineStr">
        <is>
          <t>Por determinar</t>
        </is>
      </c>
      <c r="G17" s="20" t="n">
        <v>0.2289</v>
      </c>
      <c r="H17" s="21" t="n">
        <v>0</v>
      </c>
      <c r="I17" s="21" t="n">
        <v>100</v>
      </c>
    </row>
    <row r="18">
      <c r="A18" s="7" t="inlineStr">
        <is>
          <t>84</t>
        </is>
      </c>
      <c r="B18" s="28" t="n">
        <v>5.097</v>
      </c>
      <c r="C18" s="19" t="n">
        <v>1.28</v>
      </c>
      <c r="D18" s="15" t="inlineStr">
        <is>
          <t>Por determinar</t>
        </is>
      </c>
      <c r="E18" s="15" t="inlineStr">
        <is>
          <t>Por determinar</t>
        </is>
      </c>
      <c r="F18" s="15"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1" t="n"/>
      <c r="I20" s="42" t="n"/>
    </row>
    <row r="22" ht="84" customHeight="1">
      <c r="A22" s="9" t="inlineStr">
        <is>
          <t>LECTURA INTRAMICROCUENCA. El bloque 24 ocupa el puesto 2 de 9 por superficie dentro de la microcuenca C1081-Q9583 (22.65 % de las 398.04 ha preliminares de la microcuenca). Su pendiente promedio (32.98 %, clase «25-50% (Mod. escarpado)») es la 3.ª más baja de 4 y se sitúa por encima del promedio de la microcuenca (25.08 %). Su MSAVI 2024 (0.6748) es el 1.º de 9 y queda por encima del promedio local (0.3616). Amplitud altitudinal del bloque: 568 m (1319–1887 msnm). El cuadro conserva todos los bloques catalogados en la microcuenca, incluidos los descartados en el tamizaje, para referencia del conjunto. Los bloques sin ficha DT figuran con sus parámetros de gabinete. BRECHA ESPECTRAL. El 2.29 % de la superficie del bloque (2.061 ha de 90.160 ha) se sitúa bajo el umbral MSAVI 0.4976, por debajo del promedio local de la microcuenca (76.96 %)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24</t>
        </is>
      </c>
    </row>
    <row r="6">
      <c r="A6" s="52" t="inlineStr">
        <is>
          <t>Cruce de la ficha de campo F-DT vigente con la ficha de resumen de gabinete y el catálogo maestro. Integración 2026-09-11 21:26:24.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«C1081-Q9583».</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(1370 msnm) cae dentro del rango altitudinal del bloque (1319 - 1887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(90.180 ha) se desvía 0.02 % de la superficie de catálogo (90.16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(90.160 ha) se desvía 0.00 % de la superficie de catálogo (90.16 ha).</t>
        </is>
      </c>
      <c r="D14" s="57" t="inlineStr">
        <is>
          <t>CONFORME</t>
        </is>
      </c>
      <c r="E14" s="57" t="inlineStr">
        <is>
          <t>Sin acción: la segmentación valida la geometría del bloque.</t>
        </is>
      </c>
    </row>
    <row r="15">
      <c r="A15" s="56" t="inlineStr">
        <is>
          <t>G-07</t>
        </is>
      </c>
      <c r="B15" s="56" t="inlineStr">
        <is>
          <t>Brecha espectral MSAVI</t>
        </is>
      </c>
      <c r="C15" s="56" t="inlineStr">
        <is>
          <t>El 2.29 % del bloque queda bajo el umbral 0.4976; superficie de brecha 2.0611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90.16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(0.6748)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89.3 % de los campos esperados).</t>
        </is>
      </c>
      <c r="D19" s="56" t="inlineStr">
        <is>
          <t>CONFORME</t>
        </is>
      </c>
      <c r="E19" s="56" t="inlineStr">
        <is>
          <t>Sin acción.</t>
        </is>
      </c>
    </row>
    <row r="20">
      <c r="A20" s="57" t="inlineStr">
        <is>
          <t>F-02</t>
        </is>
      </c>
      <c r="B20" s="57" t="inlineStr">
        <is>
          <t>Cobertura de la integración</t>
        </is>
      </c>
      <c r="C20" s="57" t="inlineStr">
        <is>
          <t>Se declararon 87 de 114 hechos integrados (76.3 %); 27 quedan sin dato en ninguna fuente.</t>
        </is>
      </c>
      <c r="D20" s="57" t="inlineStr">
        <is>
          <t>CONFORME</t>
        </is>
      </c>
      <c r="E20" s="57" t="inlineStr">
        <is>
          <t>Sin acción.</t>
        </is>
      </c>
    </row>
    <row r="21">
      <c r="A21" s="56" t="inlineStr">
        <is>
          <t>H-01</t>
        </is>
      </c>
      <c r="B21" s="56" t="inlineStr">
        <is>
          <t>Rango altitudinal / piso ecológico</t>
        </is>
      </c>
      <c r="C21" s="56" t="inlineStr">
        <is>
          <t>La ficha DT declara «1000-1500 m (Quechua baja)»; el MDE sitúa el bloque entre 1319 y 1887 msnm, cuyo punto medio corresponde a «1500-2000 m (Quechua media)»</t>
        </is>
      </c>
      <c r="D21" s="56" t="inlineStr">
        <is>
          <t>NO SUSTANTIVA</t>
        </is>
      </c>
      <c r="E21" s="56" t="inlineStr">
        <is>
          <t>Se declara la divergencia. El bloque abarca más de un piso altitudinal cuando la amplitud supera el ancho de la clase; el registro de campo corresponde al sector recorrido. (Verificación heredada de la ficha de resumen V6.)</t>
        </is>
      </c>
    </row>
    <row r="22">
      <c r="A22" s="57" t="inlineStr">
        <is>
          <t>H-02</t>
        </is>
      </c>
      <c r="B22" s="57" t="inlineStr">
        <is>
          <t>Elenco florístico</t>
        </is>
      </c>
      <c r="C22" s="57" t="inlineStr">
        <is>
          <t>La ficha registra 10 taxones, por debajo del mínimo de 15 que exige el formato V5</t>
        </is>
      </c>
      <c r="D22" s="57" t="inlineStr">
        <is>
          <t>SUSTANTIVA</t>
        </is>
      </c>
      <c r="E22" s="57" t="inlineStr">
        <is>
          <t>Registro florístico preliminar, sin colecta ni determinación botánica formal. Debe cerrarse con colecta botánica en la siguiente campaña. (Verificación heredada de la ficha de resumen V6.)</t>
        </is>
      </c>
    </row>
    <row r="23">
      <c r="A23" s="56" t="inlineStr">
        <is>
          <t>H-03</t>
        </is>
      </c>
      <c r="B23" s="56" t="inlineStr">
        <is>
          <t>Centro poblado asociado</t>
        </is>
      </c>
      <c r="C23" s="56" t="inlineStr">
        <is>
          <t>La ficha DT declara «Coyona»; el cruce INEI-Bloques V5 identifica 1 centro(s) poblado(s) en el bloque: COYONA</t>
        </is>
      </c>
      <c r="D23" s="56" t="inlineStr">
        <is>
          <t>CONFORME</t>
        </is>
      </c>
      <c r="E23" s="56" t="inlineStr">
        <is>
          <t>Se conserva el registro de campo como referencia y se adopta el listado INEI para el diagnóstico social y el cálculo de población beneficiaria. (Verificación heredada de la ficha de resumen V6.)</t>
        </is>
      </c>
    </row>
    <row r="25">
      <c r="A25" s="58" t="inlineStr">
        <is>
          <t>RESUMEN</t>
        </is>
      </c>
      <c r="B25" s="59" t="inlineStr">
        <is>
          <t>15 verificaciones</t>
        </is>
      </c>
      <c r="C25" s="59" t="inlineStr">
        <is>
          <t>SUSTANTIVA: 2 · NO SUSTANTIVA: 1 · CONFORME: 12</t>
        </is>
      </c>
    </row>
    <row r="27">
      <c r="A27"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24</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652191</t>
        </is>
      </c>
      <c r="D13" s="56" t="inlineStr">
        <is>
          <t>m</t>
        </is>
      </c>
    </row>
    <row r="14">
      <c r="A14" s="57" t="inlineStr">
        <is>
          <t>1. Identificación y localización</t>
        </is>
      </c>
      <c r="B14" s="57" t="inlineStr">
        <is>
          <t>UTM NORTE del punto de muestreo (m)</t>
        </is>
      </c>
      <c r="C14" s="57" t="inlineStr">
        <is>
          <t>9414358</t>
        </is>
      </c>
      <c r="D14" s="57" t="inlineStr">
        <is>
          <t>m</t>
        </is>
      </c>
    </row>
    <row r="15">
      <c r="A15" s="56" t="inlineStr">
        <is>
          <t>2. Parámetros físicos del terreno</t>
        </is>
      </c>
      <c r="B15" s="56" t="inlineStr">
        <is>
          <t>Altitud GPS del punto de muestreo (msnm)</t>
        </is>
      </c>
      <c r="C15" s="56" t="inlineStr">
        <is>
          <t>1370</t>
        </is>
      </c>
      <c r="D15" s="56" t="inlineStr">
        <is>
          <t>msnm</t>
        </is>
      </c>
    </row>
    <row r="16">
      <c r="A16" s="57" t="inlineStr">
        <is>
          <t>2. Parámetros físicos del terreno</t>
        </is>
      </c>
      <c r="B16" s="57" t="inlineStr">
        <is>
          <t>Piso altitudinal del punto de muestreo</t>
        </is>
      </c>
      <c r="C16" s="57" t="inlineStr">
        <is>
          <t>1000-1500 m (Quechua baja)</t>
        </is>
      </c>
      <c r="D16" s="57" t="inlineStr"/>
    </row>
    <row r="17">
      <c r="A17" s="56" t="inlineStr">
        <is>
          <t>2. Parámetros físicos del terreno</t>
        </is>
      </c>
      <c r="B17" s="56" t="inlineStr">
        <is>
          <t>Paisaje dominante descrito en campo</t>
        </is>
      </c>
      <c r="C17" s="56" t="inlineStr">
        <is>
          <t>Sistema de laderas convexo-cóncavas tributarias de la quebrada Q9583, con paisaje de montaña dominado por bosque estacionalmente seco de colina y montaña, matorral andino y zona agrícola. No se identifican afloramientos rocosos en el bloque.</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Moderada (surcos)</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Longitud total de cárcavas (m)</t>
        </is>
      </c>
      <c r="C23" s="56" t="inlineStr">
        <is>
          <t>0</t>
        </is>
      </c>
      <c r="D23" s="56" t="inlineStr">
        <is>
          <t>m</t>
        </is>
      </c>
    </row>
    <row r="24">
      <c r="A24" s="57" t="inlineStr">
        <is>
          <t>4. Suelos y erosión (F-DT-02)</t>
        </is>
      </c>
      <c r="B24" s="57" t="inlineStr">
        <is>
          <t>% del bloque afectado por cárcavas</t>
        </is>
      </c>
      <c r="C24" s="57" t="inlineStr">
        <is>
          <t>0</t>
        </is>
      </c>
      <c r="D24" s="57" t="inlineStr">
        <is>
          <t>%</t>
        </is>
      </c>
    </row>
    <row r="25">
      <c r="A25" s="56" t="inlineStr">
        <is>
          <t>4. Suelos y erosión (F-DT-02)</t>
        </is>
      </c>
      <c r="B25" s="56" t="inlineStr">
        <is>
          <t>Patrón de cárcavas</t>
        </is>
      </c>
      <c r="C25" s="56" t="inlineStr">
        <is>
          <t>Aislado</t>
        </is>
      </c>
      <c r="D25" s="56" t="inlineStr"/>
    </row>
    <row r="26">
      <c r="A26" s="57" t="inlineStr">
        <is>
          <t>4. Suelos y erosión (F-DT-02)</t>
        </is>
      </c>
      <c r="B26" s="57" t="inlineStr">
        <is>
          <t>Socavamiento de cauce</t>
        </is>
      </c>
      <c r="C26" s="57" t="inlineStr">
        <is>
          <t>No</t>
        </is>
      </c>
      <c r="D26" s="57" t="inlineStr"/>
    </row>
    <row r="27">
      <c r="A27" s="56" t="inlineStr">
        <is>
          <t>5. Ecosistema, cobertura y flora (F-DT-03)</t>
        </is>
      </c>
      <c r="B27" s="56" t="inlineStr">
        <is>
          <t>Fenología dominante</t>
        </is>
      </c>
      <c r="C27" s="56" t="inlineStr">
        <is>
          <t>Vegetativo</t>
        </is>
      </c>
      <c r="D27" s="56" t="inlineStr"/>
    </row>
    <row r="28">
      <c r="A28" s="57" t="inlineStr">
        <is>
          <t>5. Ecosistema, cobertura y flora (F-DT-03)</t>
        </is>
      </c>
      <c r="B28" s="57" t="inlineStr">
        <is>
          <t>Pendiente de la parcela (%)</t>
        </is>
      </c>
      <c r="C28" s="57" t="inlineStr">
        <is>
          <t>32.98</t>
        </is>
      </c>
      <c r="D28" s="57" t="inlineStr">
        <is>
          <t>%</t>
        </is>
      </c>
    </row>
    <row r="29">
      <c r="A29" s="56" t="inlineStr">
        <is>
          <t>6. Degradación, causas y urgencia (F-DT-04)</t>
        </is>
      </c>
      <c r="B29" s="56" t="inlineStr">
        <is>
          <t>Causas directas de la degradación</t>
        </is>
      </c>
      <c r="C29" s="56" t="inlineStr">
        <is>
          <t>Sobrepastoreo (caprino/vacuno) (Moderada); Cambio de uso a pastoreo (Moderada); Cambio de uso a agricultura (Moderada); Erosión natural severa (Moderada); Expansión urbana / vial (Ligera)</t>
        </is>
      </c>
      <c r="D29" s="56" t="inlineStr"/>
    </row>
    <row r="30">
      <c r="A30" s="57" t="inlineStr">
        <is>
          <t>6. Degradación, causas y urgencia (F-DT-04)</t>
        </is>
      </c>
      <c r="B30" s="57" t="inlineStr">
        <is>
          <t>N.° de causas activas en la matriz F-DT-04</t>
        </is>
      </c>
      <c r="C30" s="57" t="inlineStr">
        <is>
          <t>5</t>
        </is>
      </c>
      <c r="D30" s="57" t="inlineStr"/>
    </row>
    <row r="31">
      <c r="A31" s="56" t="inlineStr">
        <is>
          <t>7. Hidrología, acceso y logística (F-DT-05)</t>
        </is>
      </c>
      <c r="B31" s="56" t="inlineStr">
        <is>
          <t>Escorrentía concentrada</t>
        </is>
      </c>
      <c r="C31" s="56" t="inlineStr">
        <is>
          <t>Sí</t>
        </is>
      </c>
      <c r="D31" s="56" t="inlineStr"/>
    </row>
    <row r="32">
      <c r="A32" s="57" t="inlineStr">
        <is>
          <t>7. Hidrología, acceso y logística (F-DT-05)</t>
        </is>
      </c>
      <c r="B32" s="57" t="inlineStr">
        <is>
          <t>Fuentes de agua inventariadas</t>
        </is>
      </c>
      <c r="C32" s="57" t="inlineStr">
        <is>
          <t>2</t>
        </is>
      </c>
      <c r="D32" s="57" t="inlineStr"/>
    </row>
    <row r="33">
      <c r="A33" s="56" t="inlineStr">
        <is>
          <t>7. Hidrología, acceso y logística (F-DT-05)</t>
        </is>
      </c>
      <c r="B33" s="56" t="inlineStr">
        <is>
          <t>Vía principal de acceso</t>
        </is>
      </c>
      <c r="C33" s="56" t="inlineStr">
        <is>
          <t>Vía afirmada Canchaque – Coyona</t>
        </is>
      </c>
      <c r="D33" s="56" t="inlineStr"/>
    </row>
    <row r="34">
      <c r="A34" s="57" t="inlineStr">
        <is>
          <t>7. Hidrología, acceso y logística (F-DT-05)</t>
        </is>
      </c>
      <c r="B34" s="57" t="inlineStr">
        <is>
          <t>Tipo de vía del tramo final</t>
        </is>
      </c>
      <c r="C34" s="57" t="inlineStr">
        <is>
          <t>Vecinal afirmada</t>
        </is>
      </c>
      <c r="D34" s="57" t="inlineStr"/>
    </row>
    <row r="35">
      <c r="A35" s="56" t="inlineStr">
        <is>
          <t>7. Hidrología, acceso y logística (F-DT-05)</t>
        </is>
      </c>
      <c r="B35" s="56" t="inlineStr">
        <is>
          <t>Transitabilidad en época seca</t>
        </is>
      </c>
      <c r="C35" s="56" t="inlineStr">
        <is>
          <t>Medio</t>
        </is>
      </c>
      <c r="D35" s="56" t="inlineStr"/>
    </row>
    <row r="36">
      <c r="A36" s="57" t="inlineStr">
        <is>
          <t>7. Hidrología, acceso y logística (F-DT-05)</t>
        </is>
      </c>
      <c r="B36" s="57" t="inlineStr">
        <is>
          <t>Transitabilidad en época lluviosa</t>
        </is>
      </c>
      <c r="C36" s="57" t="inlineStr">
        <is>
          <t>Bajo</t>
        </is>
      </c>
      <c r="D36" s="57" t="inlineStr"/>
    </row>
    <row r="37">
      <c r="A37" s="56" t="inlineStr">
        <is>
          <t>7. Hidrología, acceso y logística (F-DT-05)</t>
        </is>
      </c>
      <c r="B37" s="56" t="inlineStr">
        <is>
          <t>Requiere coordinación con ronda / comunidad</t>
        </is>
      </c>
      <c r="C37" s="56" t="inlineStr">
        <is>
          <t>Sí</t>
        </is>
      </c>
      <c r="D37" s="56" t="inlineStr"/>
    </row>
    <row r="39">
      <c r="A39" s="54" t="inlineStr">
        <is>
          <t>C. PROCEDENCIA DE LOS HECHOS DECLARADOS</t>
        </is>
      </c>
    </row>
    <row r="40">
      <c r="A40" s="55" t="inlineStr">
        <is>
          <t>Fuente</t>
        </is>
      </c>
      <c r="B40" s="55" t="inlineStr">
        <is>
          <t>Hechos</t>
        </is>
      </c>
      <c r="C40" s="55" t="inlineStr">
        <is>
          <t>Alcance de la fuente</t>
        </is>
      </c>
    </row>
    <row r="41">
      <c r="A41" s="56" t="inlineStr">
        <is>
          <t>Dato de campo</t>
        </is>
      </c>
      <c r="B41" s="56" t="n">
        <v>52</v>
      </c>
      <c r="C41" s="56" t="inlineStr">
        <is>
          <t>Verificación en campo. Fichas F-DT-01 a F-DT-05 de la Plantilla DT Campo Check Validada V5, suscritas por el evaluador.</t>
        </is>
      </c>
    </row>
    <row r="42">
      <c r="A42" s="57" t="inlineStr">
        <is>
          <t>Gabinete (GIS / teledetección)</t>
        </is>
      </c>
      <c r="B42" s="57" t="n">
        <v>21</v>
      </c>
      <c r="C42" s="57" t="inlineStr">
        <is>
          <t>Gabinete. Estadística zonal sobre el MDE y compuestos Sentinel-2 (NDVI mediana 2025, MSAVI 2024 por clase DN).</t>
        </is>
      </c>
    </row>
    <row r="43">
      <c r="A43" s="56" t="inlineStr">
        <is>
          <t>Fuente oficial</t>
        </is>
      </c>
      <c r="B43" s="56" t="n">
        <v>14</v>
      </c>
      <c r="C43" s="56" t="inlineStr">
        <is>
          <t>Fuente oficial. Catálogo maestro Bloques V5/V6, división política INEI y codificación de microcuencas de la ANA.</t>
        </is>
      </c>
    </row>
    <row r="45">
      <c r="A45" s="54" t="inlineStr">
        <is>
          <t>D. ESTADO DEL CRUCE ENTRE FUENTES</t>
        </is>
      </c>
    </row>
    <row r="46">
      <c r="A46" s="55" t="inlineStr">
        <is>
          <t>Estado</t>
        </is>
      </c>
      <c r="B46" s="55" t="inlineStr">
        <is>
          <t>Hechos</t>
        </is>
      </c>
      <c r="C46" s="55" t="inlineStr">
        <is>
          <t>Significado</t>
        </is>
      </c>
    </row>
    <row r="47">
      <c r="A47" s="56" t="inlineStr">
        <is>
          <t>CONFORME</t>
        </is>
      </c>
      <c r="B47" s="56" t="n">
        <v>86</v>
      </c>
      <c r="C47" s="56" t="inlineStr">
        <is>
          <t>Las dos fuentes declaran lo mismo, o solo la fuente que manda sobre el hecho lo declara.</t>
        </is>
      </c>
    </row>
    <row r="48">
      <c r="A48" s="57" t="inlineStr">
        <is>
          <t>COMPLEMENTADO</t>
        </is>
      </c>
      <c r="B48" s="57" t="n">
        <v>1</v>
      </c>
      <c r="C48" s="57" t="inlineStr">
        <is>
          <t>Solo una de las fuentes lo declara y se adopta ese valor.</t>
        </is>
      </c>
    </row>
    <row r="49">
      <c r="A49" s="56" t="inlineStr">
        <is>
          <t>ACTUALIZADO</t>
        </is>
      </c>
      <c r="B49" s="56" t="n">
        <v>0</v>
      </c>
      <c r="C49" s="56" t="inlineStr">
        <is>
          <t>La verificación de campo vigente corrige lo que traía el libro de resumen.</t>
        </is>
      </c>
    </row>
    <row r="50">
      <c r="A50" s="57" t="inlineStr">
        <is>
          <t>DISCREPANTE</t>
        </is>
      </c>
      <c r="B50" s="57" t="n">
        <v>0</v>
      </c>
      <c r="C50" s="57" t="inlineStr">
        <is>
          <t>Las fuentes se contradicen; prevalece la que manda sobre el hecho y la otra queda declarada.</t>
        </is>
      </c>
    </row>
    <row r="51">
      <c r="A51" s="56" t="inlineStr">
        <is>
          <t>PENDIENTE</t>
        </is>
      </c>
      <c r="B51" s="56" t="n">
        <v>27</v>
      </c>
      <c r="C5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24</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Ceibo</t>
        </is>
      </c>
      <c r="C13" s="56" t="inlineStr">
        <is>
          <t>Ceiba pentandra</t>
        </is>
      </c>
      <c r="D13" s="56" t="inlineStr"/>
      <c r="E13" s="56" t="inlineStr">
        <is>
          <t>Arbóreo medio (8-15 m)</t>
        </is>
      </c>
      <c r="F13" s="56" t="inlineStr">
        <is>
          <t>Nativa</t>
        </is>
      </c>
      <c r="G13" s="56" t="inlineStr">
        <is>
          <t>Ocasional (1-5%)</t>
        </is>
      </c>
      <c r="H13" s="61" t="n">
        <v>40</v>
      </c>
      <c r="I13" s="61" t="n">
        <v>10</v>
      </c>
    </row>
    <row r="14">
      <c r="A14" s="57" t="inlineStr">
        <is>
          <t>2</t>
        </is>
      </c>
      <c r="B14" s="57" t="inlineStr">
        <is>
          <t>Pasallo</t>
        </is>
      </c>
      <c r="C14" s="57" t="inlineStr"/>
      <c r="D14" s="57" t="inlineStr"/>
      <c r="E14" s="57" t="inlineStr">
        <is>
          <t>Arbóreo bajo (4-8 m)</t>
        </is>
      </c>
      <c r="F14" s="57" t="inlineStr">
        <is>
          <t>Nativa</t>
        </is>
      </c>
      <c r="G14" s="57" t="inlineStr">
        <is>
          <t>Ocasional (1-5%)</t>
        </is>
      </c>
      <c r="H14" s="62" t="n">
        <v>25</v>
      </c>
      <c r="I14" s="63" t="n">
        <v>7</v>
      </c>
    </row>
    <row r="15">
      <c r="A15" s="56" t="inlineStr">
        <is>
          <t>3</t>
        </is>
      </c>
      <c r="B15" s="56" t="inlineStr">
        <is>
          <t>Charán</t>
        </is>
      </c>
      <c r="C15" s="56" t="inlineStr">
        <is>
          <t>Caesalpinea paipai</t>
        </is>
      </c>
      <c r="D15" s="56" t="inlineStr"/>
      <c r="E15" s="56" t="inlineStr">
        <is>
          <t>Arbóreo bajo (4-8 m)</t>
        </is>
      </c>
      <c r="F15" s="56" t="inlineStr">
        <is>
          <t>Nativa</t>
        </is>
      </c>
      <c r="G15" s="56" t="inlineStr">
        <is>
          <t>Ocasional (1-5%)</t>
        </is>
      </c>
      <c r="H15" s="61" t="n">
        <v>15</v>
      </c>
      <c r="I15" s="64" t="n">
        <v>5</v>
      </c>
    </row>
    <row r="16">
      <c r="A16" s="57" t="inlineStr">
        <is>
          <t>4</t>
        </is>
      </c>
      <c r="B16" s="57" t="inlineStr">
        <is>
          <t>Roble</t>
        </is>
      </c>
      <c r="C16" s="57" t="inlineStr">
        <is>
          <t>Grevilea robusta</t>
        </is>
      </c>
      <c r="D16" s="57" t="inlineStr"/>
      <c r="E16" s="57" t="inlineStr">
        <is>
          <t>Arbóreo superior (&gt;15 m)</t>
        </is>
      </c>
      <c r="F16" s="57" t="inlineStr">
        <is>
          <t>Introducida</t>
        </is>
      </c>
      <c r="G16" s="57" t="inlineStr">
        <is>
          <t>Ocasional (1-5%)</t>
        </is>
      </c>
      <c r="H16" s="62" t="n">
        <v>30</v>
      </c>
      <c r="I16" s="63" t="n">
        <v>7</v>
      </c>
    </row>
    <row r="17">
      <c r="A17" s="56" t="inlineStr">
        <is>
          <t>5</t>
        </is>
      </c>
      <c r="B17" s="56" t="inlineStr">
        <is>
          <t>Nogal</t>
        </is>
      </c>
      <c r="C17" s="56" t="inlineStr">
        <is>
          <t>Juglans neotropica</t>
        </is>
      </c>
      <c r="D17" s="56" t="inlineStr"/>
      <c r="E17" s="56" t="inlineStr">
        <is>
          <t>Arbóreo superior (&gt;15 m)</t>
        </is>
      </c>
      <c r="F17" s="56" t="inlineStr">
        <is>
          <t>Nativa</t>
        </is>
      </c>
      <c r="G17" s="56" t="inlineStr">
        <is>
          <t>Ocasional (1-5%)</t>
        </is>
      </c>
      <c r="H17" s="61" t="n">
        <v>25</v>
      </c>
      <c r="I17" s="61" t="n">
        <v>10</v>
      </c>
    </row>
    <row r="18">
      <c r="A18" s="57" t="inlineStr">
        <is>
          <t>6</t>
        </is>
      </c>
      <c r="B18" s="57" t="inlineStr">
        <is>
          <t>Guaba/Pacae</t>
        </is>
      </c>
      <c r="C18" s="57" t="inlineStr">
        <is>
          <t>Inga spp.</t>
        </is>
      </c>
      <c r="D18" s="57" t="inlineStr"/>
      <c r="E18" s="57" t="inlineStr">
        <is>
          <t>Arbóreo medio (8-15 m)</t>
        </is>
      </c>
      <c r="F18" s="57" t="inlineStr">
        <is>
          <t>Nativa</t>
        </is>
      </c>
      <c r="G18" s="57" t="inlineStr">
        <is>
          <t>Ocasional (1-5%)</t>
        </is>
      </c>
      <c r="H18" s="62" t="n">
        <v>20</v>
      </c>
      <c r="I18" s="63" t="n">
        <v>6</v>
      </c>
    </row>
    <row r="19">
      <c r="A19" s="56" t="inlineStr">
        <is>
          <t>7</t>
        </is>
      </c>
      <c r="B19" s="56" t="inlineStr">
        <is>
          <t>Café</t>
        </is>
      </c>
      <c r="C19" s="56" t="inlineStr"/>
      <c r="D19" s="56" t="inlineStr"/>
      <c r="E19" s="56" t="inlineStr"/>
      <c r="F19" s="56" t="inlineStr"/>
      <c r="G19" s="56" t="inlineStr">
        <is>
          <t>Ocasional (1-5%)</t>
        </is>
      </c>
      <c r="H19" s="56" t="n"/>
      <c r="I19" s="56" t="n"/>
    </row>
    <row r="20">
      <c r="A20" s="57" t="inlineStr">
        <is>
          <t>8</t>
        </is>
      </c>
      <c r="B20" s="57" t="inlineStr">
        <is>
          <t>Cítricos</t>
        </is>
      </c>
      <c r="C20" s="57" t="inlineStr"/>
      <c r="D20" s="57" t="inlineStr"/>
      <c r="E20" s="57" t="inlineStr"/>
      <c r="F20" s="57" t="inlineStr"/>
      <c r="G20" s="57" t="inlineStr">
        <is>
          <t>Ocasional (1-5%)</t>
        </is>
      </c>
      <c r="H20" s="57" t="n"/>
      <c r="I20" s="57" t="n"/>
    </row>
    <row r="21">
      <c r="A21" s="56" t="inlineStr">
        <is>
          <t>9</t>
        </is>
      </c>
      <c r="B21" s="56" t="inlineStr">
        <is>
          <t>Pastos cultivados</t>
        </is>
      </c>
      <c r="C21" s="56" t="inlineStr">
        <is>
          <t>Brachiaria / Pennisetum spp.</t>
        </is>
      </c>
      <c r="D21" s="56" t="inlineStr">
        <is>
          <t>Poaceae</t>
        </is>
      </c>
      <c r="E21" s="56" t="inlineStr">
        <is>
          <t>Herbáceo (&lt;0.5 m)</t>
        </is>
      </c>
      <c r="F21" s="56" t="inlineStr">
        <is>
          <t>Introducida</t>
        </is>
      </c>
      <c r="G21" s="56" t="inlineStr">
        <is>
          <t>Abundante (20-40%)</t>
        </is>
      </c>
      <c r="H21" s="56" t="n"/>
      <c r="I21" s="56" t="n"/>
    </row>
    <row r="22">
      <c r="A22" s="57" t="inlineStr">
        <is>
          <t>10</t>
        </is>
      </c>
      <c r="B22" s="57" t="inlineStr">
        <is>
          <t>Maíz</t>
        </is>
      </c>
      <c r="C22" s="57" t="inlineStr"/>
      <c r="D22" s="57" t="inlineStr"/>
      <c r="E22" s="57" t="inlineStr">
        <is>
          <t>Herbáceo (&lt;0.5 m)</t>
        </is>
      </c>
      <c r="F22" s="57" t="inlineStr"/>
      <c r="G22" s="57" t="inlineStr"/>
      <c r="H22" s="57" t="n"/>
      <c r="I22" s="57" t="n"/>
    </row>
    <row r="24">
      <c r="A24" s="54" t="inlineStr">
        <is>
          <t>F-DT-03 · ESPECIES CLAVE GEORREFERENCIADAS</t>
        </is>
      </c>
    </row>
    <row r="25">
      <c r="A25" s="55" t="inlineStr">
        <is>
          <t>N.o</t>
        </is>
      </c>
      <c r="B25" s="55" t="inlineStr">
        <is>
          <t>Especie</t>
        </is>
      </c>
      <c r="C25" s="55" t="inlineStr">
        <is>
          <t>Categoría</t>
        </is>
      </c>
      <c r="D25" s="55" t="inlineStr">
        <is>
          <t>Estado UICN</t>
        </is>
      </c>
      <c r="E25" s="55" t="inlineStr">
        <is>
          <t>UTM ESTE</t>
        </is>
      </c>
      <c r="F25" s="55" t="inlineStr">
        <is>
          <t>UTM NORTE</t>
        </is>
      </c>
      <c r="G25" s="55" t="inlineStr">
        <is>
          <t>N.° individuos</t>
        </is>
      </c>
      <c r="H25" s="55" t="inlineStr">
        <is>
          <t>Observación</t>
        </is>
      </c>
    </row>
    <row r="27">
      <c r="A27" s="54" t="inlineStr">
        <is>
          <t>F-DT-04 · MATRIZ DE CAUSAS DE DEGRADACIÓN</t>
        </is>
      </c>
    </row>
    <row r="28">
      <c r="A28" s="55" t="inlineStr">
        <is>
          <t>N.o</t>
        </is>
      </c>
      <c r="B28" s="55" t="inlineStr">
        <is>
          <t>Causa</t>
        </is>
      </c>
      <c r="C28" s="55" t="inlineStr">
        <is>
          <t>Presencia</t>
        </is>
      </c>
      <c r="D28" s="55" t="inlineStr">
        <is>
          <t>Intensidad</t>
        </is>
      </c>
      <c r="E28" s="55" t="inlineStr">
        <is>
          <t>Extensión</t>
        </is>
      </c>
      <c r="F28" s="55" t="inlineStr">
        <is>
          <t>Antigüedad</t>
        </is>
      </c>
      <c r="G28" s="55" t="inlineStr">
        <is>
          <t>Evidencia</t>
        </is>
      </c>
    </row>
    <row r="29">
      <c r="A29" s="56" t="inlineStr">
        <is>
          <t>1</t>
        </is>
      </c>
      <c r="B29" s="56" t="inlineStr">
        <is>
          <t>Sobrepastoreo (caprino/vacuno)</t>
        </is>
      </c>
      <c r="C29" s="56" t="inlineStr">
        <is>
          <t>Sí</t>
        </is>
      </c>
      <c r="D29" s="56" t="inlineStr">
        <is>
          <t>Moderada</t>
        </is>
      </c>
      <c r="E29" s="56" t="inlineStr">
        <is>
          <t>35</t>
        </is>
      </c>
      <c r="F29" s="56" t="inlineStr"/>
      <c r="G29" s="56" t="inlineStr">
        <is>
          <t>Pastoreo extensivo de vacunos de Coyona; estrías, surcos y compactación por pisoteo</t>
        </is>
      </c>
    </row>
    <row r="30">
      <c r="A30" s="57" t="inlineStr">
        <is>
          <t>2</t>
        </is>
      </c>
      <c r="B30" s="57" t="inlineStr">
        <is>
          <t>Tala para leña</t>
        </is>
      </c>
      <c r="C30" s="57" t="inlineStr"/>
      <c r="D30" s="57" t="inlineStr"/>
      <c r="E30" s="57" t="inlineStr"/>
      <c r="F30" s="57" t="inlineStr"/>
      <c r="G30" s="57" t="inlineStr"/>
    </row>
    <row r="31">
      <c r="A31" s="56" t="inlineStr">
        <is>
          <t>3</t>
        </is>
      </c>
      <c r="B31" s="56" t="inlineStr">
        <is>
          <t>Tala para carbón</t>
        </is>
      </c>
      <c r="C31" s="56" t="inlineStr"/>
      <c r="D31" s="56" t="inlineStr"/>
      <c r="E31" s="56" t="inlineStr"/>
      <c r="F31" s="56" t="inlineStr"/>
      <c r="G31" s="56" t="inlineStr"/>
    </row>
    <row r="32">
      <c r="A32" s="57" t="inlineStr">
        <is>
          <t>4</t>
        </is>
      </c>
      <c r="B32" s="57" t="inlineStr">
        <is>
          <t>Tala para madera</t>
        </is>
      </c>
      <c r="C32" s="57" t="inlineStr"/>
      <c r="D32" s="57" t="inlineStr"/>
      <c r="E32" s="57" t="inlineStr"/>
      <c r="F32" s="57" t="inlineStr"/>
      <c r="G32" s="57" t="inlineStr"/>
    </row>
    <row r="33">
      <c r="A33" s="56" t="inlineStr">
        <is>
          <t>5</t>
        </is>
      </c>
      <c r="B33" s="56" t="inlineStr">
        <is>
          <t>Quema (renovación de pastos)</t>
        </is>
      </c>
      <c r="C33" s="56" t="inlineStr"/>
      <c r="D33" s="56" t="inlineStr"/>
      <c r="E33" s="56" t="inlineStr"/>
      <c r="F33" s="56" t="inlineStr"/>
      <c r="G33" s="56" t="inlineStr"/>
    </row>
    <row r="34">
      <c r="A34" s="57" t="inlineStr">
        <is>
          <t>6</t>
        </is>
      </c>
      <c r="B34" s="57" t="inlineStr">
        <is>
          <t>Quema accidental / Incendio</t>
        </is>
      </c>
      <c r="C34" s="57" t="inlineStr"/>
      <c r="D34" s="57" t="inlineStr"/>
      <c r="E34" s="57" t="inlineStr"/>
      <c r="F34" s="57" t="inlineStr"/>
      <c r="G34" s="57" t="inlineStr"/>
    </row>
    <row r="35">
      <c r="A35" s="56" t="inlineStr">
        <is>
          <t>7</t>
        </is>
      </c>
      <c r="B35" s="56" t="inlineStr">
        <is>
          <t>Cambio de uso a agricultura</t>
        </is>
      </c>
      <c r="C35" s="56" t="inlineStr">
        <is>
          <t>Sí</t>
        </is>
      </c>
      <c r="D35" s="56" t="inlineStr">
        <is>
          <t>Moderada</t>
        </is>
      </c>
      <c r="E35" s="56" t="inlineStr">
        <is>
          <t>20</t>
        </is>
      </c>
      <c r="F35" s="56" t="inlineStr"/>
      <c r="G35" s="56" t="inlineStr">
        <is>
          <t>Zona agrícola integrada al mosaico del paisaje dominante</t>
        </is>
      </c>
    </row>
    <row r="36">
      <c r="A36" s="57" t="inlineStr">
        <is>
          <t>8</t>
        </is>
      </c>
      <c r="B36" s="57" t="inlineStr">
        <is>
          <t>Cambio de uso a pastoreo</t>
        </is>
      </c>
      <c r="C36" s="57" t="inlineStr">
        <is>
          <t>Sí</t>
        </is>
      </c>
      <c r="D36" s="57" t="inlineStr">
        <is>
          <t>Moderada</t>
        </is>
      </c>
      <c r="E36" s="57" t="inlineStr">
        <is>
          <t>25</t>
        </is>
      </c>
      <c r="F36" s="57" t="inlineStr"/>
      <c r="G36" s="57" t="inlineStr">
        <is>
          <t>Conversión de matorral a pastizal de uso ganadero</t>
        </is>
      </c>
    </row>
    <row r="37">
      <c r="A37" s="56" t="inlineStr">
        <is>
          <t>9</t>
        </is>
      </c>
      <c r="B37" s="56" t="inlineStr">
        <is>
          <t>Expansión urbana / vial</t>
        </is>
      </c>
      <c r="C37" s="56" t="inlineStr">
        <is>
          <t>Sí</t>
        </is>
      </c>
      <c r="D37" s="56" t="inlineStr">
        <is>
          <t>Ligera</t>
        </is>
      </c>
      <c r="E37" s="56" t="inlineStr">
        <is>
          <t>5</t>
        </is>
      </c>
      <c r="F37" s="56" t="inlineStr"/>
      <c r="G37" s="56" t="inlineStr">
        <is>
          <t>Vía afirmada colindante y caminos de herradura interiores</t>
        </is>
      </c>
    </row>
    <row r="38">
      <c r="A38" s="57" t="inlineStr">
        <is>
          <t>10</t>
        </is>
      </c>
      <c r="B38" s="57" t="inlineStr">
        <is>
          <t>Minería informal</t>
        </is>
      </c>
      <c r="C38" s="57" t="inlineStr"/>
      <c r="D38" s="57" t="inlineStr"/>
      <c r="E38" s="57" t="inlineStr"/>
      <c r="F38" s="57" t="inlineStr"/>
      <c r="G38" s="57" t="inlineStr"/>
    </row>
    <row r="39">
      <c r="A39" s="56" t="inlineStr">
        <is>
          <t>11</t>
        </is>
      </c>
      <c r="B39" s="56" t="inlineStr">
        <is>
          <t>Extracción de áridos (cauces)</t>
        </is>
      </c>
      <c r="C39" s="56" t="inlineStr"/>
      <c r="D39" s="56" t="inlineStr"/>
      <c r="E39" s="56" t="inlineStr"/>
      <c r="F39" s="56" t="inlineStr"/>
      <c r="G39" s="56" t="inlineStr"/>
    </row>
    <row r="40">
      <c r="A40" s="57" t="inlineStr">
        <is>
          <t>12</t>
        </is>
      </c>
      <c r="B40" s="57" t="inlineStr">
        <is>
          <t>Especies invasoras</t>
        </is>
      </c>
      <c r="C40" s="57" t="inlineStr"/>
      <c r="D40" s="57" t="inlineStr"/>
      <c r="E40" s="57" t="inlineStr"/>
      <c r="F40" s="57" t="inlineStr"/>
      <c r="G40" s="57" t="inlineStr"/>
    </row>
    <row r="41">
      <c r="A41" s="56" t="inlineStr">
        <is>
          <t>13</t>
        </is>
      </c>
      <c r="B41" s="56" t="inlineStr">
        <is>
          <t>Erosión natural severa</t>
        </is>
      </c>
      <c r="C41" s="56" t="inlineStr">
        <is>
          <t>Sí</t>
        </is>
      </c>
      <c r="D41" s="56" t="inlineStr">
        <is>
          <t>Moderada</t>
        </is>
      </c>
      <c r="E41" s="56" t="inlineStr">
        <is>
          <t>15</t>
        </is>
      </c>
      <c r="F41" s="56" t="inlineStr"/>
      <c r="G41" s="56" t="inlineStr">
        <is>
          <t>Escarpes activos y zonas escarpadas; erosión eólica e hídrica concurrentes</t>
        </is>
      </c>
    </row>
    <row r="42">
      <c r="A42" s="57" t="inlineStr">
        <is>
          <t>14</t>
        </is>
      </c>
      <c r="B42" s="57" t="inlineStr">
        <is>
          <t>Sequía prolongada / CC</t>
        </is>
      </c>
      <c r="C42" s="57" t="inlineStr"/>
      <c r="D42" s="57" t="inlineStr"/>
      <c r="E42" s="57" t="inlineStr"/>
      <c r="F42" s="57" t="inlineStr"/>
      <c r="G42" s="57" t="inlineStr"/>
    </row>
    <row r="43">
      <c r="A43" s="56" t="inlineStr">
        <is>
          <t>15</t>
        </is>
      </c>
      <c r="B43" s="56" t="inlineStr">
        <is>
          <t>Plagas o enfermedades forestales</t>
        </is>
      </c>
      <c r="C43" s="56" t="inlineStr"/>
      <c r="D43" s="56" t="inlineStr"/>
      <c r="E43" s="56" t="inlineStr"/>
      <c r="F43" s="56" t="inlineStr"/>
      <c r="G43" s="56" t="inlineStr"/>
    </row>
    <row r="44">
      <c r="A44" s="57" t="inlineStr">
        <is>
          <t>16</t>
        </is>
      </c>
      <c r="B44" s="57" t="inlineStr">
        <is>
          <t>Otro</t>
        </is>
      </c>
      <c r="C44" s="57" t="inlineStr"/>
      <c r="D44" s="57" t="inlineStr"/>
      <c r="E44" s="57" t="inlineStr"/>
      <c r="F44" s="57" t="inlineStr"/>
      <c r="G44" s="57" t="inlineStr"/>
    </row>
    <row r="46">
      <c r="A46" s="54" t="inlineStr">
        <is>
          <t>F-DT-04 · INDICADORES CUANTITATIVOS</t>
        </is>
      </c>
    </row>
    <row r="47">
      <c r="A47" s="55" t="inlineStr">
        <is>
          <t>N.o</t>
        </is>
      </c>
      <c r="B47" s="55" t="inlineStr">
        <is>
          <t>Indicador</t>
        </is>
      </c>
      <c r="C47" s="55" t="inlineStr">
        <is>
          <t>Unidad</t>
        </is>
      </c>
      <c r="D47" s="55" t="inlineStr">
        <is>
          <t>Valor</t>
        </is>
      </c>
      <c r="E47" s="55" t="inlineStr">
        <is>
          <t>Fuente</t>
        </is>
      </c>
      <c r="F47" s="55" t="inlineStr">
        <is>
          <t>Umbral</t>
        </is>
      </c>
      <c r="G47" s="55" t="inlineStr">
        <is>
          <t>Nivel</t>
        </is>
      </c>
    </row>
    <row r="48">
      <c r="A48" s="56" t="inlineStr">
        <is>
          <t>1</t>
        </is>
      </c>
      <c r="B48" s="56" t="inlineStr">
        <is>
          <t>Cobertura vegetal total</t>
        </is>
      </c>
      <c r="C48" s="56" t="inlineStr">
        <is>
          <t>%</t>
        </is>
      </c>
      <c r="D48" s="56" t="inlineStr">
        <is>
          <t>97.69</t>
        </is>
      </c>
      <c r="E48" s="56" t="inlineStr">
        <is>
          <t>MSAVI 2024 (clases &gt; 0.4976), conteo de píxeles</t>
        </is>
      </c>
      <c r="F48" s="56" t="inlineStr">
        <is>
          <t>&gt;60% bueno; 30-60% medio; &lt;30% malo</t>
        </is>
      </c>
      <c r="G48" s="56" t="inlineStr">
        <is>
          <t>Alto</t>
        </is>
      </c>
    </row>
    <row r="49">
      <c r="A49" s="57" t="inlineStr">
        <is>
          <t>2</t>
        </is>
      </c>
      <c r="B49" s="57" t="inlineStr">
        <is>
          <t>Porcentaje de suelo desnudo</t>
        </is>
      </c>
      <c r="C49" s="57" t="inlineStr">
        <is>
          <t>%</t>
        </is>
      </c>
      <c r="D49" s="57" t="inlineStr">
        <is>
          <t>0</t>
        </is>
      </c>
      <c r="E49" s="57" t="inlineStr">
        <is>
          <t>MSAVI 2024 (clase &lt;= 0.2650)</t>
        </is>
      </c>
      <c r="F49" s="57" t="inlineStr">
        <is>
          <t>&lt;10% bueno; 10-30% medio; &gt;30% malo</t>
        </is>
      </c>
      <c r="G49" s="57" t="inlineStr">
        <is>
          <t>Bajo</t>
        </is>
      </c>
    </row>
    <row r="50">
      <c r="A50" s="56" t="inlineStr">
        <is>
          <t>3</t>
        </is>
      </c>
      <c r="B50" s="56" t="inlineStr">
        <is>
          <t>Densidad de cárcavas</t>
        </is>
      </c>
      <c r="C50" s="56" t="inlineStr">
        <is>
          <t>N°/ha</t>
        </is>
      </c>
      <c r="D50" s="56" t="inlineStr">
        <is>
          <t>Por determinar</t>
        </is>
      </c>
      <c r="E50" s="56" t="inlineStr">
        <is>
          <t>Inventario de cárcavas no ejecutado</t>
        </is>
      </c>
      <c r="F50" s="56" t="inlineStr">
        <is>
          <t>0 nulo; 1-3 medio; &gt;3 alto</t>
        </is>
      </c>
      <c r="G50" s="56" t="inlineStr"/>
    </row>
    <row r="51">
      <c r="A51" s="57" t="inlineStr">
        <is>
          <t>4</t>
        </is>
      </c>
      <c r="B51" s="57" t="inlineStr">
        <is>
          <t>Presencia de especies invasoras</t>
        </is>
      </c>
      <c r="C51" s="57" t="inlineStr">
        <is>
          <t>% área</t>
        </is>
      </c>
      <c r="D51" s="57" t="inlineStr">
        <is>
          <t>Por determinar</t>
        </is>
      </c>
      <c r="E51" s="57" t="inlineStr">
        <is>
          <t>Sin verificación botánica</t>
        </is>
      </c>
      <c r="F51" s="57" t="inlineStr">
        <is>
          <t>&lt;5% bueno; 5-20% medio; &gt;20% alto</t>
        </is>
      </c>
      <c r="G51" s="57" t="inlineStr"/>
    </row>
    <row r="52">
      <c r="A52" s="56" t="inlineStr">
        <is>
          <t>5</t>
        </is>
      </c>
      <c r="B52" s="56" t="inlineStr">
        <is>
          <t>Carga ganadera estimada</t>
        </is>
      </c>
      <c r="C52" s="56" t="inlineStr">
        <is>
          <t>UA/ha</t>
        </is>
      </c>
      <c r="D52" s="56" t="inlineStr">
        <is>
          <t>Por determinar</t>
        </is>
      </c>
      <c r="E52" s="56" t="inlineStr">
        <is>
          <t>Sin conteo de unidades animales</t>
        </is>
      </c>
      <c r="F52" s="56" t="inlineStr">
        <is>
          <t>Según tipo de ecosistema</t>
        </is>
      </c>
      <c r="G52" s="56" t="inlineStr"/>
    </row>
    <row r="53">
      <c r="A53" s="57" t="inlineStr">
        <is>
          <t>6</t>
        </is>
      </c>
      <c r="B53" s="57" t="inlineStr">
        <is>
          <t>Frecuencia de quemas últimos 5 años</t>
        </is>
      </c>
      <c r="C53" s="57" t="inlineStr">
        <is>
          <t>N°</t>
        </is>
      </c>
      <c r="D53" s="57" t="inlineStr">
        <is>
          <t>Por determinar</t>
        </is>
      </c>
      <c r="E53" s="57" t="inlineStr">
        <is>
          <t>Sin serie de focos de calor</t>
        </is>
      </c>
      <c r="F53" s="57" t="inlineStr">
        <is>
          <t>0 nulo; 1-2 medio; &gt;2 alto</t>
        </is>
      </c>
      <c r="G53" s="57" t="inlineStr"/>
    </row>
    <row r="54">
      <c r="A54" s="56" t="inlineStr">
        <is>
          <t>7</t>
        </is>
      </c>
      <c r="B54" s="56" t="inlineStr">
        <is>
          <t>% área con pendiente &gt;50%</t>
        </is>
      </c>
      <c r="C54" s="56" t="inlineStr">
        <is>
          <t>%</t>
        </is>
      </c>
      <c r="D54" s="56" t="inlineStr">
        <is>
          <t>Por determinar</t>
        </is>
      </c>
      <c r="E54" s="56" t="inlineStr">
        <is>
          <t>Requiere reclasificación del MDE</t>
        </is>
      </c>
      <c r="F54" s="56" t="inlineStr">
        <is>
          <t>Factor de susceptibilidad</t>
        </is>
      </c>
      <c r="G54" s="56" t="inlineStr"/>
    </row>
    <row r="55">
      <c r="A55" s="57" t="inlineStr">
        <is>
          <t>8</t>
        </is>
      </c>
      <c r="B55" s="57" t="inlineStr">
        <is>
          <t>Distancia a vía vecinal más cercana</t>
        </is>
      </c>
      <c r="C55" s="57" t="inlineStr">
        <is>
          <t>m</t>
        </is>
      </c>
      <c r="D55" s="57" t="inlineStr">
        <is>
          <t>0</t>
        </is>
      </c>
      <c r="E55" s="57" t="inlineStr">
        <is>
          <t>Vía de acceso colindante al bloque</t>
        </is>
      </c>
      <c r="F55" s="57" t="inlineStr">
        <is>
          <t>A menor distancia → mayor presión</t>
        </is>
      </c>
      <c r="G55" s="57" t="inlineStr">
        <is>
          <t>Alto</t>
        </is>
      </c>
    </row>
    <row r="57">
      <c r="A57" s="54" t="inlineStr">
        <is>
          <t>F-DT-05 · FUENTES DE AGUA INVENTARIADAS</t>
        </is>
      </c>
    </row>
    <row r="58">
      <c r="A58" s="55" t="inlineStr">
        <is>
          <t>N.o</t>
        </is>
      </c>
      <c r="B58" s="55" t="inlineStr">
        <is>
          <t>Tipo de fuente</t>
        </is>
      </c>
      <c r="C58" s="55" t="inlineStr">
        <is>
          <t>UTM ESTE</t>
        </is>
      </c>
      <c r="D58" s="55" t="inlineStr">
        <is>
          <t>UTM NORTE</t>
        </is>
      </c>
      <c r="E58" s="55" t="inlineStr">
        <is>
          <t>Régimen</t>
        </is>
      </c>
      <c r="F58" s="55" t="inlineStr">
        <is>
          <t>Calidad</t>
        </is>
      </c>
      <c r="G58" s="55" t="inlineStr">
        <is>
          <t>Distancia (m)</t>
        </is>
      </c>
      <c r="H58" s="55" t="inlineStr">
        <is>
          <t>Uso / observación</t>
        </is>
      </c>
    </row>
    <row r="59">
      <c r="A59" s="56" t="inlineStr">
        <is>
          <t>1</t>
        </is>
      </c>
      <c r="B59" s="56" t="inlineStr">
        <is>
          <t>Quebrada estacional</t>
        </is>
      </c>
      <c r="C59" s="56" t="n"/>
      <c r="D59" s="56" t="n"/>
      <c r="E59" s="56" t="inlineStr">
        <is>
          <t>Efímero</t>
        </is>
      </c>
      <c r="F59" s="56" t="inlineStr">
        <is>
          <t>No evaluable</t>
        </is>
      </c>
      <c r="G59" s="64" t="n">
        <v>0</v>
      </c>
      <c r="H59" s="56" t="inlineStr">
        <is>
          <t>Quebradas secas identificadas en algunos puntos del bloque al momento de la evaluación</t>
        </is>
      </c>
    </row>
    <row r="60">
      <c r="A60" s="57" t="inlineStr">
        <is>
          <t>2</t>
        </is>
      </c>
      <c r="B60" s="57" t="inlineStr">
        <is>
          <t>Quebrada estacional</t>
        </is>
      </c>
      <c r="C60" s="57" t="n"/>
      <c r="D60" s="57" t="n"/>
      <c r="E60" s="57" t="inlineStr">
        <is>
          <t>Estacional (lluvias)</t>
        </is>
      </c>
      <c r="F60" s="57" t="inlineStr">
        <is>
          <t>No evaluable</t>
        </is>
      </c>
      <c r="G60" s="63" t="n">
        <v>0</v>
      </c>
      <c r="H60" s="57" t="inlineStr">
        <is>
          <t>Quebrada s/n colindante al bloque (margen derecha), tributaria de Q9583</t>
        </is>
      </c>
    </row>
    <row r="63">
      <c r="A63" s="54" t="inlineStr">
        <is>
          <t>OBSERVACIONES DEL EVALUADOR POR FICHA</t>
        </is>
      </c>
    </row>
    <row r="64">
      <c r="A64" s="55" t="inlineStr">
        <is>
          <t>Ficha</t>
        </is>
      </c>
      <c r="B64" s="55" t="inlineStr">
        <is>
          <t>Observación registrada en campo</t>
        </is>
      </c>
    </row>
    <row r="65">
      <c r="A65" s="56" t="inlineStr">
        <is>
          <t>F-DT-01</t>
        </is>
      </c>
      <c r="B65" s="56" t="inlineStr">
        <is>
          <t>Coordenadas correspondientes al CENTROIDE del polígono (Bloques V4/V5); no a un punto de muestreo GPS de campo. Altitud consignada: altitud GPS de campo 1370 msnm. Rango altitudinal del bloque según MDE: 1319–1887 msnm (amplitud 568 m); pendiente promedio 32.98 %. Centro(s) poblado(s) asociado(s): Coyona. Acceso: Vía afirmada Canchaque – Coyona, margen derecha de una quebrada s/n.</t>
        </is>
      </c>
    </row>
    <row r="66">
      <c r="A66" s="57" t="inlineStr">
        <is>
          <t>F-DT-02</t>
        </is>
      </c>
      <c r="B66" s="57" t="inlineStr">
        <is>
          <t>Nivel general de erosión moderado, con erosión eólica, hídrica y por sobrepastoreo. Se observan estrías y surcos en la ladera formados por el tránsito habitual del ganado vacuno, así como zonas escarpadas. No se identifican cárcavas desarrolladas dentro del bloque. El suelo presenta compactación por pisoteo y piedras de tamaño mediano a grande dispersas en el área.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is>
      </c>
    </row>
    <row r="67">
      <c r="A67" s="56" t="inlineStr">
        <is>
          <t>F-DT-03</t>
        </is>
      </c>
      <c r="B67" s="56" t="inlineStr">
        <is>
          <t>Ecosistema declarado en campo: Matorral andino (Ma). El entregable de campo no detalla el elenco florístico del bloque. El paisaje dominante combina bosque estacionalmente seco de colina y montaña con matorral andino, por lo que el inventario debe cubrir ambas formaciones. Queda pendiente de colecta e identificación botánica. Coberturas por estrato, alturas y DAP no medidos instrumentalmente en esta evaluación. No se confirmaron especies amenazadas del D.S. 043-2006-AG. La superficie ocupada por cultivos debe excluirse del área efectiva en el tamizaje predial.</t>
        </is>
      </c>
    </row>
    <row r="68">
      <c r="A68" s="57" t="inlineStr">
        <is>
          <t>F-DT-04</t>
        </is>
      </c>
      <c r="B68" s="57" t="inlineStr">
        <is>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is>
      </c>
    </row>
    <row r="69">
      <c r="A69" s="56" t="inlineStr">
        <is>
          <t>F-DT-05</t>
        </is>
      </c>
      <c r="B69" s="56" t="inlineStr">
        <is>
          <t>Acceso: Vía afirmada Canchaque – Coyona, margen derecha de una quebrada s/n.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24</t>
        </is>
      </c>
    </row>
    <row r="7">
      <c r="A7" s="54" t="inlineStr">
        <is>
          <t>Hechos declarados por fuente</t>
        </is>
      </c>
    </row>
    <row r="8">
      <c r="A8" s="55" t="inlineStr">
        <is>
          <t>Fuente</t>
        </is>
      </c>
      <c r="B8" s="55" t="inlineStr">
        <is>
          <t>Hechos</t>
        </is>
      </c>
    </row>
    <row r="9">
      <c r="A9" s="56" t="inlineStr">
        <is>
          <t>Dato de campo</t>
        </is>
      </c>
      <c r="B9" s="56" t="n">
        <v>52</v>
      </c>
    </row>
    <row r="10">
      <c r="A10" s="57" t="inlineStr">
        <is>
          <t>Gabinete (GIS / teledetección)</t>
        </is>
      </c>
      <c r="B10" s="57" t="n">
        <v>21</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86</v>
      </c>
    </row>
    <row r="29">
      <c r="A29" s="57" t="inlineStr">
        <is>
          <t>COMPLEMENTADO</t>
        </is>
      </c>
      <c r="B29" s="57" t="n">
        <v>1</v>
      </c>
    </row>
    <row r="30">
      <c r="A30" s="56" t="inlineStr">
        <is>
          <t>ACTUALIZADO</t>
        </is>
      </c>
      <c r="B30" s="56" t="n">
        <v>0</v>
      </c>
    </row>
    <row r="31">
      <c r="A31" s="57" t="inlineStr">
        <is>
          <t>DISCREPANTE</t>
        </is>
      </c>
      <c r="B31" s="57" t="n">
        <v>0</v>
      </c>
    </row>
    <row r="32">
      <c r="A32" s="56" t="inlineStr">
        <is>
          <t>PENDIENTE</t>
        </is>
      </c>
      <c r="B32" s="56" t="n">
        <v>27</v>
      </c>
    </row>
    <row r="45">
      <c r="A45" s="54" t="inlineStr">
        <is>
          <t>Causas activas de degradación (F-DT-04)</t>
        </is>
      </c>
    </row>
    <row r="46">
      <c r="A46" s="55" t="inlineStr">
        <is>
          <t>Causa</t>
        </is>
      </c>
      <c r="B46" s="55" t="inlineStr">
        <is>
          <t>Intensidad (1 ligera - 4 muy fuerte)</t>
        </is>
      </c>
    </row>
    <row r="47">
      <c r="A47" s="56" t="inlineStr">
        <is>
          <t>Cambio de uso a agricultura</t>
        </is>
      </c>
      <c r="B47" s="56" t="n">
        <v>2</v>
      </c>
    </row>
    <row r="48">
      <c r="A48" s="57" t="inlineStr">
        <is>
          <t>Cambio de uso a pastoreo</t>
        </is>
      </c>
      <c r="B48" s="57" t="n">
        <v>2</v>
      </c>
    </row>
    <row r="49">
      <c r="A49" s="56" t="inlineStr">
        <is>
          <t>Erosión natural severa</t>
        </is>
      </c>
      <c r="B49" s="56" t="n">
        <v>2</v>
      </c>
    </row>
    <row r="50">
      <c r="A50" s="57" t="inlineStr">
        <is>
          <t>Sobrepastoreo (caprino/vacuno)</t>
        </is>
      </c>
      <c r="B50" s="57" t="n">
        <v>2</v>
      </c>
    </row>
    <row r="51">
      <c r="A51" s="56" t="inlineStr">
        <is>
          <t>Expansión urbana / vial</t>
        </is>
      </c>
      <c r="B51" s="56" t="n">
        <v>1</v>
      </c>
    </row>
    <row r="64">
      <c r="A64" s="54" t="inlineStr">
        <is>
          <t>Control de consistencia por calificación</t>
        </is>
      </c>
    </row>
    <row r="65">
      <c r="A65" s="55" t="inlineStr">
        <is>
          <t>Calificación</t>
        </is>
      </c>
      <c r="B65" s="55" t="inlineStr">
        <is>
          <t>Verificaciones</t>
        </is>
      </c>
    </row>
    <row r="66">
      <c r="A66" s="56" t="inlineStr">
        <is>
          <t>SUSTANTIVA</t>
        </is>
      </c>
      <c r="B66" s="56" t="n">
        <v>2</v>
      </c>
    </row>
    <row r="67">
      <c r="A67" s="57" t="inlineStr">
        <is>
          <t>NO SUSTANTIVA</t>
        </is>
      </c>
      <c r="B67" s="57" t="n">
        <v>1</v>
      </c>
    </row>
    <row r="68">
      <c r="A68" s="56" t="inlineStr">
        <is>
          <t>CORREGIDO</t>
        </is>
      </c>
      <c r="B68" s="56" t="n">
        <v>0</v>
      </c>
    </row>
    <row r="69">
      <c r="A69" s="57" t="inlineStr">
        <is>
          <t>CONFORME</t>
        </is>
      </c>
      <c r="B69"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24 — IN Piura</dc:title>
  <dc:subject>Diagnóstico Territorial por bloque de intervención</dc:subject>
  <dcterms:created xsi:type="dcterms:W3CDTF">2026-09-08T03:39:56Z</dcterms:created>
  <dcterms:modified xsi:type="dcterms:W3CDTF">2026-09-11T21:26:24Z</dcterms:modified>
</cp:coreProperties>
</file>